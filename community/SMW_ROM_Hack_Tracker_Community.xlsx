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brand\Downloads\"/>
    </mc:Choice>
  </mc:AlternateContent>
  <xr:revisionPtr revIDLastSave="0" documentId="13_ncr:1_{23E0108E-ED45-4FE9-871C-088077FBD70A}" xr6:coauthVersionLast="47" xr6:coauthVersionMax="47" xr10:uidLastSave="{00000000-0000-0000-0000-000000000000}"/>
  <bookViews>
    <workbookView xWindow="57503" yWindow="-98" windowWidth="28994" windowHeight="15675" activeTab="1" xr2:uid="{00000000-000D-0000-FFFF-FFFF00000000}"/>
  </bookViews>
  <sheets>
    <sheet name="Dashboard" sheetId="1" r:id="rId1"/>
    <sheet name="Tracker" sheetId="2" r:id="rId2"/>
    <sheet name="Online Database" sheetId="3" state="veryHidden" r:id="rId3"/>
    <sheet name="Manual Database" sheetId="4" state="veryHidden" r:id="rId4"/>
    <sheet name="Hack Database" sheetId="5" r:id="rId5"/>
    <sheet name="Hack Finder" sheetId="9" r:id="rId6"/>
    <sheet name="Lists" sheetId="6" state="veryHidden" r:id="rId7"/>
    <sheet name="Settings" sheetId="7" state="veryHidden" r:id="rId8"/>
    <sheet name="Read Me" sheetId="8" state="veryHidden" r:id="rId9"/>
  </sheets>
  <externalReferences>
    <externalReference r:id="rId10"/>
  </externalReferences>
  <definedNames>
    <definedName name="DifficultyList">Lists!$C$2:$C$9</definedName>
    <definedName name="HackList" localSheetId="5">'[1]Hack Database'!$A$2:INDEX('[1]Hack Database'!$A:$A,COUNTA('[1]Hack Database'!$A:$A))</definedName>
    <definedName name="HackList">Lists!$A$2:INDEX(Lists!$A:$A,COUNTA(Lists!$A:$A))</definedName>
    <definedName name="TypeList">Lists!$D$2:$D$7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9" l="1"/>
  <c r="B6" i="9"/>
  <c r="B7" i="9"/>
  <c r="B8" i="9"/>
  <c r="B9" i="9"/>
  <c r="B10" i="9"/>
  <c r="B11" i="9"/>
  <c r="B12" i="9"/>
  <c r="B13" i="9"/>
  <c r="C2" i="2"/>
  <c r="A2" i="2" s="1"/>
  <c r="D2" i="2"/>
  <c r="E2" i="2"/>
  <c r="F2" i="2"/>
  <c r="G2" i="2"/>
  <c r="K2" i="2"/>
  <c r="P2" i="2"/>
  <c r="Q2" i="2"/>
  <c r="Q501" i="2" l="1"/>
  <c r="P501" i="2"/>
  <c r="K501" i="2"/>
  <c r="G501" i="2"/>
  <c r="F501" i="2"/>
  <c r="E501" i="2"/>
  <c r="D501" i="2"/>
  <c r="C501" i="2"/>
  <c r="A501" i="2" s="1"/>
  <c r="Q500" i="2"/>
  <c r="P500" i="2"/>
  <c r="K500" i="2"/>
  <c r="G500" i="2"/>
  <c r="F500" i="2"/>
  <c r="E500" i="2"/>
  <c r="D500" i="2"/>
  <c r="C500" i="2"/>
  <c r="A500" i="2" s="1"/>
  <c r="Q499" i="2"/>
  <c r="P499" i="2"/>
  <c r="K499" i="2"/>
  <c r="G499" i="2"/>
  <c r="F499" i="2"/>
  <c r="E499" i="2"/>
  <c r="D499" i="2"/>
  <c r="C499" i="2"/>
  <c r="A499" i="2" s="1"/>
  <c r="Q498" i="2"/>
  <c r="P498" i="2"/>
  <c r="K498" i="2"/>
  <c r="G498" i="2"/>
  <c r="F498" i="2"/>
  <c r="E498" i="2"/>
  <c r="D498" i="2"/>
  <c r="C498" i="2"/>
  <c r="A498" i="2" s="1"/>
  <c r="Q497" i="2"/>
  <c r="P497" i="2"/>
  <c r="K497" i="2"/>
  <c r="G497" i="2"/>
  <c r="F497" i="2"/>
  <c r="E497" i="2"/>
  <c r="D497" i="2"/>
  <c r="C497" i="2"/>
  <c r="A497" i="2" s="1"/>
  <c r="Q496" i="2"/>
  <c r="P496" i="2"/>
  <c r="K496" i="2"/>
  <c r="G496" i="2"/>
  <c r="F496" i="2"/>
  <c r="E496" i="2"/>
  <c r="D496" i="2"/>
  <c r="C496" i="2"/>
  <c r="A496" i="2" s="1"/>
  <c r="Q495" i="2"/>
  <c r="P495" i="2"/>
  <c r="K495" i="2"/>
  <c r="G495" i="2"/>
  <c r="F495" i="2"/>
  <c r="E495" i="2"/>
  <c r="D495" i="2"/>
  <c r="C495" i="2"/>
  <c r="A495" i="2" s="1"/>
  <c r="Q494" i="2"/>
  <c r="P494" i="2"/>
  <c r="K494" i="2"/>
  <c r="G494" i="2"/>
  <c r="F494" i="2"/>
  <c r="E494" i="2"/>
  <c r="D494" i="2"/>
  <c r="C494" i="2"/>
  <c r="A494" i="2" s="1"/>
  <c r="Q493" i="2"/>
  <c r="P493" i="2"/>
  <c r="K493" i="2"/>
  <c r="G493" i="2"/>
  <c r="F493" i="2"/>
  <c r="E493" i="2"/>
  <c r="D493" i="2"/>
  <c r="C493" i="2"/>
  <c r="A493" i="2" s="1"/>
  <c r="Q492" i="2"/>
  <c r="P492" i="2"/>
  <c r="K492" i="2"/>
  <c r="G492" i="2"/>
  <c r="F492" i="2"/>
  <c r="E492" i="2"/>
  <c r="D492" i="2"/>
  <c r="C492" i="2"/>
  <c r="A492" i="2" s="1"/>
  <c r="Q491" i="2"/>
  <c r="P491" i="2"/>
  <c r="K491" i="2"/>
  <c r="G491" i="2"/>
  <c r="F491" i="2"/>
  <c r="E491" i="2"/>
  <c r="D491" i="2"/>
  <c r="C491" i="2"/>
  <c r="A491" i="2" s="1"/>
  <c r="Q490" i="2"/>
  <c r="P490" i="2"/>
  <c r="K490" i="2"/>
  <c r="G490" i="2"/>
  <c r="F490" i="2"/>
  <c r="E490" i="2"/>
  <c r="D490" i="2"/>
  <c r="C490" i="2"/>
  <c r="A490" i="2" s="1"/>
  <c r="Q489" i="2"/>
  <c r="P489" i="2"/>
  <c r="K489" i="2"/>
  <c r="G489" i="2"/>
  <c r="F489" i="2"/>
  <c r="E489" i="2"/>
  <c r="D489" i="2"/>
  <c r="C489" i="2"/>
  <c r="A489" i="2" s="1"/>
  <c r="Q488" i="2"/>
  <c r="P488" i="2"/>
  <c r="K488" i="2"/>
  <c r="G488" i="2"/>
  <c r="F488" i="2"/>
  <c r="E488" i="2"/>
  <c r="D488" i="2"/>
  <c r="C488" i="2"/>
  <c r="A488" i="2" s="1"/>
  <c r="Q487" i="2"/>
  <c r="P487" i="2"/>
  <c r="K487" i="2"/>
  <c r="G487" i="2"/>
  <c r="F487" i="2"/>
  <c r="E487" i="2"/>
  <c r="D487" i="2"/>
  <c r="C487" i="2"/>
  <c r="A487" i="2" s="1"/>
  <c r="Q486" i="2"/>
  <c r="P486" i="2"/>
  <c r="K486" i="2"/>
  <c r="G486" i="2"/>
  <c r="F486" i="2"/>
  <c r="E486" i="2"/>
  <c r="D486" i="2"/>
  <c r="C486" i="2"/>
  <c r="A486" i="2" s="1"/>
  <c r="Q485" i="2"/>
  <c r="P485" i="2"/>
  <c r="K485" i="2"/>
  <c r="G485" i="2"/>
  <c r="F485" i="2"/>
  <c r="E485" i="2"/>
  <c r="D485" i="2"/>
  <c r="C485" i="2"/>
  <c r="A485" i="2" s="1"/>
  <c r="Q484" i="2"/>
  <c r="P484" i="2"/>
  <c r="K484" i="2"/>
  <c r="G484" i="2"/>
  <c r="F484" i="2"/>
  <c r="E484" i="2"/>
  <c r="D484" i="2"/>
  <c r="C484" i="2"/>
  <c r="A484" i="2" s="1"/>
  <c r="Q483" i="2"/>
  <c r="P483" i="2"/>
  <c r="K483" i="2"/>
  <c r="G483" i="2"/>
  <c r="F483" i="2"/>
  <c r="E483" i="2"/>
  <c r="D483" i="2"/>
  <c r="C483" i="2"/>
  <c r="A483" i="2" s="1"/>
  <c r="Q482" i="2"/>
  <c r="P482" i="2"/>
  <c r="K482" i="2"/>
  <c r="G482" i="2"/>
  <c r="F482" i="2"/>
  <c r="E482" i="2"/>
  <c r="D482" i="2"/>
  <c r="C482" i="2"/>
  <c r="A482" i="2" s="1"/>
  <c r="Q481" i="2"/>
  <c r="P481" i="2"/>
  <c r="K481" i="2"/>
  <c r="G481" i="2"/>
  <c r="F481" i="2"/>
  <c r="E481" i="2"/>
  <c r="D481" i="2"/>
  <c r="C481" i="2"/>
  <c r="A481" i="2" s="1"/>
  <c r="Q480" i="2"/>
  <c r="P480" i="2"/>
  <c r="K480" i="2"/>
  <c r="G480" i="2"/>
  <c r="F480" i="2"/>
  <c r="E480" i="2"/>
  <c r="D480" i="2"/>
  <c r="C480" i="2"/>
  <c r="A480" i="2" s="1"/>
  <c r="Q479" i="2"/>
  <c r="P479" i="2"/>
  <c r="K479" i="2"/>
  <c r="G479" i="2"/>
  <c r="F479" i="2"/>
  <c r="E479" i="2"/>
  <c r="D479" i="2"/>
  <c r="C479" i="2"/>
  <c r="A479" i="2" s="1"/>
  <c r="Q478" i="2"/>
  <c r="P478" i="2"/>
  <c r="K478" i="2"/>
  <c r="G478" i="2"/>
  <c r="F478" i="2"/>
  <c r="E478" i="2"/>
  <c r="D478" i="2"/>
  <c r="C478" i="2"/>
  <c r="A478" i="2" s="1"/>
  <c r="Q477" i="2"/>
  <c r="P477" i="2"/>
  <c r="K477" i="2"/>
  <c r="G477" i="2"/>
  <c r="F477" i="2"/>
  <c r="E477" i="2"/>
  <c r="D477" i="2"/>
  <c r="C477" i="2"/>
  <c r="A477" i="2" s="1"/>
  <c r="Q476" i="2"/>
  <c r="P476" i="2"/>
  <c r="K476" i="2"/>
  <c r="G476" i="2"/>
  <c r="F476" i="2"/>
  <c r="E476" i="2"/>
  <c r="D476" i="2"/>
  <c r="C476" i="2"/>
  <c r="A476" i="2" s="1"/>
  <c r="Q475" i="2"/>
  <c r="P475" i="2"/>
  <c r="K475" i="2"/>
  <c r="G475" i="2"/>
  <c r="F475" i="2"/>
  <c r="E475" i="2"/>
  <c r="D475" i="2"/>
  <c r="C475" i="2"/>
  <c r="A475" i="2" s="1"/>
  <c r="Q474" i="2"/>
  <c r="P474" i="2"/>
  <c r="K474" i="2"/>
  <c r="G474" i="2"/>
  <c r="F474" i="2"/>
  <c r="E474" i="2"/>
  <c r="D474" i="2"/>
  <c r="C474" i="2"/>
  <c r="A474" i="2" s="1"/>
  <c r="Q473" i="2"/>
  <c r="P473" i="2"/>
  <c r="K473" i="2"/>
  <c r="G473" i="2"/>
  <c r="F473" i="2"/>
  <c r="E473" i="2"/>
  <c r="D473" i="2"/>
  <c r="C473" i="2"/>
  <c r="A473" i="2" s="1"/>
  <c r="Q472" i="2"/>
  <c r="P472" i="2"/>
  <c r="K472" i="2"/>
  <c r="G472" i="2"/>
  <c r="F472" i="2"/>
  <c r="E472" i="2"/>
  <c r="D472" i="2"/>
  <c r="C472" i="2"/>
  <c r="A472" i="2" s="1"/>
  <c r="Q471" i="2"/>
  <c r="P471" i="2"/>
  <c r="K471" i="2"/>
  <c r="G471" i="2"/>
  <c r="F471" i="2"/>
  <c r="E471" i="2"/>
  <c r="D471" i="2"/>
  <c r="C471" i="2"/>
  <c r="A471" i="2" s="1"/>
  <c r="Q470" i="2"/>
  <c r="P470" i="2"/>
  <c r="K470" i="2"/>
  <c r="G470" i="2"/>
  <c r="F470" i="2"/>
  <c r="E470" i="2"/>
  <c r="D470" i="2"/>
  <c r="C470" i="2"/>
  <c r="A470" i="2" s="1"/>
  <c r="Q469" i="2"/>
  <c r="P469" i="2"/>
  <c r="K469" i="2"/>
  <c r="G469" i="2"/>
  <c r="F469" i="2"/>
  <c r="E469" i="2"/>
  <c r="D469" i="2"/>
  <c r="C469" i="2"/>
  <c r="A469" i="2" s="1"/>
  <c r="Q468" i="2"/>
  <c r="P468" i="2"/>
  <c r="K468" i="2"/>
  <c r="G468" i="2"/>
  <c r="F468" i="2"/>
  <c r="E468" i="2"/>
  <c r="D468" i="2"/>
  <c r="C468" i="2"/>
  <c r="A468" i="2" s="1"/>
  <c r="Q467" i="2"/>
  <c r="P467" i="2"/>
  <c r="K467" i="2"/>
  <c r="G467" i="2"/>
  <c r="F467" i="2"/>
  <c r="E467" i="2"/>
  <c r="D467" i="2"/>
  <c r="C467" i="2"/>
  <c r="A467" i="2" s="1"/>
  <c r="Q466" i="2"/>
  <c r="P466" i="2"/>
  <c r="K466" i="2"/>
  <c r="G466" i="2"/>
  <c r="F466" i="2"/>
  <c r="E466" i="2"/>
  <c r="D466" i="2"/>
  <c r="C466" i="2"/>
  <c r="A466" i="2" s="1"/>
  <c r="Q465" i="2"/>
  <c r="P465" i="2"/>
  <c r="K465" i="2"/>
  <c r="G465" i="2"/>
  <c r="F465" i="2"/>
  <c r="E465" i="2"/>
  <c r="D465" i="2"/>
  <c r="C465" i="2"/>
  <c r="A465" i="2" s="1"/>
  <c r="Q464" i="2"/>
  <c r="P464" i="2"/>
  <c r="K464" i="2"/>
  <c r="G464" i="2"/>
  <c r="F464" i="2"/>
  <c r="E464" i="2"/>
  <c r="D464" i="2"/>
  <c r="C464" i="2"/>
  <c r="A464" i="2" s="1"/>
  <c r="Q463" i="2"/>
  <c r="P463" i="2"/>
  <c r="K463" i="2"/>
  <c r="G463" i="2"/>
  <c r="F463" i="2"/>
  <c r="E463" i="2"/>
  <c r="D463" i="2"/>
  <c r="C463" i="2"/>
  <c r="A463" i="2" s="1"/>
  <c r="Q462" i="2"/>
  <c r="P462" i="2"/>
  <c r="K462" i="2"/>
  <c r="G462" i="2"/>
  <c r="F462" i="2"/>
  <c r="E462" i="2"/>
  <c r="D462" i="2"/>
  <c r="C462" i="2"/>
  <c r="A462" i="2" s="1"/>
  <c r="Q461" i="2"/>
  <c r="P461" i="2"/>
  <c r="K461" i="2"/>
  <c r="G461" i="2"/>
  <c r="F461" i="2"/>
  <c r="E461" i="2"/>
  <c r="D461" i="2"/>
  <c r="C461" i="2"/>
  <c r="A461" i="2" s="1"/>
  <c r="Q460" i="2"/>
  <c r="P460" i="2"/>
  <c r="K460" i="2"/>
  <c r="G460" i="2"/>
  <c r="F460" i="2"/>
  <c r="E460" i="2"/>
  <c r="D460" i="2"/>
  <c r="C460" i="2"/>
  <c r="A460" i="2" s="1"/>
  <c r="Q459" i="2"/>
  <c r="P459" i="2"/>
  <c r="K459" i="2"/>
  <c r="G459" i="2"/>
  <c r="F459" i="2"/>
  <c r="E459" i="2"/>
  <c r="D459" i="2"/>
  <c r="C459" i="2"/>
  <c r="A459" i="2" s="1"/>
  <c r="Q458" i="2"/>
  <c r="P458" i="2"/>
  <c r="K458" i="2"/>
  <c r="G458" i="2"/>
  <c r="F458" i="2"/>
  <c r="E458" i="2"/>
  <c r="D458" i="2"/>
  <c r="C458" i="2"/>
  <c r="A458" i="2" s="1"/>
  <c r="Q457" i="2"/>
  <c r="P457" i="2"/>
  <c r="K457" i="2"/>
  <c r="G457" i="2"/>
  <c r="F457" i="2"/>
  <c r="E457" i="2"/>
  <c r="D457" i="2"/>
  <c r="C457" i="2"/>
  <c r="A457" i="2" s="1"/>
  <c r="Q456" i="2"/>
  <c r="P456" i="2"/>
  <c r="K456" i="2"/>
  <c r="G456" i="2"/>
  <c r="F456" i="2"/>
  <c r="E456" i="2"/>
  <c r="D456" i="2"/>
  <c r="C456" i="2"/>
  <c r="A456" i="2" s="1"/>
  <c r="Q455" i="2"/>
  <c r="P455" i="2"/>
  <c r="K455" i="2"/>
  <c r="G455" i="2"/>
  <c r="F455" i="2"/>
  <c r="E455" i="2"/>
  <c r="D455" i="2"/>
  <c r="C455" i="2"/>
  <c r="A455" i="2" s="1"/>
  <c r="Q454" i="2"/>
  <c r="P454" i="2"/>
  <c r="K454" i="2"/>
  <c r="G454" i="2"/>
  <c r="F454" i="2"/>
  <c r="E454" i="2"/>
  <c r="D454" i="2"/>
  <c r="C454" i="2"/>
  <c r="A454" i="2" s="1"/>
  <c r="Q453" i="2"/>
  <c r="P453" i="2"/>
  <c r="K453" i="2"/>
  <c r="G453" i="2"/>
  <c r="F453" i="2"/>
  <c r="E453" i="2"/>
  <c r="D453" i="2"/>
  <c r="C453" i="2"/>
  <c r="A453" i="2" s="1"/>
  <c r="Q452" i="2"/>
  <c r="P452" i="2"/>
  <c r="K452" i="2"/>
  <c r="G452" i="2"/>
  <c r="F452" i="2"/>
  <c r="E452" i="2"/>
  <c r="D452" i="2"/>
  <c r="C452" i="2"/>
  <c r="A452" i="2" s="1"/>
  <c r="Q451" i="2"/>
  <c r="P451" i="2"/>
  <c r="K451" i="2"/>
  <c r="G451" i="2"/>
  <c r="F451" i="2"/>
  <c r="E451" i="2"/>
  <c r="D451" i="2"/>
  <c r="C451" i="2"/>
  <c r="A451" i="2" s="1"/>
  <c r="Q450" i="2"/>
  <c r="P450" i="2"/>
  <c r="K450" i="2"/>
  <c r="G450" i="2"/>
  <c r="F450" i="2"/>
  <c r="E450" i="2"/>
  <c r="D450" i="2"/>
  <c r="C450" i="2"/>
  <c r="A450" i="2" s="1"/>
  <c r="Q449" i="2"/>
  <c r="P449" i="2"/>
  <c r="K449" i="2"/>
  <c r="G449" i="2"/>
  <c r="F449" i="2"/>
  <c r="E449" i="2"/>
  <c r="D449" i="2"/>
  <c r="C449" i="2"/>
  <c r="A449" i="2" s="1"/>
  <c r="Q448" i="2"/>
  <c r="P448" i="2"/>
  <c r="K448" i="2"/>
  <c r="G448" i="2"/>
  <c r="F448" i="2"/>
  <c r="E448" i="2"/>
  <c r="D448" i="2"/>
  <c r="C448" i="2"/>
  <c r="A448" i="2" s="1"/>
  <c r="Q447" i="2"/>
  <c r="P447" i="2"/>
  <c r="K447" i="2"/>
  <c r="G447" i="2"/>
  <c r="F447" i="2"/>
  <c r="E447" i="2"/>
  <c r="D447" i="2"/>
  <c r="C447" i="2"/>
  <c r="A447" i="2" s="1"/>
  <c r="Q446" i="2"/>
  <c r="P446" i="2"/>
  <c r="K446" i="2"/>
  <c r="G446" i="2"/>
  <c r="F446" i="2"/>
  <c r="E446" i="2"/>
  <c r="D446" i="2"/>
  <c r="C446" i="2"/>
  <c r="A446" i="2" s="1"/>
  <c r="Q445" i="2"/>
  <c r="P445" i="2"/>
  <c r="K445" i="2"/>
  <c r="G445" i="2"/>
  <c r="F445" i="2"/>
  <c r="E445" i="2"/>
  <c r="D445" i="2"/>
  <c r="C445" i="2"/>
  <c r="A445" i="2" s="1"/>
  <c r="Q444" i="2"/>
  <c r="P444" i="2"/>
  <c r="K444" i="2"/>
  <c r="G444" i="2"/>
  <c r="F444" i="2"/>
  <c r="E444" i="2"/>
  <c r="D444" i="2"/>
  <c r="C444" i="2"/>
  <c r="A444" i="2" s="1"/>
  <c r="Q443" i="2"/>
  <c r="P443" i="2"/>
  <c r="K443" i="2"/>
  <c r="G443" i="2"/>
  <c r="F443" i="2"/>
  <c r="E443" i="2"/>
  <c r="D443" i="2"/>
  <c r="C443" i="2"/>
  <c r="A443" i="2" s="1"/>
  <c r="Q442" i="2"/>
  <c r="P442" i="2"/>
  <c r="K442" i="2"/>
  <c r="G442" i="2"/>
  <c r="F442" i="2"/>
  <c r="E442" i="2"/>
  <c r="D442" i="2"/>
  <c r="C442" i="2"/>
  <c r="A442" i="2" s="1"/>
  <c r="Q441" i="2"/>
  <c r="P441" i="2"/>
  <c r="K441" i="2"/>
  <c r="G441" i="2"/>
  <c r="F441" i="2"/>
  <c r="E441" i="2"/>
  <c r="D441" i="2"/>
  <c r="C441" i="2"/>
  <c r="A441" i="2" s="1"/>
  <c r="Q440" i="2"/>
  <c r="P440" i="2"/>
  <c r="K440" i="2"/>
  <c r="G440" i="2"/>
  <c r="F440" i="2"/>
  <c r="E440" i="2"/>
  <c r="D440" i="2"/>
  <c r="C440" i="2"/>
  <c r="A440" i="2" s="1"/>
  <c r="Q439" i="2"/>
  <c r="P439" i="2"/>
  <c r="K439" i="2"/>
  <c r="G439" i="2"/>
  <c r="F439" i="2"/>
  <c r="E439" i="2"/>
  <c r="D439" i="2"/>
  <c r="C439" i="2"/>
  <c r="A439" i="2" s="1"/>
  <c r="Q438" i="2"/>
  <c r="P438" i="2"/>
  <c r="K438" i="2"/>
  <c r="G438" i="2"/>
  <c r="F438" i="2"/>
  <c r="E438" i="2"/>
  <c r="D438" i="2"/>
  <c r="C438" i="2"/>
  <c r="A438" i="2" s="1"/>
  <c r="Q437" i="2"/>
  <c r="P437" i="2"/>
  <c r="K437" i="2"/>
  <c r="G437" i="2"/>
  <c r="F437" i="2"/>
  <c r="E437" i="2"/>
  <c r="D437" i="2"/>
  <c r="C437" i="2"/>
  <c r="A437" i="2" s="1"/>
  <c r="Q436" i="2"/>
  <c r="P436" i="2"/>
  <c r="K436" i="2"/>
  <c r="G436" i="2"/>
  <c r="F436" i="2"/>
  <c r="E436" i="2"/>
  <c r="D436" i="2"/>
  <c r="C436" i="2"/>
  <c r="A436" i="2" s="1"/>
  <c r="Q435" i="2"/>
  <c r="P435" i="2"/>
  <c r="K435" i="2"/>
  <c r="G435" i="2"/>
  <c r="F435" i="2"/>
  <c r="E435" i="2"/>
  <c r="D435" i="2"/>
  <c r="C435" i="2"/>
  <c r="A435" i="2" s="1"/>
  <c r="Q434" i="2"/>
  <c r="P434" i="2"/>
  <c r="K434" i="2"/>
  <c r="G434" i="2"/>
  <c r="F434" i="2"/>
  <c r="E434" i="2"/>
  <c r="D434" i="2"/>
  <c r="C434" i="2"/>
  <c r="A434" i="2" s="1"/>
  <c r="Q433" i="2"/>
  <c r="P433" i="2"/>
  <c r="K433" i="2"/>
  <c r="G433" i="2"/>
  <c r="F433" i="2"/>
  <c r="E433" i="2"/>
  <c r="D433" i="2"/>
  <c r="C433" i="2"/>
  <c r="A433" i="2" s="1"/>
  <c r="Q432" i="2"/>
  <c r="P432" i="2"/>
  <c r="K432" i="2"/>
  <c r="G432" i="2"/>
  <c r="F432" i="2"/>
  <c r="E432" i="2"/>
  <c r="D432" i="2"/>
  <c r="C432" i="2"/>
  <c r="A432" i="2" s="1"/>
  <c r="Q431" i="2"/>
  <c r="P431" i="2"/>
  <c r="K431" i="2"/>
  <c r="G431" i="2"/>
  <c r="F431" i="2"/>
  <c r="E431" i="2"/>
  <c r="D431" i="2"/>
  <c r="C431" i="2"/>
  <c r="A431" i="2" s="1"/>
  <c r="Q430" i="2"/>
  <c r="P430" i="2"/>
  <c r="K430" i="2"/>
  <c r="G430" i="2"/>
  <c r="F430" i="2"/>
  <c r="E430" i="2"/>
  <c r="D430" i="2"/>
  <c r="C430" i="2"/>
  <c r="A430" i="2" s="1"/>
  <c r="Q429" i="2"/>
  <c r="P429" i="2"/>
  <c r="K429" i="2"/>
  <c r="G429" i="2"/>
  <c r="F429" i="2"/>
  <c r="E429" i="2"/>
  <c r="D429" i="2"/>
  <c r="C429" i="2"/>
  <c r="A429" i="2" s="1"/>
  <c r="Q428" i="2"/>
  <c r="P428" i="2"/>
  <c r="K428" i="2"/>
  <c r="G428" i="2"/>
  <c r="F428" i="2"/>
  <c r="E428" i="2"/>
  <c r="D428" i="2"/>
  <c r="C428" i="2"/>
  <c r="A428" i="2" s="1"/>
  <c r="Q427" i="2"/>
  <c r="P427" i="2"/>
  <c r="K427" i="2"/>
  <c r="G427" i="2"/>
  <c r="F427" i="2"/>
  <c r="E427" i="2"/>
  <c r="D427" i="2"/>
  <c r="C427" i="2"/>
  <c r="A427" i="2" s="1"/>
  <c r="Q426" i="2"/>
  <c r="P426" i="2"/>
  <c r="K426" i="2"/>
  <c r="G426" i="2"/>
  <c r="F426" i="2"/>
  <c r="E426" i="2"/>
  <c r="D426" i="2"/>
  <c r="C426" i="2"/>
  <c r="A426" i="2" s="1"/>
  <c r="Q425" i="2"/>
  <c r="P425" i="2"/>
  <c r="K425" i="2"/>
  <c r="G425" i="2"/>
  <c r="F425" i="2"/>
  <c r="E425" i="2"/>
  <c r="D425" i="2"/>
  <c r="C425" i="2"/>
  <c r="A425" i="2" s="1"/>
  <c r="Q424" i="2"/>
  <c r="P424" i="2"/>
  <c r="K424" i="2"/>
  <c r="G424" i="2"/>
  <c r="F424" i="2"/>
  <c r="E424" i="2"/>
  <c r="D424" i="2"/>
  <c r="C424" i="2"/>
  <c r="A424" i="2" s="1"/>
  <c r="Q423" i="2"/>
  <c r="P423" i="2"/>
  <c r="K423" i="2"/>
  <c r="G423" i="2"/>
  <c r="F423" i="2"/>
  <c r="E423" i="2"/>
  <c r="D423" i="2"/>
  <c r="C423" i="2"/>
  <c r="A423" i="2" s="1"/>
  <c r="Q422" i="2"/>
  <c r="P422" i="2"/>
  <c r="K422" i="2"/>
  <c r="G422" i="2"/>
  <c r="F422" i="2"/>
  <c r="E422" i="2"/>
  <c r="D422" i="2"/>
  <c r="C422" i="2"/>
  <c r="A422" i="2" s="1"/>
  <c r="Q421" i="2"/>
  <c r="P421" i="2"/>
  <c r="K421" i="2"/>
  <c r="G421" i="2"/>
  <c r="F421" i="2"/>
  <c r="E421" i="2"/>
  <c r="D421" i="2"/>
  <c r="C421" i="2"/>
  <c r="A421" i="2" s="1"/>
  <c r="Q420" i="2"/>
  <c r="P420" i="2"/>
  <c r="K420" i="2"/>
  <c r="G420" i="2"/>
  <c r="F420" i="2"/>
  <c r="E420" i="2"/>
  <c r="D420" i="2"/>
  <c r="C420" i="2"/>
  <c r="A420" i="2" s="1"/>
  <c r="Q419" i="2"/>
  <c r="P419" i="2"/>
  <c r="K419" i="2"/>
  <c r="G419" i="2"/>
  <c r="F419" i="2"/>
  <c r="E419" i="2"/>
  <c r="D419" i="2"/>
  <c r="C419" i="2"/>
  <c r="A419" i="2" s="1"/>
  <c r="Q418" i="2"/>
  <c r="P418" i="2"/>
  <c r="K418" i="2"/>
  <c r="G418" i="2"/>
  <c r="F418" i="2"/>
  <c r="E418" i="2"/>
  <c r="D418" i="2"/>
  <c r="C418" i="2"/>
  <c r="A418" i="2" s="1"/>
  <c r="Q417" i="2"/>
  <c r="P417" i="2"/>
  <c r="K417" i="2"/>
  <c r="G417" i="2"/>
  <c r="F417" i="2"/>
  <c r="E417" i="2"/>
  <c r="D417" i="2"/>
  <c r="C417" i="2"/>
  <c r="A417" i="2" s="1"/>
  <c r="Q416" i="2"/>
  <c r="P416" i="2"/>
  <c r="K416" i="2"/>
  <c r="G416" i="2"/>
  <c r="F416" i="2"/>
  <c r="E416" i="2"/>
  <c r="D416" i="2"/>
  <c r="C416" i="2"/>
  <c r="A416" i="2" s="1"/>
  <c r="Q415" i="2"/>
  <c r="P415" i="2"/>
  <c r="K415" i="2"/>
  <c r="G415" i="2"/>
  <c r="F415" i="2"/>
  <c r="E415" i="2"/>
  <c r="D415" i="2"/>
  <c r="C415" i="2"/>
  <c r="A415" i="2" s="1"/>
  <c r="Q414" i="2"/>
  <c r="P414" i="2"/>
  <c r="K414" i="2"/>
  <c r="G414" i="2"/>
  <c r="F414" i="2"/>
  <c r="E414" i="2"/>
  <c r="D414" i="2"/>
  <c r="C414" i="2"/>
  <c r="A414" i="2" s="1"/>
  <c r="Q413" i="2"/>
  <c r="P413" i="2"/>
  <c r="K413" i="2"/>
  <c r="G413" i="2"/>
  <c r="F413" i="2"/>
  <c r="E413" i="2"/>
  <c r="D413" i="2"/>
  <c r="C413" i="2"/>
  <c r="A413" i="2" s="1"/>
  <c r="Q412" i="2"/>
  <c r="P412" i="2"/>
  <c r="K412" i="2"/>
  <c r="G412" i="2"/>
  <c r="F412" i="2"/>
  <c r="E412" i="2"/>
  <c r="D412" i="2"/>
  <c r="C412" i="2"/>
  <c r="A412" i="2" s="1"/>
  <c r="Q411" i="2"/>
  <c r="P411" i="2"/>
  <c r="K411" i="2"/>
  <c r="G411" i="2"/>
  <c r="F411" i="2"/>
  <c r="E411" i="2"/>
  <c r="D411" i="2"/>
  <c r="C411" i="2"/>
  <c r="A411" i="2" s="1"/>
  <c r="Q410" i="2"/>
  <c r="P410" i="2"/>
  <c r="K410" i="2"/>
  <c r="G410" i="2"/>
  <c r="F410" i="2"/>
  <c r="E410" i="2"/>
  <c r="D410" i="2"/>
  <c r="C410" i="2"/>
  <c r="A410" i="2" s="1"/>
  <c r="Q409" i="2"/>
  <c r="P409" i="2"/>
  <c r="K409" i="2"/>
  <c r="G409" i="2"/>
  <c r="F409" i="2"/>
  <c r="E409" i="2"/>
  <c r="D409" i="2"/>
  <c r="C409" i="2"/>
  <c r="A409" i="2" s="1"/>
  <c r="Q408" i="2"/>
  <c r="P408" i="2"/>
  <c r="K408" i="2"/>
  <c r="G408" i="2"/>
  <c r="F408" i="2"/>
  <c r="E408" i="2"/>
  <c r="D408" i="2"/>
  <c r="C408" i="2"/>
  <c r="A408" i="2" s="1"/>
  <c r="Q407" i="2"/>
  <c r="P407" i="2"/>
  <c r="K407" i="2"/>
  <c r="G407" i="2"/>
  <c r="F407" i="2"/>
  <c r="E407" i="2"/>
  <c r="D407" i="2"/>
  <c r="C407" i="2"/>
  <c r="A407" i="2" s="1"/>
  <c r="Q406" i="2"/>
  <c r="P406" i="2"/>
  <c r="K406" i="2"/>
  <c r="G406" i="2"/>
  <c r="F406" i="2"/>
  <c r="E406" i="2"/>
  <c r="D406" i="2"/>
  <c r="C406" i="2"/>
  <c r="A406" i="2" s="1"/>
  <c r="Q405" i="2"/>
  <c r="P405" i="2"/>
  <c r="K405" i="2"/>
  <c r="G405" i="2"/>
  <c r="F405" i="2"/>
  <c r="E405" i="2"/>
  <c r="D405" i="2"/>
  <c r="C405" i="2"/>
  <c r="A405" i="2" s="1"/>
  <c r="Q404" i="2"/>
  <c r="P404" i="2"/>
  <c r="K404" i="2"/>
  <c r="G404" i="2"/>
  <c r="F404" i="2"/>
  <c r="E404" i="2"/>
  <c r="D404" i="2"/>
  <c r="C404" i="2"/>
  <c r="A404" i="2" s="1"/>
  <c r="Q403" i="2"/>
  <c r="P403" i="2"/>
  <c r="K403" i="2"/>
  <c r="G403" i="2"/>
  <c r="F403" i="2"/>
  <c r="E403" i="2"/>
  <c r="D403" i="2"/>
  <c r="C403" i="2"/>
  <c r="A403" i="2" s="1"/>
  <c r="Q402" i="2"/>
  <c r="P402" i="2"/>
  <c r="K402" i="2"/>
  <c r="G402" i="2"/>
  <c r="F402" i="2"/>
  <c r="E402" i="2"/>
  <c r="D402" i="2"/>
  <c r="C402" i="2"/>
  <c r="A402" i="2" s="1"/>
  <c r="Q401" i="2"/>
  <c r="P401" i="2"/>
  <c r="K401" i="2"/>
  <c r="G401" i="2"/>
  <c r="F401" i="2"/>
  <c r="E401" i="2"/>
  <c r="D401" i="2"/>
  <c r="C401" i="2"/>
  <c r="A401" i="2" s="1"/>
  <c r="Q400" i="2"/>
  <c r="P400" i="2"/>
  <c r="K400" i="2"/>
  <c r="G400" i="2"/>
  <c r="F400" i="2"/>
  <c r="E400" i="2"/>
  <c r="D400" i="2"/>
  <c r="C400" i="2"/>
  <c r="A400" i="2" s="1"/>
  <c r="Q399" i="2"/>
  <c r="P399" i="2"/>
  <c r="K399" i="2"/>
  <c r="G399" i="2"/>
  <c r="F399" i="2"/>
  <c r="E399" i="2"/>
  <c r="D399" i="2"/>
  <c r="C399" i="2"/>
  <c r="A399" i="2" s="1"/>
  <c r="Q398" i="2"/>
  <c r="P398" i="2"/>
  <c r="K398" i="2"/>
  <c r="G398" i="2"/>
  <c r="F398" i="2"/>
  <c r="E398" i="2"/>
  <c r="D398" i="2"/>
  <c r="C398" i="2"/>
  <c r="A398" i="2" s="1"/>
  <c r="Q397" i="2"/>
  <c r="P397" i="2"/>
  <c r="K397" i="2"/>
  <c r="G397" i="2"/>
  <c r="F397" i="2"/>
  <c r="E397" i="2"/>
  <c r="D397" i="2"/>
  <c r="C397" i="2"/>
  <c r="A397" i="2" s="1"/>
  <c r="Q396" i="2"/>
  <c r="P396" i="2"/>
  <c r="K396" i="2"/>
  <c r="G396" i="2"/>
  <c r="F396" i="2"/>
  <c r="E396" i="2"/>
  <c r="D396" i="2"/>
  <c r="C396" i="2"/>
  <c r="A396" i="2" s="1"/>
  <c r="Q395" i="2"/>
  <c r="P395" i="2"/>
  <c r="K395" i="2"/>
  <c r="G395" i="2"/>
  <c r="F395" i="2"/>
  <c r="E395" i="2"/>
  <c r="D395" i="2"/>
  <c r="C395" i="2"/>
  <c r="A395" i="2" s="1"/>
  <c r="Q394" i="2"/>
  <c r="P394" i="2"/>
  <c r="K394" i="2"/>
  <c r="G394" i="2"/>
  <c r="F394" i="2"/>
  <c r="E394" i="2"/>
  <c r="D394" i="2"/>
  <c r="C394" i="2"/>
  <c r="A394" i="2" s="1"/>
  <c r="Q393" i="2"/>
  <c r="P393" i="2"/>
  <c r="K393" i="2"/>
  <c r="G393" i="2"/>
  <c r="F393" i="2"/>
  <c r="E393" i="2"/>
  <c r="D393" i="2"/>
  <c r="C393" i="2"/>
  <c r="A393" i="2" s="1"/>
  <c r="Q392" i="2"/>
  <c r="P392" i="2"/>
  <c r="K392" i="2"/>
  <c r="G392" i="2"/>
  <c r="F392" i="2"/>
  <c r="E392" i="2"/>
  <c r="D392" i="2"/>
  <c r="C392" i="2"/>
  <c r="A392" i="2" s="1"/>
  <c r="Q391" i="2"/>
  <c r="P391" i="2"/>
  <c r="K391" i="2"/>
  <c r="G391" i="2"/>
  <c r="F391" i="2"/>
  <c r="E391" i="2"/>
  <c r="D391" i="2"/>
  <c r="C391" i="2"/>
  <c r="A391" i="2" s="1"/>
  <c r="Q390" i="2"/>
  <c r="P390" i="2"/>
  <c r="K390" i="2"/>
  <c r="G390" i="2"/>
  <c r="F390" i="2"/>
  <c r="E390" i="2"/>
  <c r="D390" i="2"/>
  <c r="C390" i="2"/>
  <c r="A390" i="2" s="1"/>
  <c r="Q389" i="2"/>
  <c r="P389" i="2"/>
  <c r="K389" i="2"/>
  <c r="G389" i="2"/>
  <c r="F389" i="2"/>
  <c r="E389" i="2"/>
  <c r="D389" i="2"/>
  <c r="C389" i="2"/>
  <c r="A389" i="2" s="1"/>
  <c r="Q388" i="2"/>
  <c r="P388" i="2"/>
  <c r="K388" i="2"/>
  <c r="G388" i="2"/>
  <c r="F388" i="2"/>
  <c r="E388" i="2"/>
  <c r="D388" i="2"/>
  <c r="C388" i="2"/>
  <c r="A388" i="2" s="1"/>
  <c r="Q387" i="2"/>
  <c r="P387" i="2"/>
  <c r="K387" i="2"/>
  <c r="G387" i="2"/>
  <c r="F387" i="2"/>
  <c r="E387" i="2"/>
  <c r="D387" i="2"/>
  <c r="C387" i="2"/>
  <c r="A387" i="2" s="1"/>
  <c r="Q386" i="2"/>
  <c r="P386" i="2"/>
  <c r="K386" i="2"/>
  <c r="G386" i="2"/>
  <c r="F386" i="2"/>
  <c r="E386" i="2"/>
  <c r="D386" i="2"/>
  <c r="C386" i="2"/>
  <c r="A386" i="2" s="1"/>
  <c r="Q385" i="2"/>
  <c r="P385" i="2"/>
  <c r="K385" i="2"/>
  <c r="G385" i="2"/>
  <c r="F385" i="2"/>
  <c r="E385" i="2"/>
  <c r="D385" i="2"/>
  <c r="C385" i="2"/>
  <c r="A385" i="2" s="1"/>
  <c r="Q384" i="2"/>
  <c r="P384" i="2"/>
  <c r="K384" i="2"/>
  <c r="G384" i="2"/>
  <c r="F384" i="2"/>
  <c r="E384" i="2"/>
  <c r="D384" i="2"/>
  <c r="C384" i="2"/>
  <c r="A384" i="2" s="1"/>
  <c r="Q383" i="2"/>
  <c r="P383" i="2"/>
  <c r="K383" i="2"/>
  <c r="G383" i="2"/>
  <c r="F383" i="2"/>
  <c r="E383" i="2"/>
  <c r="D383" i="2"/>
  <c r="C383" i="2"/>
  <c r="A383" i="2" s="1"/>
  <c r="Q382" i="2"/>
  <c r="P382" i="2"/>
  <c r="K382" i="2"/>
  <c r="G382" i="2"/>
  <c r="F382" i="2"/>
  <c r="E382" i="2"/>
  <c r="D382" i="2"/>
  <c r="C382" i="2"/>
  <c r="A382" i="2" s="1"/>
  <c r="Q381" i="2"/>
  <c r="P381" i="2"/>
  <c r="K381" i="2"/>
  <c r="G381" i="2"/>
  <c r="F381" i="2"/>
  <c r="E381" i="2"/>
  <c r="D381" i="2"/>
  <c r="C381" i="2"/>
  <c r="A381" i="2" s="1"/>
  <c r="Q380" i="2"/>
  <c r="P380" i="2"/>
  <c r="K380" i="2"/>
  <c r="G380" i="2"/>
  <c r="F380" i="2"/>
  <c r="E380" i="2"/>
  <c r="D380" i="2"/>
  <c r="C380" i="2"/>
  <c r="A380" i="2" s="1"/>
  <c r="Q379" i="2"/>
  <c r="P379" i="2"/>
  <c r="K379" i="2"/>
  <c r="G379" i="2"/>
  <c r="F379" i="2"/>
  <c r="E379" i="2"/>
  <c r="D379" i="2"/>
  <c r="C379" i="2"/>
  <c r="A379" i="2" s="1"/>
  <c r="Q378" i="2"/>
  <c r="P378" i="2"/>
  <c r="K378" i="2"/>
  <c r="G378" i="2"/>
  <c r="F378" i="2"/>
  <c r="E378" i="2"/>
  <c r="D378" i="2"/>
  <c r="C378" i="2"/>
  <c r="A378" i="2" s="1"/>
  <c r="Q377" i="2"/>
  <c r="P377" i="2"/>
  <c r="K377" i="2"/>
  <c r="G377" i="2"/>
  <c r="F377" i="2"/>
  <c r="E377" i="2"/>
  <c r="D377" i="2"/>
  <c r="C377" i="2"/>
  <c r="A377" i="2" s="1"/>
  <c r="Q376" i="2"/>
  <c r="P376" i="2"/>
  <c r="K376" i="2"/>
  <c r="G376" i="2"/>
  <c r="F376" i="2"/>
  <c r="E376" i="2"/>
  <c r="D376" i="2"/>
  <c r="C376" i="2"/>
  <c r="A376" i="2" s="1"/>
  <c r="Q375" i="2"/>
  <c r="P375" i="2"/>
  <c r="K375" i="2"/>
  <c r="G375" i="2"/>
  <c r="F375" i="2"/>
  <c r="E375" i="2"/>
  <c r="D375" i="2"/>
  <c r="C375" i="2"/>
  <c r="A375" i="2" s="1"/>
  <c r="Q374" i="2"/>
  <c r="P374" i="2"/>
  <c r="K374" i="2"/>
  <c r="G374" i="2"/>
  <c r="F374" i="2"/>
  <c r="E374" i="2"/>
  <c r="D374" i="2"/>
  <c r="C374" i="2"/>
  <c r="A374" i="2" s="1"/>
  <c r="Q373" i="2"/>
  <c r="P373" i="2"/>
  <c r="K373" i="2"/>
  <c r="G373" i="2"/>
  <c r="F373" i="2"/>
  <c r="E373" i="2"/>
  <c r="D373" i="2"/>
  <c r="C373" i="2"/>
  <c r="A373" i="2" s="1"/>
  <c r="Q372" i="2"/>
  <c r="P372" i="2"/>
  <c r="K372" i="2"/>
  <c r="G372" i="2"/>
  <c r="F372" i="2"/>
  <c r="E372" i="2"/>
  <c r="D372" i="2"/>
  <c r="C372" i="2"/>
  <c r="A372" i="2" s="1"/>
  <c r="Q371" i="2"/>
  <c r="P371" i="2"/>
  <c r="K371" i="2"/>
  <c r="G371" i="2"/>
  <c r="F371" i="2"/>
  <c r="E371" i="2"/>
  <c r="D371" i="2"/>
  <c r="C371" i="2"/>
  <c r="A371" i="2" s="1"/>
  <c r="Q370" i="2"/>
  <c r="P370" i="2"/>
  <c r="K370" i="2"/>
  <c r="G370" i="2"/>
  <c r="F370" i="2"/>
  <c r="E370" i="2"/>
  <c r="D370" i="2"/>
  <c r="C370" i="2"/>
  <c r="A370" i="2" s="1"/>
  <c r="Q369" i="2"/>
  <c r="P369" i="2"/>
  <c r="K369" i="2"/>
  <c r="G369" i="2"/>
  <c r="F369" i="2"/>
  <c r="E369" i="2"/>
  <c r="D369" i="2"/>
  <c r="C369" i="2"/>
  <c r="A369" i="2" s="1"/>
  <c r="Q368" i="2"/>
  <c r="P368" i="2"/>
  <c r="K368" i="2"/>
  <c r="G368" i="2"/>
  <c r="F368" i="2"/>
  <c r="E368" i="2"/>
  <c r="D368" i="2"/>
  <c r="C368" i="2"/>
  <c r="A368" i="2" s="1"/>
  <c r="Q367" i="2"/>
  <c r="P367" i="2"/>
  <c r="K367" i="2"/>
  <c r="G367" i="2"/>
  <c r="F367" i="2"/>
  <c r="E367" i="2"/>
  <c r="D367" i="2"/>
  <c r="C367" i="2"/>
  <c r="A367" i="2" s="1"/>
  <c r="Q366" i="2"/>
  <c r="P366" i="2"/>
  <c r="K366" i="2"/>
  <c r="G366" i="2"/>
  <c r="F366" i="2"/>
  <c r="E366" i="2"/>
  <c r="D366" i="2"/>
  <c r="C366" i="2"/>
  <c r="A366" i="2" s="1"/>
  <c r="Q365" i="2"/>
  <c r="P365" i="2"/>
  <c r="K365" i="2"/>
  <c r="G365" i="2"/>
  <c r="F365" i="2"/>
  <c r="E365" i="2"/>
  <c r="D365" i="2"/>
  <c r="C365" i="2"/>
  <c r="A365" i="2" s="1"/>
  <c r="Q364" i="2"/>
  <c r="P364" i="2"/>
  <c r="K364" i="2"/>
  <c r="G364" i="2"/>
  <c r="F364" i="2"/>
  <c r="E364" i="2"/>
  <c r="D364" i="2"/>
  <c r="C364" i="2"/>
  <c r="A364" i="2" s="1"/>
  <c r="Q363" i="2"/>
  <c r="P363" i="2"/>
  <c r="K363" i="2"/>
  <c r="G363" i="2"/>
  <c r="F363" i="2"/>
  <c r="E363" i="2"/>
  <c r="D363" i="2"/>
  <c r="C363" i="2"/>
  <c r="A363" i="2" s="1"/>
  <c r="Q362" i="2"/>
  <c r="P362" i="2"/>
  <c r="K362" i="2"/>
  <c r="G362" i="2"/>
  <c r="F362" i="2"/>
  <c r="E362" i="2"/>
  <c r="D362" i="2"/>
  <c r="C362" i="2"/>
  <c r="A362" i="2" s="1"/>
  <c r="Q361" i="2"/>
  <c r="P361" i="2"/>
  <c r="K361" i="2"/>
  <c r="G361" i="2"/>
  <c r="F361" i="2"/>
  <c r="E361" i="2"/>
  <c r="D361" i="2"/>
  <c r="C361" i="2"/>
  <c r="A361" i="2" s="1"/>
  <c r="Q360" i="2"/>
  <c r="P360" i="2"/>
  <c r="K360" i="2"/>
  <c r="G360" i="2"/>
  <c r="F360" i="2"/>
  <c r="E360" i="2"/>
  <c r="D360" i="2"/>
  <c r="C360" i="2"/>
  <c r="A360" i="2" s="1"/>
  <c r="Q359" i="2"/>
  <c r="P359" i="2"/>
  <c r="K359" i="2"/>
  <c r="G359" i="2"/>
  <c r="F359" i="2"/>
  <c r="E359" i="2"/>
  <c r="D359" i="2"/>
  <c r="C359" i="2"/>
  <c r="A359" i="2" s="1"/>
  <c r="Q358" i="2"/>
  <c r="P358" i="2"/>
  <c r="K358" i="2"/>
  <c r="G358" i="2"/>
  <c r="F358" i="2"/>
  <c r="E358" i="2"/>
  <c r="D358" i="2"/>
  <c r="C358" i="2"/>
  <c r="A358" i="2" s="1"/>
  <c r="Q357" i="2"/>
  <c r="P357" i="2"/>
  <c r="K357" i="2"/>
  <c r="G357" i="2"/>
  <c r="F357" i="2"/>
  <c r="E357" i="2"/>
  <c r="D357" i="2"/>
  <c r="C357" i="2"/>
  <c r="A357" i="2" s="1"/>
  <c r="Q356" i="2"/>
  <c r="P356" i="2"/>
  <c r="K356" i="2"/>
  <c r="G356" i="2"/>
  <c r="F356" i="2"/>
  <c r="E356" i="2"/>
  <c r="D356" i="2"/>
  <c r="C356" i="2"/>
  <c r="A356" i="2" s="1"/>
  <c r="Q355" i="2"/>
  <c r="P355" i="2"/>
  <c r="K355" i="2"/>
  <c r="G355" i="2"/>
  <c r="F355" i="2"/>
  <c r="E355" i="2"/>
  <c r="D355" i="2"/>
  <c r="C355" i="2"/>
  <c r="A355" i="2" s="1"/>
  <c r="Q354" i="2"/>
  <c r="P354" i="2"/>
  <c r="K354" i="2"/>
  <c r="G354" i="2"/>
  <c r="F354" i="2"/>
  <c r="E354" i="2"/>
  <c r="D354" i="2"/>
  <c r="C354" i="2"/>
  <c r="A354" i="2" s="1"/>
  <c r="Q353" i="2"/>
  <c r="P353" i="2"/>
  <c r="K353" i="2"/>
  <c r="G353" i="2"/>
  <c r="F353" i="2"/>
  <c r="E353" i="2"/>
  <c r="D353" i="2"/>
  <c r="C353" i="2"/>
  <c r="A353" i="2" s="1"/>
  <c r="Q352" i="2"/>
  <c r="P352" i="2"/>
  <c r="K352" i="2"/>
  <c r="G352" i="2"/>
  <c r="F352" i="2"/>
  <c r="E352" i="2"/>
  <c r="D352" i="2"/>
  <c r="C352" i="2"/>
  <c r="A352" i="2" s="1"/>
  <c r="Q351" i="2"/>
  <c r="P351" i="2"/>
  <c r="K351" i="2"/>
  <c r="G351" i="2"/>
  <c r="F351" i="2"/>
  <c r="E351" i="2"/>
  <c r="D351" i="2"/>
  <c r="C351" i="2"/>
  <c r="A351" i="2" s="1"/>
  <c r="Q350" i="2"/>
  <c r="P350" i="2"/>
  <c r="K350" i="2"/>
  <c r="G350" i="2"/>
  <c r="F350" i="2"/>
  <c r="E350" i="2"/>
  <c r="D350" i="2"/>
  <c r="C350" i="2"/>
  <c r="A350" i="2" s="1"/>
  <c r="Q349" i="2"/>
  <c r="P349" i="2"/>
  <c r="K349" i="2"/>
  <c r="G349" i="2"/>
  <c r="F349" i="2"/>
  <c r="E349" i="2"/>
  <c r="D349" i="2"/>
  <c r="C349" i="2"/>
  <c r="A349" i="2" s="1"/>
  <c r="Q348" i="2"/>
  <c r="P348" i="2"/>
  <c r="K348" i="2"/>
  <c r="G348" i="2"/>
  <c r="F348" i="2"/>
  <c r="E348" i="2"/>
  <c r="D348" i="2"/>
  <c r="C348" i="2"/>
  <c r="A348" i="2" s="1"/>
  <c r="Q347" i="2"/>
  <c r="P347" i="2"/>
  <c r="K347" i="2"/>
  <c r="G347" i="2"/>
  <c r="F347" i="2"/>
  <c r="E347" i="2"/>
  <c r="D347" i="2"/>
  <c r="C347" i="2"/>
  <c r="A347" i="2" s="1"/>
  <c r="Q346" i="2"/>
  <c r="P346" i="2"/>
  <c r="K346" i="2"/>
  <c r="G346" i="2"/>
  <c r="F346" i="2"/>
  <c r="E346" i="2"/>
  <c r="D346" i="2"/>
  <c r="C346" i="2"/>
  <c r="A346" i="2" s="1"/>
  <c r="Q345" i="2"/>
  <c r="P345" i="2"/>
  <c r="K345" i="2"/>
  <c r="G345" i="2"/>
  <c r="F345" i="2"/>
  <c r="E345" i="2"/>
  <c r="D345" i="2"/>
  <c r="C345" i="2"/>
  <c r="A345" i="2" s="1"/>
  <c r="Q344" i="2"/>
  <c r="P344" i="2"/>
  <c r="K344" i="2"/>
  <c r="G344" i="2"/>
  <c r="F344" i="2"/>
  <c r="E344" i="2"/>
  <c r="D344" i="2"/>
  <c r="C344" i="2"/>
  <c r="A344" i="2" s="1"/>
  <c r="Q343" i="2"/>
  <c r="P343" i="2"/>
  <c r="K343" i="2"/>
  <c r="G343" i="2"/>
  <c r="F343" i="2"/>
  <c r="E343" i="2"/>
  <c r="D343" i="2"/>
  <c r="C343" i="2"/>
  <c r="A343" i="2" s="1"/>
  <c r="Q342" i="2"/>
  <c r="P342" i="2"/>
  <c r="K342" i="2"/>
  <c r="G342" i="2"/>
  <c r="F342" i="2"/>
  <c r="E342" i="2"/>
  <c r="D342" i="2"/>
  <c r="C342" i="2"/>
  <c r="A342" i="2" s="1"/>
  <c r="Q341" i="2"/>
  <c r="P341" i="2"/>
  <c r="K341" i="2"/>
  <c r="G341" i="2"/>
  <c r="F341" i="2"/>
  <c r="E341" i="2"/>
  <c r="D341" i="2"/>
  <c r="C341" i="2"/>
  <c r="A341" i="2" s="1"/>
  <c r="Q340" i="2"/>
  <c r="P340" i="2"/>
  <c r="K340" i="2"/>
  <c r="G340" i="2"/>
  <c r="F340" i="2"/>
  <c r="E340" i="2"/>
  <c r="D340" i="2"/>
  <c r="C340" i="2"/>
  <c r="A340" i="2" s="1"/>
  <c r="Q339" i="2"/>
  <c r="P339" i="2"/>
  <c r="K339" i="2"/>
  <c r="G339" i="2"/>
  <c r="F339" i="2"/>
  <c r="E339" i="2"/>
  <c r="D339" i="2"/>
  <c r="C339" i="2"/>
  <c r="A339" i="2" s="1"/>
  <c r="Q338" i="2"/>
  <c r="P338" i="2"/>
  <c r="K338" i="2"/>
  <c r="G338" i="2"/>
  <c r="F338" i="2"/>
  <c r="E338" i="2"/>
  <c r="D338" i="2"/>
  <c r="C338" i="2"/>
  <c r="A338" i="2" s="1"/>
  <c r="Q337" i="2"/>
  <c r="P337" i="2"/>
  <c r="K337" i="2"/>
  <c r="G337" i="2"/>
  <c r="F337" i="2"/>
  <c r="E337" i="2"/>
  <c r="D337" i="2"/>
  <c r="C337" i="2"/>
  <c r="A337" i="2" s="1"/>
  <c r="Q336" i="2"/>
  <c r="P336" i="2"/>
  <c r="K336" i="2"/>
  <c r="G336" i="2"/>
  <c r="F336" i="2"/>
  <c r="E336" i="2"/>
  <c r="D336" i="2"/>
  <c r="C336" i="2"/>
  <c r="A336" i="2" s="1"/>
  <c r="Q335" i="2"/>
  <c r="P335" i="2"/>
  <c r="K335" i="2"/>
  <c r="G335" i="2"/>
  <c r="F335" i="2"/>
  <c r="E335" i="2"/>
  <c r="D335" i="2"/>
  <c r="C335" i="2"/>
  <c r="A335" i="2" s="1"/>
  <c r="Q334" i="2"/>
  <c r="P334" i="2"/>
  <c r="K334" i="2"/>
  <c r="G334" i="2"/>
  <c r="F334" i="2"/>
  <c r="E334" i="2"/>
  <c r="D334" i="2"/>
  <c r="C334" i="2"/>
  <c r="A334" i="2" s="1"/>
  <c r="Q333" i="2"/>
  <c r="P333" i="2"/>
  <c r="K333" i="2"/>
  <c r="G333" i="2"/>
  <c r="F333" i="2"/>
  <c r="E333" i="2"/>
  <c r="D333" i="2"/>
  <c r="C333" i="2"/>
  <c r="A333" i="2" s="1"/>
  <c r="Q332" i="2"/>
  <c r="P332" i="2"/>
  <c r="K332" i="2"/>
  <c r="G332" i="2"/>
  <c r="F332" i="2"/>
  <c r="E332" i="2"/>
  <c r="D332" i="2"/>
  <c r="C332" i="2"/>
  <c r="A332" i="2" s="1"/>
  <c r="Q331" i="2"/>
  <c r="P331" i="2"/>
  <c r="K331" i="2"/>
  <c r="G331" i="2"/>
  <c r="F331" i="2"/>
  <c r="E331" i="2"/>
  <c r="D331" i="2"/>
  <c r="C331" i="2"/>
  <c r="A331" i="2" s="1"/>
  <c r="Q330" i="2"/>
  <c r="P330" i="2"/>
  <c r="K330" i="2"/>
  <c r="G330" i="2"/>
  <c r="F330" i="2"/>
  <c r="E330" i="2"/>
  <c r="D330" i="2"/>
  <c r="C330" i="2"/>
  <c r="A330" i="2" s="1"/>
  <c r="Q329" i="2"/>
  <c r="P329" i="2"/>
  <c r="K329" i="2"/>
  <c r="G329" i="2"/>
  <c r="F329" i="2"/>
  <c r="E329" i="2"/>
  <c r="D329" i="2"/>
  <c r="C329" i="2"/>
  <c r="A329" i="2" s="1"/>
  <c r="Q328" i="2"/>
  <c r="P328" i="2"/>
  <c r="K328" i="2"/>
  <c r="G328" i="2"/>
  <c r="F328" i="2"/>
  <c r="E328" i="2"/>
  <c r="D328" i="2"/>
  <c r="C328" i="2"/>
  <c r="A328" i="2" s="1"/>
  <c r="Q327" i="2"/>
  <c r="P327" i="2"/>
  <c r="K327" i="2"/>
  <c r="G327" i="2"/>
  <c r="F327" i="2"/>
  <c r="E327" i="2"/>
  <c r="D327" i="2"/>
  <c r="C327" i="2"/>
  <c r="A327" i="2" s="1"/>
  <c r="Q326" i="2"/>
  <c r="P326" i="2"/>
  <c r="K326" i="2"/>
  <c r="G326" i="2"/>
  <c r="F326" i="2"/>
  <c r="E326" i="2"/>
  <c r="D326" i="2"/>
  <c r="C326" i="2"/>
  <c r="A326" i="2" s="1"/>
  <c r="Q325" i="2"/>
  <c r="P325" i="2"/>
  <c r="K325" i="2"/>
  <c r="G325" i="2"/>
  <c r="F325" i="2"/>
  <c r="E325" i="2"/>
  <c r="D325" i="2"/>
  <c r="C325" i="2"/>
  <c r="A325" i="2" s="1"/>
  <c r="Q324" i="2"/>
  <c r="P324" i="2"/>
  <c r="K324" i="2"/>
  <c r="G324" i="2"/>
  <c r="F324" i="2"/>
  <c r="E324" i="2"/>
  <c r="D324" i="2"/>
  <c r="C324" i="2"/>
  <c r="A324" i="2" s="1"/>
  <c r="Q323" i="2"/>
  <c r="P323" i="2"/>
  <c r="K323" i="2"/>
  <c r="G323" i="2"/>
  <c r="F323" i="2"/>
  <c r="E323" i="2"/>
  <c r="D323" i="2"/>
  <c r="C323" i="2"/>
  <c r="A323" i="2" s="1"/>
  <c r="Q322" i="2"/>
  <c r="P322" i="2"/>
  <c r="K322" i="2"/>
  <c r="G322" i="2"/>
  <c r="F322" i="2"/>
  <c r="E322" i="2"/>
  <c r="D322" i="2"/>
  <c r="C322" i="2"/>
  <c r="A322" i="2" s="1"/>
  <c r="Q321" i="2"/>
  <c r="P321" i="2"/>
  <c r="K321" i="2"/>
  <c r="G321" i="2"/>
  <c r="F321" i="2"/>
  <c r="E321" i="2"/>
  <c r="D321" i="2"/>
  <c r="C321" i="2"/>
  <c r="A321" i="2" s="1"/>
  <c r="Q320" i="2"/>
  <c r="P320" i="2"/>
  <c r="K320" i="2"/>
  <c r="G320" i="2"/>
  <c r="F320" i="2"/>
  <c r="E320" i="2"/>
  <c r="D320" i="2"/>
  <c r="C320" i="2"/>
  <c r="A320" i="2" s="1"/>
  <c r="Q319" i="2"/>
  <c r="P319" i="2"/>
  <c r="K319" i="2"/>
  <c r="G319" i="2"/>
  <c r="F319" i="2"/>
  <c r="E319" i="2"/>
  <c r="D319" i="2"/>
  <c r="C319" i="2"/>
  <c r="A319" i="2" s="1"/>
  <c r="Q318" i="2"/>
  <c r="P318" i="2"/>
  <c r="K318" i="2"/>
  <c r="G318" i="2"/>
  <c r="F318" i="2"/>
  <c r="E318" i="2"/>
  <c r="D318" i="2"/>
  <c r="C318" i="2"/>
  <c r="A318" i="2" s="1"/>
  <c r="Q317" i="2"/>
  <c r="P317" i="2"/>
  <c r="K317" i="2"/>
  <c r="G317" i="2"/>
  <c r="F317" i="2"/>
  <c r="E317" i="2"/>
  <c r="D317" i="2"/>
  <c r="C317" i="2"/>
  <c r="A317" i="2" s="1"/>
  <c r="Q316" i="2"/>
  <c r="P316" i="2"/>
  <c r="K316" i="2"/>
  <c r="G316" i="2"/>
  <c r="F316" i="2"/>
  <c r="E316" i="2"/>
  <c r="D316" i="2"/>
  <c r="C316" i="2"/>
  <c r="A316" i="2" s="1"/>
  <c r="Q315" i="2"/>
  <c r="P315" i="2"/>
  <c r="K315" i="2"/>
  <c r="G315" i="2"/>
  <c r="F315" i="2"/>
  <c r="E315" i="2"/>
  <c r="D315" i="2"/>
  <c r="C315" i="2"/>
  <c r="A315" i="2" s="1"/>
  <c r="Q314" i="2"/>
  <c r="P314" i="2"/>
  <c r="K314" i="2"/>
  <c r="G314" i="2"/>
  <c r="F314" i="2"/>
  <c r="E314" i="2"/>
  <c r="D314" i="2"/>
  <c r="C314" i="2"/>
  <c r="A314" i="2" s="1"/>
  <c r="Q313" i="2"/>
  <c r="P313" i="2"/>
  <c r="K313" i="2"/>
  <c r="G313" i="2"/>
  <c r="F313" i="2"/>
  <c r="E313" i="2"/>
  <c r="D313" i="2"/>
  <c r="C313" i="2"/>
  <c r="A313" i="2" s="1"/>
  <c r="Q312" i="2"/>
  <c r="P312" i="2"/>
  <c r="K312" i="2"/>
  <c r="G312" i="2"/>
  <c r="F312" i="2"/>
  <c r="E312" i="2"/>
  <c r="D312" i="2"/>
  <c r="C312" i="2"/>
  <c r="A312" i="2" s="1"/>
  <c r="Q311" i="2"/>
  <c r="P311" i="2"/>
  <c r="K311" i="2"/>
  <c r="G311" i="2"/>
  <c r="F311" i="2"/>
  <c r="E311" i="2"/>
  <c r="D311" i="2"/>
  <c r="C311" i="2"/>
  <c r="A311" i="2" s="1"/>
  <c r="Q310" i="2"/>
  <c r="P310" i="2"/>
  <c r="K310" i="2"/>
  <c r="G310" i="2"/>
  <c r="F310" i="2"/>
  <c r="E310" i="2"/>
  <c r="D310" i="2"/>
  <c r="C310" i="2"/>
  <c r="A310" i="2" s="1"/>
  <c r="Q309" i="2"/>
  <c r="P309" i="2"/>
  <c r="K309" i="2"/>
  <c r="G309" i="2"/>
  <c r="F309" i="2"/>
  <c r="E309" i="2"/>
  <c r="D309" i="2"/>
  <c r="C309" i="2"/>
  <c r="A309" i="2" s="1"/>
  <c r="Q308" i="2"/>
  <c r="P308" i="2"/>
  <c r="K308" i="2"/>
  <c r="G308" i="2"/>
  <c r="F308" i="2"/>
  <c r="E308" i="2"/>
  <c r="D308" i="2"/>
  <c r="C308" i="2"/>
  <c r="A308" i="2" s="1"/>
  <c r="Q307" i="2"/>
  <c r="P307" i="2"/>
  <c r="K307" i="2"/>
  <c r="G307" i="2"/>
  <c r="F307" i="2"/>
  <c r="E307" i="2"/>
  <c r="D307" i="2"/>
  <c r="C307" i="2"/>
  <c r="A307" i="2" s="1"/>
  <c r="Q306" i="2"/>
  <c r="P306" i="2"/>
  <c r="K306" i="2"/>
  <c r="G306" i="2"/>
  <c r="F306" i="2"/>
  <c r="E306" i="2"/>
  <c r="D306" i="2"/>
  <c r="C306" i="2"/>
  <c r="A306" i="2" s="1"/>
  <c r="Q305" i="2"/>
  <c r="P305" i="2"/>
  <c r="K305" i="2"/>
  <c r="G305" i="2"/>
  <c r="F305" i="2"/>
  <c r="E305" i="2"/>
  <c r="D305" i="2"/>
  <c r="C305" i="2"/>
  <c r="A305" i="2" s="1"/>
  <c r="Q304" i="2"/>
  <c r="P304" i="2"/>
  <c r="K304" i="2"/>
  <c r="G304" i="2"/>
  <c r="F304" i="2"/>
  <c r="E304" i="2"/>
  <c r="D304" i="2"/>
  <c r="C304" i="2"/>
  <c r="A304" i="2" s="1"/>
  <c r="Q303" i="2"/>
  <c r="P303" i="2"/>
  <c r="K303" i="2"/>
  <c r="G303" i="2"/>
  <c r="F303" i="2"/>
  <c r="E303" i="2"/>
  <c r="D303" i="2"/>
  <c r="C303" i="2"/>
  <c r="A303" i="2" s="1"/>
  <c r="Q302" i="2"/>
  <c r="P302" i="2"/>
  <c r="K302" i="2"/>
  <c r="G302" i="2"/>
  <c r="F302" i="2"/>
  <c r="E302" i="2"/>
  <c r="D302" i="2"/>
  <c r="C302" i="2"/>
  <c r="A302" i="2" s="1"/>
  <c r="Q301" i="2"/>
  <c r="P301" i="2"/>
  <c r="K301" i="2"/>
  <c r="G301" i="2"/>
  <c r="F301" i="2"/>
  <c r="E301" i="2"/>
  <c r="D301" i="2"/>
  <c r="C301" i="2"/>
  <c r="A301" i="2" s="1"/>
  <c r="Q300" i="2"/>
  <c r="P300" i="2"/>
  <c r="K300" i="2"/>
  <c r="G300" i="2"/>
  <c r="F300" i="2"/>
  <c r="E300" i="2"/>
  <c r="D300" i="2"/>
  <c r="C300" i="2"/>
  <c r="A300" i="2" s="1"/>
  <c r="Q299" i="2"/>
  <c r="P299" i="2"/>
  <c r="K299" i="2"/>
  <c r="G299" i="2"/>
  <c r="F299" i="2"/>
  <c r="E299" i="2"/>
  <c r="D299" i="2"/>
  <c r="C299" i="2"/>
  <c r="A299" i="2" s="1"/>
  <c r="Q298" i="2"/>
  <c r="P298" i="2"/>
  <c r="K298" i="2"/>
  <c r="G298" i="2"/>
  <c r="F298" i="2"/>
  <c r="E298" i="2"/>
  <c r="D298" i="2"/>
  <c r="C298" i="2"/>
  <c r="A298" i="2" s="1"/>
  <c r="Q297" i="2"/>
  <c r="P297" i="2"/>
  <c r="K297" i="2"/>
  <c r="G297" i="2"/>
  <c r="F297" i="2"/>
  <c r="E297" i="2"/>
  <c r="D297" i="2"/>
  <c r="C297" i="2"/>
  <c r="A297" i="2" s="1"/>
  <c r="Q296" i="2"/>
  <c r="P296" i="2"/>
  <c r="K296" i="2"/>
  <c r="G296" i="2"/>
  <c r="F296" i="2"/>
  <c r="E296" i="2"/>
  <c r="D296" i="2"/>
  <c r="C296" i="2"/>
  <c r="A296" i="2" s="1"/>
  <c r="Q295" i="2"/>
  <c r="P295" i="2"/>
  <c r="K295" i="2"/>
  <c r="G295" i="2"/>
  <c r="F295" i="2"/>
  <c r="E295" i="2"/>
  <c r="D295" i="2"/>
  <c r="C295" i="2"/>
  <c r="A295" i="2" s="1"/>
  <c r="Q294" i="2"/>
  <c r="P294" i="2"/>
  <c r="K294" i="2"/>
  <c r="G294" i="2"/>
  <c r="F294" i="2"/>
  <c r="E294" i="2"/>
  <c r="D294" i="2"/>
  <c r="C294" i="2"/>
  <c r="A294" i="2" s="1"/>
  <c r="Q293" i="2"/>
  <c r="P293" i="2"/>
  <c r="K293" i="2"/>
  <c r="G293" i="2"/>
  <c r="F293" i="2"/>
  <c r="E293" i="2"/>
  <c r="D293" i="2"/>
  <c r="C293" i="2"/>
  <c r="A293" i="2" s="1"/>
  <c r="Q292" i="2"/>
  <c r="P292" i="2"/>
  <c r="K292" i="2"/>
  <c r="G292" i="2"/>
  <c r="F292" i="2"/>
  <c r="E292" i="2"/>
  <c r="D292" i="2"/>
  <c r="C292" i="2"/>
  <c r="A292" i="2" s="1"/>
  <c r="Q291" i="2"/>
  <c r="P291" i="2"/>
  <c r="K291" i="2"/>
  <c r="G291" i="2"/>
  <c r="F291" i="2"/>
  <c r="E291" i="2"/>
  <c r="D291" i="2"/>
  <c r="C291" i="2"/>
  <c r="A291" i="2" s="1"/>
  <c r="Q290" i="2"/>
  <c r="P290" i="2"/>
  <c r="K290" i="2"/>
  <c r="G290" i="2"/>
  <c r="F290" i="2"/>
  <c r="E290" i="2"/>
  <c r="D290" i="2"/>
  <c r="C290" i="2"/>
  <c r="A290" i="2"/>
  <c r="Q289" i="2"/>
  <c r="P289" i="2"/>
  <c r="K289" i="2"/>
  <c r="G289" i="2"/>
  <c r="F289" i="2"/>
  <c r="E289" i="2"/>
  <c r="D289" i="2"/>
  <c r="C289" i="2"/>
  <c r="A289" i="2" s="1"/>
  <c r="Q288" i="2"/>
  <c r="P288" i="2"/>
  <c r="K288" i="2"/>
  <c r="G288" i="2"/>
  <c r="F288" i="2"/>
  <c r="E288" i="2"/>
  <c r="D288" i="2"/>
  <c r="C288" i="2"/>
  <c r="A288" i="2" s="1"/>
  <c r="Q287" i="2"/>
  <c r="P287" i="2"/>
  <c r="K287" i="2"/>
  <c r="G287" i="2"/>
  <c r="F287" i="2"/>
  <c r="E287" i="2"/>
  <c r="D287" i="2"/>
  <c r="C287" i="2"/>
  <c r="A287" i="2" s="1"/>
  <c r="Q286" i="2"/>
  <c r="P286" i="2"/>
  <c r="K286" i="2"/>
  <c r="G286" i="2"/>
  <c r="F286" i="2"/>
  <c r="E286" i="2"/>
  <c r="D286" i="2"/>
  <c r="C286" i="2"/>
  <c r="A286" i="2" s="1"/>
  <c r="Q285" i="2"/>
  <c r="P285" i="2"/>
  <c r="K285" i="2"/>
  <c r="G285" i="2"/>
  <c r="F285" i="2"/>
  <c r="E285" i="2"/>
  <c r="D285" i="2"/>
  <c r="C285" i="2"/>
  <c r="A285" i="2" s="1"/>
  <c r="Q284" i="2"/>
  <c r="P284" i="2"/>
  <c r="K284" i="2"/>
  <c r="G284" i="2"/>
  <c r="F284" i="2"/>
  <c r="E284" i="2"/>
  <c r="D284" i="2"/>
  <c r="C284" i="2"/>
  <c r="A284" i="2" s="1"/>
  <c r="Q283" i="2"/>
  <c r="P283" i="2"/>
  <c r="K283" i="2"/>
  <c r="G283" i="2"/>
  <c r="F283" i="2"/>
  <c r="E283" i="2"/>
  <c r="D283" i="2"/>
  <c r="C283" i="2"/>
  <c r="A283" i="2" s="1"/>
  <c r="Q282" i="2"/>
  <c r="P282" i="2"/>
  <c r="K282" i="2"/>
  <c r="G282" i="2"/>
  <c r="F282" i="2"/>
  <c r="E282" i="2"/>
  <c r="D282" i="2"/>
  <c r="C282" i="2"/>
  <c r="A282" i="2" s="1"/>
  <c r="Q281" i="2"/>
  <c r="P281" i="2"/>
  <c r="K281" i="2"/>
  <c r="G281" i="2"/>
  <c r="F281" i="2"/>
  <c r="E281" i="2"/>
  <c r="D281" i="2"/>
  <c r="C281" i="2"/>
  <c r="A281" i="2" s="1"/>
  <c r="Q280" i="2"/>
  <c r="P280" i="2"/>
  <c r="K280" i="2"/>
  <c r="G280" i="2"/>
  <c r="F280" i="2"/>
  <c r="E280" i="2"/>
  <c r="D280" i="2"/>
  <c r="C280" i="2"/>
  <c r="A280" i="2" s="1"/>
  <c r="Q279" i="2"/>
  <c r="P279" i="2"/>
  <c r="K279" i="2"/>
  <c r="G279" i="2"/>
  <c r="F279" i="2"/>
  <c r="E279" i="2"/>
  <c r="D279" i="2"/>
  <c r="C279" i="2"/>
  <c r="A279" i="2" s="1"/>
  <c r="Q278" i="2"/>
  <c r="P278" i="2"/>
  <c r="K278" i="2"/>
  <c r="G278" i="2"/>
  <c r="F278" i="2"/>
  <c r="E278" i="2"/>
  <c r="D278" i="2"/>
  <c r="C278" i="2"/>
  <c r="A278" i="2" s="1"/>
  <c r="Q277" i="2"/>
  <c r="P277" i="2"/>
  <c r="K277" i="2"/>
  <c r="G277" i="2"/>
  <c r="F277" i="2"/>
  <c r="E277" i="2"/>
  <c r="D277" i="2"/>
  <c r="C277" i="2"/>
  <c r="A277" i="2" s="1"/>
  <c r="Q276" i="2"/>
  <c r="P276" i="2"/>
  <c r="K276" i="2"/>
  <c r="G276" i="2"/>
  <c r="F276" i="2"/>
  <c r="E276" i="2"/>
  <c r="D276" i="2"/>
  <c r="C276" i="2"/>
  <c r="A276" i="2" s="1"/>
  <c r="Q275" i="2"/>
  <c r="P275" i="2"/>
  <c r="K275" i="2"/>
  <c r="G275" i="2"/>
  <c r="F275" i="2"/>
  <c r="E275" i="2"/>
  <c r="D275" i="2"/>
  <c r="C275" i="2"/>
  <c r="A275" i="2" s="1"/>
  <c r="Q274" i="2"/>
  <c r="P274" i="2"/>
  <c r="K274" i="2"/>
  <c r="G274" i="2"/>
  <c r="F274" i="2"/>
  <c r="E274" i="2"/>
  <c r="D274" i="2"/>
  <c r="C274" i="2"/>
  <c r="A274" i="2" s="1"/>
  <c r="Q273" i="2"/>
  <c r="P273" i="2"/>
  <c r="K273" i="2"/>
  <c r="G273" i="2"/>
  <c r="F273" i="2"/>
  <c r="E273" i="2"/>
  <c r="D273" i="2"/>
  <c r="C273" i="2"/>
  <c r="A273" i="2" s="1"/>
  <c r="Q272" i="2"/>
  <c r="P272" i="2"/>
  <c r="K272" i="2"/>
  <c r="G272" i="2"/>
  <c r="F272" i="2"/>
  <c r="E272" i="2"/>
  <c r="D272" i="2"/>
  <c r="C272" i="2"/>
  <c r="A272" i="2" s="1"/>
  <c r="Q271" i="2"/>
  <c r="P271" i="2"/>
  <c r="K271" i="2"/>
  <c r="G271" i="2"/>
  <c r="F271" i="2"/>
  <c r="E271" i="2"/>
  <c r="D271" i="2"/>
  <c r="C271" i="2"/>
  <c r="A271" i="2" s="1"/>
  <c r="Q270" i="2"/>
  <c r="P270" i="2"/>
  <c r="K270" i="2"/>
  <c r="G270" i="2"/>
  <c r="F270" i="2"/>
  <c r="E270" i="2"/>
  <c r="D270" i="2"/>
  <c r="C270" i="2"/>
  <c r="A270" i="2" s="1"/>
  <c r="Q269" i="2"/>
  <c r="P269" i="2"/>
  <c r="K269" i="2"/>
  <c r="G269" i="2"/>
  <c r="F269" i="2"/>
  <c r="E269" i="2"/>
  <c r="D269" i="2"/>
  <c r="C269" i="2"/>
  <c r="A269" i="2" s="1"/>
  <c r="Q268" i="2"/>
  <c r="P268" i="2"/>
  <c r="K268" i="2"/>
  <c r="G268" i="2"/>
  <c r="F268" i="2"/>
  <c r="E268" i="2"/>
  <c r="D268" i="2"/>
  <c r="C268" i="2"/>
  <c r="A268" i="2" s="1"/>
  <c r="Q267" i="2"/>
  <c r="P267" i="2"/>
  <c r="K267" i="2"/>
  <c r="G267" i="2"/>
  <c r="F267" i="2"/>
  <c r="E267" i="2"/>
  <c r="D267" i="2"/>
  <c r="C267" i="2"/>
  <c r="A267" i="2" s="1"/>
  <c r="Q266" i="2"/>
  <c r="P266" i="2"/>
  <c r="K266" i="2"/>
  <c r="G266" i="2"/>
  <c r="F266" i="2"/>
  <c r="E266" i="2"/>
  <c r="D266" i="2"/>
  <c r="C266" i="2"/>
  <c r="A266" i="2" s="1"/>
  <c r="Q265" i="2"/>
  <c r="P265" i="2"/>
  <c r="K265" i="2"/>
  <c r="G265" i="2"/>
  <c r="F265" i="2"/>
  <c r="E265" i="2"/>
  <c r="D265" i="2"/>
  <c r="C265" i="2"/>
  <c r="A265" i="2" s="1"/>
  <c r="Q264" i="2"/>
  <c r="P264" i="2"/>
  <c r="K264" i="2"/>
  <c r="G264" i="2"/>
  <c r="F264" i="2"/>
  <c r="E264" i="2"/>
  <c r="D264" i="2"/>
  <c r="C264" i="2"/>
  <c r="A264" i="2" s="1"/>
  <c r="Q263" i="2"/>
  <c r="P263" i="2"/>
  <c r="K263" i="2"/>
  <c r="G263" i="2"/>
  <c r="F263" i="2"/>
  <c r="E263" i="2"/>
  <c r="D263" i="2"/>
  <c r="C263" i="2"/>
  <c r="A263" i="2" s="1"/>
  <c r="Q262" i="2"/>
  <c r="P262" i="2"/>
  <c r="K262" i="2"/>
  <c r="G262" i="2"/>
  <c r="F262" i="2"/>
  <c r="E262" i="2"/>
  <c r="D262" i="2"/>
  <c r="C262" i="2"/>
  <c r="A262" i="2" s="1"/>
  <c r="Q261" i="2"/>
  <c r="P261" i="2"/>
  <c r="K261" i="2"/>
  <c r="G261" i="2"/>
  <c r="F261" i="2"/>
  <c r="E261" i="2"/>
  <c r="D261" i="2"/>
  <c r="C261" i="2"/>
  <c r="A261" i="2" s="1"/>
  <c r="Q260" i="2"/>
  <c r="P260" i="2"/>
  <c r="K260" i="2"/>
  <c r="G260" i="2"/>
  <c r="F260" i="2"/>
  <c r="E260" i="2"/>
  <c r="D260" i="2"/>
  <c r="C260" i="2"/>
  <c r="A260" i="2" s="1"/>
  <c r="Q259" i="2"/>
  <c r="P259" i="2"/>
  <c r="K259" i="2"/>
  <c r="G259" i="2"/>
  <c r="F259" i="2"/>
  <c r="E259" i="2"/>
  <c r="D259" i="2"/>
  <c r="C259" i="2"/>
  <c r="A259" i="2" s="1"/>
  <c r="Q258" i="2"/>
  <c r="P258" i="2"/>
  <c r="K258" i="2"/>
  <c r="G258" i="2"/>
  <c r="F258" i="2"/>
  <c r="E258" i="2"/>
  <c r="D258" i="2"/>
  <c r="C258" i="2"/>
  <c r="A258" i="2" s="1"/>
  <c r="Q257" i="2"/>
  <c r="P257" i="2"/>
  <c r="K257" i="2"/>
  <c r="G257" i="2"/>
  <c r="F257" i="2"/>
  <c r="E257" i="2"/>
  <c r="D257" i="2"/>
  <c r="C257" i="2"/>
  <c r="A257" i="2" s="1"/>
  <c r="Q256" i="2"/>
  <c r="P256" i="2"/>
  <c r="K256" i="2"/>
  <c r="G256" i="2"/>
  <c r="F256" i="2"/>
  <c r="E256" i="2"/>
  <c r="D256" i="2"/>
  <c r="C256" i="2"/>
  <c r="A256" i="2" s="1"/>
  <c r="Q255" i="2"/>
  <c r="P255" i="2"/>
  <c r="K255" i="2"/>
  <c r="G255" i="2"/>
  <c r="F255" i="2"/>
  <c r="E255" i="2"/>
  <c r="D255" i="2"/>
  <c r="C255" i="2"/>
  <c r="A255" i="2" s="1"/>
  <c r="Q254" i="2"/>
  <c r="P254" i="2"/>
  <c r="K254" i="2"/>
  <c r="G254" i="2"/>
  <c r="F254" i="2"/>
  <c r="E254" i="2"/>
  <c r="D254" i="2"/>
  <c r="C254" i="2"/>
  <c r="A254" i="2" s="1"/>
  <c r="Q253" i="2"/>
  <c r="P253" i="2"/>
  <c r="K253" i="2"/>
  <c r="G253" i="2"/>
  <c r="F253" i="2"/>
  <c r="E253" i="2"/>
  <c r="D253" i="2"/>
  <c r="C253" i="2"/>
  <c r="A253" i="2" s="1"/>
  <c r="Q252" i="2"/>
  <c r="P252" i="2"/>
  <c r="K252" i="2"/>
  <c r="G252" i="2"/>
  <c r="F252" i="2"/>
  <c r="E252" i="2"/>
  <c r="D252" i="2"/>
  <c r="C252" i="2"/>
  <c r="A252" i="2" s="1"/>
  <c r="Q251" i="2"/>
  <c r="P251" i="2"/>
  <c r="K251" i="2"/>
  <c r="G251" i="2"/>
  <c r="F251" i="2"/>
  <c r="E251" i="2"/>
  <c r="D251" i="2"/>
  <c r="C251" i="2"/>
  <c r="A251" i="2" s="1"/>
  <c r="Q250" i="2"/>
  <c r="P250" i="2"/>
  <c r="K250" i="2"/>
  <c r="G250" i="2"/>
  <c r="F250" i="2"/>
  <c r="E250" i="2"/>
  <c r="D250" i="2"/>
  <c r="C250" i="2"/>
  <c r="A250" i="2" s="1"/>
  <c r="Q249" i="2"/>
  <c r="P249" i="2"/>
  <c r="K249" i="2"/>
  <c r="G249" i="2"/>
  <c r="F249" i="2"/>
  <c r="E249" i="2"/>
  <c r="D249" i="2"/>
  <c r="C249" i="2"/>
  <c r="A249" i="2" s="1"/>
  <c r="Q248" i="2"/>
  <c r="P248" i="2"/>
  <c r="K248" i="2"/>
  <c r="G248" i="2"/>
  <c r="F248" i="2"/>
  <c r="E248" i="2"/>
  <c r="D248" i="2"/>
  <c r="C248" i="2"/>
  <c r="A248" i="2" s="1"/>
  <c r="Q247" i="2"/>
  <c r="P247" i="2"/>
  <c r="K247" i="2"/>
  <c r="G247" i="2"/>
  <c r="F247" i="2"/>
  <c r="E247" i="2"/>
  <c r="D247" i="2"/>
  <c r="C247" i="2"/>
  <c r="A247" i="2" s="1"/>
  <c r="Q246" i="2"/>
  <c r="P246" i="2"/>
  <c r="K246" i="2"/>
  <c r="G246" i="2"/>
  <c r="F246" i="2"/>
  <c r="E246" i="2"/>
  <c r="D246" i="2"/>
  <c r="C246" i="2"/>
  <c r="A246" i="2" s="1"/>
  <c r="Q245" i="2"/>
  <c r="P245" i="2"/>
  <c r="K245" i="2"/>
  <c r="G245" i="2"/>
  <c r="F245" i="2"/>
  <c r="E245" i="2"/>
  <c r="D245" i="2"/>
  <c r="C245" i="2"/>
  <c r="A245" i="2" s="1"/>
  <c r="Q244" i="2"/>
  <c r="P244" i="2"/>
  <c r="K244" i="2"/>
  <c r="G244" i="2"/>
  <c r="F244" i="2"/>
  <c r="E244" i="2"/>
  <c r="D244" i="2"/>
  <c r="C244" i="2"/>
  <c r="A244" i="2" s="1"/>
  <c r="Q243" i="2"/>
  <c r="P243" i="2"/>
  <c r="K243" i="2"/>
  <c r="G243" i="2"/>
  <c r="F243" i="2"/>
  <c r="E243" i="2"/>
  <c r="D243" i="2"/>
  <c r="C243" i="2"/>
  <c r="A243" i="2" s="1"/>
  <c r="Q242" i="2"/>
  <c r="P242" i="2"/>
  <c r="K242" i="2"/>
  <c r="G242" i="2"/>
  <c r="F242" i="2"/>
  <c r="E242" i="2"/>
  <c r="D242" i="2"/>
  <c r="C242" i="2"/>
  <c r="A242" i="2" s="1"/>
  <c r="Q241" i="2"/>
  <c r="P241" i="2"/>
  <c r="K241" i="2"/>
  <c r="G241" i="2"/>
  <c r="F241" i="2"/>
  <c r="E241" i="2"/>
  <c r="D241" i="2"/>
  <c r="C241" i="2"/>
  <c r="A241" i="2" s="1"/>
  <c r="Q240" i="2"/>
  <c r="P240" i="2"/>
  <c r="K240" i="2"/>
  <c r="G240" i="2"/>
  <c r="F240" i="2"/>
  <c r="E240" i="2"/>
  <c r="D240" i="2"/>
  <c r="C240" i="2"/>
  <c r="A240" i="2" s="1"/>
  <c r="Q239" i="2"/>
  <c r="P239" i="2"/>
  <c r="K239" i="2"/>
  <c r="G239" i="2"/>
  <c r="F239" i="2"/>
  <c r="E239" i="2"/>
  <c r="D239" i="2"/>
  <c r="C239" i="2"/>
  <c r="A239" i="2" s="1"/>
  <c r="Q238" i="2"/>
  <c r="P238" i="2"/>
  <c r="K238" i="2"/>
  <c r="G238" i="2"/>
  <c r="F238" i="2"/>
  <c r="E238" i="2"/>
  <c r="D238" i="2"/>
  <c r="C238" i="2"/>
  <c r="A238" i="2" s="1"/>
  <c r="Q237" i="2"/>
  <c r="P237" i="2"/>
  <c r="K237" i="2"/>
  <c r="G237" i="2"/>
  <c r="F237" i="2"/>
  <c r="E237" i="2"/>
  <c r="D237" i="2"/>
  <c r="C237" i="2"/>
  <c r="A237" i="2" s="1"/>
  <c r="Q236" i="2"/>
  <c r="P236" i="2"/>
  <c r="K236" i="2"/>
  <c r="G236" i="2"/>
  <c r="F236" i="2"/>
  <c r="E236" i="2"/>
  <c r="D236" i="2"/>
  <c r="C236" i="2"/>
  <c r="A236" i="2" s="1"/>
  <c r="Q235" i="2"/>
  <c r="P235" i="2"/>
  <c r="K235" i="2"/>
  <c r="G235" i="2"/>
  <c r="F235" i="2"/>
  <c r="E235" i="2"/>
  <c r="D235" i="2"/>
  <c r="C235" i="2"/>
  <c r="A235" i="2" s="1"/>
  <c r="Q234" i="2"/>
  <c r="P234" i="2"/>
  <c r="K234" i="2"/>
  <c r="G234" i="2"/>
  <c r="F234" i="2"/>
  <c r="E234" i="2"/>
  <c r="D234" i="2"/>
  <c r="C234" i="2"/>
  <c r="A234" i="2" s="1"/>
  <c r="Q233" i="2"/>
  <c r="P233" i="2"/>
  <c r="K233" i="2"/>
  <c r="G233" i="2"/>
  <c r="F233" i="2"/>
  <c r="E233" i="2"/>
  <c r="D233" i="2"/>
  <c r="C233" i="2"/>
  <c r="A233" i="2" s="1"/>
  <c r="Q232" i="2"/>
  <c r="P232" i="2"/>
  <c r="K232" i="2"/>
  <c r="G232" i="2"/>
  <c r="F232" i="2"/>
  <c r="E232" i="2"/>
  <c r="D232" i="2"/>
  <c r="C232" i="2"/>
  <c r="A232" i="2" s="1"/>
  <c r="Q231" i="2"/>
  <c r="P231" i="2"/>
  <c r="K231" i="2"/>
  <c r="G231" i="2"/>
  <c r="F231" i="2"/>
  <c r="E231" i="2"/>
  <c r="D231" i="2"/>
  <c r="C231" i="2"/>
  <c r="A231" i="2" s="1"/>
  <c r="Q230" i="2"/>
  <c r="P230" i="2"/>
  <c r="K230" i="2"/>
  <c r="G230" i="2"/>
  <c r="F230" i="2"/>
  <c r="E230" i="2"/>
  <c r="D230" i="2"/>
  <c r="C230" i="2"/>
  <c r="A230" i="2" s="1"/>
  <c r="Q229" i="2"/>
  <c r="P229" i="2"/>
  <c r="K229" i="2"/>
  <c r="G229" i="2"/>
  <c r="F229" i="2"/>
  <c r="E229" i="2"/>
  <c r="D229" i="2"/>
  <c r="C229" i="2"/>
  <c r="A229" i="2" s="1"/>
  <c r="Q228" i="2"/>
  <c r="P228" i="2"/>
  <c r="K228" i="2"/>
  <c r="G228" i="2"/>
  <c r="F228" i="2"/>
  <c r="E228" i="2"/>
  <c r="D228" i="2"/>
  <c r="C228" i="2"/>
  <c r="A228" i="2" s="1"/>
  <c r="Q227" i="2"/>
  <c r="P227" i="2"/>
  <c r="K227" i="2"/>
  <c r="G227" i="2"/>
  <c r="F227" i="2"/>
  <c r="E227" i="2"/>
  <c r="D227" i="2"/>
  <c r="C227" i="2"/>
  <c r="A227" i="2" s="1"/>
  <c r="Q226" i="2"/>
  <c r="P226" i="2"/>
  <c r="K226" i="2"/>
  <c r="G226" i="2"/>
  <c r="F226" i="2"/>
  <c r="E226" i="2"/>
  <c r="D226" i="2"/>
  <c r="C226" i="2"/>
  <c r="A226" i="2" s="1"/>
  <c r="Q225" i="2"/>
  <c r="P225" i="2"/>
  <c r="K225" i="2"/>
  <c r="G225" i="2"/>
  <c r="F225" i="2"/>
  <c r="E225" i="2"/>
  <c r="D225" i="2"/>
  <c r="C225" i="2"/>
  <c r="A225" i="2" s="1"/>
  <c r="Q224" i="2"/>
  <c r="P224" i="2"/>
  <c r="K224" i="2"/>
  <c r="G224" i="2"/>
  <c r="F224" i="2"/>
  <c r="E224" i="2"/>
  <c r="D224" i="2"/>
  <c r="C224" i="2"/>
  <c r="A224" i="2" s="1"/>
  <c r="Q223" i="2"/>
  <c r="P223" i="2"/>
  <c r="K223" i="2"/>
  <c r="G223" i="2"/>
  <c r="F223" i="2"/>
  <c r="E223" i="2"/>
  <c r="D223" i="2"/>
  <c r="C223" i="2"/>
  <c r="A223" i="2" s="1"/>
  <c r="Q222" i="2"/>
  <c r="P222" i="2"/>
  <c r="K222" i="2"/>
  <c r="G222" i="2"/>
  <c r="F222" i="2"/>
  <c r="E222" i="2"/>
  <c r="D222" i="2"/>
  <c r="C222" i="2"/>
  <c r="A222" i="2" s="1"/>
  <c r="Q221" i="2"/>
  <c r="P221" i="2"/>
  <c r="K221" i="2"/>
  <c r="G221" i="2"/>
  <c r="F221" i="2"/>
  <c r="E221" i="2"/>
  <c r="D221" i="2"/>
  <c r="C221" i="2"/>
  <c r="A221" i="2" s="1"/>
  <c r="Q220" i="2"/>
  <c r="P220" i="2"/>
  <c r="K220" i="2"/>
  <c r="G220" i="2"/>
  <c r="F220" i="2"/>
  <c r="E220" i="2"/>
  <c r="D220" i="2"/>
  <c r="C220" i="2"/>
  <c r="A220" i="2" s="1"/>
  <c r="Q219" i="2"/>
  <c r="P219" i="2"/>
  <c r="K219" i="2"/>
  <c r="G219" i="2"/>
  <c r="F219" i="2"/>
  <c r="E219" i="2"/>
  <c r="D219" i="2"/>
  <c r="C219" i="2"/>
  <c r="A219" i="2" s="1"/>
  <c r="Q218" i="2"/>
  <c r="P218" i="2"/>
  <c r="K218" i="2"/>
  <c r="G218" i="2"/>
  <c r="F218" i="2"/>
  <c r="E218" i="2"/>
  <c r="D218" i="2"/>
  <c r="C218" i="2"/>
  <c r="A218" i="2" s="1"/>
  <c r="Q217" i="2"/>
  <c r="P217" i="2"/>
  <c r="K217" i="2"/>
  <c r="G217" i="2"/>
  <c r="F217" i="2"/>
  <c r="E217" i="2"/>
  <c r="D217" i="2"/>
  <c r="C217" i="2"/>
  <c r="A217" i="2" s="1"/>
  <c r="Q216" i="2"/>
  <c r="P216" i="2"/>
  <c r="K216" i="2"/>
  <c r="G216" i="2"/>
  <c r="F216" i="2"/>
  <c r="E216" i="2"/>
  <c r="D216" i="2"/>
  <c r="C216" i="2"/>
  <c r="A216" i="2" s="1"/>
  <c r="Q215" i="2"/>
  <c r="P215" i="2"/>
  <c r="K215" i="2"/>
  <c r="G215" i="2"/>
  <c r="F215" i="2"/>
  <c r="E215" i="2"/>
  <c r="D215" i="2"/>
  <c r="C215" i="2"/>
  <c r="A215" i="2" s="1"/>
  <c r="Q214" i="2"/>
  <c r="P214" i="2"/>
  <c r="K214" i="2"/>
  <c r="G214" i="2"/>
  <c r="F214" i="2"/>
  <c r="E214" i="2"/>
  <c r="D214" i="2"/>
  <c r="C214" i="2"/>
  <c r="A214" i="2" s="1"/>
  <c r="Q213" i="2"/>
  <c r="P213" i="2"/>
  <c r="K213" i="2"/>
  <c r="G213" i="2"/>
  <c r="F213" i="2"/>
  <c r="E213" i="2"/>
  <c r="D213" i="2"/>
  <c r="C213" i="2"/>
  <c r="A213" i="2" s="1"/>
  <c r="Q212" i="2"/>
  <c r="P212" i="2"/>
  <c r="K212" i="2"/>
  <c r="G212" i="2"/>
  <c r="F212" i="2"/>
  <c r="E212" i="2"/>
  <c r="D212" i="2"/>
  <c r="C212" i="2"/>
  <c r="A212" i="2" s="1"/>
  <c r="Q211" i="2"/>
  <c r="P211" i="2"/>
  <c r="K211" i="2"/>
  <c r="G211" i="2"/>
  <c r="F211" i="2"/>
  <c r="E211" i="2"/>
  <c r="D211" i="2"/>
  <c r="C211" i="2"/>
  <c r="A211" i="2" s="1"/>
  <c r="Q210" i="2"/>
  <c r="P210" i="2"/>
  <c r="K210" i="2"/>
  <c r="G210" i="2"/>
  <c r="F210" i="2"/>
  <c r="E210" i="2"/>
  <c r="D210" i="2"/>
  <c r="C210" i="2"/>
  <c r="A210" i="2" s="1"/>
  <c r="Q209" i="2"/>
  <c r="P209" i="2"/>
  <c r="K209" i="2"/>
  <c r="G209" i="2"/>
  <c r="F209" i="2"/>
  <c r="E209" i="2"/>
  <c r="D209" i="2"/>
  <c r="C209" i="2"/>
  <c r="A209" i="2" s="1"/>
  <c r="Q208" i="2"/>
  <c r="P208" i="2"/>
  <c r="K208" i="2"/>
  <c r="G208" i="2"/>
  <c r="F208" i="2"/>
  <c r="E208" i="2"/>
  <c r="D208" i="2"/>
  <c r="C208" i="2"/>
  <c r="A208" i="2" s="1"/>
  <c r="Q207" i="2"/>
  <c r="P207" i="2"/>
  <c r="K207" i="2"/>
  <c r="G207" i="2"/>
  <c r="F207" i="2"/>
  <c r="E207" i="2"/>
  <c r="D207" i="2"/>
  <c r="C207" i="2"/>
  <c r="A207" i="2" s="1"/>
  <c r="Q206" i="2"/>
  <c r="P206" i="2"/>
  <c r="K206" i="2"/>
  <c r="G206" i="2"/>
  <c r="F206" i="2"/>
  <c r="E206" i="2"/>
  <c r="D206" i="2"/>
  <c r="C206" i="2"/>
  <c r="A206" i="2" s="1"/>
  <c r="Q205" i="2"/>
  <c r="P205" i="2"/>
  <c r="K205" i="2"/>
  <c r="G205" i="2"/>
  <c r="F205" i="2"/>
  <c r="E205" i="2"/>
  <c r="D205" i="2"/>
  <c r="C205" i="2"/>
  <c r="A205" i="2" s="1"/>
  <c r="Q204" i="2"/>
  <c r="P204" i="2"/>
  <c r="K204" i="2"/>
  <c r="G204" i="2"/>
  <c r="F204" i="2"/>
  <c r="E204" i="2"/>
  <c r="D204" i="2"/>
  <c r="C204" i="2"/>
  <c r="A204" i="2" s="1"/>
  <c r="Q203" i="2"/>
  <c r="P203" i="2"/>
  <c r="K203" i="2"/>
  <c r="G203" i="2"/>
  <c r="F203" i="2"/>
  <c r="E203" i="2"/>
  <c r="D203" i="2"/>
  <c r="C203" i="2"/>
  <c r="A203" i="2" s="1"/>
  <c r="Q202" i="2"/>
  <c r="P202" i="2"/>
  <c r="K202" i="2"/>
  <c r="G202" i="2"/>
  <c r="F202" i="2"/>
  <c r="E202" i="2"/>
  <c r="D202" i="2"/>
  <c r="C202" i="2"/>
  <c r="A202" i="2" s="1"/>
  <c r="Q201" i="2"/>
  <c r="P201" i="2"/>
  <c r="K201" i="2"/>
  <c r="G201" i="2"/>
  <c r="F201" i="2"/>
  <c r="E201" i="2"/>
  <c r="D201" i="2"/>
  <c r="C201" i="2"/>
  <c r="A201" i="2" s="1"/>
  <c r="Q200" i="2"/>
  <c r="P200" i="2"/>
  <c r="K200" i="2"/>
  <c r="G200" i="2"/>
  <c r="F200" i="2"/>
  <c r="E200" i="2"/>
  <c r="D200" i="2"/>
  <c r="C200" i="2"/>
  <c r="A200" i="2" s="1"/>
  <c r="Q199" i="2"/>
  <c r="P199" i="2"/>
  <c r="K199" i="2"/>
  <c r="G199" i="2"/>
  <c r="F199" i="2"/>
  <c r="E199" i="2"/>
  <c r="D199" i="2"/>
  <c r="C199" i="2"/>
  <c r="A199" i="2" s="1"/>
  <c r="Q198" i="2"/>
  <c r="P198" i="2"/>
  <c r="K198" i="2"/>
  <c r="G198" i="2"/>
  <c r="F198" i="2"/>
  <c r="E198" i="2"/>
  <c r="D198" i="2"/>
  <c r="C198" i="2"/>
  <c r="A198" i="2" s="1"/>
  <c r="Q197" i="2"/>
  <c r="P197" i="2"/>
  <c r="K197" i="2"/>
  <c r="G197" i="2"/>
  <c r="F197" i="2"/>
  <c r="E197" i="2"/>
  <c r="D197" i="2"/>
  <c r="C197" i="2"/>
  <c r="A197" i="2" s="1"/>
  <c r="Q196" i="2"/>
  <c r="P196" i="2"/>
  <c r="K196" i="2"/>
  <c r="G196" i="2"/>
  <c r="F196" i="2"/>
  <c r="E196" i="2"/>
  <c r="D196" i="2"/>
  <c r="C196" i="2"/>
  <c r="A196" i="2" s="1"/>
  <c r="Q195" i="2"/>
  <c r="P195" i="2"/>
  <c r="K195" i="2"/>
  <c r="G195" i="2"/>
  <c r="F195" i="2"/>
  <c r="E195" i="2"/>
  <c r="D195" i="2"/>
  <c r="C195" i="2"/>
  <c r="A195" i="2" s="1"/>
  <c r="Q194" i="2"/>
  <c r="P194" i="2"/>
  <c r="K194" i="2"/>
  <c r="G194" i="2"/>
  <c r="F194" i="2"/>
  <c r="E194" i="2"/>
  <c r="D194" i="2"/>
  <c r="C194" i="2"/>
  <c r="A194" i="2" s="1"/>
  <c r="Q193" i="2"/>
  <c r="P193" i="2"/>
  <c r="K193" i="2"/>
  <c r="G193" i="2"/>
  <c r="F193" i="2"/>
  <c r="E193" i="2"/>
  <c r="D193" i="2"/>
  <c r="C193" i="2"/>
  <c r="A193" i="2" s="1"/>
  <c r="Q192" i="2"/>
  <c r="P192" i="2"/>
  <c r="K192" i="2"/>
  <c r="G192" i="2"/>
  <c r="F192" i="2"/>
  <c r="E192" i="2"/>
  <c r="D192" i="2"/>
  <c r="C192" i="2"/>
  <c r="A192" i="2" s="1"/>
  <c r="Q191" i="2"/>
  <c r="P191" i="2"/>
  <c r="K191" i="2"/>
  <c r="G191" i="2"/>
  <c r="F191" i="2"/>
  <c r="E191" i="2"/>
  <c r="D191" i="2"/>
  <c r="C191" i="2"/>
  <c r="A191" i="2" s="1"/>
  <c r="Q190" i="2"/>
  <c r="P190" i="2"/>
  <c r="K190" i="2"/>
  <c r="G190" i="2"/>
  <c r="F190" i="2"/>
  <c r="E190" i="2"/>
  <c r="D190" i="2"/>
  <c r="C190" i="2"/>
  <c r="A190" i="2" s="1"/>
  <c r="Q189" i="2"/>
  <c r="P189" i="2"/>
  <c r="K189" i="2"/>
  <c r="G189" i="2"/>
  <c r="F189" i="2"/>
  <c r="E189" i="2"/>
  <c r="D189" i="2"/>
  <c r="C189" i="2"/>
  <c r="A189" i="2" s="1"/>
  <c r="Q188" i="2"/>
  <c r="P188" i="2"/>
  <c r="K188" i="2"/>
  <c r="G188" i="2"/>
  <c r="F188" i="2"/>
  <c r="E188" i="2"/>
  <c r="D188" i="2"/>
  <c r="C188" i="2"/>
  <c r="A188" i="2" s="1"/>
  <c r="Q187" i="2"/>
  <c r="P187" i="2"/>
  <c r="K187" i="2"/>
  <c r="G187" i="2"/>
  <c r="F187" i="2"/>
  <c r="E187" i="2"/>
  <c r="D187" i="2"/>
  <c r="C187" i="2"/>
  <c r="A187" i="2" s="1"/>
  <c r="Q186" i="2"/>
  <c r="P186" i="2"/>
  <c r="K186" i="2"/>
  <c r="G186" i="2"/>
  <c r="F186" i="2"/>
  <c r="E186" i="2"/>
  <c r="D186" i="2"/>
  <c r="C186" i="2"/>
  <c r="A186" i="2" s="1"/>
  <c r="Q185" i="2"/>
  <c r="P185" i="2"/>
  <c r="K185" i="2"/>
  <c r="G185" i="2"/>
  <c r="F185" i="2"/>
  <c r="E185" i="2"/>
  <c r="D185" i="2"/>
  <c r="C185" i="2"/>
  <c r="A185" i="2" s="1"/>
  <c r="Q184" i="2"/>
  <c r="P184" i="2"/>
  <c r="K184" i="2"/>
  <c r="G184" i="2"/>
  <c r="F184" i="2"/>
  <c r="E184" i="2"/>
  <c r="D184" i="2"/>
  <c r="C184" i="2"/>
  <c r="A184" i="2" s="1"/>
  <c r="Q183" i="2"/>
  <c r="P183" i="2"/>
  <c r="K183" i="2"/>
  <c r="G183" i="2"/>
  <c r="F183" i="2"/>
  <c r="E183" i="2"/>
  <c r="D183" i="2"/>
  <c r="C183" i="2"/>
  <c r="A183" i="2" s="1"/>
  <c r="Q182" i="2"/>
  <c r="P182" i="2"/>
  <c r="K182" i="2"/>
  <c r="G182" i="2"/>
  <c r="F182" i="2"/>
  <c r="E182" i="2"/>
  <c r="D182" i="2"/>
  <c r="C182" i="2"/>
  <c r="A182" i="2" s="1"/>
  <c r="Q181" i="2"/>
  <c r="P181" i="2"/>
  <c r="K181" i="2"/>
  <c r="G181" i="2"/>
  <c r="F181" i="2"/>
  <c r="E181" i="2"/>
  <c r="D181" i="2"/>
  <c r="C181" i="2"/>
  <c r="A181" i="2" s="1"/>
  <c r="Q180" i="2"/>
  <c r="P180" i="2"/>
  <c r="K180" i="2"/>
  <c r="G180" i="2"/>
  <c r="F180" i="2"/>
  <c r="E180" i="2"/>
  <c r="D180" i="2"/>
  <c r="C180" i="2"/>
  <c r="A180" i="2" s="1"/>
  <c r="Q179" i="2"/>
  <c r="P179" i="2"/>
  <c r="K179" i="2"/>
  <c r="G179" i="2"/>
  <c r="F179" i="2"/>
  <c r="E179" i="2"/>
  <c r="D179" i="2"/>
  <c r="C179" i="2"/>
  <c r="A179" i="2" s="1"/>
  <c r="Q178" i="2"/>
  <c r="P178" i="2"/>
  <c r="K178" i="2"/>
  <c r="G178" i="2"/>
  <c r="F178" i="2"/>
  <c r="E178" i="2"/>
  <c r="D178" i="2"/>
  <c r="C178" i="2"/>
  <c r="A178" i="2" s="1"/>
  <c r="Q177" i="2"/>
  <c r="P177" i="2"/>
  <c r="K177" i="2"/>
  <c r="G177" i="2"/>
  <c r="F177" i="2"/>
  <c r="E177" i="2"/>
  <c r="D177" i="2"/>
  <c r="C177" i="2"/>
  <c r="A177" i="2" s="1"/>
  <c r="Q176" i="2"/>
  <c r="P176" i="2"/>
  <c r="K176" i="2"/>
  <c r="G176" i="2"/>
  <c r="F176" i="2"/>
  <c r="E176" i="2"/>
  <c r="D176" i="2"/>
  <c r="C176" i="2"/>
  <c r="A176" i="2" s="1"/>
  <c r="Q175" i="2"/>
  <c r="P175" i="2"/>
  <c r="K175" i="2"/>
  <c r="G175" i="2"/>
  <c r="F175" i="2"/>
  <c r="E175" i="2"/>
  <c r="D175" i="2"/>
  <c r="C175" i="2"/>
  <c r="A175" i="2" s="1"/>
  <c r="Q174" i="2"/>
  <c r="P174" i="2"/>
  <c r="K174" i="2"/>
  <c r="G174" i="2"/>
  <c r="F174" i="2"/>
  <c r="E174" i="2"/>
  <c r="D174" i="2"/>
  <c r="C174" i="2"/>
  <c r="A174" i="2" s="1"/>
  <c r="Q173" i="2"/>
  <c r="P173" i="2"/>
  <c r="K173" i="2"/>
  <c r="G173" i="2"/>
  <c r="F173" i="2"/>
  <c r="E173" i="2"/>
  <c r="D173" i="2"/>
  <c r="C173" i="2"/>
  <c r="A173" i="2" s="1"/>
  <c r="Q172" i="2"/>
  <c r="P172" i="2"/>
  <c r="K172" i="2"/>
  <c r="G172" i="2"/>
  <c r="F172" i="2"/>
  <c r="E172" i="2"/>
  <c r="D172" i="2"/>
  <c r="C172" i="2"/>
  <c r="A172" i="2" s="1"/>
  <c r="Q171" i="2"/>
  <c r="P171" i="2"/>
  <c r="K171" i="2"/>
  <c r="G171" i="2"/>
  <c r="F171" i="2"/>
  <c r="E171" i="2"/>
  <c r="D171" i="2"/>
  <c r="C171" i="2"/>
  <c r="A171" i="2" s="1"/>
  <c r="Q170" i="2"/>
  <c r="P170" i="2"/>
  <c r="K170" i="2"/>
  <c r="G170" i="2"/>
  <c r="F170" i="2"/>
  <c r="E170" i="2"/>
  <c r="D170" i="2"/>
  <c r="C170" i="2"/>
  <c r="A170" i="2" s="1"/>
  <c r="Q169" i="2"/>
  <c r="P169" i="2"/>
  <c r="K169" i="2"/>
  <c r="G169" i="2"/>
  <c r="F169" i="2"/>
  <c r="E169" i="2"/>
  <c r="D169" i="2"/>
  <c r="C169" i="2"/>
  <c r="A169" i="2" s="1"/>
  <c r="Q168" i="2"/>
  <c r="P168" i="2"/>
  <c r="K168" i="2"/>
  <c r="G168" i="2"/>
  <c r="F168" i="2"/>
  <c r="E168" i="2"/>
  <c r="D168" i="2"/>
  <c r="C168" i="2"/>
  <c r="A168" i="2" s="1"/>
  <c r="Q167" i="2"/>
  <c r="P167" i="2"/>
  <c r="K167" i="2"/>
  <c r="G167" i="2"/>
  <c r="F167" i="2"/>
  <c r="E167" i="2"/>
  <c r="D167" i="2"/>
  <c r="C167" i="2"/>
  <c r="A167" i="2" s="1"/>
  <c r="Q166" i="2"/>
  <c r="P166" i="2"/>
  <c r="K166" i="2"/>
  <c r="G166" i="2"/>
  <c r="F166" i="2"/>
  <c r="E166" i="2"/>
  <c r="D166" i="2"/>
  <c r="C166" i="2"/>
  <c r="A166" i="2" s="1"/>
  <c r="Q165" i="2"/>
  <c r="P165" i="2"/>
  <c r="K165" i="2"/>
  <c r="G165" i="2"/>
  <c r="F165" i="2"/>
  <c r="E165" i="2"/>
  <c r="D165" i="2"/>
  <c r="C165" i="2"/>
  <c r="A165" i="2" s="1"/>
  <c r="Q164" i="2"/>
  <c r="P164" i="2"/>
  <c r="K164" i="2"/>
  <c r="G164" i="2"/>
  <c r="F164" i="2"/>
  <c r="E164" i="2"/>
  <c r="D164" i="2"/>
  <c r="C164" i="2"/>
  <c r="A164" i="2" s="1"/>
  <c r="Q163" i="2"/>
  <c r="P163" i="2"/>
  <c r="K163" i="2"/>
  <c r="G163" i="2"/>
  <c r="F163" i="2"/>
  <c r="E163" i="2"/>
  <c r="D163" i="2"/>
  <c r="C163" i="2"/>
  <c r="A163" i="2" s="1"/>
  <c r="Q162" i="2"/>
  <c r="P162" i="2"/>
  <c r="K162" i="2"/>
  <c r="G162" i="2"/>
  <c r="F162" i="2"/>
  <c r="E162" i="2"/>
  <c r="D162" i="2"/>
  <c r="C162" i="2"/>
  <c r="A162" i="2" s="1"/>
  <c r="Q161" i="2"/>
  <c r="P161" i="2"/>
  <c r="K161" i="2"/>
  <c r="G161" i="2"/>
  <c r="F161" i="2"/>
  <c r="E161" i="2"/>
  <c r="D161" i="2"/>
  <c r="C161" i="2"/>
  <c r="A161" i="2" s="1"/>
  <c r="Q160" i="2"/>
  <c r="P160" i="2"/>
  <c r="K160" i="2"/>
  <c r="G160" i="2"/>
  <c r="F160" i="2"/>
  <c r="E160" i="2"/>
  <c r="D160" i="2"/>
  <c r="C160" i="2"/>
  <c r="A160" i="2" s="1"/>
  <c r="Q159" i="2"/>
  <c r="P159" i="2"/>
  <c r="K159" i="2"/>
  <c r="G159" i="2"/>
  <c r="F159" i="2"/>
  <c r="E159" i="2"/>
  <c r="D159" i="2"/>
  <c r="C159" i="2"/>
  <c r="A159" i="2" s="1"/>
  <c r="Q158" i="2"/>
  <c r="P158" i="2"/>
  <c r="K158" i="2"/>
  <c r="G158" i="2"/>
  <c r="F158" i="2"/>
  <c r="E158" i="2"/>
  <c r="D158" i="2"/>
  <c r="C158" i="2"/>
  <c r="A158" i="2" s="1"/>
  <c r="Q157" i="2"/>
  <c r="P157" i="2"/>
  <c r="K157" i="2"/>
  <c r="G157" i="2"/>
  <c r="F157" i="2"/>
  <c r="E157" i="2"/>
  <c r="D157" i="2"/>
  <c r="C157" i="2"/>
  <c r="A157" i="2" s="1"/>
  <c r="Q156" i="2"/>
  <c r="P156" i="2"/>
  <c r="K156" i="2"/>
  <c r="G156" i="2"/>
  <c r="F156" i="2"/>
  <c r="E156" i="2"/>
  <c r="D156" i="2"/>
  <c r="C156" i="2"/>
  <c r="A156" i="2" s="1"/>
  <c r="Q155" i="2"/>
  <c r="P155" i="2"/>
  <c r="K155" i="2"/>
  <c r="G155" i="2"/>
  <c r="F155" i="2"/>
  <c r="E155" i="2"/>
  <c r="D155" i="2"/>
  <c r="C155" i="2"/>
  <c r="A155" i="2" s="1"/>
  <c r="Q154" i="2"/>
  <c r="P154" i="2"/>
  <c r="K154" i="2"/>
  <c r="G154" i="2"/>
  <c r="F154" i="2"/>
  <c r="E154" i="2"/>
  <c r="D154" i="2"/>
  <c r="C154" i="2"/>
  <c r="A154" i="2" s="1"/>
  <c r="Q153" i="2"/>
  <c r="P153" i="2"/>
  <c r="K153" i="2"/>
  <c r="G153" i="2"/>
  <c r="F153" i="2"/>
  <c r="E153" i="2"/>
  <c r="D153" i="2"/>
  <c r="C153" i="2"/>
  <c r="A153" i="2" s="1"/>
  <c r="Q152" i="2"/>
  <c r="P152" i="2"/>
  <c r="K152" i="2"/>
  <c r="G152" i="2"/>
  <c r="F152" i="2"/>
  <c r="E152" i="2"/>
  <c r="D152" i="2"/>
  <c r="C152" i="2"/>
  <c r="A152" i="2" s="1"/>
  <c r="Q151" i="2"/>
  <c r="P151" i="2"/>
  <c r="K151" i="2"/>
  <c r="G151" i="2"/>
  <c r="F151" i="2"/>
  <c r="E151" i="2"/>
  <c r="D151" i="2"/>
  <c r="C151" i="2"/>
  <c r="A151" i="2" s="1"/>
  <c r="Q150" i="2"/>
  <c r="P150" i="2"/>
  <c r="K150" i="2"/>
  <c r="G150" i="2"/>
  <c r="F150" i="2"/>
  <c r="E150" i="2"/>
  <c r="D150" i="2"/>
  <c r="C150" i="2"/>
  <c r="A150" i="2" s="1"/>
  <c r="Q149" i="2"/>
  <c r="P149" i="2"/>
  <c r="K149" i="2"/>
  <c r="G149" i="2"/>
  <c r="F149" i="2"/>
  <c r="E149" i="2"/>
  <c r="D149" i="2"/>
  <c r="C149" i="2"/>
  <c r="A149" i="2" s="1"/>
  <c r="Q148" i="2"/>
  <c r="P148" i="2"/>
  <c r="K148" i="2"/>
  <c r="G148" i="2"/>
  <c r="F148" i="2"/>
  <c r="E148" i="2"/>
  <c r="D148" i="2"/>
  <c r="C148" i="2"/>
  <c r="A148" i="2" s="1"/>
  <c r="Q147" i="2"/>
  <c r="P147" i="2"/>
  <c r="K147" i="2"/>
  <c r="G147" i="2"/>
  <c r="F147" i="2"/>
  <c r="E147" i="2"/>
  <c r="D147" i="2"/>
  <c r="C147" i="2"/>
  <c r="A147" i="2" s="1"/>
  <c r="Q146" i="2"/>
  <c r="P146" i="2"/>
  <c r="K146" i="2"/>
  <c r="G146" i="2"/>
  <c r="F146" i="2"/>
  <c r="E146" i="2"/>
  <c r="D146" i="2"/>
  <c r="C146" i="2"/>
  <c r="A146" i="2" s="1"/>
  <c r="Q145" i="2"/>
  <c r="P145" i="2"/>
  <c r="K145" i="2"/>
  <c r="G145" i="2"/>
  <c r="F145" i="2"/>
  <c r="E145" i="2"/>
  <c r="D145" i="2"/>
  <c r="C145" i="2"/>
  <c r="A145" i="2" s="1"/>
  <c r="Q144" i="2"/>
  <c r="P144" i="2"/>
  <c r="K144" i="2"/>
  <c r="G144" i="2"/>
  <c r="F144" i="2"/>
  <c r="E144" i="2"/>
  <c r="D144" i="2"/>
  <c r="C144" i="2"/>
  <c r="A144" i="2" s="1"/>
  <c r="Q143" i="2"/>
  <c r="P143" i="2"/>
  <c r="K143" i="2"/>
  <c r="G143" i="2"/>
  <c r="F143" i="2"/>
  <c r="E143" i="2"/>
  <c r="D143" i="2"/>
  <c r="C143" i="2"/>
  <c r="A143" i="2" s="1"/>
  <c r="Q142" i="2"/>
  <c r="P142" i="2"/>
  <c r="K142" i="2"/>
  <c r="G142" i="2"/>
  <c r="F142" i="2"/>
  <c r="E142" i="2"/>
  <c r="D142" i="2"/>
  <c r="C142" i="2"/>
  <c r="A142" i="2" s="1"/>
  <c r="Q141" i="2"/>
  <c r="P141" i="2"/>
  <c r="K141" i="2"/>
  <c r="G141" i="2"/>
  <c r="F141" i="2"/>
  <c r="E141" i="2"/>
  <c r="D141" i="2"/>
  <c r="C141" i="2"/>
  <c r="A141" i="2" s="1"/>
  <c r="Q140" i="2"/>
  <c r="P140" i="2"/>
  <c r="K140" i="2"/>
  <c r="G140" i="2"/>
  <c r="F140" i="2"/>
  <c r="E140" i="2"/>
  <c r="D140" i="2"/>
  <c r="C140" i="2"/>
  <c r="A140" i="2" s="1"/>
  <c r="Q139" i="2"/>
  <c r="P139" i="2"/>
  <c r="K139" i="2"/>
  <c r="G139" i="2"/>
  <c r="F139" i="2"/>
  <c r="E139" i="2"/>
  <c r="D139" i="2"/>
  <c r="C139" i="2"/>
  <c r="A139" i="2" s="1"/>
  <c r="Q138" i="2"/>
  <c r="P138" i="2"/>
  <c r="K138" i="2"/>
  <c r="G138" i="2"/>
  <c r="F138" i="2"/>
  <c r="E138" i="2"/>
  <c r="D138" i="2"/>
  <c r="C138" i="2"/>
  <c r="A138" i="2" s="1"/>
  <c r="Q137" i="2"/>
  <c r="P137" i="2"/>
  <c r="K137" i="2"/>
  <c r="G137" i="2"/>
  <c r="F137" i="2"/>
  <c r="E137" i="2"/>
  <c r="D137" i="2"/>
  <c r="C137" i="2"/>
  <c r="A137" i="2" s="1"/>
  <c r="Q136" i="2"/>
  <c r="P136" i="2"/>
  <c r="K136" i="2"/>
  <c r="G136" i="2"/>
  <c r="F136" i="2"/>
  <c r="E136" i="2"/>
  <c r="D136" i="2"/>
  <c r="C136" i="2"/>
  <c r="A136" i="2" s="1"/>
  <c r="Q135" i="2"/>
  <c r="P135" i="2"/>
  <c r="K135" i="2"/>
  <c r="G135" i="2"/>
  <c r="F135" i="2"/>
  <c r="E135" i="2"/>
  <c r="D135" i="2"/>
  <c r="C135" i="2"/>
  <c r="A135" i="2" s="1"/>
  <c r="Q134" i="2"/>
  <c r="P134" i="2"/>
  <c r="K134" i="2"/>
  <c r="G134" i="2"/>
  <c r="F134" i="2"/>
  <c r="E134" i="2"/>
  <c r="D134" i="2"/>
  <c r="C134" i="2"/>
  <c r="A134" i="2" s="1"/>
  <c r="Q133" i="2"/>
  <c r="P133" i="2"/>
  <c r="K133" i="2"/>
  <c r="G133" i="2"/>
  <c r="F133" i="2"/>
  <c r="E133" i="2"/>
  <c r="D133" i="2"/>
  <c r="C133" i="2"/>
  <c r="A133" i="2" s="1"/>
  <c r="Q132" i="2"/>
  <c r="P132" i="2"/>
  <c r="K132" i="2"/>
  <c r="G132" i="2"/>
  <c r="F132" i="2"/>
  <c r="E132" i="2"/>
  <c r="D132" i="2"/>
  <c r="C132" i="2"/>
  <c r="A132" i="2" s="1"/>
  <c r="Q131" i="2"/>
  <c r="P131" i="2"/>
  <c r="K131" i="2"/>
  <c r="G131" i="2"/>
  <c r="F131" i="2"/>
  <c r="E131" i="2"/>
  <c r="D131" i="2"/>
  <c r="C131" i="2"/>
  <c r="A131" i="2" s="1"/>
  <c r="Q130" i="2"/>
  <c r="P130" i="2"/>
  <c r="K130" i="2"/>
  <c r="G130" i="2"/>
  <c r="F130" i="2"/>
  <c r="E130" i="2"/>
  <c r="D130" i="2"/>
  <c r="C130" i="2"/>
  <c r="A130" i="2" s="1"/>
  <c r="Q129" i="2"/>
  <c r="P129" i="2"/>
  <c r="K129" i="2"/>
  <c r="G129" i="2"/>
  <c r="F129" i="2"/>
  <c r="E129" i="2"/>
  <c r="D129" i="2"/>
  <c r="C129" i="2"/>
  <c r="A129" i="2" s="1"/>
  <c r="Q128" i="2"/>
  <c r="P128" i="2"/>
  <c r="K128" i="2"/>
  <c r="G128" i="2"/>
  <c r="F128" i="2"/>
  <c r="E128" i="2"/>
  <c r="D128" i="2"/>
  <c r="C128" i="2"/>
  <c r="A128" i="2" s="1"/>
  <c r="Q127" i="2"/>
  <c r="P127" i="2"/>
  <c r="K127" i="2"/>
  <c r="G127" i="2"/>
  <c r="F127" i="2"/>
  <c r="E127" i="2"/>
  <c r="D127" i="2"/>
  <c r="C127" i="2"/>
  <c r="A127" i="2" s="1"/>
  <c r="Q126" i="2"/>
  <c r="P126" i="2"/>
  <c r="K126" i="2"/>
  <c r="G126" i="2"/>
  <c r="F126" i="2"/>
  <c r="E126" i="2"/>
  <c r="D126" i="2"/>
  <c r="C126" i="2"/>
  <c r="A126" i="2" s="1"/>
  <c r="Q125" i="2"/>
  <c r="P125" i="2"/>
  <c r="K125" i="2"/>
  <c r="G125" i="2"/>
  <c r="F125" i="2"/>
  <c r="E125" i="2"/>
  <c r="D125" i="2"/>
  <c r="C125" i="2"/>
  <c r="A125" i="2" s="1"/>
  <c r="Q124" i="2"/>
  <c r="P124" i="2"/>
  <c r="K124" i="2"/>
  <c r="G124" i="2"/>
  <c r="F124" i="2"/>
  <c r="E124" i="2"/>
  <c r="D124" i="2"/>
  <c r="C124" i="2"/>
  <c r="A124" i="2" s="1"/>
  <c r="Q123" i="2"/>
  <c r="P123" i="2"/>
  <c r="K123" i="2"/>
  <c r="G123" i="2"/>
  <c r="F123" i="2"/>
  <c r="E123" i="2"/>
  <c r="D123" i="2"/>
  <c r="C123" i="2"/>
  <c r="A123" i="2" s="1"/>
  <c r="Q122" i="2"/>
  <c r="P122" i="2"/>
  <c r="K122" i="2"/>
  <c r="G122" i="2"/>
  <c r="F122" i="2"/>
  <c r="E122" i="2"/>
  <c r="D122" i="2"/>
  <c r="C122" i="2"/>
  <c r="A122" i="2"/>
  <c r="Q121" i="2"/>
  <c r="P121" i="2"/>
  <c r="K121" i="2"/>
  <c r="G121" i="2"/>
  <c r="F121" i="2"/>
  <c r="E121" i="2"/>
  <c r="D121" i="2"/>
  <c r="C121" i="2"/>
  <c r="A121" i="2" s="1"/>
  <c r="Q120" i="2"/>
  <c r="P120" i="2"/>
  <c r="K120" i="2"/>
  <c r="G120" i="2"/>
  <c r="F120" i="2"/>
  <c r="E120" i="2"/>
  <c r="D120" i="2"/>
  <c r="C120" i="2"/>
  <c r="A120" i="2" s="1"/>
  <c r="Q119" i="2"/>
  <c r="P119" i="2"/>
  <c r="K119" i="2"/>
  <c r="G119" i="2"/>
  <c r="F119" i="2"/>
  <c r="E119" i="2"/>
  <c r="D119" i="2"/>
  <c r="C119" i="2"/>
  <c r="A119" i="2" s="1"/>
  <c r="Q118" i="2"/>
  <c r="P118" i="2"/>
  <c r="K118" i="2"/>
  <c r="G118" i="2"/>
  <c r="F118" i="2"/>
  <c r="E118" i="2"/>
  <c r="D118" i="2"/>
  <c r="C118" i="2"/>
  <c r="A118" i="2" s="1"/>
  <c r="Q117" i="2"/>
  <c r="P117" i="2"/>
  <c r="K117" i="2"/>
  <c r="G117" i="2"/>
  <c r="F117" i="2"/>
  <c r="E117" i="2"/>
  <c r="D117" i="2"/>
  <c r="C117" i="2"/>
  <c r="A117" i="2" s="1"/>
  <c r="Q116" i="2"/>
  <c r="P116" i="2"/>
  <c r="K116" i="2"/>
  <c r="G116" i="2"/>
  <c r="F116" i="2"/>
  <c r="E116" i="2"/>
  <c r="D116" i="2"/>
  <c r="C116" i="2"/>
  <c r="A116" i="2" s="1"/>
  <c r="Q115" i="2"/>
  <c r="P115" i="2"/>
  <c r="K115" i="2"/>
  <c r="G115" i="2"/>
  <c r="F115" i="2"/>
  <c r="E115" i="2"/>
  <c r="D115" i="2"/>
  <c r="C115" i="2"/>
  <c r="A115" i="2" s="1"/>
  <c r="Q114" i="2"/>
  <c r="P114" i="2"/>
  <c r="K114" i="2"/>
  <c r="G114" i="2"/>
  <c r="F114" i="2"/>
  <c r="E114" i="2"/>
  <c r="D114" i="2"/>
  <c r="C114" i="2"/>
  <c r="A114" i="2" s="1"/>
  <c r="Q113" i="2"/>
  <c r="P113" i="2"/>
  <c r="K113" i="2"/>
  <c r="G113" i="2"/>
  <c r="F113" i="2"/>
  <c r="E113" i="2"/>
  <c r="D113" i="2"/>
  <c r="C113" i="2"/>
  <c r="A113" i="2" s="1"/>
  <c r="Q112" i="2"/>
  <c r="P112" i="2"/>
  <c r="K112" i="2"/>
  <c r="G112" i="2"/>
  <c r="F112" i="2"/>
  <c r="E112" i="2"/>
  <c r="D112" i="2"/>
  <c r="C112" i="2"/>
  <c r="A112" i="2" s="1"/>
  <c r="Q111" i="2"/>
  <c r="P111" i="2"/>
  <c r="K111" i="2"/>
  <c r="G111" i="2"/>
  <c r="F111" i="2"/>
  <c r="E111" i="2"/>
  <c r="D111" i="2"/>
  <c r="C111" i="2"/>
  <c r="A111" i="2" s="1"/>
  <c r="Q110" i="2"/>
  <c r="P110" i="2"/>
  <c r="K110" i="2"/>
  <c r="G110" i="2"/>
  <c r="F110" i="2"/>
  <c r="E110" i="2"/>
  <c r="D110" i="2"/>
  <c r="C110" i="2"/>
  <c r="A110" i="2" s="1"/>
  <c r="Q109" i="2"/>
  <c r="P109" i="2"/>
  <c r="K109" i="2"/>
  <c r="G109" i="2"/>
  <c r="F109" i="2"/>
  <c r="E109" i="2"/>
  <c r="D109" i="2"/>
  <c r="C109" i="2"/>
  <c r="A109" i="2" s="1"/>
  <c r="Q108" i="2"/>
  <c r="P108" i="2"/>
  <c r="K108" i="2"/>
  <c r="G108" i="2"/>
  <c r="F108" i="2"/>
  <c r="E108" i="2"/>
  <c r="D108" i="2"/>
  <c r="C108" i="2"/>
  <c r="A108" i="2" s="1"/>
  <c r="Q107" i="2"/>
  <c r="P107" i="2"/>
  <c r="K107" i="2"/>
  <c r="G107" i="2"/>
  <c r="F107" i="2"/>
  <c r="E107" i="2"/>
  <c r="D107" i="2"/>
  <c r="C107" i="2"/>
  <c r="A107" i="2" s="1"/>
  <c r="Q106" i="2"/>
  <c r="P106" i="2"/>
  <c r="K106" i="2"/>
  <c r="G106" i="2"/>
  <c r="F106" i="2"/>
  <c r="E106" i="2"/>
  <c r="D106" i="2"/>
  <c r="C106" i="2"/>
  <c r="A106" i="2" s="1"/>
  <c r="Q105" i="2"/>
  <c r="P105" i="2"/>
  <c r="K105" i="2"/>
  <c r="G105" i="2"/>
  <c r="F105" i="2"/>
  <c r="E105" i="2"/>
  <c r="D105" i="2"/>
  <c r="C105" i="2"/>
  <c r="A105" i="2" s="1"/>
  <c r="Q104" i="2"/>
  <c r="P104" i="2"/>
  <c r="K104" i="2"/>
  <c r="G104" i="2"/>
  <c r="F104" i="2"/>
  <c r="E104" i="2"/>
  <c r="D104" i="2"/>
  <c r="C104" i="2"/>
  <c r="A104" i="2" s="1"/>
  <c r="Q103" i="2"/>
  <c r="P103" i="2"/>
  <c r="K103" i="2"/>
  <c r="G103" i="2"/>
  <c r="F103" i="2"/>
  <c r="E103" i="2"/>
  <c r="D103" i="2"/>
  <c r="C103" i="2"/>
  <c r="A103" i="2" s="1"/>
  <c r="Q102" i="2"/>
  <c r="P102" i="2"/>
  <c r="K102" i="2"/>
  <c r="G102" i="2"/>
  <c r="F102" i="2"/>
  <c r="E102" i="2"/>
  <c r="D102" i="2"/>
  <c r="C102" i="2"/>
  <c r="A102" i="2" s="1"/>
  <c r="Q101" i="2"/>
  <c r="P101" i="2"/>
  <c r="K101" i="2"/>
  <c r="G101" i="2"/>
  <c r="F101" i="2"/>
  <c r="E101" i="2"/>
  <c r="D101" i="2"/>
  <c r="C101" i="2"/>
  <c r="A101" i="2" s="1"/>
  <c r="Q100" i="2"/>
  <c r="P100" i="2"/>
  <c r="K100" i="2"/>
  <c r="G100" i="2"/>
  <c r="F100" i="2"/>
  <c r="E100" i="2"/>
  <c r="D100" i="2"/>
  <c r="C100" i="2"/>
  <c r="A100" i="2" s="1"/>
  <c r="Q99" i="2"/>
  <c r="P99" i="2"/>
  <c r="K99" i="2"/>
  <c r="G99" i="2"/>
  <c r="F99" i="2"/>
  <c r="E99" i="2"/>
  <c r="D99" i="2"/>
  <c r="C99" i="2"/>
  <c r="A99" i="2" s="1"/>
  <c r="Q98" i="2"/>
  <c r="P98" i="2"/>
  <c r="K98" i="2"/>
  <c r="G98" i="2"/>
  <c r="F98" i="2"/>
  <c r="E98" i="2"/>
  <c r="D98" i="2"/>
  <c r="C98" i="2"/>
  <c r="A98" i="2" s="1"/>
  <c r="Q97" i="2"/>
  <c r="P97" i="2"/>
  <c r="K97" i="2"/>
  <c r="G97" i="2"/>
  <c r="F97" i="2"/>
  <c r="E97" i="2"/>
  <c r="D97" i="2"/>
  <c r="C97" i="2"/>
  <c r="A97" i="2" s="1"/>
  <c r="Q96" i="2"/>
  <c r="P96" i="2"/>
  <c r="K96" i="2"/>
  <c r="G96" i="2"/>
  <c r="F96" i="2"/>
  <c r="E96" i="2"/>
  <c r="D96" i="2"/>
  <c r="C96" i="2"/>
  <c r="A96" i="2" s="1"/>
  <c r="Q95" i="2"/>
  <c r="P95" i="2"/>
  <c r="K95" i="2"/>
  <c r="G95" i="2"/>
  <c r="F95" i="2"/>
  <c r="E95" i="2"/>
  <c r="D95" i="2"/>
  <c r="C95" i="2"/>
  <c r="A95" i="2" s="1"/>
  <c r="Q94" i="2"/>
  <c r="P94" i="2"/>
  <c r="K94" i="2"/>
  <c r="G94" i="2"/>
  <c r="F94" i="2"/>
  <c r="E94" i="2"/>
  <c r="D94" i="2"/>
  <c r="C94" i="2"/>
  <c r="A94" i="2" s="1"/>
  <c r="Q93" i="2"/>
  <c r="P93" i="2"/>
  <c r="K93" i="2"/>
  <c r="G93" i="2"/>
  <c r="F93" i="2"/>
  <c r="E93" i="2"/>
  <c r="D93" i="2"/>
  <c r="C93" i="2"/>
  <c r="A93" i="2" s="1"/>
  <c r="Q92" i="2"/>
  <c r="P92" i="2"/>
  <c r="K92" i="2"/>
  <c r="G92" i="2"/>
  <c r="F92" i="2"/>
  <c r="E92" i="2"/>
  <c r="D92" i="2"/>
  <c r="C92" i="2"/>
  <c r="A92" i="2" s="1"/>
  <c r="Q91" i="2"/>
  <c r="P91" i="2"/>
  <c r="K91" i="2"/>
  <c r="G91" i="2"/>
  <c r="F91" i="2"/>
  <c r="E91" i="2"/>
  <c r="D91" i="2"/>
  <c r="C91" i="2"/>
  <c r="A91" i="2" s="1"/>
  <c r="Q90" i="2"/>
  <c r="P90" i="2"/>
  <c r="K90" i="2"/>
  <c r="G90" i="2"/>
  <c r="F90" i="2"/>
  <c r="E90" i="2"/>
  <c r="D90" i="2"/>
  <c r="C90" i="2"/>
  <c r="A90" i="2" s="1"/>
  <c r="Q89" i="2"/>
  <c r="P89" i="2"/>
  <c r="K89" i="2"/>
  <c r="G89" i="2"/>
  <c r="F89" i="2"/>
  <c r="E89" i="2"/>
  <c r="D89" i="2"/>
  <c r="C89" i="2"/>
  <c r="A89" i="2" s="1"/>
  <c r="Q88" i="2"/>
  <c r="P88" i="2"/>
  <c r="K88" i="2"/>
  <c r="G88" i="2"/>
  <c r="F88" i="2"/>
  <c r="E88" i="2"/>
  <c r="D88" i="2"/>
  <c r="C88" i="2"/>
  <c r="A88" i="2" s="1"/>
  <c r="Q87" i="2"/>
  <c r="P87" i="2"/>
  <c r="K87" i="2"/>
  <c r="G87" i="2"/>
  <c r="F87" i="2"/>
  <c r="E87" i="2"/>
  <c r="D87" i="2"/>
  <c r="C87" i="2"/>
  <c r="A87" i="2" s="1"/>
  <c r="Q86" i="2"/>
  <c r="P86" i="2"/>
  <c r="K86" i="2"/>
  <c r="G86" i="2"/>
  <c r="F86" i="2"/>
  <c r="E86" i="2"/>
  <c r="D86" i="2"/>
  <c r="C86" i="2"/>
  <c r="A86" i="2" s="1"/>
  <c r="Q85" i="2"/>
  <c r="P85" i="2"/>
  <c r="K85" i="2"/>
  <c r="G85" i="2"/>
  <c r="F85" i="2"/>
  <c r="E85" i="2"/>
  <c r="D85" i="2"/>
  <c r="C85" i="2"/>
  <c r="A85" i="2" s="1"/>
  <c r="Q84" i="2"/>
  <c r="P84" i="2"/>
  <c r="K84" i="2"/>
  <c r="G84" i="2"/>
  <c r="F84" i="2"/>
  <c r="E84" i="2"/>
  <c r="D84" i="2"/>
  <c r="C84" i="2"/>
  <c r="A84" i="2" s="1"/>
  <c r="Q83" i="2"/>
  <c r="P83" i="2"/>
  <c r="K83" i="2"/>
  <c r="G83" i="2"/>
  <c r="F83" i="2"/>
  <c r="E83" i="2"/>
  <c r="D83" i="2"/>
  <c r="C83" i="2"/>
  <c r="A83" i="2" s="1"/>
  <c r="Q82" i="2"/>
  <c r="P82" i="2"/>
  <c r="K82" i="2"/>
  <c r="G82" i="2"/>
  <c r="F82" i="2"/>
  <c r="E82" i="2"/>
  <c r="D82" i="2"/>
  <c r="C82" i="2"/>
  <c r="A82" i="2" s="1"/>
  <c r="Q81" i="2"/>
  <c r="P81" i="2"/>
  <c r="K81" i="2"/>
  <c r="G81" i="2"/>
  <c r="F81" i="2"/>
  <c r="E81" i="2"/>
  <c r="D81" i="2"/>
  <c r="C81" i="2"/>
  <c r="A81" i="2" s="1"/>
  <c r="Q80" i="2"/>
  <c r="P80" i="2"/>
  <c r="K80" i="2"/>
  <c r="G80" i="2"/>
  <c r="F80" i="2"/>
  <c r="E80" i="2"/>
  <c r="D80" i="2"/>
  <c r="C80" i="2"/>
  <c r="A80" i="2" s="1"/>
  <c r="Q79" i="2"/>
  <c r="P79" i="2"/>
  <c r="K79" i="2"/>
  <c r="G79" i="2"/>
  <c r="F79" i="2"/>
  <c r="E79" i="2"/>
  <c r="D79" i="2"/>
  <c r="C79" i="2"/>
  <c r="A79" i="2" s="1"/>
  <c r="Q78" i="2"/>
  <c r="P78" i="2"/>
  <c r="K78" i="2"/>
  <c r="G78" i="2"/>
  <c r="F78" i="2"/>
  <c r="E78" i="2"/>
  <c r="D78" i="2"/>
  <c r="C78" i="2"/>
  <c r="A78" i="2" s="1"/>
  <c r="Q77" i="2"/>
  <c r="P77" i="2"/>
  <c r="K77" i="2"/>
  <c r="G77" i="2"/>
  <c r="F77" i="2"/>
  <c r="E77" i="2"/>
  <c r="D77" i="2"/>
  <c r="C77" i="2"/>
  <c r="A77" i="2" s="1"/>
  <c r="Q76" i="2"/>
  <c r="P76" i="2"/>
  <c r="K76" i="2"/>
  <c r="G76" i="2"/>
  <c r="F76" i="2"/>
  <c r="E76" i="2"/>
  <c r="D76" i="2"/>
  <c r="C76" i="2"/>
  <c r="A76" i="2" s="1"/>
  <c r="Q75" i="2"/>
  <c r="P75" i="2"/>
  <c r="K75" i="2"/>
  <c r="G75" i="2"/>
  <c r="F75" i="2"/>
  <c r="E75" i="2"/>
  <c r="D75" i="2"/>
  <c r="C75" i="2"/>
  <c r="A75" i="2" s="1"/>
  <c r="Q74" i="2"/>
  <c r="P74" i="2"/>
  <c r="K74" i="2"/>
  <c r="G74" i="2"/>
  <c r="F74" i="2"/>
  <c r="E74" i="2"/>
  <c r="D74" i="2"/>
  <c r="C74" i="2"/>
  <c r="A74" i="2" s="1"/>
  <c r="Q73" i="2"/>
  <c r="P73" i="2"/>
  <c r="K73" i="2"/>
  <c r="G73" i="2"/>
  <c r="F73" i="2"/>
  <c r="E73" i="2"/>
  <c r="D73" i="2"/>
  <c r="C73" i="2"/>
  <c r="A73" i="2" s="1"/>
  <c r="Q72" i="2"/>
  <c r="P72" i="2"/>
  <c r="K72" i="2"/>
  <c r="G72" i="2"/>
  <c r="F72" i="2"/>
  <c r="E72" i="2"/>
  <c r="D72" i="2"/>
  <c r="C72" i="2"/>
  <c r="A72" i="2" s="1"/>
  <c r="Q71" i="2"/>
  <c r="P71" i="2"/>
  <c r="K71" i="2"/>
  <c r="G71" i="2"/>
  <c r="F71" i="2"/>
  <c r="E71" i="2"/>
  <c r="D71" i="2"/>
  <c r="C71" i="2"/>
  <c r="A71" i="2" s="1"/>
  <c r="Q70" i="2"/>
  <c r="P70" i="2"/>
  <c r="K70" i="2"/>
  <c r="G70" i="2"/>
  <c r="F70" i="2"/>
  <c r="E70" i="2"/>
  <c r="D70" i="2"/>
  <c r="C70" i="2"/>
  <c r="A70" i="2" s="1"/>
  <c r="Q69" i="2"/>
  <c r="P69" i="2"/>
  <c r="K69" i="2"/>
  <c r="G69" i="2"/>
  <c r="F69" i="2"/>
  <c r="E69" i="2"/>
  <c r="D69" i="2"/>
  <c r="C69" i="2"/>
  <c r="A69" i="2" s="1"/>
  <c r="Q68" i="2"/>
  <c r="P68" i="2"/>
  <c r="K68" i="2"/>
  <c r="G68" i="2"/>
  <c r="F68" i="2"/>
  <c r="E68" i="2"/>
  <c r="D68" i="2"/>
  <c r="C68" i="2"/>
  <c r="A68" i="2" s="1"/>
  <c r="Q67" i="2"/>
  <c r="P67" i="2"/>
  <c r="K67" i="2"/>
  <c r="G67" i="2"/>
  <c r="F67" i="2"/>
  <c r="E67" i="2"/>
  <c r="D67" i="2"/>
  <c r="C67" i="2"/>
  <c r="A67" i="2" s="1"/>
  <c r="Q66" i="2"/>
  <c r="P66" i="2"/>
  <c r="K66" i="2"/>
  <c r="G66" i="2"/>
  <c r="F66" i="2"/>
  <c r="E66" i="2"/>
  <c r="D66" i="2"/>
  <c r="C66" i="2"/>
  <c r="A66" i="2" s="1"/>
  <c r="Q65" i="2"/>
  <c r="P65" i="2"/>
  <c r="K65" i="2"/>
  <c r="G65" i="2"/>
  <c r="F65" i="2"/>
  <c r="E65" i="2"/>
  <c r="D65" i="2"/>
  <c r="C65" i="2"/>
  <c r="A65" i="2" s="1"/>
  <c r="Q64" i="2"/>
  <c r="P64" i="2"/>
  <c r="K64" i="2"/>
  <c r="G64" i="2"/>
  <c r="F64" i="2"/>
  <c r="E64" i="2"/>
  <c r="D64" i="2"/>
  <c r="C64" i="2"/>
  <c r="A64" i="2" s="1"/>
  <c r="Q63" i="2"/>
  <c r="P63" i="2"/>
  <c r="K63" i="2"/>
  <c r="G63" i="2"/>
  <c r="F63" i="2"/>
  <c r="E63" i="2"/>
  <c r="D63" i="2"/>
  <c r="C63" i="2"/>
  <c r="A63" i="2" s="1"/>
  <c r="Q62" i="2"/>
  <c r="P62" i="2"/>
  <c r="K62" i="2"/>
  <c r="G62" i="2"/>
  <c r="F62" i="2"/>
  <c r="E62" i="2"/>
  <c r="D62" i="2"/>
  <c r="C62" i="2"/>
  <c r="A62" i="2" s="1"/>
  <c r="Q61" i="2"/>
  <c r="P61" i="2"/>
  <c r="K61" i="2"/>
  <c r="G61" i="2"/>
  <c r="F61" i="2"/>
  <c r="E61" i="2"/>
  <c r="D61" i="2"/>
  <c r="C61" i="2"/>
  <c r="A61" i="2" s="1"/>
  <c r="Q60" i="2"/>
  <c r="P60" i="2"/>
  <c r="K60" i="2"/>
  <c r="G60" i="2"/>
  <c r="F60" i="2"/>
  <c r="E60" i="2"/>
  <c r="D60" i="2"/>
  <c r="C60" i="2"/>
  <c r="A60" i="2" s="1"/>
  <c r="Q59" i="2"/>
  <c r="P59" i="2"/>
  <c r="K59" i="2"/>
  <c r="G59" i="2"/>
  <c r="F59" i="2"/>
  <c r="E59" i="2"/>
  <c r="D59" i="2"/>
  <c r="C59" i="2"/>
  <c r="A59" i="2" s="1"/>
  <c r="Q58" i="2"/>
  <c r="P58" i="2"/>
  <c r="K58" i="2"/>
  <c r="G58" i="2"/>
  <c r="F58" i="2"/>
  <c r="E58" i="2"/>
  <c r="D58" i="2"/>
  <c r="C58" i="2"/>
  <c r="A58" i="2" s="1"/>
  <c r="Q57" i="2"/>
  <c r="P57" i="2"/>
  <c r="K57" i="2"/>
  <c r="G57" i="2"/>
  <c r="F57" i="2"/>
  <c r="E57" i="2"/>
  <c r="D57" i="2"/>
  <c r="C57" i="2"/>
  <c r="A57" i="2" s="1"/>
  <c r="Q56" i="2"/>
  <c r="P56" i="2"/>
  <c r="K56" i="2"/>
  <c r="G56" i="2"/>
  <c r="F56" i="2"/>
  <c r="E56" i="2"/>
  <c r="D56" i="2"/>
  <c r="C56" i="2"/>
  <c r="A56" i="2" s="1"/>
  <c r="Q55" i="2"/>
  <c r="P55" i="2"/>
  <c r="K55" i="2"/>
  <c r="G55" i="2"/>
  <c r="F55" i="2"/>
  <c r="E55" i="2"/>
  <c r="D55" i="2"/>
  <c r="C55" i="2"/>
  <c r="A55" i="2" s="1"/>
  <c r="Q54" i="2"/>
  <c r="P54" i="2"/>
  <c r="K54" i="2"/>
  <c r="G54" i="2"/>
  <c r="F54" i="2"/>
  <c r="E54" i="2"/>
  <c r="D54" i="2"/>
  <c r="C54" i="2"/>
  <c r="A54" i="2" s="1"/>
  <c r="Q53" i="2"/>
  <c r="P53" i="2"/>
  <c r="K53" i="2"/>
  <c r="G53" i="2"/>
  <c r="F53" i="2"/>
  <c r="E53" i="2"/>
  <c r="D53" i="2"/>
  <c r="C53" i="2"/>
  <c r="A53" i="2" s="1"/>
  <c r="Q52" i="2"/>
  <c r="P52" i="2"/>
  <c r="K52" i="2"/>
  <c r="G52" i="2"/>
  <c r="F52" i="2"/>
  <c r="E52" i="2"/>
  <c r="D52" i="2"/>
  <c r="C52" i="2"/>
  <c r="A52" i="2" s="1"/>
  <c r="Q51" i="2"/>
  <c r="P51" i="2"/>
  <c r="K51" i="2"/>
  <c r="G51" i="2"/>
  <c r="F51" i="2"/>
  <c r="E51" i="2"/>
  <c r="D51" i="2"/>
  <c r="C51" i="2"/>
  <c r="A51" i="2" s="1"/>
  <c r="Q50" i="2"/>
  <c r="P50" i="2"/>
  <c r="K50" i="2"/>
  <c r="G50" i="2"/>
  <c r="F50" i="2"/>
  <c r="E50" i="2"/>
  <c r="D50" i="2"/>
  <c r="C50" i="2"/>
  <c r="A50" i="2" s="1"/>
  <c r="Q49" i="2"/>
  <c r="P49" i="2"/>
  <c r="K49" i="2"/>
  <c r="G49" i="2"/>
  <c r="F49" i="2"/>
  <c r="E49" i="2"/>
  <c r="D49" i="2"/>
  <c r="C49" i="2"/>
  <c r="A49" i="2" s="1"/>
  <c r="Q48" i="2"/>
  <c r="P48" i="2"/>
  <c r="K48" i="2"/>
  <c r="G48" i="2"/>
  <c r="F48" i="2"/>
  <c r="E48" i="2"/>
  <c r="D48" i="2"/>
  <c r="C48" i="2"/>
  <c r="A48" i="2" s="1"/>
  <c r="Q47" i="2"/>
  <c r="P47" i="2"/>
  <c r="K47" i="2"/>
  <c r="G47" i="2"/>
  <c r="F47" i="2"/>
  <c r="E47" i="2"/>
  <c r="D47" i="2"/>
  <c r="C47" i="2"/>
  <c r="A47" i="2" s="1"/>
  <c r="Q46" i="2"/>
  <c r="P46" i="2"/>
  <c r="K46" i="2"/>
  <c r="G46" i="2"/>
  <c r="F46" i="2"/>
  <c r="E46" i="2"/>
  <c r="D46" i="2"/>
  <c r="C46" i="2"/>
  <c r="A46" i="2" s="1"/>
  <c r="Q45" i="2"/>
  <c r="P45" i="2"/>
  <c r="K45" i="2"/>
  <c r="G45" i="2"/>
  <c r="F45" i="2"/>
  <c r="E45" i="2"/>
  <c r="D45" i="2"/>
  <c r="C45" i="2"/>
  <c r="A45" i="2" s="1"/>
  <c r="Q44" i="2"/>
  <c r="P44" i="2"/>
  <c r="K44" i="2"/>
  <c r="G44" i="2"/>
  <c r="F44" i="2"/>
  <c r="E44" i="2"/>
  <c r="D44" i="2"/>
  <c r="C44" i="2"/>
  <c r="A44" i="2" s="1"/>
  <c r="Q43" i="2"/>
  <c r="P43" i="2"/>
  <c r="K43" i="2"/>
  <c r="G43" i="2"/>
  <c r="F43" i="2"/>
  <c r="E43" i="2"/>
  <c r="D43" i="2"/>
  <c r="C43" i="2"/>
  <c r="A43" i="2" s="1"/>
  <c r="Q42" i="2"/>
  <c r="P42" i="2"/>
  <c r="K42" i="2"/>
  <c r="G42" i="2"/>
  <c r="F42" i="2"/>
  <c r="E42" i="2"/>
  <c r="D42" i="2"/>
  <c r="C42" i="2"/>
  <c r="A42" i="2" s="1"/>
  <c r="Q41" i="2"/>
  <c r="P41" i="2"/>
  <c r="K41" i="2"/>
  <c r="G41" i="2"/>
  <c r="F41" i="2"/>
  <c r="E41" i="2"/>
  <c r="D41" i="2"/>
  <c r="C41" i="2"/>
  <c r="A41" i="2" s="1"/>
  <c r="Q40" i="2"/>
  <c r="P40" i="2"/>
  <c r="K40" i="2"/>
  <c r="G40" i="2"/>
  <c r="F40" i="2"/>
  <c r="E40" i="2"/>
  <c r="D40" i="2"/>
  <c r="C40" i="2"/>
  <c r="A40" i="2" s="1"/>
  <c r="Q39" i="2"/>
  <c r="P39" i="2"/>
  <c r="K39" i="2"/>
  <c r="G39" i="2"/>
  <c r="F39" i="2"/>
  <c r="E39" i="2"/>
  <c r="D39" i="2"/>
  <c r="C39" i="2"/>
  <c r="A39" i="2" s="1"/>
  <c r="Q38" i="2"/>
  <c r="P38" i="2"/>
  <c r="K38" i="2"/>
  <c r="G38" i="2"/>
  <c r="F38" i="2"/>
  <c r="E38" i="2"/>
  <c r="D38" i="2"/>
  <c r="C38" i="2"/>
  <c r="A38" i="2" s="1"/>
  <c r="Q37" i="2"/>
  <c r="P37" i="2"/>
  <c r="K37" i="2"/>
  <c r="G37" i="2"/>
  <c r="F37" i="2"/>
  <c r="E37" i="2"/>
  <c r="D37" i="2"/>
  <c r="C37" i="2"/>
  <c r="A37" i="2" s="1"/>
  <c r="Q36" i="2"/>
  <c r="P36" i="2"/>
  <c r="K36" i="2"/>
  <c r="G36" i="2"/>
  <c r="F36" i="2"/>
  <c r="E36" i="2"/>
  <c r="D36" i="2"/>
  <c r="C36" i="2"/>
  <c r="A36" i="2" s="1"/>
  <c r="Q35" i="2"/>
  <c r="P35" i="2"/>
  <c r="K35" i="2"/>
  <c r="G35" i="2"/>
  <c r="F35" i="2"/>
  <c r="E35" i="2"/>
  <c r="D35" i="2"/>
  <c r="C35" i="2"/>
  <c r="A35" i="2" s="1"/>
  <c r="Q34" i="2"/>
  <c r="P34" i="2"/>
  <c r="K34" i="2"/>
  <c r="G34" i="2"/>
  <c r="F34" i="2"/>
  <c r="E34" i="2"/>
  <c r="D34" i="2"/>
  <c r="C34" i="2"/>
  <c r="A34" i="2" s="1"/>
  <c r="Q33" i="2"/>
  <c r="P33" i="2"/>
  <c r="K33" i="2"/>
  <c r="G33" i="2"/>
  <c r="F33" i="2"/>
  <c r="E33" i="2"/>
  <c r="D33" i="2"/>
  <c r="C33" i="2"/>
  <c r="A33" i="2" s="1"/>
  <c r="Q32" i="2"/>
  <c r="P32" i="2"/>
  <c r="K32" i="2"/>
  <c r="G32" i="2"/>
  <c r="F32" i="2"/>
  <c r="E32" i="2"/>
  <c r="D32" i="2"/>
  <c r="C32" i="2"/>
  <c r="A32" i="2" s="1"/>
  <c r="Q31" i="2"/>
  <c r="P31" i="2"/>
  <c r="K31" i="2"/>
  <c r="G31" i="2"/>
  <c r="F31" i="2"/>
  <c r="E31" i="2"/>
  <c r="D31" i="2"/>
  <c r="C31" i="2"/>
  <c r="A31" i="2" s="1"/>
  <c r="Q30" i="2"/>
  <c r="P30" i="2"/>
  <c r="K30" i="2"/>
  <c r="G30" i="2"/>
  <c r="F30" i="2"/>
  <c r="E30" i="2"/>
  <c r="D30" i="2"/>
  <c r="C30" i="2"/>
  <c r="A30" i="2" s="1"/>
  <c r="Q29" i="2"/>
  <c r="P29" i="2"/>
  <c r="K29" i="2"/>
  <c r="G29" i="2"/>
  <c r="F29" i="2"/>
  <c r="E29" i="2"/>
  <c r="D29" i="2"/>
  <c r="C29" i="2"/>
  <c r="A29" i="2" s="1"/>
  <c r="Q28" i="2"/>
  <c r="P28" i="2"/>
  <c r="K28" i="2"/>
  <c r="G28" i="2"/>
  <c r="F28" i="2"/>
  <c r="E28" i="2"/>
  <c r="D28" i="2"/>
  <c r="C28" i="2"/>
  <c r="A28" i="2" s="1"/>
  <c r="Q27" i="2"/>
  <c r="P27" i="2"/>
  <c r="K27" i="2"/>
  <c r="G27" i="2"/>
  <c r="F27" i="2"/>
  <c r="E27" i="2"/>
  <c r="D27" i="2"/>
  <c r="C27" i="2"/>
  <c r="A27" i="2" s="1"/>
  <c r="Q26" i="2"/>
  <c r="P26" i="2"/>
  <c r="K26" i="2"/>
  <c r="G26" i="2"/>
  <c r="F26" i="2"/>
  <c r="E26" i="2"/>
  <c r="D26" i="2"/>
  <c r="C26" i="2"/>
  <c r="A26" i="2" s="1"/>
  <c r="Q25" i="2"/>
  <c r="P25" i="2"/>
  <c r="K25" i="2"/>
  <c r="G25" i="2"/>
  <c r="F25" i="2"/>
  <c r="E25" i="2"/>
  <c r="D25" i="2"/>
  <c r="C25" i="2"/>
  <c r="A25" i="2" s="1"/>
  <c r="Q24" i="2"/>
  <c r="P24" i="2"/>
  <c r="K24" i="2"/>
  <c r="G24" i="2"/>
  <c r="F24" i="2"/>
  <c r="E24" i="2"/>
  <c r="D24" i="2"/>
  <c r="C24" i="2"/>
  <c r="A24" i="2" s="1"/>
  <c r="Q23" i="2"/>
  <c r="P23" i="2"/>
  <c r="K23" i="2"/>
  <c r="G23" i="2"/>
  <c r="F23" i="2"/>
  <c r="E23" i="2"/>
  <c r="D23" i="2"/>
  <c r="C23" i="2"/>
  <c r="A23" i="2" s="1"/>
  <c r="Q22" i="2"/>
  <c r="P22" i="2"/>
  <c r="K22" i="2"/>
  <c r="G22" i="2"/>
  <c r="F22" i="2"/>
  <c r="E22" i="2"/>
  <c r="D22" i="2"/>
  <c r="C22" i="2"/>
  <c r="A22" i="2" s="1"/>
  <c r="Q21" i="2"/>
  <c r="P21" i="2"/>
  <c r="K21" i="2"/>
  <c r="G21" i="2"/>
  <c r="F21" i="2"/>
  <c r="E21" i="2"/>
  <c r="D21" i="2"/>
  <c r="C21" i="2"/>
  <c r="A21" i="2" s="1"/>
  <c r="Q20" i="2"/>
  <c r="P20" i="2"/>
  <c r="K20" i="2"/>
  <c r="G20" i="2"/>
  <c r="F20" i="2"/>
  <c r="E20" i="2"/>
  <c r="D20" i="2"/>
  <c r="C20" i="2"/>
  <c r="A20" i="2" s="1"/>
  <c r="Q19" i="2"/>
  <c r="P19" i="2"/>
  <c r="K19" i="2"/>
  <c r="G19" i="2"/>
  <c r="F19" i="2"/>
  <c r="E19" i="2"/>
  <c r="D19" i="2"/>
  <c r="C19" i="2"/>
  <c r="A19" i="2" s="1"/>
  <c r="Q18" i="2"/>
  <c r="P18" i="2"/>
  <c r="K18" i="2"/>
  <c r="G18" i="2"/>
  <c r="F18" i="2"/>
  <c r="E18" i="2"/>
  <c r="D18" i="2"/>
  <c r="C18" i="2"/>
  <c r="A18" i="2" s="1"/>
  <c r="Q17" i="2"/>
  <c r="P17" i="2"/>
  <c r="K17" i="2"/>
  <c r="G17" i="2"/>
  <c r="F17" i="2"/>
  <c r="E17" i="2"/>
  <c r="D17" i="2"/>
  <c r="C17" i="2"/>
  <c r="A17" i="2" s="1"/>
  <c r="Q16" i="2"/>
  <c r="P16" i="2"/>
  <c r="K16" i="2"/>
  <c r="G16" i="2"/>
  <c r="F16" i="2"/>
  <c r="E16" i="2"/>
  <c r="D16" i="2"/>
  <c r="C16" i="2"/>
  <c r="A16" i="2" s="1"/>
  <c r="Q15" i="2"/>
  <c r="P15" i="2"/>
  <c r="K15" i="2"/>
  <c r="G15" i="2"/>
  <c r="F15" i="2"/>
  <c r="E15" i="2"/>
  <c r="D15" i="2"/>
  <c r="C15" i="2"/>
  <c r="A15" i="2" s="1"/>
  <c r="Q14" i="2"/>
  <c r="P14" i="2"/>
  <c r="K14" i="2"/>
  <c r="G14" i="2"/>
  <c r="F14" i="2"/>
  <c r="E14" i="2"/>
  <c r="D14" i="2"/>
  <c r="C14" i="2"/>
  <c r="A14" i="2" s="1"/>
  <c r="Q13" i="2"/>
  <c r="P13" i="2"/>
  <c r="K13" i="2"/>
  <c r="G13" i="2"/>
  <c r="F13" i="2"/>
  <c r="E13" i="2"/>
  <c r="D13" i="2"/>
  <c r="C13" i="2"/>
  <c r="A13" i="2" s="1"/>
  <c r="Q12" i="2"/>
  <c r="P12" i="2"/>
  <c r="K12" i="2"/>
  <c r="G12" i="2"/>
  <c r="F12" i="2"/>
  <c r="E12" i="2"/>
  <c r="D12" i="2"/>
  <c r="C12" i="2"/>
  <c r="A12" i="2" s="1"/>
  <c r="Q11" i="2"/>
  <c r="P11" i="2"/>
  <c r="K11" i="2"/>
  <c r="G11" i="2"/>
  <c r="F11" i="2"/>
  <c r="E11" i="2"/>
  <c r="D11" i="2"/>
  <c r="C11" i="2"/>
  <c r="A11" i="2" s="1"/>
  <c r="Q10" i="2"/>
  <c r="P10" i="2"/>
  <c r="K10" i="2"/>
  <c r="G10" i="2"/>
  <c r="F10" i="2"/>
  <c r="E10" i="2"/>
  <c r="D10" i="2"/>
  <c r="C10" i="2"/>
  <c r="A10" i="2" s="1"/>
  <c r="Q9" i="2"/>
  <c r="P9" i="2"/>
  <c r="K9" i="2"/>
  <c r="G9" i="2"/>
  <c r="F9" i="2"/>
  <c r="E9" i="2"/>
  <c r="D9" i="2"/>
  <c r="C9" i="2"/>
  <c r="A9" i="2" s="1"/>
  <c r="Q8" i="2"/>
  <c r="P8" i="2"/>
  <c r="K8" i="2"/>
  <c r="G8" i="2"/>
  <c r="F8" i="2"/>
  <c r="E8" i="2"/>
  <c r="D8" i="2"/>
  <c r="C8" i="2"/>
  <c r="A8" i="2" s="1"/>
  <c r="Q7" i="2"/>
  <c r="P7" i="2"/>
  <c r="K7" i="2"/>
  <c r="G7" i="2"/>
  <c r="F7" i="2"/>
  <c r="E7" i="2"/>
  <c r="D7" i="2"/>
  <c r="C7" i="2"/>
  <c r="A7" i="2" s="1"/>
  <c r="Q6" i="2"/>
  <c r="P6" i="2"/>
  <c r="K6" i="2"/>
  <c r="G6" i="2"/>
  <c r="F6" i="2"/>
  <c r="E6" i="2"/>
  <c r="D6" i="2"/>
  <c r="C6" i="2"/>
  <c r="A6" i="2" s="1"/>
  <c r="Q5" i="2"/>
  <c r="P5" i="2"/>
  <c r="K5" i="2"/>
  <c r="G5" i="2"/>
  <c r="F5" i="2"/>
  <c r="E5" i="2"/>
  <c r="D5" i="2"/>
  <c r="C5" i="2"/>
  <c r="A5" i="2" s="1"/>
  <c r="Q4" i="2"/>
  <c r="P4" i="2"/>
  <c r="K4" i="2"/>
  <c r="G4" i="2"/>
  <c r="F4" i="2"/>
  <c r="E4" i="2"/>
  <c r="D4" i="2"/>
  <c r="C4" i="2"/>
  <c r="A4" i="2" s="1"/>
  <c r="Q3" i="2"/>
  <c r="P3" i="2"/>
  <c r="K3" i="2"/>
  <c r="G3" i="2"/>
  <c r="F3" i="2"/>
  <c r="E3" i="2"/>
  <c r="D3" i="2"/>
  <c r="C3" i="2"/>
  <c r="A3" i="2" s="1"/>
  <c r="A9" i="1"/>
  <c r="J9" i="1"/>
  <c r="G9" i="1"/>
  <c r="D9" i="1"/>
  <c r="J5" i="1"/>
  <c r="G5" i="1"/>
  <c r="D5" i="1"/>
  <c r="A5" i="1"/>
  <c r="C37" i="1" l="1"/>
  <c r="B38" i="1"/>
  <c r="C40" i="1"/>
  <c r="F33" i="1"/>
  <c r="F34" i="1"/>
  <c r="C39" i="1"/>
  <c r="B36" i="1"/>
  <c r="B33" i="1"/>
  <c r="B34" i="1"/>
  <c r="C35" i="1"/>
  <c r="F35" i="1"/>
  <c r="F36" i="1"/>
  <c r="C38" i="1"/>
  <c r="C33" i="1"/>
  <c r="C34" i="1"/>
  <c r="B35" i="1"/>
  <c r="C36" i="1"/>
  <c r="B37" i="1"/>
  <c r="B39" i="1"/>
  <c r="B40" i="1"/>
</calcChain>
</file>

<file path=xl/sharedStrings.xml><?xml version="1.0" encoding="utf-8"?>
<sst xmlns="http://schemas.openxmlformats.org/spreadsheetml/2006/main" count="47973" uniqueCount="13564">
  <si>
    <t>SMW ROM Hack Tracker</t>
  </si>
  <si>
    <t>Community Edition • Download once, refresh the catalog whenever you choose</t>
  </si>
  <si>
    <t>Official Hacks</t>
  </si>
  <si>
    <t>Tracked Hacks</t>
  </si>
  <si>
    <t>100% Complete</t>
  </si>
  <si>
    <t>Completion Rate</t>
  </si>
  <si>
    <t>Completed Exits</t>
  </si>
  <si>
    <t>Average Rating</t>
  </si>
  <si>
    <t>Catalog Version</t>
  </si>
  <si>
    <t>Last Refresh</t>
  </si>
  <si>
    <t>Refresh the shared SMWCentral catalog without changing your tracker progress, ratings, dates, notes, or manually added hacks.</t>
  </si>
  <si>
    <t>REFRESH HACKS</t>
  </si>
  <si>
    <t>Add a Custom Hack</t>
  </si>
  <si>
    <t>ADD CUSTOM HACK</t>
  </si>
  <si>
    <t>Title</t>
  </si>
  <si>
    <t>Created By</t>
  </si>
  <si>
    <t>Exits</t>
  </si>
  <si>
    <t>Difficulty</t>
  </si>
  <si>
    <t>Type</t>
  </si>
  <si>
    <t>Custom hacks are stored separately and are never removed during catalog refreshes.</t>
  </si>
  <si>
    <t>Added Date</t>
  </si>
  <si>
    <t>Page URL</t>
  </si>
  <si>
    <t>Download URL</t>
  </si>
  <si>
    <t>Tracked</t>
  </si>
  <si>
    <t>Completed</t>
  </si>
  <si>
    <t>Status</t>
  </si>
  <si>
    <t>Count</t>
  </si>
  <si>
    <t>Newcomer</t>
  </si>
  <si>
    <t>Planned</t>
  </si>
  <si>
    <t>Casual</t>
  </si>
  <si>
    <t>In Progress</t>
  </si>
  <si>
    <t>Intermediate</t>
  </si>
  <si>
    <t>Finished</t>
  </si>
  <si>
    <t>Advanced</t>
  </si>
  <si>
    <t>Expert</t>
  </si>
  <si>
    <t>Master</t>
  </si>
  <si>
    <t>Grandmaster</t>
  </si>
  <si>
    <t>Unranked</t>
  </si>
  <si>
    <t>Hack #</t>
  </si>
  <si>
    <t>Select ROM Hack</t>
  </si>
  <si>
    <t>ROM Hack Title</t>
  </si>
  <si>
    <t>Date Started</t>
  </si>
  <si>
    <t>Date Completed</t>
  </si>
  <si>
    <t>100% Completed?</t>
  </si>
  <si>
    <t>Rating (1–10)</t>
  </si>
  <si>
    <t>Hours</t>
  </si>
  <si>
    <t>Minutes</t>
  </si>
  <si>
    <t>Seconds</t>
  </si>
  <si>
    <t>SMWCentral Page</t>
  </si>
  <si>
    <t>Download Patch</t>
  </si>
  <si>
    <t>Notes</t>
  </si>
  <si>
    <t>Dropdown Selection</t>
  </si>
  <si>
    <t>SMWC ID</t>
  </si>
  <si>
    <t>SMWCentral Page URL</t>
  </si>
  <si>
    <t>Direct Download URL</t>
  </si>
  <si>
    <t>!uppipe</t>
  </si>
  <si>
    <t>Dan2point5</t>
  </si>
  <si>
    <t>Kaizo</t>
  </si>
  <si>
    <t>40226</t>
  </si>
  <si>
    <t>https://www.smwcentral.net/?a=details&amp;id=40226&amp;p=section</t>
  </si>
  <si>
    <t>https://dl.smwcentral.net/40226/%21uppipe.zip</t>
  </si>
  <si>
    <t>#0 IGGY'S CASTLE</t>
  </si>
  <si>
    <t>Wakana</t>
  </si>
  <si>
    <t>Standard</t>
  </si>
  <si>
    <t>41349</t>
  </si>
  <si>
    <t>https://www.smwcentral.net/?a=details&amp;id=41349&amp;p=section</t>
  </si>
  <si>
    <t>https://dl.smwcentral.net/41349/%230%20IGGY%27S%20CASTLE%20v3.0.0.zip</t>
  </si>
  <si>
    <t>#thathack</t>
  </si>
  <si>
    <t>levelengine</t>
  </si>
  <si>
    <t>6027</t>
  </si>
  <si>
    <t>https://www.smwcentral.net/?a=details&amp;id=6027&amp;p=section</t>
  </si>
  <si>
    <t>https://dl.smwcentral.net/6027/%23thathack.zip</t>
  </si>
  <si>
    <t>'the</t>
  </si>
  <si>
    <t>Torchkas, underway</t>
  </si>
  <si>
    <t>41112</t>
  </si>
  <si>
    <t>https://www.smwcentral.net/?a=details&amp;id=41112&amp;p=section</t>
  </si>
  <si>
    <t>https://dl.smwcentral.net/41112/%27the.zip</t>
  </si>
  <si>
    <t>*SUPERSTAR* - an EP by margot</t>
  </si>
  <si>
    <t>margot</t>
  </si>
  <si>
    <t>32479</t>
  </si>
  <si>
    <t>https://www.smwcentral.net/?a=details&amp;id=32479&amp;p=section</t>
  </si>
  <si>
    <t>https://dl.smwcentral.net/32479/SUPERSTAR.zip</t>
  </si>
  <si>
    <t>1 Island Of Vanilla Feeling</t>
  </si>
  <si>
    <t>neidoodle</t>
  </si>
  <si>
    <t>5988</t>
  </si>
  <si>
    <t>https://www.smwcentral.net/?a=details&amp;id=5988&amp;p=section</t>
  </si>
  <si>
    <t>https://dl.smwcentral.net/5988/1island1.2.zip</t>
  </si>
  <si>
    <t>1 Square Puzzle</t>
  </si>
  <si>
    <t>HoorayForJay</t>
  </si>
  <si>
    <t>Tool-Assisted, Pit</t>
  </si>
  <si>
    <t>15342</t>
  </si>
  <si>
    <t>https://www.smwcentral.net/?a=details&amp;id=15342&amp;p=section</t>
  </si>
  <si>
    <t>https://dl.smwcentral.net/15342/1SquarePuzzle.zip</t>
  </si>
  <si>
    <t>100 Rooms of Enemies: 10th Anniversary Edition</t>
  </si>
  <si>
    <t>Daizo Dee Von, Mellonpizza</t>
  </si>
  <si>
    <t>38104</t>
  </si>
  <si>
    <t>https://www.smwcentral.net/?a=details&amp;id=38104&amp;p=section</t>
  </si>
  <si>
    <t>https://dl.smwcentral.net/38104/100%20Rooms%20of%20Enemies%20-%2010th%20Anniversary%20Edition.zip</t>
  </si>
  <si>
    <t>100 Rooms Of Torment</t>
  </si>
  <si>
    <t>Gasterus155</t>
  </si>
  <si>
    <t>42400</t>
  </si>
  <si>
    <t>https://www.smwcentral.net/?a=details&amp;id=42400&amp;p=section</t>
  </si>
  <si>
    <t>https://dl.smwcentral.net/42400/100%20Torment%20of%20Rooms.zip</t>
  </si>
  <si>
    <t>100th Birthday Cake</t>
  </si>
  <si>
    <t>Hwailaluta</t>
  </si>
  <si>
    <t>35444</t>
  </si>
  <si>
    <t>https://www.smwcentral.net/?a=details&amp;id=35444&amp;p=section</t>
  </si>
  <si>
    <t>https://dl.smwcentral.net/35444/100th%20Birthday%20Cake.zip</t>
  </si>
  <si>
    <t>10yumps</t>
  </si>
  <si>
    <t>Fyre150</t>
  </si>
  <si>
    <t>41558</t>
  </si>
  <si>
    <t>https://www.smwcentral.net/?a=details&amp;id=41558&amp;p=section</t>
  </si>
  <si>
    <t>https://dl.smwcentral.net/41558/10yumps%28real%29.zip</t>
  </si>
  <si>
    <t>12 DAY: An SMW Mixtape</t>
  </si>
  <si>
    <t>Squirrelyman157</t>
  </si>
  <si>
    <t>Standard, Kaizo</t>
  </si>
  <si>
    <t>25843</t>
  </si>
  <si>
    <t>https://www.smwcentral.net/?a=details&amp;id=25843&amp;p=section</t>
  </si>
  <si>
    <t>https://dl.smwcentral.net/25843/12DAY.zip</t>
  </si>
  <si>
    <t>1st Kochobo Dourado Collab</t>
  </si>
  <si>
    <t>Mario Hacks Group, TheMorganah</t>
  </si>
  <si>
    <t>34370</t>
  </si>
  <si>
    <t>https://www.smwcentral.net/?a=details&amp;id=34370&amp;p=section</t>
  </si>
  <si>
    <t>https://dl.smwcentral.net/34370/%5B2020%5D%201st%20Kochobo%20Dourado%20Collab%20V3.0%20%28U%29%20%5BPT-BR%5D.zip</t>
  </si>
  <si>
    <t>2 Hour Hack</t>
  </si>
  <si>
    <t>Magmatic</t>
  </si>
  <si>
    <t>40799</t>
  </si>
  <si>
    <t>https://www.smwcentral.net/?a=details&amp;id=40799&amp;p=section</t>
  </si>
  <si>
    <t>https://dl.smwcentral.net/40799/2hourhack.zip</t>
  </si>
  <si>
    <t>2 Player Co-op Quest 2</t>
  </si>
  <si>
    <t>cyphermur9t</t>
  </si>
  <si>
    <t>6593</t>
  </si>
  <si>
    <t>https://www.smwcentral.net/?a=details&amp;id=6593&amp;p=section</t>
  </si>
  <si>
    <t>https://dl.smwcentral.net/6593/2%20Player%20Co-op%20Quest%202.zip</t>
  </si>
  <si>
    <t>2 Player Co-op Quest!</t>
  </si>
  <si>
    <t>5559</t>
  </si>
  <si>
    <t>https://www.smwcentral.net/?a=details&amp;id=5559&amp;p=section</t>
  </si>
  <si>
    <t>https://dl.smwcentral.net/5559/2%20Player%20Co-op%20Quest.zip</t>
  </si>
  <si>
    <t>20 Challenges: Episode 1 - A feard enemy</t>
  </si>
  <si>
    <t>Drakel</t>
  </si>
  <si>
    <t>38065</t>
  </si>
  <si>
    <t>https://www.smwcentral.net/?a=details&amp;id=38065&amp;p=section</t>
  </si>
  <si>
    <t>https://dl.smwcentral.net/38065/20ChallengesE1.zip</t>
  </si>
  <si>
    <t>20 Challenges: Episode 2 - Witchcraft</t>
  </si>
  <si>
    <t>38585</t>
  </si>
  <si>
    <t>https://www.smwcentral.net/?a=details&amp;id=38585&amp;p=section</t>
  </si>
  <si>
    <t>https://dl.smwcentral.net/38585/20ChallengesE2.zip</t>
  </si>
  <si>
    <t>20 Challenges: Episode 3 - The tale from a bone</t>
  </si>
  <si>
    <t>39007</t>
  </si>
  <si>
    <t>https://www.smwcentral.net/?a=details&amp;id=39007&amp;p=section</t>
  </si>
  <si>
    <t>https://dl.smwcentral.net/39007/20ChallengesE3.zip</t>
  </si>
  <si>
    <t>20 Challenges: Episode 4 - Temple of the elements</t>
  </si>
  <si>
    <t>39850</t>
  </si>
  <si>
    <t>https://www.smwcentral.net/?a=details&amp;id=39850&amp;p=section</t>
  </si>
  <si>
    <t>https://dl.smwcentral.net/39850/20ChallengesE4.zip</t>
  </si>
  <si>
    <t>20 Challenges: Episode 5 - Community Vibe</t>
  </si>
  <si>
    <t>41543</t>
  </si>
  <si>
    <t>https://www.smwcentral.net/?a=details&amp;id=41543&amp;p=section</t>
  </si>
  <si>
    <t>https://dl.smwcentral.net/41543/20ChallengesE5.zip</t>
  </si>
  <si>
    <t>2019 Blind Kaizo Relay Level Collaboration</t>
  </si>
  <si>
    <t>ChrisG___, Freakin_HA, IcyFruit, MarkAlarm, NeXuS15, Romhack Races Team, Valdio, dtothefourth</t>
  </si>
  <si>
    <t>20319</t>
  </si>
  <si>
    <t>https://www.smwcentral.net/?a=details&amp;id=20319&amp;p=section</t>
  </si>
  <si>
    <t>https://dl.smwcentral.net/20319/2019%20Blind%20Kaizo%20Relay%20Level%20Collaboration.zip</t>
  </si>
  <si>
    <t>22H</t>
  </si>
  <si>
    <t>random_box</t>
  </si>
  <si>
    <t>38406</t>
  </si>
  <si>
    <t>https://www.smwcentral.net/?a=details&amp;id=38406&amp;p=section</t>
  </si>
  <si>
    <t>https://dl.smwcentral.net/38406/22H%20v1.1.zip</t>
  </si>
  <si>
    <t>2K Shells</t>
  </si>
  <si>
    <t>Rapha2k, arantes</t>
  </si>
  <si>
    <t>37821</t>
  </si>
  <si>
    <t>https://www.smwcentral.net/?a=details&amp;id=37821&amp;p=section</t>
  </si>
  <si>
    <t>https://dl.smwcentral.net/37821/2k%20Shells%20v1.1.zip</t>
  </si>
  <si>
    <t>2Kaizo2Learn</t>
  </si>
  <si>
    <t>blueribbonhighlife</t>
  </si>
  <si>
    <t>32593</t>
  </si>
  <si>
    <t>https://www.smwcentral.net/?a=details&amp;id=32593&amp;p=section</t>
  </si>
  <si>
    <t>https://dl.smwcentral.net/32593/2Kaizo2Learn_1.0.zip</t>
  </si>
  <si>
    <t>3 Islands of Shells</t>
  </si>
  <si>
    <t>Gulaschko</t>
  </si>
  <si>
    <t>30435</t>
  </si>
  <si>
    <t>https://www.smwcentral.net/?a=details&amp;id=30435&amp;p=section</t>
  </si>
  <si>
    <t>https://dl.smwcentral.net/30435/3%20Islands%20of%20Shells%20V.2.0.zip</t>
  </si>
  <si>
    <t>3 Trials</t>
  </si>
  <si>
    <t>I8Strudel</t>
  </si>
  <si>
    <t>9893</t>
  </si>
  <si>
    <t>https://www.smwcentral.net/?a=details&amp;id=9893&amp;p=section</t>
  </si>
  <si>
    <t>https://dl.smwcentral.net/9893/3_Trials_I8Strudel_V_1.zip</t>
  </si>
  <si>
    <t>35 Questions Deluxe</t>
  </si>
  <si>
    <t>25310</t>
  </si>
  <si>
    <t>https://www.smwcentral.net/?a=details&amp;id=25310&amp;p=section</t>
  </si>
  <si>
    <t>https://dl.smwcentral.net/25310/35QuestionsDeluxe.zip</t>
  </si>
  <si>
    <t>35 Rooms of Nonsense</t>
  </si>
  <si>
    <t>spratt</t>
  </si>
  <si>
    <t>34013</t>
  </si>
  <si>
    <t>https://www.smwcentral.net/?a=details&amp;id=34013&amp;p=section</t>
  </si>
  <si>
    <t>https://dl.smwcentral.net/34013/nonsense.zip</t>
  </si>
  <si>
    <t>4 YUMPs For Yoshi</t>
  </si>
  <si>
    <t>AmazingChest</t>
  </si>
  <si>
    <t>26253</t>
  </si>
  <si>
    <t>https://www.smwcentral.net/?a=details&amp;id=26253&amp;p=section</t>
  </si>
  <si>
    <t>https://dl.smwcentral.net/26253/4-yumps-for-yoshi-v12.zip</t>
  </si>
  <si>
    <t>45 Rooms of Balderdash</t>
  </si>
  <si>
    <t>39505</t>
  </si>
  <si>
    <t>https://www.smwcentral.net/?a=details&amp;id=39505&amp;p=section</t>
  </si>
  <si>
    <t>https://dl.smwcentral.net/39505/balderdash.zip</t>
  </si>
  <si>
    <t>4th Chamber</t>
  </si>
  <si>
    <t>Abstract</t>
  </si>
  <si>
    <t>32431</t>
  </si>
  <si>
    <t>https://www.smwcentral.net/?a=details&amp;id=32431&amp;p=section</t>
  </si>
  <si>
    <t>https://dl.smwcentral.net/32431/4th%20Chamber.zip</t>
  </si>
  <si>
    <t>5 Level Hack</t>
  </si>
  <si>
    <t>grishnax</t>
  </si>
  <si>
    <t>9639</t>
  </si>
  <si>
    <t>https://www.smwcentral.net/?a=details&amp;id=9639&amp;p=section</t>
  </si>
  <si>
    <t>https://dl.smwcentral.net/9639/5LevelHack.zip</t>
  </si>
  <si>
    <t>5 Orbs</t>
  </si>
  <si>
    <t>Shy-Hi</t>
  </si>
  <si>
    <t>5257</t>
  </si>
  <si>
    <t>https://www.smwcentral.net/?a=details&amp;id=5257&amp;p=section</t>
  </si>
  <si>
    <t>https://dl.smwcentral.net/5257/5%20Orbs%20Demo%201.zip</t>
  </si>
  <si>
    <t>5.3.20 Magnolia</t>
  </si>
  <si>
    <t>Robju</t>
  </si>
  <si>
    <t>22945</t>
  </si>
  <si>
    <t>https://www.smwcentral.net/?a=details&amp;id=22945&amp;p=section</t>
  </si>
  <si>
    <t>https://dl.smwcentral.net/22945/5.3.20%20Magnolia.zip</t>
  </si>
  <si>
    <t>6 HOURS</t>
  </si>
  <si>
    <t>aur</t>
  </si>
  <si>
    <t>40952</t>
  </si>
  <si>
    <t>https://www.smwcentral.net/?a=details&amp;id=40952&amp;p=section</t>
  </si>
  <si>
    <t>https://dl.smwcentral.net/40952/6HOURS.zip</t>
  </si>
  <si>
    <t>8 SCREENS</t>
  </si>
  <si>
    <t>Nitrogen</t>
  </si>
  <si>
    <t>40929</t>
  </si>
  <si>
    <t>https://www.smwcentral.net/?a=details&amp;id=40929&amp;p=section</t>
  </si>
  <si>
    <t>https://dl.smwcentral.net/40929/8%20SCREENS.zip</t>
  </si>
  <si>
    <t>8 Trials Await</t>
  </si>
  <si>
    <t>GearboxGoober</t>
  </si>
  <si>
    <t>20899</t>
  </si>
  <si>
    <t>https://www.smwcentral.net/?a=details&amp;id=20899&amp;p=section</t>
  </si>
  <si>
    <t>https://dl.smwcentral.net/20899/8%20Trials%20Await.zip</t>
  </si>
  <si>
    <t>8-bit Mario World - Desert Mario</t>
  </si>
  <si>
    <t>Green Jerry</t>
  </si>
  <si>
    <t>14593</t>
  </si>
  <si>
    <t>https://www.smwcentral.net/?a=details&amp;id=14593&amp;p=section</t>
  </si>
  <si>
    <t>https://dl.smwcentral.net/14593/8-bit%20Mario%20World%20-%20Desert%20Mario%20ver.%201.3.zip</t>
  </si>
  <si>
    <t>8:40</t>
  </si>
  <si>
    <t>Irondill</t>
  </si>
  <si>
    <t>27975</t>
  </si>
  <si>
    <t>https://www.smwcentral.net/?a=details&amp;id=27975&amp;p=section</t>
  </si>
  <si>
    <t>https://dl.smwcentral.net/27975/8%3B40.zip</t>
  </si>
  <si>
    <t>9 Dreams</t>
  </si>
  <si>
    <t>VLSkoot</t>
  </si>
  <si>
    <t>38806</t>
  </si>
  <si>
    <t>https://www.smwcentral.net/?a=details&amp;id=38806&amp;p=section</t>
  </si>
  <si>
    <t>https://dl.smwcentral.net/38806/9%20Dreams.zip</t>
  </si>
  <si>
    <t>9 LONG ADVENTURES</t>
  </si>
  <si>
    <t>Jonathan82GR</t>
  </si>
  <si>
    <t>21890</t>
  </si>
  <si>
    <t>https://www.smwcentral.net/?a=details&amp;id=21890&amp;p=section</t>
  </si>
  <si>
    <t>https://dl.smwcentral.net/21890/9LA.zip</t>
  </si>
  <si>
    <t>[Demo] Mario Adventure Land</t>
  </si>
  <si>
    <t>Ennui Goldfeld</t>
  </si>
  <si>
    <t>37997</t>
  </si>
  <si>
    <t>https://www.smwcentral.net/?a=details&amp;id=37997&amp;p=section</t>
  </si>
  <si>
    <t>https://dl.smwcentral.net/37997/Mario%20Adventure%20Land.zip</t>
  </si>
  <si>
    <t>A Baby Yoshi Quest</t>
  </si>
  <si>
    <t>that1bigbossyouhate</t>
  </si>
  <si>
    <t>23415</t>
  </si>
  <si>
    <t>https://www.smwcentral.net/?a=details&amp;id=23415&amp;p=section</t>
  </si>
  <si>
    <t>https://dl.smwcentral.net/23415/A%20BABY%20YOSHI%20QUEST%201.5%20%28DEMO%29.zip</t>
  </si>
  <si>
    <t>A Chance for Glory</t>
  </si>
  <si>
    <t>Nciktendo</t>
  </si>
  <si>
    <t>32181</t>
  </si>
  <si>
    <t>https://www.smwcentral.net/?a=details&amp;id=32181&amp;p=section</t>
  </si>
  <si>
    <t>https://dl.smwcentral.net/32181/A_Chance_for_Glory.zip</t>
  </si>
  <si>
    <t>A Christmas Gift</t>
  </si>
  <si>
    <t>The_Uber_Camper</t>
  </si>
  <si>
    <t>28957</t>
  </si>
  <si>
    <t>https://www.smwcentral.net/?a=details&amp;id=28957&amp;p=section</t>
  </si>
  <si>
    <t>https://dl.smwcentral.net/28957/AChristmasGift.zip</t>
  </si>
  <si>
    <t>A Christmas Gift: Timmy's Final Gift</t>
  </si>
  <si>
    <t>35663</t>
  </si>
  <si>
    <t>https://www.smwcentral.net/?a=details&amp;id=35663&amp;p=section</t>
  </si>
  <si>
    <t>https://dl.smwcentral.net/35663/A%20Christmas%20Gift%20-%20Timmy%27s%20Final%20Gift.zip</t>
  </si>
  <si>
    <t>A Christmas Walk</t>
  </si>
  <si>
    <t>MATTAN</t>
  </si>
  <si>
    <t>21704</t>
  </si>
  <si>
    <t>https://www.smwcentral.net/?a=details&amp;id=21704&amp;p=section</t>
  </si>
  <si>
    <t>https://dl.smwcentral.net/21704/A%20christmas%20walk%20%28Music%20Fixed%29.zip</t>
  </si>
  <si>
    <t>A Cold Day In Shell</t>
  </si>
  <si>
    <t>Ryuoxel</t>
  </si>
  <si>
    <t>38259</t>
  </si>
  <si>
    <t>https://www.smwcentral.net/?a=details&amp;id=38259&amp;p=section</t>
  </si>
  <si>
    <t>https://dl.smwcentral.net/38259/A%20Cold%20Day%20In%20Shell.zip</t>
  </si>
  <si>
    <t>A Difficult Journey</t>
  </si>
  <si>
    <t>Cal-of-Gearva</t>
  </si>
  <si>
    <t>22376</t>
  </si>
  <si>
    <t>https://www.smwcentral.net/?a=details&amp;id=22376&amp;p=section</t>
  </si>
  <si>
    <t>https://dl.smwcentral.net/22376/A%20Difficult%20Journey.zip</t>
  </si>
  <si>
    <t>A FIP</t>
  </si>
  <si>
    <t>NikSik1</t>
  </si>
  <si>
    <t>31904</t>
  </si>
  <si>
    <t>https://www.smwcentral.net/?a=details&amp;id=31904&amp;p=section</t>
  </si>
  <si>
    <t>https://dl.smwcentral.net/31904/A%20FIP.zip</t>
  </si>
  <si>
    <t>A Frivolous Journey</t>
  </si>
  <si>
    <t>Chromite</t>
  </si>
  <si>
    <t>14688</t>
  </si>
  <si>
    <t>https://www.smwcentral.net/?a=details&amp;id=14688&amp;p=section</t>
  </si>
  <si>
    <t>https://dl.smwcentral.net/14688/frivolous.zip</t>
  </si>
  <si>
    <t>A Goblin's Quest to Leave Her House and Get a Gyro For Lunch Because She Was Hungry</t>
  </si>
  <si>
    <t>Lizstar</t>
  </si>
  <si>
    <t>26928</t>
  </si>
  <si>
    <t>https://www.smwcentral.net/?a=details&amp;id=26928&amp;p=section</t>
  </si>
  <si>
    <t>https://dl.smwcentral.net/26928/A%20Goblin%27s%20Quest.zip</t>
  </si>
  <si>
    <t>A Goomba's Walk</t>
  </si>
  <si>
    <t>Luks</t>
  </si>
  <si>
    <t>10456</t>
  </si>
  <si>
    <t>https://www.smwcentral.net/?a=details&amp;id=10456&amp;p=section</t>
  </si>
  <si>
    <t>https://dl.smwcentral.net/10456/GW.zip</t>
  </si>
  <si>
    <t>A Hack Thing</t>
  </si>
  <si>
    <t>MercuryPenny</t>
  </si>
  <si>
    <t>10416</t>
  </si>
  <si>
    <t>https://www.smwcentral.net/?a=details&amp;id=10416&amp;p=section</t>
  </si>
  <si>
    <t>https://dl.smwcentral.net/10416/A%20Hack%20Thing%20v1.3.zip</t>
  </si>
  <si>
    <t>A Hack Thing 2</t>
  </si>
  <si>
    <t>10928</t>
  </si>
  <si>
    <t>https://www.smwcentral.net/?a=details&amp;id=10928&amp;p=section</t>
  </si>
  <si>
    <t>https://dl.smwcentral.net/10928/a%20hack%20thing%202.zip</t>
  </si>
  <si>
    <t>A Halloween Walk</t>
  </si>
  <si>
    <t>21887</t>
  </si>
  <si>
    <t>https://www.smwcentral.net/?a=details&amp;id=21887&amp;p=section</t>
  </si>
  <si>
    <t>https://dl.smwcentral.net/21887/A%20halloween%20walk%20%28Music%20Fixed%29.zip</t>
  </si>
  <si>
    <t>A Haunted Christmas</t>
  </si>
  <si>
    <t>Team Haunted</t>
  </si>
  <si>
    <t>26660</t>
  </si>
  <si>
    <t>https://www.smwcentral.net/?a=details&amp;id=26660&amp;p=section</t>
  </si>
  <si>
    <t>https://dl.smwcentral.net/26660/A%20Haunted%20Christmas.zip</t>
  </si>
  <si>
    <t>A Haunting at Chateau Cousseaux</t>
  </si>
  <si>
    <t>NixKillsMyths</t>
  </si>
  <si>
    <t>38820</t>
  </si>
  <si>
    <t>https://www.smwcentral.net/?a=details&amp;id=38820&amp;p=section</t>
  </si>
  <si>
    <t>https://dl.smwcentral.net/38820/A%20Haunting%20at%20Chateau%20Cousseaux%20%281.3%29.zip</t>
  </si>
  <si>
    <t>A Helping Hand</t>
  </si>
  <si>
    <t>NewPointless, schema_tuna</t>
  </si>
  <si>
    <t>37605</t>
  </si>
  <si>
    <t>https://www.smwcentral.net/?a=details&amp;id=37605&amp;p=section</t>
  </si>
  <si>
    <t>https://dl.smwcentral.net/37605/AHelpingHand1_2.zip</t>
  </si>
  <si>
    <t>A Journey To Save The Yoshis</t>
  </si>
  <si>
    <t>Yoshivert99</t>
  </si>
  <si>
    <t>21194</t>
  </si>
  <si>
    <t>https://www.smwcentral.net/?a=details&amp;id=21194&amp;p=section</t>
  </si>
  <si>
    <t>https://dl.smwcentral.net/21194/A%20Journey%20to%20Save%20the%20Yoshis%20%281.7.1%29.zip</t>
  </si>
  <si>
    <t>A Kaizo Adventure</t>
  </si>
  <si>
    <t>GbreezeSunset</t>
  </si>
  <si>
    <t>11306</t>
  </si>
  <si>
    <t>https://www.smwcentral.net/?a=details&amp;id=11306&amp;p=section</t>
  </si>
  <si>
    <t>https://dl.smwcentral.net/11306/A%20Kaizo%20Adventure.zip</t>
  </si>
  <si>
    <t>A Kekcroc Christmas</t>
  </si>
  <si>
    <t>Knucklesfan</t>
  </si>
  <si>
    <t>18734</t>
  </si>
  <si>
    <t>https://www.smwcentral.net/?a=details&amp;id=18734&amp;p=section</t>
  </si>
  <si>
    <t>https://dl.smwcentral.net/18734/A%20Kekcroc%20Christmas.zip</t>
  </si>
  <si>
    <t>A Land That is Super</t>
  </si>
  <si>
    <t>NAM</t>
  </si>
  <si>
    <t>10147</t>
  </si>
  <si>
    <t>https://www.smwcentral.net/?a=details&amp;id=10147&amp;p=section</t>
  </si>
  <si>
    <t>https://dl.smwcentral.net/10147/ALTiS_C3X.zip</t>
  </si>
  <si>
    <t>A Lenda do Herói (Songs for a Hero)</t>
  </si>
  <si>
    <t>TheMURAmatsu</t>
  </si>
  <si>
    <t>23107</t>
  </si>
  <si>
    <t>https://www.smwcentral.net/?a=details&amp;id=23107&amp;p=section</t>
  </si>
  <si>
    <t>https://dl.smwcentral.net/23107/V2-2020-A-Lenda-do-Heroi-Songs_for-a-Hero.zip</t>
  </si>
  <si>
    <t>A Mario Place</t>
  </si>
  <si>
    <t>salem</t>
  </si>
  <si>
    <t>10014</t>
  </si>
  <si>
    <t>https://www.smwcentral.net/?a=details&amp;id=10014&amp;p=section</t>
  </si>
  <si>
    <t>https://dl.smwcentral.net/10014/AMPD.zip</t>
  </si>
  <si>
    <t>A Maxi Mini Hack</t>
  </si>
  <si>
    <t>noon</t>
  </si>
  <si>
    <t>5480</t>
  </si>
  <si>
    <t>https://www.smwcentral.net/?a=details&amp;id=5480&amp;p=section</t>
  </si>
  <si>
    <t>https://dl.smwcentral.net/5480/A%20Maxi%20Mini%20Hack.zip</t>
  </si>
  <si>
    <t>A Maxi Mini Hack B-Sides</t>
  </si>
  <si>
    <t>9973</t>
  </si>
  <si>
    <t>https://www.smwcentral.net/?a=details&amp;id=9973&amp;p=section</t>
  </si>
  <si>
    <t>https://dl.smwcentral.net/9973/A%20Maxi%20Mini%20Hack%20B-Sides.zip</t>
  </si>
  <si>
    <t>A Metal Hack</t>
  </si>
  <si>
    <t>Eric Maia</t>
  </si>
  <si>
    <t>10266</t>
  </si>
  <si>
    <t>https://www.smwcentral.net/?a=details&amp;id=10266&amp;p=section</t>
  </si>
  <si>
    <t>https://dl.smwcentral.net/10266/A%20Metal%20Hack%20Demo.zip</t>
  </si>
  <si>
    <t>A Mole in Space</t>
  </si>
  <si>
    <t>Anorakun, Dark Prince, Donut, NopeContest, Segment1Zone2</t>
  </si>
  <si>
    <t>29849</t>
  </si>
  <si>
    <t>https://www.smwcentral.net/?a=details&amp;id=29849&amp;p=section</t>
  </si>
  <si>
    <t>https://dl.smwcentral.net/29849/A%20Mole%20in%20Space%20Ver.%202.3.zip</t>
  </si>
  <si>
    <t>A New Journey</t>
  </si>
  <si>
    <t>GvS</t>
  </si>
  <si>
    <t>10051</t>
  </si>
  <si>
    <t>https://www.smwcentral.net/?a=details&amp;id=10051&amp;p=section</t>
  </si>
  <si>
    <t>https://dl.smwcentral.net/10051/A%20New%20Journey.zip</t>
  </si>
  <si>
    <t>A New Year Walk</t>
  </si>
  <si>
    <t>22382</t>
  </si>
  <si>
    <t>https://www.smwcentral.net/?a=details&amp;id=22382&amp;p=section</t>
  </si>
  <si>
    <t>https://dl.smwcentral.net/22382/A%20new%20year%20walk%20%28Music%20Fixed%29.zip</t>
  </si>
  <si>
    <t>A Plumber For All Seasons</t>
  </si>
  <si>
    <t>wye</t>
  </si>
  <si>
    <t>28856</t>
  </si>
  <si>
    <t>https://www.smwcentral.net/?a=details&amp;id=28856&amp;p=section</t>
  </si>
  <si>
    <t>https://dl.smwcentral.net/28856/A_Plumber_For_All_Seasons_2021-11-22.zip</t>
  </si>
  <si>
    <t>a pretty view</t>
  </si>
  <si>
    <t>Dixy</t>
  </si>
  <si>
    <t>42626</t>
  </si>
  <si>
    <t>https://www.smwcentral.net/?a=details&amp;id=42626&amp;p=section</t>
  </si>
  <si>
    <t>https://dl.smwcentral.net/42626/a%20pretty%20view.zip</t>
  </si>
  <si>
    <t>A Pure Vanilla Hack</t>
  </si>
  <si>
    <t>5056</t>
  </si>
  <si>
    <t>https://www.smwcentral.net/?a=details&amp;id=5056&amp;p=section</t>
  </si>
  <si>
    <t>https://dl.smwcentral.net/5056/PureVanillaHack.zip</t>
  </si>
  <si>
    <t>A Random Pit</t>
  </si>
  <si>
    <t>A Random Taser</t>
  </si>
  <si>
    <t>21253</t>
  </si>
  <si>
    <t>https://www.smwcentral.net/?a=details&amp;id=21253&amp;p=section</t>
  </si>
  <si>
    <t>https://dl.smwcentral.net/21253/A_Random_Pit.zip</t>
  </si>
  <si>
    <t>A Rose for Emily</t>
  </si>
  <si>
    <t>shovda</t>
  </si>
  <si>
    <t>37976</t>
  </si>
  <si>
    <t>https://www.smwcentral.net/?a=details&amp;id=37976&amp;p=section</t>
  </si>
  <si>
    <t>https://dl.smwcentral.net/37976/Rose.zip</t>
  </si>
  <si>
    <t>A Rushed Project</t>
  </si>
  <si>
    <t>Galactic Spear</t>
  </si>
  <si>
    <t>23961</t>
  </si>
  <si>
    <t>https://www.smwcentral.net/?a=details&amp;id=23961&amp;p=section</t>
  </si>
  <si>
    <t>https://dl.smwcentral.net/23961/A%20Rushed%20Project.zip</t>
  </si>
  <si>
    <t>A Second X Thing: Gaiden: Gaiden</t>
  </si>
  <si>
    <t>Heraga, talkhaus</t>
  </si>
  <si>
    <t>41328</t>
  </si>
  <si>
    <t>https://www.smwcentral.net/?a=details&amp;id=41328&amp;p=section</t>
  </si>
  <si>
    <t>https://dl.smwcentral.net/41328/a2xtgaidengaiden.zip</t>
  </si>
  <si>
    <t>A Semi-Normal Castle</t>
  </si>
  <si>
    <t>Heitor Porfirio</t>
  </si>
  <si>
    <t>38269</t>
  </si>
  <si>
    <t>https://www.smwcentral.net/?a=details&amp;id=38269&amp;p=section</t>
  </si>
  <si>
    <t>https://dl.smwcentral.net/38269/A%20Semi-Normal%20Castle%20v1.2.1.zip</t>
  </si>
  <si>
    <t>A short Journey</t>
  </si>
  <si>
    <t>H3nt4ik4m3n</t>
  </si>
  <si>
    <t>32575</t>
  </si>
  <si>
    <t>https://www.smwcentral.net/?a=details&amp;id=32575&amp;p=section</t>
  </si>
  <si>
    <t>https://dl.smwcentral.net/32575/A%20short%20Journey.zip</t>
  </si>
  <si>
    <t>A short kaizo</t>
  </si>
  <si>
    <t>Lush_50</t>
  </si>
  <si>
    <t>32874</t>
  </si>
  <si>
    <t>https://www.smwcentral.net/?a=details&amp;id=32874&amp;p=section</t>
  </si>
  <si>
    <t>https://dl.smwcentral.net/32874/A_short_kaizo_v1.1.zip</t>
  </si>
  <si>
    <t>A short kaizo 2</t>
  </si>
  <si>
    <t>38177</t>
  </si>
  <si>
    <t>https://www.smwcentral.net/?a=details&amp;id=38177&amp;p=section</t>
  </si>
  <si>
    <t>https://dl.smwcentral.net/38177/A%20Short%20kaizo%202%20by%20Lush_50%20%282022-24%29.zip</t>
  </si>
  <si>
    <t>A Simple Story</t>
  </si>
  <si>
    <t>Thehoundsquad</t>
  </si>
  <si>
    <t>10189</t>
  </si>
  <si>
    <t>https://www.smwcentral.net/?a=details&amp;id=10189&amp;p=section</t>
  </si>
  <si>
    <t>https://dl.smwcentral.net/10189/A%20Simple%20Story.zip</t>
  </si>
  <si>
    <t>A SMW Hack</t>
  </si>
  <si>
    <t>MetalLuigi</t>
  </si>
  <si>
    <t>10089</t>
  </si>
  <si>
    <t>https://www.smwcentral.net/?a=details&amp;id=10089&amp;p=section</t>
  </si>
  <si>
    <t>https://dl.smwcentral.net/10089/A%20SMW%20HACK%20DEMO%20V1.2.zip</t>
  </si>
  <si>
    <t>A Special Birthday</t>
  </si>
  <si>
    <t>Andyana Jonseph</t>
  </si>
  <si>
    <t>15923</t>
  </si>
  <si>
    <t>https://www.smwcentral.net/?a=details&amp;id=15923&amp;p=section</t>
  </si>
  <si>
    <t>https://dl.smwcentral.net/15923/A%20Special%20Birthday.zip</t>
  </si>
  <si>
    <t>A Special Christmas</t>
  </si>
  <si>
    <t>14841</t>
  </si>
  <si>
    <t>https://www.smwcentral.net/?a=details&amp;id=14841&amp;p=section</t>
  </si>
  <si>
    <t>https://dl.smwcentral.net/14841/A%20Special%20Christmas.zip</t>
  </si>
  <si>
    <t>A Sticky Situation</t>
  </si>
  <si>
    <t>Firstnamebutt, dotCoockie</t>
  </si>
  <si>
    <t>34830</t>
  </si>
  <si>
    <t>https://www.smwcentral.net/?a=details&amp;id=34830&amp;p=section</t>
  </si>
  <si>
    <t>https://dl.smwcentral.net/34830/AStickySituation.zip</t>
  </si>
  <si>
    <t>A story about an island</t>
  </si>
  <si>
    <t>dotCoockie</t>
  </si>
  <si>
    <t>28197</t>
  </si>
  <si>
    <t>https://www.smwcentral.net/?a=details&amp;id=28197&amp;p=section</t>
  </si>
  <si>
    <t>https://dl.smwcentral.net/28197/Release.zip</t>
  </si>
  <si>
    <t>A Strange Mission</t>
  </si>
  <si>
    <t>5031</t>
  </si>
  <si>
    <t>https://www.smwcentral.net/?a=details&amp;id=5031&amp;p=section</t>
  </si>
  <si>
    <t>https://dl.smwcentral.net/5031/AStrangeMission.zip</t>
  </si>
  <si>
    <t>A Strongly-Worded Letter to the Iceberg</t>
  </si>
  <si>
    <t>MarsAmPear</t>
  </si>
  <si>
    <t>41930</t>
  </si>
  <si>
    <t>https://www.smwcentral.net/?a=details&amp;id=41930&amp;p=section</t>
  </si>
  <si>
    <t>https://dl.smwcentral.net/41930/A%20Strongly-Worded%20Letter%20to%20the%20Iceberg%201.01.zip</t>
  </si>
  <si>
    <t>A Summer Level</t>
  </si>
  <si>
    <t>DukeEnemy</t>
  </si>
  <si>
    <t>5052</t>
  </si>
  <si>
    <t>https://www.smwcentral.net/?a=details&amp;id=5052&amp;p=section</t>
  </si>
  <si>
    <t>https://dl.smwcentral.net/5052/A%20Summer%20Level.zip</t>
  </si>
  <si>
    <t>A Super Mario Adventure</t>
  </si>
  <si>
    <t>Gamma V</t>
  </si>
  <si>
    <t>41554</t>
  </si>
  <si>
    <t>https://www.smwcentral.net/?a=details&amp;id=41554&amp;p=section</t>
  </si>
  <si>
    <t>https://dl.smwcentral.net/41554/ASMA%20NewIntro.zip</t>
  </si>
  <si>
    <t>A Super Mario Thing</t>
  </si>
  <si>
    <t>Talkhaus</t>
  </si>
  <si>
    <t>17125</t>
  </si>
  <si>
    <t>https://www.smwcentral.net/?a=details&amp;id=17125&amp;p=section</t>
  </si>
  <si>
    <t>https://dl.smwcentral.net/17125/A%20Super%20Mario%20Thing.zip</t>
  </si>
  <si>
    <t>A Super Mario World Rom Hack</t>
  </si>
  <si>
    <t>Ralshi02</t>
  </si>
  <si>
    <t>20604</t>
  </si>
  <si>
    <t>https://www.smwcentral.net/?a=details&amp;id=20604&amp;p=section</t>
  </si>
  <si>
    <t>https://dl.smwcentral.net/20604/Hack%202.zip</t>
  </si>
  <si>
    <t>A Supposedly Fun Thing I'll Never Do Again</t>
  </si>
  <si>
    <t>39767</t>
  </si>
  <si>
    <t>https://www.smwcentral.net/?a=details&amp;id=39767&amp;p=section</t>
  </si>
  <si>
    <t>https://dl.smwcentral.net/39767/A%20Supposedly%20Fun%20Thing.zip</t>
  </si>
  <si>
    <t>A Teakettle of Wet Bees</t>
  </si>
  <si>
    <t>bucketofwetsocks</t>
  </si>
  <si>
    <t>32994</t>
  </si>
  <si>
    <t>https://www.smwcentral.net/?a=details&amp;id=32994&amp;p=section</t>
  </si>
  <si>
    <t>https://dl.smwcentral.net/32994/ATeaKettleOfWetBees.zip</t>
  </si>
  <si>
    <t>A Thing w/ Peiton</t>
  </si>
  <si>
    <t>Peyton</t>
  </si>
  <si>
    <t>39597</t>
  </si>
  <si>
    <t>https://www.smwcentral.net/?a=details&amp;id=39597&amp;p=section</t>
  </si>
  <si>
    <t>https://dl.smwcentral.net/39597/A%20Thing%20With%20Peiton%20v.1.1.zip</t>
  </si>
  <si>
    <t>A Vanilla Level</t>
  </si>
  <si>
    <t>yoshiguy978</t>
  </si>
  <si>
    <t>10546</t>
  </si>
  <si>
    <t>https://www.smwcentral.net/?a=details&amp;id=10546&amp;p=section</t>
  </si>
  <si>
    <t>https://dl.smwcentral.net/10546/A%20Vanilla%20Level%20v1.4.zip</t>
  </si>
  <si>
    <t>A Very Super Mario World</t>
  </si>
  <si>
    <t>SchwerMuta</t>
  </si>
  <si>
    <t>15587</t>
  </si>
  <si>
    <t>https://www.smwcentral.net/?a=details&amp;id=15587&amp;p=section</t>
  </si>
  <si>
    <t>https://dl.smwcentral.net/15587/avsmw.zip</t>
  </si>
  <si>
    <t>A WIP</t>
  </si>
  <si>
    <t>29748</t>
  </si>
  <si>
    <t>https://www.smwcentral.net/?a=details&amp;id=29748&amp;p=section</t>
  </si>
  <si>
    <t>https://dl.smwcentral.net/29748/A%20WIP.zip</t>
  </si>
  <si>
    <t>A work project thing...</t>
  </si>
  <si>
    <t>Stivi</t>
  </si>
  <si>
    <t>17750</t>
  </si>
  <si>
    <t>https://www.smwcentral.net/?a=details&amp;id=17750&amp;p=section</t>
  </si>
  <si>
    <t>https://dl.smwcentral.net/17750/A%20work%20project%20thing....bps.zip</t>
  </si>
  <si>
    <t>A Yoshi's Story</t>
  </si>
  <si>
    <t>CaptainDazz</t>
  </si>
  <si>
    <t>39452</t>
  </si>
  <si>
    <t>https://www.smwcentral.net/?a=details&amp;id=39452&amp;p=section</t>
  </si>
  <si>
    <t>https://dl.smwcentral.net/39452/AYoshi%27sStoryFixed.zip</t>
  </si>
  <si>
    <t>A Yoshi's Story 2</t>
  </si>
  <si>
    <t>10209</t>
  </si>
  <si>
    <t>https://www.smwcentral.net/?a=details&amp;id=10209&amp;p=section</t>
  </si>
  <si>
    <t>https://dl.smwcentral.net/10209/A%20Yoshi%27s%20Story%202.zip</t>
  </si>
  <si>
    <t>A1 Mario World</t>
  </si>
  <si>
    <t>qbear</t>
  </si>
  <si>
    <t>32964</t>
  </si>
  <si>
    <t>https://www.smwcentral.net/?a=details&amp;id=32964&amp;p=section</t>
  </si>
  <si>
    <t>https://dl.smwcentral.net/32964/A1%20Mario%20World%20vA.01.zip</t>
  </si>
  <si>
    <t>Absolute Authenticity</t>
  </si>
  <si>
    <t>41559</t>
  </si>
  <si>
    <t>https://www.smwcentral.net/?a=details&amp;id=41559&amp;p=section</t>
  </si>
  <si>
    <t>https://dl.smwcentral.net/41559/Absolute%20Authenticity.zip</t>
  </si>
  <si>
    <t>Abuse and Die 3</t>
  </si>
  <si>
    <t>AFH</t>
  </si>
  <si>
    <t>Kaizo, Tool-Assisted</t>
  </si>
  <si>
    <t>18626</t>
  </si>
  <si>
    <t>https://www.smwcentral.net/?a=details&amp;id=18626&amp;p=section</t>
  </si>
  <si>
    <t>https://dl.smwcentral.net/18626/Abuse%20and%20Die%203%20demo.zip</t>
  </si>
  <si>
    <t>Acid Tapes Vol. 1</t>
  </si>
  <si>
    <t>twicepipes</t>
  </si>
  <si>
    <t>32375</t>
  </si>
  <si>
    <t>https://www.smwcentral.net/?a=details&amp;id=32375&amp;p=section</t>
  </si>
  <si>
    <t>https://dl.smwcentral.net/32375/AcidTapesVol1.zip</t>
  </si>
  <si>
    <t>Acid Tapes Vol. 2</t>
  </si>
  <si>
    <t>41504</t>
  </si>
  <si>
    <t>https://www.smwcentral.net/?a=details&amp;id=41504&amp;p=section</t>
  </si>
  <si>
    <t>https://dl.smwcentral.net/41504/AcidTapesVol2%201.1.zip</t>
  </si>
  <si>
    <t>Action42</t>
  </si>
  <si>
    <t>Nicoke42</t>
  </si>
  <si>
    <t>31179</t>
  </si>
  <si>
    <t>https://www.smwcentral.net/?a=details&amp;id=31179&amp;p=section</t>
  </si>
  <si>
    <t>https://dl.smwcentral.net/31179/Action42.zip</t>
  </si>
  <si>
    <t>Advanced Shells</t>
  </si>
  <si>
    <t>RicardoDeMelo</t>
  </si>
  <si>
    <t>32218</t>
  </si>
  <si>
    <t>https://www.smwcentral.net/?a=details&amp;id=32218&amp;p=section</t>
  </si>
  <si>
    <t>https://dl.smwcentral.net/32218/Advanced%20Shells.zip</t>
  </si>
  <si>
    <t>Advanced Shells II</t>
  </si>
  <si>
    <t>29945</t>
  </si>
  <si>
    <t>https://www.smwcentral.net/?a=details&amp;id=29945&amp;p=section</t>
  </si>
  <si>
    <t>https://dl.smwcentral.net/29945/Advanced%20Shells%202.zip</t>
  </si>
  <si>
    <t>Advanced Shells III</t>
  </si>
  <si>
    <t>33319</t>
  </si>
  <si>
    <t>https://www.smwcentral.net/?a=details&amp;id=33319&amp;p=section</t>
  </si>
  <si>
    <t>https://dl.smwcentral.net/33319/Advanced%20Shells%203.zip</t>
  </si>
  <si>
    <t>Adventure in Gemstone Islands</t>
  </si>
  <si>
    <t>Burst Man</t>
  </si>
  <si>
    <t>41808</t>
  </si>
  <si>
    <t>https://www.smwcentral.net/?a=details&amp;id=41808&amp;p=section</t>
  </si>
  <si>
    <t>https://dl.smwcentral.net/41808/Adventure%20in%20Gemstone%20Islands%20v2.03.zip</t>
  </si>
  <si>
    <t>Adventure Islands</t>
  </si>
  <si>
    <t>Shadow9999</t>
  </si>
  <si>
    <t>21316</t>
  </si>
  <si>
    <t>https://www.smwcentral.net/?a=details&amp;id=21316&amp;p=section</t>
  </si>
  <si>
    <t>https://dl.smwcentral.net/21316/Adventure%20Islands.zip</t>
  </si>
  <si>
    <t>Adventure Land: Darkness Rising</t>
  </si>
  <si>
    <t>flareblade26</t>
  </si>
  <si>
    <t>6777</t>
  </si>
  <si>
    <t>https://www.smwcentral.net/?a=details&amp;id=6777&amp;p=section</t>
  </si>
  <si>
    <t>https://dl.smwcentral.net/6777/Adventure%20Land%20-%20Darkness%20Rising.zip</t>
  </si>
  <si>
    <t>Adventure Land: Legend of the Stars</t>
  </si>
  <si>
    <t>5368</t>
  </si>
  <si>
    <t>https://www.smwcentral.net/?a=details&amp;id=5368&amp;p=section</t>
  </si>
  <si>
    <t>https://dl.smwcentral.net/5368/Adventure%20Land%20Demo%201.zip</t>
  </si>
  <si>
    <t>Adventure Of The Red Plumber</t>
  </si>
  <si>
    <t>guitar god527</t>
  </si>
  <si>
    <t>9742</t>
  </si>
  <si>
    <t>https://www.smwcentral.net/?a=details&amp;id=9742&amp;p=section</t>
  </si>
  <si>
    <t>https://dl.smwcentral.net/9742/Adventure%20of%20the%20red%20plumber.zip</t>
  </si>
  <si>
    <t>Aeron Returns</t>
  </si>
  <si>
    <t>Anorakun</t>
  </si>
  <si>
    <t>31365</t>
  </si>
  <si>
    <t>https://www.smwcentral.net/?a=details&amp;id=31365&amp;p=section</t>
  </si>
  <si>
    <t>https://dl.smwcentral.net/31365/Aeron_Returns_ver._1.8.zip</t>
  </si>
  <si>
    <t>Aeron's Golden Cookie Quest ~ Special Edition</t>
  </si>
  <si>
    <t>42362</t>
  </si>
  <si>
    <t>https://www.smwcentral.net/?a=details&amp;id=42362&amp;p=section</t>
  </si>
  <si>
    <t>https://dl.smwcentral.net/42362/Aeron%27s%20Golden%20Cookie%20Quest%20-%20Special%20Edition%20%28ver.5.0.1%29.zip</t>
  </si>
  <si>
    <t>Aether: The Paramount Omnibus</t>
  </si>
  <si>
    <t>Dappertron</t>
  </si>
  <si>
    <t>5471</t>
  </si>
  <si>
    <t>https://www.smwcentral.net/?a=details&amp;id=5471&amp;p=section</t>
  </si>
  <si>
    <t>https://dl.smwcentral.net/5471/Aether%20TPO.zip</t>
  </si>
  <si>
    <t>ageVerrly's Challenge</t>
  </si>
  <si>
    <t>ageVerrly</t>
  </si>
  <si>
    <t>32364</t>
  </si>
  <si>
    <t>https://www.smwcentral.net/?a=details&amp;id=32364&amp;p=section</t>
  </si>
  <si>
    <t>https://dl.smwcentral.net/32364/ac.zip</t>
  </si>
  <si>
    <t>Agnosthesia</t>
  </si>
  <si>
    <t>LightAligns, Saela</t>
  </si>
  <si>
    <t>34827</t>
  </si>
  <si>
    <t>https://www.smwcentral.net/?a=details&amp;id=34827&amp;p=section</t>
  </si>
  <si>
    <t>https://dl.smwcentral.net/34827/Agnosthesia.zip</t>
  </si>
  <si>
    <t>Aionios Dynami</t>
  </si>
  <si>
    <t>Atma, Buster Beetle</t>
  </si>
  <si>
    <t>9993</t>
  </si>
  <si>
    <t>https://www.smwcentral.net/?a=details&amp;id=9993&amp;p=section</t>
  </si>
  <si>
    <t>https://dl.smwcentral.net/9993/Aionios%20Dynami.zip</t>
  </si>
  <si>
    <t>Akogare 2</t>
  </si>
  <si>
    <t>Mega</t>
  </si>
  <si>
    <t>27094</t>
  </si>
  <si>
    <t>https://www.smwcentral.net/?a=details&amp;id=27094&amp;p=section</t>
  </si>
  <si>
    <t>https://dl.smwcentral.net/27094/Akogare2.zip</t>
  </si>
  <si>
    <t>Akogare Mario World</t>
  </si>
  <si>
    <t>18612</t>
  </si>
  <si>
    <t>https://www.smwcentral.net/?a=details&amp;id=18612&amp;p=section</t>
  </si>
  <si>
    <t>https://dl.smwcentral.net/18612/Akogare%20v1.2.zip</t>
  </si>
  <si>
    <t>Alabaras Shells</t>
  </si>
  <si>
    <t>arantes</t>
  </si>
  <si>
    <t>33026</t>
  </si>
  <si>
    <t>https://www.smwcentral.net/?a=details&amp;id=33026&amp;p=section</t>
  </si>
  <si>
    <t>https://dl.smwcentral.net/33026/Alabaras%20Shells%201.2.zip</t>
  </si>
  <si>
    <t>Albatros</t>
  </si>
  <si>
    <t>kurtistrydiz</t>
  </si>
  <si>
    <t>38912</t>
  </si>
  <si>
    <t>https://www.smwcentral.net/?a=details&amp;id=38912&amp;p=section</t>
  </si>
  <si>
    <t>https://dl.smwcentral.net/38912/Albatros%201.102.zip</t>
  </si>
  <si>
    <t>Alex Kidd in Mario World</t>
  </si>
  <si>
    <t>Bioma</t>
  </si>
  <si>
    <t>13589</t>
  </si>
  <si>
    <t>https://www.smwcentral.net/?a=details&amp;id=13589&amp;p=section</t>
  </si>
  <si>
    <t>https://dl.smwcentral.net/13589/AKMW.zip</t>
  </si>
  <si>
    <t>Alex Kidd In Pancake World</t>
  </si>
  <si>
    <t>Lunartoad</t>
  </si>
  <si>
    <t>9721</t>
  </si>
  <si>
    <t>https://www.smwcentral.net/?a=details&amp;id=9721&amp;p=section</t>
  </si>
  <si>
    <t>https://dl.smwcentral.net/9721/Alex_Kidd_Demo1_%28IPS%2C_for_clean_ROM%29.zip</t>
  </si>
  <si>
    <t>All in a Day's World</t>
  </si>
  <si>
    <t>E-man38</t>
  </si>
  <si>
    <t>39362</t>
  </si>
  <si>
    <t>https://www.smwcentral.net/?a=details&amp;id=39362&amp;p=section</t>
  </si>
  <si>
    <t>https://dl.smwcentral.net/39362/All%20in%20a%20Day%27s%20World.zip</t>
  </si>
  <si>
    <t>Allstar's dream</t>
  </si>
  <si>
    <t>28535</t>
  </si>
  <si>
    <t>https://www.smwcentral.net/?a=details&amp;id=28535&amp;p=section</t>
  </si>
  <si>
    <t>https://dl.smwcentral.net/28535/Allstar%27s%20dream%20v1.0.zip</t>
  </si>
  <si>
    <t>Allycia Legends - The Blood Moon</t>
  </si>
  <si>
    <t>Guilherme F Santos</t>
  </si>
  <si>
    <t>14727</t>
  </si>
  <si>
    <t>https://www.smwcentral.net/?a=details&amp;id=14727&amp;p=section</t>
  </si>
  <si>
    <t>https://dl.smwcentral.net/14727/Allycia%20Legends.zip</t>
  </si>
  <si>
    <t>Alpha Shelltauri</t>
  </si>
  <si>
    <t>pibolarGaming</t>
  </si>
  <si>
    <t>34112</t>
  </si>
  <si>
    <t>https://www.smwcentral.net/?a=details&amp;id=34112&amp;p=section</t>
  </si>
  <si>
    <t>https://dl.smwcentral.net/34112/Alpha%20Shelltauri.zip</t>
  </si>
  <si>
    <t>ALPHA SPHERE Zero: Rotten Brains</t>
  </si>
  <si>
    <t>Daizo Dee Von</t>
  </si>
  <si>
    <t>32393</t>
  </si>
  <si>
    <t>https://www.smwcentral.net/?a=details&amp;id=32393&amp;p=section</t>
  </si>
  <si>
    <t>https://dl.smwcentral.net/32393/%5BHack%5D%20ALPHA%20SPHERE%20Zero%20-%20Rotten%20Brains.zip</t>
  </si>
  <si>
    <t>ALPHA SPHERE: Director's Cut</t>
  </si>
  <si>
    <t>27795</t>
  </si>
  <si>
    <t>https://www.smwcentral.net/?a=details&amp;id=27795&amp;p=section</t>
  </si>
  <si>
    <t>https://dl.smwcentral.net/27795/ALPHA%20SPHERE%20Director%27s%20Cut%20v1.0.2.zip</t>
  </si>
  <si>
    <t>Also Sprach Mario</t>
  </si>
  <si>
    <t>MrBread</t>
  </si>
  <si>
    <t>22417</t>
  </si>
  <si>
    <t>https://www.smwcentral.net/?a=details&amp;id=22417&amp;p=section</t>
  </si>
  <si>
    <t>https://dl.smwcentral.net/22417/AlsoSprachMario.zip</t>
  </si>
  <si>
    <t>Amazing</t>
  </si>
  <si>
    <t>Sweetdude</t>
  </si>
  <si>
    <t>38889</t>
  </si>
  <si>
    <t>https://www.smwcentral.net/?a=details&amp;id=38889&amp;p=section</t>
  </si>
  <si>
    <t>https://dl.smwcentral.net/38889/Amazeballs.zip</t>
  </si>
  <si>
    <t>Ambivalence</t>
  </si>
  <si>
    <t>drkrdnk</t>
  </si>
  <si>
    <t>31224</t>
  </si>
  <si>
    <t>https://www.smwcentral.net/?a=details&amp;id=31224&amp;p=section</t>
  </si>
  <si>
    <t>https://dl.smwcentral.net/31224/ambivalence%20v101.zip</t>
  </si>
  <si>
    <t>Amulet Of Corruption DEMO</t>
  </si>
  <si>
    <t>Superwan</t>
  </si>
  <si>
    <t>26347</t>
  </si>
  <si>
    <t>https://www.smwcentral.net/?a=details&amp;id=26347&amp;p=section</t>
  </si>
  <si>
    <t>https://dl.smwcentral.net/26347/AmuletOfCorruption.zip</t>
  </si>
  <si>
    <t>An SMW Central Production</t>
  </si>
  <si>
    <t>SMW Central</t>
  </si>
  <si>
    <t>5420</t>
  </si>
  <si>
    <t>https://www.smwcentral.net/?a=details&amp;id=5420&amp;p=section</t>
  </si>
  <si>
    <t>https://dl.smwcentral.net/5420/SMWCP.zip</t>
  </si>
  <si>
    <t>An Untitled Quest!</t>
  </si>
  <si>
    <t>LHB</t>
  </si>
  <si>
    <t>10216</t>
  </si>
  <si>
    <t>https://www.smwcentral.net/?a=details&amp;id=10216&amp;p=section</t>
  </si>
  <si>
    <t>https://dl.smwcentral.net/10216/An%20Untitled%20Quest%21.zip</t>
  </si>
  <si>
    <t>Anita Kaizo Land</t>
  </si>
  <si>
    <t>Azula16</t>
  </si>
  <si>
    <t>27829</t>
  </si>
  <si>
    <t>https://www.smwcentral.net/?a=details&amp;id=27829&amp;p=section</t>
  </si>
  <si>
    <t>https://dl.smwcentral.net/27829/Anita%20Kaizo%20Land%20V1.1.zip</t>
  </si>
  <si>
    <t>Another adventure of Mario</t>
  </si>
  <si>
    <t>Suhru</t>
  </si>
  <si>
    <t>10106</t>
  </si>
  <si>
    <t>https://www.smwcentral.net/?a=details&amp;id=10106&amp;p=section</t>
  </si>
  <si>
    <t>https://dl.smwcentral.net/10106/Another%20adventure%20of%20Mario.zip</t>
  </si>
  <si>
    <t>Another Challenge With Mario</t>
  </si>
  <si>
    <t>ChaoticX</t>
  </si>
  <si>
    <t>9677</t>
  </si>
  <si>
    <t>https://www.smwcentral.net/?a=details&amp;id=9677&amp;p=section</t>
  </si>
  <si>
    <t>https://dl.smwcentral.net/9677/AnotherChallengeWithMario%20DEMO%201.0.zip</t>
  </si>
  <si>
    <t>Another Christmas Gift - Christmas in March</t>
  </si>
  <si>
    <t>33435</t>
  </si>
  <si>
    <t>https://www.smwcentral.net/?a=details&amp;id=33435&amp;p=section</t>
  </si>
  <si>
    <t>https://dl.smwcentral.net/33435/Another%20Christmas%20Gift%20-%20Christmas%20in%20March.zip</t>
  </si>
  <si>
    <t>Another Generic SMW Hack</t>
  </si>
  <si>
    <t>MarioFan22</t>
  </si>
  <si>
    <t>10059</t>
  </si>
  <si>
    <t>https://www.smwcentral.net/?a=details&amp;id=10059&amp;p=section</t>
  </si>
  <si>
    <t>https://dl.smwcentral.net/10059/GenSMWHackUnfinished.zip</t>
  </si>
  <si>
    <t>Another Mario Adventure</t>
  </si>
  <si>
    <t>NismoZ</t>
  </si>
  <si>
    <t>10160</t>
  </si>
  <si>
    <t>https://www.smwcentral.net/?a=details&amp;id=10160&amp;p=section</t>
  </si>
  <si>
    <t>https://dl.smwcentral.net/10160/marventurev131.zip</t>
  </si>
  <si>
    <t>Another Mario Hack</t>
  </si>
  <si>
    <t>Carsr4carpeople1</t>
  </si>
  <si>
    <t>9671</t>
  </si>
  <si>
    <t>https://www.smwcentral.net/?a=details&amp;id=9671&amp;p=section</t>
  </si>
  <si>
    <t>https://dl.smwcentral.net/9671/Another%20Mario%20Hack.zip</t>
  </si>
  <si>
    <t>Another Mario Remastered</t>
  </si>
  <si>
    <t>DAA234</t>
  </si>
  <si>
    <t>15640</t>
  </si>
  <si>
    <t>https://www.smwcentral.net/?a=details&amp;id=15640&amp;p=section</t>
  </si>
  <si>
    <t>https://dl.smwcentral.net/15640/Another%20Mario%20Remastered.zip</t>
  </si>
  <si>
    <t>Another Mario Remastered 2 - HF Crismon</t>
  </si>
  <si>
    <t>16145</t>
  </si>
  <si>
    <t>https://www.smwcentral.net/?a=details&amp;id=16145&amp;p=section</t>
  </si>
  <si>
    <t>https://dl.smwcentral.net/16145/Another%20Mario%20Remastered%202%20Demo%202.zip</t>
  </si>
  <si>
    <t>Another Mario World</t>
  </si>
  <si>
    <t>15076</t>
  </si>
  <si>
    <t>https://www.smwcentral.net/?a=details&amp;id=15076&amp;p=section</t>
  </si>
  <si>
    <t>https://dl.smwcentral.net/15076/Another%20Mario%20World.zip</t>
  </si>
  <si>
    <t>Another Mario World 2: Luigi's Mission</t>
  </si>
  <si>
    <t>15710</t>
  </si>
  <si>
    <t>https://www.smwcentral.net/?a=details&amp;id=15710&amp;p=section</t>
  </si>
  <si>
    <t>https://dl.smwcentral.net/15710/Another%20Mario%20World%202%20-%20Luigi%27s%20Mission.zip</t>
  </si>
  <si>
    <t>Another Rom Hack Featuring Mario</t>
  </si>
  <si>
    <t>rumpg46691</t>
  </si>
  <si>
    <t>11837</t>
  </si>
  <si>
    <t>https://www.smwcentral.net/?a=details&amp;id=11837&amp;p=section</t>
  </si>
  <si>
    <t>https://dl.smwcentral.net/11837/Another%20Rom%20Hack%20Featuring%20Mario.zip</t>
  </si>
  <si>
    <t>Another Special World</t>
  </si>
  <si>
    <t>lolyoshi, rextep</t>
  </si>
  <si>
    <t>14122</t>
  </si>
  <si>
    <t>https://www.smwcentral.net/?a=details&amp;id=14122&amp;p=section</t>
  </si>
  <si>
    <t>https://dl.smwcentral.net/14122/newASW.zip</t>
  </si>
  <si>
    <t>Another Special World 2</t>
  </si>
  <si>
    <t>27588</t>
  </si>
  <si>
    <t>https://www.smwcentral.net/?a=details&amp;id=27588&amp;p=section</t>
  </si>
  <si>
    <t>https://dl.smwcentral.net/27588/asw2.zip</t>
  </si>
  <si>
    <t>Another Super Mario Adventure</t>
  </si>
  <si>
    <t>42255</t>
  </si>
  <si>
    <t>https://www.smwcentral.net/?a=details&amp;id=42255&amp;p=section</t>
  </si>
  <si>
    <t>https://dl.smwcentral.net/42255/ASMA2%20Demo.zip</t>
  </si>
  <si>
    <t>Aperitif</t>
  </si>
  <si>
    <t>bald_ridge</t>
  </si>
  <si>
    <t>42560</t>
  </si>
  <si>
    <t>https://www.smwcentral.net/?a=details&amp;id=42560&amp;p=section</t>
  </si>
  <si>
    <t>https://dl.smwcentral.net/42560/Aperitif1.1.zip</t>
  </si>
  <si>
    <t>App Strike</t>
  </si>
  <si>
    <t>Metalstriker</t>
  </si>
  <si>
    <t>10048</t>
  </si>
  <si>
    <t>https://www.smwcentral.net/?a=details&amp;id=10048&amp;p=section</t>
  </si>
  <si>
    <t>https://dl.smwcentral.net/10048/App%20Strike%28v2%29.zip</t>
  </si>
  <si>
    <t>Apple Boy 2: Homebound Hero</t>
  </si>
  <si>
    <t>Apple Boy, KaidenThelens</t>
  </si>
  <si>
    <t>35726</t>
  </si>
  <si>
    <t>https://www.smwcentral.net/?a=details&amp;id=35726&amp;p=section</t>
  </si>
  <si>
    <t>https://dl.smwcentral.net/35726/Apple%20Boy%20Hack%202.zip</t>
  </si>
  <si>
    <t>Apple Boy: Attack of Ice Cream Man</t>
  </si>
  <si>
    <t>Apple Boy</t>
  </si>
  <si>
    <t>32317</t>
  </si>
  <si>
    <t>https://www.smwcentral.net/?a=details&amp;id=32317&amp;p=section</t>
  </si>
  <si>
    <t>https://dl.smwcentral.net/32317/Apple%20Boy%20Attack%20of%20Ice%20Cream%20Man.zip</t>
  </si>
  <si>
    <t>Apple Guardian</t>
  </si>
  <si>
    <t>Kerfuffle</t>
  </si>
  <si>
    <t>32781</t>
  </si>
  <si>
    <t>https://www.smwcentral.net/?a=details&amp;id=32781&amp;p=section</t>
  </si>
  <si>
    <t>https://dl.smwcentral.net/32781/Apple%20Guardian%201.1.zip</t>
  </si>
  <si>
    <t>Arantes Shells</t>
  </si>
  <si>
    <t>RenanSV, arantes</t>
  </si>
  <si>
    <t>34662</t>
  </si>
  <si>
    <t>https://www.smwcentral.net/?a=details&amp;id=34662&amp;p=section</t>
  </si>
  <si>
    <t>https://dl.smwcentral.net/34662/Arantes%20Shells%201.2.zip</t>
  </si>
  <si>
    <t>Arcadia</t>
  </si>
  <si>
    <t>D_O_M</t>
  </si>
  <si>
    <t>41875</t>
  </si>
  <si>
    <t>https://www.smwcentral.net/?a=details&amp;id=41875&amp;p=section</t>
  </si>
  <si>
    <t>https://dl.smwcentral.net/41875/Arcadia.zip</t>
  </si>
  <si>
    <t>Arcane Mario World</t>
  </si>
  <si>
    <t>Mithrillionaire</t>
  </si>
  <si>
    <t>27227</t>
  </si>
  <si>
    <t>https://www.smwcentral.net/?a=details&amp;id=27227&amp;p=section</t>
  </si>
  <si>
    <t>https://dl.smwcentral.net/27227/Arcane%20Mario%20World.zip</t>
  </si>
  <si>
    <t>Archipelago of Truth Collection</t>
  </si>
  <si>
    <t>Onyx</t>
  </si>
  <si>
    <t>9926</t>
  </si>
  <si>
    <t>https://www.smwcentral.net/?a=details&amp;id=9926&amp;p=section</t>
  </si>
  <si>
    <t>https://dl.smwcentral.net/9926/Archipelago%20of%20Truth%20Collection.zip</t>
  </si>
  <si>
    <t>Arcyria</t>
  </si>
  <si>
    <t>42100</t>
  </si>
  <si>
    <t>https://www.smwcentral.net/?a=details&amp;id=42100&amp;p=section</t>
  </si>
  <si>
    <t>https://dl.smwcentral.net/42100/Arcyria%201.1.zip</t>
  </si>
  <si>
    <t>Are The Enemies Smarter Than A Caveman?</t>
  </si>
  <si>
    <t>37655</t>
  </si>
  <si>
    <t>https://www.smwcentral.net/?a=details&amp;id=37655&amp;p=section</t>
  </si>
  <si>
    <t>https://dl.smwcentral.net/37655/Are%20The%20Enemies%20Smarter%20Than%20A%20Caveman%20%28v1.01%29.zip</t>
  </si>
  <si>
    <t>Arkin</t>
  </si>
  <si>
    <t>TheTrueCommonSense</t>
  </si>
  <si>
    <t>39637</t>
  </si>
  <si>
    <t>https://www.smwcentral.net/?a=details&amp;id=39637&amp;p=section</t>
  </si>
  <si>
    <t>https://dl.smwcentral.net/39637/Arkin.zip</t>
  </si>
  <si>
    <t>ARMAGEDDON</t>
  </si>
  <si>
    <t>dacin</t>
  </si>
  <si>
    <t>27209</t>
  </si>
  <si>
    <t>https://www.smwcentral.net/?a=details&amp;id=27209&amp;p=section</t>
  </si>
  <si>
    <t>https://dl.smwcentral.net/27209/ARMAGEDDON_1.1.zip</t>
  </si>
  <si>
    <t>Armaidia</t>
  </si>
  <si>
    <t>34088, SMW Physicist, levelengine</t>
  </si>
  <si>
    <t>20671</t>
  </si>
  <si>
    <t>https://www.smwcentral.net/?a=details&amp;id=20671&amp;p=section</t>
  </si>
  <si>
    <t>https://dl.smwcentral.net/20671/Armaidia.zip</t>
  </si>
  <si>
    <t>Assortment Of Wyverns</t>
  </si>
  <si>
    <t>SolveForX</t>
  </si>
  <si>
    <t>41455</t>
  </si>
  <si>
    <t>https://www.smwcentral.net/?a=details&amp;id=41455&amp;p=section</t>
  </si>
  <si>
    <t>https://dl.smwcentral.net/41455/AssortmentOfWyverns.zip</t>
  </si>
  <si>
    <t>At Least The Music's Good</t>
  </si>
  <si>
    <t>Worl</t>
  </si>
  <si>
    <t>28839</t>
  </si>
  <si>
    <t>https://www.smwcentral.net/?a=details&amp;id=28839&amp;p=section</t>
  </si>
  <si>
    <t>https://dl.smwcentral.net/28839/At%20Least%20The%20Music%27s%20Good%20v1.1.zip</t>
  </si>
  <si>
    <t>Athletic Plumber Twins</t>
  </si>
  <si>
    <t>Shuffles</t>
  </si>
  <si>
    <t>9857</t>
  </si>
  <si>
    <t>https://www.smwcentral.net/?a=details&amp;id=9857&amp;p=section</t>
  </si>
  <si>
    <t>https://dl.smwcentral.net/9857/Athletic%20Plumber%20Twins.zip</t>
  </si>
  <si>
    <t>Attempt at a Normal Hack</t>
  </si>
  <si>
    <t>ft029</t>
  </si>
  <si>
    <t>37783</t>
  </si>
  <si>
    <t>https://www.smwcentral.net/?a=details&amp;id=37783&amp;p=section</t>
  </si>
  <si>
    <t>https://dl.smwcentral.net/37783/Attempt%20at%20a%20normal%20hack%20v1.11.zip</t>
  </si>
  <si>
    <t>Autumn</t>
  </si>
  <si>
    <t>Morph Moth</t>
  </si>
  <si>
    <t>29994</t>
  </si>
  <si>
    <t>https://www.smwcentral.net/?a=details&amp;id=29994&amp;p=section</t>
  </si>
  <si>
    <t>https://dl.smwcentral.net/29994/Autumn%201.1.zip</t>
  </si>
  <si>
    <t>Autumn Hike (Demo)</t>
  </si>
  <si>
    <t>its_heeho</t>
  </si>
  <si>
    <t>38595</t>
  </si>
  <si>
    <t>https://www.smwcentral.net/?a=details&amp;id=38595&amp;p=section</t>
  </si>
  <si>
    <t>https://dl.smwcentral.net/38595/AutumnHike%28Demo%29.zip</t>
  </si>
  <si>
    <t>Awesome Mario World</t>
  </si>
  <si>
    <t>NGB</t>
  </si>
  <si>
    <t>10346</t>
  </si>
  <si>
    <t>https://www.smwcentral.net/?a=details&amp;id=10346&amp;p=section</t>
  </si>
  <si>
    <t>https://dl.smwcentral.net/10346/Awesome_Mario_World%20Ver.%201.0.zip</t>
  </si>
  <si>
    <t>Awful Mario World</t>
  </si>
  <si>
    <t>KoJi</t>
  </si>
  <si>
    <t>38239</t>
  </si>
  <si>
    <t>https://www.smwcentral.net/?a=details&amp;id=38239&amp;p=section</t>
  </si>
  <si>
    <t>https://dl.smwcentral.net/38239/awfulmarioworld.zip</t>
  </si>
  <si>
    <t>Ayashi Mario</t>
  </si>
  <si>
    <t>edidari</t>
  </si>
  <si>
    <t>21408</t>
  </si>
  <si>
    <t>https://www.smwcentral.net/?a=details&amp;id=21408&amp;p=section</t>
  </si>
  <si>
    <t>https://dl.smwcentral.net/21408/Ayashi%20Mario.zip</t>
  </si>
  <si>
    <t>Babby Builds Wevels</t>
  </si>
  <si>
    <t>liz_bean</t>
  </si>
  <si>
    <t>40535</t>
  </si>
  <si>
    <t>https://www.smwcentral.net/?a=details&amp;id=40535&amp;p=section</t>
  </si>
  <si>
    <t>https://dl.smwcentral.net/40535/Babby%20Builds%20Wevels%20-%20V1.0.zip</t>
  </si>
  <si>
    <t>Baby Kaizo World</t>
  </si>
  <si>
    <t>Nowieso</t>
  </si>
  <si>
    <t>19145</t>
  </si>
  <si>
    <t>https://www.smwcentral.net/?a=details&amp;id=19145&amp;p=section</t>
  </si>
  <si>
    <t>https://dl.smwcentral.net/19145/BabyKaizoWorld.zip</t>
  </si>
  <si>
    <t>Baby Kaizo World 2</t>
  </si>
  <si>
    <t>Phyll</t>
  </si>
  <si>
    <t>31182</t>
  </si>
  <si>
    <t>https://www.smwcentral.net/?a=details&amp;id=31182&amp;p=section</t>
  </si>
  <si>
    <t>https://dl.smwcentral.net/31182/BKW2V1.1NeW.zip</t>
  </si>
  <si>
    <t>Back to the Classics</t>
  </si>
  <si>
    <t>Spud Alpha</t>
  </si>
  <si>
    <t>5277</t>
  </si>
  <si>
    <t>https://www.smwcentral.net/?a=details&amp;id=5277&amp;p=section</t>
  </si>
  <si>
    <t>https://dl.smwcentral.net/5277/Back%20to%20the%20Classics.zip</t>
  </si>
  <si>
    <t>Back to the Green Hill</t>
  </si>
  <si>
    <t>sholmes</t>
  </si>
  <si>
    <t>41863</t>
  </si>
  <si>
    <t>https://www.smwcentral.net/?a=details&amp;id=41863&amp;p=section</t>
  </si>
  <si>
    <t>https://dl.smwcentral.net/41863/Back%20to%20the%20Green%20Hill%20Updated.zip</t>
  </si>
  <si>
    <t>Backwards Mario World</t>
  </si>
  <si>
    <t>westslasher2</t>
  </si>
  <si>
    <t>18071</t>
  </si>
  <si>
    <t>https://www.smwcentral.net/?a=details&amp;id=18071&amp;p=section</t>
  </si>
  <si>
    <t>https://dl.smwcentral.net/18071/BackwardsMarioWorld1.11.zip</t>
  </si>
  <si>
    <t>Backyard Kaizo</t>
  </si>
  <si>
    <t>zynnoir</t>
  </si>
  <si>
    <t>30968</t>
  </si>
  <si>
    <t>https://www.smwcentral.net/?a=details&amp;id=30968&amp;p=section</t>
  </si>
  <si>
    <t>https://dl.smwcentral.net/30968/Backyard.zip</t>
  </si>
  <si>
    <t>Baker's Dozen</t>
  </si>
  <si>
    <t>HaddonFeels</t>
  </si>
  <si>
    <t>38701</t>
  </si>
  <si>
    <t>https://www.smwcentral.net/?a=details&amp;id=38701&amp;p=section</t>
  </si>
  <si>
    <t>https://dl.smwcentral.net/38701/bakers1.1.zip</t>
  </si>
  <si>
    <t>BALL BUSTER</t>
  </si>
  <si>
    <t>NerDose</t>
  </si>
  <si>
    <t>41843</t>
  </si>
  <si>
    <t>https://www.smwcentral.net/?a=details&amp;id=41843&amp;p=section</t>
  </si>
  <si>
    <t>https://dl.smwcentral.net/41843/BallBusterV1.4.zip</t>
  </si>
  <si>
    <t>Ball of Revenge</t>
  </si>
  <si>
    <t>Darky</t>
  </si>
  <si>
    <t>9944</t>
  </si>
  <si>
    <t>https://www.smwcentral.net/?a=details&amp;id=9944&amp;p=section</t>
  </si>
  <si>
    <t>https://dl.smwcentral.net/9944/BoR.zip</t>
  </si>
  <si>
    <t>Banana Is Missing!</t>
  </si>
  <si>
    <t>BDgames2023</t>
  </si>
  <si>
    <t>40622</t>
  </si>
  <si>
    <t>https://www.smwcentral.net/?a=details&amp;id=40622&amp;p=section</t>
  </si>
  <si>
    <t>https://dl.smwcentral.net/40622/BIM%21.zip</t>
  </si>
  <si>
    <t>Banana's Quest</t>
  </si>
  <si>
    <t>38857</t>
  </si>
  <si>
    <t>https://www.smwcentral.net/?a=details&amp;id=38857&amp;p=section</t>
  </si>
  <si>
    <t>https://dl.smwcentral.net/38857/B%27SQ.zip</t>
  </si>
  <si>
    <t>BanShell</t>
  </si>
  <si>
    <t>kLk</t>
  </si>
  <si>
    <t>32912</t>
  </si>
  <si>
    <t>https://www.smwcentral.net/?a=details&amp;id=32912&amp;p=section</t>
  </si>
  <si>
    <t>https://dl.smwcentral.net/32912/BanShell.zip</t>
  </si>
  <si>
    <t>Banzai Mario World</t>
  </si>
  <si>
    <t>11477</t>
  </si>
  <si>
    <t>https://www.smwcentral.net/?a=details&amp;id=11477&amp;p=section</t>
  </si>
  <si>
    <t>https://dl.smwcentral.net/11477/Banzai%20Mario%20World.zip</t>
  </si>
  <si>
    <t>Banzai's Level Sampler</t>
  </si>
  <si>
    <t>TheNewerGuy</t>
  </si>
  <si>
    <t>9652</t>
  </si>
  <si>
    <t>https://www.smwcentral.net/?a=details&amp;id=9652&amp;p=section</t>
  </si>
  <si>
    <t>https://dl.smwcentral.net/9652/banzai%27s%20Level%20Sampler.zip</t>
  </si>
  <si>
    <t>Baron of Shell</t>
  </si>
  <si>
    <t>shaoshao</t>
  </si>
  <si>
    <t>34021</t>
  </si>
  <si>
    <t>https://www.smwcentral.net/?a=details&amp;id=34021&amp;p=section</t>
  </si>
  <si>
    <t>https://dl.smwcentral.net/34021/baron.zip</t>
  </si>
  <si>
    <t>Basic Mario Hack</t>
  </si>
  <si>
    <t>GMCHacker91</t>
  </si>
  <si>
    <t>22210</t>
  </si>
  <si>
    <t>https://www.smwcentral.net/?a=details&amp;id=22210&amp;p=section</t>
  </si>
  <si>
    <t>https://dl.smwcentral.net/22210/2020%20Basic%20Mario%20UPDATE.zip</t>
  </si>
  <si>
    <t>Basic Mario Hack 2 BETA</t>
  </si>
  <si>
    <t>28720</t>
  </si>
  <si>
    <t>https://www.smwcentral.net/?a=details&amp;id=28720&amp;p=section</t>
  </si>
  <si>
    <t>https://dl.smwcentral.net/28720/Basic%20Mario%202%20BETA.zip</t>
  </si>
  <si>
    <t>Bavario Bros.</t>
  </si>
  <si>
    <t>Ahrion, DoktorGroove, Edphonse15, Gulaschko, H3nt4ik4m3n, KoS, Maw, Nowieso, Rudi_Schrausch, Schlafkopf, Spedinja, neidoodle, xamexer</t>
  </si>
  <si>
    <t>37056</t>
  </si>
  <si>
    <t>https://www.smwcentral.net/?a=details&amp;id=37056&amp;p=section</t>
  </si>
  <si>
    <t>https://dl.smwcentral.net/37056/Bavario%20Bros.%20v1.1.zip</t>
  </si>
  <si>
    <t>Beach Park At Isla Blanca</t>
  </si>
  <si>
    <t>El Cuh Fermin</t>
  </si>
  <si>
    <t>30707</t>
  </si>
  <si>
    <t>https://www.smwcentral.net/?a=details&amp;id=30707&amp;p=section</t>
  </si>
  <si>
    <t>https://dl.smwcentral.net/30707/Beach%20Park%20At%20Isla%20Blanca%20Hack.zip</t>
  </si>
  <si>
    <t>Beachside Blitz</t>
  </si>
  <si>
    <t>TheRealCatsup</t>
  </si>
  <si>
    <t>29528</t>
  </si>
  <si>
    <t>https://www.smwcentral.net/?a=details&amp;id=29528&amp;p=section</t>
  </si>
  <si>
    <t>https://dl.smwcentral.net/29528/BeachsideBlitz.zip</t>
  </si>
  <si>
    <t>Bearded Comedy World</t>
  </si>
  <si>
    <t>28731</t>
  </si>
  <si>
    <t>https://www.smwcentral.net/?a=details&amp;id=28731&amp;p=section</t>
  </si>
  <si>
    <t>https://dl.smwcentral.net/28731/BCW_1.2.zip</t>
  </si>
  <si>
    <t>Bearded Comedy World 2 Demo</t>
  </si>
  <si>
    <t>41268</t>
  </si>
  <si>
    <t>https://www.smwcentral.net/?a=details&amp;id=41268&amp;p=section</t>
  </si>
  <si>
    <t>https://dl.smwcentral.net/41268/BCW2-demo.zip</t>
  </si>
  <si>
    <t>Beautiful (Not So) Dangerous</t>
  </si>
  <si>
    <t>iamtheratio</t>
  </si>
  <si>
    <t>40437</t>
  </si>
  <si>
    <t>https://www.smwcentral.net/?a=details&amp;id=40437&amp;p=section</t>
  </si>
  <si>
    <t>https://dl.smwcentral.net/40437/BeautifulNotSoDangerous_v1.0%20.zip</t>
  </si>
  <si>
    <t>Beautiful Dangerous</t>
  </si>
  <si>
    <t>37555</t>
  </si>
  <si>
    <t>https://www.smwcentral.net/?a=details&amp;id=37555&amp;p=section</t>
  </si>
  <si>
    <t>https://dl.smwcentral.net/37555/Beautiful%20Dangerous%20v1.1.zip</t>
  </si>
  <si>
    <t>BEES in Space!</t>
  </si>
  <si>
    <t>BEESphilly</t>
  </si>
  <si>
    <t>31047</t>
  </si>
  <si>
    <t>https://www.smwcentral.net/?a=details&amp;id=31047&amp;p=section</t>
  </si>
  <si>
    <t>https://dl.smwcentral.net/31047/BEES%20in%20Space.zip</t>
  </si>
  <si>
    <t>Before The Shrooms Kick In</t>
  </si>
  <si>
    <t>JudithPrietht</t>
  </si>
  <si>
    <t>38171</t>
  </si>
  <si>
    <t>https://www.smwcentral.net/?a=details&amp;id=38171&amp;p=section</t>
  </si>
  <si>
    <t>https://dl.smwcentral.net/38171/Shroomskickin.zip</t>
  </si>
  <si>
    <t>Beginning of the End</t>
  </si>
  <si>
    <t>ShadowBoxer_Sandshrew</t>
  </si>
  <si>
    <t>34163</t>
  </si>
  <si>
    <t>https://www.smwcentral.net/?a=details&amp;id=34163&amp;p=section</t>
  </si>
  <si>
    <t>https://dl.smwcentral.net/34163/BeginningoftheEnd.zip</t>
  </si>
  <si>
    <t>BeginningBrew - Super "Real" World</t>
  </si>
  <si>
    <t>Hanzo</t>
  </si>
  <si>
    <t>31618</t>
  </si>
  <si>
    <t>https://www.smwcentral.net/?a=details&amp;id=31618&amp;p=section</t>
  </si>
  <si>
    <t>https://dl.smwcentral.net/31618/BeginningBrew%20-%20Super%20Real%20World.zip</t>
  </si>
  <si>
    <t>Beneath the Bottom of the Screen</t>
  </si>
  <si>
    <t>xLyfu</t>
  </si>
  <si>
    <t>40744</t>
  </si>
  <si>
    <t>https://www.smwcentral.net/?a=details&amp;id=40744&amp;p=section</t>
  </si>
  <si>
    <t>https://dl.smwcentral.net/40744/Beneath%20the%20Bottom%20of%20the%20Screen.zip</t>
  </si>
  <si>
    <t>BETO UNIVERSE</t>
  </si>
  <si>
    <t>alvinluis</t>
  </si>
  <si>
    <t>31781</t>
  </si>
  <si>
    <t>https://www.smwcentral.net/?a=details&amp;id=31781&amp;p=section</t>
  </si>
  <si>
    <t>https://dl.smwcentral.net/31781/beto%20universe.zip</t>
  </si>
  <si>
    <t>Beyond Beco World</t>
  </si>
  <si>
    <t>Azula16, SKAW Adri</t>
  </si>
  <si>
    <t>33461</t>
  </si>
  <si>
    <t>https://www.smwcentral.net/?a=details&amp;id=33461&amp;p=section</t>
  </si>
  <si>
    <t>https://dl.smwcentral.net/33461/Beyond%20Beco%20World.zip</t>
  </si>
  <si>
    <t>Big Boo Gang</t>
  </si>
  <si>
    <t>5055</t>
  </si>
  <si>
    <t>https://www.smwcentral.net/?a=details&amp;id=5055&amp;p=section</t>
  </si>
  <si>
    <t>https://dl.smwcentral.net/5055/BBG.zip</t>
  </si>
  <si>
    <t>Big Boo's Revenge</t>
  </si>
  <si>
    <t>Tobias94</t>
  </si>
  <si>
    <t>29604</t>
  </si>
  <si>
    <t>https://www.smwcentral.net/?a=details&amp;id=29604&amp;p=section</t>
  </si>
  <si>
    <t>https://dl.smwcentral.net/29604/Big%20Boo%27s%20Revenge%20-%20Fixed.zip</t>
  </si>
  <si>
    <t>Binary Perdition</t>
  </si>
  <si>
    <t>35070</t>
  </si>
  <si>
    <t>https://www.smwcentral.net/?a=details&amp;id=35070&amp;p=section</t>
  </si>
  <si>
    <t>https://dl.smwcentral.net/35070/Binary.zip</t>
  </si>
  <si>
    <t>Binary World</t>
  </si>
  <si>
    <t>Celestin_Goulvet, RussianMan, TheXander</t>
  </si>
  <si>
    <t>39116</t>
  </si>
  <si>
    <t>https://www.smwcentral.net/?a=details&amp;id=39116&amp;p=section</t>
  </si>
  <si>
    <t>https://dl.smwcentral.net/39116/Binary%20World%20Submission%201.0.11.zip</t>
  </si>
  <si>
    <t>Biob's Challenge</t>
  </si>
  <si>
    <t>TheBiob</t>
  </si>
  <si>
    <t>14999</t>
  </si>
  <si>
    <t>https://www.smwcentral.net/?a=details&amp;id=14999&amp;p=section</t>
  </si>
  <si>
    <t>https://dl.smwcentral.net/14999/BiobsChallenge.zip</t>
  </si>
  <si>
    <t>Birola World</t>
  </si>
  <si>
    <t>25068</t>
  </si>
  <si>
    <t>https://www.smwcentral.net/?a=details&amp;id=25068&amp;p=section</t>
  </si>
  <si>
    <t>https://dl.smwcentral.net/25068/Birola_World_V2.zip</t>
  </si>
  <si>
    <t>Bits and Pieces</t>
  </si>
  <si>
    <t>18119</t>
  </si>
  <si>
    <t>https://www.smwcentral.net/?a=details&amp;id=18119&amp;p=section</t>
  </si>
  <si>
    <t>https://dl.smwcentral.net/18119/Bits_and_Pieces_3rd_Edition.zip</t>
  </si>
  <si>
    <t>Blackout Shells</t>
  </si>
  <si>
    <t>Breno Henrique, Daniel Pedroza, flavioinsanity</t>
  </si>
  <si>
    <t>42683</t>
  </si>
  <si>
    <t>https://www.smwcentral.net/?a=details&amp;id=42683&amp;p=section</t>
  </si>
  <si>
    <t>https://dl.smwcentral.net/42683/Blackout%20shells.zip</t>
  </si>
  <si>
    <t>BLACKOUT.exe</t>
  </si>
  <si>
    <t>38957</t>
  </si>
  <si>
    <t>https://www.smwcentral.net/?a=details&amp;id=38957&amp;p=section</t>
  </si>
  <si>
    <t>https://dl.smwcentral.net/38957/BlackOut.zip</t>
  </si>
  <si>
    <t>Blind Devil's Trip Back in Time</t>
  </si>
  <si>
    <t>Blind Devil</t>
  </si>
  <si>
    <t>5527</t>
  </si>
  <si>
    <t>https://www.smwcentral.net/?a=details&amp;id=5527&amp;p=section</t>
  </si>
  <si>
    <t>https://dl.smwcentral.net/5527/BlindTripBackFixed.zip</t>
  </si>
  <si>
    <t>Blind Race: Lucky Pick</t>
  </si>
  <si>
    <t>Firstnamebutt, Justepic</t>
  </si>
  <si>
    <t>35280</t>
  </si>
  <si>
    <t>https://www.smwcentral.net/?a=details&amp;id=35280&amp;p=section</t>
  </si>
  <si>
    <t>https://dl.smwcentral.net/35280/Blind%20Race%20Lucky%20Pick.zip</t>
  </si>
  <si>
    <t>Blockreator Hack</t>
  </si>
  <si>
    <t>Golden Yoshi</t>
  </si>
  <si>
    <t>41314</t>
  </si>
  <si>
    <t>https://www.smwcentral.net/?a=details&amp;id=41314&amp;p=section</t>
  </si>
  <si>
    <t>https://dl.smwcentral.net/41314/Blockreator%20Hack.zip</t>
  </si>
  <si>
    <t>Blocks and Hammers and Coins and Spikes</t>
  </si>
  <si>
    <t>30171</t>
  </si>
  <si>
    <t>https://www.smwcentral.net/?a=details&amp;id=30171&amp;p=section</t>
  </si>
  <si>
    <t>https://dl.smwcentral.net/30171/blocks.zip</t>
  </si>
  <si>
    <t>Blooper Stole My Cake</t>
  </si>
  <si>
    <t>31843</t>
  </si>
  <si>
    <t>https://www.smwcentral.net/?a=details&amp;id=31843&amp;p=section</t>
  </si>
  <si>
    <t>https://dl.smwcentral.net/31843/Blooper%20Stole%20My%20Cake%20%28Version%201.1%29.zip</t>
  </si>
  <si>
    <t>Blue World</t>
  </si>
  <si>
    <t>johhankyuzu</t>
  </si>
  <si>
    <t>32646</t>
  </si>
  <si>
    <t>https://www.smwcentral.net/?a=details&amp;id=32646&amp;p=section</t>
  </si>
  <si>
    <t>https://dl.smwcentral.net/32646/Blue%20World.zip</t>
  </si>
  <si>
    <t>Blue's Revenge</t>
  </si>
  <si>
    <t>27212</t>
  </si>
  <si>
    <t>https://www.smwcentral.net/?a=details&amp;id=27212&amp;p=section</t>
  </si>
  <si>
    <t>https://dl.smwcentral.net/27212/Blue%27sRevengeV1.1.zip</t>
  </si>
  <si>
    <t>Bluerio's Adventure</t>
  </si>
  <si>
    <t>Inflagrandy</t>
  </si>
  <si>
    <t>39591</t>
  </si>
  <si>
    <t>https://www.smwcentral.net/?a=details&amp;id=39591&amp;p=section</t>
  </si>
  <si>
    <t>https://dl.smwcentral.net/39591/Bluerio%27s%20Adventure.zip</t>
  </si>
  <si>
    <t>Bluewater Kingdom</t>
  </si>
  <si>
    <t>Nic Nac</t>
  </si>
  <si>
    <t>11347</t>
  </si>
  <si>
    <t>https://www.smwcentral.net/?a=details&amp;id=11347&amp;p=section</t>
  </si>
  <si>
    <t>https://dl.smwcentral.net/11347/Bluewater%20Kingdom.zip</t>
  </si>
  <si>
    <t>Bob's Adventure</t>
  </si>
  <si>
    <t>thekenbaum</t>
  </si>
  <si>
    <t>10194</t>
  </si>
  <si>
    <t>https://www.smwcentral.net/?a=details&amp;id=10194&amp;p=section</t>
  </si>
  <si>
    <t>https://dl.smwcentral.net/10194/Bob%27s%20adventure%20patch.zip</t>
  </si>
  <si>
    <t>BokoBoko 2  - no yaba (smw remaster)</t>
  </si>
  <si>
    <t>AnaRosaHD01</t>
  </si>
  <si>
    <t>32466</t>
  </si>
  <si>
    <t>https://www.smwcentral.net/?a=details&amp;id=32466&amp;p=section</t>
  </si>
  <si>
    <t>https://dl.smwcentral.net/32466/BokoBoko2%20smw%20remaster.zip</t>
  </si>
  <si>
    <t>BoliKa</t>
  </si>
  <si>
    <t>Kazefbr</t>
  </si>
  <si>
    <t>27797</t>
  </si>
  <si>
    <t>https://www.smwcentral.net/?a=details&amp;id=27797&amp;p=section</t>
  </si>
  <si>
    <t>https://dl.smwcentral.net/27797/BoliKa%20V1.1.zip</t>
  </si>
  <si>
    <t>Bomberman X</t>
  </si>
  <si>
    <t>karen13505</t>
  </si>
  <si>
    <t>14376</t>
  </si>
  <si>
    <t>https://www.smwcentral.net/?a=details&amp;id=14376&amp;p=section</t>
  </si>
  <si>
    <t>https://dl.smwcentral.net/14376/Bomberman_X%20final%20patch.zip</t>
  </si>
  <si>
    <t>Bonni's Quest</t>
  </si>
  <si>
    <t>Ladida</t>
  </si>
  <si>
    <t>5346</t>
  </si>
  <si>
    <t>https://www.smwcentral.net/?a=details&amp;id=5346&amp;p=section</t>
  </si>
  <si>
    <t>https://dl.smwcentral.net/5346/Bonni%27s%20Quest%20-%20Demo%202%20%5BFixed%5D.zip</t>
  </si>
  <si>
    <t>Boogie Wonderland</t>
  </si>
  <si>
    <t>BabaYegha</t>
  </si>
  <si>
    <t>28495</t>
  </si>
  <si>
    <t>https://www.smwcentral.net/?a=details&amp;id=28495&amp;p=section</t>
  </si>
  <si>
    <t>https://dl.smwcentral.net/28495/BoogieWonderLand_v2.0.zip</t>
  </si>
  <si>
    <t>Boon's Adventure</t>
  </si>
  <si>
    <t>32564</t>
  </si>
  <si>
    <t>https://www.smwcentral.net/?a=details&amp;id=32564&amp;p=section</t>
  </si>
  <si>
    <t>https://dl.smwcentral.net/32564/Boon%27s%20Adventure%20Demo.zip</t>
  </si>
  <si>
    <t>BooSide</t>
  </si>
  <si>
    <t>CousinCatnip</t>
  </si>
  <si>
    <t>27043</t>
  </si>
  <si>
    <t>https://www.smwcentral.net/?a=details&amp;id=27043&amp;p=section</t>
  </si>
  <si>
    <t>https://dl.smwcentral.net/27043/BooSide%201.0.zip</t>
  </si>
  <si>
    <t>BOOT IT UP</t>
  </si>
  <si>
    <t>Goon Nation, deported</t>
  </si>
  <si>
    <t>39679</t>
  </si>
  <si>
    <t>https://www.smwcentral.net/?a=details&amp;id=39679&amp;p=section</t>
  </si>
  <si>
    <t>https://dl.smwcentral.net/39679/boot.zip</t>
  </si>
  <si>
    <t>Borealis Sh'El</t>
  </si>
  <si>
    <t>elsaiz117</t>
  </si>
  <si>
    <t>40521</t>
  </si>
  <si>
    <t>https://www.smwcentral.net/?a=details&amp;id=40521&amp;p=section</t>
  </si>
  <si>
    <t>https://dl.smwcentral.net/40521/Borealis%20Sh%27El.zip</t>
  </si>
  <si>
    <t>Boris</t>
  </si>
  <si>
    <t>Sockbat Replica</t>
  </si>
  <si>
    <t>17843</t>
  </si>
  <si>
    <t>https://www.smwcentral.net/?a=details&amp;id=17843&amp;p=section</t>
  </si>
  <si>
    <t>https://dl.smwcentral.net/17843/Boris%20V2.zip</t>
  </si>
  <si>
    <t>Bounceland: The Quest for The Holy Springboard</t>
  </si>
  <si>
    <t>Segment1Zone2</t>
  </si>
  <si>
    <t>39209</t>
  </si>
  <si>
    <t>https://www.smwcentral.net/?a=details&amp;id=39209&amp;p=section</t>
  </si>
  <si>
    <t>https://dl.smwcentral.net/39209/Bounceland%20v1.02.zip</t>
  </si>
  <si>
    <t>Bowser Forest</t>
  </si>
  <si>
    <t>Dylan Yoshi</t>
  </si>
  <si>
    <t>9752</t>
  </si>
  <si>
    <t>https://www.smwcentral.net/?a=details&amp;id=9752&amp;p=section</t>
  </si>
  <si>
    <t>https://dl.smwcentral.net/9752/Bowser%20Forest.zip</t>
  </si>
  <si>
    <t>Bowser Jr's Adventure</t>
  </si>
  <si>
    <t>BBkaizo</t>
  </si>
  <si>
    <t>10199</t>
  </si>
  <si>
    <t>https://www.smwcentral.net/?a=details&amp;id=10199&amp;p=section</t>
  </si>
  <si>
    <t>https://dl.smwcentral.net/10199/Bowser%20jr.zip</t>
  </si>
  <si>
    <t>Bowser Jr.'s Pirate Ship</t>
  </si>
  <si>
    <t>Shizufuzu</t>
  </si>
  <si>
    <t>11682</t>
  </si>
  <si>
    <t>https://www.smwcentral.net/?a=details&amp;id=11682&amp;p=section</t>
  </si>
  <si>
    <t>https://dl.smwcentral.net/11682/Bowser%20JR.s%20pirate%20ship.zip</t>
  </si>
  <si>
    <t>Bowser Rampages Again</t>
  </si>
  <si>
    <t>ZMann</t>
  </si>
  <si>
    <t>5241</t>
  </si>
  <si>
    <t>https://www.smwcentral.net/?a=details&amp;id=5241&amp;p=section</t>
  </si>
  <si>
    <t>https://dl.smwcentral.net/5241/Bowser%20Rampages%20Again.zip</t>
  </si>
  <si>
    <t>Bowser Rampages Again 2 - Peach Rampages Back!</t>
  </si>
  <si>
    <t>10488</t>
  </si>
  <si>
    <t>https://www.smwcentral.net/?a=details&amp;id=10488&amp;p=section</t>
  </si>
  <si>
    <t>https://dl.smwcentral.net/10488/RAMPAGEII-REALDEMOI%20%282%29.zip</t>
  </si>
  <si>
    <t>Bowser Runis Marios Vaction</t>
  </si>
  <si>
    <t>Enan63</t>
  </si>
  <si>
    <t>18822</t>
  </si>
  <si>
    <t>https://www.smwcentral.net/?a=details&amp;id=18822&amp;p=section</t>
  </si>
  <si>
    <t>https://dl.smwcentral.net/18822/Bowser%20Runis%20Marios%20Vaction.zip</t>
  </si>
  <si>
    <t>Bowser Stadium</t>
  </si>
  <si>
    <t>5582</t>
  </si>
  <si>
    <t>https://www.smwcentral.net/?a=details&amp;id=5582&amp;p=section</t>
  </si>
  <si>
    <t>https://dl.smwcentral.net/5582/Bowser%20Stadium%20Gamma.zip</t>
  </si>
  <si>
    <t>Bowser Strikes Back</t>
  </si>
  <si>
    <t>Jimmy</t>
  </si>
  <si>
    <t>9774</t>
  </si>
  <si>
    <t>https://www.smwcentral.net/?a=details&amp;id=9774&amp;p=section</t>
  </si>
  <si>
    <t>https://dl.smwcentral.net/9774/BSB-Demo1v1.1.zip</t>
  </si>
  <si>
    <t>Bowser's Armada</t>
  </si>
  <si>
    <t>Choco</t>
  </si>
  <si>
    <t>9877</t>
  </si>
  <si>
    <t>https://www.smwcentral.net/?a=details&amp;id=9877&amp;p=section</t>
  </si>
  <si>
    <t>https://dl.smwcentral.net/9877/Kopia%20%284%29%20av%20Super%20Mario%20World%20%28U%29%20%5B%21%5D.zip</t>
  </si>
  <si>
    <t>Bowser's Casino</t>
  </si>
  <si>
    <t>FreeKill2111</t>
  </si>
  <si>
    <t>40169</t>
  </si>
  <si>
    <t>https://www.smwcentral.net/?a=details&amp;id=40169&amp;p=section</t>
  </si>
  <si>
    <t>https://dl.smwcentral.net/40169/BowsersCasino.zip</t>
  </si>
  <si>
    <t>Bowser's Castle</t>
  </si>
  <si>
    <t>PMH</t>
  </si>
  <si>
    <t>13982</t>
  </si>
  <si>
    <t>https://www.smwcentral.net/?a=details&amp;id=13982&amp;p=section</t>
  </si>
  <si>
    <t>https://dl.smwcentral.net/13982/Bowser%27s%20Castle.zip</t>
  </si>
  <si>
    <t>Bowser's Castle 2</t>
  </si>
  <si>
    <t>22233</t>
  </si>
  <si>
    <t>https://www.smwcentral.net/?a=details&amp;id=22233&amp;p=section</t>
  </si>
  <si>
    <t>https://dl.smwcentral.net/22233/Bowser%27s%20Castle%202.zip</t>
  </si>
  <si>
    <t>Bowser's Dangerous Castle 2</t>
  </si>
  <si>
    <t>Vampire Killer</t>
  </si>
  <si>
    <t>9707</t>
  </si>
  <si>
    <t>https://www.smwcentral.net/?a=details&amp;id=9707&amp;p=section</t>
  </si>
  <si>
    <t>https://dl.smwcentral.net/9707/BDC2.zip</t>
  </si>
  <si>
    <t>Bowser's Hideout</t>
  </si>
  <si>
    <t>Core</t>
  </si>
  <si>
    <t>32728</t>
  </si>
  <si>
    <t>https://www.smwcentral.net/?a=details&amp;id=32728&amp;p=section</t>
  </si>
  <si>
    <t>https://dl.smwcentral.net/32728/BH1Fix.zip</t>
  </si>
  <si>
    <t>Bowser's Hideout 2</t>
  </si>
  <si>
    <t>28708</t>
  </si>
  <si>
    <t>https://www.smwcentral.net/?a=details&amp;id=28708&amp;p=section</t>
  </si>
  <si>
    <t>https://dl.smwcentral.net/28708/Bowser%27s%20Hideout%202_fix.zip</t>
  </si>
  <si>
    <t>Bowser's Hideout Deluxe</t>
  </si>
  <si>
    <t>Core, Mr. MS</t>
  </si>
  <si>
    <t>33106</t>
  </si>
  <si>
    <t>https://www.smwcentral.net/?a=details&amp;id=33106&amp;p=section</t>
  </si>
  <si>
    <t>https://dl.smwcentral.net/33106/BH1R.zip</t>
  </si>
  <si>
    <t>Bowser's Kingdom</t>
  </si>
  <si>
    <t>mario and luigi</t>
  </si>
  <si>
    <t>6874</t>
  </si>
  <si>
    <t>https://www.smwcentral.net/?a=details&amp;id=6874&amp;p=section</t>
  </si>
  <si>
    <t>https://dl.smwcentral.net/6874/bowser%27s%20kingdom%20hack.zip</t>
  </si>
  <si>
    <t>Bowser's Plan Part One: Alternate World</t>
  </si>
  <si>
    <t>ShyGuyGuyShy</t>
  </si>
  <si>
    <t>10046</t>
  </si>
  <si>
    <t>https://www.smwcentral.net/?a=details&amp;id=10046&amp;p=section</t>
  </si>
  <si>
    <t>https://dl.smwcentral.net/10046/SMB%20BP%20DEMO.zip</t>
  </si>
  <si>
    <t>Bowser's Revenge</t>
  </si>
  <si>
    <t>Easy Difficulty</t>
  </si>
  <si>
    <t>35118</t>
  </si>
  <si>
    <t>https://www.smwcentral.net/?a=details&amp;id=35118&amp;p=section</t>
  </si>
  <si>
    <t>https://dl.smwcentral.net/35118/Bowser%27s%20Revenge%20v1.1.zip</t>
  </si>
  <si>
    <t>Bowser's Revenge 2</t>
  </si>
  <si>
    <t>37751</t>
  </si>
  <si>
    <t>https://www.smwcentral.net/?a=details&amp;id=37751&amp;p=section</t>
  </si>
  <si>
    <t>https://dl.smwcentral.net/37751/Bowser%27s%20Revenge%202%20v1.1.zip</t>
  </si>
  <si>
    <t>Bowser's Revenge 3</t>
  </si>
  <si>
    <t>35354</t>
  </si>
  <si>
    <t>https://www.smwcentral.net/?a=details&amp;id=35354&amp;p=section</t>
  </si>
  <si>
    <t>https://dl.smwcentral.net/35354/Bowser%27s%20Revenge%203.zip</t>
  </si>
  <si>
    <t>Bowser's Revenge 4</t>
  </si>
  <si>
    <t>36606</t>
  </si>
  <si>
    <t>https://www.smwcentral.net/?a=details&amp;id=36606&amp;p=section</t>
  </si>
  <si>
    <t>https://dl.smwcentral.net/36606/Bowser%27s%20Revenge%204.zip</t>
  </si>
  <si>
    <t>Bowser's Time Machine</t>
  </si>
  <si>
    <t>DarkBones</t>
  </si>
  <si>
    <t>10178</t>
  </si>
  <si>
    <t>https://www.smwcentral.net/?a=details&amp;id=10178&amp;p=section</t>
  </si>
  <si>
    <t>https://dl.smwcentral.net/10178/Bowser%27s%20Time%20Machine.zip</t>
  </si>
  <si>
    <t>Box of Shadows</t>
  </si>
  <si>
    <t>28763</t>
  </si>
  <si>
    <t>https://www.smwcentral.net/?a=details&amp;id=28763&amp;p=section</t>
  </si>
  <si>
    <t>https://dl.smwcentral.net/28763/Box_of_Shadows.zip</t>
  </si>
  <si>
    <t>Brave New World</t>
  </si>
  <si>
    <t>derv82</t>
  </si>
  <si>
    <t>30248</t>
  </si>
  <si>
    <t>https://www.smwcentral.net/?a=details&amp;id=30248&amp;p=section</t>
  </si>
  <si>
    <t>https://dl.smwcentral.net/30248/Brave%20New%20World%201.1.zip</t>
  </si>
  <si>
    <t>Brave New World 2</t>
  </si>
  <si>
    <t>35504</t>
  </si>
  <si>
    <t>https://www.smwcentral.net/?a=details&amp;id=35504&amp;p=section</t>
  </si>
  <si>
    <t>https://dl.smwcentral.net/35504/BraveNewWorld2.zip</t>
  </si>
  <si>
    <t>Bread World</t>
  </si>
  <si>
    <t>22536</t>
  </si>
  <si>
    <t>https://www.smwcentral.net/?a=details&amp;id=22536&amp;p=section</t>
  </si>
  <si>
    <t>https://dl.smwcentral.net/22536/BreadWorld.zip</t>
  </si>
  <si>
    <t>Breakfast Kaizo 2: Elevensies</t>
  </si>
  <si>
    <t>GlitchCat7</t>
  </si>
  <si>
    <t>21147</t>
  </si>
  <si>
    <t>https://www.smwcentral.net/?a=details&amp;id=21147&amp;p=section</t>
  </si>
  <si>
    <t>https://dl.smwcentral.net/21147/BKW2_1.1.zip</t>
  </si>
  <si>
    <t>Breaking SMW</t>
  </si>
  <si>
    <t>Devazure, Magikey, dacin, xHF01x</t>
  </si>
  <si>
    <t>30536</t>
  </si>
  <si>
    <t>https://www.smwcentral.net/?a=details&amp;id=30536&amp;p=section</t>
  </si>
  <si>
    <t>https://dl.smwcentral.net/30536/BreakingSMW.zip</t>
  </si>
  <si>
    <t>Briefly12 World</t>
  </si>
  <si>
    <t>Lee12UK</t>
  </si>
  <si>
    <t>28764</t>
  </si>
  <si>
    <t>https://www.smwcentral.net/?a=details&amp;id=28764&amp;p=section</t>
  </si>
  <si>
    <t>https://dl.smwcentral.net/28764/Briefly12v1.1.zip</t>
  </si>
  <si>
    <t>BRMVR</t>
  </si>
  <si>
    <t>20443</t>
  </si>
  <si>
    <t>https://www.smwcentral.net/?a=details&amp;id=20443&amp;p=section</t>
  </si>
  <si>
    <t>https://dl.smwcentral.net/20443/BRMVR%20Demo%202%20C3%20July%202019.zip</t>
  </si>
  <si>
    <t>Bro's Adventure</t>
  </si>
  <si>
    <t>Gringo Loco Jr.</t>
  </si>
  <si>
    <t>33806</t>
  </si>
  <si>
    <t>https://www.smwcentral.net/?a=details&amp;id=33806&amp;p=section</t>
  </si>
  <si>
    <t>https://dl.smwcentral.net/33806/Bro%27s%20Adventure%20%28Demo%29.zip</t>
  </si>
  <si>
    <t>Broken Shell</t>
  </si>
  <si>
    <t>Pottsie</t>
  </si>
  <si>
    <t>40848</t>
  </si>
  <si>
    <t>https://www.smwcentral.net/?a=details&amp;id=40848&amp;p=section</t>
  </si>
  <si>
    <t>https://dl.smwcentral.net/40848/Broken%20Shell.zip</t>
  </si>
  <si>
    <t>Brothermen</t>
  </si>
  <si>
    <t>JezJitzu, MorrieTheMagpie, pnaha</t>
  </si>
  <si>
    <t>42661</t>
  </si>
  <si>
    <t>https://www.smwcentral.net/?a=details&amp;id=42661&amp;p=section</t>
  </si>
  <si>
    <t>https://dl.smwcentral.net/42661/Brothermen.zip</t>
  </si>
  <si>
    <t>Brutal Bunny</t>
  </si>
  <si>
    <t>fanfan21</t>
  </si>
  <si>
    <t>39595</t>
  </si>
  <si>
    <t>https://www.smwcentral.net/?a=details&amp;id=39595&amp;p=section</t>
  </si>
  <si>
    <t>https://dl.smwcentral.net/39595/Brutal%20Bunny%20%28SMW%29.zip</t>
  </si>
  <si>
    <t>Brutal Mario</t>
  </si>
  <si>
    <t>carol</t>
  </si>
  <si>
    <t>6099</t>
  </si>
  <si>
    <t>https://www.smwcentral.net/?a=details&amp;id=6099&amp;p=section</t>
  </si>
  <si>
    <t>https://dl.smwcentral.net/6099/Brutal%20Mario%20Demo%207.zip</t>
  </si>
  <si>
    <t>Buddy Shell</t>
  </si>
  <si>
    <t>Firstnamebutt</t>
  </si>
  <si>
    <t>33690</t>
  </si>
  <si>
    <t>https://www.smwcentral.net/?a=details&amp;id=33690&amp;p=section</t>
  </si>
  <si>
    <t>https://dl.smwcentral.net/33690/BUDDY%20SHELL%20v1.zip</t>
  </si>
  <si>
    <t>Buddy Shell 2</t>
  </si>
  <si>
    <t>36816</t>
  </si>
  <si>
    <t>https://www.smwcentral.net/?a=details&amp;id=36816&amp;p=section</t>
  </si>
  <si>
    <t>https://dl.smwcentral.net/36816/Buddy_Shell2.zip</t>
  </si>
  <si>
    <t>Buddy Shell 2 REDUX</t>
  </si>
  <si>
    <t>37743</t>
  </si>
  <si>
    <t>https://www.smwcentral.net/?a=details&amp;id=37743&amp;p=section</t>
  </si>
  <si>
    <t>https://dl.smwcentral.net/37743/BuddyShell2REDUX.zip</t>
  </si>
  <si>
    <t>Bullymario's New Super Mario World</t>
  </si>
  <si>
    <t>Bullymario</t>
  </si>
  <si>
    <t>31895</t>
  </si>
  <si>
    <t>https://www.smwcentral.net/?a=details&amp;id=31895&amp;p=section</t>
  </si>
  <si>
    <t>https://dl.smwcentral.net/31895/NSMW1%20%28Fixed%29.zip</t>
  </si>
  <si>
    <t>Bunbun 3</t>
  </si>
  <si>
    <t>sio-kedelic</t>
  </si>
  <si>
    <t>34494</t>
  </si>
  <si>
    <t>https://www.smwcentral.net/?a=details&amp;id=34494&amp;p=section</t>
  </si>
  <si>
    <t>https://dl.smwcentral.net/34494/bunbun3v1.01.zip</t>
  </si>
  <si>
    <t>Bunbun World</t>
  </si>
  <si>
    <t>20177</t>
  </si>
  <si>
    <t>https://www.smwcentral.net/?a=details&amp;id=20177&amp;p=section</t>
  </si>
  <si>
    <t>https://dl.smwcentral.net/20177/BunbunWorld_1.0.zip</t>
  </si>
  <si>
    <t>Bunbun World 2</t>
  </si>
  <si>
    <t>24356</t>
  </si>
  <si>
    <t>https://www.smwcentral.net/?a=details&amp;id=24356&amp;p=section</t>
  </si>
  <si>
    <t>https://dl.smwcentral.net/24356/BunbunWorld2_1.1.zip</t>
  </si>
  <si>
    <t>Burning Star</t>
  </si>
  <si>
    <t>PixlBitNick</t>
  </si>
  <si>
    <t>33860</t>
  </si>
  <si>
    <t>https://www.smwcentral.net/?a=details&amp;id=33860&amp;p=section</t>
  </si>
  <si>
    <t>https://dl.smwcentral.net/33860/burningstar1.3.zip</t>
  </si>
  <si>
    <t>Burning Star 2 Deluxe</t>
  </si>
  <si>
    <t>38340</t>
  </si>
  <si>
    <t>https://www.smwcentral.net/?a=details&amp;id=38340&amp;p=section</t>
  </si>
  <si>
    <t>https://dl.smwcentral.net/38340/BurningStar2Deluxe.zip</t>
  </si>
  <si>
    <t>Burrito Rings</t>
  </si>
  <si>
    <t>Sammmoo</t>
  </si>
  <si>
    <t>25065</t>
  </si>
  <si>
    <t>https://www.smwcentral.net/?a=details&amp;id=25065&amp;p=section</t>
  </si>
  <si>
    <t>https://dl.smwcentral.net/25065/Burrito%20Rings.zip</t>
  </si>
  <si>
    <t>BUTT GRAVY</t>
  </si>
  <si>
    <t>xMANGRAVYx</t>
  </si>
  <si>
    <t>39760</t>
  </si>
  <si>
    <t>https://www.smwcentral.net/?a=details&amp;id=39760&amp;p=section</t>
  </si>
  <si>
    <t>https://dl.smwcentral.net/39760/BUTT%20GRAVY.zip</t>
  </si>
  <si>
    <t>Buzzed</t>
  </si>
  <si>
    <t>40001</t>
  </si>
  <si>
    <t>https://www.smwcentral.net/?a=details&amp;id=40001&amp;p=section</t>
  </si>
  <si>
    <t>https://dl.smwcentral.net/40001/BUZZED.zip</t>
  </si>
  <si>
    <t>Buzzy's World Tour</t>
  </si>
  <si>
    <t>20379</t>
  </si>
  <si>
    <t>https://www.smwcentral.net/?a=details&amp;id=20379&amp;p=section</t>
  </si>
  <si>
    <t>https://dl.smwcentral.net/20379/Buzzy%27s%20World%20Tour%20%28DISCONTINUED%29.zip</t>
  </si>
  <si>
    <t>By The Harvest Moon</t>
  </si>
  <si>
    <t>9267</t>
  </si>
  <si>
    <t>https://www.smwcentral.net/?a=details&amp;id=9267&amp;p=section</t>
  </si>
  <si>
    <t>https://dl.smwcentral.net/9267/By%20The%20Harvest%20Moon%202nd%20Edition.zip</t>
  </si>
  <si>
    <t>Cacaphonic Chrysalis</t>
  </si>
  <si>
    <t>31877</t>
  </si>
  <si>
    <t>https://www.smwcentral.net/?a=details&amp;id=31877&amp;p=section</t>
  </si>
  <si>
    <t>https://dl.smwcentral.net/31877/CacaphonicChrysalis.zip</t>
  </si>
  <si>
    <t>Cadaverous Chains</t>
  </si>
  <si>
    <t>14605</t>
  </si>
  <si>
    <t>https://www.smwcentral.net/?a=details&amp;id=14605&amp;p=section</t>
  </si>
  <si>
    <t>https://dl.smwcentral.net/14605/Cadaverous%20Chains.zip</t>
  </si>
  <si>
    <t>Can't Stop Won't Stop</t>
  </si>
  <si>
    <t>brown_tower</t>
  </si>
  <si>
    <t>41726</t>
  </si>
  <si>
    <t>https://www.smwcentral.net/?a=details&amp;id=41726&amp;p=section</t>
  </si>
  <si>
    <t>https://dl.smwcentral.net/41726/CantStopWontStop_v1.1.zip</t>
  </si>
  <si>
    <t>Candy Shop</t>
  </si>
  <si>
    <t>Saphros</t>
  </si>
  <si>
    <t>38387</t>
  </si>
  <si>
    <t>https://www.smwcentral.net/?a=details&amp;id=38387&amp;p=section</t>
  </si>
  <si>
    <t>https://dl.smwcentral.net/38387/Candy_Shop.zip</t>
  </si>
  <si>
    <t>Candy Shop - Light Edition</t>
  </si>
  <si>
    <t>39487</t>
  </si>
  <si>
    <t>https://www.smwcentral.net/?a=details&amp;id=39487&amp;p=section</t>
  </si>
  <si>
    <t>https://dl.smwcentral.net/39487/Candyshop%20-%20Light%20Edition%201.1.zip</t>
  </si>
  <si>
    <t>Cangrejo Kaizo Land</t>
  </si>
  <si>
    <t>Hiroki</t>
  </si>
  <si>
    <t>26500</t>
  </si>
  <si>
    <t>https://www.smwcentral.net/?a=details&amp;id=26500&amp;p=section</t>
  </si>
  <si>
    <t>https://dl.smwcentral.net/26500/Cangrejo%20Kaizo%20Land%20v1.1.zip</t>
  </si>
  <si>
    <t>Cape is Good</t>
  </si>
  <si>
    <t>Insanit</t>
  </si>
  <si>
    <t>39796</t>
  </si>
  <si>
    <t>https://www.smwcentral.net/?a=details&amp;id=39796&amp;p=section</t>
  </si>
  <si>
    <t>https://dl.smwcentral.net/39796/Cape%20is%20Good%201.3.zip</t>
  </si>
  <si>
    <t>Capirotada Land</t>
  </si>
  <si>
    <t>Mane Bros.</t>
  </si>
  <si>
    <t>32084</t>
  </si>
  <si>
    <t>https://www.smwcentral.net/?a=details&amp;id=32084&amp;p=section</t>
  </si>
  <si>
    <t>https://dl.smwcentral.net/32084/Capirotada%20Land%202.1.zip</t>
  </si>
  <si>
    <t>Capirotada Land 2: Meta Knight's Intervention</t>
  </si>
  <si>
    <t>33805</t>
  </si>
  <si>
    <t>https://www.smwcentral.net/?a=details&amp;id=33805&amp;p=section</t>
  </si>
  <si>
    <t>https://dl.smwcentral.net/33805/Capirotada%20Land%202.zip</t>
  </si>
  <si>
    <t>Captain Barry's Treasure</t>
  </si>
  <si>
    <t>MORC</t>
  </si>
  <si>
    <t>21010</t>
  </si>
  <si>
    <t>https://www.smwcentral.net/?a=details&amp;id=21010&amp;p=section</t>
  </si>
  <si>
    <t>https://dl.smwcentral.net/21010/Captain%20Barry%27s%20Treasure%20V1.2.zip</t>
  </si>
  <si>
    <t>Captain Toad treasure tracker for snes</t>
  </si>
  <si>
    <t>zacmario</t>
  </si>
  <si>
    <t>14736</t>
  </si>
  <si>
    <t>https://www.smwcentral.net/?a=details&amp;id=14736&amp;p=section</t>
  </si>
  <si>
    <t>https://dl.smwcentral.net/14736/Capttoad1.1.zip</t>
  </si>
  <si>
    <t>Captain Toad Treasure Tracker for SNES II</t>
  </si>
  <si>
    <t>17594</t>
  </si>
  <si>
    <t>https://www.smwcentral.net/?a=details&amp;id=17594&amp;p=section</t>
  </si>
  <si>
    <t>https://dl.smwcentral.net/17594/Captain%20Toad%20IIv1.2.zip</t>
  </si>
  <si>
    <t>Capture That Cake!</t>
  </si>
  <si>
    <t>Zildjian</t>
  </si>
  <si>
    <t>6264</t>
  </si>
  <si>
    <t>https://www.smwcentral.net/?a=details&amp;id=6264&amp;p=section</t>
  </si>
  <si>
    <t>https://dl.smwcentral.net/6264/ctc%21.zip</t>
  </si>
  <si>
    <t>Carl vs Juz: Carl's Toilet</t>
  </si>
  <si>
    <t>juzcook</t>
  </si>
  <si>
    <t>22475</t>
  </si>
  <si>
    <t>https://www.smwcentral.net/?a=details&amp;id=22475&amp;p=section</t>
  </si>
  <si>
    <t>https://dl.smwcentral.net/22475/Carls_Toilet.zip</t>
  </si>
  <si>
    <t>Carl vs Juz: Juzt Desserts</t>
  </si>
  <si>
    <t>22856</t>
  </si>
  <si>
    <t>https://www.smwcentral.net/?a=details&amp;id=22856&amp;p=section</t>
  </si>
  <si>
    <t>https://dl.smwcentral.net/22856/JuztDesserts.zip</t>
  </si>
  <si>
    <t>Cartuchito World</t>
  </si>
  <si>
    <t>MaxwelHacks</t>
  </si>
  <si>
    <t>14348</t>
  </si>
  <si>
    <t>https://www.smwcentral.net/?a=details&amp;id=14348&amp;p=section</t>
  </si>
  <si>
    <t>https://dl.smwcentral.net/14348/Cartuchito%20World.zip</t>
  </si>
  <si>
    <t>Casio Mario World</t>
  </si>
  <si>
    <t>Wyatt</t>
  </si>
  <si>
    <t>24990</t>
  </si>
  <si>
    <t>https://www.smwcentral.net/?a=details&amp;id=24990&amp;p=section</t>
  </si>
  <si>
    <t>https://dl.smwcentral.net/24990/Casio%20Mario%20World.zip</t>
  </si>
  <si>
    <t>Castle of Terror 3</t>
  </si>
  <si>
    <t>IgorS777</t>
  </si>
  <si>
    <t>15634</t>
  </si>
  <si>
    <t>https://www.smwcentral.net/?a=details&amp;id=15634&amp;p=section</t>
  </si>
  <si>
    <t>https://dl.smwcentral.net/15634/CastleOfTerror3.zip</t>
  </si>
  <si>
    <t>Castle of Time</t>
  </si>
  <si>
    <t>Yoshiro</t>
  </si>
  <si>
    <t>10063</t>
  </si>
  <si>
    <t>https://www.smwcentral.net/?a=details&amp;id=10063&amp;p=section</t>
  </si>
  <si>
    <t>https://dl.smwcentral.net/10063/Cot.zip</t>
  </si>
  <si>
    <t>Castlemania</t>
  </si>
  <si>
    <t>42285</t>
  </si>
  <si>
    <t>https://www.smwcentral.net/?a=details&amp;id=42285&amp;p=section</t>
  </si>
  <si>
    <t>https://dl.smwcentral.net/42285/Castlemania%20v1.1.zip</t>
  </si>
  <si>
    <t>Castlemania - REVAMPED</t>
  </si>
  <si>
    <t>42459</t>
  </si>
  <si>
    <t>https://www.smwcentral.net/?a=details&amp;id=42459&amp;p=section</t>
  </si>
  <si>
    <t>https://dl.smwcentral.net/42459/Castlemania%20-%20REVAMPED.zip</t>
  </si>
  <si>
    <t>Castlemania II</t>
  </si>
  <si>
    <t>42393</t>
  </si>
  <si>
    <t>https://www.smwcentral.net/?a=details&amp;id=42393&amp;p=section</t>
  </si>
  <si>
    <t>https://dl.smwcentral.net/42393/Castlemania%20II%20v1.1.zip</t>
  </si>
  <si>
    <t>Castlemania II - REVAMPED</t>
  </si>
  <si>
    <t>42602</t>
  </si>
  <si>
    <t>https://www.smwcentral.net/?a=details&amp;id=42602&amp;p=section</t>
  </si>
  <si>
    <t>https://dl.smwcentral.net/42602/Castlemania%20II%20-%20REVAMPED.zip</t>
  </si>
  <si>
    <t>CATACLYSM</t>
  </si>
  <si>
    <t>xHF01x</t>
  </si>
  <si>
    <t>21933</t>
  </si>
  <si>
    <t>https://www.smwcentral.net/?a=details&amp;id=21933&amp;p=section</t>
  </si>
  <si>
    <t>https://dl.smwcentral.net/21933/CATACLYSM%20v1.2.zip</t>
  </si>
  <si>
    <t>Cave Escape</t>
  </si>
  <si>
    <t>9704</t>
  </si>
  <si>
    <t>https://www.smwcentral.net/?a=details&amp;id=9704&amp;p=section</t>
  </si>
  <si>
    <t>https://dl.smwcentral.net/9704/CaveEscape1.5.zip</t>
  </si>
  <si>
    <t>Caveat Emptor 2</t>
  </si>
  <si>
    <t>ElohssaYtrid</t>
  </si>
  <si>
    <t>25656</t>
  </si>
  <si>
    <t>https://www.smwcentral.net/?a=details&amp;id=25656&amp;p=section</t>
  </si>
  <si>
    <t>https://dl.smwcentral.net/25656/CaveatEmptor2v1.11.zip</t>
  </si>
  <si>
    <t>Cazeaje World</t>
  </si>
  <si>
    <t>Deivid Borba</t>
  </si>
  <si>
    <t>27260</t>
  </si>
  <si>
    <t>https://www.smwcentral.net/?a=details&amp;id=27260&amp;p=section</t>
  </si>
  <si>
    <t>https://dl.smwcentral.net/27260/Cazeaje%20World.zip</t>
  </si>
  <si>
    <t>Celery</t>
  </si>
  <si>
    <t>Jordan</t>
  </si>
  <si>
    <t>41254</t>
  </si>
  <si>
    <t>https://www.smwcentral.net/?a=details&amp;id=41254&amp;p=section</t>
  </si>
  <si>
    <t>https://dl.smwcentral.net/41254/Celery%201.1.zip</t>
  </si>
  <si>
    <t>Celeste.smc</t>
  </si>
  <si>
    <t>MarkAlarm</t>
  </si>
  <si>
    <t>29613</t>
  </si>
  <si>
    <t>https://www.smwcentral.net/?a=details&amp;id=29613&amp;p=section</t>
  </si>
  <si>
    <t>https://dl.smwcentral.net/29613/Celeste.zip</t>
  </si>
  <si>
    <t>Chain Reaction</t>
  </si>
  <si>
    <t>18669</t>
  </si>
  <si>
    <t>https://www.smwcentral.net/?a=details&amp;id=18669&amp;p=section</t>
  </si>
  <si>
    <t>https://dl.smwcentral.net/18669/Chain%20Reaction.zip</t>
  </si>
  <si>
    <t>Chain Reaction 2</t>
  </si>
  <si>
    <t>40504</t>
  </si>
  <si>
    <t>https://www.smwcentral.net/?a=details&amp;id=40504&amp;p=section</t>
  </si>
  <si>
    <t>https://dl.smwcentral.net/40504/CR2.zip</t>
  </si>
  <si>
    <t>Chaos Chronicles</t>
  </si>
  <si>
    <t>PhoenixTN</t>
  </si>
  <si>
    <t>9713</t>
  </si>
  <si>
    <t>https://www.smwcentral.net/?a=details&amp;id=9713&amp;p=section</t>
  </si>
  <si>
    <t>https://dl.smwcentral.net/9713/Chaos%20Chronicles%20Demo%201%20%28Fixed%29.zip</t>
  </si>
  <si>
    <t>Chaos CompleXX</t>
  </si>
  <si>
    <t>FPI</t>
  </si>
  <si>
    <t>9680</t>
  </si>
  <si>
    <t>https://www.smwcentral.net/?a=details&amp;id=9680&amp;p=section</t>
  </si>
  <si>
    <t>https://dl.smwcentral.net/9680/chaoscomplexx.zip</t>
  </si>
  <si>
    <t>Chaotic Realm</t>
  </si>
  <si>
    <t>anonimato</t>
  </si>
  <si>
    <t>35560</t>
  </si>
  <si>
    <t>https://www.smwcentral.net/?a=details&amp;id=35560&amp;p=section</t>
  </si>
  <si>
    <t>https://dl.smwcentral.net/35560/Chaotic%20Realm%20V1.22_fixed.zip</t>
  </si>
  <si>
    <t>Cheap &amp; Nasty</t>
  </si>
  <si>
    <t>DashGamer</t>
  </si>
  <si>
    <t>34198</t>
  </si>
  <si>
    <t>https://www.smwcentral.net/?a=details&amp;id=34198&amp;p=section</t>
  </si>
  <si>
    <t>https://dl.smwcentral.net/34198/CheapNasty.zip</t>
  </si>
  <si>
    <t>Cheep Cheep Challenge</t>
  </si>
  <si>
    <t>14735</t>
  </si>
  <si>
    <t>https://www.smwcentral.net/?a=details&amp;id=14735&amp;p=section</t>
  </si>
  <si>
    <t>https://dl.smwcentral.net/14735/Cheepfix.zip</t>
  </si>
  <si>
    <t>Cheese Island</t>
  </si>
  <si>
    <t>cardboardknoxmonkey</t>
  </si>
  <si>
    <t>29819</t>
  </si>
  <si>
    <t>https://www.smwcentral.net/?a=details&amp;id=29819&amp;p=section</t>
  </si>
  <si>
    <t>https://dl.smwcentral.net/29819/Cheese%20Island.zip</t>
  </si>
  <si>
    <t>CHI</t>
  </si>
  <si>
    <t>MorrieTheMagpie</t>
  </si>
  <si>
    <t>30753</t>
  </si>
  <si>
    <t>https://www.smwcentral.net/?a=details&amp;id=30753&amp;p=section</t>
  </si>
  <si>
    <t>https://dl.smwcentral.net/30753/CHIV1.1.zip</t>
  </si>
  <si>
    <t>Chicanery</t>
  </si>
  <si>
    <t>Buflen, Nirv</t>
  </si>
  <si>
    <t>33810</t>
  </si>
  <si>
    <t>https://www.smwcentral.net/?a=details&amp;id=33810&amp;p=section</t>
  </si>
  <si>
    <t>https://dl.smwcentral.net/33810/Chicanery.zip</t>
  </si>
  <si>
    <t>Chicanery Beginner Edition</t>
  </si>
  <si>
    <t>Buflen</t>
  </si>
  <si>
    <t>38058</t>
  </si>
  <si>
    <t>https://www.smwcentral.net/?a=details&amp;id=38058&amp;p=section</t>
  </si>
  <si>
    <t>https://dl.smwcentral.net/38058/Chicanery%20Beginner%20Edition%201.0.zip</t>
  </si>
  <si>
    <t>Chirality</t>
  </si>
  <si>
    <t>LightAligns</t>
  </si>
  <si>
    <t>38787</t>
  </si>
  <si>
    <t>https://www.smwcentral.net/?a=details&amp;id=38787&amp;p=section</t>
  </si>
  <si>
    <t>https://dl.smwcentral.net/38787/Chirality.zip</t>
  </si>
  <si>
    <t>Choco COLLAB - MaSeHiHa 2</t>
  </si>
  <si>
    <t>11289</t>
  </si>
  <si>
    <t>https://www.smwcentral.net/?a=details&amp;id=11289&amp;p=section</t>
  </si>
  <si>
    <t>https://dl.smwcentral.net/11289/ChocollabMase2.zip</t>
  </si>
  <si>
    <t>Chocolate Flavour!</t>
  </si>
  <si>
    <t>JDC</t>
  </si>
  <si>
    <t>10151</t>
  </si>
  <si>
    <t>https://www.smwcentral.net/?a=details&amp;id=10151&amp;p=section</t>
  </si>
  <si>
    <t>https://dl.smwcentral.net/10151/ChocolateFlavour.zip</t>
  </si>
  <si>
    <t>Chocolate Sunday</t>
  </si>
  <si>
    <t>snomangaming</t>
  </si>
  <si>
    <t>28862</t>
  </si>
  <si>
    <t>https://www.smwcentral.net/?a=details&amp;id=28862&amp;p=section</t>
  </si>
  <si>
    <t>https://dl.smwcentral.net/28862/Chocolate%20Sunday%201.2.zip</t>
  </si>
  <si>
    <t>Choconilla Kaizo Island</t>
  </si>
  <si>
    <t>31080</t>
  </si>
  <si>
    <t>https://www.smwcentral.net/?a=details&amp;id=31080&amp;p=section</t>
  </si>
  <si>
    <t>https://dl.smwcentral.net/31080/Choconilla%20Kaizo%20Island%20v1.2.zip</t>
  </si>
  <si>
    <t>Chomp's Coin Hunt</t>
  </si>
  <si>
    <t>Matt, Mr. MS</t>
  </si>
  <si>
    <t>27385</t>
  </si>
  <si>
    <t>https://www.smwcentral.net/?a=details&amp;id=27385&amp;p=section</t>
  </si>
  <si>
    <t>https://dl.smwcentral.net/27385/Chomp%27s%20Coin%20Hunt.zip</t>
  </si>
  <si>
    <t>Chopped N' Screwed</t>
  </si>
  <si>
    <t>deported</t>
  </si>
  <si>
    <t>37901</t>
  </si>
  <si>
    <t>https://www.smwcentral.net/?a=details&amp;id=37901&amp;p=section</t>
  </si>
  <si>
    <t>https://dl.smwcentral.net/37901/Chopped.zip</t>
  </si>
  <si>
    <t>Christmas Balls</t>
  </si>
  <si>
    <t>13028</t>
  </si>
  <si>
    <t>https://www.smwcentral.net/?a=details&amp;id=13028&amp;p=section</t>
  </si>
  <si>
    <t>https://dl.smwcentral.net/13028/Christmas%20Balls%20%28Hack%2016%29.zip</t>
  </si>
  <si>
    <t>Christmas Hack</t>
  </si>
  <si>
    <t>38345</t>
  </si>
  <si>
    <t>https://www.smwcentral.net/?a=details&amp;id=38345&amp;p=section</t>
  </si>
  <si>
    <t>https://dl.smwcentral.net/38345/ChristmasHack.zip</t>
  </si>
  <si>
    <t>Christmas Island</t>
  </si>
  <si>
    <t>38847</t>
  </si>
  <si>
    <t>https://www.smwcentral.net/?a=details&amp;id=38847&amp;p=section</t>
  </si>
  <si>
    <t>https://dl.smwcentral.net/38847/Christmas%20Island%20v2.zip</t>
  </si>
  <si>
    <t>Christmas Island 2</t>
  </si>
  <si>
    <t>38522</t>
  </si>
  <si>
    <t>https://www.smwcentral.net/?a=details&amp;id=38522&amp;p=section</t>
  </si>
  <si>
    <t>https://dl.smwcentral.net/38522/Christmas%20Island%202%20v1.1.zip</t>
  </si>
  <si>
    <t>Christmas Puzzle</t>
  </si>
  <si>
    <t>TheOrangeToad</t>
  </si>
  <si>
    <t>14831</t>
  </si>
  <si>
    <t>https://www.smwcentral.net/?a=details&amp;id=14831&amp;p=section</t>
  </si>
  <si>
    <t>https://dl.smwcentral.net/14831/CP.zip</t>
  </si>
  <si>
    <t>Chronoclasm</t>
  </si>
  <si>
    <t>39652</t>
  </si>
  <si>
    <t>https://www.smwcentral.net/?a=details&amp;id=39652&amp;p=section</t>
  </si>
  <si>
    <t>https://dl.smwcentral.net/39652/Chronoclasm.zip</t>
  </si>
  <si>
    <t>Chrysalis</t>
  </si>
  <si>
    <t>39655</t>
  </si>
  <si>
    <t>https://www.smwcentral.net/?a=details&amp;id=39655&amp;p=section</t>
  </si>
  <si>
    <t>https://dl.smwcentral.net/39655/Chrysalis.zip</t>
  </si>
  <si>
    <t>Chuck Must Die</t>
  </si>
  <si>
    <t>Flavvless</t>
  </si>
  <si>
    <t>38758</t>
  </si>
  <si>
    <t>https://www.smwcentral.net/?a=details&amp;id=38758&amp;p=section</t>
  </si>
  <si>
    <t>https://dl.smwcentral.net/38758/Chuck%20Must%20Die.zip</t>
  </si>
  <si>
    <t>Cinnamon Hills</t>
  </si>
  <si>
    <t>AlanJacobs</t>
  </si>
  <si>
    <t>5546</t>
  </si>
  <si>
    <t>https://www.smwcentral.net/?a=details&amp;id=5546&amp;p=section</t>
  </si>
  <si>
    <t>https://dl.smwcentral.net/5546/Cinnamon%20Hills.zip</t>
  </si>
  <si>
    <t>Classic Mario</t>
  </si>
  <si>
    <t>Xgen_Product</t>
  </si>
  <si>
    <t>17198</t>
  </si>
  <si>
    <t>https://www.smwcentral.net/?a=details&amp;id=17198&amp;p=section</t>
  </si>
  <si>
    <t>https://dl.smwcentral.net/17198/Classic%20Mario%20Demo%202.zip</t>
  </si>
  <si>
    <t>Classic Mario World 2: The Great Alliance</t>
  </si>
  <si>
    <t>bandicoot</t>
  </si>
  <si>
    <t>19575</t>
  </si>
  <si>
    <t>https://www.smwcentral.net/?a=details&amp;id=19575&amp;p=section</t>
  </si>
  <si>
    <t>https://dl.smwcentral.net/19575/CMW2_fixed.zip</t>
  </si>
  <si>
    <t>Classic Mario World 3: The Finale</t>
  </si>
  <si>
    <t>22988</t>
  </si>
  <si>
    <t>https://www.smwcentral.net/?a=details&amp;id=22988&amp;p=section</t>
  </si>
  <si>
    <t>https://dl.smwcentral.net/22988/CMW3_The_Finale_Update.zip</t>
  </si>
  <si>
    <t>Classic Mario World: The Magical Crystals</t>
  </si>
  <si>
    <t>19817</t>
  </si>
  <si>
    <t>https://www.smwcentral.net/?a=details&amp;id=19817&amp;p=section</t>
  </si>
  <si>
    <t>https://dl.smwcentral.net/19817/CMW1%2005-08-2019.zip</t>
  </si>
  <si>
    <t>Classic's Super Mario Brothers</t>
  </si>
  <si>
    <t>9726</t>
  </si>
  <si>
    <t>https://www.smwcentral.net/?a=details&amp;id=9726&amp;p=section</t>
  </si>
  <si>
    <t>https://dl.smwcentral.net/9726/ClassicSMB%20IPS.zip</t>
  </si>
  <si>
    <t>Claustrophobia</t>
  </si>
  <si>
    <t>NaroGugul</t>
  </si>
  <si>
    <t>17620</t>
  </si>
  <si>
    <t>https://www.smwcentral.net/?a=details&amp;id=17620&amp;p=section</t>
  </si>
  <si>
    <t>https://dl.smwcentral.net/17620/Claustrophobia%201.2.1.zip</t>
  </si>
  <si>
    <t>Climb The Tower</t>
  </si>
  <si>
    <t>19550</t>
  </si>
  <si>
    <t>https://www.smwcentral.net/?a=details&amp;id=19550&amp;p=section</t>
  </si>
  <si>
    <t>https://dl.smwcentral.net/19550/Let%27s%20Climb.zip</t>
  </si>
  <si>
    <t>Coffee &amp; TV</t>
  </si>
  <si>
    <t>GiraffeKiller</t>
  </si>
  <si>
    <t>32102</t>
  </si>
  <si>
    <t>https://www.smwcentral.net/?a=details&amp;id=32102&amp;p=section</t>
  </si>
  <si>
    <t>https://dl.smwcentral.net/32102/Coffee%20And%20TV%201.1.zip</t>
  </si>
  <si>
    <t>Coldsweat and Tears</t>
  </si>
  <si>
    <t>Blaagon</t>
  </si>
  <si>
    <t>32999</t>
  </si>
  <si>
    <t>https://www.smwcentral.net/?a=details&amp;id=32999&amp;p=section</t>
  </si>
  <si>
    <t>https://dl.smwcentral.net/32999/ColdsweatandTears.zip</t>
  </si>
  <si>
    <t>COLLAB</t>
  </si>
  <si>
    <t>Daizo Dee Von, neidoodle</t>
  </si>
  <si>
    <t>6970</t>
  </si>
  <si>
    <t>https://www.smwcentral.net/?a=details&amp;id=6970&amp;p=section</t>
  </si>
  <si>
    <t>https://dl.smwcentral.net/6970/COLLAB%20%28Update%21%29.zip</t>
  </si>
  <si>
    <t>Collection</t>
  </si>
  <si>
    <t>5963</t>
  </si>
  <si>
    <t>https://www.smwcentral.net/?a=details&amp;id=5963&amp;p=section</t>
  </si>
  <si>
    <t>https://dl.smwcentral.net/5963/Collection.zip</t>
  </si>
  <si>
    <t>ColonThree</t>
  </si>
  <si>
    <t>HoorayForJay, ShadowDragon121</t>
  </si>
  <si>
    <t>14967</t>
  </si>
  <si>
    <t>https://www.smwcentral.net/?a=details&amp;id=14967&amp;p=section</t>
  </si>
  <si>
    <t>https://dl.smwcentral.net/14967/ColonThree.zip</t>
  </si>
  <si>
    <t>COLORS [SMWC #6095]</t>
  </si>
  <si>
    <t>COLORS</t>
  </si>
  <si>
    <t>MolSno</t>
  </si>
  <si>
    <t>6095</t>
  </si>
  <si>
    <t>https://www.smwcentral.net/?a=details&amp;id=6095&amp;p=section</t>
  </si>
  <si>
    <t>https://dl.smwcentral.net/6095/COLORS.zip</t>
  </si>
  <si>
    <t>Colors [SMWC #28250]</t>
  </si>
  <si>
    <t>Colors</t>
  </si>
  <si>
    <t>simplyawful</t>
  </si>
  <si>
    <t>28250</t>
  </si>
  <si>
    <t>https://www.smwcentral.net/?a=details&amp;id=28250&amp;p=section</t>
  </si>
  <si>
    <t>https://dl.smwcentral.net/28250/Colors_1.1.zip</t>
  </si>
  <si>
    <t>COLORS 2</t>
  </si>
  <si>
    <t>12725</t>
  </si>
  <si>
    <t>https://www.smwcentral.net/?a=details&amp;id=12725&amp;p=section</t>
  </si>
  <si>
    <t>https://dl.smwcentral.net/12725/COLORS%202.zip</t>
  </si>
  <si>
    <t>Colossus</t>
  </si>
  <si>
    <t>11776</t>
  </si>
  <si>
    <t>https://www.smwcentral.net/?a=details&amp;id=11776&amp;p=section</t>
  </si>
  <si>
    <t>https://dl.smwcentral.net/11776/Colossus%20final%203.zip</t>
  </si>
  <si>
    <t>Combo Breaker</t>
  </si>
  <si>
    <t>Sokobansolver</t>
  </si>
  <si>
    <t>10248</t>
  </si>
  <si>
    <t>https://www.smwcentral.net/?a=details&amp;id=10248&amp;p=section</t>
  </si>
  <si>
    <t>https://dl.smwcentral.net/10248/Combo_Breaker_demo.zip</t>
  </si>
  <si>
    <t>Combo Killer: Ultra Alpha Turbo HD Remix, Arcade Edition</t>
  </si>
  <si>
    <t>Doownayr89</t>
  </si>
  <si>
    <t>14289</t>
  </si>
  <si>
    <t>https://www.smwcentral.net/?a=details&amp;id=14289&amp;p=section</t>
  </si>
  <si>
    <t>https://dl.smwcentral.net/14289/Combo%20Killer%20Ultra%20Alpha%20Turbo%20HD%20Remix%2C%20Arcade%20Edition.zip</t>
  </si>
  <si>
    <t>Comfort Zone</t>
  </si>
  <si>
    <t>orka-bln</t>
  </si>
  <si>
    <t>25095</t>
  </si>
  <si>
    <t>https://www.smwcentral.net/?a=details&amp;id=25095&amp;p=section</t>
  </si>
  <si>
    <t>https://dl.smwcentral.net/25095/Comfy1.2.zip</t>
  </si>
  <si>
    <t>Commuter</t>
  </si>
  <si>
    <t>megaBC333</t>
  </si>
  <si>
    <t>35616</t>
  </si>
  <si>
    <t>https://www.smwcentral.net/?a=details&amp;id=35616&amp;p=section</t>
  </si>
  <si>
    <t>https://dl.smwcentral.net/35616/Commuter_V1.zip</t>
  </si>
  <si>
    <t>Contest Maniac</t>
  </si>
  <si>
    <t>RussianMan</t>
  </si>
  <si>
    <t>16466</t>
  </si>
  <si>
    <t>https://www.smwcentral.net/?a=details&amp;id=16466&amp;p=section</t>
  </si>
  <si>
    <t>https://dl.smwcentral.net/16466/Contest%20Maniac.zip</t>
  </si>
  <si>
    <t>Cool (Speedrun!)</t>
  </si>
  <si>
    <t>Koll5</t>
  </si>
  <si>
    <t>31137</t>
  </si>
  <si>
    <t>https://www.smwcentral.net/?a=details&amp;id=31137&amp;p=section</t>
  </si>
  <si>
    <t>https://dl.smwcentral.net/31137/Cool.zip</t>
  </si>
  <si>
    <t>Cool or Cruel Stage 12 - Tubular</t>
  </si>
  <si>
    <t>worldpeace</t>
  </si>
  <si>
    <t>6085</t>
  </si>
  <si>
    <t>https://www.smwcentral.net/?a=details&amp;id=6085&amp;p=section</t>
  </si>
  <si>
    <t>https://dl.smwcentral.net/6085/tubular.zip</t>
  </si>
  <si>
    <t>Cool Zone</t>
  </si>
  <si>
    <t>FridayFables</t>
  </si>
  <si>
    <t>18476</t>
  </si>
  <si>
    <t>https://www.smwcentral.net/?a=details&amp;id=18476&amp;p=section</t>
  </si>
  <si>
    <t>https://dl.smwcentral.net/18476/CoolZone.zip</t>
  </si>
  <si>
    <t>Copy and Paste</t>
  </si>
  <si>
    <t>NewPointless</t>
  </si>
  <si>
    <t>35348</t>
  </si>
  <si>
    <t>https://www.smwcentral.net/?a=details&amp;id=35348&amp;p=section</t>
  </si>
  <si>
    <t>https://dl.smwcentral.net/35348/CopyAndPaste1_1.zip</t>
  </si>
  <si>
    <t>Coriolis</t>
  </si>
  <si>
    <t>42700</t>
  </si>
  <si>
    <t>https://www.smwcentral.net/?a=details&amp;id=42700&amp;p=section</t>
  </si>
  <si>
    <t>https://dl.smwcentral.net/42700/Coriolis.zip</t>
  </si>
  <si>
    <t>Cornucopia of Kaizo</t>
  </si>
  <si>
    <t>CoozieShawn</t>
  </si>
  <si>
    <t>27923</t>
  </si>
  <si>
    <t>https://www.smwcentral.net/?a=details&amp;id=27923&amp;p=section</t>
  </si>
  <si>
    <t>https://dl.smwcentral.net/27923/Cornucopia_of_Kaizo.zip</t>
  </si>
  <si>
    <t>Cosmic Expedition</t>
  </si>
  <si>
    <t>GrenudoGames</t>
  </si>
  <si>
    <t>39939</t>
  </si>
  <si>
    <t>https://www.smwcentral.net/?a=details&amp;id=39939&amp;p=section</t>
  </si>
  <si>
    <t>https://dl.smwcentral.net/39939/Cosmic%20Expedition%201.2.zip</t>
  </si>
  <si>
    <t>CowaBunga</t>
  </si>
  <si>
    <t>Connnnair</t>
  </si>
  <si>
    <t>38046</t>
  </si>
  <si>
    <t>https://www.smwcentral.net/?a=details&amp;id=38046&amp;p=section</t>
  </si>
  <si>
    <t>https://dl.smwcentral.net/38046/CowaBunga1.1.zip</t>
  </si>
  <si>
    <t>Crab Shells</t>
  </si>
  <si>
    <t>Jaozin712</t>
  </si>
  <si>
    <t>38657</t>
  </si>
  <si>
    <t>https://www.smwcentral.net/?a=details&amp;id=38657&amp;p=section</t>
  </si>
  <si>
    <t>https://dl.smwcentral.net/38657/Crab_Shells.zip</t>
  </si>
  <si>
    <t>Crash Bandicoot and the Retro Dimension</t>
  </si>
  <si>
    <t>42500</t>
  </si>
  <si>
    <t>https://www.smwcentral.net/?a=details&amp;id=42500&amp;p=section</t>
  </si>
  <si>
    <t>https://dl.smwcentral.net/42500/Crash%20Bandicoot%20and%20the%20Retro%20Dimension%20Enhanced.zip</t>
  </si>
  <si>
    <t>Crash Bandicoot and the Retro Dimension 2 - The Crystal Hunt</t>
  </si>
  <si>
    <t>42541</t>
  </si>
  <si>
    <t>https://www.smwcentral.net/?a=details&amp;id=42541&amp;p=section</t>
  </si>
  <si>
    <t>https://dl.smwcentral.net/42541/Crash%20Bandicoot%20and%20The%20Retro%20Dimension%202%20-%20The%20Crystal%20Hunt.zip</t>
  </si>
  <si>
    <t>Critter Quest</t>
  </si>
  <si>
    <t>JakesBRjust</t>
  </si>
  <si>
    <t>40194</t>
  </si>
  <si>
    <t>https://www.smwcentral.net/?a=details&amp;id=40194&amp;p=section</t>
  </si>
  <si>
    <t>https://dl.smwcentral.net/40194/Critter%20Quest%20v1.1.zip</t>
  </si>
  <si>
    <t>Critter Quest Jr</t>
  </si>
  <si>
    <t>41278</t>
  </si>
  <si>
    <t>https://www.smwcentral.net/?a=details&amp;id=41278&amp;p=section</t>
  </si>
  <si>
    <t>https://dl.smwcentral.net/41278/Critter%20Quest%20Jr.zip</t>
  </si>
  <si>
    <t>CroNos Trigger</t>
  </si>
  <si>
    <t>Justepic</t>
  </si>
  <si>
    <t>33950</t>
  </si>
  <si>
    <t>https://www.smwcentral.net/?a=details&amp;id=33950&amp;p=section</t>
  </si>
  <si>
    <t>https://dl.smwcentral.net/33950/Cronos%20Trigger%20V2.zip</t>
  </si>
  <si>
    <t>Crossfire</t>
  </si>
  <si>
    <t>NeptuneNeon</t>
  </si>
  <si>
    <t>27238</t>
  </si>
  <si>
    <t>https://www.smwcentral.net/?a=details&amp;id=27238&amp;p=section</t>
  </si>
  <si>
    <t>https://dl.smwcentral.net/27238/crossfire_v1.2.zip</t>
  </si>
  <si>
    <t>Cruisy</t>
  </si>
  <si>
    <t>32446</t>
  </si>
  <si>
    <t>https://www.smwcentral.net/?a=details&amp;id=32446&amp;p=section</t>
  </si>
  <si>
    <t>https://dl.smwcentral.net/32446/Cruisy%20v1.1.zip</t>
  </si>
  <si>
    <t>Cube´s Kaizo World</t>
  </si>
  <si>
    <t>Cube</t>
  </si>
  <si>
    <t>26998</t>
  </si>
  <si>
    <t>https://www.smwcentral.net/?a=details&amp;id=26998&amp;p=section</t>
  </si>
  <si>
    <t>https://dl.smwcentral.net/26998/Cubes%20Kaizo%20World1.1.zip</t>
  </si>
  <si>
    <t>Cube´s Kaizo World 2</t>
  </si>
  <si>
    <t>27355</t>
  </si>
  <si>
    <t>https://www.smwcentral.net/?a=details&amp;id=27355&amp;p=section</t>
  </si>
  <si>
    <t>https://dl.smwcentral.net/27355/Cubes%20Kaizo%20World%202.zip</t>
  </si>
  <si>
    <t>Cube´s Kaizo World 3</t>
  </si>
  <si>
    <t>31127</t>
  </si>
  <si>
    <t>https://www.smwcentral.net/?a=details&amp;id=31127&amp;p=section</t>
  </si>
  <si>
    <t>https://dl.smwcentral.net/31127/Cubes%20Kaizo%20World%203%20v1.2.zip</t>
  </si>
  <si>
    <t>Cube´s Kaizo World 4</t>
  </si>
  <si>
    <t>34784</t>
  </si>
  <si>
    <t>https://www.smwcentral.net/?a=details&amp;id=34784&amp;p=section</t>
  </si>
  <si>
    <t>https://dl.smwcentral.net/34784/CubesKaizoWorld4_1.1.zip</t>
  </si>
  <si>
    <t>Cube´s Kaizo World 5</t>
  </si>
  <si>
    <t>38168</t>
  </si>
  <si>
    <t>https://www.smwcentral.net/?a=details&amp;id=38168&amp;p=section</t>
  </si>
  <si>
    <t>https://dl.smwcentral.net/38168/CubesKaizoWorld5%201.1.zip</t>
  </si>
  <si>
    <t>Cute as Shell</t>
  </si>
  <si>
    <t>slopcore</t>
  </si>
  <si>
    <t>38571</t>
  </si>
  <si>
    <t>https://www.smwcentral.net/?a=details&amp;id=38571&amp;p=section</t>
  </si>
  <si>
    <t>https://dl.smwcentral.net/38571/CuteAsShell1.2.zip</t>
  </si>
  <si>
    <t>Cute Kaizo World</t>
  </si>
  <si>
    <t>26252</t>
  </si>
  <si>
    <t>https://www.smwcentral.net/?a=details&amp;id=26252&amp;p=section</t>
  </si>
  <si>
    <t>https://dl.smwcentral.net/26252/CuteKaizoWorldv1.1.zip</t>
  </si>
  <si>
    <t>Cuter Kaizo World</t>
  </si>
  <si>
    <t>30915</t>
  </si>
  <si>
    <t>https://www.smwcentral.net/?a=details&amp;id=30915&amp;p=section</t>
  </si>
  <si>
    <t>https://dl.smwcentral.net/30915/CuterKaizo.zip</t>
  </si>
  <si>
    <t>Cygnus</t>
  </si>
  <si>
    <t>oyok</t>
  </si>
  <si>
    <t>40612</t>
  </si>
  <si>
    <t>https://www.smwcentral.net/?a=details&amp;id=40612&amp;p=section</t>
  </si>
  <si>
    <t>https://dl.smwcentral.net/40612/cygnus.zip</t>
  </si>
  <si>
    <t>D.O.L.L.S.</t>
  </si>
  <si>
    <t>39486</t>
  </si>
  <si>
    <t>https://www.smwcentral.net/?a=details&amp;id=39486&amp;p=section</t>
  </si>
  <si>
    <t>https://dl.smwcentral.net/39486/DOLLS.zip</t>
  </si>
  <si>
    <t>DADDY</t>
  </si>
  <si>
    <t>Ludachrizzle</t>
  </si>
  <si>
    <t>32552</t>
  </si>
  <si>
    <t>https://www.smwcentral.net/?a=details&amp;id=32552&amp;p=section</t>
  </si>
  <si>
    <t>https://dl.smwcentral.net/32552/Daddy_v1.2.zip</t>
  </si>
  <si>
    <t>Daemon Land</t>
  </si>
  <si>
    <t>51690</t>
  </si>
  <si>
    <t>31117</t>
  </si>
  <si>
    <t>https://www.smwcentral.net/?a=details&amp;id=31117&amp;p=section</t>
  </si>
  <si>
    <t>https://dl.smwcentral.net/31117/daemon%20land%201.2.zip</t>
  </si>
  <si>
    <t>Daemon Land 2</t>
  </si>
  <si>
    <t>28678</t>
  </si>
  <si>
    <t>https://www.smwcentral.net/?a=details&amp;id=28678&amp;p=section</t>
  </si>
  <si>
    <t>https://dl.smwcentral.net/28678/daemon%20land%202.zip</t>
  </si>
  <si>
    <t>Daemon Land 3</t>
  </si>
  <si>
    <t>32105</t>
  </si>
  <si>
    <t>https://www.smwcentral.net/?a=details&amp;id=32105&amp;p=section</t>
  </si>
  <si>
    <t>https://dl.smwcentral.net/32105/daemon%20land%203.zip</t>
  </si>
  <si>
    <t>Daisy's Crazy Adventure</t>
  </si>
  <si>
    <t>BlueSheep123</t>
  </si>
  <si>
    <t>38109</t>
  </si>
  <si>
    <t>https://www.smwcentral.net/?a=details&amp;id=38109&amp;p=section</t>
  </si>
  <si>
    <t>https://dl.smwcentral.net/38109/Daisy%27s_Crazy_Adventure_1.1.0.zip</t>
  </si>
  <si>
    <t>Dancer to a Discordant System</t>
  </si>
  <si>
    <t>25165</t>
  </si>
  <si>
    <t>https://www.smwcentral.net/?a=details&amp;id=25165&amp;p=section</t>
  </si>
  <si>
    <t>https://dl.smwcentral.net/25165/Dancer.zip</t>
  </si>
  <si>
    <t>Danmaku Mario World</t>
  </si>
  <si>
    <t>29831</t>
  </si>
  <si>
    <t>https://www.smwcentral.net/?a=details&amp;id=29831&amp;p=section</t>
  </si>
  <si>
    <t>https://dl.smwcentral.net/29831/Danmaku%20Mario%20World.zip</t>
  </si>
  <si>
    <t>Dark Shelly World</t>
  </si>
  <si>
    <t>redkiller</t>
  </si>
  <si>
    <t>28537</t>
  </si>
  <si>
    <t>https://www.smwcentral.net/?a=details&amp;id=28537&amp;p=section</t>
  </si>
  <si>
    <t>https://dl.smwcentral.net/28537/Dark%20Shelly%20World.zip</t>
  </si>
  <si>
    <t>Darkside 2</t>
  </si>
  <si>
    <t>39786</t>
  </si>
  <si>
    <t>https://www.smwcentral.net/?a=details&amp;id=39786&amp;p=section</t>
  </si>
  <si>
    <t>https://dl.smwcentral.net/39786/Darkside%202.41.zip</t>
  </si>
  <si>
    <t>Darkstar</t>
  </si>
  <si>
    <t>MDBattleFrog</t>
  </si>
  <si>
    <t>21730</t>
  </si>
  <si>
    <t>https://www.smwcentral.net/?a=details&amp;id=21730&amp;p=section</t>
  </si>
  <si>
    <t>https://dl.smwcentral.net/21730/DarkstarV1.11.zip</t>
  </si>
  <si>
    <t>Day at the races</t>
  </si>
  <si>
    <t>32591</t>
  </si>
  <si>
    <t>https://www.smwcentral.net/?a=details&amp;id=32591&amp;p=section</t>
  </si>
  <si>
    <t>https://dl.smwcentral.net/32591/Day%20at%20the%20races%20v1.zip</t>
  </si>
  <si>
    <t>Day At The Turkey Races</t>
  </si>
  <si>
    <t>Fryinb</t>
  </si>
  <si>
    <t>33684</t>
  </si>
  <si>
    <t>https://www.smwcentral.net/?a=details&amp;id=33684&amp;p=section</t>
  </si>
  <si>
    <t>https://dl.smwcentral.net/33684/Turkey.zip</t>
  </si>
  <si>
    <t>Day In The Life</t>
  </si>
  <si>
    <t>Darkanine</t>
  </si>
  <si>
    <t>29121</t>
  </si>
  <si>
    <t>https://www.smwcentral.net/?a=details&amp;id=29121&amp;p=section</t>
  </si>
  <si>
    <t>https://dl.smwcentral.net/29121/DayInTheLife.zip</t>
  </si>
  <si>
    <t>Day of the Muncher</t>
  </si>
  <si>
    <t>Dark Prince, Knucklesfan</t>
  </si>
  <si>
    <t>23431</t>
  </si>
  <si>
    <t>https://www.smwcentral.net/?a=details&amp;id=23431&amp;p=section</t>
  </si>
  <si>
    <t>https://dl.smwcentral.net/23431/DayOfTheMuncher.zip</t>
  </si>
  <si>
    <t>Daymaker: Release From Doomsday</t>
  </si>
  <si>
    <t>Plasma303</t>
  </si>
  <si>
    <t>38884</t>
  </si>
  <si>
    <t>https://www.smwcentral.net/?a=details&amp;id=38884&amp;p=section</t>
  </si>
  <si>
    <t>https://dl.smwcentral.net/38884/drfdv1-4-1u.zip</t>
  </si>
  <si>
    <t>Dead Man's Quest - Vagabond to Phantlore Island</t>
  </si>
  <si>
    <t>Vamperumbra</t>
  </si>
  <si>
    <t>14329</t>
  </si>
  <si>
    <t>https://www.smwcentral.net/?a=details&amp;id=14329&amp;p=section</t>
  </si>
  <si>
    <t>https://dl.smwcentral.net/14329/DMQ.zip</t>
  </si>
  <si>
    <t>Dead-Man Mario World</t>
  </si>
  <si>
    <t>Uncle Dumbass, gamed9x</t>
  </si>
  <si>
    <t>11304</t>
  </si>
  <si>
    <t>https://www.smwcentral.net/?a=details&amp;id=11304&amp;p=section</t>
  </si>
  <si>
    <t>https://dl.smwcentral.net/11304/deadman_mario.zip</t>
  </si>
  <si>
    <t>Dearly Detested</t>
  </si>
  <si>
    <t>Lazy</t>
  </si>
  <si>
    <t>41540</t>
  </si>
  <si>
    <t>https://www.smwcentral.net/?a=details&amp;id=41540&amp;p=section</t>
  </si>
  <si>
    <t>https://dl.smwcentral.net/41540/Dearly%20Detested.zip</t>
  </si>
  <si>
    <t>Death of a Plumber</t>
  </si>
  <si>
    <t>cur</t>
  </si>
  <si>
    <t>27165</t>
  </si>
  <si>
    <t>https://www.smwcentral.net/?a=details&amp;id=27165&amp;p=section</t>
  </si>
  <si>
    <t>https://dl.smwcentral.net/27165/Death%20of%20a%20Plumber%201.2.zip</t>
  </si>
  <si>
    <t>Death Zone</t>
  </si>
  <si>
    <t>turbofa</t>
  </si>
  <si>
    <t>15505</t>
  </si>
  <si>
    <t>https://www.smwcentral.net/?a=details&amp;id=15505&amp;p=section</t>
  </si>
  <si>
    <t>https://dl.smwcentral.net/15505/DeathZone.zip</t>
  </si>
  <si>
    <t>Deathshredder</t>
  </si>
  <si>
    <t>Reese</t>
  </si>
  <si>
    <t>38714</t>
  </si>
  <si>
    <t>https://www.smwcentral.net/?a=details&amp;id=38714&amp;p=section</t>
  </si>
  <si>
    <t>https://dl.smwcentral.net/38714/Deathshredder.zip</t>
  </si>
  <si>
    <t>DeClock Mario World Remastered</t>
  </si>
  <si>
    <t>23833</t>
  </si>
  <si>
    <t>https://www.smwcentral.net/?a=details&amp;id=23833&amp;p=section</t>
  </si>
  <si>
    <t>https://dl.smwcentral.net/23833/DeClock%20Mario%20World%20Remastered%201.1.zip</t>
  </si>
  <si>
    <t>Deep In The Island</t>
  </si>
  <si>
    <t>dashlet</t>
  </si>
  <si>
    <t>31559</t>
  </si>
  <si>
    <t>https://www.smwcentral.net/?a=details&amp;id=31559&amp;p=section</t>
  </si>
  <si>
    <t>https://dl.smwcentral.net/31559/Deep%20In%20The%20Island%20%28Ver%201.1%29.zip</t>
  </si>
  <si>
    <t>DeepDreamWorld</t>
  </si>
  <si>
    <t>Dobosco</t>
  </si>
  <si>
    <t>22110</t>
  </si>
  <si>
    <t>https://www.smwcentral.net/?a=details&amp;id=22110&amp;p=section</t>
  </si>
  <si>
    <t>https://dl.smwcentral.net/22110/DeepDreamWorld.zip</t>
  </si>
  <si>
    <t>DEEZ shells</t>
  </si>
  <si>
    <t>34025</t>
  </si>
  <si>
    <t>https://www.smwcentral.net/?a=details&amp;id=34025&amp;p=section</t>
  </si>
  <si>
    <t>https://dl.smwcentral.net/34025/DEEZ%20shells.zip</t>
  </si>
  <si>
    <t>Deja Vu</t>
  </si>
  <si>
    <t>Razberry</t>
  </si>
  <si>
    <t>32023</t>
  </si>
  <si>
    <t>https://www.smwcentral.net/?a=details&amp;id=32023&amp;p=section</t>
  </si>
  <si>
    <t>https://dl.smwcentral.net/32023/Deja%20Vu%201.3.zip</t>
  </si>
  <si>
    <t>Delirious Mario</t>
  </si>
  <si>
    <t>26493</t>
  </si>
  <si>
    <t>https://www.smwcentral.net/?a=details&amp;id=26493&amp;p=section</t>
  </si>
  <si>
    <t>https://dl.smwcentral.net/26493/delirious.zip</t>
  </si>
  <si>
    <t>Delirium</t>
  </si>
  <si>
    <t>41773</t>
  </si>
  <si>
    <t>https://www.smwcentral.net/?a=details&amp;id=41773&amp;p=section</t>
  </si>
  <si>
    <t>https://dl.smwcentral.net/41773/Delirium.zip</t>
  </si>
  <si>
    <t>Demonsul's Fortress</t>
  </si>
  <si>
    <t>Demonsul</t>
  </si>
  <si>
    <t>9950</t>
  </si>
  <si>
    <t>https://www.smwcentral.net/?a=details&amp;id=9950&amp;p=section</t>
  </si>
  <si>
    <t>https://dl.smwcentral.net/9950/DemonsulsFortressDemo2W.zip</t>
  </si>
  <si>
    <t>Denali's Tail</t>
  </si>
  <si>
    <t>Atomic-Citrus</t>
  </si>
  <si>
    <t>21639</t>
  </si>
  <si>
    <t>https://www.smwcentral.net/?a=details&amp;id=21639&amp;p=section</t>
  </si>
  <si>
    <t>https://dl.smwcentral.net/21639/Denali%27s%20Tail.zip</t>
  </si>
  <si>
    <t>Desert Traveling</t>
  </si>
  <si>
    <t>2362</t>
  </si>
  <si>
    <t>10541</t>
  </si>
  <si>
    <t>https://www.smwcentral.net/?a=details&amp;id=10541&amp;p=section</t>
  </si>
  <si>
    <t>https://dl.smwcentral.net/10541/DesertTraveling.zip</t>
  </si>
  <si>
    <t>Devil's Asylum</t>
  </si>
  <si>
    <t>TheMorganah</t>
  </si>
  <si>
    <t>40873</t>
  </si>
  <si>
    <t>https://www.smwcentral.net/?a=details&amp;id=40873&amp;p=section</t>
  </si>
  <si>
    <t>https://dl.smwcentral.net/40873/%5B2021%5D%20Devil%27s%20Asylum%20DEMO.zip</t>
  </si>
  <si>
    <t>Diffidence</t>
  </si>
  <si>
    <t>37981</t>
  </si>
  <si>
    <t>https://www.smwcentral.net/?a=details&amp;id=37981&amp;p=section</t>
  </si>
  <si>
    <t>https://dl.smwcentral.net/37981/Diffidence.zip</t>
  </si>
  <si>
    <t>Digital Rage World</t>
  </si>
  <si>
    <t>MarioFan1337</t>
  </si>
  <si>
    <t>38888</t>
  </si>
  <si>
    <t>https://www.smwcentral.net/?a=details&amp;id=38888&amp;p=section</t>
  </si>
  <si>
    <t>https://dl.smwcentral.net/38888/Digital_Rage_World.zip</t>
  </si>
  <si>
    <t>Dim Spirits: In-Blood - Complete Edition</t>
  </si>
  <si>
    <t>blackhart</t>
  </si>
  <si>
    <t>28925</t>
  </si>
  <si>
    <t>https://www.smwcentral.net/?a=details&amp;id=28925&amp;p=section</t>
  </si>
  <si>
    <t>https://dl.smwcentral.net/28925/Dim%20Spirits.zip</t>
  </si>
  <si>
    <t>DINGS</t>
  </si>
  <si>
    <t>12147</t>
  </si>
  <si>
    <t>https://www.smwcentral.net/?a=details&amp;id=12147&amp;p=section</t>
  </si>
  <si>
    <t>https://dl.smwcentral.net/12147/DINGS.zip</t>
  </si>
  <si>
    <t>Dininho World</t>
  </si>
  <si>
    <t>MIRANHA</t>
  </si>
  <si>
    <t>22036</t>
  </si>
  <si>
    <t>https://www.smwcentral.net/?a=details&amp;id=22036&amp;p=section</t>
  </si>
  <si>
    <t>https://dl.smwcentral.net/22036/dininhoworld.zip</t>
  </si>
  <si>
    <t>Dinomar: Adventure of a SMWCentral User</t>
  </si>
  <si>
    <t>Saturn the Donkey</t>
  </si>
  <si>
    <t>10087</t>
  </si>
  <si>
    <t>https://www.smwcentral.net/?a=details&amp;id=10087&amp;p=section</t>
  </si>
  <si>
    <t>https://dl.smwcentral.net/10087/Dinomar.zip</t>
  </si>
  <si>
    <t>Disk Defrag</t>
  </si>
  <si>
    <t>25772</t>
  </si>
  <si>
    <t>https://www.smwcentral.net/?a=details&amp;id=25772&amp;p=section</t>
  </si>
  <si>
    <t>https://dl.smwcentral.net/25772/DiskDefrag.zip</t>
  </si>
  <si>
    <t>Do The Mario</t>
  </si>
  <si>
    <t>Tob</t>
  </si>
  <si>
    <t>14675</t>
  </si>
  <si>
    <t>https://www.smwcentral.net/?a=details&amp;id=14675&amp;p=section</t>
  </si>
  <si>
    <t>https://dl.smwcentral.net/14675/Do%20The%20Mario%20Demo%201.2.2.1.zip</t>
  </si>
  <si>
    <t>domenyX Christmas</t>
  </si>
  <si>
    <t>LucasMegaStriker, domenyX</t>
  </si>
  <si>
    <t>21689</t>
  </si>
  <si>
    <t>https://www.smwcentral.net/?a=details&amp;id=21689&amp;p=section</t>
  </si>
  <si>
    <t>https://dl.smwcentral.net/21689/domenyXChristmas.zip</t>
  </si>
  <si>
    <t>domenyX Generations</t>
  </si>
  <si>
    <t>LucasMegaStriker</t>
  </si>
  <si>
    <t>29956</t>
  </si>
  <si>
    <t>https://www.smwcentral.net/?a=details&amp;id=29956&amp;p=section</t>
  </si>
  <si>
    <t>https://dl.smwcentral.net/29956/domenyXGenerations.zip</t>
  </si>
  <si>
    <t>domenyX vs Coronavirus</t>
  </si>
  <si>
    <t>22814</t>
  </si>
  <si>
    <t>https://www.smwcentral.net/?a=details&amp;id=22814&amp;p=section</t>
  </si>
  <si>
    <t>https://dl.smwcentral.net/22814/domenyXvsCorona.zip</t>
  </si>
  <si>
    <t>domenyX: Trouble in Paradise</t>
  </si>
  <si>
    <t>LucasMegaStriker, Mpereira</t>
  </si>
  <si>
    <t>27847</t>
  </si>
  <si>
    <t>https://www.smwcentral.net/?a=details&amp;id=27847&amp;p=section</t>
  </si>
  <si>
    <t>https://dl.smwcentral.net/27847/domenyX_Paradise.zip</t>
  </si>
  <si>
    <t>Don't Dig Down</t>
  </si>
  <si>
    <t>TheGremlin</t>
  </si>
  <si>
    <t>34952</t>
  </si>
  <si>
    <t>https://www.smwcentral.net/?a=details&amp;id=34952&amp;p=section</t>
  </si>
  <si>
    <t>https://dl.smwcentral.net/34952/DontDigDown%20v7.zip</t>
  </si>
  <si>
    <t>Don't Panic</t>
  </si>
  <si>
    <t>26179</t>
  </si>
  <si>
    <t>https://www.smwcentral.net/?a=details&amp;id=26179&amp;p=section</t>
  </si>
  <si>
    <t>https://dl.smwcentral.net/26179/DontPanic.zip</t>
  </si>
  <si>
    <t>Don't Spare the Horses</t>
  </si>
  <si>
    <t>Morsel</t>
  </si>
  <si>
    <t>27833</t>
  </si>
  <si>
    <t>https://www.smwcentral.net/?a=details&amp;id=27833&amp;p=section</t>
  </si>
  <si>
    <t>https://dl.smwcentral.net/27833/horses1.2.zip</t>
  </si>
  <si>
    <t>Dongs! The Hack</t>
  </si>
  <si>
    <t>The Kins</t>
  </si>
  <si>
    <t>5224</t>
  </si>
  <si>
    <t>https://www.smwcentral.net/?a=details&amp;id=5224&amp;p=section</t>
  </si>
  <si>
    <t>https://dl.smwcentral.net/5224/dongs.zip</t>
  </si>
  <si>
    <t>Donkey Kong 2: The Rise of Jumpman!</t>
  </si>
  <si>
    <t>Big Brawler</t>
  </si>
  <si>
    <t>15853</t>
  </si>
  <si>
    <t>https://www.smwcentral.net/?a=details&amp;id=15853&amp;p=section</t>
  </si>
  <si>
    <t>https://dl.smwcentral.net/15853/DK2%20-%20The%20Rise%20of%20Jumpman.zip</t>
  </si>
  <si>
    <t>Donkey Kong 3: Another Rise!</t>
  </si>
  <si>
    <t>17934</t>
  </si>
  <si>
    <t>https://www.smwcentral.net/?a=details&amp;id=17934&amp;p=section</t>
  </si>
  <si>
    <t>https://dl.smwcentral.net/17934/Donkey%20Kong%203%20Another%20Rise%21%20Ver1.3.zip</t>
  </si>
  <si>
    <t>Donkey Kong 4: Rise and Repeat</t>
  </si>
  <si>
    <t>39212</t>
  </si>
  <si>
    <t>https://www.smwcentral.net/?a=details&amp;id=39212&amp;p=section</t>
  </si>
  <si>
    <t>https://dl.smwcentral.net/39212/DK4%20Rise%20and%20Repeat.zip</t>
  </si>
  <si>
    <t>Doodlebob's Revenge</t>
  </si>
  <si>
    <t>Boosius</t>
  </si>
  <si>
    <t>27143</t>
  </si>
  <si>
    <t>https://www.smwcentral.net/?a=details&amp;id=27143&amp;p=section</t>
  </si>
  <si>
    <t>https://dl.smwcentral.net/27143/doodlebob%27s%20revenge.zip</t>
  </si>
  <si>
    <t>Doomscroll</t>
  </si>
  <si>
    <t>41481</t>
  </si>
  <si>
    <t>https://www.smwcentral.net/?a=details&amp;id=41481&amp;p=section</t>
  </si>
  <si>
    <t>https://dl.smwcentral.net/41481/Doomscroll.zip</t>
  </si>
  <si>
    <t>Dooooors</t>
  </si>
  <si>
    <t>Stairkase</t>
  </si>
  <si>
    <t>20577</t>
  </si>
  <si>
    <t>https://www.smwcentral.net/?a=details&amp;id=20577&amp;p=section</t>
  </si>
  <si>
    <t>https://dl.smwcentral.net/20577/Dooooors.zip</t>
  </si>
  <si>
    <t>Doopliss Revenge</t>
  </si>
  <si>
    <t>kirbydavy</t>
  </si>
  <si>
    <t>9655</t>
  </si>
  <si>
    <t>https://www.smwcentral.net/?a=details&amp;id=9655&amp;p=section</t>
  </si>
  <si>
    <t>https://dl.smwcentral.net/9655/Doopliss%20Revenge.zip</t>
  </si>
  <si>
    <t>Doro Chill</t>
  </si>
  <si>
    <t>37065</t>
  </si>
  <si>
    <t>https://www.smwcentral.net/?a=details&amp;id=37065&amp;p=section</t>
  </si>
  <si>
    <t>https://dl.smwcentral.net/37065/Doro%20Chill.zip</t>
  </si>
  <si>
    <t>Doro Kaizo</t>
  </si>
  <si>
    <t>Lyfah</t>
  </si>
  <si>
    <t>32883</t>
  </si>
  <si>
    <t>https://www.smwcentral.net/?a=details&amp;id=32883&amp;p=section</t>
  </si>
  <si>
    <t>https://dl.smwcentral.net/32883/Doro%20Kaizo.zip</t>
  </si>
  <si>
    <t>Double Jump Man</t>
  </si>
  <si>
    <t>26004</t>
  </si>
  <si>
    <t>https://www.smwcentral.net/?a=details&amp;id=26004&amp;p=section</t>
  </si>
  <si>
    <t>https://dl.smwcentral.net/26004/double.zip</t>
  </si>
  <si>
    <t>Dr. Mario World Redrawn</t>
  </si>
  <si>
    <t>B.B.Link</t>
  </si>
  <si>
    <t>6255</t>
  </si>
  <si>
    <t>https://www.smwcentral.net/?a=details&amp;id=6255&amp;p=section</t>
  </si>
  <si>
    <t>https://dl.smwcentral.net/6255/Dr.%20Mario%20World%20Redrawn%20SMWC.zip</t>
  </si>
  <si>
    <t>Dreadshredder</t>
  </si>
  <si>
    <t>38795</t>
  </si>
  <si>
    <t>https://www.smwcentral.net/?a=details&amp;id=38795&amp;p=section</t>
  </si>
  <si>
    <t>https://dl.smwcentral.net/38795/Dreadshredder%20v1.01.zip</t>
  </si>
  <si>
    <t>Dream Collider</t>
  </si>
  <si>
    <t>33031</t>
  </si>
  <si>
    <t>https://www.smwcentral.net/?a=details&amp;id=33031&amp;p=section</t>
  </si>
  <si>
    <t>https://dl.smwcentral.net/33031/Dream%20Collider.zip</t>
  </si>
  <si>
    <t>Dream Eater</t>
  </si>
  <si>
    <t>Sleppy</t>
  </si>
  <si>
    <t>42023</t>
  </si>
  <si>
    <t>https://www.smwcentral.net/?a=details&amp;id=42023&amp;p=section</t>
  </si>
  <si>
    <t>https://dl.smwcentral.net/42023/Dream%20Eater.zip</t>
  </si>
  <si>
    <t>Dreams</t>
  </si>
  <si>
    <t>Panicdream1</t>
  </si>
  <si>
    <t>28857</t>
  </si>
  <si>
    <t>https://www.smwcentral.net/?a=details&amp;id=28857&amp;p=section</t>
  </si>
  <si>
    <t>https://dl.smwcentral.net/28857/Dreams.zip</t>
  </si>
  <si>
    <t>Dreza Demo 1st Public Release</t>
  </si>
  <si>
    <t>ADAMEI5TER</t>
  </si>
  <si>
    <t>40261</t>
  </si>
  <si>
    <t>https://www.smwcentral.net/?a=details&amp;id=40261&amp;p=section</t>
  </si>
  <si>
    <t>https://dl.smwcentral.net/40261/drezademo.zip</t>
  </si>
  <si>
    <t>Drive the Desert Bus</t>
  </si>
  <si>
    <t>HuFlungDu</t>
  </si>
  <si>
    <t>9978</t>
  </si>
  <si>
    <t>https://www.smwcentral.net/?a=details&amp;id=9978&amp;p=section</t>
  </si>
  <si>
    <t>https://dl.smwcentral.net/9978/DriveTheDesertBus.zip</t>
  </si>
  <si>
    <t>Drkrdnk World</t>
  </si>
  <si>
    <t>Desert</t>
  </si>
  <si>
    <t>27931</t>
  </si>
  <si>
    <t>https://www.smwcentral.net/?a=details&amp;id=27931&amp;p=section</t>
  </si>
  <si>
    <t>https://dl.smwcentral.net/27931/Drkrdnk%20World.zip</t>
  </si>
  <si>
    <t>Duck Island</t>
  </si>
  <si>
    <t>decentduck</t>
  </si>
  <si>
    <t>19263</t>
  </si>
  <si>
    <t>https://www.smwcentral.net/?a=details&amp;id=19263&amp;p=section</t>
  </si>
  <si>
    <t>https://dl.smwcentral.net/19263/Duck%20Island.zip</t>
  </si>
  <si>
    <t>Duck Season</t>
  </si>
  <si>
    <t>2dareduck</t>
  </si>
  <si>
    <t>10895</t>
  </si>
  <si>
    <t>https://www.smwcentral.net/?a=details&amp;id=10895&amp;p=section</t>
  </si>
  <si>
    <t>https://dl.smwcentral.net/10895/Duck%20Season.zip</t>
  </si>
  <si>
    <t>dumb</t>
  </si>
  <si>
    <t>OEO6</t>
  </si>
  <si>
    <t>22132</t>
  </si>
  <si>
    <t>https://www.smwcentral.net/?a=details&amp;id=22132&amp;p=section</t>
  </si>
  <si>
    <t>https://dl.smwcentral.net/22132/dumb.zip</t>
  </si>
  <si>
    <t>Dusty Shells</t>
  </si>
  <si>
    <t>BielDusty</t>
  </si>
  <si>
    <t>40965</t>
  </si>
  <si>
    <t>https://www.smwcentral.net/?a=details&amp;id=40965&amp;p=section</t>
  </si>
  <si>
    <t>https://dl.smwcentral.net/40965/Dusty%20Shells.zip</t>
  </si>
  <si>
    <t>Dynamic Mario</t>
  </si>
  <si>
    <t>Maw</t>
  </si>
  <si>
    <t>30589</t>
  </si>
  <si>
    <t>https://www.smwcentral.net/?a=details&amp;id=30589&amp;p=section</t>
  </si>
  <si>
    <t>https://dl.smwcentral.net/30589/Dynamic%20Mario1.1.zip</t>
  </si>
  <si>
    <t>Dynasty's Choconilla Seasons Hack</t>
  </si>
  <si>
    <t>DynastyLobster</t>
  </si>
  <si>
    <t>28586</t>
  </si>
  <si>
    <t>https://www.smwcentral.net/?a=details&amp;id=28586&amp;p=section</t>
  </si>
  <si>
    <t>https://dl.smwcentral.net/28586/dynasty_vanilla_hack_1.zip</t>
  </si>
  <si>
    <t>Dysphoria</t>
  </si>
  <si>
    <t>34492</t>
  </si>
  <si>
    <t>https://www.smwcentral.net/?a=details&amp;id=34492&amp;p=section</t>
  </si>
  <si>
    <t>https://dl.smwcentral.net/34492/Dysphoria.zip</t>
  </si>
  <si>
    <t>Easy One Screen Puzzle</t>
  </si>
  <si>
    <t>Magikey</t>
  </si>
  <si>
    <t>24535</t>
  </si>
  <si>
    <t>https://www.smwcentral.net/?a=details&amp;id=24535&amp;p=section</t>
  </si>
  <si>
    <t>https://dl.smwcentral.net/24535/EasyOneScreenPuzzle.zip</t>
  </si>
  <si>
    <t>Easy Two Screen Puzzle</t>
  </si>
  <si>
    <t>39699</t>
  </si>
  <si>
    <t>https://www.smwcentral.net/?a=details&amp;id=39699&amp;p=section</t>
  </si>
  <si>
    <t>https://dl.smwcentral.net/39699/EasyTwoScreenPuzzle.zip</t>
  </si>
  <si>
    <t>Easyland</t>
  </si>
  <si>
    <t>37583</t>
  </si>
  <si>
    <t>https://www.smwcentral.net/?a=details&amp;id=37583&amp;p=section</t>
  </si>
  <si>
    <t>https://dl.smwcentral.net/37583/Easyland.zip</t>
  </si>
  <si>
    <t>Easyland 2</t>
  </si>
  <si>
    <t>38528</t>
  </si>
  <si>
    <t>https://www.smwcentral.net/?a=details&amp;id=38528&amp;p=section</t>
  </si>
  <si>
    <t>https://dl.smwcentral.net/38528/Easyland%202.zip</t>
  </si>
  <si>
    <t>Easyland 3</t>
  </si>
  <si>
    <t>41159</t>
  </si>
  <si>
    <t>https://www.smwcentral.net/?a=details&amp;id=41159&amp;p=section</t>
  </si>
  <si>
    <t>https://dl.smwcentral.net/41159/Easyland%203.zip</t>
  </si>
  <si>
    <t>echoestopia</t>
  </si>
  <si>
    <t>elwawa</t>
  </si>
  <si>
    <t>41895</t>
  </si>
  <si>
    <t>https://www.smwcentral.net/?a=details&amp;id=41895&amp;p=section</t>
  </si>
  <si>
    <t>https://dl.smwcentral.net/41895/echoesto%20topia.zip</t>
  </si>
  <si>
    <t>Eclectic Shell</t>
  </si>
  <si>
    <t>37611</t>
  </si>
  <si>
    <t>https://www.smwcentral.net/?a=details&amp;id=37611&amp;p=section</t>
  </si>
  <si>
    <t>https://dl.smwcentral.net/37611/EclecticShellv2.zip</t>
  </si>
  <si>
    <t>EF Land</t>
  </si>
  <si>
    <t>Electrofire</t>
  </si>
  <si>
    <t>9784</t>
  </si>
  <si>
    <t>https://www.smwcentral.net/?a=details&amp;id=9784&amp;p=section</t>
  </si>
  <si>
    <t>https://dl.smwcentral.net/9784/EF_Land.zip</t>
  </si>
  <si>
    <t>Effortworld</t>
  </si>
  <si>
    <t>JUMP Team</t>
  </si>
  <si>
    <t>34383</t>
  </si>
  <si>
    <t>https://www.smwcentral.net/?a=details&amp;id=34383&amp;p=section</t>
  </si>
  <si>
    <t>https://dl.smwcentral.net/34383/effortworld.zip</t>
  </si>
  <si>
    <t>EGO WORLD</t>
  </si>
  <si>
    <t>mmmdoggy</t>
  </si>
  <si>
    <t>38298</t>
  </si>
  <si>
    <t>https://www.smwcentral.net/?a=details&amp;id=38298&amp;p=section</t>
  </si>
  <si>
    <t>https://dl.smwcentral.net/38298/EGO%20WORLD.zip</t>
  </si>
  <si>
    <t>Eh</t>
  </si>
  <si>
    <t>40018</t>
  </si>
  <si>
    <t>https://www.smwcentral.net/?a=details&amp;id=40018&amp;p=section</t>
  </si>
  <si>
    <t>https://dl.smwcentral.net/40018/Eh%20v1.2.zip</t>
  </si>
  <si>
    <t>Eidolon</t>
  </si>
  <si>
    <t>35343</t>
  </si>
  <si>
    <t>https://www.smwcentral.net/?a=details&amp;id=35343&amp;p=section</t>
  </si>
  <si>
    <t>https://dl.smwcentral.net/35343/hack.zip</t>
  </si>
  <si>
    <t>Eikro: The Children of Darloum</t>
  </si>
  <si>
    <t>32913</t>
  </si>
  <si>
    <t>https://www.smwcentral.net/?a=details&amp;id=32913&amp;p=section</t>
  </si>
  <si>
    <t>https://dl.smwcentral.net/32913/Eikro%20-%20The%20Children%20of%20Darloum.zip</t>
  </si>
  <si>
    <t>El Dorado</t>
  </si>
  <si>
    <t>mmBeefStew</t>
  </si>
  <si>
    <t>26644</t>
  </si>
  <si>
    <t>https://www.smwcentral.net/?a=details&amp;id=26644&amp;p=section</t>
  </si>
  <si>
    <t>https://dl.smwcentral.net/26644/El%20Dorado.zip</t>
  </si>
  <si>
    <t>Electra</t>
  </si>
  <si>
    <t>WeegeeBen</t>
  </si>
  <si>
    <t>6983</t>
  </si>
  <si>
    <t>https://www.smwcentral.net/?a=details&amp;id=6983&amp;p=section</t>
  </si>
  <si>
    <t>https://dl.smwcentral.net/6983/Electra%20Demo%20C3.zip</t>
  </si>
  <si>
    <t>Elephants and Snakes and Crocodiles</t>
  </si>
  <si>
    <t>19167</t>
  </si>
  <si>
    <t>https://www.smwcentral.net/?a=details&amp;id=19167&amp;p=section</t>
  </si>
  <si>
    <t>https://dl.smwcentral.net/19167/snakes1.05.zip</t>
  </si>
  <si>
    <t>Elysium Shells</t>
  </si>
  <si>
    <t>Eryck</t>
  </si>
  <si>
    <t>30888</t>
  </si>
  <si>
    <t>https://www.smwcentral.net/?a=details&amp;id=30888&amp;p=section</t>
  </si>
  <si>
    <t>https://dl.smwcentral.net/30888/Elysium%20Shells%20v2.0.zip</t>
  </si>
  <si>
    <t>Empyrean</t>
  </si>
  <si>
    <t>swissy</t>
  </si>
  <si>
    <t>28338</t>
  </si>
  <si>
    <t>https://www.smwcentral.net/?a=details&amp;id=28338&amp;p=section</t>
  </si>
  <si>
    <t>https://dl.smwcentral.net/28338/Empyrean_v1.0.zip</t>
  </si>
  <si>
    <t>Endeavor</t>
  </si>
  <si>
    <t>32749</t>
  </si>
  <si>
    <t>https://www.smwcentral.net/?a=details&amp;id=32749&amp;p=section</t>
  </si>
  <si>
    <t>https://dl.smwcentral.net/32749/Endeavor%20%281.0%29.zip</t>
  </si>
  <si>
    <t>Enter the Gizzverse</t>
  </si>
  <si>
    <t>kaigem</t>
  </si>
  <si>
    <t>36871</t>
  </si>
  <si>
    <t>https://www.smwcentral.net/?a=details&amp;id=36871&amp;p=section</t>
  </si>
  <si>
    <t>https://dl.smwcentral.net/36871/Enter%20the%20Gizzverse.zip</t>
  </si>
  <si>
    <t>Enter the Void</t>
  </si>
  <si>
    <t>Saela</t>
  </si>
  <si>
    <t>29699</t>
  </si>
  <si>
    <t>https://www.smwcentral.net/?a=details&amp;id=29699&amp;p=section</t>
  </si>
  <si>
    <t>https://dl.smwcentral.net/29699/Enter%20the%20Void.zip</t>
  </si>
  <si>
    <t>Entropy</t>
  </si>
  <si>
    <t>34714</t>
  </si>
  <si>
    <t>https://www.smwcentral.net/?a=details&amp;id=34714&amp;p=section</t>
  </si>
  <si>
    <t>https://dl.smwcentral.net/34714/entropy_v101.zip</t>
  </si>
  <si>
    <t>EP</t>
  </si>
  <si>
    <t>Egadd</t>
  </si>
  <si>
    <t>6208</t>
  </si>
  <si>
    <t>https://www.smwcentral.net/?a=details&amp;id=6208&amp;p=section</t>
  </si>
  <si>
    <t>https://dl.smwcentral.net/6208/EP.zip</t>
  </si>
  <si>
    <t>Epic Gamer World</t>
  </si>
  <si>
    <t>Yetibucca</t>
  </si>
  <si>
    <t>23363</t>
  </si>
  <si>
    <t>https://www.smwcentral.net/?a=details&amp;id=23363&amp;p=section</t>
  </si>
  <si>
    <t>https://dl.smwcentral.net/23363/EGW%20V1.1.zip</t>
  </si>
  <si>
    <t>Epiphany</t>
  </si>
  <si>
    <t>38966</t>
  </si>
  <si>
    <t>https://www.smwcentral.net/?a=details&amp;id=38966&amp;p=section</t>
  </si>
  <si>
    <t>https://dl.smwcentral.net/38966/Epiphany.zip</t>
  </si>
  <si>
    <t>Eroi del passato</t>
  </si>
  <si>
    <t>bluesaint</t>
  </si>
  <si>
    <t>21512</t>
  </si>
  <si>
    <t>https://www.smwcentral.net/?a=details&amp;id=21512&amp;p=section</t>
  </si>
  <si>
    <t>https://dl.smwcentral.net/21512/eroi%20del%20passato.zip</t>
  </si>
  <si>
    <t>Escape from Kudzu Planet</t>
  </si>
  <si>
    <t>34176</t>
  </si>
  <si>
    <t>https://www.smwcentral.net/?a=details&amp;id=34176&amp;p=section</t>
  </si>
  <si>
    <t>https://dl.smwcentral.net/34176/Escape%20from%20Kudzu%20Planet%201.1.zip</t>
  </si>
  <si>
    <t>ESCAPE FROM LA PLUME</t>
  </si>
  <si>
    <t>bonjoursauce, uriel2k3</t>
  </si>
  <si>
    <t>41609</t>
  </si>
  <si>
    <t>https://www.smwcentral.net/?a=details&amp;id=41609&amp;p=section</t>
  </si>
  <si>
    <t>https://dl.smwcentral.net/41609/Escape%20from%20La%20Plume.zip</t>
  </si>
  <si>
    <t>Eternal Mario World</t>
  </si>
  <si>
    <t>Aguni_</t>
  </si>
  <si>
    <t>15985</t>
  </si>
  <si>
    <t>https://www.smwcentral.net/?a=details&amp;id=15985&amp;p=section</t>
  </si>
  <si>
    <t>https://dl.smwcentral.net/15985/Eternal%20Mario%20World.zip</t>
  </si>
  <si>
    <t>Eternal Nightfall</t>
  </si>
  <si>
    <t>superwiidude</t>
  </si>
  <si>
    <t>14533</t>
  </si>
  <si>
    <t>https://www.smwcentral.net/?a=details&amp;id=14533&amp;p=section</t>
  </si>
  <si>
    <t>https://dl.smwcentral.net/14533/eternal%20nightfall.zip</t>
  </si>
  <si>
    <t>Eudaimonia</t>
  </si>
  <si>
    <t>31318</t>
  </si>
  <si>
    <t>https://www.smwcentral.net/?a=details&amp;id=31318&amp;p=section</t>
  </si>
  <si>
    <t>https://dl.smwcentral.net/31318/Eudaimonia.zip</t>
  </si>
  <si>
    <t>Euphoria Isle</t>
  </si>
  <si>
    <t>Caracc, Crispy, NoelYoshi, Spud Alpha, SyStemkraSh, Zildjian</t>
  </si>
  <si>
    <t>5499</t>
  </si>
  <si>
    <t>https://www.smwcentral.net/?a=details&amp;id=5499&amp;p=section</t>
  </si>
  <si>
    <t>https://dl.smwcentral.net/5499/Euphoria%20Isle.zip</t>
  </si>
  <si>
    <t>EVERY LEVEL IGGY!</t>
  </si>
  <si>
    <t>Nimono</t>
  </si>
  <si>
    <t>9734</t>
  </si>
  <si>
    <t>https://www.smwcentral.net/?a=details&amp;id=9734&amp;p=section</t>
  </si>
  <si>
    <t>https://dl.smwcentral.net/9734/EVERY%20LEVEL%20IGGY%21.zip</t>
  </si>
  <si>
    <t>EVERY LEVEL LEMMY!</t>
  </si>
  <si>
    <t>9038</t>
  </si>
  <si>
    <t>https://www.smwcentral.net/?a=details&amp;id=9038&amp;p=section</t>
  </si>
  <si>
    <t>https://dl.smwcentral.net/9038/every%20level%20lemmy%20-%20version%203.zip</t>
  </si>
  <si>
    <t>EVERY LEVEL LUDWIG!</t>
  </si>
  <si>
    <t>33233</t>
  </si>
  <si>
    <t>https://www.smwcentral.net/?a=details&amp;id=33233&amp;p=section</t>
  </si>
  <si>
    <t>https://dl.smwcentral.net/33233/EVERY%20LEVEL%20LUDWIG%21%20%28V1.0.2%29.zip</t>
  </si>
  <si>
    <t>EVERY LEVEL MORTON!</t>
  </si>
  <si>
    <t>9911</t>
  </si>
  <si>
    <t>https://www.smwcentral.net/?a=details&amp;id=9911&amp;p=section</t>
  </si>
  <si>
    <t>https://dl.smwcentral.net/9911/EVERY%20LEVEL%20MORTON%21.zip</t>
  </si>
  <si>
    <t>Everyone's Gone</t>
  </si>
  <si>
    <t>GamesInTweed</t>
  </si>
  <si>
    <t>Standard, Puzzle</t>
  </si>
  <si>
    <t>40892</t>
  </si>
  <si>
    <t>https://www.smwcentral.net/?a=details&amp;id=40892&amp;p=section</t>
  </si>
  <si>
    <t>https://dl.smwcentral.net/40892/Everyone%27s%20Gone%20v1.1.zip</t>
  </si>
  <si>
    <t>Everything Is Not All Right</t>
  </si>
  <si>
    <t>31571</t>
  </si>
  <si>
    <t>https://www.smwcentral.net/?a=details&amp;id=31571&amp;p=section</t>
  </si>
  <si>
    <t>https://dl.smwcentral.net/31571/Everything%20Is%20Not%20All%20Right.zip</t>
  </si>
  <si>
    <t>Evil Conquest</t>
  </si>
  <si>
    <t>Darkdlp02, Luks</t>
  </si>
  <si>
    <t>11946</t>
  </si>
  <si>
    <t>https://www.smwcentral.net/?a=details&amp;id=11946&amp;p=section</t>
  </si>
  <si>
    <t>https://dl.smwcentral.net/11946/Evil%20Conquest%20Release%201.9.zip</t>
  </si>
  <si>
    <t>Evil Doopu World</t>
  </si>
  <si>
    <t>EvilAdmiralKivi</t>
  </si>
  <si>
    <t>32358</t>
  </si>
  <si>
    <t>https://www.smwcentral.net/?a=details&amp;id=32358&amp;p=section</t>
  </si>
  <si>
    <t>https://dl.smwcentral.net/32358/EvilDoopuWorld_v1.0.0.zip</t>
  </si>
  <si>
    <t>Evil Doopu World 2</t>
  </si>
  <si>
    <t>37571</t>
  </si>
  <si>
    <t>https://www.smwcentral.net/?a=details&amp;id=37571&amp;p=section</t>
  </si>
  <si>
    <t>https://dl.smwcentral.net/37571/evil-doopu-world-2_v1.0.6.zip</t>
  </si>
  <si>
    <t>Evolve or Die</t>
  </si>
  <si>
    <t>40635</t>
  </si>
  <si>
    <t>https://www.smwcentral.net/?a=details&amp;id=40635&amp;p=section</t>
  </si>
  <si>
    <t>https://dl.smwcentral.net/40635/Evolve%20or%20Die.zip</t>
  </si>
  <si>
    <t>EVW</t>
  </si>
  <si>
    <t>Snifit</t>
  </si>
  <si>
    <t>10001</t>
  </si>
  <si>
    <t>https://www.smwcentral.net/?a=details&amp;id=10001&amp;p=section</t>
  </si>
  <si>
    <t>https://dl.smwcentral.net/10001/EVW_Updated.zip</t>
  </si>
  <si>
    <t>Exodius</t>
  </si>
  <si>
    <t>Nint</t>
  </si>
  <si>
    <t>21563</t>
  </si>
  <si>
    <t>https://www.smwcentral.net/?a=details&amp;id=21563&amp;p=section</t>
  </si>
  <si>
    <t>https://dl.smwcentral.net/21563/Exodius%201.1.zip</t>
  </si>
  <si>
    <t>Exshellsior</t>
  </si>
  <si>
    <t>41309</t>
  </si>
  <si>
    <t>https://www.smwcentral.net/?a=details&amp;id=41309&amp;p=section</t>
  </si>
  <si>
    <t>https://dl.smwcentral.net/41309/Exshellsior.zip</t>
  </si>
  <si>
    <t>Extended Interactions</t>
  </si>
  <si>
    <t>39342</t>
  </si>
  <si>
    <t>https://www.smwcentral.net/?a=details&amp;id=39342&amp;p=section</t>
  </si>
  <si>
    <t>https://dl.smwcentral.net/39342/Extended%20Interactions%20V1.1.1.zip</t>
  </si>
  <si>
    <t>Extinction Rebellion</t>
  </si>
  <si>
    <t>xamen81x</t>
  </si>
  <si>
    <t>28119</t>
  </si>
  <si>
    <t>https://www.smwcentral.net/?a=details&amp;id=28119&amp;p=section</t>
  </si>
  <si>
    <t>https://dl.smwcentral.net/28119/WinRAR-ZIP-Archiv%20%28neu%29.zip</t>
  </si>
  <si>
    <t>Extreme One-Screen Puzzle</t>
  </si>
  <si>
    <t>7 up</t>
  </si>
  <si>
    <t>17732</t>
  </si>
  <si>
    <t>https://www.smwcentral.net/?a=details&amp;id=17732&amp;p=section</t>
  </si>
  <si>
    <t>https://dl.smwcentral.net/17732/Extreme_One_Screen_Puzzle_V1.4.zip</t>
  </si>
  <si>
    <t>EY JUICE</t>
  </si>
  <si>
    <t>goosedajuice</t>
  </si>
  <si>
    <t>23330</t>
  </si>
  <si>
    <t>https://www.smwcentral.net/?a=details&amp;id=23330&amp;p=section</t>
  </si>
  <si>
    <t>https://dl.smwcentral.net/23330/EY_JUICEv1.2.zip</t>
  </si>
  <si>
    <t>Eyeless: Director's Cut + Original</t>
  </si>
  <si>
    <t>lolyoshi</t>
  </si>
  <si>
    <t>14531</t>
  </si>
  <si>
    <t>https://www.smwcentral.net/?a=details&amp;id=14531&amp;p=section</t>
  </si>
  <si>
    <t>https://dl.smwcentral.net/14531/Eyeless.zip</t>
  </si>
  <si>
    <t>EZ Kaizo</t>
  </si>
  <si>
    <t>28771</t>
  </si>
  <si>
    <t>https://www.smwcentral.net/?a=details&amp;id=28771&amp;p=section</t>
  </si>
  <si>
    <t>https://dl.smwcentral.net/28771/EZ%20Kaizo%201.0.zip</t>
  </si>
  <si>
    <t>F-Mario: Galaxy Cup</t>
  </si>
  <si>
    <t>X-King</t>
  </si>
  <si>
    <t>9724</t>
  </si>
  <si>
    <t>https://www.smwcentral.net/?a=details&amp;id=9724&amp;p=section</t>
  </si>
  <si>
    <t>https://dl.smwcentral.net/9724/F-Mario.zip</t>
  </si>
  <si>
    <t>Facedesk!</t>
  </si>
  <si>
    <t>Katerpie</t>
  </si>
  <si>
    <t>18823</t>
  </si>
  <si>
    <t>https://www.smwcentral.net/?a=details&amp;id=18823&amp;p=section</t>
  </si>
  <si>
    <t>https://dl.smwcentral.net/18823/Facedesk.zip</t>
  </si>
  <si>
    <t>Fail World</t>
  </si>
  <si>
    <t>Fyre150, Goon Nation</t>
  </si>
  <si>
    <t>32733</t>
  </si>
  <si>
    <t>https://www.smwcentral.net/?a=details&amp;id=32733&amp;p=section</t>
  </si>
  <si>
    <t>https://dl.smwcentral.net/32733/FailWorld.zip</t>
  </si>
  <si>
    <t>Fall Guys World</t>
  </si>
  <si>
    <t>24854</t>
  </si>
  <si>
    <t>https://www.smwcentral.net/?a=details&amp;id=24854&amp;p=section</t>
  </si>
  <si>
    <t>https://dl.smwcentral.net/24854/FallGuysWorld.zip</t>
  </si>
  <si>
    <t>Fantasia</t>
  </si>
  <si>
    <t>Jukeboxi_</t>
  </si>
  <si>
    <t>37848</t>
  </si>
  <si>
    <t>https://www.smwcentral.net/?a=details&amp;id=37848&amp;p=section</t>
  </si>
  <si>
    <t>https://dl.smwcentral.net/37848/Fantasia.zip</t>
  </si>
  <si>
    <t>Far a day, near dismay</t>
  </si>
  <si>
    <t>cozyduck</t>
  </si>
  <si>
    <t>33932</t>
  </si>
  <si>
    <t>https://www.smwcentral.net/?a=details&amp;id=33932&amp;p=section</t>
  </si>
  <si>
    <t>https://dl.smwcentral.net/33932/faraday.zip</t>
  </si>
  <si>
    <t>Fast Food Kaizo</t>
  </si>
  <si>
    <t>gui</t>
  </si>
  <si>
    <t>27706</t>
  </si>
  <si>
    <t>https://www.smwcentral.net/?a=details&amp;id=27706&amp;p=section</t>
  </si>
  <si>
    <t>https://dl.smwcentral.net/27706/fastfoodkaizov1.1.zip</t>
  </si>
  <si>
    <t>Father's Gift</t>
  </si>
  <si>
    <t>38986</t>
  </si>
  <si>
    <t>https://www.smwcentral.net/?a=details&amp;id=38986&amp;p=section</t>
  </si>
  <si>
    <t>https://dl.smwcentral.net/38986/Hack%20for%20Father.zip</t>
  </si>
  <si>
    <t>Fedora</t>
  </si>
  <si>
    <t>26571</t>
  </si>
  <si>
    <t>https://www.smwcentral.net/?a=details&amp;id=26571&amp;p=section</t>
  </si>
  <si>
    <t>https://dl.smwcentral.net/26571/fedora.zip</t>
  </si>
  <si>
    <t>Feginner</t>
  </si>
  <si>
    <t>CroNo486, mikeeeeee83</t>
  </si>
  <si>
    <t>35429</t>
  </si>
  <si>
    <t>https://www.smwcentral.net/?a=details&amp;id=35429&amp;p=section</t>
  </si>
  <si>
    <t>https://dl.smwcentral.net/35429/Feginner_v1.2.zip</t>
  </si>
  <si>
    <t>Final Fantasy: Super Moogle World</t>
  </si>
  <si>
    <t>Furdabip</t>
  </si>
  <si>
    <t>9807</t>
  </si>
  <si>
    <t>https://www.smwcentral.net/?a=details&amp;id=9807&amp;p=section</t>
  </si>
  <si>
    <t>https://dl.smwcentral.net/9807/FF-SMW.zip</t>
  </si>
  <si>
    <t>Fire and Ice</t>
  </si>
  <si>
    <t>mason</t>
  </si>
  <si>
    <t>26828</t>
  </si>
  <si>
    <t>https://www.smwcentral.net/?a=details&amp;id=26828&amp;p=section</t>
  </si>
  <si>
    <t>https://dl.smwcentral.net/26828/fireandice.zip</t>
  </si>
  <si>
    <t>First Foray</t>
  </si>
  <si>
    <t>15925</t>
  </si>
  <si>
    <t>18831</t>
  </si>
  <si>
    <t>https://www.smwcentral.net/?a=details&amp;id=18831&amp;p=section</t>
  </si>
  <si>
    <t>https://dl.smwcentral.net/18831/First%20Foray%20C3%20Demo%20v1.1.zip</t>
  </si>
  <si>
    <t>First Step Forward</t>
  </si>
  <si>
    <t>38728</t>
  </si>
  <si>
    <t>https://www.smwcentral.net/?a=details&amp;id=38728&amp;p=section</t>
  </si>
  <si>
    <t>https://dl.smwcentral.net/38728/First%20Step%20Forward.zip</t>
  </si>
  <si>
    <t>Fishing Season 2</t>
  </si>
  <si>
    <t>MellyMellouange</t>
  </si>
  <si>
    <t>15713</t>
  </si>
  <si>
    <t>https://www.smwcentral.net/?a=details&amp;id=15713&amp;p=section</t>
  </si>
  <si>
    <t>https://dl.smwcentral.net/15713/Fishing_Season_2.zip</t>
  </si>
  <si>
    <t>Flip The Switch</t>
  </si>
  <si>
    <t>ThirdWall</t>
  </si>
  <si>
    <t>28341</t>
  </si>
  <si>
    <t>https://www.smwcentral.net/?a=details&amp;id=28341&amp;p=section</t>
  </si>
  <si>
    <t>https://dl.smwcentral.net/28341/Flip%20The%20Switch.bps.zip</t>
  </si>
  <si>
    <t>FLOATING MUNCHERS SERIES?</t>
  </si>
  <si>
    <t>Alcaro, Koopster</t>
  </si>
  <si>
    <t>13745</t>
  </si>
  <si>
    <t>https://www.smwcentral.net/?a=details&amp;id=13745&amp;p=section</t>
  </si>
  <si>
    <t>https://dl.smwcentral.net/13745/FLOATING%20MUNCHERS.zip</t>
  </si>
  <si>
    <t>FloMcNasty World</t>
  </si>
  <si>
    <t>AiSnake</t>
  </si>
  <si>
    <t>34838</t>
  </si>
  <si>
    <t>https://www.smwcentral.net/?a=details&amp;id=34838&amp;p=section</t>
  </si>
  <si>
    <t>https://dl.smwcentral.net/34838/FloMcNastyWorld%20v1.1.bps.zip</t>
  </si>
  <si>
    <t>Fly Me To The Stars</t>
  </si>
  <si>
    <t>CarlSagan42</t>
  </si>
  <si>
    <t>18791</t>
  </si>
  <si>
    <t>https://www.smwcentral.net/?a=details&amp;id=18791&amp;p=section</t>
  </si>
  <si>
    <t>https://dl.smwcentral.net/18791/Fly%20Me%20To%20The%20Stars.zip</t>
  </si>
  <si>
    <t>Flying With Style</t>
  </si>
  <si>
    <t>DJLocks, LouisDoucet, MassPunishment, gui, mason</t>
  </si>
  <si>
    <t>29600</t>
  </si>
  <si>
    <t>https://www.smwcentral.net/?a=details&amp;id=29600&amp;p=section</t>
  </si>
  <si>
    <t>https://dl.smwcentral.net/29600/FWS.zip</t>
  </si>
  <si>
    <t>For Dan</t>
  </si>
  <si>
    <t>GrumpyWalrus</t>
  </si>
  <si>
    <t>30756</t>
  </si>
  <si>
    <t>https://www.smwcentral.net/?a=details&amp;id=30756&amp;p=section</t>
  </si>
  <si>
    <t>https://dl.smwcentral.net/30756/For%20Dan%20v2.zip</t>
  </si>
  <si>
    <t>Forer - Barnum</t>
  </si>
  <si>
    <t>34953</t>
  </si>
  <si>
    <t>https://www.smwcentral.net/?a=details&amp;id=34953&amp;p=section</t>
  </si>
  <si>
    <t>https://dl.smwcentral.net/34953/Forer%20-%20Barnum%20v1.40.zip</t>
  </si>
  <si>
    <t>forest of illusion 4</t>
  </si>
  <si>
    <t>28842</t>
  </si>
  <si>
    <t>https://www.smwcentral.net/?a=details&amp;id=28842&amp;p=section</t>
  </si>
  <si>
    <t>https://dl.smwcentral.net/28842/foi4V1.1.zip</t>
  </si>
  <si>
    <t>Forever</t>
  </si>
  <si>
    <t>32790</t>
  </si>
  <si>
    <t>https://www.smwcentral.net/?a=details&amp;id=32790&amp;p=section</t>
  </si>
  <si>
    <t>https://dl.smwcentral.net/32790/Forever%20v1.1a.zip</t>
  </si>
  <si>
    <t>Forgotten Town</t>
  </si>
  <si>
    <t>NattCaat</t>
  </si>
  <si>
    <t>28063</t>
  </si>
  <si>
    <t>https://www.smwcentral.net/?a=details&amp;id=28063&amp;p=section</t>
  </si>
  <si>
    <t>https://dl.smwcentral.net/28063/Forgotten-Town.zip</t>
  </si>
  <si>
    <t>ForgottenWorld</t>
  </si>
  <si>
    <t>Hannes37</t>
  </si>
  <si>
    <t>22753</t>
  </si>
  <si>
    <t>https://www.smwcentral.net/?a=details&amp;id=22753&amp;p=section</t>
  </si>
  <si>
    <t>https://dl.smwcentral.net/22753/ForgottenWorld.zip</t>
  </si>
  <si>
    <t>Foxx BGG World - KSD Edition</t>
  </si>
  <si>
    <t>thefoxx87</t>
  </si>
  <si>
    <t>38315</t>
  </si>
  <si>
    <t>https://www.smwcentral.net/?a=details&amp;id=38315&amp;p=section</t>
  </si>
  <si>
    <t>https://dl.smwcentral.net/38315/Foxx%20BGG%20World%20KSD%20Edition.zip</t>
  </si>
  <si>
    <t>Foxx BGN World</t>
  </si>
  <si>
    <t>38316</t>
  </si>
  <si>
    <t>https://www.smwcentral.net/?a=details&amp;id=38316&amp;p=section</t>
  </si>
  <si>
    <t>https://dl.smwcentral.net/38316/Foxx%20BGN%20World.zip</t>
  </si>
  <si>
    <t>Fragaria 🍓</t>
  </si>
  <si>
    <t>39475</t>
  </si>
  <si>
    <t>https://www.smwcentral.net/?a=details&amp;id=39475&amp;p=section</t>
  </si>
  <si>
    <t>https://dl.smwcentral.net/39475/Fragaria%20V1.2.zip</t>
  </si>
  <si>
    <t>Freak City</t>
  </si>
  <si>
    <t>41980</t>
  </si>
  <si>
    <t>https://www.smwcentral.net/?a=details&amp;id=41980&amp;p=section</t>
  </si>
  <si>
    <t>https://dl.smwcentral.net/41980/Freak%20City.zip</t>
  </si>
  <si>
    <t>Free Luigi</t>
  </si>
  <si>
    <t>39759</t>
  </si>
  <si>
    <t>https://www.smwcentral.net/?a=details&amp;id=39759&amp;p=section</t>
  </si>
  <si>
    <t>https://dl.smwcentral.net/39759/Free%20Luigi.zip</t>
  </si>
  <si>
    <t>Free Verse For Sara</t>
  </si>
  <si>
    <t>flips_bad</t>
  </si>
  <si>
    <t>35861</t>
  </si>
  <si>
    <t>https://www.smwcentral.net/?a=details&amp;id=35861&amp;p=section</t>
  </si>
  <si>
    <t>https://dl.smwcentral.net/35861/Free%20Verse%20For%20Sara.zip</t>
  </si>
  <si>
    <t>French Fries &amp; French Toast</t>
  </si>
  <si>
    <t>31830</t>
  </si>
  <si>
    <t>https://www.smwcentral.net/?a=details&amp;id=31830&amp;p=section</t>
  </si>
  <si>
    <t>https://dl.smwcentral.net/31830/Fries%26Toast~.zip</t>
  </si>
  <si>
    <t>French SMW Hacking Contest 2008</t>
  </si>
  <si>
    <t>Lexator, Lunartoad, SLBros., Sylvain, Yocha, bulle34500, yogui</t>
  </si>
  <si>
    <t>9819</t>
  </si>
  <si>
    <t>https://www.smwcentral.net/?a=details&amp;id=9819&amp;p=section</t>
  </si>
  <si>
    <t>https://dl.smwcentral.net/9819/SMW%20concours%202008.zip</t>
  </si>
  <si>
    <t>Fresh Hops</t>
  </si>
  <si>
    <t>37897</t>
  </si>
  <si>
    <t>https://www.smwcentral.net/?a=details&amp;id=37897&amp;p=section</t>
  </si>
  <si>
    <t>https://dl.smwcentral.net/37897/Fresh%20Hops%20v1.1.zip</t>
  </si>
  <si>
    <t>Fresh Hops 2</t>
  </si>
  <si>
    <t>41460</t>
  </si>
  <si>
    <t>https://www.smwcentral.net/?a=details&amp;id=41460&amp;p=section</t>
  </si>
  <si>
    <t>https://dl.smwcentral.net/41460/Fresh%20Hops%202.zip</t>
  </si>
  <si>
    <t>Friday Mario World</t>
  </si>
  <si>
    <t>strizer86</t>
  </si>
  <si>
    <t>22299</t>
  </si>
  <si>
    <t>https://www.smwcentral.net/?a=details&amp;id=22299&amp;p=section</t>
  </si>
  <si>
    <t>https://dl.smwcentral.net/22299/FridayMarioWorld_v1.22.zip</t>
  </si>
  <si>
    <t>From Heaven To Hell</t>
  </si>
  <si>
    <t>HousemeisterHD, Inflagrandy</t>
  </si>
  <si>
    <t>40494</t>
  </si>
  <si>
    <t>https://www.smwcentral.net/?a=details&amp;id=40494&amp;p=section</t>
  </si>
  <si>
    <t>https://dl.smwcentral.net/40494/From_Heaven_To_Hell.zip</t>
  </si>
  <si>
    <t>From World to World</t>
  </si>
  <si>
    <t>Paperdomo101</t>
  </si>
  <si>
    <t>13445</t>
  </si>
  <si>
    <t>https://www.smwcentral.net/?a=details&amp;id=13445&amp;p=section</t>
  </si>
  <si>
    <t>https://dl.smwcentral.net/13445/FWTW_Demo_1.ips.zip</t>
  </si>
  <si>
    <t>Fulfill the Dream</t>
  </si>
  <si>
    <t>37900</t>
  </si>
  <si>
    <t>https://www.smwcentral.net/?a=details&amp;id=37900&amp;p=section</t>
  </si>
  <si>
    <t>https://dl.smwcentral.net/37900/FulfillTheDream.zip</t>
  </si>
  <si>
    <t>Full Bloom</t>
  </si>
  <si>
    <t>Chondontore</t>
  </si>
  <si>
    <t>27569</t>
  </si>
  <si>
    <t>https://www.smwcentral.net/?a=details&amp;id=27569&amp;p=section</t>
  </si>
  <si>
    <t>https://dl.smwcentral.net/27569/Full%20Bloom%201.1.zip</t>
  </si>
  <si>
    <t>Future Elliotto World</t>
  </si>
  <si>
    <t>Cliff_Spab</t>
  </si>
  <si>
    <t>38371</t>
  </si>
  <si>
    <t>https://www.smwcentral.net/?a=details&amp;id=38371&amp;p=section</t>
  </si>
  <si>
    <t>https://dl.smwcentral.net/38371/FEW%20090124.zip</t>
  </si>
  <si>
    <t>G-FazO</t>
  </si>
  <si>
    <t>27158</t>
  </si>
  <si>
    <t>https://www.smwcentral.net/?a=details&amp;id=27158&amp;p=section</t>
  </si>
  <si>
    <t>https://dl.smwcentral.net/27158/G-Fazo%202.0.zip</t>
  </si>
  <si>
    <t>GADZOOKS</t>
  </si>
  <si>
    <t>1mslakingoff</t>
  </si>
  <si>
    <t>41041</t>
  </si>
  <si>
    <t>https://www.smwcentral.net/?a=details&amp;id=41041&amp;p=section</t>
  </si>
  <si>
    <t>https://dl.smwcentral.net/41041/GADZOOKS.zip</t>
  </si>
  <si>
    <t>Gaia</t>
  </si>
  <si>
    <t>Edidoo</t>
  </si>
  <si>
    <t>24981</t>
  </si>
  <si>
    <t>https://www.smwcentral.net/?a=details&amp;id=24981&amp;p=section</t>
  </si>
  <si>
    <t>https://dl.smwcentral.net/24981/Gaia%20v1.2.zip</t>
  </si>
  <si>
    <t>Gaijin Mario</t>
  </si>
  <si>
    <t>18101</t>
  </si>
  <si>
    <t>https://www.smwcentral.net/?a=details&amp;id=18101&amp;p=section</t>
  </si>
  <si>
    <t>https://dl.smwcentral.net/18101/gaijin1.02.zip</t>
  </si>
  <si>
    <t>Gambit</t>
  </si>
  <si>
    <t>Serge</t>
  </si>
  <si>
    <t>32819</t>
  </si>
  <si>
    <t>https://www.smwcentral.net/?a=details&amp;id=32819&amp;p=section</t>
  </si>
  <si>
    <t>https://dl.smwcentral.net/32819/Gambit.zip</t>
  </si>
  <si>
    <t>Gambol</t>
  </si>
  <si>
    <t>JezJitzu</t>
  </si>
  <si>
    <t>33054</t>
  </si>
  <si>
    <t>https://www.smwcentral.net/?a=details&amp;id=33054&amp;p=section</t>
  </si>
  <si>
    <t>https://dl.smwcentral.net/33054/Gambol_v1.1_.zip</t>
  </si>
  <si>
    <t>Gambol 2</t>
  </si>
  <si>
    <t>37652</t>
  </si>
  <si>
    <t>https://www.smwcentral.net/?a=details&amp;id=37652&amp;p=section</t>
  </si>
  <si>
    <t>https://dl.smwcentral.net/37652/Gambol_2_v1.1.zip</t>
  </si>
  <si>
    <t>game.bps</t>
  </si>
  <si>
    <t>14607</t>
  </si>
  <si>
    <t>https://www.smwcentral.net/?a=details&amp;id=14607&amp;p=section</t>
  </si>
  <si>
    <t>https://dl.smwcentral.net/14607/game.zip</t>
  </si>
  <si>
    <t>Gameboy Bros. 3!</t>
  </si>
  <si>
    <t>gameboyjeremy</t>
  </si>
  <si>
    <t>13313</t>
  </si>
  <si>
    <t>https://www.smwcentral.net/?a=details&amp;id=13313&amp;p=section</t>
  </si>
  <si>
    <t>https://dl.smwcentral.net/13313/GBB3.zip</t>
  </si>
  <si>
    <t>Ganja World</t>
  </si>
  <si>
    <t>Yoshioshi59_</t>
  </si>
  <si>
    <t>34928</t>
  </si>
  <si>
    <t>https://www.smwcentral.net/?a=details&amp;id=34928&amp;p=section</t>
  </si>
  <si>
    <t>https://dl.smwcentral.net/34928/GanjaWorld.zip</t>
  </si>
  <si>
    <t>GARLIC</t>
  </si>
  <si>
    <t>23229</t>
  </si>
  <si>
    <t>https://www.smwcentral.net/?a=details&amp;id=23229&amp;p=section</t>
  </si>
  <si>
    <t>https://dl.smwcentral.net/23229/Garlic%201.1.zip</t>
  </si>
  <si>
    <t>Gas Pack</t>
  </si>
  <si>
    <t>38992</t>
  </si>
  <si>
    <t>https://www.smwcentral.net/?a=details&amp;id=38992&amp;p=section</t>
  </si>
  <si>
    <t>https://dl.smwcentral.net/38992/GasPackV1.zip</t>
  </si>
  <si>
    <t>Gauntlet</t>
  </si>
  <si>
    <t>33615</t>
  </si>
  <si>
    <t>https://www.smwcentral.net/?a=details&amp;id=33615&amp;p=section</t>
  </si>
  <si>
    <t>https://dl.smwcentral.net/33615/Gauntlet.zip</t>
  </si>
  <si>
    <t>Gauntlet 2</t>
  </si>
  <si>
    <t>33990</t>
  </si>
  <si>
    <t>https://www.smwcentral.net/?a=details&amp;id=33990&amp;p=section</t>
  </si>
  <si>
    <t>https://dl.smwcentral.net/33990/Gauntlet%202.zip</t>
  </si>
  <si>
    <t>Gemstones</t>
  </si>
  <si>
    <t>38899</t>
  </si>
  <si>
    <t>https://www.smwcentral.net/?a=details&amp;id=38899&amp;p=section</t>
  </si>
  <si>
    <t>https://dl.smwcentral.net/38899/gemstones.zip</t>
  </si>
  <si>
    <t>Get Busy Jumping Or Get Busy Dying</t>
  </si>
  <si>
    <t>FalseCircus</t>
  </si>
  <si>
    <t>30995</t>
  </si>
  <si>
    <t>https://www.smwcentral.net/?a=details&amp;id=30995&amp;p=section</t>
  </si>
  <si>
    <t>https://dl.smwcentral.net/30995/Get%20Busy%20Jumping%20Or%20Get%20Busy%20Dying.zip</t>
  </si>
  <si>
    <t>Get On Up!</t>
  </si>
  <si>
    <t>32925</t>
  </si>
  <si>
    <t>https://www.smwcentral.net/?a=details&amp;id=32925&amp;p=section</t>
  </si>
  <si>
    <t>https://dl.smwcentral.net/32925/Get%20On%20Up%21%201.3.zip</t>
  </si>
  <si>
    <t>Get Rich Quick</t>
  </si>
  <si>
    <t>Selicre</t>
  </si>
  <si>
    <t>39837</t>
  </si>
  <si>
    <t>https://www.smwcentral.net/?a=details&amp;id=39837&amp;p=section</t>
  </si>
  <si>
    <t>https://dl.smwcentral.net/39837/get-rich-quick.zip</t>
  </si>
  <si>
    <t>Giggle world</t>
  </si>
  <si>
    <t>PphoenixX</t>
  </si>
  <si>
    <t>15302</t>
  </si>
  <si>
    <t>https://www.smwcentral.net/?a=details&amp;id=15302&amp;p=section</t>
  </si>
  <si>
    <t>https://dl.smwcentral.net/15302/Giggle%20world%20%28demo%203%29.zip</t>
  </si>
  <si>
    <t>Glow</t>
  </si>
  <si>
    <t>Idunno</t>
  </si>
  <si>
    <t>40458</t>
  </si>
  <si>
    <t>https://www.smwcentral.net/?a=details&amp;id=40458&amp;p=section</t>
  </si>
  <si>
    <t>https://dl.smwcentral.net/40458/Glow.zip</t>
  </si>
  <si>
    <t>God do Shell</t>
  </si>
  <si>
    <t>25591</t>
  </si>
  <si>
    <t>https://www.smwcentral.net/?a=details&amp;id=25591&amp;p=section</t>
  </si>
  <si>
    <t>https://dl.smwcentral.net/25591/God%20do%20Shell%20v1.3.zip</t>
  </si>
  <si>
    <t>Goku86</t>
  </si>
  <si>
    <t>26791</t>
  </si>
  <si>
    <t>https://www.smwcentral.net/?a=details&amp;id=26791&amp;p=section</t>
  </si>
  <si>
    <t>https://dl.smwcentral.net/26791/Goku86.zip</t>
  </si>
  <si>
    <t>GOMBA and stuff</t>
  </si>
  <si>
    <t>39080</t>
  </si>
  <si>
    <t>https://www.smwcentral.net/?a=details&amp;id=39080&amp;p=section</t>
  </si>
  <si>
    <t>https://dl.smwcentral.net/39080/gomba.zip</t>
  </si>
  <si>
    <t>good old days</t>
  </si>
  <si>
    <t>32216</t>
  </si>
  <si>
    <t>https://www.smwcentral.net/?a=details&amp;id=32216&amp;p=section</t>
  </si>
  <si>
    <t>https://dl.smwcentral.net/32216/good%20old%20days%20v1.10.zip</t>
  </si>
  <si>
    <t>good old days 2</t>
  </si>
  <si>
    <t>33276</t>
  </si>
  <si>
    <t>https://www.smwcentral.net/?a=details&amp;id=33276&amp;p=section</t>
  </si>
  <si>
    <t>https://dl.smwcentral.net/33276/good%20old%20days%202.zip</t>
  </si>
  <si>
    <t>good old days 3</t>
  </si>
  <si>
    <t>34422</t>
  </si>
  <si>
    <t>https://www.smwcentral.net/?a=details&amp;id=34422&amp;p=section</t>
  </si>
  <si>
    <t>https://dl.smwcentral.net/34422/good%20old%20days%203%20v1.40.zip</t>
  </si>
  <si>
    <t>good old days 4</t>
  </si>
  <si>
    <t>38711</t>
  </si>
  <si>
    <t>https://www.smwcentral.net/?a=details&amp;id=38711&amp;p=section</t>
  </si>
  <si>
    <t>https://dl.smwcentral.net/38711/good%20old%20days%204.00.zip</t>
  </si>
  <si>
    <t>good old days: recycle bin</t>
  </si>
  <si>
    <t>40683</t>
  </si>
  <si>
    <t>https://www.smwcentral.net/?a=details&amp;id=40683&amp;p=section</t>
  </si>
  <si>
    <t>https://dl.smwcentral.net/40683/good%20old%20days%20-%20recycle%20bin%20v1.11.zip</t>
  </si>
  <si>
    <t>Good Question!</t>
  </si>
  <si>
    <t>6548</t>
  </si>
  <si>
    <t>https://www.smwcentral.net/?a=details&amp;id=6548&amp;p=section</t>
  </si>
  <si>
    <t>https://dl.smwcentral.net/6548/Good%20Question%21.zip</t>
  </si>
  <si>
    <t>Goombario's World</t>
  </si>
  <si>
    <t>Cellcen</t>
  </si>
  <si>
    <t>5002</t>
  </si>
  <si>
    <t>https://www.smwcentral.net/?a=details&amp;id=5002&amp;p=section</t>
  </si>
  <si>
    <t>https://dl.smwcentral.net/5002/Goombario%27s%20World.zip</t>
  </si>
  <si>
    <t>Goukie's Palace</t>
  </si>
  <si>
    <t>Wieus96</t>
  </si>
  <si>
    <t>16406</t>
  </si>
  <si>
    <t>https://www.smwcentral.net/?a=details&amp;id=16406&amp;p=section</t>
  </si>
  <si>
    <t>https://dl.smwcentral.net/16406/GP%20v1.1.zip</t>
  </si>
  <si>
    <t>Grand Poo World</t>
  </si>
  <si>
    <t>Barbarian</t>
  </si>
  <si>
    <t>17289</t>
  </si>
  <si>
    <t>https://www.smwcentral.net/?a=details&amp;id=17289&amp;p=section</t>
  </si>
  <si>
    <t>https://dl.smwcentral.net/17289/GPW1.2.zip</t>
  </si>
  <si>
    <t>Grand Poo World 2</t>
  </si>
  <si>
    <t>19541</t>
  </si>
  <si>
    <t>https://www.smwcentral.net/?a=details&amp;id=19541&amp;p=section</t>
  </si>
  <si>
    <t>https://dl.smwcentral.net/19541/Grand%20Poo%20World%202%201.1.zip</t>
  </si>
  <si>
    <t>Grand Poo World 3</t>
  </si>
  <si>
    <t>N/A</t>
  </si>
  <si>
    <t>https://www.smwcentral.net/?p=files&amp;u=32572</t>
  </si>
  <si>
    <t>https://bin.smwcentral.net/u/32572/Grand_Poo_World_3.bps</t>
  </si>
  <si>
    <t>Grand Troll World 1</t>
  </si>
  <si>
    <t>MoghedienNinek</t>
  </si>
  <si>
    <t>22880</t>
  </si>
  <si>
    <t>https://www.smwcentral.net/?a=details&amp;id=22880&amp;p=section</t>
  </si>
  <si>
    <t>https://dl.smwcentral.net/22880/Grand%20Troll%20World%201.zip</t>
  </si>
  <si>
    <t>GrandChaos' Mario World</t>
  </si>
  <si>
    <t>HarvettFox96</t>
  </si>
  <si>
    <t>5981</t>
  </si>
  <si>
    <t>https://www.smwcentral.net/?a=details&amp;id=5981&amp;p=section</t>
  </si>
  <si>
    <t>https://dl.smwcentral.net/5981/GrandChaos%27%20Mario%20World%20%28v0.25%20Alpha%20-%20Demo%202%29.zip</t>
  </si>
  <si>
    <t>Gratitude</t>
  </si>
  <si>
    <t>Fransen86</t>
  </si>
  <si>
    <t>39587</t>
  </si>
  <si>
    <t>https://www.smwcentral.net/?a=details&amp;id=39587&amp;p=section</t>
  </si>
  <si>
    <t>https://dl.smwcentral.net/39587/Gratitude%201_1.zip</t>
  </si>
  <si>
    <t>Green Cavern</t>
  </si>
  <si>
    <t>37071</t>
  </si>
  <si>
    <t>https://www.smwcentral.net/?a=details&amp;id=37071&amp;p=section</t>
  </si>
  <si>
    <t>https://dl.smwcentral.net/37071/Green%20Cavern-yoshi_1.0.zip</t>
  </si>
  <si>
    <t>Gregor's New Super Mario World</t>
  </si>
  <si>
    <t>Gregor</t>
  </si>
  <si>
    <t>10342</t>
  </si>
  <si>
    <t>https://www.smwcentral.net/?a=details&amp;id=10342&amp;p=section</t>
  </si>
  <si>
    <t>https://dl.smwcentral.net/10342/nsmw%20d2.zip</t>
  </si>
  <si>
    <t>Grenudo Planet 3</t>
  </si>
  <si>
    <t>41387</t>
  </si>
  <si>
    <t>https://www.smwcentral.net/?a=details&amp;id=41387&amp;p=section</t>
  </si>
  <si>
    <t>https://dl.smwcentral.net/41387/grenudo.zip</t>
  </si>
  <si>
    <t>Grey Eminence</t>
  </si>
  <si>
    <t>kebabchilla</t>
  </si>
  <si>
    <t>24481</t>
  </si>
  <si>
    <t>https://www.smwcentral.net/?a=details&amp;id=24481&amp;p=section</t>
  </si>
  <si>
    <t>https://dl.smwcentral.net/24481/greyeminence.zip</t>
  </si>
  <si>
    <t>Greñudo planet2 Lucas´s revenge</t>
  </si>
  <si>
    <t>magianegra21</t>
  </si>
  <si>
    <t>34307</t>
  </si>
  <si>
    <t>https://www.smwcentral.net/?a=details&amp;id=34307&amp;p=section</t>
  </si>
  <si>
    <t>https://dl.smwcentral.net/34307/grenudo%20planet%202.zip</t>
  </si>
  <si>
    <t>GREÑUDOS PLANET</t>
  </si>
  <si>
    <t>32301</t>
  </si>
  <si>
    <t>https://www.smwcentral.net/?a=details&amp;id=32301&amp;p=section</t>
  </si>
  <si>
    <t>https://dl.smwcentral.net/32301/gre%C3%B1udos%20planet.zip</t>
  </si>
  <si>
    <t>Griffy World</t>
  </si>
  <si>
    <t>Remalis</t>
  </si>
  <si>
    <t>30987</t>
  </si>
  <si>
    <t>https://www.smwcentral.net/?a=details&amp;id=30987&amp;p=section</t>
  </si>
  <si>
    <t>https://dl.smwcentral.net/30987/GriffyWorld_v1.12.zip</t>
  </si>
  <si>
    <t>Groovy</t>
  </si>
  <si>
    <t>28970</t>
  </si>
  <si>
    <t>https://www.smwcentral.net/?a=details&amp;id=28970&amp;p=section</t>
  </si>
  <si>
    <t>https://dl.smwcentral.net/28970/Groovy%20%20v1.1.zip</t>
  </si>
  <si>
    <t>Gynura</t>
  </si>
  <si>
    <t>39832</t>
  </si>
  <si>
    <t>https://www.smwcentral.net/?a=details&amp;id=39832&amp;p=section</t>
  </si>
  <si>
    <t>https://dl.smwcentral.net/39832/Gynura.zip</t>
  </si>
  <si>
    <t>H&amp;SB2 - Twilight Gem:  Hunter's Quest</t>
  </si>
  <si>
    <t>amhunter</t>
  </si>
  <si>
    <t>10226</t>
  </si>
  <si>
    <t>https://www.smwcentral.net/?a=details&amp;id=10226&amp;p=section</t>
  </si>
  <si>
    <t>https://dl.smwcentral.net/10226/Hunter%27s_Quest_Demo2.zip</t>
  </si>
  <si>
    <t>H&amp;SB2 - Twilight Gem: Scorpion's Hunt</t>
  </si>
  <si>
    <t>Skewer</t>
  </si>
  <si>
    <t>10236</t>
  </si>
  <si>
    <t>https://www.smwcentral.net/?a=details&amp;id=10236&amp;p=section</t>
  </si>
  <si>
    <t>https://dl.smwcentral.net/10236/Twilight%20Demo%202%20%283%29.zip</t>
  </si>
  <si>
    <t>Hack</t>
  </si>
  <si>
    <t>5428</t>
  </si>
  <si>
    <t>https://www.smwcentral.net/?a=details&amp;id=5428&amp;p=section</t>
  </si>
  <si>
    <t>https://dl.smwcentral.net/5428/Hack.zip</t>
  </si>
  <si>
    <t>Hack -1</t>
  </si>
  <si>
    <t>25869</t>
  </si>
  <si>
    <t>https://www.smwcentral.net/?a=details&amp;id=25869&amp;p=section</t>
  </si>
  <si>
    <t>https://dl.smwcentral.net/25869/Hack%20-1.zip</t>
  </si>
  <si>
    <t>Hack -1 2</t>
  </si>
  <si>
    <t>35730</t>
  </si>
  <si>
    <t>https://www.smwcentral.net/?a=details&amp;id=35730&amp;p=section</t>
  </si>
  <si>
    <t>https://dl.smwcentral.net/35730/HackNegative12.zip</t>
  </si>
  <si>
    <t>Hack 0</t>
  </si>
  <si>
    <t>24991</t>
  </si>
  <si>
    <t>https://www.smwcentral.net/?a=details&amp;id=24991&amp;p=section</t>
  </si>
  <si>
    <t>https://dl.smwcentral.net/24991/Hack%200.zip</t>
  </si>
  <si>
    <t>Hack 0 2</t>
  </si>
  <si>
    <t>38745</t>
  </si>
  <si>
    <t>https://www.smwcentral.net/?a=details&amp;id=38745&amp;p=section</t>
  </si>
  <si>
    <t>https://dl.smwcentral.net/38745/Hack%200%202%20v1.1.zip</t>
  </si>
  <si>
    <t>Hack 0 3</t>
  </si>
  <si>
    <t>40017</t>
  </si>
  <si>
    <t>https://www.smwcentral.net/?a=details&amp;id=40017&amp;p=section</t>
  </si>
  <si>
    <t>https://dl.smwcentral.net/40017/Hack03Releasev1.1.zip</t>
  </si>
  <si>
    <t>Hack 1 2</t>
  </si>
  <si>
    <t>25268</t>
  </si>
  <si>
    <t>https://www.smwcentral.net/?a=details&amp;id=25268&amp;p=section</t>
  </si>
  <si>
    <t>https://dl.smwcentral.net/25268/Hack%201%202.zip</t>
  </si>
  <si>
    <t>Hack 1 2 2</t>
  </si>
  <si>
    <t>25269</t>
  </si>
  <si>
    <t>https://www.smwcentral.net/?a=details&amp;id=25269&amp;p=section</t>
  </si>
  <si>
    <t>https://dl.smwcentral.net/25269/Hack%201%202%202.zip</t>
  </si>
  <si>
    <t>Hack 1 2 3</t>
  </si>
  <si>
    <t>26367</t>
  </si>
  <si>
    <t>https://www.smwcentral.net/?a=details&amp;id=26367&amp;p=section</t>
  </si>
  <si>
    <t>https://dl.smwcentral.net/26367/Hack%201%202%203.zip</t>
  </si>
  <si>
    <t>Hack 2</t>
  </si>
  <si>
    <t>5987</t>
  </si>
  <si>
    <t>https://www.smwcentral.net/?a=details&amp;id=5987&amp;p=section</t>
  </si>
  <si>
    <t>https://dl.smwcentral.net/5987/Hack%202.zip</t>
  </si>
  <si>
    <t>Hack 25</t>
  </si>
  <si>
    <t>42289</t>
  </si>
  <si>
    <t>https://www.smwcentral.net/?a=details&amp;id=42289&amp;p=section</t>
  </si>
  <si>
    <t>https://dl.smwcentral.net/42289/Hack%2025.zip</t>
  </si>
  <si>
    <t>Hack 3</t>
  </si>
  <si>
    <t>11495</t>
  </si>
  <si>
    <t>https://www.smwcentral.net/?a=details&amp;id=11495&amp;p=section</t>
  </si>
  <si>
    <t>https://dl.smwcentral.net/11495/Hack%203%20Release.zip</t>
  </si>
  <si>
    <t>Hack 4</t>
  </si>
  <si>
    <t>15993</t>
  </si>
  <si>
    <t>https://www.smwcentral.net/?a=details&amp;id=15993&amp;p=section</t>
  </si>
  <si>
    <t>https://dl.smwcentral.net/15993/Hack%204.zip</t>
  </si>
  <si>
    <t>Hack 5</t>
  </si>
  <si>
    <t>19588</t>
  </si>
  <si>
    <t>https://www.smwcentral.net/?a=details&amp;id=19588&amp;p=section</t>
  </si>
  <si>
    <t>https://dl.smwcentral.net/19588/Hack%205.zip</t>
  </si>
  <si>
    <t>Hack 6</t>
  </si>
  <si>
    <t>25350</t>
  </si>
  <si>
    <t>https://www.smwcentral.net/?a=details&amp;id=25350&amp;p=section</t>
  </si>
  <si>
    <t>https://dl.smwcentral.net/25350/Hack%206.zip</t>
  </si>
  <si>
    <t>Hack 7</t>
  </si>
  <si>
    <t>37570</t>
  </si>
  <si>
    <t>https://www.smwcentral.net/?a=details&amp;id=37570&amp;p=section</t>
  </si>
  <si>
    <t>https://dl.smwcentral.net/37570/Hack%207.zip</t>
  </si>
  <si>
    <t>Hack 8</t>
  </si>
  <si>
    <t>40619</t>
  </si>
  <si>
    <t>https://www.smwcentral.net/?a=details&amp;id=40619&amp;p=section</t>
  </si>
  <si>
    <t>https://dl.smwcentral.net/40619/Hack8Release.zip</t>
  </si>
  <si>
    <t>Hack for a dying culture</t>
  </si>
  <si>
    <t>Anonymous</t>
  </si>
  <si>
    <t>25061</t>
  </si>
  <si>
    <t>https://www.smwcentral.net/?a=details&amp;id=25061&amp;p=section</t>
  </si>
  <si>
    <t>https://dl.smwcentral.net/25061/hfadc.zip</t>
  </si>
  <si>
    <t>Hack: Greatest Hits</t>
  </si>
  <si>
    <t>39521</t>
  </si>
  <si>
    <t>https://www.smwcentral.net/?a=details&amp;id=39521&amp;p=section</t>
  </si>
  <si>
    <t>https://dl.smwcentral.net/39521/HackGreatestHitsReleasev1.2.zip</t>
  </si>
  <si>
    <t>Hack: Greatest Hits Xtreme!</t>
  </si>
  <si>
    <t>39600</t>
  </si>
  <si>
    <t>https://www.smwcentral.net/?a=details&amp;id=39600&amp;p=section</t>
  </si>
  <si>
    <t>https://dl.smwcentral.net/39600/HackGHXRelease.zip</t>
  </si>
  <si>
    <t>Hackers Dreams : Going Too Far</t>
  </si>
  <si>
    <t>anonymousbl00dlust</t>
  </si>
  <si>
    <t>15918</t>
  </si>
  <si>
    <t>https://www.smwcentral.net/?a=details&amp;id=15918&amp;p=section</t>
  </si>
  <si>
    <t>https://dl.smwcentral.net/15918/GoingTooFar.zip</t>
  </si>
  <si>
    <t>Hackers Dreams : Pipe Dream</t>
  </si>
  <si>
    <t>17741</t>
  </si>
  <si>
    <t>https://www.smwcentral.net/?a=details&amp;id=17741&amp;p=section</t>
  </si>
  <si>
    <t>https://dl.smwcentral.net/17741/Hackers%20Dreams%20Pipe%20Dream.zip</t>
  </si>
  <si>
    <t>Hage World</t>
  </si>
  <si>
    <t>39722</t>
  </si>
  <si>
    <t>https://www.smwcentral.net/?a=details&amp;id=39722&amp;p=section</t>
  </si>
  <si>
    <t>https://dl.smwcentral.net/39722/Hage%20World.zip</t>
  </si>
  <si>
    <t>Hage World 2</t>
  </si>
  <si>
    <t>41815</t>
  </si>
  <si>
    <t>https://www.smwcentral.net/?a=details&amp;id=41815&amp;p=section</t>
  </si>
  <si>
    <t>https://dl.smwcentral.net/41815/Hage%20World%202.zip</t>
  </si>
  <si>
    <t>Hakurankai Mario</t>
  </si>
  <si>
    <t>CoinBandit, Kiki-mewmew</t>
  </si>
  <si>
    <t>9859</t>
  </si>
  <si>
    <t>https://www.smwcentral.net/?a=details&amp;id=9859&amp;p=section</t>
  </si>
  <si>
    <t>https://dl.smwcentral.net/9859/HAKURANKAI%20DEMO.zip</t>
  </si>
  <si>
    <t>Hallowed Ground</t>
  </si>
  <si>
    <t>nanec</t>
  </si>
  <si>
    <t>29667</t>
  </si>
  <si>
    <t>https://www.smwcentral.net/?a=details&amp;id=29667&amp;p=section</t>
  </si>
  <si>
    <t>https://dl.smwcentral.net/29667/HGnanec.zip</t>
  </si>
  <si>
    <t>Halloween Hack</t>
  </si>
  <si>
    <t>39974</t>
  </si>
  <si>
    <t>https://www.smwcentral.net/?a=details&amp;id=39974&amp;p=section</t>
  </si>
  <si>
    <t>https://dl.smwcentral.net/39974/Halloween%20Hack.zip</t>
  </si>
  <si>
    <t>Halloween in the Mushroom Kingdom</t>
  </si>
  <si>
    <t>AuraDee</t>
  </si>
  <si>
    <t>22080</t>
  </si>
  <si>
    <t>https://www.smwcentral.net/?a=details&amp;id=22080&amp;p=section</t>
  </si>
  <si>
    <t>https://dl.smwcentral.net/22080/HITMK%20%28Music%20Fixed%29.zip</t>
  </si>
  <si>
    <t>Halloween Islands</t>
  </si>
  <si>
    <t>grisu</t>
  </si>
  <si>
    <t>28590</t>
  </si>
  <si>
    <t>https://www.smwcentral.net/?a=details&amp;id=28590&amp;p=section</t>
  </si>
  <si>
    <t>https://dl.smwcentral.net/28590/Halloween%20Islands.zip</t>
  </si>
  <si>
    <t>Halloween Kaizo World</t>
  </si>
  <si>
    <t>42450</t>
  </si>
  <si>
    <t>https://www.smwcentral.net/?a=details&amp;id=42450&amp;p=section</t>
  </si>
  <si>
    <t>https://dl.smwcentral.net/42450/Halloween%20Kaizo%20World%20v1.2.zip</t>
  </si>
  <si>
    <t>Halo 14 - Definitive Edition</t>
  </si>
  <si>
    <t>41546</t>
  </si>
  <si>
    <t>https://www.smwcentral.net/?a=details&amp;id=41546&amp;p=section</t>
  </si>
  <si>
    <t>https://dl.smwcentral.net/41546/Halo%2014%20-%20Definitive%20Edition.zip</t>
  </si>
  <si>
    <t>Halo 14 - Side A</t>
  </si>
  <si>
    <t>32170</t>
  </si>
  <si>
    <t>https://www.smwcentral.net/?a=details&amp;id=32170&amp;p=section</t>
  </si>
  <si>
    <t>https://dl.smwcentral.net/32170/Halo%2014%20Side%20A.zip</t>
  </si>
  <si>
    <t>Halo 14 - Side B</t>
  </si>
  <si>
    <t>32774</t>
  </si>
  <si>
    <t>https://www.smwcentral.net/?a=details&amp;id=32774&amp;p=section</t>
  </si>
  <si>
    <t>https://dl.smwcentral.net/32774/Halo%2014%20Side%20B.zip</t>
  </si>
  <si>
    <t>Hammer Time</t>
  </si>
  <si>
    <t>xDropTheHammer</t>
  </si>
  <si>
    <t>32937</t>
  </si>
  <si>
    <t>https://www.smwcentral.net/?a=details&amp;id=32937&amp;p=section</t>
  </si>
  <si>
    <t>https://dl.smwcentral.net/32937/HammerTime%20V1.5.zip</t>
  </si>
  <si>
    <t>Hangin With Mr. Koopa</t>
  </si>
  <si>
    <t>Miscalc</t>
  </si>
  <si>
    <t>24257</t>
  </si>
  <si>
    <t>https://www.smwcentral.net/?a=details&amp;id=24257&amp;p=section</t>
  </si>
  <si>
    <t>https://dl.smwcentral.net/24257/Hangin_With_Mr_Koopa_1.1.zip</t>
  </si>
  <si>
    <t>Hangin With Mr. Koopa 2: All Vanilla No Filla</t>
  </si>
  <si>
    <t>31460</t>
  </si>
  <si>
    <t>https://www.smwcentral.net/?a=details&amp;id=31460&amp;p=section</t>
  </si>
  <si>
    <t>https://dl.smwcentral.net/31460/hangin-with-mr-koopa-2.zip</t>
  </si>
  <si>
    <t>Hardcore Mario</t>
  </si>
  <si>
    <t>32655</t>
  </si>
  <si>
    <t>https://www.smwcentral.net/?a=details&amp;id=32655&amp;p=section</t>
  </si>
  <si>
    <t>https://dl.smwcentral.net/32655/Hardcore_Mario.zip</t>
  </si>
  <si>
    <t>Harmful</t>
  </si>
  <si>
    <t>LiamBLOL</t>
  </si>
  <si>
    <t>33450</t>
  </si>
  <si>
    <t>https://www.smwcentral.net/?a=details&amp;id=33450&amp;p=section</t>
  </si>
  <si>
    <t>https://dl.smwcentral.net/33450/Harmful.zip</t>
  </si>
  <si>
    <t>Hazuka World</t>
  </si>
  <si>
    <t>Foxy McCloud</t>
  </si>
  <si>
    <t>22581</t>
  </si>
  <si>
    <t>https://www.smwcentral.net/?a=details&amp;id=22581&amp;p=section</t>
  </si>
  <si>
    <t>https://dl.smwcentral.net/22581/HazukaWorld1.55.zip</t>
  </si>
  <si>
    <t>Heat Wave</t>
  </si>
  <si>
    <t>will___</t>
  </si>
  <si>
    <t>41380</t>
  </si>
  <si>
    <t>https://www.smwcentral.net/?a=details&amp;id=41380&amp;p=section</t>
  </si>
  <si>
    <t>https://dl.smwcentral.net/41380/HeatWave.zip</t>
  </si>
  <si>
    <t>Heavenly Host</t>
  </si>
  <si>
    <t>27872</t>
  </si>
  <si>
    <t>https://www.smwcentral.net/?a=details&amp;id=27872&amp;p=section</t>
  </si>
  <si>
    <t>https://dl.smwcentral.net/27872/Heavenly_Host_V1.1.zip</t>
  </si>
  <si>
    <t>Heavenly host 2 : Master class</t>
  </si>
  <si>
    <t>28326</t>
  </si>
  <si>
    <t>https://www.smwcentral.net/?a=details&amp;id=28326&amp;p=section</t>
  </si>
  <si>
    <t>https://dl.smwcentral.net/28326/Heavenly%20host%20II%20v1.1.zip</t>
  </si>
  <si>
    <t>Heavenly host 3 : Forever faithful</t>
  </si>
  <si>
    <t>28394</t>
  </si>
  <si>
    <t>https://www.smwcentral.net/?a=details&amp;id=28394&amp;p=section</t>
  </si>
  <si>
    <t>https://dl.smwcentral.net/28394/Heavenly%20host%203%20v1.1.zip</t>
  </si>
  <si>
    <t>Heckin' Spoop World</t>
  </si>
  <si>
    <t>Koopenstein</t>
  </si>
  <si>
    <t>40743</t>
  </si>
  <si>
    <t>https://www.smwcentral.net/?a=details&amp;id=40743&amp;p=section</t>
  </si>
  <si>
    <t>https://dl.smwcentral.net/40743/Heckin%20Spoop%20World%20v1.3.zip</t>
  </si>
  <si>
    <t>Hell Wizardry: functional overworld edition</t>
  </si>
  <si>
    <t>24549</t>
  </si>
  <si>
    <t>https://www.smwcentral.net/?a=details&amp;id=24549&amp;p=section</t>
  </si>
  <si>
    <t>https://dl.smwcentral.net/24549/HellWizardry1.4.zip</t>
  </si>
  <si>
    <t>Hertz Donut</t>
  </si>
  <si>
    <t>6069</t>
  </si>
  <si>
    <t>https://www.smwcentral.net/?a=details&amp;id=6069&amp;p=section</t>
  </si>
  <si>
    <t>https://dl.smwcentral.net/6069/Hertz%20Donut.zip</t>
  </si>
  <si>
    <t>Hi!</t>
  </si>
  <si>
    <t>3dsalmon</t>
  </si>
  <si>
    <t>40840</t>
  </si>
  <si>
    <t>https://www.smwcentral.net/?a=details&amp;id=40840&amp;p=section</t>
  </si>
  <si>
    <t>https://dl.smwcentral.net/40840/Hi%21%20v1.1.zip</t>
  </si>
  <si>
    <t>Hidden Dream in the Deep Time</t>
  </si>
  <si>
    <t>42212</t>
  </si>
  <si>
    <t>https://www.smwcentral.net/?a=details&amp;id=42212&amp;p=section</t>
  </si>
  <si>
    <t>https://dl.smwcentral.net/42212/Hidden%20Dream%20in%20the%20Deep%20Time%20%28v1.1%29.zip</t>
  </si>
  <si>
    <t>Home</t>
  </si>
  <si>
    <t>38890</t>
  </si>
  <si>
    <t>https://www.smwcentral.net/?a=details&amp;id=38890&amp;p=section</t>
  </si>
  <si>
    <t>https://dl.smwcentral.net/38890/Home%20v1.0%20Lush_50.zip</t>
  </si>
  <si>
    <t>Hope's Wind</t>
  </si>
  <si>
    <t>22131</t>
  </si>
  <si>
    <t>https://www.smwcentral.net/?a=details&amp;id=22131&amp;p=section</t>
  </si>
  <si>
    <t>https://dl.smwcentral.net/22131/Hope%27s%20Wind.zip</t>
  </si>
  <si>
    <t>Hops' Great Adventure</t>
  </si>
  <si>
    <t>30172</t>
  </si>
  <si>
    <t>https://www.smwcentral.net/?a=details&amp;id=30172&amp;p=section</t>
  </si>
  <si>
    <t>https://dl.smwcentral.net/30172/hops.r.2.0.bps.zip</t>
  </si>
  <si>
    <t>Horrifying Mario World</t>
  </si>
  <si>
    <t>9273</t>
  </si>
  <si>
    <t>https://www.smwcentral.net/?a=details&amp;id=9273&amp;p=section</t>
  </si>
  <si>
    <t>https://dl.smwcentral.net/9273/Horrifying%20Mario%20World.zip</t>
  </si>
  <si>
    <t>HotHead Heights</t>
  </si>
  <si>
    <t>BlooberryPi</t>
  </si>
  <si>
    <t>19402</t>
  </si>
  <si>
    <t>https://www.smwcentral.net/?a=details&amp;id=19402&amp;p=section</t>
  </si>
  <si>
    <t>https://dl.smwcentral.net/19402/HotHead%20Heights.zip</t>
  </si>
  <si>
    <t>Hourglass Twist</t>
  </si>
  <si>
    <t>Alex</t>
  </si>
  <si>
    <t>Kaizo, Puzzle</t>
  </si>
  <si>
    <t>28538</t>
  </si>
  <si>
    <t>https://www.smwcentral.net/?a=details&amp;id=28538&amp;p=section</t>
  </si>
  <si>
    <t>https://dl.smwcentral.net/28538/Hourglass%20Twist.zip</t>
  </si>
  <si>
    <t>House of King Boo</t>
  </si>
  <si>
    <t>Parahax</t>
  </si>
  <si>
    <t>28688</t>
  </si>
  <si>
    <t>https://www.smwcentral.net/?a=details&amp;id=28688&amp;p=section</t>
  </si>
  <si>
    <t>https://dl.smwcentral.net/28688/House%20of%20King%20Boo%201.06.zip</t>
  </si>
  <si>
    <t>How I Learned to Stop Worrying and Love the Bob-omb</t>
  </si>
  <si>
    <t>9956</t>
  </si>
  <si>
    <t>https://www.smwcentral.net/?a=details&amp;id=9956&amp;p=section</t>
  </si>
  <si>
    <t>https://dl.smwcentral.net/9956/HILTSWALTB.zip</t>
  </si>
  <si>
    <t>how long do snails sleep (vanilla)</t>
  </si>
  <si>
    <t>Somebody for sure</t>
  </si>
  <si>
    <t>37692</t>
  </si>
  <si>
    <t>https://www.smwcentral.net/?a=details&amp;id=37692&amp;p=section</t>
  </si>
  <si>
    <t>https://dl.smwcentral.net/37692/how%20long%20do%20snails%20sleep%20%28vanilla%2C%20finalhopefully%29.zip</t>
  </si>
  <si>
    <t>How NOT to Kaizo</t>
  </si>
  <si>
    <t>Skirdus</t>
  </si>
  <si>
    <t>21700</t>
  </si>
  <si>
    <t>https://www.smwcentral.net/?a=details&amp;id=21700&amp;p=section</t>
  </si>
  <si>
    <t>https://dl.smwcentral.net/21700/How%20NOT%20to%20Kaizo.zip</t>
  </si>
  <si>
    <t>Hummer Super Mario World</t>
  </si>
  <si>
    <t>King Mayro</t>
  </si>
  <si>
    <t>32158</t>
  </si>
  <si>
    <t>https://www.smwcentral.net/?a=details&amp;id=32158&amp;p=section</t>
  </si>
  <si>
    <t>https://dl.smwcentral.net/32158/HummerSMW%20VER7.8.zip</t>
  </si>
  <si>
    <t>Hunter &amp; SCORPION's Bet Saga - SCORPION's Ravage</t>
  </si>
  <si>
    <t>9965</t>
  </si>
  <si>
    <t>https://www.smwcentral.net/?a=details&amp;id=9965&amp;p=section</t>
  </si>
  <si>
    <t>https://dl.smwcentral.net/9965/H%26SB-SCORPION%27sRavage%20FULL.zip</t>
  </si>
  <si>
    <t>Hunter and Scorpion's Bet ReVised - Hunter's Path</t>
  </si>
  <si>
    <t>14166</t>
  </si>
  <si>
    <t>https://www.smwcentral.net/?a=details&amp;id=14166&amp;p=section</t>
  </si>
  <si>
    <t>https://dl.smwcentral.net/14166/HunterPath_V1_1.zip</t>
  </si>
  <si>
    <t>Hydro</t>
  </si>
  <si>
    <t>28174</t>
  </si>
  <si>
    <t>https://www.smwcentral.net/?a=details&amp;id=28174&amp;p=section</t>
  </si>
  <si>
    <t>https://dl.smwcentral.net/28174/Hydro.zip</t>
  </si>
  <si>
    <t>Hyper Hentai Hotties</t>
  </si>
  <si>
    <t>scrimpy</t>
  </si>
  <si>
    <t>9952</t>
  </si>
  <si>
    <t>https://www.smwcentral.net/?a=details&amp;id=9952&amp;p=section</t>
  </si>
  <si>
    <t>https://dl.smwcentral.net/9952/Hyper%20Hentai%20Hotties.zip</t>
  </si>
  <si>
    <t>Hyperexcitability</t>
  </si>
  <si>
    <t>9489</t>
  </si>
  <si>
    <t>https://www.smwcentral.net/?a=details&amp;id=9489&amp;p=section</t>
  </si>
  <si>
    <t>https://dl.smwcentral.net/9489/Hyperexcitability%201%20Level%20demo.zip</t>
  </si>
  <si>
    <t>HYPERION</t>
  </si>
  <si>
    <t>AmperSam</t>
  </si>
  <si>
    <t>30143</t>
  </si>
  <si>
    <t>https://www.smwcentral.net/?a=details&amp;id=30143&amp;p=section</t>
  </si>
  <si>
    <t>https://dl.smwcentral.net/30143/HYPERION_2.0.1.zip</t>
  </si>
  <si>
    <t>Hypnagogia</t>
  </si>
  <si>
    <t>39041</t>
  </si>
  <si>
    <t>https://www.smwcentral.net/?a=details&amp;id=39041&amp;p=section</t>
  </si>
  <si>
    <t>https://dl.smwcentral.net/39041/hypnagogia.zip</t>
  </si>
  <si>
    <t>HYSTERIA</t>
  </si>
  <si>
    <t>35470</t>
  </si>
  <si>
    <t>https://www.smwcentral.net/?a=details&amp;id=35470&amp;p=section</t>
  </si>
  <si>
    <t>https://dl.smwcentral.net/35470/HYSTERIA.zip</t>
  </si>
  <si>
    <t>Häschen [hɛʃn̩]</t>
  </si>
  <si>
    <t>Darkdlp02, EliteBellic, FazeMeisterMauch, Luks, Mauls, Reggiamoto, Stinky</t>
  </si>
  <si>
    <t>36778</t>
  </si>
  <si>
    <t>https://www.smwcentral.net/?a=details&amp;id=36778&amp;p=section</t>
  </si>
  <si>
    <t>https://dl.smwcentral.net/36778/haeschen1.1.zip</t>
  </si>
  <si>
    <t>I Come In Peace</t>
  </si>
  <si>
    <t>12916</t>
  </si>
  <si>
    <t>https://www.smwcentral.net/?a=details&amp;id=12916&amp;p=section</t>
  </si>
  <si>
    <t>https://dl.smwcentral.net/12916/I%20Come%20In%20Peace.zip</t>
  </si>
  <si>
    <t>I HATE YOU</t>
  </si>
  <si>
    <t>Ersanio</t>
  </si>
  <si>
    <t>13943</t>
  </si>
  <si>
    <t>https://www.smwcentral.net/?a=details&amp;id=13943&amp;p=section</t>
  </si>
  <si>
    <t>https://dl.smwcentral.net/13943/I%20HATE%20YOU.zip</t>
  </si>
  <si>
    <t>I Wanna Be The ROM Hack: Prototype</t>
  </si>
  <si>
    <t>38270</t>
  </si>
  <si>
    <t>https://www.smwcentral.net/?a=details&amp;id=38270&amp;p=section</t>
  </si>
  <si>
    <t>https://dl.smwcentral.net/38270/IWBTRH%20Prototype%20v1.01.zip</t>
  </si>
  <si>
    <t>Icarus</t>
  </si>
  <si>
    <t>CircleFriendo</t>
  </si>
  <si>
    <t>37866</t>
  </si>
  <si>
    <t>https://www.smwcentral.net/?a=details&amp;id=37866&amp;p=section</t>
  </si>
  <si>
    <t>https://dl.smwcentral.net/37866/Icarus.zip</t>
  </si>
  <si>
    <t>Ides of March</t>
  </si>
  <si>
    <t>26890</t>
  </si>
  <si>
    <t>https://www.smwcentral.net/?a=details&amp;id=26890&amp;p=section</t>
  </si>
  <si>
    <t>https://dl.smwcentral.net/26890/ides_of_march1.1.zip</t>
  </si>
  <si>
    <t>Ides of March 2: Dogs of War</t>
  </si>
  <si>
    <t>42072</t>
  </si>
  <si>
    <t>https://www.smwcentral.net/?a=details&amp;id=42072&amp;p=section</t>
  </si>
  <si>
    <t>https://dl.smwcentral.net/42072/dogs_of_war.zip</t>
  </si>
  <si>
    <t>Ieo</t>
  </si>
  <si>
    <t>Delta</t>
  </si>
  <si>
    <t>5539</t>
  </si>
  <si>
    <t>https://www.smwcentral.net/?a=details&amp;id=5539&amp;p=section</t>
  </si>
  <si>
    <t>https://dl.smwcentral.net/5539/Ieo.zip</t>
  </si>
  <si>
    <t>Iggy's Island</t>
  </si>
  <si>
    <t>surfiin' bird</t>
  </si>
  <si>
    <t>9860</t>
  </si>
  <si>
    <t>https://www.smwcentral.net/?a=details&amp;id=9860&amp;p=section</t>
  </si>
  <si>
    <t>https://dl.smwcentral.net/9860/Iggy%27s%20Island%20%28fixed%29.zip</t>
  </si>
  <si>
    <t>Il Maniero Spettrale (Halloween 2018 Version)</t>
  </si>
  <si>
    <t>Duraner Hawkeye, RednGreen, Stormkyleis</t>
  </si>
  <si>
    <t>18391</t>
  </si>
  <si>
    <t>https://www.smwcentral.net/?a=details&amp;id=18391&amp;p=section</t>
  </si>
  <si>
    <t>https://dl.smwcentral.net/18391/Il%20Maniero%20Spettrale.zip</t>
  </si>
  <si>
    <t>Illuminati</t>
  </si>
  <si>
    <t>bulti</t>
  </si>
  <si>
    <t>39650</t>
  </si>
  <si>
    <t>https://www.smwcentral.net/?a=details&amp;id=39650&amp;p=section</t>
  </si>
  <si>
    <t>https://dl.smwcentral.net/39650/Illuminati.zip</t>
  </si>
  <si>
    <t>Ilusiyellow?</t>
  </si>
  <si>
    <t>Leo137</t>
  </si>
  <si>
    <t>11386</t>
  </si>
  <si>
    <t>https://www.smwcentral.net/?a=details&amp;id=11386&amp;p=section</t>
  </si>
  <si>
    <t>https://dl.smwcentral.net/11386/ilusiyellow.zip</t>
  </si>
  <si>
    <t>Immitis</t>
  </si>
  <si>
    <t>Pikush_</t>
  </si>
  <si>
    <t>30330</t>
  </si>
  <si>
    <t>https://www.smwcentral.net/?a=details&amp;id=30330&amp;p=section</t>
  </si>
  <si>
    <t>https://dl.smwcentral.net/30330/Immitis.zip</t>
  </si>
  <si>
    <t>In A Random Adventure</t>
  </si>
  <si>
    <t>Mr. MS</t>
  </si>
  <si>
    <t>29046</t>
  </si>
  <si>
    <t>https://www.smwcentral.net/?a=details&amp;id=29046&amp;p=section</t>
  </si>
  <si>
    <t>https://dl.smwcentral.net/29046/In%20A%20Random%20Adventure.zip</t>
  </si>
  <si>
    <t>In Absentia of Knowing</t>
  </si>
  <si>
    <t>38900</t>
  </si>
  <si>
    <t>https://www.smwcentral.net/?a=details&amp;id=38900&amp;p=section</t>
  </si>
  <si>
    <t>https://dl.smwcentral.net/38900/In%20Absentia%20of%20Knowing%20%281.0%29.zip</t>
  </si>
  <si>
    <t>In Memoriam Hack Pack</t>
  </si>
  <si>
    <t>10167</t>
  </si>
  <si>
    <t>https://www.smwcentral.net/?a=details&amp;id=10167&amp;p=section</t>
  </si>
  <si>
    <t>https://dl.smwcentral.net/10167/In%20Memoriam%20Hack%20Pack.zip</t>
  </si>
  <si>
    <t>In the Pocket</t>
  </si>
  <si>
    <t>Overcrow03</t>
  </si>
  <si>
    <t>34720</t>
  </si>
  <si>
    <t>https://www.smwcentral.net/?a=details&amp;id=34720&amp;p=section</t>
  </si>
  <si>
    <t>https://dl.smwcentral.net/34720/In%20the%20Pocket%201.01.zip</t>
  </si>
  <si>
    <t>In Triplicate</t>
  </si>
  <si>
    <t>ponypowerboi</t>
  </si>
  <si>
    <t>39816</t>
  </si>
  <si>
    <t>https://www.smwcentral.net/?a=details&amp;id=39816&amp;p=section</t>
  </si>
  <si>
    <t>https://dl.smwcentral.net/39816/InTriplicate.zip</t>
  </si>
  <si>
    <t>Inane Mario World</t>
  </si>
  <si>
    <t>26202</t>
  </si>
  <si>
    <t>https://www.smwcentral.net/?a=details&amp;id=26202&amp;p=section</t>
  </si>
  <si>
    <t>https://dl.smwcentral.net/26202/inane.zip</t>
  </si>
  <si>
    <t>Inappropriate Jetski 19</t>
  </si>
  <si>
    <t>Multibella</t>
  </si>
  <si>
    <t>9759</t>
  </si>
  <si>
    <t>https://www.smwcentral.net/?a=details&amp;id=9759&amp;p=section</t>
  </si>
  <si>
    <t>https://dl.smwcentral.net/9759/Jetskifullv1.0.zip</t>
  </si>
  <si>
    <t>INCEPTION</t>
  </si>
  <si>
    <t>Dr.Moe</t>
  </si>
  <si>
    <t>29540</t>
  </si>
  <si>
    <t>https://www.smwcentral.net/?a=details&amp;id=29540&amp;p=section</t>
  </si>
  <si>
    <t>https://dl.smwcentral.net/29540/INCEPTION%20v1.2.zip</t>
  </si>
  <si>
    <t>INCEPTION II</t>
  </si>
  <si>
    <t>36666</t>
  </si>
  <si>
    <t>https://www.smwcentral.net/?a=details&amp;id=36666&amp;p=section</t>
  </si>
  <si>
    <t>https://dl.smwcentral.net/36666/INCEPTION2.zip</t>
  </si>
  <si>
    <t>Incredibous Shells</t>
  </si>
  <si>
    <t>35054</t>
  </si>
  <si>
    <t>https://www.smwcentral.net/?a=details&amp;id=35054&amp;p=section</t>
  </si>
  <si>
    <t>https://dl.smwcentral.net/35054/Incredibous%20Shells%20v1.4.zip</t>
  </si>
  <si>
    <t>Incredibous Shells 2</t>
  </si>
  <si>
    <t>40565</t>
  </si>
  <si>
    <t>https://www.smwcentral.net/?a=details&amp;id=40565&amp;p=section</t>
  </si>
  <si>
    <t>https://dl.smwcentral.net/40565/Incredibous%20Shells%202.zip</t>
  </si>
  <si>
    <t>Inert Aeronaut</t>
  </si>
  <si>
    <t>37867</t>
  </si>
  <si>
    <t>https://www.smwcentral.net/?a=details&amp;id=37867&amp;p=section</t>
  </si>
  <si>
    <t>https://dl.smwcentral.net/37867/inert%20aeronaut%20v1.1.zip</t>
  </si>
  <si>
    <t>INFERNVM</t>
  </si>
  <si>
    <t>Sariel</t>
  </si>
  <si>
    <t>35610</t>
  </si>
  <si>
    <t>https://www.smwcentral.net/?a=details&amp;id=35610&amp;p=section</t>
  </si>
  <si>
    <t>https://dl.smwcentral.net/35610/INFERNVM_v1.02.zip</t>
  </si>
  <si>
    <t>Infinity Edge</t>
  </si>
  <si>
    <t>6302</t>
  </si>
  <si>
    <t>https://www.smwcentral.net/?a=details&amp;id=6302&amp;p=section</t>
  </si>
  <si>
    <t>https://dl.smwcentral.net/6302/Infinity%20Edge%20%282nd%20Edition%29.zip</t>
  </si>
  <si>
    <t>Initiation</t>
  </si>
  <si>
    <t>Rudi_Schrausch</t>
  </si>
  <si>
    <t>30663</t>
  </si>
  <si>
    <t>https://www.smwcentral.net/?a=details&amp;id=30663&amp;p=section</t>
  </si>
  <si>
    <t>https://dl.smwcentral.net/30663/Initiation.zip</t>
  </si>
  <si>
    <t>Initiation 2 Da_Queest</t>
  </si>
  <si>
    <t>38124</t>
  </si>
  <si>
    <t>https://www.smwcentral.net/?a=details&amp;id=38124&amp;p=section</t>
  </si>
  <si>
    <t>https://dl.smwcentral.net/38124/Initiation%202.zip</t>
  </si>
  <si>
    <t>Insert Coin</t>
  </si>
  <si>
    <t>Zildjian, noon</t>
  </si>
  <si>
    <t>25878</t>
  </si>
  <si>
    <t>https://www.smwcentral.net/?a=details&amp;id=25878&amp;p=section</t>
  </si>
  <si>
    <t>https://dl.smwcentral.net/25878/Insert%20Coin.zip</t>
  </si>
  <si>
    <t>INSOMNIA</t>
  </si>
  <si>
    <t>26184</t>
  </si>
  <si>
    <t>https://www.smwcentral.net/?a=details&amp;id=26184&amp;p=section</t>
  </si>
  <si>
    <t>https://dl.smwcentral.net/26184/INSOMNIA1.1.zip</t>
  </si>
  <si>
    <t>Insouciant Mario</t>
  </si>
  <si>
    <t>31864</t>
  </si>
  <si>
    <t>https://www.smwcentral.net/?a=details&amp;id=31864&amp;p=section</t>
  </si>
  <si>
    <t>https://dl.smwcentral.net/31864/InsouciantMario1.2.zip</t>
  </si>
  <si>
    <t>Interesting Kaizo World</t>
  </si>
  <si>
    <t>Yagami</t>
  </si>
  <si>
    <t>22907</t>
  </si>
  <si>
    <t>https://www.smwcentral.net/?a=details&amp;id=22907&amp;p=section</t>
  </si>
  <si>
    <t>https://dl.smwcentral.net/22907/Interesting.zip</t>
  </si>
  <si>
    <t>Intershellar</t>
  </si>
  <si>
    <t>Dolph1n</t>
  </si>
  <si>
    <t>28130</t>
  </si>
  <si>
    <t>https://www.smwcentral.net/?a=details&amp;id=28130&amp;p=section</t>
  </si>
  <si>
    <t>https://dl.smwcentral.net/28130/Intershellar.zip</t>
  </si>
  <si>
    <t>Intrigue of Kittens</t>
  </si>
  <si>
    <t>JonnyManjiro</t>
  </si>
  <si>
    <t>26955</t>
  </si>
  <si>
    <t>https://www.smwcentral.net/?a=details&amp;id=26955&amp;p=section</t>
  </si>
  <si>
    <t>https://dl.smwcentral.net/26955/Intrigue%20of%20Kittens%201.1.zip</t>
  </si>
  <si>
    <t>Invictus</t>
  </si>
  <si>
    <t>18238</t>
  </si>
  <si>
    <t>https://www.smwcentral.net/?a=details&amp;id=18238&amp;p=section</t>
  </si>
  <si>
    <t>https://dl.smwcentral.net/18238/Invictus%201.0.zip</t>
  </si>
  <si>
    <t>Iridium</t>
  </si>
  <si>
    <t>42315</t>
  </si>
  <si>
    <t>https://www.smwcentral.net/?a=details&amp;id=42315&amp;p=section</t>
  </si>
  <si>
    <t>https://dl.smwcentral.net/42315/Iridium.zip</t>
  </si>
  <si>
    <t>It's another hack with Mario in it! Yay!</t>
  </si>
  <si>
    <t>39904</t>
  </si>
  <si>
    <t>https://www.smwcentral.net/?a=details&amp;id=39904&amp;p=section</t>
  </si>
  <si>
    <t>https://dl.smwcentral.net/39904/IahwMiiY%20Demo%20v0.2.2.zip</t>
  </si>
  <si>
    <t>Item Abuse</t>
  </si>
  <si>
    <t>PangaeaPanga</t>
  </si>
  <si>
    <t>11342</t>
  </si>
  <si>
    <t>https://www.smwcentral.net/?a=details&amp;id=11342&amp;p=section</t>
  </si>
  <si>
    <t>https://dl.smwcentral.net/11342/Item%20Abuse%20v1.7.zip</t>
  </si>
  <si>
    <t>Item Abuse 3</t>
  </si>
  <si>
    <t>10907</t>
  </si>
  <si>
    <t>https://www.smwcentral.net/?a=details&amp;id=10907&amp;p=section</t>
  </si>
  <si>
    <t>https://dl.smwcentral.net/10907/Item%20Abuse%203%20v1.0.zip</t>
  </si>
  <si>
    <t>ITS EEZ WORLD</t>
  </si>
  <si>
    <t>26898</t>
  </si>
  <si>
    <t>https://www.smwcentral.net/?a=details&amp;id=26898&amp;p=section</t>
  </si>
  <si>
    <t>https://dl.smwcentral.net/26898/its%20eez.zip</t>
  </si>
  <si>
    <t>IUDICIUM TRIBUNALIS</t>
  </si>
  <si>
    <t>15956</t>
  </si>
  <si>
    <t>https://www.smwcentral.net/?a=details&amp;id=15956&amp;p=section</t>
  </si>
  <si>
    <t>https://dl.smwcentral.net/15956/SMW%20HACK%20IUDICIUM%20TRIBUNALIS%20ver%202.25%20by%20user%3DID28020.zip</t>
  </si>
  <si>
    <t>Ja, tack!</t>
  </si>
  <si>
    <t>strong</t>
  </si>
  <si>
    <t>37641</t>
  </si>
  <si>
    <t>https://www.smwcentral.net/?a=details&amp;id=37641&amp;p=section</t>
  </si>
  <si>
    <t>https://dl.smwcentral.net/37641/ja_tack_v1.1.zip</t>
  </si>
  <si>
    <t>Jam</t>
  </si>
  <si>
    <t>PopCorn181</t>
  </si>
  <si>
    <t>42402</t>
  </si>
  <si>
    <t>https://www.smwcentral.net/?a=details&amp;id=42402&amp;p=section</t>
  </si>
  <si>
    <t>https://dl.smwcentral.net/42402/JamV120.zip</t>
  </si>
  <si>
    <t>JDCGames Collab</t>
  </si>
  <si>
    <t>JDCGames</t>
  </si>
  <si>
    <t>10285</t>
  </si>
  <si>
    <t>https://www.smwcentral.net/?a=details&amp;id=10285&amp;p=section</t>
  </si>
  <si>
    <t>https://dl.smwcentral.net/10285/JDCGames%20Collaboration.zip</t>
  </si>
  <si>
    <t>Jeitor Land: The Lost Lasagna</t>
  </si>
  <si>
    <t>Hectorpn13</t>
  </si>
  <si>
    <t>37712</t>
  </si>
  <si>
    <t>https://www.smwcentral.net/?a=details&amp;id=37712&amp;p=section</t>
  </si>
  <si>
    <t>https://dl.smwcentral.net/37712/Lost%20Lasagna%20DEMO%202.zip</t>
  </si>
  <si>
    <t>Jerry's Autowalking Adventure to Rescue His Cheese</t>
  </si>
  <si>
    <t>35558</t>
  </si>
  <si>
    <t>https://www.smwcentral.net/?a=details&amp;id=35558&amp;p=section</t>
  </si>
  <si>
    <t>https://dl.smwcentral.net/35558/Jerry%27s%20Autowalking%20Adventure%20to%20Rescue%20his%20Cheese%20%28V1.0.1%29.zip</t>
  </si>
  <si>
    <t>Jerry's Vacation</t>
  </si>
  <si>
    <t>Lunar Rico</t>
  </si>
  <si>
    <t>10006</t>
  </si>
  <si>
    <t>https://www.smwcentral.net/?a=details&amp;id=10006&amp;p=section</t>
  </si>
  <si>
    <t>https://dl.smwcentral.net/10006/Jerry%27s%20Vacation.zip</t>
  </si>
  <si>
    <t>Jigoku Mario World 2</t>
  </si>
  <si>
    <t>24222</t>
  </si>
  <si>
    <t>https://www.smwcentral.net/?a=details&amp;id=24222&amp;p=section</t>
  </si>
  <si>
    <t>https://dl.smwcentral.net/24222/Jigoku%20Mario%20World%202.zip</t>
  </si>
  <si>
    <t>Jigoku Mario World 3</t>
  </si>
  <si>
    <t>38765</t>
  </si>
  <si>
    <t>https://www.smwcentral.net/?a=details&amp;id=38765&amp;p=section</t>
  </si>
  <si>
    <t>https://dl.smwcentral.net/38765/Jigoku%20Mario%20World%203.zip</t>
  </si>
  <si>
    <t>Jigoku Mario World Remastered</t>
  </si>
  <si>
    <t>20730</t>
  </si>
  <si>
    <t>https://www.smwcentral.net/?a=details&amp;id=20730&amp;p=section</t>
  </si>
  <si>
    <t>https://dl.smwcentral.net/20730/Jigoku%20Mario%20World%20Remastered.zip</t>
  </si>
  <si>
    <t>Jigsaw's Test</t>
  </si>
  <si>
    <t>CaseP, Foursword4</t>
  </si>
  <si>
    <t>4962</t>
  </si>
  <si>
    <t>https://www.smwcentral.net/?a=details&amp;id=4962&amp;p=section</t>
  </si>
  <si>
    <t>https://dl.smwcentral.net/4962/Jigsaw%27s%20Test.zip</t>
  </si>
  <si>
    <t>Jin'Rokh's Adventure</t>
  </si>
  <si>
    <t>JinRokhZenobi</t>
  </si>
  <si>
    <t>38753</t>
  </si>
  <si>
    <t>https://www.smwcentral.net/?a=details&amp;id=38753&amp;p=section</t>
  </si>
  <si>
    <t>https://dl.smwcentral.net/38753/JinRokhsAdventure.zip</t>
  </si>
  <si>
    <t>JISH</t>
  </si>
  <si>
    <t>39726</t>
  </si>
  <si>
    <t>https://www.smwcentral.net/?a=details&amp;id=39726&amp;p=section</t>
  </si>
  <si>
    <t>https://dl.smwcentral.net/39726/JISH.zip</t>
  </si>
  <si>
    <t>Joe Biden for the PS2: Re-Elected</t>
  </si>
  <si>
    <t>SubliminalSiren</t>
  </si>
  <si>
    <t>39093</t>
  </si>
  <si>
    <t>https://www.smwcentral.net/?a=details&amp;id=39093&amp;p=section</t>
  </si>
  <si>
    <t>https://dl.smwcentral.net/39093/25690-SMW-JoeBidenPS2.zip</t>
  </si>
  <si>
    <t>Joeey's Level Collection</t>
  </si>
  <si>
    <t>Joeey</t>
  </si>
  <si>
    <t>33622</t>
  </si>
  <si>
    <t>https://www.smwcentral.net/?a=details&amp;id=33622&amp;p=section</t>
  </si>
  <si>
    <t>https://dl.smwcentral.net/33622/Joeey%27s%20Level%20Collection%20-%20Demo%204.zip</t>
  </si>
  <si>
    <t>John's Unfunny World - Phase 1</t>
  </si>
  <si>
    <t>ThePolionMaster</t>
  </si>
  <si>
    <t>34098</t>
  </si>
  <si>
    <t>https://www.smwcentral.net/?a=details&amp;id=34098&amp;p=section</t>
  </si>
  <si>
    <t>https://dl.smwcentral.net/34098/John%27s%20Unfunny%20World%20-%20Phase%201.zip</t>
  </si>
  <si>
    <t>JokerShellOk</t>
  </si>
  <si>
    <t>41192</t>
  </si>
  <si>
    <t>https://www.smwcentral.net/?a=details&amp;id=41192&amp;p=section</t>
  </si>
  <si>
    <t>https://dl.smwcentral.net/41192/JokerShellOk.zip</t>
  </si>
  <si>
    <t>Jono Hack</t>
  </si>
  <si>
    <t>JonoFeio1</t>
  </si>
  <si>
    <t>38785</t>
  </si>
  <si>
    <t>https://www.smwcentral.net/?a=details&amp;id=38785&amp;p=section</t>
  </si>
  <si>
    <t>https://dl.smwcentral.net/38785/Jono%20Hack%201.0.0.zip</t>
  </si>
  <si>
    <t>Jouhou</t>
  </si>
  <si>
    <t>30147</t>
  </si>
  <si>
    <t>https://www.smwcentral.net/?a=details&amp;id=30147&amp;p=section</t>
  </si>
  <si>
    <t>https://dl.smwcentral.net/30147/Jouhou.zip</t>
  </si>
  <si>
    <t>Journey To Peak</t>
  </si>
  <si>
    <t>Silver Wind</t>
  </si>
  <si>
    <t>38474</t>
  </si>
  <si>
    <t>https://www.smwcentral.net/?a=details&amp;id=38474&amp;p=section</t>
  </si>
  <si>
    <t>https://dl.smwcentral.net/38474/Journey%20to%20peak.zip</t>
  </si>
  <si>
    <t>JTTMK 3 - Mario and Moonlight's Quest</t>
  </si>
  <si>
    <t>Sayuri</t>
  </si>
  <si>
    <t>20758</t>
  </si>
  <si>
    <t>https://www.smwcentral.net/?a=details&amp;id=20758&amp;p=section</t>
  </si>
  <si>
    <t>https://dl.smwcentral.net/20758/JTTMK%203%20v2.0.zip</t>
  </si>
  <si>
    <t>JUMP</t>
  </si>
  <si>
    <t>JUMP Team, worldpeace</t>
  </si>
  <si>
    <t>14495</t>
  </si>
  <si>
    <t>https://www.smwcentral.net/?a=details&amp;id=14495&amp;p=section</t>
  </si>
  <si>
    <t>https://dl.smwcentral.net/14495/JUMP%20ver1.04.zip</t>
  </si>
  <si>
    <t>Jumping Over It with Super Mario</t>
  </si>
  <si>
    <t>38777</t>
  </si>
  <si>
    <t>https://www.smwcentral.net/?a=details&amp;id=38777&amp;p=section</t>
  </si>
  <si>
    <t>https://dl.smwcentral.net/38777/Jumping%20Over%20It%20With%20Super%20Mario%20v.1.0.zip</t>
  </si>
  <si>
    <t>Jumpman Returns</t>
  </si>
  <si>
    <t>13781</t>
  </si>
  <si>
    <t>https://www.smwcentral.net/?a=details&amp;id=13781&amp;p=section</t>
  </si>
  <si>
    <t>https://dl.smwcentral.net/13781/Jumpman%20Returns.zip</t>
  </si>
  <si>
    <t>Jumps Rhymes and Life</t>
  </si>
  <si>
    <t>42470</t>
  </si>
  <si>
    <t>https://www.smwcentral.net/?a=details&amp;id=42470&amp;p=section</t>
  </si>
  <si>
    <t>https://dl.smwcentral.net/42470/JumpsRhymesLife.zip</t>
  </si>
  <si>
    <t>Jumpscare</t>
  </si>
  <si>
    <t>41515</t>
  </si>
  <si>
    <t>https://www.smwcentral.net/?a=details&amp;id=41515&amp;p=section</t>
  </si>
  <si>
    <t>https://dl.smwcentral.net/41515/Jumpsc.zip</t>
  </si>
  <si>
    <t>JUMP½</t>
  </si>
  <si>
    <t>JUMP Team, Lazy, Sixcorby, lolyoshi</t>
  </si>
  <si>
    <t>19720</t>
  </si>
  <si>
    <t>https://www.smwcentral.net/?a=details&amp;id=19720&amp;p=section</t>
  </si>
  <si>
    <t>https://dl.smwcentral.net/19720/JUMPhalf_ver1.01.zip</t>
  </si>
  <si>
    <t>Just a Normal Quest</t>
  </si>
  <si>
    <t>28084</t>
  </si>
  <si>
    <t>https://www.smwcentral.net/?a=details&amp;id=28084&amp;p=section</t>
  </si>
  <si>
    <t>https://dl.smwcentral.net/28084/janq%201.6%20%28fixed%29.zip</t>
  </si>
  <si>
    <t>Just a Pure Vanilla Super Mario World Hack</t>
  </si>
  <si>
    <t>DrAnas</t>
  </si>
  <si>
    <t>15656</t>
  </si>
  <si>
    <t>https://www.smwcentral.net/?a=details&amp;id=15656&amp;p=section</t>
  </si>
  <si>
    <t>https://dl.smwcentral.net/15656/JAPSMWH.zip</t>
  </si>
  <si>
    <t>Just Another Bad Kaizo Hack</t>
  </si>
  <si>
    <t>Phobic</t>
  </si>
  <si>
    <t>27318</t>
  </si>
  <si>
    <t>https://www.smwcentral.net/?a=details&amp;id=27318&amp;p=section</t>
  </si>
  <si>
    <t>https://dl.smwcentral.net/27318/Just%20Another%20Bad%20Kaizo%20Hack.zip</t>
  </si>
  <si>
    <t>Just Another Mario Hack</t>
  </si>
  <si>
    <t>Juggling Joker</t>
  </si>
  <si>
    <t>9843</t>
  </si>
  <si>
    <t>https://www.smwcentral.net/?a=details&amp;id=9843&amp;p=section</t>
  </si>
  <si>
    <t>https://dl.smwcentral.net/9843/Just%20Another%20Mario%20Hack.zip</t>
  </si>
  <si>
    <t>Just Another Shell Hack</t>
  </si>
  <si>
    <t>31396</t>
  </si>
  <si>
    <t>https://www.smwcentral.net/?a=details&amp;id=31396&amp;p=section</t>
  </si>
  <si>
    <t>https://dl.smwcentral.net/31396/shell.zip</t>
  </si>
  <si>
    <t>Just Another SMW Hack</t>
  </si>
  <si>
    <t>TenPoundHammer</t>
  </si>
  <si>
    <t>6050</t>
  </si>
  <si>
    <t>https://www.smwcentral.net/?a=details&amp;id=6050&amp;p=section</t>
  </si>
  <si>
    <t>https://dl.smwcentral.net/6050/hack%202%20patch.zip</t>
  </si>
  <si>
    <t>Just Blob</t>
  </si>
  <si>
    <t>TheDutchLuigi</t>
  </si>
  <si>
    <t>5492</t>
  </si>
  <si>
    <t>https://www.smwcentral.net/?a=details&amp;id=5492&amp;p=section</t>
  </si>
  <si>
    <t>https://dl.smwcentral.net/5492/Just%20Blob.zip</t>
  </si>
  <si>
    <t>just like amy; exactly like amy</t>
  </si>
  <si>
    <t>41451</t>
  </si>
  <si>
    <t>https://www.smwcentral.net/?a=details&amp;id=41451&amp;p=section</t>
  </si>
  <si>
    <t>https://dl.smwcentral.net/41451/just%20like%20amy%3B%20exactly%20like%20amy%20%28v1.01%29.zip</t>
  </si>
  <si>
    <t>Just Thanks</t>
  </si>
  <si>
    <t>33880</t>
  </si>
  <si>
    <t>https://www.smwcentral.net/?a=details&amp;id=33880&amp;p=section</t>
  </si>
  <si>
    <t>https://dl.smwcentral.net/33880/SMW-JustThanks.zip</t>
  </si>
  <si>
    <t>Justice for Mario</t>
  </si>
  <si>
    <t>Centipede</t>
  </si>
  <si>
    <t>26449</t>
  </si>
  <si>
    <t>https://www.smwcentral.net/?a=details&amp;id=26449&amp;p=section</t>
  </si>
  <si>
    <t>https://dl.smwcentral.net/26449/Justice%20for%20Mario.zip</t>
  </si>
  <si>
    <t>K-16 - Story of Steel</t>
  </si>
  <si>
    <t>Eevee</t>
  </si>
  <si>
    <t>10495</t>
  </si>
  <si>
    <t>https://www.smwcentral.net/?a=details&amp;id=10495&amp;p=section</t>
  </si>
  <si>
    <t>https://dl.smwcentral.net/10495/v1.3.zip</t>
  </si>
  <si>
    <t>Kaeru's Unnamed Hack</t>
  </si>
  <si>
    <t>Kaeru</t>
  </si>
  <si>
    <t>9739</t>
  </si>
  <si>
    <t>https://www.smwcentral.net/?a=details&amp;id=9739&amp;p=section</t>
  </si>
  <si>
    <t>https://dl.smwcentral.net/9739/Unnamed.zip</t>
  </si>
  <si>
    <t>Kaiden, where's your head at??</t>
  </si>
  <si>
    <t>Donut</t>
  </si>
  <si>
    <t>28910</t>
  </si>
  <si>
    <t>https://www.smwcentral.net/?a=details&amp;id=28910&amp;p=section</t>
  </si>
  <si>
    <t>https://dl.smwcentral.net/28910/kaiden.zip</t>
  </si>
  <si>
    <t>Kaiketsoy Mario</t>
  </si>
  <si>
    <t>Bammcreeper</t>
  </si>
  <si>
    <t>6283</t>
  </si>
  <si>
    <t>https://www.smwcentral.net/?a=details&amp;id=6283&amp;p=section</t>
  </si>
  <si>
    <t>https://dl.smwcentral.net/6283/kaiketsoy.zip</t>
  </si>
  <si>
    <t>Kain's Quest</t>
  </si>
  <si>
    <t>Atma</t>
  </si>
  <si>
    <t>9899</t>
  </si>
  <si>
    <t>https://www.smwcentral.net/?a=details&amp;id=9899&amp;p=section</t>
  </si>
  <si>
    <t>https://dl.smwcentral.net/9899/Kain%27s%20Quest1.1.zip</t>
  </si>
  <si>
    <t>Kaitenzushi</t>
  </si>
  <si>
    <t>JeepySol</t>
  </si>
  <si>
    <t>39746</t>
  </si>
  <si>
    <t>https://www.smwcentral.net/?a=details&amp;id=39746&amp;p=section</t>
  </si>
  <si>
    <t>https://dl.smwcentral.net/39746/Kaitenzushi%20v1_1.zip</t>
  </si>
  <si>
    <t>38232</t>
  </si>
  <si>
    <t>https://www.smwcentral.net/?a=details&amp;id=38232&amp;p=section</t>
  </si>
  <si>
    <t>https://dl.smwcentral.net/38232/Kaizo.zip</t>
  </si>
  <si>
    <t>Kaizo 2: The Kaizening</t>
  </si>
  <si>
    <t>38419</t>
  </si>
  <si>
    <t>https://www.smwcentral.net/?a=details&amp;id=38419&amp;p=section</t>
  </si>
  <si>
    <t>https://dl.smwcentral.net/38419/Kaizo%202%20The%20Kaizening.zip</t>
  </si>
  <si>
    <t>Kaizo 3 Styled Hack</t>
  </si>
  <si>
    <t>Picayune</t>
  </si>
  <si>
    <t>28577</t>
  </si>
  <si>
    <t>https://www.smwcentral.net/?a=details&amp;id=28577&amp;p=section</t>
  </si>
  <si>
    <t>https://dl.smwcentral.net/28577/K3SH.zip</t>
  </si>
  <si>
    <t>kaizo beats to run quick to - vol. 3</t>
  </si>
  <si>
    <t>Alex, Blaagon, Fyre150, Hiro-sofT, HmWhyNot, LightAligns, Saela, Spirits, YMM, dansalvato, dtothefourth, margot, shaoshao, snoruntpyro</t>
  </si>
  <si>
    <t>38472</t>
  </si>
  <si>
    <t>https://www.smwcentral.net/?a=details&amp;id=38472&amp;p=section</t>
  </si>
  <si>
    <t>https://dl.smwcentral.net/38472/Kaizo%20Beats%20vol%203.zip</t>
  </si>
  <si>
    <t>Kaizo Breeze</t>
  </si>
  <si>
    <t>BielDusty, naBerada</t>
  </si>
  <si>
    <t>42670</t>
  </si>
  <si>
    <t>https://www.smwcentral.net/?a=details&amp;id=42670&amp;p=section</t>
  </si>
  <si>
    <t>https://dl.smwcentral.net/42670/KaizoBreezev1.1.zip</t>
  </si>
  <si>
    <t>Kaizo Consistency</t>
  </si>
  <si>
    <t>35TCB77</t>
  </si>
  <si>
    <t>39791</t>
  </si>
  <si>
    <t>https://www.smwcentral.net/?a=details&amp;id=39791&amp;p=section</t>
  </si>
  <si>
    <t>https://dl.smwcentral.net/39791/KCDV.zip</t>
  </si>
  <si>
    <t>Kaizo Crisis</t>
  </si>
  <si>
    <t>31756</t>
  </si>
  <si>
    <t>https://www.smwcentral.net/?a=details&amp;id=31756&amp;p=section</t>
  </si>
  <si>
    <t>https://dl.smwcentral.net/31756/KaizoCrisis.zip</t>
  </si>
  <si>
    <t>Kaizo Crisis 2</t>
  </si>
  <si>
    <t>38727</t>
  </si>
  <si>
    <t>https://www.smwcentral.net/?a=details&amp;id=38727&amp;p=section</t>
  </si>
  <si>
    <t>https://dl.smwcentral.net/38727/Kaizo%20Crisis%202.zip</t>
  </si>
  <si>
    <t>Kaizo Dreamland</t>
  </si>
  <si>
    <t>RecToR_24</t>
  </si>
  <si>
    <t>26043</t>
  </si>
  <si>
    <t>https://www.smwcentral.net/?a=details&amp;id=26043&amp;p=section</t>
  </si>
  <si>
    <t>https://dl.smwcentral.net/26043/KaizoDreamland.zip</t>
  </si>
  <si>
    <t>Kaizo Island</t>
  </si>
  <si>
    <t>BrickSMW</t>
  </si>
  <si>
    <t>21425</t>
  </si>
  <si>
    <t>https://www.smwcentral.net/?a=details&amp;id=21425&amp;p=section</t>
  </si>
  <si>
    <t>https://dl.smwcentral.net/21425/Kaizo%20Island.zip</t>
  </si>
  <si>
    <t>Kaizo Kidz</t>
  </si>
  <si>
    <t>wulv257</t>
  </si>
  <si>
    <t>30642</t>
  </si>
  <si>
    <t>https://www.smwcentral.net/?a=details&amp;id=30642&amp;p=section</t>
  </si>
  <si>
    <t>https://dl.smwcentral.net/30642/Kaizo%20Kidz%20V1.2.zip</t>
  </si>
  <si>
    <t>Kaizo Kong Country</t>
  </si>
  <si>
    <t>oneframejames</t>
  </si>
  <si>
    <t>24760</t>
  </si>
  <si>
    <t>https://www.smwcentral.net/?a=details&amp;id=24760&amp;p=section</t>
  </si>
  <si>
    <t>https://dl.smwcentral.net/24760/Kaizo%20Kong%20Country%20v1.0.bps.zip</t>
  </si>
  <si>
    <t>Kaizo Marathon</t>
  </si>
  <si>
    <t>33210</t>
  </si>
  <si>
    <t>https://www.smwcentral.net/?a=details&amp;id=33210&amp;p=section</t>
  </si>
  <si>
    <t>https://dl.smwcentral.net/33210/KaizoMarathon1_1.zip</t>
  </si>
  <si>
    <t>Kaizo Mario World</t>
  </si>
  <si>
    <t>T. Takemoto</t>
  </si>
  <si>
    <t>16059</t>
  </si>
  <si>
    <t>https://www.smwcentral.net/?a=details&amp;id=16059&amp;p=section</t>
  </si>
  <si>
    <t>https://dl.smwcentral.net/16059/Kaizo%20Mario%20World.zip</t>
  </si>
  <si>
    <t>Kaizo Mario World 2</t>
  </si>
  <si>
    <t>16058</t>
  </si>
  <si>
    <t>https://www.smwcentral.net/?a=details&amp;id=16058&amp;p=section</t>
  </si>
  <si>
    <t>https://dl.smwcentral.net/16058/Kaizo%20Mario%20World%202.zip</t>
  </si>
  <si>
    <t>Kaizo Mario World 3</t>
  </si>
  <si>
    <t>16060</t>
  </si>
  <si>
    <t>https://www.smwcentral.net/?a=details&amp;id=16060&amp;p=section</t>
  </si>
  <si>
    <t>https://dl.smwcentral.net/16060/Kaizo%20Mario%20World%203.zip</t>
  </si>
  <si>
    <t>Kaizo no Notam</t>
  </si>
  <si>
    <t>41561</t>
  </si>
  <si>
    <t>https://www.smwcentral.net/?a=details&amp;id=41561&amp;p=section</t>
  </si>
  <si>
    <t>https://dl.smwcentral.net/41561/Notam.zip</t>
  </si>
  <si>
    <t>Kaizo no Yume</t>
  </si>
  <si>
    <t>duders</t>
  </si>
  <si>
    <t>19584</t>
  </si>
  <si>
    <t>https://www.smwcentral.net/?a=details&amp;id=19584&amp;p=section</t>
  </si>
  <si>
    <t>https://dl.smwcentral.net/19584/Kaizo%20no%20Yume%20v1.05.zip</t>
  </si>
  <si>
    <t>Kamek and the Shroobs</t>
  </si>
  <si>
    <t>1339</t>
  </si>
  <si>
    <t>9918</t>
  </si>
  <si>
    <t>https://www.smwcentral.net/?a=details&amp;id=9918&amp;p=section</t>
  </si>
  <si>
    <t>https://dl.smwcentral.net/9918/kamek.zip</t>
  </si>
  <si>
    <t>Kamek's Island</t>
  </si>
  <si>
    <t>12161</t>
  </si>
  <si>
    <t>https://www.smwcentral.net/?a=details&amp;id=12161&amp;p=section</t>
  </si>
  <si>
    <t>https://dl.smwcentral.net/12161/Kamek%27s%20Island%201.7.zip</t>
  </si>
  <si>
    <t>Kamek's Revenge</t>
  </si>
  <si>
    <t>PorygonPOW</t>
  </si>
  <si>
    <t>12812</t>
  </si>
  <si>
    <t>https://www.smwcentral.net/?a=details&amp;id=12812&amp;p=section</t>
  </si>
  <si>
    <t>https://dl.smwcentral.net/12812/Kamek%27s%20Revenge.zip</t>
  </si>
  <si>
    <t>Kamikaze</t>
  </si>
  <si>
    <t>obiet</t>
  </si>
  <si>
    <t>35278</t>
  </si>
  <si>
    <t>https://www.smwcentral.net/?a=details&amp;id=35278&amp;p=section</t>
  </si>
  <si>
    <t>https://dl.smwcentral.net/35278/kamikaze.zip</t>
  </si>
  <si>
    <t>Kaos Islands</t>
  </si>
  <si>
    <t>xIque</t>
  </si>
  <si>
    <t>4959</t>
  </si>
  <si>
    <t>https://www.smwcentral.net/?a=details&amp;id=4959&amp;p=section</t>
  </si>
  <si>
    <t>https://dl.smwcentral.net/4959/Kaos%20Islands.zip</t>
  </si>
  <si>
    <t>Karma</t>
  </si>
  <si>
    <t>42143</t>
  </si>
  <si>
    <t>https://www.smwcentral.net/?a=details&amp;id=42143&amp;p=section</t>
  </si>
  <si>
    <t>https://dl.smwcentral.net/42143/Karma.zip</t>
  </si>
  <si>
    <t>Karoshi Mario</t>
  </si>
  <si>
    <t>9980</t>
  </si>
  <si>
    <t>https://www.smwcentral.net/?a=details&amp;id=9980&amp;p=section</t>
  </si>
  <si>
    <t>https://dl.smwcentral.net/9980/KaroshiMario.zip</t>
  </si>
  <si>
    <t>KawaMarioWorld</t>
  </si>
  <si>
    <t>ram.heroe</t>
  </si>
  <si>
    <t>23041</t>
  </si>
  <si>
    <t>https://www.smwcentral.net/?a=details&amp;id=23041&amp;p=section</t>
  </si>
  <si>
    <t>https://dl.smwcentral.net/23041/KawaMarioWorld.zip</t>
  </si>
  <si>
    <t>Kazue World</t>
  </si>
  <si>
    <t>32837</t>
  </si>
  <si>
    <t>https://www.smwcentral.net/?a=details&amp;id=32837&amp;p=section</t>
  </si>
  <si>
    <t>https://dl.smwcentral.net/32837/Kazue%20World.zip</t>
  </si>
  <si>
    <t>Kazue World 2</t>
  </si>
  <si>
    <t>Eryck, RicardoDeMelo</t>
  </si>
  <si>
    <t>36844</t>
  </si>
  <si>
    <t>https://www.smwcentral.net/?a=details&amp;id=36844&amp;p=section</t>
  </si>
  <si>
    <t>https://dl.smwcentral.net/36844/Kazue%20World%202.zip</t>
  </si>
  <si>
    <t>Kekcroc DASH!</t>
  </si>
  <si>
    <t>21546</t>
  </si>
  <si>
    <t>https://www.smwcentral.net/?a=details&amp;id=21546&amp;p=section</t>
  </si>
  <si>
    <t>https://dl.smwcentral.net/21546/patch.zip</t>
  </si>
  <si>
    <t>Keratin Valley</t>
  </si>
  <si>
    <t>revolug</t>
  </si>
  <si>
    <t>38338</t>
  </si>
  <si>
    <t>https://www.smwcentral.net/?a=details&amp;id=38338&amp;p=section</t>
  </si>
  <si>
    <t>https://dl.smwcentral.net/38338/Keratin%20Valley%201.3.zip</t>
  </si>
  <si>
    <t>Ketchup Adventure</t>
  </si>
  <si>
    <t>mockingod</t>
  </si>
  <si>
    <t>10113</t>
  </si>
  <si>
    <t>https://www.smwcentral.net/?a=details&amp;id=10113&amp;p=section</t>
  </si>
  <si>
    <t>https://dl.smwcentral.net/10113/KetchupAdventure.zip</t>
  </si>
  <si>
    <t>Kibeth Takes a Walk</t>
  </si>
  <si>
    <t>bsolt</t>
  </si>
  <si>
    <t>25929</t>
  </si>
  <si>
    <t>https://www.smwcentral.net/?a=details&amp;id=25929&amp;p=section</t>
  </si>
  <si>
    <t>https://dl.smwcentral.net/25929/KTaW.zip</t>
  </si>
  <si>
    <t>Kid Adventure</t>
  </si>
  <si>
    <t>9755</t>
  </si>
  <si>
    <t>https://www.smwcentral.net/?a=details&amp;id=9755&amp;p=section</t>
  </si>
  <si>
    <t>https://dl.smwcentral.net/9755/Kid%20Adventure%20%28English%20version%29.zip</t>
  </si>
  <si>
    <t>Kid Adventure 2: Biza Strikes Back</t>
  </si>
  <si>
    <t>5184</t>
  </si>
  <si>
    <t>https://www.smwcentral.net/?a=details&amp;id=5184&amp;p=section</t>
  </si>
  <si>
    <t>https://dl.smwcentral.net/5184/Kid%20Adventure%202%20%28English%29.zip</t>
  </si>
  <si>
    <t>Kid Adventure 3: The Will of Sakito</t>
  </si>
  <si>
    <t>9862</t>
  </si>
  <si>
    <t>https://www.smwcentral.net/?a=details&amp;id=9862&amp;p=section</t>
  </si>
  <si>
    <t>https://dl.smwcentral.net/9862/Kid%20Adventure%203%20%28English%20version%29.zip</t>
  </si>
  <si>
    <t>Kid Adventure 4: Kid Xtreme</t>
  </si>
  <si>
    <t>10114</t>
  </si>
  <si>
    <t>https://www.smwcentral.net/?a=details&amp;id=10114&amp;p=section</t>
  </si>
  <si>
    <t>https://dl.smwcentral.net/10114/Kax.zip</t>
  </si>
  <si>
    <t>Kid Adventure 5: Amazing Kid</t>
  </si>
  <si>
    <t>5604</t>
  </si>
  <si>
    <t>https://www.smwcentral.net/?a=details&amp;id=5604&amp;p=section</t>
  </si>
  <si>
    <t>https://dl.smwcentral.net/5604/Amazing%20Kid%20demo1.zip</t>
  </si>
  <si>
    <t>Kill Luigi</t>
  </si>
  <si>
    <t>Overcomon7</t>
  </si>
  <si>
    <t>26517</t>
  </si>
  <si>
    <t>https://www.smwcentral.net/?a=details&amp;id=26517&amp;p=section</t>
  </si>
  <si>
    <t>https://dl.smwcentral.net/26517/KillLuigi1.0.zip</t>
  </si>
  <si>
    <t>Kings Of Kuso</t>
  </si>
  <si>
    <t>33016</t>
  </si>
  <si>
    <t>https://www.smwcentral.net/?a=details&amp;id=33016&amp;p=section</t>
  </si>
  <si>
    <t>https://dl.smwcentral.net/33016/KOK.zip</t>
  </si>
  <si>
    <t>Kink's Awakening</t>
  </si>
  <si>
    <t>41681</t>
  </si>
  <si>
    <t>27275</t>
  </si>
  <si>
    <t>https://www.smwcentral.net/?a=details&amp;id=27275&amp;p=section</t>
  </si>
  <si>
    <t>https://dl.smwcentral.net/27275/KinksAwakening.zip</t>
  </si>
  <si>
    <t>Knuckles Saves Christmas</t>
  </si>
  <si>
    <t>39426</t>
  </si>
  <si>
    <t>https://www.smwcentral.net/?a=details&amp;id=39426&amp;p=section</t>
  </si>
  <si>
    <t>https://dl.smwcentral.net/39426/Knuckles%20V2.zip</t>
  </si>
  <si>
    <t>Kogarashi Mario World</t>
  </si>
  <si>
    <t>HLXY</t>
  </si>
  <si>
    <t>18523</t>
  </si>
  <si>
    <t>https://www.smwcentral.net/?a=details&amp;id=18523&amp;p=section</t>
  </si>
  <si>
    <t>https://dl.smwcentral.net/18523/Kogarashi%20Mario%20World.zip</t>
  </si>
  <si>
    <t>Konk World</t>
  </si>
  <si>
    <t>23425</t>
  </si>
  <si>
    <t>https://www.smwcentral.net/?a=details&amp;id=23425&amp;p=section</t>
  </si>
  <si>
    <t>https://dl.smwcentral.net/23425/KonkWorld.zip</t>
  </si>
  <si>
    <t>Koopa Castle: The Escape</t>
  </si>
  <si>
    <t>Cobaltergeist</t>
  </si>
  <si>
    <t>9903</t>
  </si>
  <si>
    <t>https://www.smwcentral.net/?a=details&amp;id=9903&amp;p=section</t>
  </si>
  <si>
    <t>https://dl.smwcentral.net/9903/Koopa%20Castle%20Demo%201.zip</t>
  </si>
  <si>
    <t>Koopa Hopper's Delight</t>
  </si>
  <si>
    <t>gabesoranges</t>
  </si>
  <si>
    <t>40054</t>
  </si>
  <si>
    <t>https://www.smwcentral.net/?a=details&amp;id=40054&amp;p=section</t>
  </si>
  <si>
    <t>https://dl.smwcentral.net/40054/Koopa%20Hoppers%20Delight%201.1.zip</t>
  </si>
  <si>
    <t>Korosu Mario World</t>
  </si>
  <si>
    <t>ChrisG___</t>
  </si>
  <si>
    <t>15195</t>
  </si>
  <si>
    <t>https://www.smwcentral.net/?a=details&amp;id=15195&amp;p=section</t>
  </si>
  <si>
    <t>https://dl.smwcentral.net/15195/Korosu%20Mario%20World%201.4.zip</t>
  </si>
  <si>
    <t>Korosu Mario World 2</t>
  </si>
  <si>
    <t>18203</t>
  </si>
  <si>
    <t>https://www.smwcentral.net/?a=details&amp;id=18203&amp;p=section</t>
  </si>
  <si>
    <t>https://dl.smwcentral.net/18203/Korosu%20Mario%20World%202.41.zip</t>
  </si>
  <si>
    <t>KR World</t>
  </si>
  <si>
    <t>Kaique Jesus, RenanSV</t>
  </si>
  <si>
    <t>33726</t>
  </si>
  <si>
    <t>https://www.smwcentral.net/?a=details&amp;id=33726&amp;p=section</t>
  </si>
  <si>
    <t>https://dl.smwcentral.net/33726/KR%20World.zip</t>
  </si>
  <si>
    <t>Krabs Test</t>
  </si>
  <si>
    <t>21542</t>
  </si>
  <si>
    <t>https://www.smwcentral.net/?a=details&amp;id=21542&amp;p=section</t>
  </si>
  <si>
    <t>https://dl.smwcentral.net/21542/SPONGEBOB%20ME%20BOY.zip</t>
  </si>
  <si>
    <t>Krack The Hack</t>
  </si>
  <si>
    <t>20900</t>
  </si>
  <si>
    <t>https://www.smwcentral.net/?a=details&amp;id=20900&amp;p=section</t>
  </si>
  <si>
    <t>https://dl.smwcentral.net/20900/Krack%20The%20Hack.zip</t>
  </si>
  <si>
    <t>Krack's Kafe: Because They Kicked Me Out!</t>
  </si>
  <si>
    <t>ChaseNScooter, Daizo Dee Von, EvilGuy0613, Jamie, amhunter</t>
  </si>
  <si>
    <t>31405</t>
  </si>
  <si>
    <t>https://www.smwcentral.net/?a=details&amp;id=31405&amp;p=section</t>
  </si>
  <si>
    <t>https://dl.smwcentral.net/31405/Krack%27s%20Kafe%20-%20Because%20They%20Kicked%20Me%20Out%21%20v1.0.2d.zip</t>
  </si>
  <si>
    <t>Krefeld Kaizo Relay Race 2025</t>
  </si>
  <si>
    <t>JinRokhZenobi, Justepic, Saphros, Spedinja, neidoodle</t>
  </si>
  <si>
    <t>39813</t>
  </si>
  <si>
    <t>https://www.smwcentral.net/?a=details&amp;id=39813&amp;p=section</t>
  </si>
  <si>
    <t>https://dl.smwcentral.net/39813/KrefeldKaizoRelayRace2025.zip</t>
  </si>
  <si>
    <t>Kris' Adventure</t>
  </si>
  <si>
    <t>Martin9172</t>
  </si>
  <si>
    <t>10066</t>
  </si>
  <si>
    <t>https://www.smwcentral.net/?a=details&amp;id=10066&amp;p=section</t>
  </si>
  <si>
    <t>https://dl.smwcentral.net/10066/Kris%27%20Adventure.zip</t>
  </si>
  <si>
    <t>Kruela Mario</t>
  </si>
  <si>
    <t>15921</t>
  </si>
  <si>
    <t>https://www.smwcentral.net/?a=details&amp;id=15921&amp;p=section</t>
  </si>
  <si>
    <t>https://dl.smwcentral.net/15921/Kruela%20Mario.zip</t>
  </si>
  <si>
    <t>Kruela Mario 2</t>
  </si>
  <si>
    <t>24477</t>
  </si>
  <si>
    <t>https://www.smwcentral.net/?a=details&amp;id=24477&amp;p=section</t>
  </si>
  <si>
    <t>https://dl.smwcentral.net/24477/Kruela%20Mario%202%20v1.2.zip</t>
  </si>
  <si>
    <t>Kumikyoku</t>
  </si>
  <si>
    <t>Nico Nico Douga, Shimo</t>
  </si>
  <si>
    <t>6757</t>
  </si>
  <si>
    <t>https://www.smwcentral.net/?a=details&amp;id=6757&amp;p=section</t>
  </si>
  <si>
    <t>https://dl.smwcentral.net/6757/kumikyoku.zip</t>
  </si>
  <si>
    <t>Kuribo_Shoe the Adventure</t>
  </si>
  <si>
    <t>9969</t>
  </si>
  <si>
    <t>https://www.smwcentral.net/?a=details&amp;id=9969&amp;p=section</t>
  </si>
  <si>
    <t>https://dl.smwcentral.net/9969/K_STA.zip</t>
  </si>
  <si>
    <t>Kurisu Mario World</t>
  </si>
  <si>
    <t>Freakin_HA, HmWhyNot, NeXuS15, ThirdWall, juzcook, microwave_brothr, white_moth</t>
  </si>
  <si>
    <t>24719</t>
  </si>
  <si>
    <t>https://www.smwcentral.net/?a=details&amp;id=24719&amp;p=section</t>
  </si>
  <si>
    <t>https://dl.smwcentral.net/24719/KurisuMarioWorld.zip</t>
  </si>
  <si>
    <t>Kuso Ecstasy</t>
  </si>
  <si>
    <t>26237</t>
  </si>
  <si>
    <t>https://www.smwcentral.net/?a=details&amp;id=26237&amp;p=section</t>
  </si>
  <si>
    <t>https://dl.smwcentral.net/26237/KusoEcstasy1_1.zip</t>
  </si>
  <si>
    <t>Kuuwote's Level Pack #1</t>
  </si>
  <si>
    <t>Kuuwote</t>
  </si>
  <si>
    <t>34900</t>
  </si>
  <si>
    <t>https://www.smwcentral.net/?a=details&amp;id=34900&amp;p=section</t>
  </si>
  <si>
    <t>https://dl.smwcentral.net/34900/Kuuwote%27s%20Level%20Pack%20%231.zip</t>
  </si>
  <si>
    <t>Kuuwote's Level Pack #2</t>
  </si>
  <si>
    <t>35061</t>
  </si>
  <si>
    <t>https://www.smwcentral.net/?a=details&amp;id=35061&amp;p=section</t>
  </si>
  <si>
    <t>https://dl.smwcentral.net/35061/Kuuwote%27s%20Level%20Pack%20%232%20%28fixed%29.zip</t>
  </si>
  <si>
    <t>Kuzo Heaven</t>
  </si>
  <si>
    <t>jirok1</t>
  </si>
  <si>
    <t>39988</t>
  </si>
  <si>
    <t>https://www.smwcentral.net/?a=details&amp;id=39988&amp;p=section</t>
  </si>
  <si>
    <t>https://dl.smwcentral.net/39988/KuzoHeaven1_3.zip</t>
  </si>
  <si>
    <t>L I M B O</t>
  </si>
  <si>
    <t>GRIMMKIN</t>
  </si>
  <si>
    <t>37671</t>
  </si>
  <si>
    <t>https://www.smwcentral.net/?a=details&amp;id=37671&amp;p=section</t>
  </si>
  <si>
    <t>https://dl.smwcentral.net/37671/LIMBO%20v3.25.zip</t>
  </si>
  <si>
    <t>L4good Island</t>
  </si>
  <si>
    <t>L4good</t>
  </si>
  <si>
    <t>15476</t>
  </si>
  <si>
    <t>https://www.smwcentral.net/?a=details&amp;id=15476&amp;p=section</t>
  </si>
  <si>
    <t>https://dl.smwcentral.net/15476/L4good%20island.zip</t>
  </si>
  <si>
    <t>La Connaisseuse de Kaizo</t>
  </si>
  <si>
    <t>42458</t>
  </si>
  <si>
    <t>https://www.smwcentral.net/?a=details&amp;id=42458&amp;p=section</t>
  </si>
  <si>
    <t>https://dl.smwcentral.net/42458/La%20Connaisseuse%20de%20Kaizo.zip</t>
  </si>
  <si>
    <t>La Mansion De Benja</t>
  </si>
  <si>
    <t>Fyre150, Kaizo Literature Club</t>
  </si>
  <si>
    <t>34374</t>
  </si>
  <si>
    <t>https://www.smwcentral.net/?a=details&amp;id=34374&amp;p=section</t>
  </si>
  <si>
    <t>https://dl.smwcentral.net/34374/LaMansionDeBenja.zip</t>
  </si>
  <si>
    <t>Labyrinth Of Shadows</t>
  </si>
  <si>
    <t>Pizzagamer9791</t>
  </si>
  <si>
    <t>38747</t>
  </si>
  <si>
    <t>https://www.smwcentral.net/?a=details&amp;id=38747&amp;p=section</t>
  </si>
  <si>
    <t>https://dl.smwcentral.net/38747/Labyrinth%20of%20shadows.zip</t>
  </si>
  <si>
    <t>Lack Of Control</t>
  </si>
  <si>
    <t>37629</t>
  </si>
  <si>
    <t>https://www.smwcentral.net/?a=details&amp;id=37629&amp;p=section</t>
  </si>
  <si>
    <t>https://dl.smwcentral.net/37629/LackOfControl.zip</t>
  </si>
  <si>
    <t>Lakitu's Great Adventure</t>
  </si>
  <si>
    <t>Gamet2004</t>
  </si>
  <si>
    <t>39020</t>
  </si>
  <si>
    <t>https://www.smwcentral.net/?a=details&amp;id=39020&amp;p=section</t>
  </si>
  <si>
    <t>https://dl.smwcentral.net/39020/LakituIHopeThisIsTheFinalUpdate.zip</t>
  </si>
  <si>
    <t>Lakitu's Great Adventure 2</t>
  </si>
  <si>
    <t>32220</t>
  </si>
  <si>
    <t>https://www.smwcentral.net/?a=details&amp;id=32220&amp;p=section</t>
  </si>
  <si>
    <t>https://dl.smwcentral.net/32220/LAKITU2bps.zip</t>
  </si>
  <si>
    <t>Law &amp; Order: Mushroom Kingdom Unit - Pilot Episode - Tragic Fox "Tails" (Director's Cut)</t>
  </si>
  <si>
    <t>ChaseNScooter, Daizo Dee Von, EvilGuy0613, Jamie</t>
  </si>
  <si>
    <t>38323</t>
  </si>
  <si>
    <t>https://www.smwcentral.net/?a=details&amp;id=38323&amp;p=section</t>
  </si>
  <si>
    <t>https://dl.smwcentral.net/38323/Law%20%26%20Order%20Mushroom%20Kingdom%20Unit%20Pilot%20-%20Director%27s%20Cut%20%28v1.0.2%29.zip</t>
  </si>
  <si>
    <t>Le avventure di Mario 1</t>
  </si>
  <si>
    <t>29091</t>
  </si>
  <si>
    <t>https://www.smwcentral.net/?a=details&amp;id=29091&amp;p=section</t>
  </si>
  <si>
    <t>https://dl.smwcentral.net/29091/Le%20Avventure%20di%20Mario%201%20-%20Fixed.zip</t>
  </si>
  <si>
    <t>Le Avventure di Mario 3</t>
  </si>
  <si>
    <t>28942</t>
  </si>
  <si>
    <t>https://www.smwcentral.net/?a=details&amp;id=28942&amp;p=section</t>
  </si>
  <si>
    <t>https://dl.smwcentral.net/28942/LADM3.zip</t>
  </si>
  <si>
    <t>Le Connaisseur de Kaizo</t>
  </si>
  <si>
    <t>39182</t>
  </si>
  <si>
    <t>https://www.smwcentral.net/?a=details&amp;id=39182&amp;p=section</t>
  </si>
  <si>
    <t>https://dl.smwcentral.net/39182/Le%20Connaisseur%20de%20Kaizo%20ver1_1.zip</t>
  </si>
  <si>
    <t>Le Gole World</t>
  </si>
  <si>
    <t>30098</t>
  </si>
  <si>
    <t>https://www.smwcentral.net/?a=details&amp;id=30098&amp;p=section</t>
  </si>
  <si>
    <t>https://dl.smwcentral.net/30098/le-gole.zip</t>
  </si>
  <si>
    <t>Le plume</t>
  </si>
  <si>
    <t>FiveFactor, bonjoursauce, drkrdnk</t>
  </si>
  <si>
    <t>40131</t>
  </si>
  <si>
    <t>https://www.smwcentral.net/?a=details&amp;id=40131&amp;p=section</t>
  </si>
  <si>
    <t>https://dl.smwcentral.net/40131/le_plume_1-1.zip</t>
  </si>
  <si>
    <t>Learn 2 Kaizo</t>
  </si>
  <si>
    <t>NeXuS15</t>
  </si>
  <si>
    <t>42361</t>
  </si>
  <si>
    <t>https://www.smwcentral.net/?a=details&amp;id=42361&amp;p=section</t>
  </si>
  <si>
    <t>https://dl.smwcentral.net/42361/Learn2Kaizo%20v1.1.zip</t>
  </si>
  <si>
    <t>Learn To Shell Jump</t>
  </si>
  <si>
    <t>40002</t>
  </si>
  <si>
    <t>https://www.smwcentral.net/?a=details&amp;id=40002&amp;p=section</t>
  </si>
  <si>
    <t>https://dl.smwcentral.net/40002/Learn%20To%20Shell%20Jump.zip</t>
  </si>
  <si>
    <t>Learning to Fly</t>
  </si>
  <si>
    <t>DJLocks, NewPointless</t>
  </si>
  <si>
    <t>38653</t>
  </si>
  <si>
    <t>https://www.smwcentral.net/?a=details&amp;id=38653&amp;p=section</t>
  </si>
  <si>
    <t>https://dl.smwcentral.net/38653/LearningToFly2_0.zip</t>
  </si>
  <si>
    <t>Legend of the Rift, Volume 1: Venus</t>
  </si>
  <si>
    <t>Foursword4</t>
  </si>
  <si>
    <t>5451</t>
  </si>
  <si>
    <t>https://www.smwcentral.net/?a=details&amp;id=5451&amp;p=section</t>
  </si>
  <si>
    <t>https://dl.smwcentral.net/5451/LOTR%20Venus.zip</t>
  </si>
  <si>
    <t>Legends of Mario</t>
  </si>
  <si>
    <t>ChrisG___, HmWhyNot, Mega, NeXuS15, SomeBroYouDontKnow, Tubbaluvin</t>
  </si>
  <si>
    <t>17046</t>
  </si>
  <si>
    <t>https://www.smwcentral.net/?a=details&amp;id=17046&amp;p=section</t>
  </si>
  <si>
    <t>https://dl.smwcentral.net/17046/LegendsOfMario_v1.2.zip</t>
  </si>
  <si>
    <t>Legends of the Hidden Thwimple</t>
  </si>
  <si>
    <t>BeeKaay, Christina Hendricks, FerpyMcFrosting, GbreezeSunset, MiracleWater, Romhack Races, TheBourgyman, YMM, dtothefourth, margot, sio-kedelic</t>
  </si>
  <si>
    <t>31391</t>
  </si>
  <si>
    <t>https://www.smwcentral.net/?a=details&amp;id=31391&amp;p=section</t>
  </si>
  <si>
    <t>https://dl.smwcentral.net/31391/Hidden%20Thwimple%201.1.zip</t>
  </si>
  <si>
    <t>Lemmy's Wrath</t>
  </si>
  <si>
    <t>Blue Leaf</t>
  </si>
  <si>
    <t>6828</t>
  </si>
  <si>
    <t>https://www.smwcentral.net/?a=details&amp;id=6828&amp;p=section</t>
  </si>
  <si>
    <t>https://dl.smwcentral.net/6828/Lemmy%27s%20Htarw%20v1_1.zip</t>
  </si>
  <si>
    <t>Lesbian Vampire Killer World 5000</t>
  </si>
  <si>
    <t>23089</t>
  </si>
  <si>
    <t>https://www.smwcentral.net/?a=details&amp;id=23089&amp;p=section</t>
  </si>
  <si>
    <t>https://dl.smwcentral.net/23089/LesbianVampireKillerWorld5000.zip</t>
  </si>
  <si>
    <t>Lessness World</t>
  </si>
  <si>
    <t>22972</t>
  </si>
  <si>
    <t>https://www.smwcentral.net/?a=details&amp;id=22972&amp;p=section</t>
  </si>
  <si>
    <t>https://dl.smwcentral.net/22972/LW%201.2.zip</t>
  </si>
  <si>
    <t>Lessness World 2</t>
  </si>
  <si>
    <t>31338</t>
  </si>
  <si>
    <t>https://www.smwcentral.net/?a=details&amp;id=31338&amp;p=section</t>
  </si>
  <si>
    <t>https://dl.smwcentral.net/31338/Lessness_World_2.zip</t>
  </si>
  <si>
    <t>Let's A Go!</t>
  </si>
  <si>
    <t>42544</t>
  </si>
  <si>
    <t>https://www.smwcentral.net/?a=details&amp;id=42544&amp;p=section</t>
  </si>
  <si>
    <t>https://dl.smwcentral.net/42544/LAG.zip</t>
  </si>
  <si>
    <t>Let's Give Up</t>
  </si>
  <si>
    <t>BeeKaay</t>
  </si>
  <si>
    <t>24702</t>
  </si>
  <si>
    <t>https://www.smwcentral.net/?a=details&amp;id=24702&amp;p=section</t>
  </si>
  <si>
    <t>https://dl.smwcentral.net/24702/Let%27s%20Give%20Up.zip</t>
  </si>
  <si>
    <t>Level - 2023 Remaster</t>
  </si>
  <si>
    <t>37073</t>
  </si>
  <si>
    <t>https://www.smwcentral.net/?a=details&amp;id=37073&amp;p=section</t>
  </si>
  <si>
    <t>https://dl.smwcentral.net/37073/A%20glitch%20puzzle%20level%20-%202023%20Remaster.zip</t>
  </si>
  <si>
    <t>Levels</t>
  </si>
  <si>
    <t>Cwole23</t>
  </si>
  <si>
    <t>41477</t>
  </si>
  <si>
    <t>https://www.smwcentral.net/?a=details&amp;id=41477&amp;p=section</t>
  </si>
  <si>
    <t>https://dl.smwcentral.net/41477/LevelsV2real.zip</t>
  </si>
  <si>
    <t>Lewd Mario</t>
  </si>
  <si>
    <t>22418</t>
  </si>
  <si>
    <t>https://www.smwcentral.net/?a=details&amp;id=22418&amp;p=section</t>
  </si>
  <si>
    <t>https://dl.smwcentral.net/22418/Lewd%20Mario.zip</t>
  </si>
  <si>
    <t>Life Of Glitches</t>
  </si>
  <si>
    <t>ShadowDragon121</t>
  </si>
  <si>
    <t>6468</t>
  </si>
  <si>
    <t>https://www.smwcentral.net/?a=details&amp;id=6468&amp;p=section</t>
  </si>
  <si>
    <t>https://dl.smwcentral.net/6468/Life%20Of%20Glitches.zip</t>
  </si>
  <si>
    <t>Lightning Crashes</t>
  </si>
  <si>
    <t>9936</t>
  </si>
  <si>
    <t>https://www.smwcentral.net/?a=details&amp;id=9936&amp;p=section</t>
  </si>
  <si>
    <t>https://dl.smwcentral.net/9936/Lightning%20Crashes%201.2.zip</t>
  </si>
  <si>
    <t>Lil Mallow World</t>
  </si>
  <si>
    <t>FridayFables, Romhack Races Team</t>
  </si>
  <si>
    <t>18835</t>
  </si>
  <si>
    <t>https://www.smwcentral.net/?a=details&amp;id=18835&amp;p=section</t>
  </si>
  <si>
    <t>https://dl.smwcentral.net/18835/LilMallowWorld.zip</t>
  </si>
  <si>
    <t>Link's Adventure</t>
  </si>
  <si>
    <t>General Ike</t>
  </si>
  <si>
    <t>9754</t>
  </si>
  <si>
    <t>https://www.smwcentral.net/?a=details&amp;id=9754&amp;p=section</t>
  </si>
  <si>
    <t>https://dl.smwcentral.net/9754/Link%27s%20Adventure%20Demo%202.zip</t>
  </si>
  <si>
    <t>Linnaea</t>
  </si>
  <si>
    <t>33042</t>
  </si>
  <si>
    <t>https://www.smwcentral.net/?a=details&amp;id=33042&amp;p=section</t>
  </si>
  <si>
    <t>https://dl.smwcentral.net/33042/Linnaea.zip</t>
  </si>
  <si>
    <t>Liquid Metal</t>
  </si>
  <si>
    <t>38428</t>
  </si>
  <si>
    <t>https://www.smwcentral.net/?a=details&amp;id=38428&amp;p=section</t>
  </si>
  <si>
    <t>https://dl.smwcentral.net/38428/LiquidMetal2.0.zip</t>
  </si>
  <si>
    <t>Literally just a bonus room</t>
  </si>
  <si>
    <t>24758</t>
  </si>
  <si>
    <t>https://www.smwcentral.net/?a=details&amp;id=24758&amp;p=section</t>
  </si>
  <si>
    <t>https://dl.smwcentral.net/24758/bonusroom.zip</t>
  </si>
  <si>
    <t>Little Mario World</t>
  </si>
  <si>
    <t>OctaviusPepper</t>
  </si>
  <si>
    <t>24705</t>
  </si>
  <si>
    <t>https://www.smwcentral.net/?a=details&amp;id=24705&amp;p=section</t>
  </si>
  <si>
    <t>https://dl.smwcentral.net/24705/LittleMarioWorld.zip</t>
  </si>
  <si>
    <t>Long Road to Ruin</t>
  </si>
  <si>
    <t>xhsdf</t>
  </si>
  <si>
    <t>37666</t>
  </si>
  <si>
    <t>https://www.smwcentral.net/?a=details&amp;id=37666&amp;p=section</t>
  </si>
  <si>
    <t>https://dl.smwcentral.net/37666/Long%20Road%20to%20Ruin%201.1.zip</t>
  </si>
  <si>
    <t>Lord Pickle World</t>
  </si>
  <si>
    <t>17903</t>
  </si>
  <si>
    <t>https://www.smwcentral.net/?a=details&amp;id=17903&amp;p=section</t>
  </si>
  <si>
    <t>https://dl.smwcentral.net/17903/Lord%20Pickle%20World%20v1.3.zip</t>
  </si>
  <si>
    <t>Lost and Found</t>
  </si>
  <si>
    <t>Icon of Sin</t>
  </si>
  <si>
    <t>9916</t>
  </si>
  <si>
    <t>https://www.smwcentral.net/?a=details&amp;id=9916&amp;p=section</t>
  </si>
  <si>
    <t>https://dl.smwcentral.net/9916/Lost%20and%20Found%20Full%20version.zip</t>
  </si>
  <si>
    <t>Lost Dimension</t>
  </si>
  <si>
    <t>PercentN</t>
  </si>
  <si>
    <t>9874</t>
  </si>
  <si>
    <t>https://www.smwcentral.net/?a=details&amp;id=9874&amp;p=section</t>
  </si>
  <si>
    <t>https://dl.smwcentral.net/9874/Lost%20Dimension.zip</t>
  </si>
  <si>
    <t>Lost in Puzzle Land</t>
  </si>
  <si>
    <t>S.R.H.</t>
  </si>
  <si>
    <t>6310</t>
  </si>
  <si>
    <t>https://www.smwcentral.net/?a=details&amp;id=6310&amp;p=section</t>
  </si>
  <si>
    <t>https://dl.smwcentral.net/6310/PW2.4.zip</t>
  </si>
  <si>
    <t>Lost in the Forest</t>
  </si>
  <si>
    <t>17968</t>
  </si>
  <si>
    <t>https://www.smwcentral.net/?a=details&amp;id=17968&amp;p=section</t>
  </si>
  <si>
    <t>https://dl.smwcentral.net/17968/Lost%20in%20the%20Forest.zip</t>
  </si>
  <si>
    <t>Lost In Yoshi Island Remix</t>
  </si>
  <si>
    <t>goomba</t>
  </si>
  <si>
    <t>9890</t>
  </si>
  <si>
    <t>https://www.smwcentral.net/?a=details&amp;id=9890&amp;p=section</t>
  </si>
  <si>
    <t>https://dl.smwcentral.net/9890/lost%20in%20yoshi%27s%20island%20remix.zip</t>
  </si>
  <si>
    <t>Lost Mario Bros.</t>
  </si>
  <si>
    <t>Le Comte Niark</t>
  </si>
  <si>
    <t>7005</t>
  </si>
  <si>
    <t>https://www.smwcentral.net/?a=details&amp;id=7005&amp;p=section</t>
  </si>
  <si>
    <t>https://dl.smwcentral.net/7005/Lost%20Mario%20Bros.%20-%20Demo%202.1.zip</t>
  </si>
  <si>
    <t>Lost On The Islands</t>
  </si>
  <si>
    <t>therealSWK</t>
  </si>
  <si>
    <t>10057</t>
  </si>
  <si>
    <t>https://www.smwcentral.net/?a=details&amp;id=10057&amp;p=section</t>
  </si>
  <si>
    <t>https://dl.smwcentral.net/10057/Lost%20on%20the%20Islands%20Demo%20V1.1.zip</t>
  </si>
  <si>
    <t>Lost Paths</t>
  </si>
  <si>
    <t>Chuycraft</t>
  </si>
  <si>
    <t>41461</t>
  </si>
  <si>
    <t>https://www.smwcentral.net/?a=details&amp;id=41461&amp;p=section</t>
  </si>
  <si>
    <t>https://dl.smwcentral.net/41461/Lost%20Paths%20V1.2.1.zip</t>
  </si>
  <si>
    <t>Lost Places</t>
  </si>
  <si>
    <t>Schlafkopf</t>
  </si>
  <si>
    <t>26771</t>
  </si>
  <si>
    <t>https://www.smwcentral.net/?a=details&amp;id=26771&amp;p=section</t>
  </si>
  <si>
    <t>https://dl.smwcentral.net/26771/Lost%20Places%20Demo.zip</t>
  </si>
  <si>
    <t>Lost Wayfarers- The Escapade back to Mushroom Kingdom</t>
  </si>
  <si>
    <t>15632</t>
  </si>
  <si>
    <t>https://www.smwcentral.net/?a=details&amp;id=15632&amp;p=section</t>
  </si>
  <si>
    <t>https://dl.smwcentral.net/15632/LW.zip</t>
  </si>
  <si>
    <t>Love Letter</t>
  </si>
  <si>
    <t>40069</t>
  </si>
  <si>
    <t>https://www.smwcentral.net/?a=details&amp;id=40069&amp;p=section</t>
  </si>
  <si>
    <t>https://dl.smwcentral.net/40069/Love%20Letter.zip</t>
  </si>
  <si>
    <t>Love Yourself</t>
  </si>
  <si>
    <t>30864</t>
  </si>
  <si>
    <t>https://www.smwcentral.net/?a=details&amp;id=30864&amp;p=section</t>
  </si>
  <si>
    <t>https://dl.smwcentral.net/30864/Love%20Yourself%201.0.zip</t>
  </si>
  <si>
    <t>Lucky</t>
  </si>
  <si>
    <t>32513</t>
  </si>
  <si>
    <t>https://www.smwcentral.net/?a=details&amp;id=32513&amp;p=section</t>
  </si>
  <si>
    <t>https://dl.smwcentral.net/32513/Lucky%20V1.0A.zip</t>
  </si>
  <si>
    <t>Luigi and the Final Year</t>
  </si>
  <si>
    <t>21746</t>
  </si>
  <si>
    <t>https://www.smwcentral.net/?a=details&amp;id=21746&amp;p=section</t>
  </si>
  <si>
    <t>https://dl.smwcentral.net/21746/Luigi%20and%20the%20Final%20Year.zip</t>
  </si>
  <si>
    <t>Luigi and the Happy Hillside</t>
  </si>
  <si>
    <t>31167</t>
  </si>
  <si>
    <t>https://www.smwcentral.net/?a=details&amp;id=31167&amp;p=section</t>
  </si>
  <si>
    <t>https://dl.smwcentral.net/31167/HappyHillside.zip</t>
  </si>
  <si>
    <t>Luigi and the Island of Mystery</t>
  </si>
  <si>
    <t>14809</t>
  </si>
  <si>
    <t>https://www.smwcentral.net/?a=details&amp;id=14809&amp;p=section</t>
  </si>
  <si>
    <t>https://dl.smwcentral.net/14809/Luigi%20and%20the%20island%20of%20mystery.zip</t>
  </si>
  <si>
    <t>Luigi and the Mysterious Portals</t>
  </si>
  <si>
    <t>imamelia</t>
  </si>
  <si>
    <t>39174</t>
  </si>
  <si>
    <t>https://www.smwcentral.net/?a=details&amp;id=39174&amp;p=section</t>
  </si>
  <si>
    <t>https://dl.smwcentral.net/39174/Luigi%20and%20the%20Mysterious%20Portals.zip</t>
  </si>
  <si>
    <t>Luigi in: The Rescue of Daisy</t>
  </si>
  <si>
    <t>Retired Man</t>
  </si>
  <si>
    <t>10073</t>
  </si>
  <si>
    <t>https://www.smwcentral.net/?a=details&amp;id=10073&amp;p=section</t>
  </si>
  <si>
    <t>https://dl.smwcentral.net/10073/Luigi%20demo%201.zip</t>
  </si>
  <si>
    <t>Luigi Kaizo King</t>
  </si>
  <si>
    <t>20906</t>
  </si>
  <si>
    <t>https://www.smwcentral.net/?a=details&amp;id=20906&amp;p=section</t>
  </si>
  <si>
    <t>https://dl.smwcentral.net/20906/LKK.zip</t>
  </si>
  <si>
    <t>Luigi lost in Telinc's World</t>
  </si>
  <si>
    <t>Telinc1</t>
  </si>
  <si>
    <t>10212</t>
  </si>
  <si>
    <t>https://www.smwcentral.net/?a=details&amp;id=10212&amp;p=section</t>
  </si>
  <si>
    <t>https://dl.smwcentral.net/10212/Luigi%20lost%20in%20Telinc%27s%20World%20-%20Demo%201.5.zip</t>
  </si>
  <si>
    <t>Luigi Stardust Adventure</t>
  </si>
  <si>
    <t>Zavok</t>
  </si>
  <si>
    <t>25705</t>
  </si>
  <si>
    <t>https://www.smwcentral.net/?a=details&amp;id=25705&amp;p=section</t>
  </si>
  <si>
    <t>https://dl.smwcentral.net/25705/Luigi%20Stardust%20Adventure.zip</t>
  </si>
  <si>
    <t>Luigi's Adventure 3: Overseas Edition</t>
  </si>
  <si>
    <t>Anikiti</t>
  </si>
  <si>
    <t>27348</t>
  </si>
  <si>
    <t>https://www.smwcentral.net/?a=details&amp;id=27348&amp;p=section</t>
  </si>
  <si>
    <t>https://dl.smwcentral.net/27348/ladv3_ose_v10.zip</t>
  </si>
  <si>
    <t>Luigi's Adventure 4: The Revival of Tortoise Empire</t>
  </si>
  <si>
    <t>5127</t>
  </si>
  <si>
    <t>https://www.smwcentral.net/?a=details&amp;id=5127&amp;p=section</t>
  </si>
  <si>
    <t>https://dl.smwcentral.net/5127/ladv4_rev0422.zip</t>
  </si>
  <si>
    <t>Luigi's Adventure OSE</t>
  </si>
  <si>
    <t>34399</t>
  </si>
  <si>
    <t>https://www.smwcentral.net/?a=details&amp;id=34399&amp;p=section</t>
  </si>
  <si>
    <t>https://dl.smwcentral.net/34399/ladv_ose_v131.zip</t>
  </si>
  <si>
    <t>Luigi's Adventure OSE - The Lost Levels</t>
  </si>
  <si>
    <t>27196</t>
  </si>
  <si>
    <t>https://www.smwcentral.net/?a=details&amp;id=27196&amp;p=section</t>
  </si>
  <si>
    <t>https://dl.smwcentral.net/27196/Luigi%27s%20Adventure%20OSE%20-%20The%20Lost%20Levels%20-%20Fixed.zip</t>
  </si>
  <si>
    <t>Luigi's Decision</t>
  </si>
  <si>
    <t>Thundahack</t>
  </si>
  <si>
    <t>5180</t>
  </si>
  <si>
    <t>https://www.smwcentral.net/?a=details&amp;id=5180&amp;p=section</t>
  </si>
  <si>
    <t>https://dl.smwcentral.net/5180/Luigi%27s%20Decision.zip</t>
  </si>
  <si>
    <t>Luigi's First Adventure</t>
  </si>
  <si>
    <t>Yoshi987</t>
  </si>
  <si>
    <t>10000</t>
  </si>
  <si>
    <t>https://www.smwcentral.net/?a=details&amp;id=10000&amp;p=section</t>
  </si>
  <si>
    <t>https://dl.smwcentral.net/10000/Luigi%27s%20First%20Adventure%20%28Demo%29.zip</t>
  </si>
  <si>
    <t>Luigi's Heated Journey</t>
  </si>
  <si>
    <t>KennyJ</t>
  </si>
  <si>
    <t>10101</t>
  </si>
  <si>
    <t>https://www.smwcentral.net/?a=details&amp;id=10101&amp;p=section</t>
  </si>
  <si>
    <t>https://dl.smwcentral.net/10101/LHJ.zip</t>
  </si>
  <si>
    <t>Luigi's Lost Levels</t>
  </si>
  <si>
    <t>Romano338</t>
  </si>
  <si>
    <t>16689</t>
  </si>
  <si>
    <t>https://www.smwcentral.net/?a=details&amp;id=16689&amp;p=section</t>
  </si>
  <si>
    <t>https://dl.smwcentral.net/16689/Luigi%27s%20Lost%20Levels.zip</t>
  </si>
  <si>
    <t>Luigi's Lost Levels 2 - Back With A Revenge</t>
  </si>
  <si>
    <t>32187</t>
  </si>
  <si>
    <t>https://www.smwcentral.net/?a=details&amp;id=32187&amp;p=section</t>
  </si>
  <si>
    <t>https://dl.smwcentral.net/32187/Luigi%27s%20Lost%20Levels%202%20-%20Back%20With%20A%20Revenge.zip</t>
  </si>
  <si>
    <t>Luigi's Lost Levels 3 - Electrik Boogaloo</t>
  </si>
  <si>
    <t>32235</t>
  </si>
  <si>
    <t>https://www.smwcentral.net/?a=details&amp;id=32235&amp;p=section</t>
  </si>
  <si>
    <t>https://dl.smwcentral.net/32235/Luigi%27s%20Lost%20Levels%203%20-%20Electrik%20Boogaloo.zip</t>
  </si>
  <si>
    <t>Luigi's Misadventures - Tsux Namine's factor</t>
  </si>
  <si>
    <t>Roberto zampari</t>
  </si>
  <si>
    <t>15802</t>
  </si>
  <si>
    <t>https://www.smwcentral.net/?a=details&amp;id=15802&amp;p=section</t>
  </si>
  <si>
    <t>https://dl.smwcentral.net/15802/Luigimisadventures.zip</t>
  </si>
  <si>
    <t>Luigi's Misadventures 2 - Leviathan's Mania</t>
  </si>
  <si>
    <t>17632</t>
  </si>
  <si>
    <t>https://www.smwcentral.net/?a=details&amp;id=17632&amp;p=section</t>
  </si>
  <si>
    <t>https://dl.smwcentral.net/17632/luigimiss2full2A.zip</t>
  </si>
  <si>
    <t>Luigi's Misadventures 3 - Recipe for a disaster</t>
  </si>
  <si>
    <t>21799</t>
  </si>
  <si>
    <t>https://www.smwcentral.net/?a=details&amp;id=21799&amp;p=section</t>
  </si>
  <si>
    <t>https://dl.smwcentral.net/21799/Luigimiss3full1A.zip</t>
  </si>
  <si>
    <t>Luigi's Misadventures 4 - Galactic Kids Next Door</t>
  </si>
  <si>
    <t>31321</t>
  </si>
  <si>
    <t>https://www.smwcentral.net/?a=details&amp;id=31321&amp;p=section</t>
  </si>
  <si>
    <t>https://dl.smwcentral.net/31321/Luigimiss4_U3.zip</t>
  </si>
  <si>
    <t>Luigi's Misadventures 5 - Rougenia Merald's challenge</t>
  </si>
  <si>
    <t>35320</t>
  </si>
  <si>
    <t>https://www.smwcentral.net/?a=details&amp;id=35320&amp;p=section</t>
  </si>
  <si>
    <t>https://dl.smwcentral.net/35320/Luigimiss5full04A.zip</t>
  </si>
  <si>
    <t>Luigi's Misadventures 6 - Bambulua</t>
  </si>
  <si>
    <t>39177</t>
  </si>
  <si>
    <t>https://www.smwcentral.net/?a=details&amp;id=39177&amp;p=section</t>
  </si>
  <si>
    <t>https://dl.smwcentral.net/39177/Luigimiss6-F04a.zip</t>
  </si>
  <si>
    <t>Luigi's New Quest</t>
  </si>
  <si>
    <t>Mr. MS, edgar</t>
  </si>
  <si>
    <t>37057</t>
  </si>
  <si>
    <t>https://www.smwcentral.net/?a=details&amp;id=37057&amp;p=section</t>
  </si>
  <si>
    <t>https://dl.smwcentral.net/37057/LuigisNewQuest.zip</t>
  </si>
  <si>
    <t>Luigi's Revenge!</t>
  </si>
  <si>
    <t>Kaisaan</t>
  </si>
  <si>
    <t>13613</t>
  </si>
  <si>
    <t>https://www.smwcentral.net/?a=details&amp;id=13613&amp;p=section</t>
  </si>
  <si>
    <t>https://dl.smwcentral.net/13613/Luigi%27s%20Revenge%21.zip</t>
  </si>
  <si>
    <t>Luigi's Super Adventure - C3 Demo</t>
  </si>
  <si>
    <t>Dispace</t>
  </si>
  <si>
    <t>23606</t>
  </si>
  <si>
    <t>https://www.smwcentral.net/?a=details&amp;id=23606&amp;p=section</t>
  </si>
  <si>
    <t>https://dl.smwcentral.net/23606/luigi_super_adventure_c3_demo_v1.02.zip</t>
  </si>
  <si>
    <t>Luigi's Superstar Search</t>
  </si>
  <si>
    <t>Delmaru</t>
  </si>
  <si>
    <t>9912</t>
  </si>
  <si>
    <t>https://www.smwcentral.net/?a=details&amp;id=9912&amp;p=section</t>
  </si>
  <si>
    <t>https://dl.smwcentral.net/9912/LSSDemo1.1.zip</t>
  </si>
  <si>
    <t>Luigis Story</t>
  </si>
  <si>
    <t>PaperMario94</t>
  </si>
  <si>
    <t>10190</t>
  </si>
  <si>
    <t>https://www.smwcentral.net/?a=details&amp;id=10190&amp;p=section</t>
  </si>
  <si>
    <t>https://dl.smwcentral.net/10190/Luigis%20Story.zip</t>
  </si>
  <si>
    <t>Luminescent</t>
  </si>
  <si>
    <t>TheBourgyman</t>
  </si>
  <si>
    <t>28951</t>
  </si>
  <si>
    <t>https://www.smwcentral.net/?a=details&amp;id=28951&amp;p=section</t>
  </si>
  <si>
    <t>https://dl.smwcentral.net/28951/Luminescent%20v1.02.zip</t>
  </si>
  <si>
    <t>Lunar Legends</t>
  </si>
  <si>
    <t>6498</t>
  </si>
  <si>
    <t>https://www.smwcentral.net/?a=details&amp;id=6498&amp;p=section</t>
  </si>
  <si>
    <t>https://dl.smwcentral.net/6498/LL%20-%20C3%20Demo.zip</t>
  </si>
  <si>
    <t>Lunar Legends: The Search</t>
  </si>
  <si>
    <t>5572</t>
  </si>
  <si>
    <t>https://www.smwcentral.net/?a=details&amp;id=5572&amp;p=section</t>
  </si>
  <si>
    <t>https://dl.smwcentral.net/5572/Lunar%20Legends%2C%20The%20Search%20-%20C3%20Demo.zip</t>
  </si>
  <si>
    <t>Lunar Magic 1.0 Adventures</t>
  </si>
  <si>
    <t>Carld923, Gartore, Maxodex, Pinci, StanTheMackiar, VashVaati, anonimzwx</t>
  </si>
  <si>
    <t>11760</t>
  </si>
  <si>
    <t>https://www.smwcentral.net/?a=details&amp;id=11760&amp;p=section</t>
  </si>
  <si>
    <t>https://dl.smwcentral.net/11760/LM%201.0%20Adventures%20v1.1.zip</t>
  </si>
  <si>
    <t>LunchBreak</t>
  </si>
  <si>
    <t>ToxicRave</t>
  </si>
  <si>
    <t>9818</t>
  </si>
  <si>
    <t>https://www.smwcentral.net/?a=details&amp;id=9818&amp;p=section</t>
  </si>
  <si>
    <t>https://dl.smwcentral.net/9818/LunchBreakDemo.zip</t>
  </si>
  <si>
    <t>Lurn 2 Shell</t>
  </si>
  <si>
    <t>Wolfguy423</t>
  </si>
  <si>
    <t>33600</t>
  </si>
  <si>
    <t>https://www.smwcentral.net/?a=details&amp;id=33600&amp;p=section</t>
  </si>
  <si>
    <t>https://dl.smwcentral.net/33600/Lurn2Shell.zip</t>
  </si>
  <si>
    <t>Lydian Mario World</t>
  </si>
  <si>
    <t>Jonah</t>
  </si>
  <si>
    <t>30107</t>
  </si>
  <si>
    <t>https://www.smwcentral.net/?a=details&amp;id=30107&amp;p=section</t>
  </si>
  <si>
    <t>https://dl.smwcentral.net/30107/Lydian%20Mario%20World.zip</t>
  </si>
  <si>
    <t>Mad with Kaizo Power</t>
  </si>
  <si>
    <t>24419</t>
  </si>
  <si>
    <t>https://www.smwcentral.net/?a=details&amp;id=24419&amp;p=section</t>
  </si>
  <si>
    <t>https://dl.smwcentral.net/24419/MadWithKaizoPower1_1.zip</t>
  </si>
  <si>
    <t>Made of Fantasy</t>
  </si>
  <si>
    <t>39844</t>
  </si>
  <si>
    <t>https://www.smwcentral.net/?a=details&amp;id=39844&amp;p=section</t>
  </si>
  <si>
    <t>https://dl.smwcentral.net/39844/Made%20of%20Fantasy%20v1.1.1.zip</t>
  </si>
  <si>
    <t>Magiopolis</t>
  </si>
  <si>
    <t>Mpereira</t>
  </si>
  <si>
    <t>28580</t>
  </si>
  <si>
    <t>https://www.smwcentral.net/?a=details&amp;id=28580&amp;p=section</t>
  </si>
  <si>
    <t>https://dl.smwcentral.net/28580/Magiopolis.zip</t>
  </si>
  <si>
    <t>Mahogen</t>
  </si>
  <si>
    <t>marleymm</t>
  </si>
  <si>
    <t>26519</t>
  </si>
  <si>
    <t>https://www.smwcentral.net/?a=details&amp;id=26519&amp;p=section</t>
  </si>
  <si>
    <t>https://dl.smwcentral.net/26519/Mahogen.zip</t>
  </si>
  <si>
    <t>mancorsa</t>
  </si>
  <si>
    <t>Steven Atauchi, alvinwawa</t>
  </si>
  <si>
    <t>38063</t>
  </si>
  <si>
    <t>https://www.smwcentral.net/?a=details&amp;id=38063&amp;p=section</t>
  </si>
  <si>
    <t>https://dl.smwcentral.net/38063/mancorsa.zip</t>
  </si>
  <si>
    <t>Maple Island</t>
  </si>
  <si>
    <t>Jungche</t>
  </si>
  <si>
    <t>9889</t>
  </si>
  <si>
    <t>https://www.smwcentral.net/?a=details&amp;id=9889&amp;p=section</t>
  </si>
  <si>
    <t>https://dl.smwcentral.net/9889/Maple%20Island%20DEMO.zip</t>
  </si>
  <si>
    <t>MARIO [SMWC #6416]</t>
  </si>
  <si>
    <t>MARIO</t>
  </si>
  <si>
    <t>Adam, M A R I O</t>
  </si>
  <si>
    <t>6416</t>
  </si>
  <si>
    <t>https://www.smwcentral.net/?a=details&amp;id=6416&amp;p=section</t>
  </si>
  <si>
    <t>https://dl.smwcentral.net/6416/MARIO.zip</t>
  </si>
  <si>
    <t>Mario [SMWC #9891]</t>
  </si>
  <si>
    <t>Mario</t>
  </si>
  <si>
    <t>UmbreonRomReviews</t>
  </si>
  <si>
    <t>9891</t>
  </si>
  <si>
    <t>https://www.smwcentral.net/?a=details&amp;id=9891&amp;p=section</t>
  </si>
  <si>
    <t>https://dl.smwcentral.net/9891/Mario.zip</t>
  </si>
  <si>
    <t>Mario &amp; Friends in: Volcanic Panic</t>
  </si>
  <si>
    <t>CircleFriendo, HamOfJustice, sio-kedelic</t>
  </si>
  <si>
    <t>38927</t>
  </si>
  <si>
    <t>https://www.smwcentral.net/?a=details&amp;id=38927&amp;p=section</t>
  </si>
  <si>
    <t>https://dl.smwcentral.net/38927/marioandfriends2.zip</t>
  </si>
  <si>
    <t>Mario &amp; La Sphère de Toad 2</t>
  </si>
  <si>
    <t>Aurel509</t>
  </si>
  <si>
    <t>6809</t>
  </si>
  <si>
    <t>https://www.smwcentral.net/?a=details&amp;id=6809&amp;p=section</t>
  </si>
  <si>
    <t>https://dl.smwcentral.net/6809/Mario%20%26%20la%20sph%C3%A8re%20de%20Toad%20Demo%202%20%28%20V.0.6%29%20Fixed%20%20bugs%20%282%29.zip</t>
  </si>
  <si>
    <t>Mario &amp; Luigi - Mecha Koopa Mayhem</t>
  </si>
  <si>
    <t>Kitikuchan, Kusamochi, This Eye o' Mine</t>
  </si>
  <si>
    <t>29716</t>
  </si>
  <si>
    <t>https://www.smwcentral.net/?a=details&amp;id=29716&amp;p=section</t>
  </si>
  <si>
    <t>https://dl.smwcentral.net/29716/Mecha_Koopa_Mayhem_v1.21.zip</t>
  </si>
  <si>
    <t>Mario &amp; Luigi DOS Remake</t>
  </si>
  <si>
    <t>Superjustinbros</t>
  </si>
  <si>
    <t>10092</t>
  </si>
  <si>
    <t>https://www.smwcentral.net/?a=details&amp;id=10092&amp;p=section</t>
  </si>
  <si>
    <t>https://dl.smwcentral.net/10092/Mario%20%26%20Luigi%20DOSv2.ips.zip</t>
  </si>
  <si>
    <t>Mario &amp; Luigi: Adventures</t>
  </si>
  <si>
    <t>Marioman</t>
  </si>
  <si>
    <t>9856</t>
  </si>
  <si>
    <t>https://www.smwcentral.net/?a=details&amp;id=9856&amp;p=section</t>
  </si>
  <si>
    <t>https://dl.smwcentral.net/9856/M%26L%20Adventures.zip</t>
  </si>
  <si>
    <t>Mario &amp; Luigi: Kola Kingdom Quest</t>
  </si>
  <si>
    <t>15940</t>
  </si>
  <si>
    <t>https://www.smwcentral.net/?a=details&amp;id=15940&amp;p=section</t>
  </si>
  <si>
    <t>https://dl.smwcentral.net/15940/KKQFixedIntros.zip</t>
  </si>
  <si>
    <t>Mario &amp; Luigi: Power Blast</t>
  </si>
  <si>
    <t>18162</t>
  </si>
  <si>
    <t>https://www.smwcentral.net/?a=details&amp;id=18162&amp;p=section</t>
  </si>
  <si>
    <t>https://dl.smwcentral.net/18162/MarioLuigiPowerBlastDemo.zip</t>
  </si>
  <si>
    <t>Mario &amp; Luigi: Starlight Island Adventure</t>
  </si>
  <si>
    <t>12162</t>
  </si>
  <si>
    <t>https://www.smwcentral.net/?a=details&amp;id=12162&amp;p=section</t>
  </si>
  <si>
    <t>https://dl.smwcentral.net/12162/Starlight%20Island%20Adventure.zip</t>
  </si>
  <si>
    <t>Mario &amp; Waluigi: In Search of Luigi</t>
  </si>
  <si>
    <t>Arinsu</t>
  </si>
  <si>
    <t>11900</t>
  </si>
  <si>
    <t>https://www.smwcentral.net/?a=details&amp;id=11900&amp;p=section</t>
  </si>
  <si>
    <t>https://dl.smwcentral.net/11900/M%26W%20-%20ISoL.zip</t>
  </si>
  <si>
    <t>Mario - Crazy Adventures 1: Lost in Subcoony World</t>
  </si>
  <si>
    <t>Major Flare</t>
  </si>
  <si>
    <t>5276</t>
  </si>
  <si>
    <t>https://www.smwcentral.net/?a=details&amp;id=5276&amp;p=section</t>
  </si>
  <si>
    <t>https://dl.smwcentral.net/5276/Crazy%20adventure%20demo%201.zip</t>
  </si>
  <si>
    <t>Mario - The Currently Unnamed Hack</t>
  </si>
  <si>
    <t>Halzyn</t>
  </si>
  <si>
    <t>9837</t>
  </si>
  <si>
    <t>https://www.smwcentral.net/?a=details&amp;id=9837&amp;p=section</t>
  </si>
  <si>
    <t>https://dl.smwcentral.net/9837/mario%20-%20tcuh.zip</t>
  </si>
  <si>
    <t>Mario - The Mystical Gem</t>
  </si>
  <si>
    <t>36967</t>
  </si>
  <si>
    <t>https://www.smwcentral.net/?a=details&amp;id=36967&amp;p=section</t>
  </si>
  <si>
    <t>https://dl.smwcentral.net/36967/MTMGR1_8.zip</t>
  </si>
  <si>
    <t>Mario and Friends in: The Ghost's Gallery</t>
  </si>
  <si>
    <t>29048</t>
  </si>
  <si>
    <t>https://www.smwcentral.net/?a=details&amp;id=29048&amp;p=section</t>
  </si>
  <si>
    <t>https://dl.smwcentral.net/29048/marioandfriends.zip</t>
  </si>
  <si>
    <t>Mario and Luigi Go to White Castle</t>
  </si>
  <si>
    <t>Scrambles_</t>
  </si>
  <si>
    <t>28604</t>
  </si>
  <si>
    <t>https://www.smwcentral.net/?a=details&amp;id=28604&amp;p=section</t>
  </si>
  <si>
    <t>https://dl.smwcentral.net/28604/White%20Castle.zip</t>
  </si>
  <si>
    <t>Mario and Luigi in an Unknown Island [SMWC #23496]</t>
  </si>
  <si>
    <t>Mario and Luigi in an Unknown Island</t>
  </si>
  <si>
    <t>MirrorReflect</t>
  </si>
  <si>
    <t>23496</t>
  </si>
  <si>
    <t>https://www.smwcentral.net/?a=details&amp;id=23496&amp;p=section</t>
  </si>
  <si>
    <t>https://dl.smwcentral.net/23496/Mario%20and%20Luigi%20in%20an%20Unknown%20Island.zip</t>
  </si>
  <si>
    <t>Mario and Luigi in an Unknown Island [SMWC #34207]</t>
  </si>
  <si>
    <t>34207</t>
  </si>
  <si>
    <t>https://www.smwcentral.net/?a=details&amp;id=34207&amp;p=section</t>
  </si>
  <si>
    <t>https://dl.smwcentral.net/34207/Mario%20and%20Luigi%20in%20an%20Unknown%20Island.zip</t>
  </si>
  <si>
    <t>Mario and Luigi in an Unknown Island [SMWC #40092]</t>
  </si>
  <si>
    <t>40092</t>
  </si>
  <si>
    <t>https://www.smwcentral.net/?a=details&amp;id=40092&amp;p=section</t>
  </si>
  <si>
    <t>https://dl.smwcentral.net/40092/M%26L%20UI.zip</t>
  </si>
  <si>
    <t>Mario and luigi MEGA Adventure 1</t>
  </si>
  <si>
    <t>Master mario 27</t>
  </si>
  <si>
    <t>10137</t>
  </si>
  <si>
    <t>https://www.smwcentral.net/?a=details&amp;id=10137&amp;p=section</t>
  </si>
  <si>
    <t>https://dl.smwcentral.net/10137/Mario%20and%20Luigi%20MEGA%20Adventure%201%20Demo%202.0.zip</t>
  </si>
  <si>
    <t>Mario And Luigi: Super Berry World</t>
  </si>
  <si>
    <t>LeonDragonCat, ViralTyphlosion</t>
  </si>
  <si>
    <t>15571</t>
  </si>
  <si>
    <t>https://www.smwcentral.net/?a=details&amp;id=15571&amp;p=section</t>
  </si>
  <si>
    <t>https://dl.smwcentral.net/15571/Mario%20and%20Luigi%20Super%20Berry%20World%20First%20Demo.zip</t>
  </si>
  <si>
    <t>Mario and The 5 Golden Eggs</t>
  </si>
  <si>
    <t>10098</t>
  </si>
  <si>
    <t>https://www.smwcentral.net/?a=details&amp;id=10098&amp;p=section</t>
  </si>
  <si>
    <t>https://dl.smwcentral.net/10098/Mario%20and%20the%205%20Golden%20Eggs.zip</t>
  </si>
  <si>
    <t>Mario and the Cursed Coins</t>
  </si>
  <si>
    <t>RedboneBit</t>
  </si>
  <si>
    <t>9913</t>
  </si>
  <si>
    <t>https://www.smwcentral.net/?a=details&amp;id=9913&amp;p=section</t>
  </si>
  <si>
    <t>https://dl.smwcentral.net/9913/CursedCoinsSampler.zip</t>
  </si>
  <si>
    <t>Mario And The Diamond Moon</t>
  </si>
  <si>
    <t>39488</t>
  </si>
  <si>
    <t>https://www.smwcentral.net/?a=details&amp;id=39488&amp;p=section</t>
  </si>
  <si>
    <t>https://dl.smwcentral.net/39488/Mario%27s%20And%20The%20Diamond%20Moon.zip</t>
  </si>
  <si>
    <t>Mario and the Forgotten Flower</t>
  </si>
  <si>
    <t>Kh2playa</t>
  </si>
  <si>
    <t>9846</t>
  </si>
  <si>
    <t>https://www.smwcentral.net/?a=details&amp;id=9846&amp;p=section</t>
  </si>
  <si>
    <t>https://dl.smwcentral.net/9846/Mario%20forgotten%20flower.zip</t>
  </si>
  <si>
    <t>Mario And The Golden Star</t>
  </si>
  <si>
    <t>41605</t>
  </si>
  <si>
    <t>https://www.smwcentral.net/?a=details&amp;id=41605&amp;p=section</t>
  </si>
  <si>
    <t>https://dl.smwcentral.net/41605/Mario%20And%20The%20Golden%20Star.zip</t>
  </si>
  <si>
    <t>Mario and the Haunted Forest 2: Kamek's Return</t>
  </si>
  <si>
    <t>Mr.GameAndWatch</t>
  </si>
  <si>
    <t>9802</t>
  </si>
  <si>
    <t>https://www.smwcentral.net/?a=details&amp;id=9802&amp;p=section</t>
  </si>
  <si>
    <t>https://dl.smwcentral.net/9802/MATHF%20DEMO%201.1.zip</t>
  </si>
  <si>
    <t>Mario and the Kaizo Trials</t>
  </si>
  <si>
    <t>PedroHrodrigues</t>
  </si>
  <si>
    <t>22897</t>
  </si>
  <si>
    <t>https://www.smwcentral.net/?a=details&amp;id=22897&amp;p=section</t>
  </si>
  <si>
    <t>https://dl.smwcentral.net/22897/MarioAndTheKaizoTrials.zip</t>
  </si>
  <si>
    <t>Mario and the Magic Switches</t>
  </si>
  <si>
    <t>yoshiapplecachetitos</t>
  </si>
  <si>
    <t>10179</t>
  </si>
  <si>
    <t>https://www.smwcentral.net/?a=details&amp;id=10179&amp;p=section</t>
  </si>
  <si>
    <t>https://dl.smwcentral.net/10179/Mario%20and%20the%20Magic%20Switches%20v1.2.zip</t>
  </si>
  <si>
    <t>Mario and the Mushroom of Power</t>
  </si>
  <si>
    <t>SafeDesire</t>
  </si>
  <si>
    <t>9851</t>
  </si>
  <si>
    <t>https://www.smwcentral.net/?a=details&amp;id=9851&amp;p=section</t>
  </si>
  <si>
    <t>https://dl.smwcentral.net/9851/Mario%20and%20The%20Mushroom%20of%20Power.zip</t>
  </si>
  <si>
    <t>Mario and the Mysterious Robot</t>
  </si>
  <si>
    <t>Firebar</t>
  </si>
  <si>
    <t>5113</t>
  </si>
  <si>
    <t>https://www.smwcentral.net/?a=details&amp;id=5113&amp;p=section</t>
  </si>
  <si>
    <t>https://dl.smwcentral.net/5113/MATMR%20hack.zip</t>
  </si>
  <si>
    <t>Mario and the Parallel World</t>
  </si>
  <si>
    <t>mamlazizou</t>
  </si>
  <si>
    <t>9618</t>
  </si>
  <si>
    <t>https://www.smwcentral.net/?a=details&amp;id=9618&amp;p=section</t>
  </si>
  <si>
    <t>https://dl.smwcentral.net/9618/Mario%20and%20the%20parallel%20world%20%5B%20FR%20%5D.zip</t>
  </si>
  <si>
    <t>Mario and the Passage of Perils</t>
  </si>
  <si>
    <t>Crystal King</t>
  </si>
  <si>
    <t>9917</t>
  </si>
  <si>
    <t>https://www.smwcentral.net/?a=details&amp;id=9917&amp;p=section</t>
  </si>
  <si>
    <t>https://dl.smwcentral.net/9917/PoP.zip</t>
  </si>
  <si>
    <t>Mario and the Pipe of Challenges</t>
  </si>
  <si>
    <t>LuigiPikachu</t>
  </si>
  <si>
    <t>9968</t>
  </si>
  <si>
    <t>https://www.smwcentral.net/?a=details&amp;id=9968&amp;p=section</t>
  </si>
  <si>
    <t>https://dl.smwcentral.net/9968/Mario%20and%20the%20pipe%20of%20challenges.zip</t>
  </si>
  <si>
    <t>Mario and the Sphere of Toad - Reloaded</t>
  </si>
  <si>
    <t>18437</t>
  </si>
  <si>
    <t>https://www.smwcentral.net/?a=details&amp;id=18437&amp;p=section</t>
  </si>
  <si>
    <t>https://dl.smwcentral.net/18437/MLSDT2R.zip</t>
  </si>
  <si>
    <t>Mario and the Stolen Yoshi-Egg</t>
  </si>
  <si>
    <t>Humingbird96</t>
  </si>
  <si>
    <t>9810</t>
  </si>
  <si>
    <t>https://www.smwcentral.net/?a=details&amp;id=9810&amp;p=section</t>
  </si>
  <si>
    <t>https://dl.smwcentral.net/9810/Mario%20and%20the%20stolen%20Yoshi%20egg.zip</t>
  </si>
  <si>
    <t>Mario and the Thwomp</t>
  </si>
  <si>
    <t>Master S</t>
  </si>
  <si>
    <t>9941</t>
  </si>
  <si>
    <t>https://www.smwcentral.net/?a=details&amp;id=9941&amp;p=section</t>
  </si>
  <si>
    <t>https://dl.smwcentral.net/9941/MATT%20Beta%20Demo.zip</t>
  </si>
  <si>
    <t>Mario at the Kasranova Levels</t>
  </si>
  <si>
    <t>19357</t>
  </si>
  <si>
    <t>https://www.smwcentral.net/?a=details&amp;id=19357&amp;p=section</t>
  </si>
  <si>
    <t>https://dl.smwcentral.net/19357/Mario%20at%20the%20Kasranova%20Levels.zip</t>
  </si>
  <si>
    <t>Mario at the Kasranova Levels 2: Imgelemden Hallice</t>
  </si>
  <si>
    <t>21232</t>
  </si>
  <si>
    <t>https://www.smwcentral.net/?a=details&amp;id=21232&amp;p=section</t>
  </si>
  <si>
    <t>https://dl.smwcentral.net/21232/mario%20at%20the%20kasranova%20levels%202%20-%20imgelemden%20hallice.zip</t>
  </si>
  <si>
    <t>Mario Bros Adventure Land</t>
  </si>
  <si>
    <t>Wind Fish</t>
  </si>
  <si>
    <t>10206</t>
  </si>
  <si>
    <t>https://www.smwcentral.net/?a=details&amp;id=10206&amp;p=section</t>
  </si>
  <si>
    <t>https://dl.smwcentral.net/10206/MBAL_demo1.zip</t>
  </si>
  <si>
    <t>Mario Brother World</t>
  </si>
  <si>
    <t>Keypas</t>
  </si>
  <si>
    <t>9971</t>
  </si>
  <si>
    <t>https://www.smwcentral.net/?a=details&amp;id=9971&amp;p=section</t>
  </si>
  <si>
    <t>https://dl.smwcentral.net/9971/MBW%20demo.zip</t>
  </si>
  <si>
    <t>Mario Brother World 2</t>
  </si>
  <si>
    <t>10122</t>
  </si>
  <si>
    <t>https://www.smwcentral.net/?a=details&amp;id=10122&amp;p=section</t>
  </si>
  <si>
    <t>https://dl.smwcentral.net/10122/MBW2.zip</t>
  </si>
  <si>
    <t>Mario Brothers Adventures</t>
  </si>
  <si>
    <t>nintendofreck</t>
  </si>
  <si>
    <t>10069</t>
  </si>
  <si>
    <t>https://www.smwcentral.net/?a=details&amp;id=10069&amp;p=section</t>
  </si>
  <si>
    <t>https://dl.smwcentral.net/10069/MBAV02.zip</t>
  </si>
  <si>
    <t>Mario Curse Hunter</t>
  </si>
  <si>
    <t>9852</t>
  </si>
  <si>
    <t>https://www.smwcentral.net/?a=details&amp;id=9852&amp;p=section</t>
  </si>
  <si>
    <t>https://dl.smwcentral.net/9852/Mario%20Curse%20Hunter%20Demo%201.5.zip</t>
  </si>
  <si>
    <t>Mario Destroys the World</t>
  </si>
  <si>
    <t>NobbyBop</t>
  </si>
  <si>
    <t>29559</t>
  </si>
  <si>
    <t>https://www.smwcentral.net/?a=details&amp;id=29559&amp;p=section</t>
  </si>
  <si>
    <t>https://dl.smwcentral.net/29559/Mario%20Destroys%20the%20World.zip</t>
  </si>
  <si>
    <t>MARIO EN BUSCA DE LA MASTER EMERALD (DEMO WORLD 2)</t>
  </si>
  <si>
    <t>Reynner's</t>
  </si>
  <si>
    <t>41397</t>
  </si>
  <si>
    <t>https://www.smwcentral.net/?a=details&amp;id=41397&amp;p=section</t>
  </si>
  <si>
    <t>https://dl.smwcentral.net/41397/MARIO.zip</t>
  </si>
  <si>
    <t>Mario Explores the Sewers</t>
  </si>
  <si>
    <t>10018</t>
  </si>
  <si>
    <t>https://www.smwcentral.net/?a=details&amp;id=10018&amp;p=section</t>
  </si>
  <si>
    <t>https://dl.smwcentral.net/10018/MES.zip</t>
  </si>
  <si>
    <t>Mario Frenzy</t>
  </si>
  <si>
    <t>RedToonLink</t>
  </si>
  <si>
    <t>9764</t>
  </si>
  <si>
    <t>https://www.smwcentral.net/?a=details&amp;id=9764&amp;p=section</t>
  </si>
  <si>
    <t>https://dl.smwcentral.net/9764/MFDemoC3.zip</t>
  </si>
  <si>
    <t>Mario Gives Up</t>
  </si>
  <si>
    <t>25573</t>
  </si>
  <si>
    <t>https://www.smwcentral.net/?a=details&amp;id=25573&amp;p=section</t>
  </si>
  <si>
    <t>https://dl.smwcentral.net/25573/Mario%20Gives%20Up.zip</t>
  </si>
  <si>
    <t>Mario Gives Up 2</t>
  </si>
  <si>
    <t>26935</t>
  </si>
  <si>
    <t>https://www.smwcentral.net/?a=details&amp;id=26935&amp;p=section</t>
  </si>
  <si>
    <t>https://dl.smwcentral.net/26935/Mario%20Gives%20Up%202.zip</t>
  </si>
  <si>
    <t>Mario Gives Up 3</t>
  </si>
  <si>
    <t>12826</t>
  </si>
  <si>
    <t>https://www.smwcentral.net/?a=details&amp;id=12826&amp;p=section</t>
  </si>
  <si>
    <t>https://dl.smwcentral.net/12826/MGU3.zip</t>
  </si>
  <si>
    <t>Mario goes on an adventure for apparently no reason</t>
  </si>
  <si>
    <t>Alfombra de madera</t>
  </si>
  <si>
    <t>40065</t>
  </si>
  <si>
    <t>https://www.smwcentral.net/?a=details&amp;id=40065&amp;p=section</t>
  </si>
  <si>
    <t>https://dl.smwcentral.net/40065/MGOAAFANR%20demo%201.51.zip</t>
  </si>
  <si>
    <t>Mario goes to a castle to pay his taxes</t>
  </si>
  <si>
    <t>Young Boi</t>
  </si>
  <si>
    <t>18681</t>
  </si>
  <si>
    <t>https://www.smwcentral.net/?a=details&amp;id=18681&amp;p=section</t>
  </si>
  <si>
    <t>https://dl.smwcentral.net/18681/Pay%20your%20taxes%20kids.zip</t>
  </si>
  <si>
    <t>Mario Goes to Brazil</t>
  </si>
  <si>
    <t>MarcosMoutta</t>
  </si>
  <si>
    <t>32554</t>
  </si>
  <si>
    <t>https://www.smwcentral.net/?a=details&amp;id=32554&amp;p=section</t>
  </si>
  <si>
    <t>https://dl.smwcentral.net/32554/MGtB.zip</t>
  </si>
  <si>
    <t>Mario goes to the Adventure Park</t>
  </si>
  <si>
    <t>Saibot1997</t>
  </si>
  <si>
    <t>10282</t>
  </si>
  <si>
    <t>https://www.smwcentral.net/?a=details&amp;id=10282&amp;p=section</t>
  </si>
  <si>
    <t>https://dl.smwcentral.net/10282/Mario%20goes%20to%20the%20Adventure%20Park.zip</t>
  </si>
  <si>
    <t>Mario Goes To The Store</t>
  </si>
  <si>
    <t>eltiolavara9</t>
  </si>
  <si>
    <t>39995</t>
  </si>
  <si>
    <t>https://www.smwcentral.net/?a=details&amp;id=39995&amp;p=section</t>
  </si>
  <si>
    <t>https://dl.smwcentral.net/39995/mario%20goes%20to%20the%20store.zip</t>
  </si>
  <si>
    <t>Mario goes to Wendy's</t>
  </si>
  <si>
    <t>autumnfrog</t>
  </si>
  <si>
    <t>32143</t>
  </si>
  <si>
    <t>https://www.smwcentral.net/?a=details&amp;id=32143&amp;p=section</t>
  </si>
  <si>
    <t>https://dl.smwcentral.net/32143/mario%20goes%20to%20wendys.zip</t>
  </si>
  <si>
    <t>Mario Got Bored</t>
  </si>
  <si>
    <t>Zarasuto</t>
  </si>
  <si>
    <t>10075</t>
  </si>
  <si>
    <t>https://www.smwcentral.net/?a=details&amp;id=10075&amp;p=section</t>
  </si>
  <si>
    <t>https://dl.smwcentral.net/10075/Mario%20Got%20Bored.zip</t>
  </si>
  <si>
    <t>Mario in a Mysterious World</t>
  </si>
  <si>
    <t>Falconpunch</t>
  </si>
  <si>
    <t>10140</t>
  </si>
  <si>
    <t>https://www.smwcentral.net/?a=details&amp;id=10140&amp;p=section</t>
  </si>
  <si>
    <t>https://dl.smwcentral.net/10140/MiaMW.zip</t>
  </si>
  <si>
    <t>Mario in a Strange Adventure</t>
  </si>
  <si>
    <t>Fan-cristian-Yuyuko-</t>
  </si>
  <si>
    <t>10141</t>
  </si>
  <si>
    <t>https://www.smwcentral.net/?a=details&amp;id=10141&amp;p=section</t>
  </si>
  <si>
    <t>https://dl.smwcentral.net/10141/mario%20in%20a%20strange%20adventure.zip</t>
  </si>
  <si>
    <t>Mario in Another Land</t>
  </si>
  <si>
    <t>13582</t>
  </si>
  <si>
    <t>https://www.smwcentral.net/?a=details&amp;id=13582&amp;p=section</t>
  </si>
  <si>
    <t>https://dl.smwcentral.net/13582/Mario%20in%20Another%20Land.zip</t>
  </si>
  <si>
    <t>Mario In Dragon Land</t>
  </si>
  <si>
    <t>BobbyBombmaster</t>
  </si>
  <si>
    <t>9845</t>
  </si>
  <si>
    <t>https://www.smwcentral.net/?a=details&amp;id=9845&amp;p=section</t>
  </si>
  <si>
    <t>https://dl.smwcentral.net/9845/Mario%20In%20Dragon%20Land.zip</t>
  </si>
  <si>
    <t>Mario in Leprechaun Island</t>
  </si>
  <si>
    <t>22412</t>
  </si>
  <si>
    <t>https://www.smwcentral.net/?a=details&amp;id=22412&amp;p=section</t>
  </si>
  <si>
    <t>https://dl.smwcentral.net/22412/Mario%20in%20Leprechaun%20Island%20%28V1.0.1%29.zip</t>
  </si>
  <si>
    <t>Mario In Lucid Dream</t>
  </si>
  <si>
    <t>TS_N</t>
  </si>
  <si>
    <t>37694</t>
  </si>
  <si>
    <t>https://www.smwcentral.net/?a=details&amp;id=37694&amp;p=section</t>
  </si>
  <si>
    <t>https://dl.smwcentral.net/37694/Mario%20In%20Lucid%20Dream.zip</t>
  </si>
  <si>
    <t>Mario In Midgard</t>
  </si>
  <si>
    <t>9720</t>
  </si>
  <si>
    <t>https://www.smwcentral.net/?a=details&amp;id=9720&amp;p=section</t>
  </si>
  <si>
    <t>https://dl.smwcentral.net/9720/Mario%20in%20midgard.zip</t>
  </si>
  <si>
    <t>Mario In Mushroom Rix Land</t>
  </si>
  <si>
    <t>24685</t>
  </si>
  <si>
    <t>https://www.smwcentral.net/?a=details&amp;id=24685&amp;p=section</t>
  </si>
  <si>
    <t>https://dl.smwcentral.net/24685/Mario%20in%20Mushroom%20Rix%20Land.zip</t>
  </si>
  <si>
    <t>Mario In Mushroom Rix Land 2 Gimmicky Island</t>
  </si>
  <si>
    <t>25552</t>
  </si>
  <si>
    <t>https://www.smwcentral.net/?a=details&amp;id=25552&amp;p=section</t>
  </si>
  <si>
    <t>https://dl.smwcentral.net/25552/Mario%20in%20Mushroom%20Rix%20Land%202.zip</t>
  </si>
  <si>
    <t>Mario In Mushroom Rix Land 3 Master Thwomps Avenge</t>
  </si>
  <si>
    <t>28229</t>
  </si>
  <si>
    <t>https://www.smwcentral.net/?a=details&amp;id=28229&amp;p=section</t>
  </si>
  <si>
    <t>https://dl.smwcentral.net/28229/Mario%20in%20Mushroom%20Rix%20Land%203.zip</t>
  </si>
  <si>
    <t>Mario In Mushroom Rix Land 4 Trip To Nano Island</t>
  </si>
  <si>
    <t>35757</t>
  </si>
  <si>
    <t>https://www.smwcentral.net/?a=details&amp;id=35757&amp;p=section</t>
  </si>
  <si>
    <t>https://dl.smwcentral.net/35757/MIMRL4%20Trip%20To%20Nano%20Island.zip</t>
  </si>
  <si>
    <t>Mario In Mushroom Rix Land 5</t>
  </si>
  <si>
    <t>38322</t>
  </si>
  <si>
    <t>https://www.smwcentral.net/?a=details&amp;id=38322&amp;p=section</t>
  </si>
  <si>
    <t>https://dl.smwcentral.net/38322/Mario%20In%20Mushroom%20Rix%20Land%205%20C3%20Summer%202024%20Demo%20%28Version%201.1%20Update%21%29.zip</t>
  </si>
  <si>
    <t>Mario in Neb's Land</t>
  </si>
  <si>
    <t>darken</t>
  </si>
  <si>
    <t>14422</t>
  </si>
  <si>
    <t>https://www.smwcentral.net/?a=details&amp;id=14422&amp;p=section</t>
  </si>
  <si>
    <t>https://dl.smwcentral.net/14422/MNL.zip</t>
  </si>
  <si>
    <t>Mario in Search of the Rest</t>
  </si>
  <si>
    <t>22397</t>
  </si>
  <si>
    <t>https://www.smwcentral.net/?a=details&amp;id=22397&amp;p=section</t>
  </si>
  <si>
    <t>https://dl.smwcentral.net/22397/MarioInSearchOfTheRest.zip</t>
  </si>
  <si>
    <t>Mario In The World Of Matik</t>
  </si>
  <si>
    <t>Red Chameleon</t>
  </si>
  <si>
    <t>9828</t>
  </si>
  <si>
    <t>https://www.smwcentral.net/?a=details&amp;id=9828&amp;p=section</t>
  </si>
  <si>
    <t>https://dl.smwcentral.net/9828/Mario%20in%20the%20World%20of%20Matik%20-%20Demo%203.zip</t>
  </si>
  <si>
    <t>Mario in the Yoshis' Heartland</t>
  </si>
  <si>
    <t>Hach</t>
  </si>
  <si>
    <t>4996</t>
  </si>
  <si>
    <t>https://www.smwcentral.net/?a=details&amp;id=4996&amp;p=section</t>
  </si>
  <si>
    <t>https://dl.smwcentral.net/4996/MitYH.zip</t>
  </si>
  <si>
    <t>Mario in Whatever Land</t>
  </si>
  <si>
    <t>niko</t>
  </si>
  <si>
    <t>14633</t>
  </si>
  <si>
    <t>https://www.smwcentral.net/?a=details&amp;id=14633&amp;p=section</t>
  </si>
  <si>
    <t>https://dl.smwcentral.net/14633/Mario%20in%20Whatever%20Land%20%28V.0.11%29.zip</t>
  </si>
  <si>
    <t>Mario into Megaman</t>
  </si>
  <si>
    <t>Jimmy, That Guy</t>
  </si>
  <si>
    <t>9645</t>
  </si>
  <si>
    <t>https://www.smwcentral.net/?a=details&amp;id=9645&amp;p=section</t>
  </si>
  <si>
    <t>https://dl.smwcentral.net/9645/Mario%20Into%20Megaman%202.0.zip</t>
  </si>
  <si>
    <t>Mario is looking for the Golden Pizzaland</t>
  </si>
  <si>
    <t>35668</t>
  </si>
  <si>
    <t>https://www.smwcentral.net/?a=details&amp;id=35668&amp;p=section</t>
  </si>
  <si>
    <t>https://dl.smwcentral.net/35668/MarioGoldenPizza.zip</t>
  </si>
  <si>
    <t>Mario Is Missing 3: Mario's Wreck</t>
  </si>
  <si>
    <t>MetalUpYourAss</t>
  </si>
  <si>
    <t>10068</t>
  </si>
  <si>
    <t>https://www.smwcentral.net/?a=details&amp;id=10068&amp;p=section</t>
  </si>
  <si>
    <t>https://dl.smwcentral.net/10068/M%20Is%20Missing%203.zip</t>
  </si>
  <si>
    <t>Mario is Missing! Done Right</t>
  </si>
  <si>
    <t>15939</t>
  </si>
  <si>
    <t>https://www.smwcentral.net/?a=details&amp;id=15939&amp;p=section</t>
  </si>
  <si>
    <t>https://dl.smwcentral.net/15939/MIMFixedIntros.zip</t>
  </si>
  <si>
    <t>Mario is Missing... again</t>
  </si>
  <si>
    <t>10197</t>
  </si>
  <si>
    <t>https://www.smwcentral.net/?a=details&amp;id=10197&amp;p=section</t>
  </si>
  <si>
    <t>https://dl.smwcentral.net/10197/Alt%20Mario%20is%20Missing%202.zip</t>
  </si>
  <si>
    <t>Mario is Screwed</t>
  </si>
  <si>
    <t>Sixcorby</t>
  </si>
  <si>
    <t>15922</t>
  </si>
  <si>
    <t>https://www.smwcentral.net/?a=details&amp;id=15922&amp;p=section</t>
  </si>
  <si>
    <t>https://dl.smwcentral.net/15922/marioisscrewed.zip</t>
  </si>
  <si>
    <t>Mario is Sick!</t>
  </si>
  <si>
    <t>Corruptendo</t>
  </si>
  <si>
    <t>10154</t>
  </si>
  <si>
    <t>https://www.smwcentral.net/?a=details&amp;id=10154&amp;p=section</t>
  </si>
  <si>
    <t>https://dl.smwcentral.net/10154/Mario%20Is%20Sick%21%20V.6.zip</t>
  </si>
  <si>
    <t>Mario is Stupid</t>
  </si>
  <si>
    <t>14712</t>
  </si>
  <si>
    <t>https://www.smwcentral.net/?a=details&amp;id=14712&amp;p=section</t>
  </si>
  <si>
    <t>https://dl.smwcentral.net/14712/Mario_is_Stupid.zip</t>
  </si>
  <si>
    <t>Mario is too casual</t>
  </si>
  <si>
    <t>ocked</t>
  </si>
  <si>
    <t>32566</t>
  </si>
  <si>
    <t>https://www.smwcentral.net/?a=details&amp;id=32566&amp;p=section</t>
  </si>
  <si>
    <t>https://dl.smwcentral.net/32566/v1.1.zip</t>
  </si>
  <si>
    <t>Mario Keymanship</t>
  </si>
  <si>
    <t>29650</t>
  </si>
  <si>
    <t>https://www.smwcentral.net/?a=details&amp;id=29650&amp;p=section</t>
  </si>
  <si>
    <t>https://dl.smwcentral.net/29650/keymanship.zip</t>
  </si>
  <si>
    <t>Mario Kick World</t>
  </si>
  <si>
    <t>18714</t>
  </si>
  <si>
    <t>https://www.smwcentral.net/?a=details&amp;id=18714&amp;p=section</t>
  </si>
  <si>
    <t>https://dl.smwcentral.net/18714/Mario%20Kick%20World%20Demo.zip</t>
  </si>
  <si>
    <t>Mario Left the Garage Door Open Again</t>
  </si>
  <si>
    <t>23172</t>
  </si>
  <si>
    <t>https://www.smwcentral.net/?a=details&amp;id=23172&amp;p=section</t>
  </si>
  <si>
    <t>https://dl.smwcentral.net/23172/Mario%20Left%20The%20Garage%20Door%20Open%20Again.zip</t>
  </si>
  <si>
    <t>Mario Lost in the Fruit Cave</t>
  </si>
  <si>
    <t>10949</t>
  </si>
  <si>
    <t>https://www.smwcentral.net/?a=details&amp;id=10949&amp;p=section</t>
  </si>
  <si>
    <t>https://dl.smwcentral.net/10949/fruitcave.zip</t>
  </si>
  <si>
    <t>Mario Mania [SMWC #22072]</t>
  </si>
  <si>
    <t>Mario Mania</t>
  </si>
  <si>
    <t>22072</t>
  </si>
  <si>
    <t>https://www.smwcentral.net/?a=details&amp;id=22072&amp;p=section</t>
  </si>
  <si>
    <t>https://dl.smwcentral.net/22072/Mario%20Mania%201.1.zip</t>
  </si>
  <si>
    <t>Mario Mania [SMWC #34594]</t>
  </si>
  <si>
    <t>Hammerer</t>
  </si>
  <si>
    <t>34594</t>
  </si>
  <si>
    <t>https://www.smwcentral.net/?a=details&amp;id=34594&amp;p=section</t>
  </si>
  <si>
    <t>https://dl.smwcentral.net/34594/M.Mania.zip</t>
  </si>
  <si>
    <t>Mario Mario Mario</t>
  </si>
  <si>
    <t>BlueSkye209</t>
  </si>
  <si>
    <t>18257</t>
  </si>
  <si>
    <t>https://www.smwcentral.net/?a=details&amp;id=18257&amp;p=section</t>
  </si>
  <si>
    <t>https://dl.smwcentral.net/18257/MMM%20Demo.zip</t>
  </si>
  <si>
    <t>Mario Mario vs the Crab Army</t>
  </si>
  <si>
    <t>27426</t>
  </si>
  <si>
    <t>https://www.smwcentral.net/?a=details&amp;id=27426&amp;p=section</t>
  </si>
  <si>
    <t>https://dl.smwcentral.net/27426/crabs_v1.03.zip</t>
  </si>
  <si>
    <t>Mario Mario's Superior Platforming Physics Challenge</t>
  </si>
  <si>
    <t>Jamie</t>
  </si>
  <si>
    <t>40735</t>
  </si>
  <si>
    <t>https://www.smwcentral.net/?a=details&amp;id=40735&amp;p=section</t>
  </si>
  <si>
    <t>https://dl.smwcentral.net/40735/MMSPPC.zip</t>
  </si>
  <si>
    <t>Mario Memorandum</t>
  </si>
  <si>
    <t>Buzbee</t>
  </si>
  <si>
    <t>32691</t>
  </si>
  <si>
    <t>https://www.smwcentral.net/?a=details&amp;id=32691&amp;p=section</t>
  </si>
  <si>
    <t>https://dl.smwcentral.net/32691/Mario%20Memorandum%201.1.zip</t>
  </si>
  <si>
    <t>Mario Memorandum: New Game Plus</t>
  </si>
  <si>
    <t>33227</t>
  </si>
  <si>
    <t>https://www.smwcentral.net/?a=details&amp;id=33227&amp;p=section</t>
  </si>
  <si>
    <t>https://dl.smwcentral.net/33227/MMNGP%201.1.bps.zip</t>
  </si>
  <si>
    <t>Mario Mission</t>
  </si>
  <si>
    <t>jstreet2000</t>
  </si>
  <si>
    <t>26194</t>
  </si>
  <si>
    <t>https://www.smwcentral.net/?a=details&amp;id=26194&amp;p=section</t>
  </si>
  <si>
    <t>https://dl.smwcentral.net/26194/Mario%20Mission%201.0.zip</t>
  </si>
  <si>
    <t>Mario Must Die (SMWC version)</t>
  </si>
  <si>
    <t>9033</t>
  </si>
  <si>
    <t>https://www.smwcentral.net/?a=details&amp;id=9033&amp;p=section</t>
  </si>
  <si>
    <t>https://dl.smwcentral.net/9033/MarioMustDie.zip</t>
  </si>
  <si>
    <t>Mario Must Die 2</t>
  </si>
  <si>
    <t>13907</t>
  </si>
  <si>
    <t>https://www.smwcentral.net/?a=details&amp;id=13907&amp;p=section</t>
  </si>
  <si>
    <t>https://dl.smwcentral.net/13907/MMD2.zip</t>
  </si>
  <si>
    <t>Mario No Kumorizora</t>
  </si>
  <si>
    <t>39350</t>
  </si>
  <si>
    <t>https://www.smwcentral.net/?a=details&amp;id=39350&amp;p=section</t>
  </si>
  <si>
    <t>https://dl.smwcentral.net/39350/Kumorizora.zip</t>
  </si>
  <si>
    <t>Mario OC</t>
  </si>
  <si>
    <t>elieltonl</t>
  </si>
  <si>
    <t>24890</t>
  </si>
  <si>
    <t>https://www.smwcentral.net/?a=details&amp;id=24890&amp;p=section</t>
  </si>
  <si>
    <t>https://dl.smwcentral.net/24890/MARIO%20OC%20ediitor.zip</t>
  </si>
  <si>
    <t>Mario on Ice</t>
  </si>
  <si>
    <t>Pureblade</t>
  </si>
  <si>
    <t>9946</t>
  </si>
  <si>
    <t>https://www.smwcentral.net/?a=details&amp;id=9946&amp;p=section</t>
  </si>
  <si>
    <t>https://dl.smwcentral.net/9946/Icemario.zip</t>
  </si>
  <si>
    <t>Mario on the Moon</t>
  </si>
  <si>
    <t>28324</t>
  </si>
  <si>
    <t>https://www.smwcentral.net/?a=details&amp;id=28324&amp;p=section</t>
  </si>
  <si>
    <t>https://dl.smwcentral.net/28324/Mario%20On%20The%20Moon.zip</t>
  </si>
  <si>
    <t>Mario Quits</t>
  </si>
  <si>
    <t>DasFueller</t>
  </si>
  <si>
    <t>31372</t>
  </si>
  <si>
    <t>https://www.smwcentral.net/?a=details&amp;id=31372&amp;p=section</t>
  </si>
  <si>
    <t>https://dl.smwcentral.net/31372/Mario_Quits_1.0.zip</t>
  </si>
  <si>
    <t>Mario Quits 2</t>
  </si>
  <si>
    <t>41121</t>
  </si>
  <si>
    <t>https://www.smwcentral.net/?a=details&amp;id=41121&amp;p=section</t>
  </si>
  <si>
    <t>https://dl.smwcentral.net/41121/MQ2_v1_2.zip</t>
  </si>
  <si>
    <t>Mario Rescues 4th Of July</t>
  </si>
  <si>
    <t>23536</t>
  </si>
  <si>
    <t>https://www.smwcentral.net/?a=details&amp;id=23536&amp;p=section</t>
  </si>
  <si>
    <t>https://dl.smwcentral.net/23536/Mario%20Rescues%204th%20Of%20July.zip</t>
  </si>
  <si>
    <t>Mario Rescues Santa Claus</t>
  </si>
  <si>
    <t>32809</t>
  </si>
  <si>
    <t>https://www.smwcentral.net/?a=details&amp;id=32809&amp;p=section</t>
  </si>
  <si>
    <t>https://dl.smwcentral.net/32809/Mario%20Rescues%20Santa%20Claus%20%28V1.0.2%29.zip</t>
  </si>
  <si>
    <t>Mario Rescues the Golden Mushroom</t>
  </si>
  <si>
    <t>20754</t>
  </si>
  <si>
    <t>https://www.smwcentral.net/?a=details&amp;id=20754&amp;p=section</t>
  </si>
  <si>
    <t>https://dl.smwcentral.net/20754/Mario%20Rescues%20the%20Golden%20Mushroom%20V1.1.4.zip</t>
  </si>
  <si>
    <t>Mario Returns To Yoshi's Island</t>
  </si>
  <si>
    <t>supernova38</t>
  </si>
  <si>
    <t>5982</t>
  </si>
  <si>
    <t>https://www.smwcentral.net/?a=details&amp;id=5982&amp;p=section</t>
  </si>
  <si>
    <t>https://dl.smwcentral.net/5982/MRTYI%20demo.zip</t>
  </si>
  <si>
    <t>Mario Saves Christmas</t>
  </si>
  <si>
    <t>21687</t>
  </si>
  <si>
    <t>https://www.smwcentral.net/?a=details&amp;id=21687&amp;p=section</t>
  </si>
  <si>
    <t>https://dl.smwcentral.net/21687/Mario%20Saves%20Christmas%20V1.2.zip</t>
  </si>
  <si>
    <t>Mario Saves Christmas 2021</t>
  </si>
  <si>
    <t>28944</t>
  </si>
  <si>
    <t>https://www.smwcentral.net/?a=details&amp;id=28944&amp;p=section</t>
  </si>
  <si>
    <t>https://dl.smwcentral.net/28944/Mario%20Saves%20Christmas%202021.zip</t>
  </si>
  <si>
    <t>Mario Saves Easter 2023</t>
  </si>
  <si>
    <t>33669</t>
  </si>
  <si>
    <t>https://www.smwcentral.net/?a=details&amp;id=33669&amp;p=section</t>
  </si>
  <si>
    <t>https://dl.smwcentral.net/33669/Mario%20Saves%20Easter%202023.zip</t>
  </si>
  <si>
    <t>Mario Saves Fermin's Birthday</t>
  </si>
  <si>
    <t>29823</t>
  </si>
  <si>
    <t>https://www.smwcentral.net/?a=details&amp;id=29823&amp;p=section</t>
  </si>
  <si>
    <t>https://dl.smwcentral.net/29823/Mario%20Saves%20Fermin%27s%20Birthday.zip</t>
  </si>
  <si>
    <t>Mario Saves Peach Once Again</t>
  </si>
  <si>
    <t>Lmao</t>
  </si>
  <si>
    <t>29857</t>
  </si>
  <si>
    <t>https://www.smwcentral.net/?a=details&amp;id=29857&amp;p=section</t>
  </si>
  <si>
    <t>https://dl.smwcentral.net/29857/MSPOA%20DEMO%20UPDATE%203.zip</t>
  </si>
  <si>
    <t>Mario Saves Princess Peach</t>
  </si>
  <si>
    <t>28253</t>
  </si>
  <si>
    <t>https://www.smwcentral.net/?a=details&amp;id=28253&amp;p=section</t>
  </si>
  <si>
    <t>https://dl.smwcentral.net/28253/Mario%20Saves%20Princess%20Peach.zip</t>
  </si>
  <si>
    <t>Mario Saves Princess Toadstool 2</t>
  </si>
  <si>
    <t>32992</t>
  </si>
  <si>
    <t>https://www.smwcentral.net/?a=details&amp;id=32992&amp;p=section</t>
  </si>
  <si>
    <t>https://dl.smwcentral.net/32992/Mario%20Saves%20Princess%20Toadstool%202.zip</t>
  </si>
  <si>
    <t>Mario Saves Spring Break</t>
  </si>
  <si>
    <t>20687</t>
  </si>
  <si>
    <t>https://www.smwcentral.net/?a=details&amp;id=20687&amp;p=section</t>
  </si>
  <si>
    <t>https://dl.smwcentral.net/20687/Mario%20Saves%20Spring%20Break%20%28UPDATED%29.zip</t>
  </si>
  <si>
    <t>Mario Saves Spring Break 2</t>
  </si>
  <si>
    <t>30183</t>
  </si>
  <si>
    <t>https://www.smwcentral.net/?a=details&amp;id=30183&amp;p=section</t>
  </si>
  <si>
    <t>https://dl.smwcentral.net/30183/Mario%20Saves%20Spring%20Break%202.zip</t>
  </si>
  <si>
    <t>Mario Saves Summer Break 2024</t>
  </si>
  <si>
    <t>37877</t>
  </si>
  <si>
    <t>https://www.smwcentral.net/?a=details&amp;id=37877&amp;p=section</t>
  </si>
  <si>
    <t>https://dl.smwcentral.net/37877/Mario%20Saves%20Summer%20Break%202024.zip</t>
  </si>
  <si>
    <t>Mario Silver Land Ep I</t>
  </si>
  <si>
    <t>BlackStone187</t>
  </si>
  <si>
    <t>10256</t>
  </si>
  <si>
    <t>https://www.smwcentral.net/?a=details&amp;id=10256&amp;p=section</t>
  </si>
  <si>
    <t>https://dl.smwcentral.net/10256/Silver%20Land%20Ep%201%20%28Mario%20demo%29.zip</t>
  </si>
  <si>
    <t>Mario story : Return to sweet n' sour land</t>
  </si>
  <si>
    <t>27627</t>
  </si>
  <si>
    <t>https://www.smwcentral.net/?a=details&amp;id=27627&amp;p=section</t>
  </si>
  <si>
    <t>https://dl.smwcentral.net/27627/Mario%20story%20-%20return%20to%20SNS%20V1.1.zip</t>
  </si>
  <si>
    <t>Mario Super R</t>
  </si>
  <si>
    <t>expgst</t>
  </si>
  <si>
    <t>23422</t>
  </si>
  <si>
    <t>https://www.smwcentral.net/?a=details&amp;id=23422&amp;p=section</t>
  </si>
  <si>
    <t>https://dl.smwcentral.net/23422/Mario%20Super%20R%20V1.01.zip</t>
  </si>
  <si>
    <t>Mario the Archaeologist</t>
  </si>
  <si>
    <t>9814</t>
  </si>
  <si>
    <t>https://www.smwcentral.net/?a=details&amp;id=9814&amp;p=section</t>
  </si>
  <si>
    <t>https://dl.smwcentral.net/9814/MTA.zip</t>
  </si>
  <si>
    <t>Mario to the Rescue</t>
  </si>
  <si>
    <t>Medic</t>
  </si>
  <si>
    <t>10037</t>
  </si>
  <si>
    <t>https://www.smwcentral.net/?a=details&amp;id=10037&amp;p=section</t>
  </si>
  <si>
    <t>https://dl.smwcentral.net/10037/Mario%20to%20the%20rescue%21.zip</t>
  </si>
  <si>
    <t>Mario travels around the World</t>
  </si>
  <si>
    <t>Edphonse15</t>
  </si>
  <si>
    <t>25469</t>
  </si>
  <si>
    <t>https://www.smwcentral.net/?a=details&amp;id=25469&amp;p=section</t>
  </si>
  <si>
    <t>https://dl.smwcentral.net/25469/Mario%20travels%20around%20the%20world%20-%20Demo.zip</t>
  </si>
  <si>
    <t>Mario vs Sonic.exe 2</t>
  </si>
  <si>
    <t>TheInsanity115</t>
  </si>
  <si>
    <t>13963</t>
  </si>
  <si>
    <t>https://www.smwcentral.net/?a=details&amp;id=13963&amp;p=section</t>
  </si>
  <si>
    <t>https://dl.smwcentral.net/13963/Mario%20vs%20SONIC.EXE%202%20Final%20Version.zip</t>
  </si>
  <si>
    <t>Mario VS The Police 2</t>
  </si>
  <si>
    <t>nnj</t>
  </si>
  <si>
    <t>25224</t>
  </si>
  <si>
    <t>https://www.smwcentral.net/?a=details&amp;id=25224&amp;p=section</t>
  </si>
  <si>
    <t>https://dl.smwcentral.net/25224/awfulhack.zip</t>
  </si>
  <si>
    <t>Mario Vs. Big Boo</t>
  </si>
  <si>
    <t>XpheXl</t>
  </si>
  <si>
    <t>14571</t>
  </si>
  <si>
    <t>https://www.smwcentral.net/?a=details&amp;id=14571&amp;p=section</t>
  </si>
  <si>
    <t>https://dl.smwcentral.net/14571/Mario%20Vs.%20Big%20Boo%20-%20the%20ultimate%20epic%20showdown%20of%20destiny%20in%20a%20duel%20of%20life%2C%20death%20and%20bananas.zip</t>
  </si>
  <si>
    <t>Mario vs. Bowser and Mighty No. 9</t>
  </si>
  <si>
    <t>6632</t>
  </si>
  <si>
    <t>https://www.smwcentral.net/?a=details&amp;id=6632&amp;p=section</t>
  </si>
  <si>
    <t>https://dl.smwcentral.net/6632/SMWMightyFull3.zip</t>
  </si>
  <si>
    <t>Mario vs. Shyguy</t>
  </si>
  <si>
    <t>chris10125</t>
  </si>
  <si>
    <t>9700</t>
  </si>
  <si>
    <t>https://www.smwcentral.net/?a=details&amp;id=9700&amp;p=section</t>
  </si>
  <si>
    <t>https://dl.smwcentral.net/9700/Mario_Vs_Shyguy.zip</t>
  </si>
  <si>
    <t>Mario vs. SONIC.EXE</t>
  </si>
  <si>
    <t>11616</t>
  </si>
  <si>
    <t>https://www.smwcentral.net/?a=details&amp;id=11616&amp;p=section</t>
  </si>
  <si>
    <t>https://dl.smwcentral.net/11616/Mario%20vs%20Sonic%20v6.zip</t>
  </si>
  <si>
    <t>Mario Vs. The Deadly Alliance</t>
  </si>
  <si>
    <t>SpoodahBro</t>
  </si>
  <si>
    <t>33308</t>
  </si>
  <si>
    <t>https://www.smwcentral.net/?a=details&amp;id=33308&amp;p=section</t>
  </si>
  <si>
    <t>https://dl.smwcentral.net/33308/Mario%20Vs.%20The%20Deadly%20Alliance%28V2.5%29.zip</t>
  </si>
  <si>
    <t>Mario vs. the Magnificent 7</t>
  </si>
  <si>
    <t>Agent Q</t>
  </si>
  <si>
    <t>9896</t>
  </si>
  <si>
    <t>https://www.smwcentral.net/?a=details&amp;id=9896&amp;p=section</t>
  </si>
  <si>
    <t>https://dl.smwcentral.net/9896/DaKingDemo.zip</t>
  </si>
  <si>
    <t>Mario Wakes Up... Expanded!</t>
  </si>
  <si>
    <t>9798</t>
  </si>
  <si>
    <t>https://www.smwcentral.net/?a=details&amp;id=9798&amp;p=section</t>
  </si>
  <si>
    <t>https://dl.smwcentral.net/9798/MWU-Ex.zip</t>
  </si>
  <si>
    <t>Mario Wants His Lemonade</t>
  </si>
  <si>
    <t>5596</t>
  </si>
  <si>
    <t>https://www.smwcentral.net/?a=details&amp;id=5596&amp;p=section</t>
  </si>
  <si>
    <t>https://dl.smwcentral.net/5596/Mario%20Wants%20His%20Lemonade.zip</t>
  </si>
  <si>
    <t>Mario World Super Yuri's Hack</t>
  </si>
  <si>
    <t>Yurelvis123</t>
  </si>
  <si>
    <t>10185</t>
  </si>
  <si>
    <t>https://www.smwcentral.net/?a=details&amp;id=10185&amp;p=section</t>
  </si>
  <si>
    <t>https://dl.smwcentral.net/10185/Mario%20World%20Super%20Yuri%27s%20Hack%20DEMO%202.6.1.zip</t>
  </si>
  <si>
    <t>Mario World The Mario Adventure</t>
  </si>
  <si>
    <t>rodark</t>
  </si>
  <si>
    <t>35335</t>
  </si>
  <si>
    <t>https://www.smwcentral.net/?a=details&amp;id=35335&amp;p=section</t>
  </si>
  <si>
    <t>https://dl.smwcentral.net/35335/Mario%20World%20the%20mario%20adventure%20demo.zip</t>
  </si>
  <si>
    <t>Mario! A New Era</t>
  </si>
  <si>
    <t>Tahixham</t>
  </si>
  <si>
    <t>9897</t>
  </si>
  <si>
    <t>https://www.smwcentral.net/?a=details&amp;id=9897&amp;p=section</t>
  </si>
  <si>
    <t>https://dl.smwcentral.net/9897/mario%21%20nera.zip</t>
  </si>
  <si>
    <t>Mario's 100s Challenge</t>
  </si>
  <si>
    <t>JP32</t>
  </si>
  <si>
    <t>13372</t>
  </si>
  <si>
    <t>https://www.smwcentral.net/?a=details&amp;id=13372&amp;p=section</t>
  </si>
  <si>
    <t>https://dl.smwcentral.net/13372/Marios%20100s%20Challenge%20FINAL%202%2C1.zip</t>
  </si>
  <si>
    <t>Mario's 2 Ways 2 Victory</t>
  </si>
  <si>
    <t>Ckristina</t>
  </si>
  <si>
    <t>5583</t>
  </si>
  <si>
    <t>https://www.smwcentral.net/?a=details&amp;id=5583&amp;p=section</t>
  </si>
  <si>
    <t>https://dl.smwcentral.net/5583/Mario%27s%202%20Ways%202%20Victory.zip</t>
  </si>
  <si>
    <t>Mario's Adventure</t>
  </si>
  <si>
    <t>John Freeman</t>
  </si>
  <si>
    <t>9785</t>
  </si>
  <si>
    <t>https://www.smwcentral.net/?a=details&amp;id=9785&amp;p=section</t>
  </si>
  <si>
    <t>https://dl.smwcentral.net/9785/Mario%27s%20adventure%20demo%202.zip</t>
  </si>
  <si>
    <t>Mario's Adventure in Yoshi's Island</t>
  </si>
  <si>
    <t>10188</t>
  </si>
  <si>
    <t>https://www.smwcentral.net/?a=details&amp;id=10188&amp;p=section</t>
  </si>
  <si>
    <t>https://dl.smwcentral.net/10188/Mario%27s.zip</t>
  </si>
  <si>
    <t>Mario's Adventure on the Southern Continent</t>
  </si>
  <si>
    <t>NoodleSauce</t>
  </si>
  <si>
    <t>5564</t>
  </si>
  <si>
    <t>https://www.smwcentral.net/?a=details&amp;id=5564&amp;p=section</t>
  </si>
  <si>
    <t>https://dl.smwcentral.net/5564/Southern%20Continent.zip</t>
  </si>
  <si>
    <t>Mario's Amazing Adventure Revitalized</t>
  </si>
  <si>
    <t>13836</t>
  </si>
  <si>
    <t>https://www.smwcentral.net/?a=details&amp;id=13836&amp;p=section</t>
  </si>
  <si>
    <t>https://dl.smwcentral.net/13836/Mario%27s%20amazing%20adventure.zip</t>
  </si>
  <si>
    <t>Mario's Amazing Adventure: Extrem Edition</t>
  </si>
  <si>
    <t>16579</t>
  </si>
  <si>
    <t>https://www.smwcentral.net/?a=details&amp;id=16579&amp;p=section</t>
  </si>
  <si>
    <t>https://dl.smwcentral.net/16579/MAAEE.zip</t>
  </si>
  <si>
    <t>Mario's Ascetic Adventure</t>
  </si>
  <si>
    <t>11662</t>
  </si>
  <si>
    <t>https://www.smwcentral.net/?a=details&amp;id=11662&amp;p=section</t>
  </si>
  <si>
    <t>https://dl.smwcentral.net/11662/Mario%27sAsceticAdventuredemo.zip</t>
  </si>
  <si>
    <t>Mario's Awesome Journey</t>
  </si>
  <si>
    <t>16326</t>
  </si>
  <si>
    <t>https://www.smwcentral.net/?a=details&amp;id=16326&amp;p=section</t>
  </si>
  <si>
    <t>https://dl.smwcentral.net/16326/Mario%27s%20Awesome%20Journey%20Demo%202.zip</t>
  </si>
  <si>
    <t>Mario's Bathroom Adventure</t>
  </si>
  <si>
    <t>Noobish Noobsicle</t>
  </si>
  <si>
    <t>10034</t>
  </si>
  <si>
    <t>https://www.smwcentral.net/?a=details&amp;id=10034&amp;p=section</t>
  </si>
  <si>
    <t>https://dl.smwcentral.net/10034/Mario%27s%20Bathroom%20Adventure.zip</t>
  </si>
  <si>
    <t>Mario's Bizarre Adventure</t>
  </si>
  <si>
    <t>StayAtHomeStegosaurus</t>
  </si>
  <si>
    <t>26949</t>
  </si>
  <si>
    <t>https://www.smwcentral.net/?a=details&amp;id=26949&amp;p=section</t>
  </si>
  <si>
    <t>https://dl.smwcentral.net/26949/MariosBizarreAdventure_v1.1.zip</t>
  </si>
  <si>
    <t>Mario's Bizarre Adventure DLC</t>
  </si>
  <si>
    <t>27388</t>
  </si>
  <si>
    <t>https://www.smwcentral.net/?a=details&amp;id=27388&amp;p=section</t>
  </si>
  <si>
    <t>https://dl.smwcentral.net/27388/MariosBizarreAdventureDLC.zip</t>
  </si>
  <si>
    <t>Mario's Cookie Catastrophe</t>
  </si>
  <si>
    <t>millieman76</t>
  </si>
  <si>
    <t>10239</t>
  </si>
  <si>
    <t>https://www.smwcentral.net/?a=details&amp;id=10239&amp;p=section</t>
  </si>
  <si>
    <t>https://dl.smwcentral.net/10239/Mario%27s%20Cookie%20Catastrophe%20V1.2.zip</t>
  </si>
  <si>
    <t>Mario's Cool Mission</t>
  </si>
  <si>
    <t>Woody</t>
  </si>
  <si>
    <t>9861</t>
  </si>
  <si>
    <t>https://www.smwcentral.net/?a=details&amp;id=9861&amp;p=section</t>
  </si>
  <si>
    <t>https://dl.smwcentral.net/9861/SMW%20Mario%27s%20Cool%20Mission.zip</t>
  </si>
  <si>
    <t>Mario's Day Off</t>
  </si>
  <si>
    <t>hendog30_</t>
  </si>
  <si>
    <t>21139</t>
  </si>
  <si>
    <t>https://www.smwcentral.net/?a=details&amp;id=21139&amp;p=section</t>
  </si>
  <si>
    <t>https://dl.smwcentral.net/21139/MariosDayOff.zip</t>
  </si>
  <si>
    <t>Mario's Double Trouble</t>
  </si>
  <si>
    <t>AlWaYsDeLiVeRz</t>
  </si>
  <si>
    <t>9769</t>
  </si>
  <si>
    <t>https://www.smwcentral.net/?a=details&amp;id=9769&amp;p=section</t>
  </si>
  <si>
    <t>https://dl.smwcentral.net/9769/Mario%27s%20Double%20Trouble.zip</t>
  </si>
  <si>
    <t>Mario's Dying Simulator</t>
  </si>
  <si>
    <t>39635</t>
  </si>
  <si>
    <t>https://www.smwcentral.net/?a=details&amp;id=39635&amp;p=section</t>
  </si>
  <si>
    <t>https://dl.smwcentral.net/39635/MariosDyingSimulator.zip</t>
  </si>
  <si>
    <t>Mario's Endless Adventure 2: Escape From Koopatraz Prison</t>
  </si>
  <si>
    <t>Ddoomm10</t>
  </si>
  <si>
    <t>10268</t>
  </si>
  <si>
    <t>https://www.smwcentral.net/?a=details&amp;id=10268&amp;p=section</t>
  </si>
  <si>
    <t>https://dl.smwcentral.net/10268/MEA2.zip</t>
  </si>
  <si>
    <t>Mario's Enigmatic Tales 1: The Betrayal</t>
  </si>
  <si>
    <t>10300</t>
  </si>
  <si>
    <t>https://www.smwcentral.net/?a=details&amp;id=10300&amp;p=section</t>
  </si>
  <si>
    <t>https://dl.smwcentral.net/10300/Mario%27s%20Enigmatic%20Tales%20BETA%20Fixed.zip</t>
  </si>
  <si>
    <t>Mario's Epic Adventure [SMWC #10132]</t>
  </si>
  <si>
    <t>Mario's Epic Adventure</t>
  </si>
  <si>
    <t>10132</t>
  </si>
  <si>
    <t>https://www.smwcentral.net/?a=details&amp;id=10132&amp;p=section</t>
  </si>
  <si>
    <t>https://dl.smwcentral.net/10132/Mario%27s%20Epic%20Adventure.zip</t>
  </si>
  <si>
    <t>Mario's Epic Adventure [SMWC #36826]</t>
  </si>
  <si>
    <t>36826</t>
  </si>
  <si>
    <t>https://www.smwcentral.net/?a=details&amp;id=36826&amp;p=section</t>
  </si>
  <si>
    <t>https://dl.smwcentral.net/36826/Marios%20Epic%20Adventure%20Demo%202.zip</t>
  </si>
  <si>
    <t>Mario's Evil Level</t>
  </si>
  <si>
    <t>Mapsking</t>
  </si>
  <si>
    <t>33315</t>
  </si>
  <si>
    <t>https://www.smwcentral.net/?a=details&amp;id=33315&amp;p=section</t>
  </si>
  <si>
    <t>https://dl.smwcentral.net/33315/Mario%27s%20Evil%20Level%20v1.5.zip</t>
  </si>
  <si>
    <t>Mario's Exodus To Death</t>
  </si>
  <si>
    <t>Soul2Limbo</t>
  </si>
  <si>
    <t>5261</t>
  </si>
  <si>
    <t>https://www.smwcentral.net/?a=details&amp;id=5261&amp;p=section</t>
  </si>
  <si>
    <t>https://dl.smwcentral.net/5261/MD.zip</t>
  </si>
  <si>
    <t>Mario's Final Quest</t>
  </si>
  <si>
    <t>Kyanite</t>
  </si>
  <si>
    <t>13877</t>
  </si>
  <si>
    <t>https://www.smwcentral.net/?a=details&amp;id=13877&amp;p=section</t>
  </si>
  <si>
    <t>https://dl.smwcentral.net/13877/MFQ%20v1.2.zip</t>
  </si>
  <si>
    <t>Mario's First Adventure</t>
  </si>
  <si>
    <t>10243</t>
  </si>
  <si>
    <t>https://www.smwcentral.net/?a=details&amp;id=10243&amp;p=section</t>
  </si>
  <si>
    <t>https://dl.smwcentral.net/10243/C3%20Demo%20of%20M1A.zip</t>
  </si>
  <si>
    <t>Mario's Grand Adventure</t>
  </si>
  <si>
    <t>31857</t>
  </si>
  <si>
    <t>https://www.smwcentral.net/?a=details&amp;id=31857&amp;p=section</t>
  </si>
  <si>
    <t>https://dl.smwcentral.net/31857/Mario%27s%20Grand%20Adventure.zip</t>
  </si>
  <si>
    <t>Mario's Grand Adventure 2: Mario's World Tour</t>
  </si>
  <si>
    <t>28978</t>
  </si>
  <si>
    <t>https://www.smwcentral.net/?a=details&amp;id=28978&amp;p=section</t>
  </si>
  <si>
    <t>https://dl.smwcentral.net/28978/Mario%27s%20Grand%20Adventure%202%20Mario%27s%20World%20Tour.zip</t>
  </si>
  <si>
    <t>Mario's Grand Adventure: Delta Island</t>
  </si>
  <si>
    <t>27808</t>
  </si>
  <si>
    <t>https://www.smwcentral.net/?a=details&amp;id=27808&amp;p=section</t>
  </si>
  <si>
    <t>https://dl.smwcentral.net/27808/Mario%27s%20Grand%20Adventure%20Delta%20Island.zip</t>
  </si>
  <si>
    <t>Mario's Grand Adventure: Omega Jungle</t>
  </si>
  <si>
    <t>28058</t>
  </si>
  <si>
    <t>https://www.smwcentral.net/?a=details&amp;id=28058&amp;p=section</t>
  </si>
  <si>
    <t>https://dl.smwcentral.net/28058/Mario%27s%20Grand%20Adventure%20Omega%20Jungle.zip</t>
  </si>
  <si>
    <t>Mario's Homeland</t>
  </si>
  <si>
    <t>Tommy15551</t>
  </si>
  <si>
    <t>9953</t>
  </si>
  <si>
    <t>https://www.smwcentral.net/?a=details&amp;id=9953&amp;p=section</t>
  </si>
  <si>
    <t>https://dl.smwcentral.net/9953/Mario%27s%20Homeland%20%28Demo1%29.zip</t>
  </si>
  <si>
    <t>Mario's Island Exploration</t>
  </si>
  <si>
    <t>5573</t>
  </si>
  <si>
    <t>https://www.smwcentral.net/?a=details&amp;id=5573&amp;p=section</t>
  </si>
  <si>
    <t>https://dl.smwcentral.net/5573/MIE.zip</t>
  </si>
  <si>
    <t>Mario's Journey Through Time &amp; Space</t>
  </si>
  <si>
    <t>Ice Man</t>
  </si>
  <si>
    <t>6505</t>
  </si>
  <si>
    <t>https://www.smwcentral.net/?a=details&amp;id=6505&amp;p=section</t>
  </si>
  <si>
    <t>https://dl.smwcentral.net/6505/MJTTAS%20Final.zip</t>
  </si>
  <si>
    <t>Mario's Keytastrophe</t>
  </si>
  <si>
    <t>S.N.N.</t>
  </si>
  <si>
    <t>5317</t>
  </si>
  <si>
    <t>https://www.smwcentral.net/?a=details&amp;id=5317&amp;p=section</t>
  </si>
  <si>
    <t>https://dl.smwcentral.net/5317/MKT.zip</t>
  </si>
  <si>
    <t>Mario's Keytastrophe: Rebirth Edition</t>
  </si>
  <si>
    <t>15797</t>
  </si>
  <si>
    <t>https://www.smwcentral.net/?a=details&amp;id=15797&amp;p=section</t>
  </si>
  <si>
    <t>https://dl.smwcentral.net/15797/KTR.zip</t>
  </si>
  <si>
    <t>Mario's Last Adventure</t>
  </si>
  <si>
    <t>14534</t>
  </si>
  <si>
    <t>https://www.smwcentral.net/?a=details&amp;id=14534&amp;p=section</t>
  </si>
  <si>
    <t>https://dl.smwcentral.net/14534/MLA%20Demo%201.zip</t>
  </si>
  <si>
    <t>Mario's Long Traveling</t>
  </si>
  <si>
    <t>Teo17</t>
  </si>
  <si>
    <t>5435</t>
  </si>
  <si>
    <t>https://www.smwcentral.net/?a=details&amp;id=5435&amp;p=section</t>
  </si>
  <si>
    <t>https://dl.smwcentral.net/5435/MLT.zip</t>
  </si>
  <si>
    <t>Mario's Lost World</t>
  </si>
  <si>
    <t>icegoom</t>
  </si>
  <si>
    <t>4982</t>
  </si>
  <si>
    <t>https://www.smwcentral.net/?a=details&amp;id=4982&amp;p=section</t>
  </si>
  <si>
    <t>https://dl.smwcentral.net/4982/MariosLostWorldDemo.zip</t>
  </si>
  <si>
    <t>Mario's Low-Budget Adventure</t>
  </si>
  <si>
    <t>tranvucam</t>
  </si>
  <si>
    <t>38080</t>
  </si>
  <si>
    <t>https://www.smwcentral.net/?a=details&amp;id=38080&amp;p=section</t>
  </si>
  <si>
    <t>https://dl.smwcentral.net/38080/Mario%27s%20Low-Budget%20Adventure%20v1.2.zip</t>
  </si>
  <si>
    <t>Mario's Mad Adventure</t>
  </si>
  <si>
    <t>9703</t>
  </si>
  <si>
    <t>https://www.smwcentral.net/?a=details&amp;id=9703&amp;p=section</t>
  </si>
  <si>
    <t>https://dl.smwcentral.net/9703/Mario%27s%20Mad%20Adventure%20%282%20Parts%29.zip</t>
  </si>
  <si>
    <t>Mario's Misadventures 2: The Black Hole Bomb</t>
  </si>
  <si>
    <t>signature_steve</t>
  </si>
  <si>
    <t>41279</t>
  </si>
  <si>
    <t>https://www.smwcentral.net/?a=details&amp;id=41279&amp;p=section</t>
  </si>
  <si>
    <t>https://dl.smwcentral.net/41279/MariosMisadventures2%20v1.2.5.zip</t>
  </si>
  <si>
    <t>Mario's Misadventures: The Secret of The 11 Gems</t>
  </si>
  <si>
    <t>38098</t>
  </si>
  <si>
    <t>https://www.smwcentral.net/?a=details&amp;id=38098&amp;p=section</t>
  </si>
  <si>
    <t>https://dl.smwcentral.net/38098/MariosMisadventures1.4.3.zip</t>
  </si>
  <si>
    <t>Mario's Mission</t>
  </si>
  <si>
    <t>10225</t>
  </si>
  <si>
    <t>https://www.smwcentral.net/?a=details&amp;id=10225&amp;p=section</t>
  </si>
  <si>
    <t>https://dl.smwcentral.net/10225/Marios%20Mission.zip</t>
  </si>
  <si>
    <t>Mario's Mistake</t>
  </si>
  <si>
    <t>gibbl</t>
  </si>
  <si>
    <t>6131</t>
  </si>
  <si>
    <t>https://www.smwcentral.net/?a=details&amp;id=6131&amp;p=section</t>
  </si>
  <si>
    <t>https://dl.smwcentral.net/6131/Mario%27s%20Mistake.zip</t>
  </si>
  <si>
    <t>Mario's Mystery Meat</t>
  </si>
  <si>
    <t>Eminus</t>
  </si>
  <si>
    <t>23290</t>
  </si>
  <si>
    <t>https://www.smwcentral.net/?a=details&amp;id=23290&amp;p=section</t>
  </si>
  <si>
    <t>https://dl.smwcentral.net/23290/mmmeat.zip</t>
  </si>
  <si>
    <t>Mario's Mystical Garden</t>
  </si>
  <si>
    <t>5529</t>
  </si>
  <si>
    <t>https://www.smwcentral.net/?a=details&amp;id=5529&amp;p=section</t>
  </si>
  <si>
    <t>https://dl.smwcentral.net/5529/MMG1.3.zip</t>
  </si>
  <si>
    <t>Mario's New World</t>
  </si>
  <si>
    <t>10217</t>
  </si>
  <si>
    <t>https://www.smwcentral.net/?a=details&amp;id=10217&amp;p=section</t>
  </si>
  <si>
    <t>https://dl.smwcentral.net/10217/%282004%29%20Mario%27s%20New%20World.zip</t>
  </si>
  <si>
    <t>Mario's New Year Mini Quest</t>
  </si>
  <si>
    <t>26149</t>
  </si>
  <si>
    <t>https://www.smwcentral.net/?a=details&amp;id=26149&amp;p=section</t>
  </si>
  <si>
    <t>https://dl.smwcentral.net/26149/Mario%27s%20New%20Year%20Mini%20Quest%20%28V1.2%29.zip</t>
  </si>
  <si>
    <t>Mario's Next Adventure</t>
  </si>
  <si>
    <t>Systrem Studios</t>
  </si>
  <si>
    <t>13292</t>
  </si>
  <si>
    <t>https://www.smwcentral.net/?a=details&amp;id=13292&amp;p=section</t>
  </si>
  <si>
    <t>https://dl.smwcentral.net/13292/Marios%20Next%20Adventure%20v.2.0.zip</t>
  </si>
  <si>
    <t>Mario's Nightmare: Episode 1</t>
  </si>
  <si>
    <t>TooManyToasters</t>
  </si>
  <si>
    <t>9816</t>
  </si>
  <si>
    <t>https://www.smwcentral.net/?a=details&amp;id=9816&amp;p=section</t>
  </si>
  <si>
    <t>https://dl.smwcentral.net/9816/Mario%27s%20Nightmare%20Ep1.zip</t>
  </si>
  <si>
    <t>Mario's NOSE</t>
  </si>
  <si>
    <t>rextep</t>
  </si>
  <si>
    <t>17452</t>
  </si>
  <si>
    <t>https://www.smwcentral.net/?a=details&amp;id=17452&amp;p=section</t>
  </si>
  <si>
    <t>https://dl.smwcentral.net/17452/MNOSE.zip</t>
  </si>
  <si>
    <t>Mario's on a New Adventure!</t>
  </si>
  <si>
    <t>ItsaMe.64</t>
  </si>
  <si>
    <t>18975</t>
  </si>
  <si>
    <t>https://www.smwcentral.net/?a=details&amp;id=18975&amp;p=section</t>
  </si>
  <si>
    <t>https://dl.smwcentral.net/18975/%5BMoaNA%21%20up1%5D.zip</t>
  </si>
  <si>
    <t>Mario's Peregrination-Kingdom Elementum Phantasia</t>
  </si>
  <si>
    <t>14536</t>
  </si>
  <si>
    <t>https://www.smwcentral.net/?a=details&amp;id=14536&amp;p=section</t>
  </si>
  <si>
    <t>https://dl.smwcentral.net/14536/MP.zip</t>
  </si>
  <si>
    <t>Mario's Pride Mini Quest</t>
  </si>
  <si>
    <t>34166</t>
  </si>
  <si>
    <t>https://www.smwcentral.net/?a=details&amp;id=34166&amp;p=section</t>
  </si>
  <si>
    <t>https://dl.smwcentral.net/34166/Mario%27s%20Pride%20Mini%20Quest%20%28V1.3.5%29.zip</t>
  </si>
  <si>
    <t>Mario's Quest For The Water</t>
  </si>
  <si>
    <t>waffledoctor87</t>
  </si>
  <si>
    <t>20324</t>
  </si>
  <si>
    <t>https://www.smwcentral.net/?a=details&amp;id=20324&amp;p=section</t>
  </si>
  <si>
    <t>https://dl.smwcentral.net/20324/MQFTW.zip</t>
  </si>
  <si>
    <t>Mario's Quest: The Legend of Darmi</t>
  </si>
  <si>
    <t>12947</t>
  </si>
  <si>
    <t>https://www.smwcentral.net/?a=details&amp;id=12947&amp;p=section</t>
  </si>
  <si>
    <t>https://dl.smwcentral.net/12947/Mario%27s%20Quest-%20The%20Legend%20of%20Darmi.zip</t>
  </si>
  <si>
    <t>Mario's Redemption Quest</t>
  </si>
  <si>
    <t>25924</t>
  </si>
  <si>
    <t>https://www.smwcentral.net/?a=details&amp;id=25924&amp;p=section</t>
  </si>
  <si>
    <t>https://dl.smwcentral.net/25924/Mario%27s%20Redemption%20Quest%20v1.1.zip</t>
  </si>
  <si>
    <t>Mario's Redrawn Adventure</t>
  </si>
  <si>
    <t>Moltz</t>
  </si>
  <si>
    <t>8897</t>
  </si>
  <si>
    <t>https://www.smwcentral.net/?a=details&amp;id=8897&amp;p=section</t>
  </si>
  <si>
    <t>https://dl.smwcentral.net/8897/MRA.zip</t>
  </si>
  <si>
    <t>Mario's Return</t>
  </si>
  <si>
    <t>Stark</t>
  </si>
  <si>
    <t>19903</t>
  </si>
  <si>
    <t>https://www.smwcentral.net/?a=details&amp;id=19903&amp;p=section</t>
  </si>
  <si>
    <t>https://dl.smwcentral.net/19903/Marios_Return.zip</t>
  </si>
  <si>
    <t>Mario's Return Again</t>
  </si>
  <si>
    <t>9878</t>
  </si>
  <si>
    <t>https://www.smwcentral.net/?a=details&amp;id=9878&amp;p=section</t>
  </si>
  <si>
    <t>https://dl.smwcentral.net/9878/MRA%20Beta.zip</t>
  </si>
  <si>
    <t>Mario's Ruined Seclusion</t>
  </si>
  <si>
    <t>33606</t>
  </si>
  <si>
    <t>https://www.smwcentral.net/?a=details&amp;id=33606&amp;p=section</t>
  </si>
  <si>
    <t>https://dl.smwcentral.net/33606/Mario%27s_Ruined_Seclusion_1.0.0.zip</t>
  </si>
  <si>
    <t>Mario's Search for the 8 Jewels</t>
  </si>
  <si>
    <t>MaiK</t>
  </si>
  <si>
    <t>5373</t>
  </si>
  <si>
    <t>https://www.smwcentral.net/?a=details&amp;id=5373&amp;p=section</t>
  </si>
  <si>
    <t>https://dl.smwcentral.net/5373/MariosSearchForThe8Jewels%20Mawwo7.zip</t>
  </si>
  <si>
    <t>Mario's Search for the 8 Jewels 2</t>
  </si>
  <si>
    <t>16492</t>
  </si>
  <si>
    <t>https://www.smwcentral.net/?a=details&amp;id=16492&amp;p=section</t>
  </si>
  <si>
    <t>https://dl.smwcentral.net/16492/Mario%27s%20Search%20for%20the%208%20Jewels%202%20-%20by%20MaiK.zip</t>
  </si>
  <si>
    <t>Mario's Search for the Shrine of Eternal Ice</t>
  </si>
  <si>
    <t>12310</t>
  </si>
  <si>
    <t>https://www.smwcentral.net/?a=details&amp;id=12310&amp;p=section</t>
  </si>
  <si>
    <t>https://dl.smwcentral.net/12310/Mario%27s%20Search%20for%20the%20Shrine%20of%20Eternal%20Ice%20%28Version%201.1%29.zip</t>
  </si>
  <si>
    <t>Mario's Search for the Stolen Stars</t>
  </si>
  <si>
    <t>majora211</t>
  </si>
  <si>
    <t>5412</t>
  </si>
  <si>
    <t>https://www.smwcentral.net/?a=details&amp;id=5412&amp;p=section</t>
  </si>
  <si>
    <t>https://dl.smwcentral.net/5412/Mario%27s%20search%20for%20the%20stolen%20stars.zip</t>
  </si>
  <si>
    <t>Mario's Simple Way</t>
  </si>
  <si>
    <t>Everest</t>
  </si>
  <si>
    <t>10079</t>
  </si>
  <si>
    <t>https://www.smwcentral.net/?a=details&amp;id=10079&amp;p=section</t>
  </si>
  <si>
    <t>https://dl.smwcentral.net/10079/mswdemo1.zip</t>
  </si>
  <si>
    <t>Mario's Strange Quest</t>
  </si>
  <si>
    <t>yoshifanatic</t>
  </si>
  <si>
    <t>5258</t>
  </si>
  <si>
    <t>https://www.smwcentral.net/?a=details&amp;id=5258&amp;p=section</t>
  </si>
  <si>
    <t>https://dl.smwcentral.net/5258/Mario%27s%20Strange%20Quest%20v1.6.zip</t>
  </si>
  <si>
    <t>Mario's Super Galactic Illusion Space Time</t>
  </si>
  <si>
    <t>Sulcuryalt</t>
  </si>
  <si>
    <t>10033</t>
  </si>
  <si>
    <t>https://www.smwcentral.net/?a=details&amp;id=10033&amp;p=section</t>
  </si>
  <si>
    <t>https://dl.smwcentral.net/10033/Mario%27s%20Super%20Galactic%20Illusion%20Space%20Time.zip</t>
  </si>
  <si>
    <t>Mario's Supper World</t>
  </si>
  <si>
    <t>35659</t>
  </si>
  <si>
    <t>https://www.smwcentral.net/?a=details&amp;id=35659&amp;p=section</t>
  </si>
  <si>
    <t>https://dl.smwcentral.net/35659/Mario%27s%20Supper%20World.zip</t>
  </si>
  <si>
    <t>Mario's Sweet Adventure</t>
  </si>
  <si>
    <t>12794</t>
  </si>
  <si>
    <t>https://www.smwcentral.net/?a=details&amp;id=12794&amp;p=section</t>
  </si>
  <si>
    <t>https://dl.smwcentral.net/12794/Marios%20Sweet%20Adventure%20Demo%204.zip</t>
  </si>
  <si>
    <t>Mario's Sweet Adventure 2</t>
  </si>
  <si>
    <t>12884</t>
  </si>
  <si>
    <t>https://www.smwcentral.net/?a=details&amp;id=12884&amp;p=section</t>
  </si>
  <si>
    <t>https://dl.smwcentral.net/12884/Marios%20Sweet%20Adventure%202%20Demo%201.zip</t>
  </si>
  <si>
    <t>Mario's Sweet Adventure 3 - A New Quest</t>
  </si>
  <si>
    <t>14710</t>
  </si>
  <si>
    <t>https://www.smwcentral.net/?a=details&amp;id=14710&amp;p=section</t>
  </si>
  <si>
    <t>https://dl.smwcentral.net/14710/MSA%203%20FINAL%201.1.0.0.zip</t>
  </si>
  <si>
    <t>Mario's Time Quest</t>
  </si>
  <si>
    <t>Red Chameleon, YoshiFan501</t>
  </si>
  <si>
    <t>9842</t>
  </si>
  <si>
    <t>https://www.smwcentral.net/?a=details&amp;id=9842&amp;p=section</t>
  </si>
  <si>
    <t>https://dl.smwcentral.net/9842/Mario%27s%20Time%20Quest%20-%20Demo%201.zip</t>
  </si>
  <si>
    <t>Mario's Timely Adventure</t>
  </si>
  <si>
    <t>xman0444</t>
  </si>
  <si>
    <t>9868</t>
  </si>
  <si>
    <t>https://www.smwcentral.net/?a=details&amp;id=9868&amp;p=section</t>
  </si>
  <si>
    <t>https://dl.smwcentral.net/9868/mta.zip.zip</t>
  </si>
  <si>
    <t>Mario's Training</t>
  </si>
  <si>
    <t>18509</t>
  </si>
  <si>
    <t>https://www.smwcentral.net/?a=details&amp;id=18509&amp;p=section</t>
  </si>
  <si>
    <t>https://dl.smwcentral.net/18509/Mario%27s%20Training.zip</t>
  </si>
  <si>
    <t>Mario's Treasure Hunt</t>
  </si>
  <si>
    <t>5551</t>
  </si>
  <si>
    <t>https://www.smwcentral.net/?a=details&amp;id=5551&amp;p=section</t>
  </si>
  <si>
    <t>https://dl.smwcentral.net/5551/MTH%20by%20Mawwo7.zip</t>
  </si>
  <si>
    <t>Mario's Treasure Hunt 2</t>
  </si>
  <si>
    <t>5566</t>
  </si>
  <si>
    <t>https://www.smwcentral.net/?a=details&amp;id=5566&amp;p=section</t>
  </si>
  <si>
    <t>https://dl.smwcentral.net/5566/MTH2.zip</t>
  </si>
  <si>
    <t>Mario's Ultimate Journey</t>
  </si>
  <si>
    <t>5488</t>
  </si>
  <si>
    <t>https://www.smwcentral.net/?a=details&amp;id=5488&amp;p=section</t>
  </si>
  <si>
    <t>https://dl.smwcentral.net/5488/Mario%27s%20Ultimate%20Journey%20Demo%201.zip</t>
  </si>
  <si>
    <t>Mario's Vanilla Journey</t>
  </si>
  <si>
    <t>akacesfan</t>
  </si>
  <si>
    <t>8721</t>
  </si>
  <si>
    <t>https://www.smwcentral.net/?a=details&amp;id=8721&amp;p=section</t>
  </si>
  <si>
    <t>https://dl.smwcentral.net/8721/Mario%27s%20Vanilla%20Journey%20-%20Demo%202.02.zip</t>
  </si>
  <si>
    <t>Mario's Walk Home: Extended Collector's Edition</t>
  </si>
  <si>
    <t>Noivern</t>
  </si>
  <si>
    <t>5422</t>
  </si>
  <si>
    <t>https://www.smwcentral.net/?a=details&amp;id=5422&amp;p=section</t>
  </si>
  <si>
    <t>https://dl.smwcentral.net/5422/Mario%27s%20Walk%20Home.zip</t>
  </si>
  <si>
    <t>Mario's Way to be a Legend</t>
  </si>
  <si>
    <t>SuperMarisa1999</t>
  </si>
  <si>
    <t>13486</t>
  </si>
  <si>
    <t>https://www.smwcentral.net/?a=details&amp;id=13486&amp;p=section</t>
  </si>
  <si>
    <t>https://dl.smwcentral.net/13486/Mario%27s%20Way%20To%20Be%20a%20Legend%20Demo%200.1.1.zip</t>
  </si>
  <si>
    <t>Mario, Luigi and the 7 Eggs of Peace</t>
  </si>
  <si>
    <t>20943</t>
  </si>
  <si>
    <t>https://www.smwcentral.net/?a=details&amp;id=20943&amp;p=section</t>
  </si>
  <si>
    <t>https://dl.smwcentral.net/20943/Mario%20Luigi%20and%20the%207%20eggs%20of%20peace.zip</t>
  </si>
  <si>
    <t>Mario41001's Unknown Hack</t>
  </si>
  <si>
    <t>440</t>
  </si>
  <si>
    <t>9693</t>
  </si>
  <si>
    <t>https://www.smwcentral.net/?a=details&amp;id=9693&amp;p=section</t>
  </si>
  <si>
    <t>https://dl.smwcentral.net/9693/MUH.zip</t>
  </si>
  <si>
    <t>Mario: Apocalypse Dawn</t>
  </si>
  <si>
    <t>BulletBillTime</t>
  </si>
  <si>
    <t>9725</t>
  </si>
  <si>
    <t>https://www.smwcentral.net/?a=details&amp;id=9725&amp;p=section</t>
  </si>
  <si>
    <t>https://dl.smwcentral.net/9725/Mario%20-%20Apocalypse%20Dawn%20Demo%201.zip</t>
  </si>
  <si>
    <t>Mario: Collapsing Worlds</t>
  </si>
  <si>
    <t>Blue_Raven</t>
  </si>
  <si>
    <t>10145</t>
  </si>
  <si>
    <t>https://www.smwcentral.net/?a=details&amp;id=10145&amp;p=section</t>
  </si>
  <si>
    <t>https://dl.smwcentral.net/10145/MCW.zip</t>
  </si>
  <si>
    <t>Mario: Dawn to Darkness</t>
  </si>
  <si>
    <t>Yanama</t>
  </si>
  <si>
    <t>13707</t>
  </si>
  <si>
    <t>https://www.smwcentral.net/?a=details&amp;id=13707&amp;p=section</t>
  </si>
  <si>
    <t>https://dl.smwcentral.net/13707/MarioDawnToDarkness_fixed.zip</t>
  </si>
  <si>
    <t>Mario: Other M</t>
  </si>
  <si>
    <t>10131</t>
  </si>
  <si>
    <t>https://www.smwcentral.net/?a=details&amp;id=10131&amp;p=section</t>
  </si>
  <si>
    <t>https://dl.smwcentral.net/10131/Mario%20Other%20M.zip</t>
  </si>
  <si>
    <t>Mario: The Curse of King Boo</t>
  </si>
  <si>
    <t>21156</t>
  </si>
  <si>
    <t>https://www.smwcentral.net/?a=details&amp;id=21156&amp;p=section</t>
  </si>
  <si>
    <t>https://dl.smwcentral.net/21156/Curse%20of%20King%20Boo.zip</t>
  </si>
  <si>
    <t>Marios Adventure in the Dream World</t>
  </si>
  <si>
    <t>HookEcho</t>
  </si>
  <si>
    <t>17178</t>
  </si>
  <si>
    <t>https://www.smwcentral.net/?a=details&amp;id=17178&amp;p=section</t>
  </si>
  <si>
    <t>https://dl.smwcentral.net/17178/MarioAdventureInTheDreamWorld.zip</t>
  </si>
  <si>
    <t>Marios Christmas Adventure</t>
  </si>
  <si>
    <t>38969</t>
  </si>
  <si>
    <t>https://www.smwcentral.net/?a=details&amp;id=38969&amp;p=section</t>
  </si>
  <si>
    <t>https://dl.smwcentral.net/38969/Marios_Christmas_Adventure.zip</t>
  </si>
  <si>
    <t>Marios Christmas Adventure 2</t>
  </si>
  <si>
    <t>41143</t>
  </si>
  <si>
    <t>https://www.smwcentral.net/?a=details&amp;id=41143&amp;p=section</t>
  </si>
  <si>
    <t>https://dl.smwcentral.net/41143/Marios_Christmas_Adventure_2.zip</t>
  </si>
  <si>
    <t>Marios Pizza Party</t>
  </si>
  <si>
    <t>37928</t>
  </si>
  <si>
    <t>https://www.smwcentral.net/?a=details&amp;id=37928&amp;p=section</t>
  </si>
  <si>
    <t>https://dl.smwcentral.net/37928/MariosPizzaParty.zip</t>
  </si>
  <si>
    <t>Marios Pizza Party 2</t>
  </si>
  <si>
    <t>38576</t>
  </si>
  <si>
    <t>https://www.smwcentral.net/?a=details&amp;id=38576&amp;p=section</t>
  </si>
  <si>
    <t>https://dl.smwcentral.net/38576/Marios_Pizza_Party_2.zip</t>
  </si>
  <si>
    <t>Marios Pizza Party 3</t>
  </si>
  <si>
    <t>40193</t>
  </si>
  <si>
    <t>https://www.smwcentral.net/?a=details&amp;id=40193&amp;p=section</t>
  </si>
  <si>
    <t>https://dl.smwcentral.net/40193/Marios%20Pizza%20Party%203%20-%201.1.zip</t>
  </si>
  <si>
    <t>Marios story</t>
  </si>
  <si>
    <t>9928</t>
  </si>
  <si>
    <t>https://www.smwcentral.net/?a=details&amp;id=9928&amp;p=section</t>
  </si>
  <si>
    <t>https://dl.smwcentral.net/9928/Mario%C2%B4s%20Story.zip</t>
  </si>
  <si>
    <t>MarioX World SER</t>
  </si>
  <si>
    <t>10183</t>
  </si>
  <si>
    <t>https://www.smwcentral.net/?a=details&amp;id=10183&amp;p=section</t>
  </si>
  <si>
    <t>https://dl.smwcentral.net/10183/mxw2ndr.zip</t>
  </si>
  <si>
    <t>Marisa And Reimu VS C3</t>
  </si>
  <si>
    <t>29522</t>
  </si>
  <si>
    <t>https://www.smwcentral.net/?a=details&amp;id=29522&amp;p=section</t>
  </si>
  <si>
    <t>https://dl.smwcentral.net/29522/Marisa%20And%20Reimu%20VS%20C3.zip</t>
  </si>
  <si>
    <t>Marisa And Reimu's Hack</t>
  </si>
  <si>
    <t>29146</t>
  </si>
  <si>
    <t>https://www.smwcentral.net/?a=details&amp;id=29146&amp;p=section</t>
  </si>
  <si>
    <t>https://dl.smwcentral.net/29146/Marisa%20And%20Reimu%27s%20Hack.zip</t>
  </si>
  <si>
    <t>Marisa And Reimu's Hack 2</t>
  </si>
  <si>
    <t>39933</t>
  </si>
  <si>
    <t>https://www.smwcentral.net/?a=details&amp;id=39933&amp;p=section</t>
  </si>
  <si>
    <t>https://dl.smwcentral.net/39933/Marisa%20and%20Reimu%27s%20Hack%202.zip</t>
  </si>
  <si>
    <t>Marisa And Reimu's Switch Hunt</t>
  </si>
  <si>
    <t>27626</t>
  </si>
  <si>
    <t>https://www.smwcentral.net/?a=details&amp;id=27626&amp;p=section</t>
  </si>
  <si>
    <t>https://dl.smwcentral.net/27626/MarisaAndReimuC3_V.1.02.zip</t>
  </si>
  <si>
    <t>Marisa's Dimensional Adventure Demo 2</t>
  </si>
  <si>
    <t>tfpivman</t>
  </si>
  <si>
    <t>32694</t>
  </si>
  <si>
    <t>https://www.smwcentral.net/?a=details&amp;id=32694&amp;p=section</t>
  </si>
  <si>
    <t>https://dl.smwcentral.net/32694/Marisa%27s%20Dimensional%20Adventure%20Demo%202.zip</t>
  </si>
  <si>
    <t>MaSeHiHa - Mario's Search For His Hat</t>
  </si>
  <si>
    <t>6055</t>
  </si>
  <si>
    <t>https://www.smwcentral.net/?a=details&amp;id=6055&amp;p=section</t>
  </si>
  <si>
    <t>https://dl.smwcentral.net/6055/MaSeHiHa.zip</t>
  </si>
  <si>
    <t>Master of Shell</t>
  </si>
  <si>
    <t>29054</t>
  </si>
  <si>
    <t>https://www.smwcentral.net/?a=details&amp;id=29054&amp;p=section</t>
  </si>
  <si>
    <t>https://dl.smwcentral.net/29054/MasterOfShellSMWC.zip</t>
  </si>
  <si>
    <t>Masterpiece</t>
  </si>
  <si>
    <t>YMM</t>
  </si>
  <si>
    <t>40715</t>
  </si>
  <si>
    <t>https://www.smwcentral.net/?a=details&amp;id=40715&amp;p=section</t>
  </si>
  <si>
    <t>https://dl.smwcentral.net/40715/Masterpiece%20v1.2.8.zip</t>
  </si>
  <si>
    <t>Mastery Shells</t>
  </si>
  <si>
    <t>39059</t>
  </si>
  <si>
    <t>https://www.smwcentral.net/?a=details&amp;id=39059&amp;p=section</t>
  </si>
  <si>
    <t>https://dl.smwcentral.net/39059/Mastery%20Shells.zip</t>
  </si>
  <si>
    <t>Mastery Shells 2</t>
  </si>
  <si>
    <t>40966</t>
  </si>
  <si>
    <t>https://www.smwcentral.net/?a=details&amp;id=40966&amp;p=section</t>
  </si>
  <si>
    <t>https://dl.smwcentral.net/40966/Mastery%20Shells%202.zip</t>
  </si>
  <si>
    <t>Maxodex's World: The Ancestor's Treasure</t>
  </si>
  <si>
    <t>Maxodex</t>
  </si>
  <si>
    <t>5534</t>
  </si>
  <si>
    <t>https://www.smwcentral.net/?a=details&amp;id=5534&amp;p=section</t>
  </si>
  <si>
    <t>https://dl.smwcentral.net/5534/Maxworld%20-%20TAT.zip</t>
  </si>
  <si>
    <t>Mecha-Bowser's Revenge</t>
  </si>
  <si>
    <t>10237</t>
  </si>
  <si>
    <t>https://www.smwcentral.net/?a=details&amp;id=10237&amp;p=section</t>
  </si>
  <si>
    <t>https://dl.smwcentral.net/10237/Mecha-Bowser%27s%20Revenge%20Demo.zip</t>
  </si>
  <si>
    <t>Med's World - A Stick's Birthday</t>
  </si>
  <si>
    <t>GlitchyR-01</t>
  </si>
  <si>
    <t>37517</t>
  </si>
  <si>
    <t>https://www.smwcentral.net/?a=details&amp;id=37517&amp;p=section</t>
  </si>
  <si>
    <t>https://dl.smwcentral.net/37517/Med%27s%20World%20A%20Stick%27s%20Birthday.zip</t>
  </si>
  <si>
    <t>Meet The Balkans (Demo)</t>
  </si>
  <si>
    <t>karls_Corinthia</t>
  </si>
  <si>
    <t>33618</t>
  </si>
  <si>
    <t>https://www.smwcentral.net/?a=details&amp;id=33618&amp;p=section</t>
  </si>
  <si>
    <t>https://dl.smwcentral.net/33618/Meet%20the%20Balkans.zip</t>
  </si>
  <si>
    <t>Mega Man's Trip to an Unknown World</t>
  </si>
  <si>
    <t>Hackerboy1</t>
  </si>
  <si>
    <t>9967</t>
  </si>
  <si>
    <t>https://www.smwcentral.net/?a=details&amp;id=9967&amp;p=section</t>
  </si>
  <si>
    <t>https://dl.smwcentral.net/9967/Mega%20Man%27s%20Trip%20to%20An%20Unknown%20World.zip</t>
  </si>
  <si>
    <t>Mega Mario Bros. 2</t>
  </si>
  <si>
    <t>BlackBoo24</t>
  </si>
  <si>
    <t>9669</t>
  </si>
  <si>
    <t>https://www.smwcentral.net/?a=details&amp;id=9669&amp;p=section</t>
  </si>
  <si>
    <t>https://dl.smwcentral.net/9669/MMB2.zip</t>
  </si>
  <si>
    <t>Mega Mario World 2: Awakened Power</t>
  </si>
  <si>
    <t>yoshi3706</t>
  </si>
  <si>
    <t>37601</t>
  </si>
  <si>
    <t>https://www.smwcentral.net/?a=details&amp;id=37601&amp;p=section</t>
  </si>
  <si>
    <t>https://dl.smwcentral.net/37601/Mega%20Mario%20World%202%20-%20Awakened%20Power%201.4%20%28eng%2Besp%29.zip</t>
  </si>
  <si>
    <t>Mega Mario World: Another Universe</t>
  </si>
  <si>
    <t>17688</t>
  </si>
  <si>
    <t>https://www.smwcentral.net/?a=details&amp;id=17688&amp;p=section</t>
  </si>
  <si>
    <t>https://dl.smwcentral.net/17688/Mega%20Mario%20World%20Another%20Universe%20v1.2.zip</t>
  </si>
  <si>
    <t>Mega Rex Adventure [SMWC #9773]</t>
  </si>
  <si>
    <t>Mega Rex Adventure</t>
  </si>
  <si>
    <t>omegaLakitu</t>
  </si>
  <si>
    <t>9773</t>
  </si>
  <si>
    <t>https://www.smwcentral.net/?a=details&amp;id=9773&amp;p=section</t>
  </si>
  <si>
    <t>https://dl.smwcentral.net/9773/mega%20rex%20adventure.zip</t>
  </si>
  <si>
    <t>Mega Rex Adventure [SMWC #9869]</t>
  </si>
  <si>
    <t>9869</t>
  </si>
  <si>
    <t>https://www.smwcentral.net/?a=details&amp;id=9869&amp;p=section</t>
  </si>
  <si>
    <t>https://dl.smwcentral.net/9869/rex.zip</t>
  </si>
  <si>
    <t>Mega Rex Island</t>
  </si>
  <si>
    <t>14144</t>
  </si>
  <si>
    <t>https://www.smwcentral.net/?a=details&amp;id=14144&amp;p=section</t>
  </si>
  <si>
    <t>https://dl.smwcentral.net/14144/mega%20rex%20island.zip</t>
  </si>
  <si>
    <t>Megaman Reborn</t>
  </si>
  <si>
    <t>YamiMario</t>
  </si>
  <si>
    <t>9931</t>
  </si>
  <si>
    <t>https://www.smwcentral.net/?a=details&amp;id=9931&amp;p=section</t>
  </si>
  <si>
    <t>https://dl.smwcentral.net/9931/MMRDemo.zip</t>
  </si>
  <si>
    <t>MEME 😂👌💯</t>
  </si>
  <si>
    <t>34925</t>
  </si>
  <si>
    <t>https://www.smwcentral.net/?a=details&amp;id=34925&amp;p=section</t>
  </si>
  <si>
    <t>https://dl.smwcentral.net/34925/MEME1.1.zip</t>
  </si>
  <si>
    <t>Memento Mori</t>
  </si>
  <si>
    <t>37658</t>
  </si>
  <si>
    <t>https://www.smwcentral.net/?a=details&amp;id=37658&amp;p=section</t>
  </si>
  <si>
    <t>https://dl.smwcentral.net/37658/Memento%20Mori.zip</t>
  </si>
  <si>
    <t>Memorabilia</t>
  </si>
  <si>
    <t>33449</t>
  </si>
  <si>
    <t>https://www.smwcentral.net/?a=details&amp;id=33449&amp;p=section</t>
  </si>
  <si>
    <t>https://dl.smwcentral.net/33449/Memorabilia.zip</t>
  </si>
  <si>
    <t>Memory Lane</t>
  </si>
  <si>
    <t>28692</t>
  </si>
  <si>
    <t>https://www.smwcentral.net/?a=details&amp;id=28692&amp;p=section</t>
  </si>
  <si>
    <t>https://dl.smwcentral.net/28692/MemoryLane1.1.zip</t>
  </si>
  <si>
    <t>Mercenaries</t>
  </si>
  <si>
    <t>DTG</t>
  </si>
  <si>
    <t>9646</t>
  </si>
  <si>
    <t>https://www.smwcentral.net/?a=details&amp;id=9646&amp;p=section</t>
  </si>
  <si>
    <t>https://dl.smwcentral.net/9646/Mercenaries%20Version%201.1.zip</t>
  </si>
  <si>
    <t>MFC</t>
  </si>
  <si>
    <t>Firstnamebutt, Jordan</t>
  </si>
  <si>
    <t>37167</t>
  </si>
  <si>
    <t>https://www.smwcentral.net/?a=details&amp;id=37167&amp;p=section</t>
  </si>
  <si>
    <t>https://dl.smwcentral.net/37167/MFC.zip</t>
  </si>
  <si>
    <t>Midair Mastery</t>
  </si>
  <si>
    <t>tjb0607</t>
  </si>
  <si>
    <t>24680</t>
  </si>
  <si>
    <t>https://www.smwcentral.net/?a=details&amp;id=24680&amp;p=section</t>
  </si>
  <si>
    <t>https://dl.smwcentral.net/24680/Midair%20Mastery%201.1.zip</t>
  </si>
  <si>
    <t>Midday</t>
  </si>
  <si>
    <t>37802</t>
  </si>
  <si>
    <t>https://www.smwcentral.net/?a=details&amp;id=37802&amp;p=section</t>
  </si>
  <si>
    <t>https://dl.smwcentral.net/37802/Midday.zip</t>
  </si>
  <si>
    <t>Midnight Lightning</t>
  </si>
  <si>
    <t>MassPunishment</t>
  </si>
  <si>
    <t>27345</t>
  </si>
  <si>
    <t>https://www.smwcentral.net/?a=details&amp;id=27345&amp;p=section</t>
  </si>
  <si>
    <t>https://dl.smwcentral.net/27345/MidnightLightning1.1.zip</t>
  </si>
  <si>
    <t>Miku's Spike Hell</t>
  </si>
  <si>
    <t>27264</t>
  </si>
  <si>
    <t>https://www.smwcentral.net/?a=details&amp;id=27264&amp;p=section</t>
  </si>
  <si>
    <t>https://dl.smwcentral.net/27264/miku.zip</t>
  </si>
  <si>
    <t>MINERVA</t>
  </si>
  <si>
    <t>25100</t>
  </si>
  <si>
    <t>https://www.smwcentral.net/?a=details&amp;id=25100&amp;p=section</t>
  </si>
  <si>
    <t>https://dl.smwcentral.net/25100/Minerva1.5.zip</t>
  </si>
  <si>
    <t>Mini Challenge Medley (Wave 1)</t>
  </si>
  <si>
    <t>32526</t>
  </si>
  <si>
    <t>https://www.smwcentral.net/?a=details&amp;id=32526&amp;p=section</t>
  </si>
  <si>
    <t>https://dl.smwcentral.net/32526/Mini%20Challenge%20Medley%20%28Demo%201.0%29.zip</t>
  </si>
  <si>
    <t>Mini Kaizo</t>
  </si>
  <si>
    <t>KarDiux</t>
  </si>
  <si>
    <t>32943</t>
  </si>
  <si>
    <t>https://www.smwcentral.net/?a=details&amp;id=32943&amp;p=section</t>
  </si>
  <si>
    <t>https://dl.smwcentral.net/32943/Mini%20Kaizo.zip</t>
  </si>
  <si>
    <t>minidumb</t>
  </si>
  <si>
    <t>24954</t>
  </si>
  <si>
    <t>https://www.smwcentral.net/?a=details&amp;id=24954&amp;p=section</t>
  </si>
  <si>
    <t>https://dl.smwcentral.net/24954/minidumbson%20-%20new%20update.zip</t>
  </si>
  <si>
    <t>Mint Chocolate</t>
  </si>
  <si>
    <t>38002</t>
  </si>
  <si>
    <t>https://www.smwcentral.net/?a=details&amp;id=38002&amp;p=section</t>
  </si>
  <si>
    <t>https://dl.smwcentral.net/38002/Mint%20Chocolate.zip</t>
  </si>
  <si>
    <t>MintGreenYoshi's Challenge</t>
  </si>
  <si>
    <t>14969</t>
  </si>
  <si>
    <t>https://www.smwcentral.net/?a=details&amp;id=14969&amp;p=section</t>
  </si>
  <si>
    <t>https://dl.smwcentral.net/14969/MintGreenYoshi_s_Challenge.zip</t>
  </si>
  <si>
    <t>Mirthful Mario-Escapade through Stellatus Shire</t>
  </si>
  <si>
    <t>14845</t>
  </si>
  <si>
    <t>https://www.smwcentral.net/?a=details&amp;id=14845&amp;p=section</t>
  </si>
  <si>
    <t>https://dl.smwcentral.net/14845/MM.zip</t>
  </si>
  <si>
    <t>Mischievous Mouser</t>
  </si>
  <si>
    <t>MagmaMouse</t>
  </si>
  <si>
    <t>25403</t>
  </si>
  <si>
    <t>https://www.smwcentral.net/?a=details&amp;id=25403&amp;p=section</t>
  </si>
  <si>
    <t>https://dl.smwcentral.net/25403/MischievousMouser_v1.5.zip</t>
  </si>
  <si>
    <t>Mistakes Were Made</t>
  </si>
  <si>
    <t>36957</t>
  </si>
  <si>
    <t>https://www.smwcentral.net/?a=details&amp;id=36957&amp;p=section</t>
  </si>
  <si>
    <t>https://dl.smwcentral.net/36957/MistakesWereMade1.2.zip</t>
  </si>
  <si>
    <t>Misty Out There</t>
  </si>
  <si>
    <t>24114</t>
  </si>
  <si>
    <t>https://www.smwcentral.net/?a=details&amp;id=24114&amp;p=section</t>
  </si>
  <si>
    <t>https://dl.smwcentral.net/24114/Misty%20Out%20There.zip</t>
  </si>
  <si>
    <t>MK Ultra</t>
  </si>
  <si>
    <t>34095</t>
  </si>
  <si>
    <t>https://www.smwcentral.net/?a=details&amp;id=34095&amp;p=section</t>
  </si>
  <si>
    <t>https://dl.smwcentral.net/34095/MK_Ultra.zip</t>
  </si>
  <si>
    <t>mod cape: a precision cape level</t>
  </si>
  <si>
    <t>27521</t>
  </si>
  <si>
    <t>https://www.smwcentral.net/?a=details&amp;id=27521&amp;p=section</t>
  </si>
  <si>
    <t>https://dl.smwcentral.net/27521/mod%20cape.zip</t>
  </si>
  <si>
    <t>Momoku Mario World</t>
  </si>
  <si>
    <t>penguin64</t>
  </si>
  <si>
    <t>22491</t>
  </si>
  <si>
    <t>https://www.smwcentral.net/?a=details&amp;id=22491&amp;p=section</t>
  </si>
  <si>
    <t>https://dl.smwcentral.net/22491/Momoku%20Mario%20World.zip</t>
  </si>
  <si>
    <t>Monty Mole Island</t>
  </si>
  <si>
    <t>18419</t>
  </si>
  <si>
    <t>https://www.smwcentral.net/?a=details&amp;id=18419&amp;p=section</t>
  </si>
  <si>
    <t>https://dl.smwcentral.net/18419/Monty%20Mole%20Island%20V1.2.zip</t>
  </si>
  <si>
    <t>Monty Mole Island 2 - Redrawn Island</t>
  </si>
  <si>
    <t>18254</t>
  </si>
  <si>
    <t>https://www.smwcentral.net/?a=details&amp;id=18254&amp;p=section</t>
  </si>
  <si>
    <t>https://dl.smwcentral.net/18254/Monty%20Mole%20Island%202%20-%20Redrawn%20Island.zip</t>
  </si>
  <si>
    <t>Monty Mole Island 3 - Boom Boom's World</t>
  </si>
  <si>
    <t>18890</t>
  </si>
  <si>
    <t>https://www.smwcentral.net/?a=details&amp;id=18890&amp;p=section</t>
  </si>
  <si>
    <t>https://dl.smwcentral.net/18890/Monty%20Mole%20Island%203%20-%20Boom%20Boom%27s%20World%20V1.1.zip</t>
  </si>
  <si>
    <t>Monty Mole Island 4 - Gamma Archipelago</t>
  </si>
  <si>
    <t>19837</t>
  </si>
  <si>
    <t>https://www.smwcentral.net/?a=details&amp;id=19837&amp;p=section</t>
  </si>
  <si>
    <t>https://dl.smwcentral.net/19837/Monty%20Mole%20Island%204%20-%20Gamma%20Archipelago%20%28V1.0.1%29.zip</t>
  </si>
  <si>
    <t>MOON</t>
  </si>
  <si>
    <t>25624</t>
  </si>
  <si>
    <t>https://www.smwcentral.net/?a=details&amp;id=25624&amp;p=section</t>
  </si>
  <si>
    <t>https://dl.smwcentral.net/25624/MOON.zip</t>
  </si>
  <si>
    <t>Moon Finder</t>
  </si>
  <si>
    <t>Fyre150, Mega</t>
  </si>
  <si>
    <t>38359</t>
  </si>
  <si>
    <t>https://www.smwcentral.net/?a=details&amp;id=38359&amp;p=section</t>
  </si>
  <si>
    <t>https://dl.smwcentral.net/38359/MoonFinder_.zip</t>
  </si>
  <si>
    <t>Morton's Empire</t>
  </si>
  <si>
    <t>Arinsu, Centipede, MercuryPenny, SMW Central, a hick</t>
  </si>
  <si>
    <t>17305</t>
  </si>
  <si>
    <t>https://www.smwcentral.net/?a=details&amp;id=17305&amp;p=section</t>
  </si>
  <si>
    <t>https://dl.smwcentral.net/17305/Mortons_Empire.zip</t>
  </si>
  <si>
    <t>Morton's Tyranny</t>
  </si>
  <si>
    <t>Pirate Yoshi</t>
  </si>
  <si>
    <t>9865</t>
  </si>
  <si>
    <t>https://www.smwcentral.net/?a=details&amp;id=9865&amp;p=section</t>
  </si>
  <si>
    <t>https://dl.smwcentral.net/9865/Morton%27s%20Tyranny%20Zip.zip</t>
  </si>
  <si>
    <t>Mostly Harmless</t>
  </si>
  <si>
    <t>25402</t>
  </si>
  <si>
    <t>https://www.smwcentral.net/?a=details&amp;id=25402&amp;p=section</t>
  </si>
  <si>
    <t>https://dl.smwcentral.net/25402/Mostly%20Harmless.zip</t>
  </si>
  <si>
    <t>Motor Shells</t>
  </si>
  <si>
    <t>39881</t>
  </si>
  <si>
    <t>https://www.smwcentral.net/?a=details&amp;id=39881&amp;p=section</t>
  </si>
  <si>
    <t>https://dl.smwcentral.net/39881/motor%20shells.zip</t>
  </si>
  <si>
    <t>MrUg's Mini Level Pack</t>
  </si>
  <si>
    <t>MrUg123</t>
  </si>
  <si>
    <t>42537</t>
  </si>
  <si>
    <t>https://www.smwcentral.net/?a=details&amp;id=42537&amp;p=section</t>
  </si>
  <si>
    <t>https://dl.smwcentral.net/42537/MMLP.zip</t>
  </si>
  <si>
    <t>Much Ado About Eggs</t>
  </si>
  <si>
    <t>Diego</t>
  </si>
  <si>
    <t>21516</t>
  </si>
  <si>
    <t>https://www.smwcentral.net/?a=details&amp;id=21516&amp;p=section</t>
  </si>
  <si>
    <t>https://dl.smwcentral.net/21516/Much%20Ado%20About%20Eggs.zip</t>
  </si>
  <si>
    <t>Mura World</t>
  </si>
  <si>
    <t>27022</t>
  </si>
  <si>
    <t>https://www.smwcentral.net/?a=details&amp;id=27022&amp;p=section</t>
  </si>
  <si>
    <t>https://dl.smwcentral.net/27022/_MuraWorld_V1.2.zip</t>
  </si>
  <si>
    <t>Mura World 2</t>
  </si>
  <si>
    <t>21997</t>
  </si>
  <si>
    <t>https://www.smwcentral.net/?a=details&amp;id=21997&amp;p=section</t>
  </si>
  <si>
    <t>https://dl.smwcentral.net/21997/MuraWorld2.zip</t>
  </si>
  <si>
    <t>Mushroom Kingdom - Under Crimson Skies</t>
  </si>
  <si>
    <t>15820</t>
  </si>
  <si>
    <t>https://www.smwcentral.net/?a=details&amp;id=15820&amp;p=section</t>
  </si>
  <si>
    <t>https://dl.smwcentral.net/15820/Mushroom%20Kingdom%20-%20Under%20Crimson%20Skies.zip</t>
  </si>
  <si>
    <t>Mushroom Kingdom Invasion</t>
  </si>
  <si>
    <t>6550</t>
  </si>
  <si>
    <t>https://www.smwcentral.net/?a=details&amp;id=6550&amp;p=section</t>
  </si>
  <si>
    <t>https://dl.smwcentral.net/6550/mushroom%20kingdom%20invasion.zip</t>
  </si>
  <si>
    <t>Mushroom Kingdom Meltdown</t>
  </si>
  <si>
    <t>30027</t>
  </si>
  <si>
    <t>https://www.smwcentral.net/?a=details&amp;id=30027&amp;p=section</t>
  </si>
  <si>
    <t>https://dl.smwcentral.net/30027/Mushroom%20Kingdom%20Meltdown%20-%20Fixed.zip</t>
  </si>
  <si>
    <t>Mushroom Kingdom Meltdown 2</t>
  </si>
  <si>
    <t>31223</t>
  </si>
  <si>
    <t>https://www.smwcentral.net/?a=details&amp;id=31223&amp;p=section</t>
  </si>
  <si>
    <t>https://dl.smwcentral.net/31223/Mushroom%20Kingdom%20Meltdown%202%20-%20Fixed.zip</t>
  </si>
  <si>
    <t>Mushroom Onion Pizza</t>
  </si>
  <si>
    <t>MistaX88</t>
  </si>
  <si>
    <t>25204</t>
  </si>
  <si>
    <t>https://www.smwcentral.net/?a=details&amp;id=25204&amp;p=section</t>
  </si>
  <si>
    <t>https://dl.smwcentral.net/25204/MushroomOnionPizzaV1.2.zip</t>
  </si>
  <si>
    <t>Mute's Christmas Quest</t>
  </si>
  <si>
    <t>ChaseNScooter, Daizo Dee Von</t>
  </si>
  <si>
    <t>20595</t>
  </si>
  <si>
    <t>https://www.smwcentral.net/?a=details&amp;id=20595&amp;p=section</t>
  </si>
  <si>
    <t>https://dl.smwcentral.net/20595/Mute%27s%20Christmas%20Quest.zip</t>
  </si>
  <si>
    <t>My Contest Entries Collection</t>
  </si>
  <si>
    <t>TheKazooBloccGosh</t>
  </si>
  <si>
    <t>Standard, Kaizo, Puzzle</t>
  </si>
  <si>
    <t>40447</t>
  </si>
  <si>
    <t>https://www.smwcentral.net/?a=details&amp;id=40447&amp;p=section</t>
  </si>
  <si>
    <t>https://dl.smwcentral.net/40447/My%20entries%20contest%20collection.zip</t>
  </si>
  <si>
    <t>My Favorite Things</t>
  </si>
  <si>
    <t>33687</t>
  </si>
  <si>
    <t>https://www.smwcentral.net/?a=details&amp;id=33687&amp;p=section</t>
  </si>
  <si>
    <t>https://dl.smwcentral.net/33687/My%20Favorite%20Things%201.2.zip</t>
  </si>
  <si>
    <t>My Hack</t>
  </si>
  <si>
    <t>LouisDoucet</t>
  </si>
  <si>
    <t>39638</t>
  </si>
  <si>
    <t>https://www.smwcentral.net/?a=details&amp;id=39638&amp;p=section</t>
  </si>
  <si>
    <t>https://dl.smwcentral.net/39638/My%20Hack.zip</t>
  </si>
  <si>
    <t>My Level 4 Emero</t>
  </si>
  <si>
    <t>DjMPK</t>
  </si>
  <si>
    <t>25216</t>
  </si>
  <si>
    <t>https://www.smwcentral.net/?a=details&amp;id=25216&amp;p=section</t>
  </si>
  <si>
    <t>https://dl.smwcentral.net/25216/l4emero.zip</t>
  </si>
  <si>
    <t>My little Puzzles - The Road to Wisdom</t>
  </si>
  <si>
    <t>Chosentw0</t>
  </si>
  <si>
    <t>Standard, Kaizo, Puzzle, Tool-Assisted</t>
  </si>
  <si>
    <t>12920</t>
  </si>
  <si>
    <t>https://www.smwcentral.net/?a=details&amp;id=12920&amp;p=section</t>
  </si>
  <si>
    <t>https://dl.smwcentral.net/12920/My%20little%20Puzzles%20-%20The%20Road%20to%20Wisdom%20v1.1.zip</t>
  </si>
  <si>
    <t>My little Puzzles 2 - The Continents of Knowledge</t>
  </si>
  <si>
    <t>Chosentw0, Sariel</t>
  </si>
  <si>
    <t>14080</t>
  </si>
  <si>
    <t>https://www.smwcentral.net/?a=details&amp;id=14080&amp;p=section</t>
  </si>
  <si>
    <t>https://dl.smwcentral.net/14080/My%20little%20Puzzles%202%20-%20The%20Continents%20of%20Knowledge.zip</t>
  </si>
  <si>
    <t>My little Puzzles 3 - The Key to Eternity</t>
  </si>
  <si>
    <t>14882</t>
  </si>
  <si>
    <t>https://www.smwcentral.net/?a=details&amp;id=14882&amp;p=section</t>
  </si>
  <si>
    <t>https://dl.smwcentral.net/14882/My%20little%20Puzzles%203%20-%20The%20Key%20to%20Eternity.zip</t>
  </si>
  <si>
    <t>My love is all wrong</t>
  </si>
  <si>
    <t>38704</t>
  </si>
  <si>
    <t>https://www.smwcentral.net/?a=details&amp;id=38704&amp;p=section</t>
  </si>
  <si>
    <t>https://dl.smwcentral.net/38704/Myloveisallwrong.zip</t>
  </si>
  <si>
    <t>My Name is Goal</t>
  </si>
  <si>
    <t>39058</t>
  </si>
  <si>
    <t>https://www.smwcentral.net/?a=details&amp;id=39058&amp;p=section</t>
  </si>
  <si>
    <t>https://dl.smwcentral.net/39058/My%20Name%20is%20Goal.zip</t>
  </si>
  <si>
    <t>My New Favorite Hack</t>
  </si>
  <si>
    <t>30077</t>
  </si>
  <si>
    <t>https://www.smwcentral.net/?a=details&amp;id=30077&amp;p=section</t>
  </si>
  <si>
    <t>https://dl.smwcentral.net/30077/My%20New%20Favorite%20Hack.zip</t>
  </si>
  <si>
    <t>Mycelium</t>
  </si>
  <si>
    <t>schema_tuna</t>
  </si>
  <si>
    <t>35259</t>
  </si>
  <si>
    <t>https://www.smwcentral.net/?a=details&amp;id=35259&amp;p=section</t>
  </si>
  <si>
    <t>https://dl.smwcentral.net/35259/Mycelium.zip</t>
  </si>
  <si>
    <t>Mystery of the Seven Orbs</t>
  </si>
  <si>
    <t>Kiwisauce</t>
  </si>
  <si>
    <t>9738</t>
  </si>
  <si>
    <t>https://www.smwcentral.net/?a=details&amp;id=9738&amp;p=section</t>
  </si>
  <si>
    <t>https://dl.smwcentral.net/9738/MOTSO.zip</t>
  </si>
  <si>
    <t>Mystical Island</t>
  </si>
  <si>
    <t>nicknick293</t>
  </si>
  <si>
    <t>9981</t>
  </si>
  <si>
    <t>https://www.smwcentral.net/?a=details&amp;id=9981&amp;p=section</t>
  </si>
  <si>
    <t>https://dl.smwcentral.net/9981/Mystical%20island%201.0.2.zip</t>
  </si>
  <si>
    <t>Myth of Mana</t>
  </si>
  <si>
    <t>38186</t>
  </si>
  <si>
    <t>https://www.smwcentral.net/?a=details&amp;id=38186&amp;p=section</t>
  </si>
  <si>
    <t>https://dl.smwcentral.net/38186/Myth%20of%20Mana%201.2.zip</t>
  </si>
  <si>
    <t>N'sane Studios hack</t>
  </si>
  <si>
    <t>Insanit, Sammmoo, n'sane studios</t>
  </si>
  <si>
    <t>33121</t>
  </si>
  <si>
    <t>https://www.smwcentral.net/?a=details&amp;id=33121&amp;p=section</t>
  </si>
  <si>
    <t>https://dl.smwcentral.net/33121/n%27sane_studios.zip</t>
  </si>
  <si>
    <t>Nabbit Steals Christmas</t>
  </si>
  <si>
    <t>35753</t>
  </si>
  <si>
    <t>https://www.smwcentral.net/?a=details&amp;id=35753&amp;p=section</t>
  </si>
  <si>
    <t>https://dl.smwcentral.net/35753/NabbitStealsXmas.zip</t>
  </si>
  <si>
    <t>Nachos and Fried Oreos</t>
  </si>
  <si>
    <t>GbreezeSunset, MiracleWater</t>
  </si>
  <si>
    <t>19044</t>
  </si>
  <si>
    <t>https://www.smwcentral.net/?a=details&amp;id=19044&amp;p=section</t>
  </si>
  <si>
    <t>https://dl.smwcentral.net/19044/Nachos%20and%20Fried%20Oreos.zip</t>
  </si>
  <si>
    <t>Nador Quest</t>
  </si>
  <si>
    <t>Lexator</t>
  </si>
  <si>
    <t>5166</t>
  </si>
  <si>
    <t>https://www.smwcentral.net/?a=details&amp;id=5166&amp;p=section</t>
  </si>
  <si>
    <t>https://dl.smwcentral.net/5166/Nador%20Quest%20%28demo%202%29.zip</t>
  </si>
  <si>
    <t>Nakama</t>
  </si>
  <si>
    <t>42206</t>
  </si>
  <si>
    <t>https://www.smwcentral.net/?a=details&amp;id=42206&amp;p=section</t>
  </si>
  <si>
    <t>https://dl.smwcentral.net/42206/Nakama1.1.zip</t>
  </si>
  <si>
    <t>Nameless Kaizo World</t>
  </si>
  <si>
    <t>31239</t>
  </si>
  <si>
    <t>https://www.smwcentral.net/?a=details&amp;id=31239&amp;p=section</t>
  </si>
  <si>
    <t>https://dl.smwcentral.net/31239/Nameless_Kaizo_World-V1.1.zip</t>
  </si>
  <si>
    <t>Nameless Kaizo World (Light)</t>
  </si>
  <si>
    <t>31683</t>
  </si>
  <si>
    <t>https://www.smwcentral.net/?a=details&amp;id=31683&amp;p=section</t>
  </si>
  <si>
    <t>https://dl.smwcentral.net/31683/Nameless%20Kaizo%20World%20%28Light%29.zip</t>
  </si>
  <si>
    <t>Nameless Shells</t>
  </si>
  <si>
    <t>32900</t>
  </si>
  <si>
    <t>https://www.smwcentral.net/?a=details&amp;id=32900&amp;p=section</t>
  </si>
  <si>
    <t>https://dl.smwcentral.net/32900/Nameless%20Shells.zip</t>
  </si>
  <si>
    <t>Natsukashii Mario World</t>
  </si>
  <si>
    <t>pixelninetales</t>
  </si>
  <si>
    <t>32847</t>
  </si>
  <si>
    <t>https://www.smwcentral.net/?a=details&amp;id=32847&amp;p=section</t>
  </si>
  <si>
    <t>https://dl.smwcentral.net/32847/natsukashii.zip</t>
  </si>
  <si>
    <t>Naughtyworld</t>
  </si>
  <si>
    <t>Christina Hendricks, JUMP Team, Kevin</t>
  </si>
  <si>
    <t>36680</t>
  </si>
  <si>
    <t>https://www.smwcentral.net/?a=details&amp;id=36680&amp;p=section</t>
  </si>
  <si>
    <t>https://dl.smwcentral.net/36680/naughtyworld.zip</t>
  </si>
  <si>
    <t>Nebula</t>
  </si>
  <si>
    <t>33695</t>
  </si>
  <si>
    <t>https://www.smwcentral.net/?a=details&amp;id=33695&amp;p=section</t>
  </si>
  <si>
    <t>https://dl.smwcentral.net/33695/NebulaVer.1.1.zip</t>
  </si>
  <si>
    <t>Neighborhood of Make-Believe</t>
  </si>
  <si>
    <t>38883</t>
  </si>
  <si>
    <t>https://www.smwcentral.net/?a=details&amp;id=38883&amp;p=section</t>
  </si>
  <si>
    <t>https://dl.smwcentral.net/38883/Neighborhood%20of%20Make-Believe%20v1.1.zip</t>
  </si>
  <si>
    <t>Neko Nightmare</t>
  </si>
  <si>
    <t>YamiRamzaNeko</t>
  </si>
  <si>
    <t>9850</t>
  </si>
  <si>
    <t>https://www.smwcentral.net/?a=details&amp;id=9850&amp;p=section</t>
  </si>
  <si>
    <t>https://dl.smwcentral.net/9850/smw.zip</t>
  </si>
  <si>
    <t>Nemesis</t>
  </si>
  <si>
    <t>Dennsen86</t>
  </si>
  <si>
    <t>30309</t>
  </si>
  <si>
    <t>https://www.smwcentral.net/?a=details&amp;id=30309&amp;p=section</t>
  </si>
  <si>
    <t>https://dl.smwcentral.net/30309/Nemesis.zip</t>
  </si>
  <si>
    <t>Nerdina's World</t>
  </si>
  <si>
    <t>B-Yoshi</t>
  </si>
  <si>
    <t>10198</t>
  </si>
  <si>
    <t>https://www.smwcentral.net/?a=details&amp;id=10198&amp;p=section</t>
  </si>
  <si>
    <t>https://dl.smwcentral.net/10198/Nerdina%27s%20World%20-%20Demo%20V%201.0.zip</t>
  </si>
  <si>
    <t>New Easter World</t>
  </si>
  <si>
    <t>SkywinDragoon</t>
  </si>
  <si>
    <t>15252</t>
  </si>
  <si>
    <t>https://www.smwcentral.net/?a=details&amp;id=15252&amp;p=section</t>
  </si>
  <si>
    <t>https://dl.smwcentral.net/15252/New%20Easter%20World%20W1%20DEMO.zip</t>
  </si>
  <si>
    <t>New Mario's Adventure</t>
  </si>
  <si>
    <t>yoshi9429</t>
  </si>
  <si>
    <t>15438</t>
  </si>
  <si>
    <t>https://www.smwcentral.net/?a=details&amp;id=15438&amp;p=section</t>
  </si>
  <si>
    <t>https://dl.smwcentral.net/15438/New%20Mario%27s%20Adventure.zip</t>
  </si>
  <si>
    <t>NEW Nightmare cafe</t>
  </si>
  <si>
    <t>33431</t>
  </si>
  <si>
    <t>https://www.smwcentral.net/?a=details&amp;id=33431&amp;p=section</t>
  </si>
  <si>
    <t>https://dl.smwcentral.net/33431/NEW%20Nightmare%20cafe%20v1.0A.zip</t>
  </si>
  <si>
    <t>NEW Nightmare cafe 2</t>
  </si>
  <si>
    <t>33555</t>
  </si>
  <si>
    <t>https://www.smwcentral.net/?a=details&amp;id=33555&amp;p=section</t>
  </si>
  <si>
    <t>https://dl.smwcentral.net/33555/NEW%20Nightmare%20cafe%202%20V1.0A.zip</t>
  </si>
  <si>
    <t>NEW Nightmare cafe 3</t>
  </si>
  <si>
    <t>33638</t>
  </si>
  <si>
    <t>https://www.smwcentral.net/?a=details&amp;id=33638&amp;p=section</t>
  </si>
  <si>
    <t>https://dl.smwcentral.net/33638/NEW%20Nightmare%20cafe%203%20V1.0.zip</t>
  </si>
  <si>
    <t>NEW Nightmare cafe 4</t>
  </si>
  <si>
    <t>33777</t>
  </si>
  <si>
    <t>https://www.smwcentral.net/?a=details&amp;id=33777&amp;p=section</t>
  </si>
  <si>
    <t>https://dl.smwcentral.net/33777/NEW%20Nightmare%20cafe%204%20V1.0.zip</t>
  </si>
  <si>
    <t>NEW Nightmare cafe 5</t>
  </si>
  <si>
    <t>35173</t>
  </si>
  <si>
    <t>https://www.smwcentral.net/?a=details&amp;id=35173&amp;p=section</t>
  </si>
  <si>
    <t>https://dl.smwcentral.net/35173/New%20Nightmare%20Cafe%205%20V1.zip</t>
  </si>
  <si>
    <t>New Retro Mario Bros.</t>
  </si>
  <si>
    <t>Dr. Mahatma</t>
  </si>
  <si>
    <t>9871</t>
  </si>
  <si>
    <t>https://www.smwcentral.net/?a=details&amp;id=9871&amp;p=section</t>
  </si>
  <si>
    <t>https://dl.smwcentral.net/9871/NRMB.zip</t>
  </si>
  <si>
    <t>New Schlitterbahn Yoshi World 1</t>
  </si>
  <si>
    <t>22328</t>
  </si>
  <si>
    <t>https://www.smwcentral.net/?a=details&amp;id=22328&amp;p=section</t>
  </si>
  <si>
    <t>https://dl.smwcentral.net/22328/New%20Schlitterbahn%20Yoshi%20World%201.zip</t>
  </si>
  <si>
    <t>New Sonic Generations</t>
  </si>
  <si>
    <t>35115</t>
  </si>
  <si>
    <t>https://www.smwcentral.net/?a=details&amp;id=35115&amp;p=section</t>
  </si>
  <si>
    <t>https://dl.smwcentral.net/35115/New%20Sonic%20Generations.zip</t>
  </si>
  <si>
    <t>New Super Kaizo Bros.</t>
  </si>
  <si>
    <t>19180</t>
  </si>
  <si>
    <t>https://www.smwcentral.net/?a=details&amp;id=19180&amp;p=section</t>
  </si>
  <si>
    <t>https://dl.smwcentral.net/19180/New%20Super%20Kaizo%20Bros%201.1.zip</t>
  </si>
  <si>
    <t>New Super Mario Bros.</t>
  </si>
  <si>
    <t>Juga, icegoom</t>
  </si>
  <si>
    <t>9663</t>
  </si>
  <si>
    <t>https://www.smwcentral.net/?a=details&amp;id=9663&amp;p=section</t>
  </si>
  <si>
    <t>https://dl.smwcentral.net/9663/nsmb.zip</t>
  </si>
  <si>
    <t>New Super Mario Bros. SNES</t>
  </si>
  <si>
    <t>Mr. Pixelator</t>
  </si>
  <si>
    <t>16558</t>
  </si>
  <si>
    <t>https://www.smwcentral.net/?a=details&amp;id=16558&amp;p=section</t>
  </si>
  <si>
    <t>https://dl.smwcentral.net/16558/New%20Super%20Mario%20Bros.%20SNES%20%28Demo%202%29.zip</t>
  </si>
  <si>
    <t>New Super Mario Bros: The Lost Levels</t>
  </si>
  <si>
    <t>RickyMario</t>
  </si>
  <si>
    <t>9763</t>
  </si>
  <si>
    <t>https://www.smwcentral.net/?a=details&amp;id=9763&amp;p=section</t>
  </si>
  <si>
    <t>https://dl.smwcentral.net/9763/New%20Super%20Mario%20Lost.zip</t>
  </si>
  <si>
    <t>New Super Mario Illusion</t>
  </si>
  <si>
    <t>K3Blue64</t>
  </si>
  <si>
    <t>9979</t>
  </si>
  <si>
    <t>https://www.smwcentral.net/?a=details&amp;id=9979&amp;p=section</t>
  </si>
  <si>
    <t>https://dl.smwcentral.net/9979/smi.zip</t>
  </si>
  <si>
    <t>New Super Mario Land</t>
  </si>
  <si>
    <t>20885</t>
  </si>
  <si>
    <t>https://www.smwcentral.net/?a=details&amp;id=20885&amp;p=section</t>
  </si>
  <si>
    <t>https://dl.smwcentral.net/20885/New%20Super%20Mario%20Land.zip</t>
  </si>
  <si>
    <t>New Super Mario Pants World</t>
  </si>
  <si>
    <t>20656</t>
  </si>
  <si>
    <t>https://www.smwcentral.net/?a=details&amp;id=20656&amp;p=section</t>
  </si>
  <si>
    <t>https://dl.smwcentral.net/20656/NSMPW.zip</t>
  </si>
  <si>
    <t>New Super Mario World 1: The Twelve Magic Orbs</t>
  </si>
  <si>
    <t>Pink Gold Peach</t>
  </si>
  <si>
    <t>14059</t>
  </si>
  <si>
    <t>https://www.smwcentral.net/?a=details&amp;id=14059&amp;p=section</t>
  </si>
  <si>
    <t>https://dl.smwcentral.net/14059/New%20Super%20Mario%20World%201%20The%2012%20Magic%20Orbs%201.4.zip</t>
  </si>
  <si>
    <t>New Super Mario World 1: The Twelve Magic Orbs Powered-Up</t>
  </si>
  <si>
    <t>34324</t>
  </si>
  <si>
    <t>https://www.smwcentral.net/?a=details&amp;id=34324&amp;p=section</t>
  </si>
  <si>
    <t>https://dl.smwcentral.net/34324/New%20Super%20Mario%20World%201%20The%20Twelve%20Magic%20Orbs%20POWERED-UP%20v1.1.zip</t>
  </si>
  <si>
    <t>New Super Mario World 2: Around The World</t>
  </si>
  <si>
    <t>21541</t>
  </si>
  <si>
    <t>https://www.smwcentral.net/?a=details&amp;id=21541&amp;p=section</t>
  </si>
  <si>
    <t>https://dl.smwcentral.net/21541/New%20Super%20Mario%20World%202%20Around%20The%20World.zip</t>
  </si>
  <si>
    <t>New Super Mario World 2: Luigi's Quest</t>
  </si>
  <si>
    <t>37998</t>
  </si>
  <si>
    <t>https://www.smwcentral.net/?a=details&amp;id=37998&amp;p=section</t>
  </si>
  <si>
    <t>https://dl.smwcentral.net/37998/NSMW2%20v2.2.1%20%28update%29.zip</t>
  </si>
  <si>
    <t>New Super Mario World Edition 2023</t>
  </si>
  <si>
    <t>Teaser</t>
  </si>
  <si>
    <t>33614</t>
  </si>
  <si>
    <t>https://www.smwcentral.net/?a=details&amp;id=33614&amp;p=section</t>
  </si>
  <si>
    <t>https://dl.smwcentral.net/33614/NSMWE%202023%20Demo%20Pt-Br%20%2B%20Usa%20Ver%201.1.zip</t>
  </si>
  <si>
    <t>New Super Mario World: The Seven Crystals of Peace</t>
  </si>
  <si>
    <t>Zamo</t>
  </si>
  <si>
    <t>5473</t>
  </si>
  <si>
    <t>https://www.smwcentral.net/?a=details&amp;id=5473&amp;p=section</t>
  </si>
  <si>
    <t>https://dl.smwcentral.net/5473/hack.zip</t>
  </si>
  <si>
    <t>New Territory</t>
  </si>
  <si>
    <t>Starboi's Coffee</t>
  </si>
  <si>
    <t>17987</t>
  </si>
  <si>
    <t>https://www.smwcentral.net/?a=details&amp;id=17987&amp;p=section</t>
  </si>
  <si>
    <t>https://dl.smwcentral.net/17987/NewTerritory%20v1.2%20DEMO.zip</t>
  </si>
  <si>
    <t>NEW! Super Mario Land returns</t>
  </si>
  <si>
    <t>13845</t>
  </si>
  <si>
    <t>https://www.smwcentral.net/?a=details&amp;id=13845&amp;p=section</t>
  </si>
  <si>
    <t>https://dl.smwcentral.net/13845/NSMLR%20demo.zip</t>
  </si>
  <si>
    <t>new.sfc</t>
  </si>
  <si>
    <t>danwaleby</t>
  </si>
  <si>
    <t>21909</t>
  </si>
  <si>
    <t>https://www.smwcentral.net/?a=details&amp;id=21909&amp;p=section</t>
  </si>
  <si>
    <t>https://dl.smwcentral.net/21909/newDOTsfc.zip</t>
  </si>
  <si>
    <t>Newbie Kaizo World</t>
  </si>
  <si>
    <t>29486</t>
  </si>
  <si>
    <t>https://www.smwcentral.net/?a=details&amp;id=29486&amp;p=section</t>
  </si>
  <si>
    <t>https://dl.smwcentral.net/29486/Newbie%20Kaizo%20World%20v2.zip</t>
  </si>
  <si>
    <t>Nextl - Summer Special Demo</t>
  </si>
  <si>
    <t>Yavooti</t>
  </si>
  <si>
    <t>31323</t>
  </si>
  <si>
    <t>https://www.smwcentral.net/?a=details&amp;id=31323&amp;p=section</t>
  </si>
  <si>
    <t>https://dl.smwcentral.net/31323/Nextl_-_Summer_Special_Demo_Release_10_juli_22.zip</t>
  </si>
  <si>
    <t>Nextl: Christmas Chronicles - Demo</t>
  </si>
  <si>
    <t>29066</t>
  </si>
  <si>
    <t>https://www.smwcentral.net/?a=details&amp;id=29066&amp;p=section</t>
  </si>
  <si>
    <t>https://dl.smwcentral.net/29066/Nextl_Christmas_Demo_-_1.1_.zip</t>
  </si>
  <si>
    <t>NH World</t>
  </si>
  <si>
    <t>l337f00l</t>
  </si>
  <si>
    <t>41036</t>
  </si>
  <si>
    <t>https://www.smwcentral.net/?a=details&amp;id=41036&amp;p=section</t>
  </si>
  <si>
    <t>https://dl.smwcentral.net/41036/NHWorld.v1.3.zip</t>
  </si>
  <si>
    <t>NH World 2</t>
  </si>
  <si>
    <t>39731</t>
  </si>
  <si>
    <t>https://www.smwcentral.net/?a=details&amp;id=39731&amp;p=section</t>
  </si>
  <si>
    <t>https://dl.smwcentral.net/39731/NH_World_2.zip</t>
  </si>
  <si>
    <t>Nightmare cafe</t>
  </si>
  <si>
    <t>27026</t>
  </si>
  <si>
    <t>https://www.smwcentral.net/?a=details&amp;id=27026&amp;p=section</t>
  </si>
  <si>
    <t>https://dl.smwcentral.net/27026/Nightmare%20cafe%20v1.1.zip</t>
  </si>
  <si>
    <t>Nightmare cafe - Ninji's Adventure</t>
  </si>
  <si>
    <t>38111</t>
  </si>
  <si>
    <t>https://www.smwcentral.net/?a=details&amp;id=38111&amp;p=section</t>
  </si>
  <si>
    <t>https://dl.smwcentral.net/38111/Nightmare%20Cafe%20-%20Ninji%27s%20Adventure%20V1.0A.zip</t>
  </si>
  <si>
    <t>Nightmare cafe II</t>
  </si>
  <si>
    <t>27739</t>
  </si>
  <si>
    <t>https://www.smwcentral.net/?a=details&amp;id=27739&amp;p=section</t>
  </si>
  <si>
    <t>https://dl.smwcentral.net/27739/Nightmare%20cafe%20II%20v1.3.zip</t>
  </si>
  <si>
    <t>Nightmare cafe III</t>
  </si>
  <si>
    <t>27737</t>
  </si>
  <si>
    <t>https://www.smwcentral.net/?a=details&amp;id=27737&amp;p=section</t>
  </si>
  <si>
    <t>https://dl.smwcentral.net/27737/Nightmare%20cafe%20III%20V1.3.zip</t>
  </si>
  <si>
    <t>Nightmare cafe IV</t>
  </si>
  <si>
    <t>27735</t>
  </si>
  <si>
    <t>https://www.smwcentral.net/?a=details&amp;id=27735&amp;p=section</t>
  </si>
  <si>
    <t>https://dl.smwcentral.net/27735/Nightmare%20cafe%20IV%20V1.3.zip</t>
  </si>
  <si>
    <t>Nightmare cafe IX</t>
  </si>
  <si>
    <t>27776</t>
  </si>
  <si>
    <t>https://www.smwcentral.net/?a=details&amp;id=27776&amp;p=section</t>
  </si>
  <si>
    <t>https://dl.smwcentral.net/27776/Nightmare%20cafe%20IX%20v1.0.zip</t>
  </si>
  <si>
    <t>Nightmare cafe origins</t>
  </si>
  <si>
    <t>37949</t>
  </si>
  <si>
    <t>https://www.smwcentral.net/?a=details&amp;id=37949&amp;p=section</t>
  </si>
  <si>
    <t>https://dl.smwcentral.net/37949/Nightmare%20Cafe%20Origins%20V1.0.zip</t>
  </si>
  <si>
    <t>Nightmare cafe seasons</t>
  </si>
  <si>
    <t>38934</t>
  </si>
  <si>
    <t>https://www.smwcentral.net/?a=details&amp;id=38934&amp;p=section</t>
  </si>
  <si>
    <t>https://dl.smwcentral.net/38934/Nightmare%20Cafe%20Seasons%20V1.0%20%2B%20Credits.zip</t>
  </si>
  <si>
    <t>Nightmare cafe V</t>
  </si>
  <si>
    <t>27732</t>
  </si>
  <si>
    <t>https://www.smwcentral.net/?a=details&amp;id=27732&amp;p=section</t>
  </si>
  <si>
    <t>https://dl.smwcentral.net/27732/Nightmare%20cafe%20V%20v1.3.zip</t>
  </si>
  <si>
    <t>Nightmare cafe VI</t>
  </si>
  <si>
    <t>27733</t>
  </si>
  <si>
    <t>https://www.smwcentral.net/?a=details&amp;id=27733&amp;p=section</t>
  </si>
  <si>
    <t>https://dl.smwcentral.net/27733/Nightmare%20Cafe%20VI%201.3.zip</t>
  </si>
  <si>
    <t>Nightmare cafe VII</t>
  </si>
  <si>
    <t>27734</t>
  </si>
  <si>
    <t>https://www.smwcentral.net/?a=details&amp;id=27734&amp;p=section</t>
  </si>
  <si>
    <t>https://dl.smwcentral.net/27734/Nightmare%20cafe%20VII%20v1.3.zip</t>
  </si>
  <si>
    <t>Nightmare cafe VIII</t>
  </si>
  <si>
    <t>27738</t>
  </si>
  <si>
    <t>https://www.smwcentral.net/?a=details&amp;id=27738&amp;p=section</t>
  </si>
  <si>
    <t>https://dl.smwcentral.net/27738/Nightmare%20cafe%20VIII%20v1.3.zip</t>
  </si>
  <si>
    <t>Nightmare cafe X</t>
  </si>
  <si>
    <t>27778</t>
  </si>
  <si>
    <t>https://www.smwcentral.net/?a=details&amp;id=27778&amp;p=section</t>
  </si>
  <si>
    <t>https://dl.smwcentral.net/27778/Nightmare%20cafe%20X%20v1.0.zip</t>
  </si>
  <si>
    <t>Nightmares</t>
  </si>
  <si>
    <t>31053</t>
  </si>
  <si>
    <t>https://www.smwcentral.net/?a=details&amp;id=31053&amp;p=section</t>
  </si>
  <si>
    <t>https://dl.smwcentral.net/31053/Nightmares.zip</t>
  </si>
  <si>
    <t>Ninja World</t>
  </si>
  <si>
    <t>18284</t>
  </si>
  <si>
    <t>https://www.smwcentral.net/?a=details&amp;id=18284&amp;p=section</t>
  </si>
  <si>
    <t>https://dl.smwcentral.net/18284/Ninja%20World%20v1.2.zip</t>
  </si>
  <si>
    <t>Ninja World 2</t>
  </si>
  <si>
    <t>20801</t>
  </si>
  <si>
    <t>https://www.smwcentral.net/?a=details&amp;id=20801&amp;p=section</t>
  </si>
  <si>
    <t>https://dl.smwcentral.net/20801/Ninja%20World%202.zip</t>
  </si>
  <si>
    <t>Ninja World 3</t>
  </si>
  <si>
    <t>22901</t>
  </si>
  <si>
    <t>https://www.smwcentral.net/?a=details&amp;id=22901&amp;p=section</t>
  </si>
  <si>
    <t>https://dl.smwcentral.net/22901/Ninja%20World%203.zip</t>
  </si>
  <si>
    <t>Ninji Burst!</t>
  </si>
  <si>
    <t>1UPdudes</t>
  </si>
  <si>
    <t>41388</t>
  </si>
  <si>
    <t>https://www.smwcentral.net/?a=details&amp;id=41388&amp;p=section</t>
  </si>
  <si>
    <t>https://dl.smwcentral.net/41388/NinjiBurstV1.5.zip</t>
  </si>
  <si>
    <t>Ninji Story + Mario mode</t>
  </si>
  <si>
    <t>27585</t>
  </si>
  <si>
    <t>https://www.smwcentral.net/?a=details&amp;id=27585&amp;p=section</t>
  </si>
  <si>
    <t>https://dl.smwcentral.net/27585/Ninji%20story%20v1.1%20%2B%20Mario%20mode.zip</t>
  </si>
  <si>
    <t>Ninji Story 2</t>
  </si>
  <si>
    <t>35775</t>
  </si>
  <si>
    <t>https://www.smwcentral.net/?a=details&amp;id=35775&amp;p=section</t>
  </si>
  <si>
    <t>https://dl.smwcentral.net/35775/Ninji%20Story%202%20V1.0B.zip</t>
  </si>
  <si>
    <t>Ninpp World</t>
  </si>
  <si>
    <t>42653</t>
  </si>
  <si>
    <t>https://www.smwcentral.net/?a=details&amp;id=42653&amp;p=section</t>
  </si>
  <si>
    <t>https://dl.smwcentral.net/42653/Ninpp%20World.zip</t>
  </si>
  <si>
    <t>Nintense</t>
  </si>
  <si>
    <t>GunmaKuma</t>
  </si>
  <si>
    <t>28233</t>
  </si>
  <si>
    <t>https://www.smwcentral.net/?a=details&amp;id=28233&amp;p=section</t>
  </si>
  <si>
    <t>https://dl.smwcentral.net/28233/Nintense.zip</t>
  </si>
  <si>
    <t>Nissay's beginning</t>
  </si>
  <si>
    <t>NissayTheCat, Yagami</t>
  </si>
  <si>
    <t>26287</t>
  </si>
  <si>
    <t>https://www.smwcentral.net/?a=details&amp;id=26287&amp;p=section</t>
  </si>
  <si>
    <t>https://dl.smwcentral.net/26287/NTC_2.0.zip</t>
  </si>
  <si>
    <t>No Biggie World</t>
  </si>
  <si>
    <t>Stunyboy</t>
  </si>
  <si>
    <t>32178</t>
  </si>
  <si>
    <t>https://www.smwcentral.net/?a=details&amp;id=32178&amp;p=section</t>
  </si>
  <si>
    <t>https://dl.smwcentral.net/32178/NoBiggieWorld1.1.zip</t>
  </si>
  <si>
    <t>no name</t>
  </si>
  <si>
    <t>29572</t>
  </si>
  <si>
    <t>https://www.smwcentral.net/?a=details&amp;id=29572&amp;p=section</t>
  </si>
  <si>
    <t>https://dl.smwcentral.net/29572/%5BHack%5D%20no%20name.zip</t>
  </si>
  <si>
    <t>No Villains</t>
  </si>
  <si>
    <t>Kaizo, Puzzle, Tool-Assisted</t>
  </si>
  <si>
    <t>39737</t>
  </si>
  <si>
    <t>https://www.smwcentral.net/?a=details&amp;id=39737&amp;p=section</t>
  </si>
  <si>
    <t>https://dl.smwcentral.net/39737/NoVillains.zip</t>
  </si>
  <si>
    <t>Nobody Asked For This</t>
  </si>
  <si>
    <t>Spirits</t>
  </si>
  <si>
    <t>33562</t>
  </si>
  <si>
    <t>https://www.smwcentral.net/?a=details&amp;id=33562&amp;p=section</t>
  </si>
  <si>
    <t>https://dl.smwcentral.net/33562/nobodyasked_1.0.zip</t>
  </si>
  <si>
    <t>Noise's Fault</t>
  </si>
  <si>
    <t>37560</t>
  </si>
  <si>
    <t>https://www.smwcentral.net/?a=details&amp;id=37560&amp;p=section</t>
  </si>
  <si>
    <t>https://dl.smwcentral.net/37560/Noise%27s_Fault_1.1.zip</t>
  </si>
  <si>
    <t>Nonsense</t>
  </si>
  <si>
    <t>GbreezeSunset, MiracleWater, Various Authors</t>
  </si>
  <si>
    <t>37734</t>
  </si>
  <si>
    <t>https://www.smwcentral.net/?a=details&amp;id=37734&amp;p=section</t>
  </si>
  <si>
    <t>https://dl.smwcentral.net/37734/Nonsense%201.1.zip</t>
  </si>
  <si>
    <t>Not Another Puzzle Hack</t>
  </si>
  <si>
    <t>17088</t>
  </si>
  <si>
    <t>https://www.smwcentral.net/?a=details&amp;id=17088&amp;p=section</t>
  </si>
  <si>
    <t>https://dl.smwcentral.net/17088/naph.zip</t>
  </si>
  <si>
    <t>Not Dracula's Castle</t>
  </si>
  <si>
    <t>21406</t>
  </si>
  <si>
    <t>https://www.smwcentral.net/?a=details&amp;id=21406&amp;p=section</t>
  </si>
  <si>
    <t>https://dl.smwcentral.net/21406/dracula1.021.zip</t>
  </si>
  <si>
    <t>NOT SO SADISTIC MARIO.</t>
  </si>
  <si>
    <t>16909</t>
  </si>
  <si>
    <t>https://www.smwcentral.net/?a=details&amp;id=16909&amp;p=section</t>
  </si>
  <si>
    <t>https://dl.smwcentral.net/16909/NSSM_v0.2.zip</t>
  </si>
  <si>
    <t>Nothing Crazy</t>
  </si>
  <si>
    <t>callmeCMDR</t>
  </si>
  <si>
    <t>25966</t>
  </si>
  <si>
    <t>https://www.smwcentral.net/?a=details&amp;id=25966&amp;p=section</t>
  </si>
  <si>
    <t>https://dl.smwcentral.net/25966/Nothing%20Crazy.zip</t>
  </si>
  <si>
    <t>Nothing Special</t>
  </si>
  <si>
    <t>14689</t>
  </si>
  <si>
    <t>https://www.smwcentral.net/?a=details&amp;id=14689&amp;p=section</t>
  </si>
  <si>
    <t>https://dl.smwcentral.net/14689/Nothing%20Special%20Version%200.6.zip</t>
  </si>
  <si>
    <t>Nothing Special (Remastered)</t>
  </si>
  <si>
    <t>14704</t>
  </si>
  <si>
    <t>https://www.smwcentral.net/?a=details&amp;id=14704&amp;p=section</t>
  </si>
  <si>
    <t>https://dl.smwcentral.net/14704/NS%20remastered%20music.zip</t>
  </si>
  <si>
    <t>Nova Concept - a love letter to SIG</t>
  </si>
  <si>
    <t>32303</t>
  </si>
  <si>
    <t>https://www.smwcentral.net/?a=details&amp;id=32303&amp;p=section</t>
  </si>
  <si>
    <t>https://dl.smwcentral.net/32303/Nova%20Concept%20-%20a%20love%20letter%20to%20SIG.zip</t>
  </si>
  <si>
    <t>Nuatepra</t>
  </si>
  <si>
    <t>Aclais, ocked</t>
  </si>
  <si>
    <t>37634</t>
  </si>
  <si>
    <t>https://www.smwcentral.net/?a=details&amp;id=37634&amp;p=section</t>
  </si>
  <si>
    <t>https://dl.smwcentral.net/37634/Nuatepra.zip</t>
  </si>
  <si>
    <t>O Ninja Negro</t>
  </si>
  <si>
    <t>14556</t>
  </si>
  <si>
    <t>https://www.smwcentral.net/?a=details&amp;id=14556&amp;p=section</t>
  </si>
  <si>
    <t>https://dl.smwcentral.net/14556/ONN.zip</t>
  </si>
  <si>
    <t>O'Ghim!</t>
  </si>
  <si>
    <t>microwave_brothr</t>
  </si>
  <si>
    <t>27992</t>
  </si>
  <si>
    <t>https://www.smwcentral.net/?a=details&amp;id=27992&amp;p=section</t>
  </si>
  <si>
    <t>https://dl.smwcentral.net/27992/GhimUpdate.zip</t>
  </si>
  <si>
    <t>O'Ghim!: Scholar Of The First Ghim</t>
  </si>
  <si>
    <t>33041</t>
  </si>
  <si>
    <t>https://www.smwcentral.net/?a=details&amp;id=33041&amp;p=section</t>
  </si>
  <si>
    <t>https://dl.smwcentral.net/33041/Ghim-Scholar.zip</t>
  </si>
  <si>
    <t>Oblivion</t>
  </si>
  <si>
    <t>Bruno_Peixoto</t>
  </si>
  <si>
    <t>42411</t>
  </si>
  <si>
    <t>https://www.smwcentral.net/?a=details&amp;id=42411&amp;p=section</t>
  </si>
  <si>
    <t>https://dl.smwcentral.net/42411/Oblivion.zip</t>
  </si>
  <si>
    <t>Obscure</t>
  </si>
  <si>
    <t>29614</t>
  </si>
  <si>
    <t>https://www.smwcentral.net/?a=details&amp;id=29614&amp;p=section</t>
  </si>
  <si>
    <t>https://dl.smwcentral.net/29614/Obscure.zip</t>
  </si>
  <si>
    <t>Obstinate</t>
  </si>
  <si>
    <t>41331</t>
  </si>
  <si>
    <t>https://www.smwcentral.net/?a=details&amp;id=41331&amp;p=section</t>
  </si>
  <si>
    <t>https://dl.smwcentral.net/41331/obstinate%20v1.0.zip</t>
  </si>
  <si>
    <t>Octopus</t>
  </si>
  <si>
    <t>Joosh</t>
  </si>
  <si>
    <t>36658</t>
  </si>
  <si>
    <t>https://www.smwcentral.net/?a=details&amp;id=36658&amp;p=section</t>
  </si>
  <si>
    <t>https://dl.smwcentral.net/36658/Octopus_v3.zip</t>
  </si>
  <si>
    <t>Odd Master Mario</t>
  </si>
  <si>
    <t>Youmu Konpaku</t>
  </si>
  <si>
    <t>5060</t>
  </si>
  <si>
    <t>https://www.smwcentral.net/?a=details&amp;id=5060&amp;p=section</t>
  </si>
  <si>
    <t>https://dl.smwcentral.net/5060/OMM%20with%20overworld%201.zip</t>
  </si>
  <si>
    <t>Odd Sands</t>
  </si>
  <si>
    <t>GbreezeSunset, Lazy, MiracleWater</t>
  </si>
  <si>
    <t>35139</t>
  </si>
  <si>
    <t>https://www.smwcentral.net/?a=details&amp;id=35139&amp;p=section</t>
  </si>
  <si>
    <t>https://dl.smwcentral.net/35139/Odd%20Sands.zip</t>
  </si>
  <si>
    <t>Ode To The Original Sin</t>
  </si>
  <si>
    <t>Kaizo Literature Club, Selicre</t>
  </si>
  <si>
    <t>38848</t>
  </si>
  <si>
    <t>https://www.smwcentral.net/?a=details&amp;id=38848&amp;p=section</t>
  </si>
  <si>
    <t>https://dl.smwcentral.net/38848/OdeToTheOriginalSin.zip</t>
  </si>
  <si>
    <t>Of Heavy Riffs and Awesome Basslines</t>
  </si>
  <si>
    <t>28027</t>
  </si>
  <si>
    <t>https://www.smwcentral.net/?a=details&amp;id=28027&amp;p=section</t>
  </si>
  <si>
    <t>https://dl.smwcentral.net/28027/Of%20Heavy%20Riffs%20and%20Awesome%20Basslines.zip</t>
  </si>
  <si>
    <t>Of Jumps and Platforms</t>
  </si>
  <si>
    <t>Darolac</t>
  </si>
  <si>
    <t>23814</t>
  </si>
  <si>
    <t>https://www.smwcentral.net/?a=details&amp;id=23814&amp;p=section</t>
  </si>
  <si>
    <t>https://dl.smwcentral.net/23814/Of_Jumps_and_Platforms.zip</t>
  </si>
  <si>
    <t>Of Precision &amp; Style</t>
  </si>
  <si>
    <t>30560</t>
  </si>
  <si>
    <t>https://www.smwcentral.net/?a=details&amp;id=30560&amp;p=section</t>
  </si>
  <si>
    <t>https://dl.smwcentral.net/30560/Of%20Style%20and%20Precision.zip</t>
  </si>
  <si>
    <t>OK Mario</t>
  </si>
  <si>
    <t>FiveFactor</t>
  </si>
  <si>
    <t>37764</t>
  </si>
  <si>
    <t>https://www.smwcentral.net/?a=details&amp;id=37764&amp;p=section</t>
  </si>
  <si>
    <t>https://dl.smwcentral.net/37764/OKMario_1.2.zip</t>
  </si>
  <si>
    <t>Olafs Shell Adventure</t>
  </si>
  <si>
    <t>39508</t>
  </si>
  <si>
    <t>https://www.smwcentral.net/?a=details&amp;id=39508&amp;p=section</t>
  </si>
  <si>
    <t>https://dl.smwcentral.net/39508/Olafs%20Shell%20Adventure.zip</t>
  </si>
  <si>
    <t>Old Marine World</t>
  </si>
  <si>
    <t>37912</t>
  </si>
  <si>
    <t>https://www.smwcentral.net/?a=details&amp;id=37912&amp;p=section</t>
  </si>
  <si>
    <t>https://dl.smwcentral.net/37912/Old%20Marine%20World.zip</t>
  </si>
  <si>
    <t>On The Edge</t>
  </si>
  <si>
    <t>naBerada</t>
  </si>
  <si>
    <t>42110</t>
  </si>
  <si>
    <t>https://www.smwcentral.net/?a=details&amp;id=42110&amp;p=section</t>
  </si>
  <si>
    <t>https://dl.smwcentral.net/42110/OnTheEdge.zip</t>
  </si>
  <si>
    <t>Once Again</t>
  </si>
  <si>
    <t>Daffoxy</t>
  </si>
  <si>
    <t>36841</t>
  </si>
  <si>
    <t>https://www.smwcentral.net/?a=details&amp;id=36841&amp;p=section</t>
  </si>
  <si>
    <t>https://dl.smwcentral.net/36841/OnceAgain_1.1.zip</t>
  </si>
  <si>
    <t>ONE</t>
  </si>
  <si>
    <t>40252</t>
  </si>
  <si>
    <t>https://www.smwcentral.net/?a=details&amp;id=40252&amp;p=section</t>
  </si>
  <si>
    <t>https://dl.smwcentral.net/40252/ONE.zip</t>
  </si>
  <si>
    <t>One Day The Sadness Will End</t>
  </si>
  <si>
    <t>JUMP Team, Kevin, Koopster</t>
  </si>
  <si>
    <t>39110</t>
  </si>
  <si>
    <t>https://www.smwcentral.net/?a=details&amp;id=39110&amp;p=section</t>
  </si>
  <si>
    <t>https://dl.smwcentral.net/39110/sadness.zip</t>
  </si>
  <si>
    <t>One screen puzzle N°1</t>
  </si>
  <si>
    <t>SwagDePaul</t>
  </si>
  <si>
    <t>16348</t>
  </si>
  <si>
    <t>https://www.smwcentral.net/?a=details&amp;id=16348&amp;p=section</t>
  </si>
  <si>
    <t>https://dl.smwcentral.net/16348/One%20screen%20puzzle%201.zip</t>
  </si>
  <si>
    <t>Onegai My Melody - Detour Land Conquest</t>
  </si>
  <si>
    <t>38931</t>
  </si>
  <si>
    <t>https://www.smwcentral.net/?a=details&amp;id=38931&amp;p=section</t>
  </si>
  <si>
    <t>https://dl.smwcentral.net/38931/Onegai%20My%20Melody%20-%20Detour%20Land%20Conquest%20v1.1.zip</t>
  </si>
  <si>
    <t>Onegai My Melody - My Melody Adventure</t>
  </si>
  <si>
    <t>37004</t>
  </si>
  <si>
    <t>https://www.smwcentral.net/?a=details&amp;id=37004&amp;p=section</t>
  </si>
  <si>
    <t>https://dl.smwcentral.net/37004/Onegai%20My%20Melody%20Adventure%20v1.1.zip</t>
  </si>
  <si>
    <t>ONLY UP</t>
  </si>
  <si>
    <t>34773</t>
  </si>
  <si>
    <t>https://www.smwcentral.net/?a=details&amp;id=34773&amp;p=section</t>
  </si>
  <si>
    <t>https://dl.smwcentral.net/34773/only%20up.zip</t>
  </si>
  <si>
    <t>Oogtar's Quest</t>
  </si>
  <si>
    <t>Pseudogon</t>
  </si>
  <si>
    <t>13051</t>
  </si>
  <si>
    <t>https://www.smwcentral.net/?a=details&amp;id=13051&amp;p=section</t>
  </si>
  <si>
    <t>https://dl.smwcentral.net/13051/Oogtar%27s_Quest.zip</t>
  </si>
  <si>
    <t>ooooo</t>
  </si>
  <si>
    <t>JUMP Team, Kevin</t>
  </si>
  <si>
    <t>37470</t>
  </si>
  <si>
    <t>https://www.smwcentral.net/?a=details&amp;id=37470&amp;p=section</t>
  </si>
  <si>
    <t>https://dl.smwcentral.net/37470/ooooo.zip</t>
  </si>
  <si>
    <t>Oops all keys</t>
  </si>
  <si>
    <t>Volpey</t>
  </si>
  <si>
    <t>18376</t>
  </si>
  <si>
    <t>https://www.smwcentral.net/?a=details&amp;id=18376&amp;p=section</t>
  </si>
  <si>
    <t>https://dl.smwcentral.net/18376/Oops%20all%20keys.zip</t>
  </si>
  <si>
    <t>Oops! All Fortresses</t>
  </si>
  <si>
    <t>33927</t>
  </si>
  <si>
    <t>https://www.smwcentral.net/?a=details&amp;id=33927&amp;p=section</t>
  </si>
  <si>
    <t>https://dl.smwcentral.net/33927/Oops%21%20All%20Fortresses.zip</t>
  </si>
  <si>
    <t>Oops, All Grasslands</t>
  </si>
  <si>
    <t>28356</t>
  </si>
  <si>
    <t>https://www.smwcentral.net/?a=details&amp;id=28356&amp;p=section</t>
  </si>
  <si>
    <t>https://dl.smwcentral.net/28356/Oops%2C%20All%20Grasslands.zip</t>
  </si>
  <si>
    <t>Oops,Trials Mario</t>
  </si>
  <si>
    <t>39798</t>
  </si>
  <si>
    <t>https://www.smwcentral.net/?a=details&amp;id=39798&amp;p=section</t>
  </si>
  <si>
    <t>https://dl.smwcentral.net/39798/Oops%2CTrials%20Mario.zip</t>
  </si>
  <si>
    <t>Oozitgarn</t>
  </si>
  <si>
    <t>Kamikaizo</t>
  </si>
  <si>
    <t>34381</t>
  </si>
  <si>
    <t>https://www.smwcentral.net/?a=details&amp;id=34381&amp;p=section</t>
  </si>
  <si>
    <t>https://dl.smwcentral.net/34381/Oozitgarn%20v1.0.zip</t>
  </si>
  <si>
    <t>Orcus</t>
  </si>
  <si>
    <t>27800</t>
  </si>
  <si>
    <t>https://www.smwcentral.net/?a=details&amp;id=27800&amp;p=section</t>
  </si>
  <si>
    <t>https://dl.smwcentral.net/27800/Orcus%20v1.1.zip</t>
  </si>
  <si>
    <t>Our Wonderful Planet</t>
  </si>
  <si>
    <t>ChrisTheAussie</t>
  </si>
  <si>
    <t>27912</t>
  </si>
  <si>
    <t>https://www.smwcentral.net/?a=details&amp;id=27912&amp;p=section</t>
  </si>
  <si>
    <t>https://dl.smwcentral.net/27912/Our%20Wonderful%20Planet.zip</t>
  </si>
  <si>
    <t>Out of Ideas!</t>
  </si>
  <si>
    <t>33078</t>
  </si>
  <si>
    <t>https://www.smwcentral.net/?a=details&amp;id=33078&amp;p=section</t>
  </si>
  <si>
    <t>https://dl.smwcentral.net/33078/out-of-ideas.zip</t>
  </si>
  <si>
    <t>Outrageous Mario World</t>
  </si>
  <si>
    <t>AnybodyAgrees</t>
  </si>
  <si>
    <t>10283</t>
  </si>
  <si>
    <t>https://www.smwcentral.net/?a=details&amp;id=10283&amp;p=section</t>
  </si>
  <si>
    <t>https://dl.smwcentral.net/10283/Outrageous%20Mario%20World%206_2.zip</t>
  </si>
  <si>
    <t>OWLVABOX</t>
  </si>
  <si>
    <t>Standard, Puzzle, Tool-Assisted</t>
  </si>
  <si>
    <t>37926</t>
  </si>
  <si>
    <t>https://www.smwcentral.net/?a=details&amp;id=37926&amp;p=section</t>
  </si>
  <si>
    <t>https://dl.smwcentral.net/37926/OWLVABOX.zip</t>
  </si>
  <si>
    <t>Oxworm</t>
  </si>
  <si>
    <t>H3nt4ik4m3n, Maw, Twiced_, neidoodle, ocked</t>
  </si>
  <si>
    <t>33774</t>
  </si>
  <si>
    <t>https://www.smwcentral.net/?a=details&amp;id=33774&amp;p=section</t>
  </si>
  <si>
    <t>https://dl.smwcentral.net/33774/Oxworm.zip</t>
  </si>
  <si>
    <t>Oxworm 2</t>
  </si>
  <si>
    <t>ocked, thefoxx87</t>
  </si>
  <si>
    <t>42588</t>
  </si>
  <si>
    <t>https://www.smwcentral.net/?a=details&amp;id=42588&amp;p=section</t>
  </si>
  <si>
    <t>https://dl.smwcentral.net/42588/Oxworm2.zip</t>
  </si>
  <si>
    <t>P-switch... The Legendary P-switch Void</t>
  </si>
  <si>
    <t>6969</t>
  </si>
  <si>
    <t>https://www.smwcentral.net/?a=details&amp;id=6969&amp;p=section</t>
  </si>
  <si>
    <t>https://dl.smwcentral.net/6969/pswitch_v2.0.zip</t>
  </si>
  <si>
    <t>P.A.U.L. (2022 Polished Edition)</t>
  </si>
  <si>
    <t>32445</t>
  </si>
  <si>
    <t>https://www.smwcentral.net/?a=details&amp;id=32445&amp;p=section</t>
  </si>
  <si>
    <t>https://dl.smwcentral.net/32445/Paul%20Remastered.zip</t>
  </si>
  <si>
    <t>P1JDS World</t>
  </si>
  <si>
    <t>30972</t>
  </si>
  <si>
    <t>https://www.smwcentral.net/?a=details&amp;id=30972&amp;p=section</t>
  </si>
  <si>
    <t>https://dl.smwcentral.net/30972/P1JDS%20World.zip</t>
  </si>
  <si>
    <t>Pac's Hac Demo</t>
  </si>
  <si>
    <t>pacmanboss256</t>
  </si>
  <si>
    <t>39183</t>
  </si>
  <si>
    <t>https://www.smwcentral.net/?a=details&amp;id=39183&amp;p=section</t>
  </si>
  <si>
    <t>https://dl.smwcentral.net/39183/pacshacagain.zip</t>
  </si>
  <si>
    <t>Pactos</t>
  </si>
  <si>
    <t>39513</t>
  </si>
  <si>
    <t>https://www.smwcentral.net/?a=details&amp;id=39513&amp;p=section</t>
  </si>
  <si>
    <t>https://dl.smwcentral.net/39513/Pactos%20v1.0.zip</t>
  </si>
  <si>
    <t>Pandarosa</t>
  </si>
  <si>
    <t>YouTibbles</t>
  </si>
  <si>
    <t>39148</t>
  </si>
  <si>
    <t>https://www.smwcentral.net/?a=details&amp;id=39148&amp;p=section</t>
  </si>
  <si>
    <t>https://dl.smwcentral.net/39148/Pandarosa%20v1.6.zip</t>
  </si>
  <si>
    <t>Pandemonium Fortress</t>
  </si>
  <si>
    <t>Caracc</t>
  </si>
  <si>
    <t>9691</t>
  </si>
  <si>
    <t>https://www.smwcentral.net/?a=details&amp;id=9691&amp;p=section</t>
  </si>
  <si>
    <t>https://dl.smwcentral.net/9691/Pandemonium%20Fortress.zip</t>
  </si>
  <si>
    <t>Pandemonium Fortress 2</t>
  </si>
  <si>
    <t>9641</t>
  </si>
  <si>
    <t>https://www.smwcentral.net/?a=details&amp;id=9641&amp;p=section</t>
  </si>
  <si>
    <t>https://dl.smwcentral.net/9641/Pandemonium%20Fortress%202%20v1.02.zip</t>
  </si>
  <si>
    <t>Pandora's Box (Legacy)</t>
  </si>
  <si>
    <t>Samantha</t>
  </si>
  <si>
    <t>13941</t>
  </si>
  <si>
    <t>https://www.smwcentral.net/?a=details&amp;id=13941&amp;p=section</t>
  </si>
  <si>
    <t>https://dl.smwcentral.net/13941/Pandora%27s%20Box%20C3%20Demo.zip</t>
  </si>
  <si>
    <t>Panga's Kaizo Kindergarten (For Dummies)</t>
  </si>
  <si>
    <t>20091</t>
  </si>
  <si>
    <t>https://www.smwcentral.net/?a=details&amp;id=20091&amp;p=section</t>
  </si>
  <si>
    <t>https://dl.smwcentral.net/20091/Kaizo%20Kindergarten%20v1.09.zip</t>
  </si>
  <si>
    <t>Panic in the Mushroom Kingdom</t>
  </si>
  <si>
    <t>ghettoyouth</t>
  </si>
  <si>
    <t>22045</t>
  </si>
  <si>
    <t>https://www.smwcentral.net/?a=details&amp;id=22045&amp;p=section</t>
  </si>
  <si>
    <t>https://dl.smwcentral.net/22045/PITMK-bothversions.zip</t>
  </si>
  <si>
    <t>Panic in the Mushroom Kingdom 2</t>
  </si>
  <si>
    <t>27799</t>
  </si>
  <si>
    <t>https://www.smwcentral.net/?a=details&amp;id=27799&amp;p=section</t>
  </si>
  <si>
    <t>https://dl.smwcentral.net/27799/Pitmk2v1.03.zip</t>
  </si>
  <si>
    <t>Papaya Mountain</t>
  </si>
  <si>
    <t>27854</t>
  </si>
  <si>
    <t>https://www.smwcentral.net/?a=details&amp;id=27854&amp;p=section</t>
  </si>
  <si>
    <t>https://dl.smwcentral.net/27854/Papaya%20Mountain.zip</t>
  </si>
  <si>
    <t>Paper Mario: The Plasma Star</t>
  </si>
  <si>
    <t>7 up, Andyana Jonseph, TheJullasicFox, TheOrangeToad, tmauri</t>
  </si>
  <si>
    <t>16891</t>
  </si>
  <si>
    <t>https://www.smwcentral.net/?a=details&amp;id=16891&amp;p=section</t>
  </si>
  <si>
    <t>https://dl.smwcentral.net/16891/pmtps.zip</t>
  </si>
  <si>
    <t>Paralysis</t>
  </si>
  <si>
    <t>RandomType</t>
  </si>
  <si>
    <t>34888</t>
  </si>
  <si>
    <t>https://www.smwcentral.net/?a=details&amp;id=34888&amp;p=section</t>
  </si>
  <si>
    <t>https://dl.smwcentral.net/34888/Paralysis.zip</t>
  </si>
  <si>
    <t>Paranormal Saga</t>
  </si>
  <si>
    <t>40444</t>
  </si>
  <si>
    <t>https://www.smwcentral.net/?a=details&amp;id=40444&amp;p=section</t>
  </si>
  <si>
    <t>https://dl.smwcentral.net/40444/pns_official_demo.zip</t>
  </si>
  <si>
    <t>PATHMAKER</t>
  </si>
  <si>
    <t>Puzzle</t>
  </si>
  <si>
    <t>41839</t>
  </si>
  <si>
    <t>https://www.smwcentral.net/?a=details&amp;id=41839&amp;p=section</t>
  </si>
  <si>
    <t>https://dl.smwcentral.net/41839/PATHMAKERv1.1.zip</t>
  </si>
  <si>
    <t>Paths</t>
  </si>
  <si>
    <t>42230</t>
  </si>
  <si>
    <t>https://www.smwcentral.net/?a=details&amp;id=42230&amp;p=section</t>
  </si>
  <si>
    <t>https://dl.smwcentral.net/42230/Paths%201.2.zip</t>
  </si>
  <si>
    <t>Paul '96</t>
  </si>
  <si>
    <t>18146</t>
  </si>
  <si>
    <t>https://www.smwcentral.net/?a=details&amp;id=18146&amp;p=section</t>
  </si>
  <si>
    <t>https://dl.smwcentral.net/18146/Paul%20%2796%20final%20demo.zip</t>
  </si>
  <si>
    <t>Peach and Daisy in Luigi's Rescue</t>
  </si>
  <si>
    <t>Marisa</t>
  </si>
  <si>
    <t>9961</t>
  </si>
  <si>
    <t>https://www.smwcentral.net/?a=details&amp;id=9961&amp;p=section</t>
  </si>
  <si>
    <t>https://dl.smwcentral.net/9961/PADILR.zip</t>
  </si>
  <si>
    <t>Peach is Missing</t>
  </si>
  <si>
    <t>15088</t>
  </si>
  <si>
    <t>https://www.smwcentral.net/?a=details&amp;id=15088&amp;p=section</t>
  </si>
  <si>
    <t>https://dl.smwcentral.net/15088/PIM%20v1.4.1.zip</t>
  </si>
  <si>
    <t>Peach Melba</t>
  </si>
  <si>
    <t>shrine</t>
  </si>
  <si>
    <t>9766</t>
  </si>
  <si>
    <t>https://www.smwcentral.net/?a=details&amp;id=9766&amp;p=section</t>
  </si>
  <si>
    <t>https://dl.smwcentral.net/9766/Peach%20Melba.zip</t>
  </si>
  <si>
    <t>Peachy Moat World</t>
  </si>
  <si>
    <t>Dan2point5, Sparkysie</t>
  </si>
  <si>
    <t>24148</t>
  </si>
  <si>
    <t>https://www.smwcentral.net/?a=details&amp;id=24148&amp;p=section</t>
  </si>
  <si>
    <t>https://dl.smwcentral.net/24148/Peachy_Moat_World.zip</t>
  </si>
  <si>
    <t>Peachy Moat World 2</t>
  </si>
  <si>
    <t>40112</t>
  </si>
  <si>
    <t>https://www.smwcentral.net/?a=details&amp;id=40112&amp;p=section</t>
  </si>
  <si>
    <t>https://dl.smwcentral.net/40112/Peachy%20Moat%20World%202.zip</t>
  </si>
  <si>
    <t>Perchance</t>
  </si>
  <si>
    <t>papanug</t>
  </si>
  <si>
    <t>38173</t>
  </si>
  <si>
    <t>https://www.smwcentral.net/?a=details&amp;id=38173&amp;p=section</t>
  </si>
  <si>
    <t>https://dl.smwcentral.net/38173/Perchance.zip</t>
  </si>
  <si>
    <t>Perfect theorem</t>
  </si>
  <si>
    <t>28945</t>
  </si>
  <si>
    <t>https://www.smwcentral.net/?a=details&amp;id=28945&amp;p=section</t>
  </si>
  <si>
    <t>https://dl.smwcentral.net/28945/perfect%20theorem.zip</t>
  </si>
  <si>
    <t>Persona Non Grata</t>
  </si>
  <si>
    <t>18794</t>
  </si>
  <si>
    <t>https://www.smwcentral.net/?a=details&amp;id=18794&amp;p=section</t>
  </si>
  <si>
    <t>https://dl.smwcentral.net/18794/Persona%20Non%20Grata.zip</t>
  </si>
  <si>
    <t>Persus: A Toad Adventure</t>
  </si>
  <si>
    <t>Fyord</t>
  </si>
  <si>
    <t>6763</t>
  </si>
  <si>
    <t>https://www.smwcentral.net/?a=details&amp;id=6763&amp;p=section</t>
  </si>
  <si>
    <t>https://dl.smwcentral.net/6763/Persus.zip</t>
  </si>
  <si>
    <t>Phenomenal Mario World</t>
  </si>
  <si>
    <t>14791</t>
  </si>
  <si>
    <t>https://www.smwcentral.net/?a=details&amp;id=14791&amp;p=section</t>
  </si>
  <si>
    <t>https://dl.smwcentral.net/14791/Phenomenal%20Mario%20World%20Demo.zip</t>
  </si>
  <si>
    <t>Pin's Grand Adventure ; The Real Deal</t>
  </si>
  <si>
    <t>DougieBomber12</t>
  </si>
  <si>
    <t>15521</t>
  </si>
  <si>
    <t>https://www.smwcentral.net/?a=details&amp;id=15521&amp;p=section</t>
  </si>
  <si>
    <t>https://dl.smwcentral.net/15521/Pin%27s%20Grand%20Adventure.zip</t>
  </si>
  <si>
    <t>Pineapple Porcupine</t>
  </si>
  <si>
    <t>33410</t>
  </si>
  <si>
    <t>https://www.smwcentral.net/?a=details&amp;id=33410&amp;p=section</t>
  </si>
  <si>
    <t>https://dl.smwcentral.net/33410/Pineapple%20Porcupine%20v1.1.zip</t>
  </si>
  <si>
    <t>Pineapple Porcupine 2</t>
  </si>
  <si>
    <t>42291</t>
  </si>
  <si>
    <t>https://www.smwcentral.net/?a=details&amp;id=42291&amp;p=section</t>
  </si>
  <si>
    <t>https://dl.smwcentral.net/42291/Pineapple%20Porcupine%202.zip</t>
  </si>
  <si>
    <t>Pipe City</t>
  </si>
  <si>
    <t>Graystripe</t>
  </si>
  <si>
    <t>39132</t>
  </si>
  <si>
    <t>https://www.smwcentral.net/?a=details&amp;id=39132&amp;p=section</t>
  </si>
  <si>
    <t>https://dl.smwcentral.net/39132/Pipe_City_v1.1.zip</t>
  </si>
  <si>
    <t>Pipetastic</t>
  </si>
  <si>
    <t>41226</t>
  </si>
  <si>
    <t>https://www.smwcentral.net/?a=details&amp;id=41226&amp;p=section</t>
  </si>
  <si>
    <t>https://dl.smwcentral.net/41226/Pipetastic1.1.zip</t>
  </si>
  <si>
    <t>Piranhatopia</t>
  </si>
  <si>
    <t>15170</t>
  </si>
  <si>
    <t>https://www.smwcentral.net/?a=details&amp;id=15170&amp;p=section</t>
  </si>
  <si>
    <t>https://dl.smwcentral.net/15170/Piranhatopia.zip</t>
  </si>
  <si>
    <t>Pirate Hack (Demo)</t>
  </si>
  <si>
    <t>Ziz</t>
  </si>
  <si>
    <t>31373</t>
  </si>
  <si>
    <t>https://www.smwcentral.net/?a=details&amp;id=31373&amp;p=section</t>
  </si>
  <si>
    <t>https://dl.smwcentral.net/31373/Pirate%20Hack%20Demo.zip</t>
  </si>
  <si>
    <t>Pit of Abuse</t>
  </si>
  <si>
    <t>32328</t>
  </si>
  <si>
    <t>https://www.smwcentral.net/?a=details&amp;id=32328&amp;p=section</t>
  </si>
  <si>
    <t>https://dl.smwcentral.net/32328/pit%20of%20abuse.zip</t>
  </si>
  <si>
    <t>Pit of God</t>
  </si>
  <si>
    <t>HKSo051</t>
  </si>
  <si>
    <t>18608</t>
  </si>
  <si>
    <t>https://www.smwcentral.net/?a=details&amp;id=18608&amp;p=section</t>
  </si>
  <si>
    <t>https://dl.smwcentral.net/18608/Pit%20Of%20God.zip</t>
  </si>
  <si>
    <t>Pit of Gui!! (Reformulated Version)</t>
  </si>
  <si>
    <t>GuilhermeYT</t>
  </si>
  <si>
    <t>42546</t>
  </si>
  <si>
    <t>https://www.smwcentral.net/?a=details&amp;id=42546&amp;p=section</t>
  </si>
  <si>
    <t>https://dl.smwcentral.net/42546/Pit%20of%20Gui%21%21%20V1.4%20%28Reformulated%20Version%29.zip</t>
  </si>
  <si>
    <t>Pit of Insaneness</t>
  </si>
  <si>
    <t>NBKevin98</t>
  </si>
  <si>
    <t>16829</t>
  </si>
  <si>
    <t>https://www.smwcentral.net/?a=details&amp;id=16829&amp;p=section</t>
  </si>
  <si>
    <t>https://dl.smwcentral.net/16829/Pit%20of%20Insaneness%20v.1.0.zip</t>
  </si>
  <si>
    <t>Pit of Insaneness 2</t>
  </si>
  <si>
    <t>16765</t>
  </si>
  <si>
    <t>https://www.smwcentral.net/?a=details&amp;id=16765&amp;p=section</t>
  </si>
  <si>
    <t>https://dl.smwcentral.net/16765/Pit%20of%20Insaneness%202.zip</t>
  </si>
  <si>
    <t>Pit Of RTA</t>
  </si>
  <si>
    <t>35328</t>
  </si>
  <si>
    <t>https://www.smwcentral.net/?a=details&amp;id=35328&amp;p=section</t>
  </si>
  <si>
    <t>https://dl.smwcentral.net/35328/Pit_Of_RTA.zip</t>
  </si>
  <si>
    <t>Pizza of challenges</t>
  </si>
  <si>
    <t>37733</t>
  </si>
  <si>
    <t>https://www.smwcentral.net/?a=details&amp;id=37733&amp;p=section</t>
  </si>
  <si>
    <t>https://dl.smwcentral.net/37733/Pizza%20of%20challenges.zip</t>
  </si>
  <si>
    <t>Plain Cheese Pizza</t>
  </si>
  <si>
    <t>34061</t>
  </si>
  <si>
    <t>https://www.smwcentral.net/?a=details&amp;id=34061&amp;p=section</t>
  </si>
  <si>
    <t>https://dl.smwcentral.net/34061/PlainCheesePizza1.1.zip</t>
  </si>
  <si>
    <t>planets</t>
  </si>
  <si>
    <t>32693</t>
  </si>
  <si>
    <t>https://www.smwcentral.net/?a=details&amp;id=32693&amp;p=section</t>
  </si>
  <si>
    <t>https://dl.smwcentral.net/32693/Planets.zip</t>
  </si>
  <si>
    <t>Play To Win</t>
  </si>
  <si>
    <t>35230</t>
  </si>
  <si>
    <t>https://www.smwcentral.net/?a=details&amp;id=35230&amp;p=section</t>
  </si>
  <si>
    <t>https://dl.smwcentral.net/35230/PlayToWin_1_6_0.zip</t>
  </si>
  <si>
    <t>Playground Kaizo</t>
  </si>
  <si>
    <t>41584</t>
  </si>
  <si>
    <t>https://www.smwcentral.net/?a=details&amp;id=41584&amp;p=section</t>
  </si>
  <si>
    <t>https://dl.smwcentral.net/41584/Playground%20Kaizo.zip</t>
  </si>
  <si>
    <t>Playground Kaizo 2</t>
  </si>
  <si>
    <t>42098</t>
  </si>
  <si>
    <t>https://www.smwcentral.net/?a=details&amp;id=42098&amp;p=section</t>
  </si>
  <si>
    <t>https://dl.smwcentral.net/42098/Playground%20Kaizo%202.zip</t>
  </si>
  <si>
    <t>PLAYTIME</t>
  </si>
  <si>
    <t>42543</t>
  </si>
  <si>
    <t>https://www.smwcentral.net/?a=details&amp;id=42543&amp;p=section</t>
  </si>
  <si>
    <t>https://dl.smwcentral.net/42543/playtime_1.11.zip</t>
  </si>
  <si>
    <t>Plombier du Fromage</t>
  </si>
  <si>
    <t>Fumu</t>
  </si>
  <si>
    <t>24373</t>
  </si>
  <si>
    <t>https://www.smwcentral.net/?a=details&amp;id=24373&amp;p=section</t>
  </si>
  <si>
    <t>https://dl.smwcentral.net/24373/plombier%20du%20fromage.zip</t>
  </si>
  <si>
    <t>Po's adventure neko burst</t>
  </si>
  <si>
    <t>nathanx365</t>
  </si>
  <si>
    <t>14907</t>
  </si>
  <si>
    <t>https://www.smwcentral.net/?a=details&amp;id=14907&amp;p=section</t>
  </si>
  <si>
    <t>https://dl.smwcentral.net/14907/Po%27s%20adventure%20neko%20burst.zip</t>
  </si>
  <si>
    <t>Pointless</t>
  </si>
  <si>
    <t>SonofSolaire</t>
  </si>
  <si>
    <t>42699</t>
  </si>
  <si>
    <t>https://www.smwcentral.net/?a=details&amp;id=42699&amp;p=section</t>
  </si>
  <si>
    <t>https://dl.smwcentral.net/42699/Pointless%201.0.zip</t>
  </si>
  <si>
    <t>Poked</t>
  </si>
  <si>
    <t>akseliv</t>
  </si>
  <si>
    <t>39121</t>
  </si>
  <si>
    <t>https://www.smwcentral.net/?a=details&amp;id=39121&amp;p=section</t>
  </si>
  <si>
    <t>https://dl.smwcentral.net/39121/Poked.zip</t>
  </si>
  <si>
    <t>Pokey's Adventure</t>
  </si>
  <si>
    <t>5131</t>
  </si>
  <si>
    <t>https://www.smwcentral.net/?a=details&amp;id=5131&amp;p=section</t>
  </si>
  <si>
    <t>https://dl.smwcentral.net/5131/Pokeys_Adventure_Demo1_v11.zip</t>
  </si>
  <si>
    <t>Pokémon Darkness</t>
  </si>
  <si>
    <t>9998</t>
  </si>
  <si>
    <t>https://www.smwcentral.net/?a=details&amp;id=9998&amp;p=section</t>
  </si>
  <si>
    <t>https://dl.smwcentral.net/9998/Pok%C3%A9mon%20Darkness%20final%20version.zip</t>
  </si>
  <si>
    <t>Polyphony</t>
  </si>
  <si>
    <t>TomatoPhalanges</t>
  </si>
  <si>
    <t>27893</t>
  </si>
  <si>
    <t>https://www.smwcentral.net/?a=details&amp;id=27893&amp;p=section</t>
  </si>
  <si>
    <t>https://dl.smwcentral.net/27893/POLYPHONY_1.1.1.zip</t>
  </si>
  <si>
    <t>poop jump</t>
  </si>
  <si>
    <t>Blaagon, Poop Team</t>
  </si>
  <si>
    <t>37953</t>
  </si>
  <si>
    <t>https://www.smwcentral.net/?a=details&amp;id=37953&amp;p=section</t>
  </si>
  <si>
    <t>https://dl.smwcentral.net/37953/pj.zip</t>
  </si>
  <si>
    <t>poop jump cafe</t>
  </si>
  <si>
    <t>Blaagon, deported</t>
  </si>
  <si>
    <t>38118</t>
  </si>
  <si>
    <t>https://www.smwcentral.net/?a=details&amp;id=38118&amp;p=section</t>
  </si>
  <si>
    <t>https://dl.smwcentral.net/38118/pjcafe.zip</t>
  </si>
  <si>
    <t>popi world</t>
  </si>
  <si>
    <t>30068</t>
  </si>
  <si>
    <t>https://www.smwcentral.net/?a=details&amp;id=30068&amp;p=section</t>
  </si>
  <si>
    <t>https://dl.smwcentral.net/30068/popi%20world.zip</t>
  </si>
  <si>
    <t>popi world 2</t>
  </si>
  <si>
    <t>30609</t>
  </si>
  <si>
    <t>https://www.smwcentral.net/?a=details&amp;id=30609&amp;p=section</t>
  </si>
  <si>
    <t>https://dl.smwcentral.net/30609/popi%20world%202.zip</t>
  </si>
  <si>
    <t>Post Traumatic Stress Disorder</t>
  </si>
  <si>
    <t>38956</t>
  </si>
  <si>
    <t>https://www.smwcentral.net/?a=details&amp;id=38956&amp;p=section</t>
  </si>
  <si>
    <t>https://dl.smwcentral.net/38956/SMW%20-%20PTSD%20%281.1%29.zip</t>
  </si>
  <si>
    <t>Power Guy World</t>
  </si>
  <si>
    <t>34843</t>
  </si>
  <si>
    <t>https://www.smwcentral.net/?a=details&amp;id=34843&amp;p=section</t>
  </si>
  <si>
    <t>https://dl.smwcentral.net/34843/PowerGuyWorld.zip</t>
  </si>
  <si>
    <t>Power Journey</t>
  </si>
  <si>
    <t>24866</t>
  </si>
  <si>
    <t>https://www.smwcentral.net/?a=details&amp;id=24866&amp;p=section</t>
  </si>
  <si>
    <t>https://dl.smwcentral.net/24866/PowerJourney.zip</t>
  </si>
  <si>
    <t>Powerup Party</t>
  </si>
  <si>
    <t>Spedinja</t>
  </si>
  <si>
    <t>37624</t>
  </si>
  <si>
    <t>https://www.smwcentral.net/?a=details&amp;id=37624&amp;p=section</t>
  </si>
  <si>
    <t>https://dl.smwcentral.net/37624/PowerupParty.zip</t>
  </si>
  <si>
    <t>Practice Makes Purrfect</t>
  </si>
  <si>
    <t>sunwarrior25</t>
  </si>
  <si>
    <t>9654</t>
  </si>
  <si>
    <t>https://www.smwcentral.net/?a=details&amp;id=9654&amp;p=section</t>
  </si>
  <si>
    <t>https://dl.smwcentral.net/9654/PMPc3demo.zip</t>
  </si>
  <si>
    <t>Precise Perfection</t>
  </si>
  <si>
    <t>15341</t>
  </si>
  <si>
    <t>https://www.smwcentral.net/?a=details&amp;id=15341&amp;p=section</t>
  </si>
  <si>
    <t>https://dl.smwcentral.net/15341/PrecisePerfection.zip</t>
  </si>
  <si>
    <t>Precision86</t>
  </si>
  <si>
    <t>22240</t>
  </si>
  <si>
    <t>https://www.smwcentral.net/?a=details&amp;id=22240&amp;p=section</t>
  </si>
  <si>
    <t>https://dl.smwcentral.net/22240/Precision86%20Demo.zip</t>
  </si>
  <si>
    <t>Precision86 Part II : The Forgotten Kingdom (DEMO)</t>
  </si>
  <si>
    <t>42028</t>
  </si>
  <si>
    <t>https://www.smwcentral.net/?a=details&amp;id=42028&amp;p=section</t>
  </si>
  <si>
    <t>https://dl.smwcentral.net/42028/Precision86%20Part%20II%20Demo%20V1_2.zip</t>
  </si>
  <si>
    <t>Prickly Goo to the Rescue</t>
  </si>
  <si>
    <t>LashLaRue24</t>
  </si>
  <si>
    <t>36836</t>
  </si>
  <si>
    <t>https://www.smwcentral.net/?a=details&amp;id=36836&amp;p=section</t>
  </si>
  <si>
    <t>https://dl.smwcentral.net/36836/PricklyGoo.zip</t>
  </si>
  <si>
    <t>Primal Mario World</t>
  </si>
  <si>
    <t>PineappleProducer</t>
  </si>
  <si>
    <t>10042</t>
  </si>
  <si>
    <t>https://www.smwcentral.net/?a=details&amp;id=10042&amp;p=section</t>
  </si>
  <si>
    <t>https://dl.smwcentral.net/10042/PMW%20%28Demo%202%29.zip</t>
  </si>
  <si>
    <t>Primal Shells</t>
  </si>
  <si>
    <t>32472</t>
  </si>
  <si>
    <t>https://www.smwcentral.net/?a=details&amp;id=32472&amp;p=section</t>
  </si>
  <si>
    <t>https://dl.smwcentral.net/32472/Primal%20Shells.zip</t>
  </si>
  <si>
    <t>Princess Kaizo Land</t>
  </si>
  <si>
    <t>ChaosComposer</t>
  </si>
  <si>
    <t>17633</t>
  </si>
  <si>
    <t>https://www.smwcentral.net/?a=details&amp;id=17633&amp;p=section</t>
  </si>
  <si>
    <t>https://dl.smwcentral.net/17633/PrincessKaizoLand.zip</t>
  </si>
  <si>
    <t>Project Brutality</t>
  </si>
  <si>
    <t>21331</t>
  </si>
  <si>
    <t>https://www.smwcentral.net/?a=details&amp;id=21331&amp;p=section</t>
  </si>
  <si>
    <t>https://dl.smwcentral.net/21331/Death%20and%20Despair.zip</t>
  </si>
  <si>
    <t>Project Frick 2019</t>
  </si>
  <si>
    <t>28751</t>
  </si>
  <si>
    <t>https://www.smwcentral.net/?a=details&amp;id=28751&amp;p=section</t>
  </si>
  <si>
    <t>https://dl.smwcentral.net/28751/project%20frick.zip</t>
  </si>
  <si>
    <t>Project Jonny Hacks 2 - Yoshi´s Journey of Justice</t>
  </si>
  <si>
    <t>T-Jonny</t>
  </si>
  <si>
    <t>18695</t>
  </si>
  <si>
    <t>https://www.smwcentral.net/?a=details&amp;id=18695&amp;p=section</t>
  </si>
  <si>
    <t>https://dl.smwcentral.net/18695/PJH%202%20-%20YJoJ.zip</t>
  </si>
  <si>
    <t>Project Jonny Hacks 3 - My Last Mission</t>
  </si>
  <si>
    <t>17956</t>
  </si>
  <si>
    <t>https://www.smwcentral.net/?a=details&amp;id=17956&amp;p=section</t>
  </si>
  <si>
    <t>https://dl.smwcentral.net/17956/PJH%203%20-%20MLM.zip</t>
  </si>
  <si>
    <t>Project L 1.0B</t>
  </si>
  <si>
    <t>DanTheCreator</t>
  </si>
  <si>
    <t>16709</t>
  </si>
  <si>
    <t>https://www.smwcentral.net/?a=details&amp;id=16709&amp;p=section</t>
  </si>
  <si>
    <t>https://dl.smwcentral.net/16709/ProjectL.zip</t>
  </si>
  <si>
    <t>Project Underscore</t>
  </si>
  <si>
    <t>Teyla</t>
  </si>
  <si>
    <t>28223</t>
  </si>
  <si>
    <t>https://www.smwcentral.net/?a=details&amp;id=28223&amp;p=section</t>
  </si>
  <si>
    <t>https://dl.smwcentral.net/28223/Teyla%20-%20Project%20Underscore.zip</t>
  </si>
  <si>
    <t>Project_Bonestorm.tar.gz (A Mega Man/X-Styled SMW ROM Hack)</t>
  </si>
  <si>
    <t>EE_02.tar.gz</t>
  </si>
  <si>
    <t>38743</t>
  </si>
  <si>
    <t>https://www.smwcentral.net/?a=details&amp;id=38743&amp;p=section</t>
  </si>
  <si>
    <t>https://dl.smwcentral.net/38743/Project_Bonestorm.tar.gz_.zip</t>
  </si>
  <si>
    <t>PropL\R Block</t>
  </si>
  <si>
    <t>35878</t>
  </si>
  <si>
    <t>https://www.smwcentral.net/?a=details&amp;id=35878&amp;p=section</t>
  </si>
  <si>
    <t>https://dl.smwcentral.net/35878/PropL-R%20Block.zip</t>
  </si>
  <si>
    <t>Pumpkins and Slaughter</t>
  </si>
  <si>
    <t>18384</t>
  </si>
  <si>
    <t>https://www.smwcentral.net/?a=details&amp;id=18384&amp;p=section</t>
  </si>
  <si>
    <t>https://dl.smwcentral.net/18384/P%26S.zip</t>
  </si>
  <si>
    <t>Punishing Pothole 2</t>
  </si>
  <si>
    <t>11350</t>
  </si>
  <si>
    <t>https://www.smwcentral.net/?a=details&amp;id=11350&amp;p=section</t>
  </si>
  <si>
    <t>https://dl.smwcentral.net/11350/PunishingPothole2.zip</t>
  </si>
  <si>
    <t>Punishing Pothole 3</t>
  </si>
  <si>
    <t>34156</t>
  </si>
  <si>
    <t>https://www.smwcentral.net/?a=details&amp;id=34156&amp;p=section</t>
  </si>
  <si>
    <t>https://dl.smwcentral.net/34156/PunishingPothole3.zip</t>
  </si>
  <si>
    <t>Purgatory</t>
  </si>
  <si>
    <t>28386</t>
  </si>
  <si>
    <t>https://www.smwcentral.net/?a=details&amp;id=28386&amp;p=section</t>
  </si>
  <si>
    <t>https://dl.smwcentral.net/28386/Purgatory.zip</t>
  </si>
  <si>
    <t>Quest for Corgi Butts</t>
  </si>
  <si>
    <t>TDWarrior</t>
  </si>
  <si>
    <t>25307</t>
  </si>
  <si>
    <t>https://www.smwcentral.net/?a=details&amp;id=25307&amp;p=section</t>
  </si>
  <si>
    <t>https://dl.smwcentral.net/25307/QuestforCorgiButtsv1.1.zip</t>
  </si>
  <si>
    <t>Quest for milk</t>
  </si>
  <si>
    <t>32480</t>
  </si>
  <si>
    <t>https://www.smwcentral.net/?a=details&amp;id=32480&amp;p=section</t>
  </si>
  <si>
    <t>https://dl.smwcentral.net/32480/QUEST%20FOR%20MILK%20%28v1.2%29.zip</t>
  </si>
  <si>
    <t>Quest for the Dragon Coins</t>
  </si>
  <si>
    <t>s4ys</t>
  </si>
  <si>
    <t>25582</t>
  </si>
  <si>
    <t>https://www.smwcentral.net/?a=details&amp;id=25582&amp;p=section</t>
  </si>
  <si>
    <t>https://dl.smwcentral.net/25582/Quest_for_the_Dragon_Coins_%28DEMO%29.zip</t>
  </si>
  <si>
    <t>Quest in the Mushroom Kingdom</t>
  </si>
  <si>
    <t>pieguy1372</t>
  </si>
  <si>
    <t>9795</t>
  </si>
  <si>
    <t>https://www.smwcentral.net/?a=details&amp;id=9795&amp;p=section</t>
  </si>
  <si>
    <t>https://dl.smwcentral.net/9795/qimk_demo2.zip</t>
  </si>
  <si>
    <t>Quest on Full Moon Island</t>
  </si>
  <si>
    <t>Stormkyleis</t>
  </si>
  <si>
    <t>5399</t>
  </si>
  <si>
    <t>https://www.smwcentral.net/?a=details&amp;id=5399&amp;p=section</t>
  </si>
  <si>
    <t>https://dl.smwcentral.net/5399/Quest%20on%20Full%20Moon%20Island%20v1.2.zip</t>
  </si>
  <si>
    <t>Quest on Full Moon Island v1.3 ita</t>
  </si>
  <si>
    <t>Gio Gio, Stormkyleis</t>
  </si>
  <si>
    <t>34164</t>
  </si>
  <si>
    <t>https://www.smwcentral.net/?a=details&amp;id=34164&amp;p=section</t>
  </si>
  <si>
    <t>https://dl.smwcentral.net/34164/Quest%20on%20Full%20Moon%20Island%20v1.3%20ita.zip</t>
  </si>
  <si>
    <t>Quick Delivery</t>
  </si>
  <si>
    <t>superman6791</t>
  </si>
  <si>
    <t>9985</t>
  </si>
  <si>
    <t>https://www.smwcentral.net/?a=details&amp;id=9985&amp;p=section</t>
  </si>
  <si>
    <t>https://dl.smwcentral.net/9985/Quick%20Delivery%5BDemo%5D.zip</t>
  </si>
  <si>
    <t>Quickie World</t>
  </si>
  <si>
    <t>Valdio</t>
  </si>
  <si>
    <t>17441</t>
  </si>
  <si>
    <t>https://www.smwcentral.net/?a=details&amp;id=17441&amp;p=section</t>
  </si>
  <si>
    <t>https://dl.smwcentral.net/17441/QuickieWorld1.12.zip</t>
  </si>
  <si>
    <t>Quickie World 2</t>
  </si>
  <si>
    <t>19279</t>
  </si>
  <si>
    <t>https://www.smwcentral.net/?a=details&amp;id=19279&amp;p=section</t>
  </si>
  <si>
    <t>https://dl.smwcentral.net/19279/Quickie%20World%202.zip</t>
  </si>
  <si>
    <t>Quickie World: With a Vengeance</t>
  </si>
  <si>
    <t>29695</t>
  </si>
  <si>
    <t>https://www.smwcentral.net/?a=details&amp;id=29695&amp;p=section</t>
  </si>
  <si>
    <t>https://dl.smwcentral.net/29695/QWwav.zip</t>
  </si>
  <si>
    <t>Qzeq Pls Download Game</t>
  </si>
  <si>
    <t>PurpleShiny</t>
  </si>
  <si>
    <t>36598</t>
  </si>
  <si>
    <t>https://www.smwcentral.net/?a=details&amp;id=36598&amp;p=section</t>
  </si>
  <si>
    <t>https://dl.smwcentral.net/36598/QZEQ%20PLS%20DOWNLOAD%20GAME%20%28v1.3%29.zip</t>
  </si>
  <si>
    <t>R-ACK</t>
  </si>
  <si>
    <t>Daizo Dee Von, Team JANK</t>
  </si>
  <si>
    <t>27001</t>
  </si>
  <si>
    <t>https://www.smwcentral.net/?a=details&amp;id=27001&amp;p=section</t>
  </si>
  <si>
    <t>https://dl.smwcentral.net/27001/R-ACK.zip</t>
  </si>
  <si>
    <t>Race to the finish</t>
  </si>
  <si>
    <t>32644</t>
  </si>
  <si>
    <t>https://www.smwcentral.net/?a=details&amp;id=32644&amp;p=section</t>
  </si>
  <si>
    <t>https://dl.smwcentral.net/32644/Race%20to%20the%20finish%20V1.0.zip</t>
  </si>
  <si>
    <t>Rachell's Melin Rescue!</t>
  </si>
  <si>
    <t>ZG STAFF</t>
  </si>
  <si>
    <t>10108</t>
  </si>
  <si>
    <t>https://www.smwcentral.net/?a=details&amp;id=10108&amp;p=section</t>
  </si>
  <si>
    <t>https://dl.smwcentral.net/10108/MelinRescue.zip</t>
  </si>
  <si>
    <t>Rakugaki Mario</t>
  </si>
  <si>
    <t>Various Authors</t>
  </si>
  <si>
    <t>30623</t>
  </si>
  <si>
    <t>https://www.smwcentral.net/?a=details&amp;id=30623&amp;p=section</t>
  </si>
  <si>
    <t>https://dl.smwcentral.net/30623/Rakugaki_Mario_1.11.zip</t>
  </si>
  <si>
    <t>RamzaNeko</t>
  </si>
  <si>
    <t>9711</t>
  </si>
  <si>
    <t>https://www.smwcentral.net/?a=details&amp;id=9711&amp;p=section</t>
  </si>
  <si>
    <t>https://dl.smwcentral.net/9711/NekoNeko.zip</t>
  </si>
  <si>
    <t>Random Access Memoby</t>
  </si>
  <si>
    <t>Alex, Lazy, Mellonpizza, snoruntpyro</t>
  </si>
  <si>
    <t>37882</t>
  </si>
  <si>
    <t>https://www.smwcentral.net/?a=details&amp;id=37882&amp;p=section</t>
  </si>
  <si>
    <t>https://dl.smwcentral.net/37882/Random%20Access%20Memoby.zip</t>
  </si>
  <si>
    <t>Random BS Go</t>
  </si>
  <si>
    <t>35284</t>
  </si>
  <si>
    <t>https://www.smwcentral.net/?a=details&amp;id=35284&amp;p=section</t>
  </si>
  <si>
    <t>https://dl.smwcentral.net/35284/Random_BS_Go.zip</t>
  </si>
  <si>
    <t>Raphael's Revenge</t>
  </si>
  <si>
    <t>Arity, manadream</t>
  </si>
  <si>
    <t>33916</t>
  </si>
  <si>
    <t>https://www.smwcentral.net/?a=details&amp;id=33916&amp;p=section</t>
  </si>
  <si>
    <t>https://dl.smwcentral.net/33916/RaphaelsRevengeV1.1.zip</t>
  </si>
  <si>
    <t>Really Neat Gimmicks</t>
  </si>
  <si>
    <t>Jeffw</t>
  </si>
  <si>
    <t>40631</t>
  </si>
  <si>
    <t>https://www.smwcentral.net/?a=details&amp;id=40631&amp;p=section</t>
  </si>
  <si>
    <t>https://dl.smwcentral.net/40631/gimmicks.zip</t>
  </si>
  <si>
    <t>Red City</t>
  </si>
  <si>
    <t>35680</t>
  </si>
  <si>
    <t>https://www.smwcentral.net/?a=details&amp;id=35680&amp;p=section</t>
  </si>
  <si>
    <t>https://dl.smwcentral.net/35680/RedCity.zip</t>
  </si>
  <si>
    <t>Red Hero Endgame</t>
  </si>
  <si>
    <t>36825</t>
  </si>
  <si>
    <t>https://www.smwcentral.net/?a=details&amp;id=36825&amp;p=section</t>
  </si>
  <si>
    <t>https://dl.smwcentral.net/36825/Red%20Hero%20Endgame%20V1.1.zip</t>
  </si>
  <si>
    <t>Red Hero's Journey</t>
  </si>
  <si>
    <t>33491</t>
  </si>
  <si>
    <t>https://www.smwcentral.net/?a=details&amp;id=33491&amp;p=section</t>
  </si>
  <si>
    <t>https://dl.smwcentral.net/33491/Red%20Hero%27s%20Journey.zip</t>
  </si>
  <si>
    <t>Red Hero's Legacy</t>
  </si>
  <si>
    <t>34786</t>
  </si>
  <si>
    <t>https://www.smwcentral.net/?a=details&amp;id=34786&amp;p=section</t>
  </si>
  <si>
    <t>https://dl.smwcentral.net/34786/redheroslegacy.zip</t>
  </si>
  <si>
    <t>Red Wario</t>
  </si>
  <si>
    <t>SMWHackedHACK</t>
  </si>
  <si>
    <t>12691</t>
  </si>
  <si>
    <t>https://www.smwcentral.net/?a=details&amp;id=12691&amp;p=section</t>
  </si>
  <si>
    <t>https://dl.smwcentral.net/12691/rwario.zip</t>
  </si>
  <si>
    <t>Red's Christmas Party!</t>
  </si>
  <si>
    <t>35559</t>
  </si>
  <si>
    <t>https://www.smwcentral.net/?a=details&amp;id=35559&amp;p=section</t>
  </si>
  <si>
    <t>https://dl.smwcentral.net/35559/Red%27s%20Christmas%20Party_fixed.zip</t>
  </si>
  <si>
    <t>Redeeming Peach</t>
  </si>
  <si>
    <t>AntoineG782</t>
  </si>
  <si>
    <t>10173</t>
  </si>
  <si>
    <t>https://www.smwcentral.net/?a=details&amp;id=10173&amp;p=section</t>
  </si>
  <si>
    <t>https://dl.smwcentral.net/10173/Redeeming%20Peach%20%28V.%201.2%29.zip</t>
  </si>
  <si>
    <t>Remember ALF!?</t>
  </si>
  <si>
    <t>26873</t>
  </si>
  <si>
    <t>https://www.smwcentral.net/?a=details&amp;id=26873&amp;p=section</t>
  </si>
  <si>
    <t>https://dl.smwcentral.net/26873/Remember%20ALF.zip</t>
  </si>
  <si>
    <t>REMIX</t>
  </si>
  <si>
    <t>Prestinator13</t>
  </si>
  <si>
    <t>38314</t>
  </si>
  <si>
    <t>https://www.smwcentral.net/?a=details&amp;id=38314&amp;p=section</t>
  </si>
  <si>
    <t>https://dl.smwcentral.net/38314/REMIX_FINAL1.1.zip</t>
  </si>
  <si>
    <t>Repeat Offender</t>
  </si>
  <si>
    <t>10233</t>
  </si>
  <si>
    <t>https://www.smwcentral.net/?a=details&amp;id=10233&amp;p=section</t>
  </si>
  <si>
    <t>https://dl.smwcentral.net/10233/RepOff%20patch.zip</t>
  </si>
  <si>
    <t>Replica</t>
  </si>
  <si>
    <t>41191</t>
  </si>
  <si>
    <t>https://www.smwcentral.net/?a=details&amp;id=41191&amp;p=section</t>
  </si>
  <si>
    <t>https://dl.smwcentral.net/41191/Replica.zip</t>
  </si>
  <si>
    <t>Rescue of Rochie</t>
  </si>
  <si>
    <t>Alexis</t>
  </si>
  <si>
    <t>11902</t>
  </si>
  <si>
    <t>https://www.smwcentral.net/?a=details&amp;id=11902&amp;p=section</t>
  </si>
  <si>
    <t>https://dl.smwcentral.net/11902/rescue.v1.0.zip</t>
  </si>
  <si>
    <t>ReSMW</t>
  </si>
  <si>
    <t>coolhack</t>
  </si>
  <si>
    <t>10180</t>
  </si>
  <si>
    <t>https://www.smwcentral.net/?a=details&amp;id=10180&amp;p=section</t>
  </si>
  <si>
    <t>https://dl.smwcentral.net/10180/RESMW.zip</t>
  </si>
  <si>
    <t>Retro Mario World - Super Mario Bros.</t>
  </si>
  <si>
    <t>GameGuy10</t>
  </si>
  <si>
    <t>13087</t>
  </si>
  <si>
    <t>https://www.smwcentral.net/?a=details&amp;id=13087&amp;p=section</t>
  </si>
  <si>
    <t>https://dl.smwcentral.net/13087/SMB%20REMAKE.zip</t>
  </si>
  <si>
    <t>Retro Marioland</t>
  </si>
  <si>
    <t>LocoFuzzyPants</t>
  </si>
  <si>
    <t>38510</t>
  </si>
  <si>
    <t>https://www.smwcentral.net/?a=details&amp;id=38510&amp;p=section</t>
  </si>
  <si>
    <t>https://dl.smwcentral.net/38510/Retro%20Marioland%20v1.2.zip</t>
  </si>
  <si>
    <t>Retrograde Nine</t>
  </si>
  <si>
    <t>35107</t>
  </si>
  <si>
    <t>https://www.smwcentral.net/?a=details&amp;id=35107&amp;p=section</t>
  </si>
  <si>
    <t>https://dl.smwcentral.net/35107/Retrograde%20Nine%201.02.zip</t>
  </si>
  <si>
    <t>Return Mario World Luner Editon</t>
  </si>
  <si>
    <t>14000</t>
  </si>
  <si>
    <t>https://www.smwcentral.net/?a=details&amp;id=14000&amp;p=section</t>
  </si>
  <si>
    <t>https://dl.smwcentral.net/14000/Hack%20demo%202.zip</t>
  </si>
  <si>
    <t>Return Of Shadower</t>
  </si>
  <si>
    <t>14026</t>
  </si>
  <si>
    <t>https://www.smwcentral.net/?a=details&amp;id=14026&amp;p=section</t>
  </si>
  <si>
    <t>https://dl.smwcentral.net/14026/ROS.zip</t>
  </si>
  <si>
    <t>Return Trip</t>
  </si>
  <si>
    <t>21865</t>
  </si>
  <si>
    <t>https://www.smwcentral.net/?a=details&amp;id=21865&amp;p=section</t>
  </si>
  <si>
    <t>https://dl.smwcentral.net/21865/Return_Trip_%283rd%29.zip</t>
  </si>
  <si>
    <t>Revenge of Bowser - Legend of the Seven Eggs</t>
  </si>
  <si>
    <t>4964</t>
  </si>
  <si>
    <t>https://www.smwcentral.net/?a=details&amp;id=4964&amp;p=section</t>
  </si>
  <si>
    <t>https://dl.smwcentral.net/4964/revenge%20of%20bowser%20and%20the%20legend%20of%20the%20seven%20eggs.zip</t>
  </si>
  <si>
    <t>REVENGE OF SWITCHES PRESSED</t>
  </si>
  <si>
    <t>GbreezeSunset, Lazy, MiracleWater, lolyoshi</t>
  </si>
  <si>
    <t>39161</t>
  </si>
  <si>
    <t>https://www.smwcentral.net/?a=details&amp;id=39161&amp;p=section</t>
  </si>
  <si>
    <t>https://dl.smwcentral.net/39161/ROSP.zip</t>
  </si>
  <si>
    <t>Reverie</t>
  </si>
  <si>
    <t>Abdu, Fyre150</t>
  </si>
  <si>
    <t>40108</t>
  </si>
  <si>
    <t>https://www.smwcentral.net/?a=details&amp;id=40108&amp;p=section</t>
  </si>
  <si>
    <t>https://dl.smwcentral.net/40108/Reverie.zip</t>
  </si>
  <si>
    <t>Riff World 2</t>
  </si>
  <si>
    <t>Freakin_HA</t>
  </si>
  <si>
    <t>26042</t>
  </si>
  <si>
    <t>https://www.smwcentral.net/?a=details&amp;id=26042&amp;p=section</t>
  </si>
  <si>
    <t>https://dl.smwcentral.net/26042/Riff%20World%202.zip</t>
  </si>
  <si>
    <t>Rikaizo Shells</t>
  </si>
  <si>
    <t>32290</t>
  </si>
  <si>
    <t>https://www.smwcentral.net/?a=details&amp;id=32290&amp;p=section</t>
  </si>
  <si>
    <t>https://dl.smwcentral.net/32290/Rikaizo%20Shells%201.1.zip</t>
  </si>
  <si>
    <t>Rise of Horst: Baby Park</t>
  </si>
  <si>
    <t>31374</t>
  </si>
  <si>
    <t>https://www.smwcentral.net/?a=details&amp;id=31374&amp;p=section</t>
  </si>
  <si>
    <t>https://dl.smwcentral.net/31374/Rise%20of%20Horst%20BabyPark.zip</t>
  </si>
  <si>
    <t>Rise to the Challenge</t>
  </si>
  <si>
    <t>AxemJinx</t>
  </si>
  <si>
    <t>9029</t>
  </si>
  <si>
    <t>https://www.smwcentral.net/?a=details&amp;id=9029&amp;p=section</t>
  </si>
  <si>
    <t>https://dl.smwcentral.net/9029/RttC-1.3.zip</t>
  </si>
  <si>
    <t>River Song</t>
  </si>
  <si>
    <t>Monkeyfist</t>
  </si>
  <si>
    <t>22513</t>
  </si>
  <si>
    <t>https://www.smwcentral.net/?a=details&amp;id=22513&amp;p=section</t>
  </si>
  <si>
    <t>https://dl.smwcentral.net/22513/Riversong.zip</t>
  </si>
  <si>
    <t>Road to New Haven</t>
  </si>
  <si>
    <t>32137</t>
  </si>
  <si>
    <t>https://www.smwcentral.net/?a=details&amp;id=32137&amp;p=section</t>
  </si>
  <si>
    <t>https://dl.smwcentral.net/32137/Road%20to%20New%20Haven.zip</t>
  </si>
  <si>
    <t>Rob-omb's Quest: Easy</t>
  </si>
  <si>
    <t>videogamerpat</t>
  </si>
  <si>
    <t>9736</t>
  </si>
  <si>
    <t>https://www.smwcentral.net/?a=details&amp;id=9736&amp;p=section</t>
  </si>
  <si>
    <t>https://dl.smwcentral.net/9736/Rob-omb%27s%20Quest%20Easy.zip</t>
  </si>
  <si>
    <t>Rob-omb's Quest: Hard</t>
  </si>
  <si>
    <t>9735</t>
  </si>
  <si>
    <t>https://www.smwcentral.net/?a=details&amp;id=9735&amp;p=section</t>
  </si>
  <si>
    <t>https://dl.smwcentral.net/9735/Rob-omb%27s%20Quest%20Hard.zip</t>
  </si>
  <si>
    <t>Robfather World</t>
  </si>
  <si>
    <t>DanOfMostTrades</t>
  </si>
  <si>
    <t>20190</t>
  </si>
  <si>
    <t>https://www.smwcentral.net/?a=details&amp;id=20190&amp;p=section</t>
  </si>
  <si>
    <t>https://dl.smwcentral.net/20190/Robfather_World_v1_1.zip</t>
  </si>
  <si>
    <t>Roger Gang Vol 1</t>
  </si>
  <si>
    <t>BigDeutsch, BoozeWash, Brakkie, Daffoxy, Fryinb, Ixitxachitl, Jenboo, KatMakes, TDWarrior, TacosTheCasual, The4thBackpack, ViviMeowerson, l337f00l, shaoshao, xamexer</t>
  </si>
  <si>
    <t>27312</t>
  </si>
  <si>
    <t>https://www.smwcentral.net/?a=details&amp;id=27312&amp;p=section</t>
  </si>
  <si>
    <t>https://dl.smwcentral.net/27312/Roger%20Gang%20Vol%201.zip</t>
  </si>
  <si>
    <t>ROKE HELL</t>
  </si>
  <si>
    <t>33959</t>
  </si>
  <si>
    <t>https://www.smwcentral.net/?a=details&amp;id=33959&amp;p=section</t>
  </si>
  <si>
    <t>https://dl.smwcentral.net/33959/ROKE%20HELL.zip</t>
  </si>
  <si>
    <t>Roke Shell</t>
  </si>
  <si>
    <t>36801</t>
  </si>
  <si>
    <t>https://www.smwcentral.net/?a=details&amp;id=36801&amp;p=section</t>
  </si>
  <si>
    <t>https://dl.smwcentral.net/36801/roke%20shell.zip</t>
  </si>
  <si>
    <t>rokeshell 2</t>
  </si>
  <si>
    <t>42671</t>
  </si>
  <si>
    <t>https://www.smwcentral.net/?a=details&amp;id=42671&amp;p=section</t>
  </si>
  <si>
    <t>https://dl.smwcentral.net/42671/rokeshell2.zip</t>
  </si>
  <si>
    <t>Romhack Races - Season 1 Compilation</t>
  </si>
  <si>
    <t>Romhack Races Team</t>
  </si>
  <si>
    <t>19683</t>
  </si>
  <si>
    <t>https://www.smwcentral.net/?a=details&amp;id=19683&amp;p=section</t>
  </si>
  <si>
    <t>https://dl.smwcentral.net/19683/RHRS1.zip</t>
  </si>
  <si>
    <t>Romhack Races - Season 2 Compilation</t>
  </si>
  <si>
    <t>19684</t>
  </si>
  <si>
    <t>https://www.smwcentral.net/?a=details&amp;id=19684&amp;p=section</t>
  </si>
  <si>
    <t>https://dl.smwcentral.net/19684/RHRS2.zip</t>
  </si>
  <si>
    <t>Romhack Races - Season 3 Compilation</t>
  </si>
  <si>
    <t>20845</t>
  </si>
  <si>
    <t>https://www.smwcentral.net/?a=details&amp;id=20845&amp;p=section</t>
  </si>
  <si>
    <t>https://dl.smwcentral.net/20845/RHR%20Season%203%20Collaboration.zip</t>
  </si>
  <si>
    <t>Romhack Races - Season 4 Compilation</t>
  </si>
  <si>
    <t>22112</t>
  </si>
  <si>
    <t>https://www.smwcentral.net/?a=details&amp;id=22112&amp;p=section</t>
  </si>
  <si>
    <t>https://dl.smwcentral.net/22112/RHRS4C.zip</t>
  </si>
  <si>
    <t>Romp of Otters</t>
  </si>
  <si>
    <t>27140</t>
  </si>
  <si>
    <t>https://www.smwcentral.net/?a=details&amp;id=27140&amp;p=section</t>
  </si>
  <si>
    <t>https://dl.smwcentral.net/27140/Romp%20of%20Otters%201.1.zip</t>
  </si>
  <si>
    <t>Rooms for Kids</t>
  </si>
  <si>
    <t>41533</t>
  </si>
  <si>
    <t>https://www.smwcentral.net/?a=details&amp;id=41533&amp;p=section</t>
  </si>
  <si>
    <t>https://dl.smwcentral.net/41533/Rooms%20for%20Kids.zip</t>
  </si>
  <si>
    <t>Rooms of Despair</t>
  </si>
  <si>
    <t>35290</t>
  </si>
  <si>
    <t>https://www.smwcentral.net/?a=details&amp;id=35290&amp;p=section</t>
  </si>
  <si>
    <t>https://dl.smwcentral.net/35290/Rooms%20of%20Despair.zip</t>
  </si>
  <si>
    <t>Rosalina's Gold Saga</t>
  </si>
  <si>
    <t>Tiozinho</t>
  </si>
  <si>
    <t>42259</t>
  </si>
  <si>
    <t>https://www.smwcentral.net/?a=details&amp;id=42259&amp;p=section</t>
  </si>
  <si>
    <t>https://dl.smwcentral.net/42259/Rosalina%27s%20Gold%20Saga.zip</t>
  </si>
  <si>
    <t>Rose Tinted Glasses</t>
  </si>
  <si>
    <t>35251</t>
  </si>
  <si>
    <t>https://www.smwcentral.net/?a=details&amp;id=35251&amp;p=section</t>
  </si>
  <si>
    <t>https://dl.smwcentral.net/35251/Rose%20Tinted%20Glasses.zip</t>
  </si>
  <si>
    <t>Roy's Armada</t>
  </si>
  <si>
    <t>10119</t>
  </si>
  <si>
    <t>https://www.smwcentral.net/?a=details&amp;id=10119&amp;p=section</t>
  </si>
  <si>
    <t>https://dl.smwcentral.net/10119/Armada.zip</t>
  </si>
  <si>
    <t>Rozen Maiden: The Lapislazuri Travel</t>
  </si>
  <si>
    <t>BokuNES</t>
  </si>
  <si>
    <t>10272</t>
  </si>
  <si>
    <t>https://www.smwcentral.net/?a=details&amp;id=10272&amp;p=section</t>
  </si>
  <si>
    <t>https://dl.smwcentral.net/10272/Rozen%20Maiden%20%28The%20Lapislazuri%20Travel%29%20%28Demo%29.zip</t>
  </si>
  <si>
    <t>RTA Abuse</t>
  </si>
  <si>
    <t>30649</t>
  </si>
  <si>
    <t>https://www.smwcentral.net/?a=details&amp;id=30649&amp;p=section</t>
  </si>
  <si>
    <t>https://dl.smwcentral.net/30649/rta%20abuse%201.1.zip</t>
  </si>
  <si>
    <t>RTA Abuse 2</t>
  </si>
  <si>
    <t>31185</t>
  </si>
  <si>
    <t>https://www.smwcentral.net/?a=details&amp;id=31185&amp;p=section</t>
  </si>
  <si>
    <t>https://dl.smwcentral.net/31185/rta%20abuse%202.zip</t>
  </si>
  <si>
    <t>RTA Abuse 3</t>
  </si>
  <si>
    <t>31184</t>
  </si>
  <si>
    <t>https://www.smwcentral.net/?a=details&amp;id=31184&amp;p=section</t>
  </si>
  <si>
    <t>https://dl.smwcentral.net/31184/rta%20abuse%203.zip</t>
  </si>
  <si>
    <t>Run Away from Mario's Past</t>
  </si>
  <si>
    <t>41900</t>
  </si>
  <si>
    <t>https://www.smwcentral.net/?a=details&amp;id=41900&amp;p=section</t>
  </si>
  <si>
    <t>https://dl.smwcentral.net/41900/Run%20Away%20from%20Mario%27s%20Past%20v1.4.zip</t>
  </si>
  <si>
    <t>Run the Gauntlet</t>
  </si>
  <si>
    <t>MiracleWater</t>
  </si>
  <si>
    <t>41539</t>
  </si>
  <si>
    <t>https://www.smwcentral.net/?a=details&amp;id=41539&amp;p=section</t>
  </si>
  <si>
    <t>https://dl.smwcentral.net/41539/RTG%201.0.zip</t>
  </si>
  <si>
    <t>Run!</t>
  </si>
  <si>
    <t>NaxciS</t>
  </si>
  <si>
    <t>27430</t>
  </si>
  <si>
    <t>https://www.smwcentral.net/?a=details&amp;id=27430&amp;p=section</t>
  </si>
  <si>
    <t>https://dl.smwcentral.net/27430/Run%21.zip</t>
  </si>
  <si>
    <t>Run! 2 - Don't Stop Running</t>
  </si>
  <si>
    <t>33634</t>
  </si>
  <si>
    <t>https://www.smwcentral.net/?a=details&amp;id=33634&amp;p=section</t>
  </si>
  <si>
    <t>https://dl.smwcentral.net/33634/Run%21%202%20Don%27t%20Stop%20Running.zip</t>
  </si>
  <si>
    <t>S.O.B mario world</t>
  </si>
  <si>
    <t>28308</t>
  </si>
  <si>
    <t>https://www.smwcentral.net/?a=details&amp;id=28308&amp;p=section</t>
  </si>
  <si>
    <t>https://dl.smwcentral.net/28308/S.O.B.zip</t>
  </si>
  <si>
    <t>SA-1: Special Adventure - 1</t>
  </si>
  <si>
    <t>Hayashi Neru</t>
  </si>
  <si>
    <t>37596</t>
  </si>
  <si>
    <t>https://www.smwcentral.net/?a=details&amp;id=37596&amp;p=section</t>
  </si>
  <si>
    <t>https://dl.smwcentral.net/37596/SA-1%EF%BC%9A%20Special%20Adventure%20-%201.zip</t>
  </si>
  <si>
    <t>Safespace Challenge</t>
  </si>
  <si>
    <t>38077</t>
  </si>
  <si>
    <t>https://www.smwcentral.net/?a=details&amp;id=38077&amp;p=section</t>
  </si>
  <si>
    <t>https://dl.smwcentral.net/38077/Safespace%20Challenge.zip</t>
  </si>
  <si>
    <t>Sakaya Sanctuary</t>
  </si>
  <si>
    <t>Jeff2342, JinRokhZenobi, RandomType, Saphros, Spedinja, TheTrueCommonSense, neidoodle, ocked</t>
  </si>
  <si>
    <t>42274</t>
  </si>
  <si>
    <t>https://www.smwcentral.net/?a=details&amp;id=42274&amp;p=section</t>
  </si>
  <si>
    <t>https://dl.smwcentral.net/42274/Sakaya%20Sanctuary%201.2.zip</t>
  </si>
  <si>
    <t>Salty Sagan World</t>
  </si>
  <si>
    <t>Oskise</t>
  </si>
  <si>
    <t>17384</t>
  </si>
  <si>
    <t>https://www.smwcentral.net/?a=details&amp;id=17384&amp;p=section</t>
  </si>
  <si>
    <t>https://dl.smwcentral.net/17384/Salty%20Sagan%20World%201.11.zip</t>
  </si>
  <si>
    <t>Same Sprites, Different Levels</t>
  </si>
  <si>
    <t>24141</t>
  </si>
  <si>
    <t>https://www.smwcentral.net/?a=details&amp;id=24141&amp;p=section</t>
  </si>
  <si>
    <t>https://dl.smwcentral.net/24141/Same%20Sprites%2C%20Different%20Levels.zip</t>
  </si>
  <si>
    <t>Samsara Mario World</t>
  </si>
  <si>
    <t>22102</t>
  </si>
  <si>
    <t>https://www.smwcentral.net/?a=details&amp;id=22102&amp;p=section</t>
  </si>
  <si>
    <t>https://dl.smwcentral.net/22102/Samsara%20Mario%20World.zip</t>
  </si>
  <si>
    <t>Saphros Blind Races #1</t>
  </si>
  <si>
    <t>39086</t>
  </si>
  <si>
    <t>https://www.smwcentral.net/?a=details&amp;id=39086&amp;p=section</t>
  </si>
  <si>
    <t>https://dl.smwcentral.net/39086/Saphros_Blindrace_1.zip</t>
  </si>
  <si>
    <t>Saphros Blindrace #2</t>
  </si>
  <si>
    <t>39701</t>
  </si>
  <si>
    <t>https://www.smwcentral.net/?a=details&amp;id=39701&amp;p=section</t>
  </si>
  <si>
    <t>https://dl.smwcentral.net/39701/Saphros_Blindrace_2.zip</t>
  </si>
  <si>
    <t>Sauna Mario World</t>
  </si>
  <si>
    <t>pnaha</t>
  </si>
  <si>
    <t>36760</t>
  </si>
  <si>
    <t>https://www.smwcentral.net/?a=details&amp;id=36760&amp;p=section</t>
  </si>
  <si>
    <t>https://dl.smwcentral.net/36760/Sauna%20Mario%20World%201.5.zip</t>
  </si>
  <si>
    <t>Sauna Mario World 2</t>
  </si>
  <si>
    <t>41690</t>
  </si>
  <si>
    <t>https://www.smwcentral.net/?a=details&amp;id=41690&amp;p=section</t>
  </si>
  <si>
    <t>https://dl.smwcentral.net/41690/Sauna%20Mario%20World%202%20v1.31.zip</t>
  </si>
  <si>
    <t>Save Luigi</t>
  </si>
  <si>
    <t>26096</t>
  </si>
  <si>
    <t>https://www.smwcentral.net/?a=details&amp;id=26096&amp;p=section</t>
  </si>
  <si>
    <t>https://dl.smwcentral.net/26096/SaveLuigiV5.1.zip</t>
  </si>
  <si>
    <t>Saving Libertys Kaizo Adventure</t>
  </si>
  <si>
    <t>Savingliberty</t>
  </si>
  <si>
    <t>34245</t>
  </si>
  <si>
    <t>https://www.smwcentral.net/?a=details&amp;id=34245&amp;p=section</t>
  </si>
  <si>
    <t>https://dl.smwcentral.net/34245/Saving_Libertys_Kaizo_Adventure.zip</t>
  </si>
  <si>
    <t>Sayonara Mario World</t>
  </si>
  <si>
    <t>24739</t>
  </si>
  <si>
    <t>https://www.smwcentral.net/?a=details&amp;id=24739&amp;p=section</t>
  </si>
  <si>
    <t>https://dl.smwcentral.net/24739/Sayonara%201.1.zip</t>
  </si>
  <si>
    <t>Sayonara Mario World 2</t>
  </si>
  <si>
    <t>31276</t>
  </si>
  <si>
    <t>https://www.smwcentral.net/?a=details&amp;id=31276&amp;p=section</t>
  </si>
  <si>
    <t>https://dl.smwcentral.net/31276/Sayonara%20Mario%20World%202.zip</t>
  </si>
  <si>
    <t>Scary Bosses and Nice Sprites</t>
  </si>
  <si>
    <t>29498</t>
  </si>
  <si>
    <t>https://www.smwcentral.net/?a=details&amp;id=29498&amp;p=section</t>
  </si>
  <si>
    <t>https://dl.smwcentral.net/29498/Scary_Bosses_and_Nice_Sprites.zip</t>
  </si>
  <si>
    <t>Scyther Our Savior</t>
  </si>
  <si>
    <t>38971</t>
  </si>
  <si>
    <t>https://www.smwcentral.net/?a=details&amp;id=38971&amp;p=section</t>
  </si>
  <si>
    <t>https://dl.smwcentral.net/38971/AWildScytherAppeared.zip</t>
  </si>
  <si>
    <t>Season of Ice</t>
  </si>
  <si>
    <t>9924</t>
  </si>
  <si>
    <t>https://www.smwcentral.net/?a=details&amp;id=9924&amp;p=section</t>
  </si>
  <si>
    <t>https://dl.smwcentral.net/9924/Season%20of%20ice.zip</t>
  </si>
  <si>
    <t>Second Nature</t>
  </si>
  <si>
    <t>37602</t>
  </si>
  <si>
    <t>https://www.smwcentral.net/?a=details&amp;id=37602&amp;p=section</t>
  </si>
  <si>
    <t>https://dl.smwcentral.net/37602/Second%20Nature.zip</t>
  </si>
  <si>
    <t>Secret of Mario</t>
  </si>
  <si>
    <t>dtothefourth</t>
  </si>
  <si>
    <t>20200</t>
  </si>
  <si>
    <t>https://www.smwcentral.net/?a=details&amp;id=20200&amp;p=section</t>
  </si>
  <si>
    <t>https://dl.smwcentral.net/20200/Secret_Of_Mario.zip</t>
  </si>
  <si>
    <t>Seek the Discrepancy</t>
  </si>
  <si>
    <t>33861</t>
  </si>
  <si>
    <t>https://www.smwcentral.net/?a=details&amp;id=33861&amp;p=section</t>
  </si>
  <si>
    <t>https://dl.smwcentral.net/33861/SeekTheDiscrepancy.zip</t>
  </si>
  <si>
    <t>Send Your Regrets to the Czar</t>
  </si>
  <si>
    <t>JUMP Team, Koopster</t>
  </si>
  <si>
    <t>29645</t>
  </si>
  <si>
    <t>https://www.smwcentral.net/?a=details&amp;id=29645&amp;p=section</t>
  </si>
  <si>
    <t>https://dl.smwcentral.net/29645/Send%20Your%20Regrets%20to%20the%20Czar%20v1.2.zip</t>
  </si>
  <si>
    <t>Sendy's World</t>
  </si>
  <si>
    <t>Sendy</t>
  </si>
  <si>
    <t>5074</t>
  </si>
  <si>
    <t>https://www.smwcentral.net/?a=details&amp;id=5074&amp;p=section</t>
  </si>
  <si>
    <t>https://dl.smwcentral.net/5074/sendysworldv0.3.zip</t>
  </si>
  <si>
    <t>Separate Ways Remastered</t>
  </si>
  <si>
    <t>38878</t>
  </si>
  <si>
    <t>https://www.smwcentral.net/?a=details&amp;id=38878&amp;p=section</t>
  </si>
  <si>
    <t>https://dl.smwcentral.net/38878/Separate%20Ways%20Remastered.zip</t>
  </si>
  <si>
    <t>Seven Cursed Eggs</t>
  </si>
  <si>
    <t>SyStemkraSh</t>
  </si>
  <si>
    <t>5099</t>
  </si>
  <si>
    <t>https://www.smwcentral.net/?a=details&amp;id=5099&amp;p=section</t>
  </si>
  <si>
    <t>https://dl.smwcentral.net/5099/Seven%20Cursed%20Eggs.zip</t>
  </si>
  <si>
    <t>Seven Vanilla Levels</t>
  </si>
  <si>
    <t>37146</t>
  </si>
  <si>
    <t>https://www.smwcentral.net/?a=details&amp;id=37146&amp;p=section</t>
  </si>
  <si>
    <t>https://dl.smwcentral.net/37146/Seven_Vanilla_Levels.zip</t>
  </si>
  <si>
    <t>Shadow of the Mountain</t>
  </si>
  <si>
    <t>40746</t>
  </si>
  <si>
    <t>https://www.smwcentral.net/?a=details&amp;id=40746&amp;p=section</t>
  </si>
  <si>
    <t>https://dl.smwcentral.net/40746/SOTM.zip</t>
  </si>
  <si>
    <t>Shallow and Pedantic</t>
  </si>
  <si>
    <t>cur, detdu</t>
  </si>
  <si>
    <t>29143</t>
  </si>
  <si>
    <t>https://www.smwcentral.net/?a=details&amp;id=29143&amp;p=section</t>
  </si>
  <si>
    <t>https://dl.smwcentral.net/29143/Shallow%20and%20Pedantic.zip</t>
  </si>
  <si>
    <t>Shallow Pits</t>
  </si>
  <si>
    <t>27874</t>
  </si>
  <si>
    <t>https://www.smwcentral.net/?a=details&amp;id=27874&amp;p=section</t>
  </si>
  <si>
    <t>https://dl.smwcentral.net/27874/ShallowPits.v1.1.zip</t>
  </si>
  <si>
    <t>Shallow Pits 2</t>
  </si>
  <si>
    <t>32256</t>
  </si>
  <si>
    <t>https://www.smwcentral.net/?a=details&amp;id=32256&amp;p=section</t>
  </si>
  <si>
    <t>https://dl.smwcentral.net/32256/Pits2_v1.1.zip</t>
  </si>
  <si>
    <t>Shattered Land</t>
  </si>
  <si>
    <t>28509</t>
  </si>
  <si>
    <t>https://www.smwcentral.net/?a=details&amp;id=28509&amp;p=section</t>
  </si>
  <si>
    <t>https://dl.smwcentral.net/28509/Shattered%20Land%201.3.zip</t>
  </si>
  <si>
    <t>SHATTERED PLAINS</t>
  </si>
  <si>
    <t>34840</t>
  </si>
  <si>
    <t>https://www.smwcentral.net/?a=details&amp;id=34840&amp;p=section</t>
  </si>
  <si>
    <t>https://dl.smwcentral.net/34840/plains.zip</t>
  </si>
  <si>
    <t>Sheffy 99</t>
  </si>
  <si>
    <t>29776</t>
  </si>
  <si>
    <t>https://www.smwcentral.net/?a=details&amp;id=29776&amp;p=section</t>
  </si>
  <si>
    <t>https://dl.smwcentral.net/29776/sheffy%2099%20v1.1.zip</t>
  </si>
  <si>
    <t>Shell is Cool</t>
  </si>
  <si>
    <t>25999</t>
  </si>
  <si>
    <t>https://www.smwcentral.net/?a=details&amp;id=25999&amp;p=section</t>
  </si>
  <si>
    <t>https://dl.smwcentral.net/25999/Shell%20is%20Cool.zip</t>
  </si>
  <si>
    <t>Shell Motel</t>
  </si>
  <si>
    <t>Riu_69</t>
  </si>
  <si>
    <t>41263</t>
  </si>
  <si>
    <t>https://www.smwcentral.net/?a=details&amp;id=41263&amp;p=section</t>
  </si>
  <si>
    <t>https://dl.smwcentral.net/41263/Shell%20Motel.zip</t>
  </si>
  <si>
    <t>Shell Or Die</t>
  </si>
  <si>
    <t>42160</t>
  </si>
  <si>
    <t>https://www.smwcentral.net/?a=details&amp;id=42160&amp;p=section</t>
  </si>
  <si>
    <t>https://dl.smwcentral.net/42160/ShellOrDie.zip</t>
  </si>
  <si>
    <t>Shell Out</t>
  </si>
  <si>
    <t>25586</t>
  </si>
  <si>
    <t>https://www.smwcentral.net/?a=details&amp;id=25586&amp;p=section</t>
  </si>
  <si>
    <t>https://dl.smwcentral.net/25586/Shell%20Out.zip</t>
  </si>
  <si>
    <t>Shell Reaper</t>
  </si>
  <si>
    <t>Ryuoxel, mtheordinarygamer</t>
  </si>
  <si>
    <t>38108</t>
  </si>
  <si>
    <t>https://www.smwcentral.net/?a=details&amp;id=38108&amp;p=section</t>
  </si>
  <si>
    <t>https://dl.smwcentral.net/38108/Shell%20Reaper.zip</t>
  </si>
  <si>
    <t>Shell'S 4 KidUlt'S</t>
  </si>
  <si>
    <t>nets</t>
  </si>
  <si>
    <t>41448</t>
  </si>
  <si>
    <t>https://www.smwcentral.net/?a=details&amp;id=41448&amp;p=section</t>
  </si>
  <si>
    <t>https://dl.smwcentral.net/41448/SHELLS%204%20KIDULTS%20BY%20N3TS.zip</t>
  </si>
  <si>
    <t>Shell's Redeemer</t>
  </si>
  <si>
    <t>Cartesius</t>
  </si>
  <si>
    <t>24544</t>
  </si>
  <si>
    <t>https://www.smwcentral.net/?a=details&amp;id=24544&amp;p=section</t>
  </si>
  <si>
    <t>https://dl.smwcentral.net/24544/redeemer.zip</t>
  </si>
  <si>
    <t>Shell's Retriever</t>
  </si>
  <si>
    <t>18729</t>
  </si>
  <si>
    <t>https://www.smwcentral.net/?a=details&amp;id=18729&amp;p=section</t>
  </si>
  <si>
    <t>https://dl.smwcentral.net/18729/shellsretriever.zip</t>
  </si>
  <si>
    <t>Shella Sick (A Hella Sick Shell Hack)</t>
  </si>
  <si>
    <t>42489</t>
  </si>
  <si>
    <t>https://www.smwcentral.net/?a=details&amp;id=42489&amp;p=section</t>
  </si>
  <si>
    <t>https://dl.smwcentral.net/42489/Shella%20Sick%20%28A%20Hella%20Sick%20Shell%20Hack%29%20v1_1.zip</t>
  </si>
  <si>
    <t>Shellab</t>
  </si>
  <si>
    <t>Cracka, Firstnamebutt, Inflagrandy, Saphros, SwiggittyWiggitty, bald_ridge, l337f00l, mtheordinarygamer, neidoodle, xMANGRAVYx</t>
  </si>
  <si>
    <t>41048</t>
  </si>
  <si>
    <t>https://www.smwcentral.net/?a=details&amp;id=41048&amp;p=section</t>
  </si>
  <si>
    <t>https://dl.smwcentral.net/41048/Shellab.zip</t>
  </si>
  <si>
    <t>Shellax</t>
  </si>
  <si>
    <t>26886</t>
  </si>
  <si>
    <t>https://www.smwcentral.net/?a=details&amp;id=26886&amp;p=section</t>
  </si>
  <si>
    <t>https://dl.smwcentral.net/26886/Shellax1.1.zip</t>
  </si>
  <si>
    <t>Shellenge</t>
  </si>
  <si>
    <t>40736</t>
  </si>
  <si>
    <t>https://www.smwcentral.net/?a=details&amp;id=40736&amp;p=section</t>
  </si>
  <si>
    <t>https://dl.smwcentral.net/40736/Shellenge.zip</t>
  </si>
  <si>
    <t>Shello</t>
  </si>
  <si>
    <t>38203</t>
  </si>
  <si>
    <t>https://www.smwcentral.net/?a=details&amp;id=38203&amp;p=section</t>
  </si>
  <si>
    <t>https://dl.smwcentral.net/38203/Shello.zip</t>
  </si>
  <si>
    <t>Shelloween</t>
  </si>
  <si>
    <t>Steffi4689Lol</t>
  </si>
  <si>
    <t>32697</t>
  </si>
  <si>
    <t>https://www.smwcentral.net/?a=details&amp;id=32697&amp;p=section</t>
  </si>
  <si>
    <t>https://dl.smwcentral.net/32697/Shelloween.zip</t>
  </si>
  <si>
    <t>Shells 3 &amp; Knuckles</t>
  </si>
  <si>
    <t>34009</t>
  </si>
  <si>
    <t>https://www.smwcentral.net/?a=details&amp;id=34009&amp;p=section</t>
  </si>
  <si>
    <t>https://dl.smwcentral.net/34009/Shells3AndKnuckles.zip</t>
  </si>
  <si>
    <t>Shells Delivery Deluxe</t>
  </si>
  <si>
    <t>25495</t>
  </si>
  <si>
    <t>https://www.smwcentral.net/?a=details&amp;id=25495&amp;p=section</t>
  </si>
  <si>
    <t>https://dl.smwcentral.net/25495/ShellsDeliveryDeluxe.zip</t>
  </si>
  <si>
    <t>Shells Kitchen: Leos Journey</t>
  </si>
  <si>
    <t>37822</t>
  </si>
  <si>
    <t>https://www.smwcentral.net/?a=details&amp;id=37822&amp;p=section</t>
  </si>
  <si>
    <t>https://dl.smwcentral.net/37822/ShellsKitchen_Leos_Journey.zip</t>
  </si>
  <si>
    <t>Shells Kitchen: Nicos Journey</t>
  </si>
  <si>
    <t>37792</t>
  </si>
  <si>
    <t>https://www.smwcentral.net/?a=details&amp;id=37792&amp;p=section</t>
  </si>
  <si>
    <t>https://dl.smwcentral.net/37792/ShellsKitchen_Nicos_Journey_v1.0.zip</t>
  </si>
  <si>
    <t>Shellshock</t>
  </si>
  <si>
    <t>41542</t>
  </si>
  <si>
    <t>https://www.smwcentral.net/?a=details&amp;id=41542&amp;p=section</t>
  </si>
  <si>
    <t>https://dl.smwcentral.net/41542/Shellshock%20V%201.3.zip</t>
  </si>
  <si>
    <t>Shelltopia</t>
  </si>
  <si>
    <t>Vidli</t>
  </si>
  <si>
    <t>33434</t>
  </si>
  <si>
    <t>https://www.smwcentral.net/?a=details&amp;id=33434&amp;p=section</t>
  </si>
  <si>
    <t>https://dl.smwcentral.net/33434/Shelltopia.zip</t>
  </si>
  <si>
    <t>Shellventure</t>
  </si>
  <si>
    <t>mikeeeeee83</t>
  </si>
  <si>
    <t>39179</t>
  </si>
  <si>
    <t>https://www.smwcentral.net/?a=details&amp;id=39179&amp;p=section</t>
  </si>
  <si>
    <t>https://dl.smwcentral.net/39179/shellventure10.zip</t>
  </si>
  <si>
    <t>Shellz</t>
  </si>
  <si>
    <t>Bodacious_snail</t>
  </si>
  <si>
    <t>32877</t>
  </si>
  <si>
    <t>https://www.smwcentral.net/?a=details&amp;id=32877&amp;p=section</t>
  </si>
  <si>
    <t>https://dl.smwcentral.net/32877/Shellz.zip</t>
  </si>
  <si>
    <t>SHINE</t>
  </si>
  <si>
    <t>Doopu</t>
  </si>
  <si>
    <t>39649</t>
  </si>
  <si>
    <t>https://www.smwcentral.net/?a=details&amp;id=39649&amp;p=section</t>
  </si>
  <si>
    <t>https://dl.smwcentral.net/39649/SHINE%20v1.1.zip</t>
  </si>
  <si>
    <t>Shipwrecked</t>
  </si>
  <si>
    <t>GloriousWater</t>
  </si>
  <si>
    <t>5997</t>
  </si>
  <si>
    <t>https://www.smwcentral.net/?a=details&amp;id=5997&amp;p=section</t>
  </si>
  <si>
    <t>https://dl.smwcentral.net/5997/Shipwrecked_V1.21.zip</t>
  </si>
  <si>
    <t>Shooey</t>
  </si>
  <si>
    <t>38084</t>
  </si>
  <si>
    <t>https://www.smwcentral.net/?a=details&amp;id=38084&amp;p=section</t>
  </si>
  <si>
    <t>https://dl.smwcentral.net/38084/Shooey.zip</t>
  </si>
  <si>
    <t>Short 'n Sweet</t>
  </si>
  <si>
    <t>27802</t>
  </si>
  <si>
    <t>https://www.smwcentral.net/?a=details&amp;id=27802&amp;p=section</t>
  </si>
  <si>
    <t>https://dl.smwcentral.net/27802/Short%20%27n%20Sweet%20DemoAnon.zip</t>
  </si>
  <si>
    <t>Short and Hard: A midair Shellhack</t>
  </si>
  <si>
    <t>32716</t>
  </si>
  <si>
    <t>https://www.smwcentral.net/?a=details&amp;id=32716&amp;p=section</t>
  </si>
  <si>
    <t>https://dl.smwcentral.net/32716/ShortnHard%20v1.3.zip</t>
  </si>
  <si>
    <t>Short and Sweet</t>
  </si>
  <si>
    <t>28657</t>
  </si>
  <si>
    <t>https://www.smwcentral.net/?a=details&amp;id=28657&amp;p=section</t>
  </si>
  <si>
    <t>https://dl.smwcentral.net/28657/short%20and%20sweet%20v1.2.zip</t>
  </si>
  <si>
    <t>Short but Savage</t>
  </si>
  <si>
    <t>35462</t>
  </si>
  <si>
    <t>https://www.smwcentral.net/?a=details&amp;id=35462&amp;p=section</t>
  </si>
  <si>
    <t>https://dl.smwcentral.net/35462/Short%20but%20Savage.zip</t>
  </si>
  <si>
    <t>short mario adventure</t>
  </si>
  <si>
    <t>Verliezer18</t>
  </si>
  <si>
    <t>17922</t>
  </si>
  <si>
    <t>https://www.smwcentral.net/?a=details&amp;id=17922&amp;p=section</t>
  </si>
  <si>
    <t>https://dl.smwcentral.net/17922/ShortMarioAdventure.zip</t>
  </si>
  <si>
    <t>Showtime</t>
  </si>
  <si>
    <t>40687</t>
  </si>
  <si>
    <t>https://www.smwcentral.net/?a=details&amp;id=40687&amp;p=section</t>
  </si>
  <si>
    <t>https://dl.smwcentral.net/40687/%5B2025%5D%20Showtime%20v1.7%20%28U%29.zip</t>
  </si>
  <si>
    <t>Shy Guy's Adventure</t>
  </si>
  <si>
    <t>K3fka</t>
  </si>
  <si>
    <t>5533</t>
  </si>
  <si>
    <t>https://www.smwcentral.net/?a=details&amp;id=5533&amp;p=section</t>
  </si>
  <si>
    <t>https://dl.smwcentral.net/5533/Shy%20Guy%27s%20Adventure%20C3%20Demo.zip</t>
  </si>
  <si>
    <t>Shy-Guy Quest</t>
  </si>
  <si>
    <t>DgBarca</t>
  </si>
  <si>
    <t>9651</t>
  </si>
  <si>
    <t>https://www.smwcentral.net/?a=details&amp;id=9651&amp;p=section</t>
  </si>
  <si>
    <t>https://dl.smwcentral.net/9651/Shy-Guy_Quest_C3.zip</t>
  </si>
  <si>
    <t>ShyGuy Kaizo Dream</t>
  </si>
  <si>
    <t>P1JDS</t>
  </si>
  <si>
    <t>25911</t>
  </si>
  <si>
    <t>https://www.smwcentral.net/?a=details&amp;id=25911&amp;p=section</t>
  </si>
  <si>
    <t>https://dl.smwcentral.net/25911/ShyGuyKaizoDream1.2.zip</t>
  </si>
  <si>
    <t>ShyGuy Kaizo Dream 2 - Shy Guy's Awakening</t>
  </si>
  <si>
    <t>29653</t>
  </si>
  <si>
    <t>https://www.smwcentral.net/?a=details&amp;id=29653&amp;p=section</t>
  </si>
  <si>
    <t>https://dl.smwcentral.net/29653/ShyGuy%20Kaizo%20Dream%202%20-%20Shy%20Guy%27s%20Awakening%201.1.zip</t>
  </si>
  <si>
    <t>Sicari</t>
  </si>
  <si>
    <t>5950</t>
  </si>
  <si>
    <t>https://www.smwcentral.net/?a=details&amp;id=5950&amp;p=section</t>
  </si>
  <si>
    <t>https://dl.smwcentral.net/5950/Sicari.zip</t>
  </si>
  <si>
    <t>Sicari 2 - The Brink of Time</t>
  </si>
  <si>
    <t>32095</t>
  </si>
  <si>
    <t>https://www.smwcentral.net/?a=details&amp;id=32095&amp;p=section</t>
  </si>
  <si>
    <t>https://dl.smwcentral.net/32095/Sicari2%201.61.zip</t>
  </si>
  <si>
    <t>Sicari Remastered</t>
  </si>
  <si>
    <t>25665</t>
  </si>
  <si>
    <t>https://www.smwcentral.net/?a=details&amp;id=25665&amp;p=section</t>
  </si>
  <si>
    <t>https://dl.smwcentral.net/25665/SRUpdate.zip</t>
  </si>
  <si>
    <t>Sif World</t>
  </si>
  <si>
    <t>Erik_The_Swift</t>
  </si>
  <si>
    <t>30144</t>
  </si>
  <si>
    <t>https://www.smwcentral.net/?a=details&amp;id=30144&amp;p=section</t>
  </si>
  <si>
    <t>https://dl.smwcentral.net/30144/Sif%20World.zip</t>
  </si>
  <si>
    <t>Signals</t>
  </si>
  <si>
    <t>38720</t>
  </si>
  <si>
    <t>https://www.smwcentral.net/?a=details&amp;id=38720&amp;p=section</t>
  </si>
  <si>
    <t>https://dl.smwcentral.net/38720/Signals.zip</t>
  </si>
  <si>
    <t>Silencio</t>
  </si>
  <si>
    <t>27199</t>
  </si>
  <si>
    <t>https://www.smwcentral.net/?a=details&amp;id=27199&amp;p=section</t>
  </si>
  <si>
    <t>https://dl.smwcentral.net/27199/Silencio1.1.zip</t>
  </si>
  <si>
    <t>Silver level pack</t>
  </si>
  <si>
    <t>31747</t>
  </si>
  <si>
    <t>https://www.smwcentral.net/?a=details&amp;id=31747&amp;p=section</t>
  </si>
  <si>
    <t>https://dl.smwcentral.net/31747/Silver%20level%20pack.zip</t>
  </si>
  <si>
    <t>Simpatico</t>
  </si>
  <si>
    <t>BigRedBoy, realbchin</t>
  </si>
  <si>
    <t>38712</t>
  </si>
  <si>
    <t>https://www.smwcentral.net/?a=details&amp;id=38712&amp;p=section</t>
  </si>
  <si>
    <t>https://dl.smwcentral.net/38712/simpatico.zip</t>
  </si>
  <si>
    <t>Simple Symphony</t>
  </si>
  <si>
    <t>37886</t>
  </si>
  <si>
    <t>https://www.smwcentral.net/?a=details&amp;id=37886&amp;p=section</t>
  </si>
  <si>
    <t>https://dl.smwcentral.net/37886/Simple%20Symphony%201.2%20%281%29.zip</t>
  </si>
  <si>
    <t>Simply Delicious</t>
  </si>
  <si>
    <t>41660</t>
  </si>
  <si>
    <t>https://www.smwcentral.net/?a=details&amp;id=41660&amp;p=section</t>
  </si>
  <si>
    <t>https://dl.smwcentral.net/41660/simplydelicious.zip</t>
  </si>
  <si>
    <t>Simply Kaizo</t>
  </si>
  <si>
    <t>42650</t>
  </si>
  <si>
    <t>https://www.smwcentral.net/?a=details&amp;id=42650&amp;p=section</t>
  </si>
  <si>
    <t>https://dl.smwcentral.net/42650/Simply%20Kaizo.zip</t>
  </si>
  <si>
    <t>Simply Mario Shells 'n Bells</t>
  </si>
  <si>
    <t>24919</t>
  </si>
  <si>
    <t>https://www.smwcentral.net/?a=details&amp;id=24919&amp;p=section</t>
  </si>
  <si>
    <t>https://dl.smwcentral.net/24919/Simply%20Mario%20Shells%20%27n%20Bells%20Demo%20V1.1.zip</t>
  </si>
  <si>
    <t>Single Level Collaboration</t>
  </si>
  <si>
    <t>34478</t>
  </si>
  <si>
    <t>https://www.smwcentral.net/?a=details&amp;id=34478&amp;p=section</t>
  </si>
  <si>
    <t>https://dl.smwcentral.net/34478/singlelevelcollab.zip</t>
  </si>
  <si>
    <t>Sio's Dino Mayhem</t>
  </si>
  <si>
    <t>Super_Mike</t>
  </si>
  <si>
    <t>28512</t>
  </si>
  <si>
    <t>https://www.smwcentral.net/?a=details&amp;id=28512&amp;p=section</t>
  </si>
  <si>
    <t>https://dl.smwcentral.net/28512/Sio%27s%20Dino%20Mayhem.zip</t>
  </si>
  <si>
    <t>SIW Cruel or Cruel Edition</t>
  </si>
  <si>
    <t>32079</t>
  </si>
  <si>
    <t>https://www.smwcentral.net/?a=details&amp;id=32079&amp;p=section</t>
  </si>
  <si>
    <t>https://dl.smwcentral.net/32079/siw%20c%20%26%20c.zip</t>
  </si>
  <si>
    <t>Six Pack: VLDC Compilation</t>
  </si>
  <si>
    <t>Ragey, SMW Central</t>
  </si>
  <si>
    <t>35347</t>
  </si>
  <si>
    <t>https://www.smwcentral.net/?a=details&amp;id=35347&amp;p=section</t>
  </si>
  <si>
    <t>https://dl.smwcentral.net/35347/Six%20Pack.zip</t>
  </si>
  <si>
    <t>Sixth Grade Kaizo</t>
  </si>
  <si>
    <t>drspork</t>
  </si>
  <si>
    <t>37314</t>
  </si>
  <si>
    <t>https://www.smwcentral.net/?a=details&amp;id=37314&amp;p=section</t>
  </si>
  <si>
    <t>https://dl.smwcentral.net/37314/Sixth%20Grade%20Kaizo.zip</t>
  </si>
  <si>
    <t>Sleepy World</t>
  </si>
  <si>
    <t>28702</t>
  </si>
  <si>
    <t>https://www.smwcentral.net/?a=details&amp;id=28702&amp;p=section</t>
  </si>
  <si>
    <t>https://dl.smwcentral.net/28702/Sleepy%20World%201.2.zip</t>
  </si>
  <si>
    <t>Slow and Slower</t>
  </si>
  <si>
    <t>Captain_Hacko</t>
  </si>
  <si>
    <t>34912</t>
  </si>
  <si>
    <t>https://www.smwcentral.net/?a=details&amp;id=34912&amp;p=section</t>
  </si>
  <si>
    <t>https://dl.smwcentral.net/34912/Slow_and_Slower.zip</t>
  </si>
  <si>
    <t>slurdgery</t>
  </si>
  <si>
    <t>21787</t>
  </si>
  <si>
    <t>https://www.smwcentral.net/?a=details&amp;id=21787&amp;p=section</t>
  </si>
  <si>
    <t>https://dl.smwcentral.net/21787/slurdgery.zip</t>
  </si>
  <si>
    <t>Smithereens</t>
  </si>
  <si>
    <t>28210</t>
  </si>
  <si>
    <t>https://www.smwcentral.net/?a=details&amp;id=28210&amp;p=section</t>
  </si>
  <si>
    <t>https://dl.smwcentral.net/28210/smithereens.zip</t>
  </si>
  <si>
    <t>Smoked Fish and Cabbage</t>
  </si>
  <si>
    <t>42654</t>
  </si>
  <si>
    <t>https://www.smwcentral.net/?a=details&amp;id=42654&amp;p=section</t>
  </si>
  <si>
    <t>https://dl.smwcentral.net/42654/Smoked%20Fish%20and%20Cabbage%20v2.1.zip</t>
  </si>
  <si>
    <t>Smoked Fish and Cabbage 2</t>
  </si>
  <si>
    <t>42687</t>
  </si>
  <si>
    <t>https://www.smwcentral.net/?a=details&amp;id=42687&amp;p=section</t>
  </si>
  <si>
    <t>https://dl.smwcentral.net/42687/Smoked%20Fish%20and%20Cabbage%202%20v1.1.zip</t>
  </si>
  <si>
    <t>Smoked Fish and Cabbage 3</t>
  </si>
  <si>
    <t>37442</t>
  </si>
  <si>
    <t>https://www.smwcentral.net/?a=details&amp;id=37442&amp;p=section</t>
  </si>
  <si>
    <t>https://dl.smwcentral.net/37442/Smoked%20Fish%20and%20Cabbage%203.zip</t>
  </si>
  <si>
    <t>smol</t>
  </si>
  <si>
    <t>29542</t>
  </si>
  <si>
    <t>https://www.smwcentral.net/?a=details&amp;id=29542&amp;p=section</t>
  </si>
  <si>
    <t>https://dl.smwcentral.net/29542/smol%201.1.zip</t>
  </si>
  <si>
    <t>SMW 2012: Master Hand's Doomsday</t>
  </si>
  <si>
    <t>10257</t>
  </si>
  <si>
    <t>https://www.smwcentral.net/?a=details&amp;id=10257&amp;p=section</t>
  </si>
  <si>
    <t>https://dl.smwcentral.net/10257/2012%20Final%202.0.zip</t>
  </si>
  <si>
    <t>SMW Christmas special</t>
  </si>
  <si>
    <t>10107</t>
  </si>
  <si>
    <t>https://www.smwcentral.net/?a=details&amp;id=10107&amp;p=section</t>
  </si>
  <si>
    <t>https://dl.smwcentral.net/10107/SMWCS.zip</t>
  </si>
  <si>
    <t>SMW Coin Chaos</t>
  </si>
  <si>
    <t>26494</t>
  </si>
  <si>
    <t>https://www.smwcentral.net/?a=details&amp;id=26494&amp;p=section</t>
  </si>
  <si>
    <t>https://dl.smwcentral.net/26494/SMW%20coin%20chaos%20v1.4.zip</t>
  </si>
  <si>
    <t>SMW For Your Kids Only</t>
  </si>
  <si>
    <t>Clouthhh</t>
  </si>
  <si>
    <t>32609</t>
  </si>
  <si>
    <t>https://www.smwcentral.net/?a=details&amp;id=32609&amp;p=section</t>
  </si>
  <si>
    <t>https://dl.smwcentral.net/32609/SMW_FOR_YOUR_KIDS_ONLY_v2.zip</t>
  </si>
  <si>
    <t>SMW Friends and Rivalry</t>
  </si>
  <si>
    <t>41305</t>
  </si>
  <si>
    <t>https://www.smwcentral.net/?a=details&amp;id=41305&amp;p=section</t>
  </si>
  <si>
    <t>https://dl.smwcentral.net/41305/SMW%20Friends%20and%20Rivalry%20v1.05b.zip</t>
  </si>
  <si>
    <t>SMW L'autre bout de Yoshi island</t>
  </si>
  <si>
    <t>18528</t>
  </si>
  <si>
    <t>https://www.smwcentral.net/?a=details&amp;id=18528&amp;p=section</t>
  </si>
  <si>
    <t>https://dl.smwcentral.net/18528/DEMO2.zip</t>
  </si>
  <si>
    <t>SMW La Nouvelle Vague</t>
  </si>
  <si>
    <t>drake-68</t>
  </si>
  <si>
    <t>9440</t>
  </si>
  <si>
    <t>https://www.smwcentral.net/?a=details&amp;id=9440&amp;p=section</t>
  </si>
  <si>
    <t>https://dl.smwcentral.net/9440/SMW%20La%20Nouvelle%20Vague.zip</t>
  </si>
  <si>
    <t>SMW Legends. The Stars Road</t>
  </si>
  <si>
    <t>Mois3s Cota</t>
  </si>
  <si>
    <t>11604</t>
  </si>
  <si>
    <t>https://www.smwcentral.net/?a=details&amp;id=11604&amp;p=section</t>
  </si>
  <si>
    <t>https://dl.smwcentral.net/11604/SMW%20Legends%20%282nd%20Demo%20version%29.zip</t>
  </si>
  <si>
    <t>SMW O Sumiço de Íris</t>
  </si>
  <si>
    <t>31238</t>
  </si>
  <si>
    <t>https://www.smwcentral.net/?a=details&amp;id=31238&amp;p=section</t>
  </si>
  <si>
    <t>https://dl.smwcentral.net/31238/Super%20Mario%20o%20Sumi%C3%A7o%20de%20%C3%8Dris%20Demo%20ver%201.2.zip</t>
  </si>
  <si>
    <t>SMW Piranha Island</t>
  </si>
  <si>
    <t>PokerFace</t>
  </si>
  <si>
    <t>11697</t>
  </si>
  <si>
    <t>https://www.smwcentral.net/?a=details&amp;id=11697&amp;p=section</t>
  </si>
  <si>
    <t>https://dl.smwcentral.net/11697/SMW%20Piranha%20island%201.1.zip</t>
  </si>
  <si>
    <t>SMW Quest for Gaming</t>
  </si>
  <si>
    <t>29090</t>
  </si>
  <si>
    <t>https://www.smwcentral.net/?a=details&amp;id=29090&amp;p=section</t>
  </si>
  <si>
    <t>https://dl.smwcentral.net/29090/SMW%20Quest%20for%20Gaming.zip</t>
  </si>
  <si>
    <t>SMW Remade from Memory</t>
  </si>
  <si>
    <t>28851</t>
  </si>
  <si>
    <t>https://www.smwcentral.net/?a=details&amp;id=28851&amp;p=section</t>
  </si>
  <si>
    <t>https://dl.smwcentral.net/28851/SMW%20Remade%20from%20Memory.zip</t>
  </si>
  <si>
    <t>SMW Returns</t>
  </si>
  <si>
    <t>KT.</t>
  </si>
  <si>
    <t>9686</t>
  </si>
  <si>
    <t>https://www.smwcentral.net/?a=details&amp;id=9686&amp;p=section</t>
  </si>
  <si>
    <t>https://dl.smwcentral.net/9686/SMWR.zip</t>
  </si>
  <si>
    <t>SMW Returns 2</t>
  </si>
  <si>
    <t>5004</t>
  </si>
  <si>
    <t>https://www.smwcentral.net/?a=details&amp;id=5004&amp;p=section</t>
  </si>
  <si>
    <t>https://dl.smwcentral.net/5004/SMWR2.zip</t>
  </si>
  <si>
    <t>SMW Returns EX</t>
  </si>
  <si>
    <t>Gaia, KT.</t>
  </si>
  <si>
    <t>9683</t>
  </si>
  <si>
    <t>https://www.smwcentral.net/?a=details&amp;id=9683&amp;p=section</t>
  </si>
  <si>
    <t>https://dl.smwcentral.net/9683/SMWREX.zip</t>
  </si>
  <si>
    <t>SMW Skill Challenge</t>
  </si>
  <si>
    <t>19073</t>
  </si>
  <si>
    <t>https://www.smwcentral.net/?a=details&amp;id=19073&amp;p=section</t>
  </si>
  <si>
    <t>https://dl.smwcentral.net/19073/Skill%20Challenge.zip</t>
  </si>
  <si>
    <t>SMW Skill Challenge 2</t>
  </si>
  <si>
    <t>22627</t>
  </si>
  <si>
    <t>https://www.smwcentral.net/?a=details&amp;id=22627&amp;p=section</t>
  </si>
  <si>
    <t>https://dl.smwcentral.net/22627/skill2demo.zip</t>
  </si>
  <si>
    <t>SMW Stardust Dragon 2011</t>
  </si>
  <si>
    <t>10143</t>
  </si>
  <si>
    <t>https://www.smwcentral.net/?a=details&amp;id=10143&amp;p=section</t>
  </si>
  <si>
    <t>https://dl.smwcentral.net/10143/SMWStardust2011.2.zip</t>
  </si>
  <si>
    <t>SMW The Crown Tale</t>
  </si>
  <si>
    <t>28099</t>
  </si>
  <si>
    <t>https://www.smwcentral.net/?a=details&amp;id=28099&amp;p=section</t>
  </si>
  <si>
    <t>https://dl.smwcentral.net/28099/SMW%20The%20Crown%20Tale%20v1.3.zip</t>
  </si>
  <si>
    <t>SMW The Lost Levels</t>
  </si>
  <si>
    <t>Jamanta</t>
  </si>
  <si>
    <t>10228</t>
  </si>
  <si>
    <t>https://www.smwcentral.net/?a=details&amp;id=10228&amp;p=section</t>
  </si>
  <si>
    <t>https://dl.smwcentral.net/10228/SMW%20The%20Lost%20Levels%20Demo%202.zip</t>
  </si>
  <si>
    <t>SMW The Princess Rescue</t>
  </si>
  <si>
    <t>31172</t>
  </si>
  <si>
    <t>https://www.smwcentral.net/?a=details&amp;id=31172&amp;p=section</t>
  </si>
  <si>
    <t>https://dl.smwcentral.net/31172/SMW%20The%20Princess%20Rescue%202022%20update.zip</t>
  </si>
  <si>
    <t>SMW The Princess Rescue 2 - Luigi's Journey!</t>
  </si>
  <si>
    <t>31145</t>
  </si>
  <si>
    <t>https://www.smwcentral.net/?a=details&amp;id=31145&amp;p=section</t>
  </si>
  <si>
    <t>https://dl.smwcentral.net/31145/SMW%20The%20Princess%20Rescue%202.zip</t>
  </si>
  <si>
    <t>SMW The Princess Rescue 3 - The Turnabout</t>
  </si>
  <si>
    <t>35294</t>
  </si>
  <si>
    <t>https://www.smwcentral.net/?a=details&amp;id=35294&amp;p=section</t>
  </si>
  <si>
    <t>https://dl.smwcentral.net/35294/SMWTPR3%20v1.20.zip</t>
  </si>
  <si>
    <t>SMW The Untold Story</t>
  </si>
  <si>
    <t>Capt'n Caramel</t>
  </si>
  <si>
    <t>22919</t>
  </si>
  <si>
    <t>https://www.smwcentral.net/?a=details&amp;id=22919&amp;p=section</t>
  </si>
  <si>
    <t>https://dl.smwcentral.net/22919/TUS%20DEMO%20V0.2.zip</t>
  </si>
  <si>
    <t>SMW Translations</t>
  </si>
  <si>
    <t>Various</t>
  </si>
  <si>
    <t>15677</t>
  </si>
  <si>
    <t>https://www.smwcentral.net/?a=details&amp;id=15677&amp;p=section</t>
  </si>
  <si>
    <t>https://dl.smwcentral.net/15677/Translations.zip</t>
  </si>
  <si>
    <t>Smw Uma Aventura Chaotica (Chaotic Adventure)</t>
  </si>
  <si>
    <t>32461</t>
  </si>
  <si>
    <t>https://www.smwcentral.net/?a=details&amp;id=32461&amp;p=section</t>
  </si>
  <si>
    <t>https://dl.smwcentral.net/32461/Chaotic%20Adventure%201.1.zip</t>
  </si>
  <si>
    <t>SMW with Levels from NSMB</t>
  </si>
  <si>
    <t>Foxy_9000_</t>
  </si>
  <si>
    <t>32487</t>
  </si>
  <si>
    <t>https://www.smwcentral.net/?a=details&amp;id=32487&amp;p=section</t>
  </si>
  <si>
    <t>https://dl.smwcentral.net/32487/SMW%20with%20Levels%20from%20NSMB.zip</t>
  </si>
  <si>
    <t>SMW with Levels from SMB 3</t>
  </si>
  <si>
    <t>33649</t>
  </si>
  <si>
    <t>https://www.smwcentral.net/?a=details&amp;id=33649&amp;p=section</t>
  </si>
  <si>
    <t>https://dl.smwcentral.net/33649/SMW%20with%20Levels%20from%20SMB%203.zip</t>
  </si>
  <si>
    <t>SMW with Levels from Super Boy 3</t>
  </si>
  <si>
    <t>LilacTubaGaming</t>
  </si>
  <si>
    <t>32335</t>
  </si>
  <si>
    <t>https://www.smwcentral.net/?a=details&amp;id=32335&amp;p=section</t>
  </si>
  <si>
    <t>https://dl.smwcentral.net/32335/SMW%20with%20Levels%20from%20Super%20Boy%203.zip</t>
  </si>
  <si>
    <t>SMW-R</t>
  </si>
  <si>
    <t>UltiMario</t>
  </si>
  <si>
    <t>17462</t>
  </si>
  <si>
    <t>https://www.smwcentral.net/?a=details&amp;id=17462&amp;p=section</t>
  </si>
  <si>
    <t>https://dl.smwcentral.net/17462/SMW-R.zip</t>
  </si>
  <si>
    <t>Smw2 the unknown threats F.I.X.E.D</t>
  </si>
  <si>
    <t>Dman</t>
  </si>
  <si>
    <t>10234</t>
  </si>
  <si>
    <t>https://www.smwcentral.net/?a=details&amp;id=10234&amp;p=section</t>
  </si>
  <si>
    <t>https://dl.smwcentral.net/10234/Smw2%20The%20unkown%20threats%20F.I.X.E.D.zip</t>
  </si>
  <si>
    <t>SMW2+3: The Essence Star</t>
  </si>
  <si>
    <t>25235</t>
  </si>
  <si>
    <t>https://www.smwcentral.net/?a=details&amp;id=25235&amp;p=section</t>
  </si>
  <si>
    <t>https://dl.smwcentral.net/25235/SMW2%2B3-TheEssenceStar.zip</t>
  </si>
  <si>
    <t>SMW: Gaiden</t>
  </si>
  <si>
    <t>Adam, Truxton, lolyoshi, rextep</t>
  </si>
  <si>
    <t>26307</t>
  </si>
  <si>
    <t>https://www.smwcentral.net/?a=details&amp;id=26307&amp;p=section</t>
  </si>
  <si>
    <t>https://dl.smwcentral.net/26307/GAIDEN_v1.13.zip</t>
  </si>
  <si>
    <t>SMW: Luigi's Mystic Saga</t>
  </si>
  <si>
    <t>41378</t>
  </si>
  <si>
    <t>https://www.smwcentral.net/?a=details&amp;id=41378&amp;p=section</t>
  </si>
  <si>
    <t>https://dl.smwcentral.net/41378/Luigi%27s%20Mystic%20Saga.zip</t>
  </si>
  <si>
    <t>SMW: Remix</t>
  </si>
  <si>
    <t>Lexi</t>
  </si>
  <si>
    <t>10118</t>
  </si>
  <si>
    <t>https://www.smwcentral.net/?a=details&amp;id=10118&amp;p=section</t>
  </si>
  <si>
    <t>https://dl.smwcentral.net/10118/SMWRemixD1.1.zip</t>
  </si>
  <si>
    <t>SMW: The Creator</t>
  </si>
  <si>
    <t>8843</t>
  </si>
  <si>
    <t>https://www.smwcentral.net/?a=details&amp;id=8843&amp;p=section</t>
  </si>
  <si>
    <t>https://dl.smwcentral.net/8843/The%20Creator%20%5Bv1.1%5D.zip</t>
  </si>
  <si>
    <t>SMW: Yoshi's Super Adventure</t>
  </si>
  <si>
    <t>aroohwahoou</t>
  </si>
  <si>
    <t>39103</t>
  </si>
  <si>
    <t>https://www.smwcentral.net/?a=details&amp;id=39103&amp;p=section</t>
  </si>
  <si>
    <t>https://dl.smwcentral.net/39103/SMW%20Yoshis%20Super%20Adventure%20v1.0.1.zip</t>
  </si>
  <si>
    <t>SMWHacking.de Collab</t>
  </si>
  <si>
    <t>EliteBellic, LP-Err0r, Reggiamoto, Robju, ShUriK KiD, Shog, kooooopa, wye</t>
  </si>
  <si>
    <t>10336</t>
  </si>
  <si>
    <t>https://www.smwcentral.net/?a=details&amp;id=10336&amp;p=section</t>
  </si>
  <si>
    <t>https://dl.smwcentral.net/10336/SMWHcollab.zip</t>
  </si>
  <si>
    <t>SMWHacking.de Collab ½</t>
  </si>
  <si>
    <t>Luks, RedAstaire, ShUriK KiD, Wysey, neidoodle, wye</t>
  </si>
  <si>
    <t>14465</t>
  </si>
  <si>
    <t>https://www.smwcentral.net/?a=details&amp;id=14465&amp;p=section</t>
  </si>
  <si>
    <t>https://dl.smwcentral.net/14465/SMWHcollab_1_2.zip</t>
  </si>
  <si>
    <t>SMWLV</t>
  </si>
  <si>
    <t>Gabriel12102673</t>
  </si>
  <si>
    <t>24783</t>
  </si>
  <si>
    <t>https://www.smwcentral.net/?a=details&amp;id=24783&amp;p=section</t>
  </si>
  <si>
    <t>https://dl.smwcentral.net/24783/SMWLV%20%28DEMO%29.zip</t>
  </si>
  <si>
    <t>Sniggerbobble's Nightmare: Randor's Inside Story</t>
  </si>
  <si>
    <t>Chikane</t>
  </si>
  <si>
    <t>5275</t>
  </si>
  <si>
    <t>https://www.smwcentral.net/?a=details&amp;id=5275&amp;p=section</t>
  </si>
  <si>
    <t>https://dl.smwcentral.net/5275/RiS%20Demo%201.zip</t>
  </si>
  <si>
    <t>Snoman's Land</t>
  </si>
  <si>
    <t>23383</t>
  </si>
  <si>
    <t>https://www.smwcentral.net/?a=details&amp;id=23383&amp;p=section</t>
  </si>
  <si>
    <t>https://dl.smwcentral.net/23383/Snoman%27s%20Land%20v1.2.zip</t>
  </si>
  <si>
    <t>Solar Eclipse World</t>
  </si>
  <si>
    <t>16084</t>
  </si>
  <si>
    <t>https://www.smwcentral.net/?a=details&amp;id=16084&amp;p=section</t>
  </si>
  <si>
    <t>https://dl.smwcentral.net/16084/Solar%20Eclipse%20World.zip</t>
  </si>
  <si>
    <t>Some Assembly Required</t>
  </si>
  <si>
    <t>Shuttles</t>
  </si>
  <si>
    <t>22030</t>
  </si>
  <si>
    <t>https://www.smwcentral.net/?a=details&amp;id=22030&amp;p=section</t>
  </si>
  <si>
    <t>https://dl.smwcentral.net/22030/SAR_v1.1.zip</t>
  </si>
  <si>
    <t>Something</t>
  </si>
  <si>
    <t>yogui</t>
  </si>
  <si>
    <t>29548</t>
  </si>
  <si>
    <t>https://www.smwcentral.net/?a=details&amp;id=29548&amp;p=section</t>
  </si>
  <si>
    <t>https://dl.smwcentral.net/29548/Something.zip</t>
  </si>
  <si>
    <t>Something Else</t>
  </si>
  <si>
    <t>6304</t>
  </si>
  <si>
    <t>https://www.smwcentral.net/?a=details&amp;id=6304&amp;p=section</t>
  </si>
  <si>
    <t>https://dl.smwcentral.net/6304/Something%20else%20.zip</t>
  </si>
  <si>
    <t>Song's to Die to</t>
  </si>
  <si>
    <t>YukiHidden</t>
  </si>
  <si>
    <t>41656</t>
  </si>
  <si>
    <t>https://www.smwcentral.net/?a=details&amp;id=41656&amp;p=section</t>
  </si>
  <si>
    <t>https://dl.smwcentral.net/41656/Song%27s%20to%20die%20to.zip</t>
  </si>
  <si>
    <t>Sonic Epic World</t>
  </si>
  <si>
    <t>37784</t>
  </si>
  <si>
    <t>https://www.smwcentral.net/?a=details&amp;id=37784&amp;p=section</t>
  </si>
  <si>
    <t>https://dl.smwcentral.net/37784/Sonic%20Epic%20World.zip</t>
  </si>
  <si>
    <t>Sonic Kaizo World</t>
  </si>
  <si>
    <t>42582</t>
  </si>
  <si>
    <t>https://www.smwcentral.net/?a=details&amp;id=42582&amp;p=section</t>
  </si>
  <si>
    <t>https://dl.smwcentral.net/42582/Sonic%20Kaizo%20World.zip</t>
  </si>
  <si>
    <t>Sonic the Hedgehog 2 Kaizo Version</t>
  </si>
  <si>
    <t>37804</t>
  </si>
  <si>
    <t>https://www.smwcentral.net/?a=details&amp;id=37804&amp;p=section</t>
  </si>
  <si>
    <t>https://dl.smwcentral.net/37804/Sonic%202%20But%20Kaizo.zip</t>
  </si>
  <si>
    <t>Sonic the Hedgehog Kaizo Version</t>
  </si>
  <si>
    <t>39188</t>
  </si>
  <si>
    <t>https://www.smwcentral.net/?a=details&amp;id=39188&amp;p=section</t>
  </si>
  <si>
    <t>https://dl.smwcentral.net/39188/Sonic%20in%20a%20Kaizo%20World.zip</t>
  </si>
  <si>
    <t>Sonic's Adventure in Mushroom Kingdom</t>
  </si>
  <si>
    <t>MidniteMilo82</t>
  </si>
  <si>
    <t>28598</t>
  </si>
  <si>
    <t>https://www.smwcentral.net/?a=details&amp;id=28598&amp;p=section</t>
  </si>
  <si>
    <t>https://dl.smwcentral.net/28598/SAiMK.zip</t>
  </si>
  <si>
    <t>Sophies Crown</t>
  </si>
  <si>
    <t>ScatmanJones49</t>
  </si>
  <si>
    <t>27342</t>
  </si>
  <si>
    <t>https://www.smwcentral.net/?a=details&amp;id=27342&amp;p=section</t>
  </si>
  <si>
    <t>https://dl.smwcentral.net/27342/sophiescrown.zip</t>
  </si>
  <si>
    <t>Sorrow &amp; Misery</t>
  </si>
  <si>
    <t>JokerGamerOk</t>
  </si>
  <si>
    <t>31450</t>
  </si>
  <si>
    <t>https://www.smwcentral.net/?a=details&amp;id=31450&amp;p=section</t>
  </si>
  <si>
    <t>https://dl.smwcentral.net/31450/Sorrow_and_Misery.zip</t>
  </si>
  <si>
    <t>Sortes Biblicae</t>
  </si>
  <si>
    <t>31961</t>
  </si>
  <si>
    <t>https://www.smwcentral.net/?a=details&amp;id=31961&amp;p=section</t>
  </si>
  <si>
    <t>https://dl.smwcentral.net/31961/sortesbiblicae1.666.zip</t>
  </si>
  <si>
    <t>Soup or Solstng World</t>
  </si>
  <si>
    <t>21740</t>
  </si>
  <si>
    <t>https://www.smwcentral.net/?a=details&amp;id=21740&amp;p=section</t>
  </si>
  <si>
    <t>https://dl.smwcentral.net/21740/Soup%20or%20Solstng%20World%201.1.zip</t>
  </si>
  <si>
    <t>South Point Hotel</t>
  </si>
  <si>
    <t>29721</t>
  </si>
  <si>
    <t>https://www.smwcentral.net/?a=details&amp;id=29721&amp;p=section</t>
  </si>
  <si>
    <t>https://dl.smwcentral.net/29721/South%20Point%20Hotel.zip</t>
  </si>
  <si>
    <t>SpaceDeluxe</t>
  </si>
  <si>
    <t>Breno Henrique</t>
  </si>
  <si>
    <t>41266</t>
  </si>
  <si>
    <t>https://www.smwcentral.net/?a=details&amp;id=41266&amp;p=section</t>
  </si>
  <si>
    <t>https://dl.smwcentral.net/41266/SpaceDeluxe.zip</t>
  </si>
  <si>
    <t>Spatial Whirl</t>
  </si>
  <si>
    <t>37876</t>
  </si>
  <si>
    <t>https://www.smwcentral.net/?a=details&amp;id=37876&amp;p=section</t>
  </si>
  <si>
    <t>https://dl.smwcentral.net/37876/Spatial%20Whirl.zip</t>
  </si>
  <si>
    <t>Special Moves</t>
  </si>
  <si>
    <t>marvisjj</t>
  </si>
  <si>
    <t>41529</t>
  </si>
  <si>
    <t>https://www.smwcentral.net/?a=details&amp;id=41529&amp;p=section</t>
  </si>
  <si>
    <t>https://dl.smwcentral.net/41529/Special%20Moves.zip</t>
  </si>
  <si>
    <t>Special World Escape</t>
  </si>
  <si>
    <t>41361</t>
  </si>
  <si>
    <t>https://www.smwcentral.net/?a=details&amp;id=41361&amp;p=section</t>
  </si>
  <si>
    <t>https://dl.smwcentral.net/41361/Special%20World%20Escape.zip</t>
  </si>
  <si>
    <t>Special World Overtakes</t>
  </si>
  <si>
    <t>10219</t>
  </si>
  <si>
    <t>https://www.smwcentral.net/?a=details&amp;id=10219&amp;p=section</t>
  </si>
  <si>
    <t>https://dl.smwcentral.net/10219/Special%20World%20Overtakes%20V1.3.zip</t>
  </si>
  <si>
    <t>Special World?</t>
  </si>
  <si>
    <t>6760</t>
  </si>
  <si>
    <t>https://www.smwcentral.net/?a=details&amp;id=6760&amp;p=section</t>
  </si>
  <si>
    <t>https://dl.smwcentral.net/6760/Special%20World%20Demo%200.1.3.zip</t>
  </si>
  <si>
    <t>Speed Shell</t>
  </si>
  <si>
    <t>26381</t>
  </si>
  <si>
    <t>https://www.smwcentral.net/?a=details&amp;id=26381&amp;p=section</t>
  </si>
  <si>
    <t>https://dl.smwcentral.net/26381/SpeedShell.zip</t>
  </si>
  <si>
    <t>Spesh Planet</t>
  </si>
  <si>
    <t>31344</t>
  </si>
  <si>
    <t>https://www.smwcentral.net/?a=details&amp;id=31344&amp;p=section</t>
  </si>
  <si>
    <t>https://dl.smwcentral.net/31344/Spesh%20Planet.zip</t>
  </si>
  <si>
    <t>Spesh Planet 2</t>
  </si>
  <si>
    <t>40229</t>
  </si>
  <si>
    <t>https://www.smwcentral.net/?a=details&amp;id=40229&amp;p=section</t>
  </si>
  <si>
    <t>https://dl.smwcentral.net/40229/Spesh%20Planet%202.zip</t>
  </si>
  <si>
    <t>Spiral Quiral</t>
  </si>
  <si>
    <t>Airbourne Bubblun</t>
  </si>
  <si>
    <t>5466</t>
  </si>
  <si>
    <t>https://www.smwcentral.net/?a=details&amp;id=5466&amp;p=section</t>
  </si>
  <si>
    <t>https://dl.smwcentral.net/5466/Spiral%20Quiral%20V2.2.zip</t>
  </si>
  <si>
    <t>Spiral Quiral Downgrade</t>
  </si>
  <si>
    <t>14631</t>
  </si>
  <si>
    <t>https://www.smwcentral.net/?a=details&amp;id=14631&amp;p=section</t>
  </si>
  <si>
    <t>https://dl.smwcentral.net/14631/Spiral%20Quiral%20Downgrade.zip</t>
  </si>
  <si>
    <t>Spiteful Mario</t>
  </si>
  <si>
    <t>38128</t>
  </si>
  <si>
    <t>https://www.smwcentral.net/?a=details&amp;id=38128&amp;p=section</t>
  </si>
  <si>
    <t>https://dl.smwcentral.net/38128/Spitefulmarioupdate.zip</t>
  </si>
  <si>
    <t>Sponge World</t>
  </si>
  <si>
    <t>iraxviii</t>
  </si>
  <si>
    <t>38195</t>
  </si>
  <si>
    <t>https://www.smwcentral.net/?a=details&amp;id=38195&amp;p=section</t>
  </si>
  <si>
    <t>https://dl.smwcentral.net/38195/Sponge%20World.zip</t>
  </si>
  <si>
    <t>SPOT</t>
  </si>
  <si>
    <t>37136</t>
  </si>
  <si>
    <t>https://www.smwcentral.net/?a=details&amp;id=37136&amp;p=section</t>
  </si>
  <si>
    <t>https://dl.smwcentral.net/37136/SPOT%20%28demo%29.zip</t>
  </si>
  <si>
    <t>Sprites Are 1derful</t>
  </si>
  <si>
    <t>37616</t>
  </si>
  <si>
    <t>https://www.smwcentral.net/?a=details&amp;id=37616&amp;p=section</t>
  </si>
  <si>
    <t>https://dl.smwcentral.net/37616/SpritesAre1derful1_1.zip</t>
  </si>
  <si>
    <t>Square</t>
  </si>
  <si>
    <t>22530</t>
  </si>
  <si>
    <t>https://www.smwcentral.net/?a=details&amp;id=22530&amp;p=section</t>
  </si>
  <si>
    <t>https://dl.smwcentral.net/22530/Square.zip</t>
  </si>
  <si>
    <t>SRE X - Kaizo Race</t>
  </si>
  <si>
    <t>38560</t>
  </si>
  <si>
    <t>https://www.smwcentral.net/?a=details&amp;id=38560&amp;p=section</t>
  </si>
  <si>
    <t>https://dl.smwcentral.net/38560/SRE%20X.zip</t>
  </si>
  <si>
    <t>Staccato</t>
  </si>
  <si>
    <t>28370</t>
  </si>
  <si>
    <t>https://www.smwcentral.net/?a=details&amp;id=28370&amp;p=section</t>
  </si>
  <si>
    <t>https://dl.smwcentral.net/28370/Staccato.zip</t>
  </si>
  <si>
    <t>Stacks cafe</t>
  </si>
  <si>
    <t>39517</t>
  </si>
  <si>
    <t>https://www.smwcentral.net/?a=details&amp;id=39517&amp;p=section</t>
  </si>
  <si>
    <t>https://dl.smwcentral.net/39517/Stacks%20Cafe%20V1.0%20by%20Lush_50.zip</t>
  </si>
  <si>
    <t>Stackup (Demo #0)</t>
  </si>
  <si>
    <t>Katrina</t>
  </si>
  <si>
    <t>41326</t>
  </si>
  <si>
    <t>https://www.smwcentral.net/?a=details&amp;id=41326&amp;p=section</t>
  </si>
  <si>
    <t>https://dl.smwcentral.net/41326/stackup.zip</t>
  </si>
  <si>
    <t>Stand Tall and Shake the Heavens</t>
  </si>
  <si>
    <t>24320</t>
  </si>
  <si>
    <t>https://www.smwcentral.net/?a=details&amp;id=24320&amp;p=section</t>
  </si>
  <si>
    <t>https://dl.smwcentral.net/24320/Stand%20Tall%20v1.2.zip</t>
  </si>
  <si>
    <t>Standard SMW ROM Hack</t>
  </si>
  <si>
    <t>Denicentek</t>
  </si>
  <si>
    <t>23490</t>
  </si>
  <si>
    <t>https://www.smwcentral.net/?a=details&amp;id=23490&amp;p=section</t>
  </si>
  <si>
    <t>https://dl.smwcentral.net/23490/Standard%20SMW%20ROM%20Hack%20%28Fixed%20Demo%29.bps.zip</t>
  </si>
  <si>
    <t>Stardust</t>
  </si>
  <si>
    <t>26923</t>
  </si>
  <si>
    <t>https://www.smwcentral.net/?a=details&amp;id=26923&amp;p=section</t>
  </si>
  <si>
    <t>https://dl.smwcentral.net/26923/Stardust1.1.zip</t>
  </si>
  <si>
    <t>Starting with Kaizo</t>
  </si>
  <si>
    <t>40438</t>
  </si>
  <si>
    <t>https://www.smwcentral.net/?a=details&amp;id=40438&amp;p=section</t>
  </si>
  <si>
    <t>https://dl.smwcentral.net/40438/Starting%20with%20Kaizo.zip</t>
  </si>
  <si>
    <t>Starting with Kaizo 2</t>
  </si>
  <si>
    <t>42496</t>
  </si>
  <si>
    <t>https://www.smwcentral.net/?a=details&amp;id=42496&amp;p=section</t>
  </si>
  <si>
    <t>https://dl.smwcentral.net/42496/Starting%20with%20Kaizo%202%20-%201.0.1.zip</t>
  </si>
  <si>
    <t>Staycation</t>
  </si>
  <si>
    <t>HousemeisterHD</t>
  </si>
  <si>
    <t>41376</t>
  </si>
  <si>
    <t>https://www.smwcentral.net/?a=details&amp;id=41376&amp;p=section</t>
  </si>
  <si>
    <t>https://dl.smwcentral.net/41376/Staycation.zip</t>
  </si>
  <si>
    <t>Steamboat Mario</t>
  </si>
  <si>
    <t>31286</t>
  </si>
  <si>
    <t>https://www.smwcentral.net/?a=details&amp;id=31286&amp;p=section</t>
  </si>
  <si>
    <t>https://dl.smwcentral.net/31286/Steamboat%20Mario.zip</t>
  </si>
  <si>
    <t>Steid's Hack</t>
  </si>
  <si>
    <t>Steid</t>
  </si>
  <si>
    <t>33561</t>
  </si>
  <si>
    <t>https://www.smwcentral.net/?a=details&amp;id=33561&amp;p=section</t>
  </si>
  <si>
    <t>https://dl.smwcentral.net/33561/Steid%27s%20Hack.zip</t>
  </si>
  <si>
    <t>Steven's Strangest Day</t>
  </si>
  <si>
    <t>35213</t>
  </si>
  <si>
    <t>https://www.smwcentral.net/?a=details&amp;id=35213&amp;p=section</t>
  </si>
  <si>
    <t>https://dl.smwcentral.net/35213/Steven%20BPS.zip</t>
  </si>
  <si>
    <t>stick mice in my head and then beat my head in with a hammer and let them back out</t>
  </si>
  <si>
    <t>Christina Hendricks, JUMP Team</t>
  </si>
  <si>
    <t>17105</t>
  </si>
  <si>
    <t>https://www.smwcentral.net/?a=details&amp;id=17105&amp;p=section</t>
  </si>
  <si>
    <t>https://dl.smwcentral.net/17105/mice.zip</t>
  </si>
  <si>
    <t>Stick This Up Your Pipe!</t>
  </si>
  <si>
    <t>33781</t>
  </si>
  <si>
    <t>https://www.smwcentral.net/?a=details&amp;id=33781&amp;p=section</t>
  </si>
  <si>
    <t>https://dl.smwcentral.net/33781/Stick%20This%20Up%20Your%20Pipe%21.zip</t>
  </si>
  <si>
    <t>Storks and Apes and Crocodiles</t>
  </si>
  <si>
    <t>27282</t>
  </si>
  <si>
    <t>https://www.smwcentral.net/?a=details&amp;id=27282&amp;p=section</t>
  </si>
  <si>
    <t>https://dl.smwcentral.net/27282/apes1.14.zip</t>
  </si>
  <si>
    <t>Story of Peiton</t>
  </si>
  <si>
    <t>12718</t>
  </si>
  <si>
    <t>https://www.smwcentral.net/?a=details&amp;id=12718&amp;p=section</t>
  </si>
  <si>
    <t>https://dl.smwcentral.net/12718/StoryOfPeitonDEMO4.zip</t>
  </si>
  <si>
    <t>Straight Shellin'</t>
  </si>
  <si>
    <t>RedPandaa_</t>
  </si>
  <si>
    <t>41092</t>
  </si>
  <si>
    <t>https://www.smwcentral.net/?a=details&amp;id=41092&amp;p=section</t>
  </si>
  <si>
    <t>https://dl.smwcentral.net/41092/Straight%20Shellin%27.zip</t>
  </si>
  <si>
    <t>Stranded</t>
  </si>
  <si>
    <t>4975</t>
  </si>
  <si>
    <t>https://www.smwcentral.net/?a=details&amp;id=4975&amp;p=section</t>
  </si>
  <si>
    <t>https://dl.smwcentral.net/4975/stranded.zip</t>
  </si>
  <si>
    <t>Strange Mario World</t>
  </si>
  <si>
    <t>Acmlm</t>
  </si>
  <si>
    <t>9758</t>
  </si>
  <si>
    <t>https://www.smwcentral.net/?a=details&amp;id=9758&amp;p=section</t>
  </si>
  <si>
    <t>https://dl.smwcentral.net/9758/Strange%20Mario%20World.zip</t>
  </si>
  <si>
    <t>Stratfinder</t>
  </si>
  <si>
    <t>28333</t>
  </si>
  <si>
    <t>https://www.smwcentral.net/?a=details&amp;id=28333&amp;p=section</t>
  </si>
  <si>
    <t>https://dl.smwcentral.net/28333/stratfinder.zip</t>
  </si>
  <si>
    <t>Streak of Tigers</t>
  </si>
  <si>
    <t>26815</t>
  </si>
  <si>
    <t>https://www.smwcentral.net/?a=details&amp;id=26815&amp;p=section</t>
  </si>
  <si>
    <t>https://dl.smwcentral.net/26815/Streak%20of%20Tigers%201.1.zip</t>
  </si>
  <si>
    <t>Streak of Tigers 2</t>
  </si>
  <si>
    <t>27331</t>
  </si>
  <si>
    <t>https://www.smwcentral.net/?a=details&amp;id=27331&amp;p=section</t>
  </si>
  <si>
    <t>https://dl.smwcentral.net/27331/Streak%20of%20Tigers%202.zip</t>
  </si>
  <si>
    <t>Studies of a broken engine</t>
  </si>
  <si>
    <t>28464</t>
  </si>
  <si>
    <t>https://www.smwcentral.net/?a=details&amp;id=28464&amp;p=section</t>
  </si>
  <si>
    <t>https://dl.smwcentral.net/28464/Studies_of_a_broken_engine.zip</t>
  </si>
  <si>
    <t>Subpar Mario World</t>
  </si>
  <si>
    <t>19914</t>
  </si>
  <si>
    <t>https://www.smwcentral.net/?a=details&amp;id=19914&amp;p=section</t>
  </si>
  <si>
    <t>https://dl.smwcentral.net/19914/Subpar_Mario_World_v1.0.zip</t>
  </si>
  <si>
    <t>Summer</t>
  </si>
  <si>
    <t>35655</t>
  </si>
  <si>
    <t>https://www.smwcentral.net/?a=details&amp;id=35655&amp;p=section</t>
  </si>
  <si>
    <t>https://dl.smwcentral.net/35655/Summer.zip</t>
  </si>
  <si>
    <t>Summer Season</t>
  </si>
  <si>
    <t>14202</t>
  </si>
  <si>
    <t>https://www.smwcentral.net/?a=details&amp;id=14202&amp;p=section</t>
  </si>
  <si>
    <t>https://dl.smwcentral.net/14202/Summer%20Season%20V.1.05.zip</t>
  </si>
  <si>
    <t>Sunny Side World</t>
  </si>
  <si>
    <t>cwiarl</t>
  </si>
  <si>
    <t>5024</t>
  </si>
  <si>
    <t>https://www.smwcentral.net/?a=details&amp;id=5024&amp;p=section</t>
  </si>
  <si>
    <t>https://dl.smwcentral.net/5024/ssworld.zip</t>
  </si>
  <si>
    <t>Super "Mario" World</t>
  </si>
  <si>
    <t>5443</t>
  </si>
  <si>
    <t>https://www.smwcentral.net/?a=details&amp;id=5443&amp;p=section</t>
  </si>
  <si>
    <t>https://dl.smwcentral.net/5443/1UPSuperMarioWorld.zip</t>
  </si>
  <si>
    <t>Super "Mario" World 2</t>
  </si>
  <si>
    <t>10252</t>
  </si>
  <si>
    <t>https://www.smwcentral.net/?a=details&amp;id=10252&amp;p=section</t>
  </si>
  <si>
    <t>https://dl.smwcentral.net/10252/SuperMWV4.zip</t>
  </si>
  <si>
    <t>Super "Sonic Saves the World" World</t>
  </si>
  <si>
    <t>32893</t>
  </si>
  <si>
    <t>https://www.smwcentral.net/?a=details&amp;id=32893&amp;p=section</t>
  </si>
  <si>
    <t>https://dl.smwcentral.net/32893/Super%20%27Sonic%20Saves%20the%20World%27%20World.zip</t>
  </si>
  <si>
    <t>Super Adam World</t>
  </si>
  <si>
    <t>kellykelster</t>
  </si>
  <si>
    <t>24931</t>
  </si>
  <si>
    <t>https://www.smwcentral.net/?a=details&amp;id=24931&amp;p=section</t>
  </si>
  <si>
    <t>https://dl.smwcentral.net/24931/adamworld.zip</t>
  </si>
  <si>
    <t>Super Alabama Beach Mouse</t>
  </si>
  <si>
    <t>37478</t>
  </si>
  <si>
    <t>https://www.smwcentral.net/?a=details&amp;id=37478&amp;p=section</t>
  </si>
  <si>
    <t>https://dl.smwcentral.net/37478/Super%20Alabama%20Beach%20Mouse.zip</t>
  </si>
  <si>
    <t>Super Alex Demo</t>
  </si>
  <si>
    <t>Ding_Dong</t>
  </si>
  <si>
    <t>42415</t>
  </si>
  <si>
    <t>https://www.smwcentral.net/?a=details&amp;id=42415&amp;p=section</t>
  </si>
  <si>
    <t>https://dl.smwcentral.net/42415/Super%20Alex%20Demo.zip</t>
  </si>
  <si>
    <t>Super Alicorn Sisters: Return of the Tantabus (A My Little Pony hack)</t>
  </si>
  <si>
    <t>DPBOX</t>
  </si>
  <si>
    <t>19706</t>
  </si>
  <si>
    <t>https://www.smwcentral.net/?a=details&amp;id=19706&amp;p=section</t>
  </si>
  <si>
    <t>https://dl.smwcentral.net/19706/Super%20Alicorn%20Sisters%20Return%20of%20the%20Tantabus%20DEMO%200.05.2.zip</t>
  </si>
  <si>
    <t>Super Amazing World</t>
  </si>
  <si>
    <t>uyuyuy99</t>
  </si>
  <si>
    <t>9945</t>
  </si>
  <si>
    <t>https://www.smwcentral.net/?a=details&amp;id=9945&amp;p=section</t>
  </si>
  <si>
    <t>https://dl.smwcentral.net/9945/super_amazing_world4.zip</t>
  </si>
  <si>
    <t>Super Amethyst Rocks</t>
  </si>
  <si>
    <t>28818</t>
  </si>
  <si>
    <t>https://www.smwcentral.net/?a=details&amp;id=28818&amp;p=section</t>
  </si>
  <si>
    <t>https://dl.smwcentral.net/28818/Super%20Amethyst%20Rocks.zip</t>
  </si>
  <si>
    <t>Super Ario World</t>
  </si>
  <si>
    <t>seintiago</t>
  </si>
  <si>
    <t>34508</t>
  </si>
  <si>
    <t>https://www.smwcentral.net/?a=details&amp;id=34508&amp;p=section</t>
  </si>
  <si>
    <t>https://dl.smwcentral.net/34508/Super%20Ario%20World.zip</t>
  </si>
  <si>
    <t>Super BanzaiChuck World</t>
  </si>
  <si>
    <t>DoktorGroove</t>
  </si>
  <si>
    <t>41691</t>
  </si>
  <si>
    <t>https://www.smwcentral.net/?a=details&amp;id=41691&amp;p=section</t>
  </si>
  <si>
    <t>https://dl.smwcentral.net/41691/SBCW_V1_1.zip</t>
  </si>
  <si>
    <t>Super Beast World</t>
  </si>
  <si>
    <t>SuperBeastGN</t>
  </si>
  <si>
    <t>22519</t>
  </si>
  <si>
    <t>https://www.smwcentral.net/?a=details&amp;id=22519&amp;p=section</t>
  </si>
  <si>
    <t>https://dl.smwcentral.net/22519/Super%20Beast%20World%20v1.1.bps.zip</t>
  </si>
  <si>
    <t>Super Beco World</t>
  </si>
  <si>
    <t>SKAW Adri</t>
  </si>
  <si>
    <t>26187</t>
  </si>
  <si>
    <t>https://www.smwcentral.net/?a=details&amp;id=26187&amp;p=section</t>
  </si>
  <si>
    <t>https://dl.smwcentral.net/26187/Super%20Beco%20World.zip</t>
  </si>
  <si>
    <t>Super Beco World 2</t>
  </si>
  <si>
    <t>25055</t>
  </si>
  <si>
    <t>https://www.smwcentral.net/?a=details&amp;id=25055&amp;p=section</t>
  </si>
  <si>
    <t>https://dl.smwcentral.net/25055/Super%20Beco%20World%202.zip</t>
  </si>
  <si>
    <t>Super Beco World 3</t>
  </si>
  <si>
    <t>30305</t>
  </si>
  <si>
    <t>https://www.smwcentral.net/?a=details&amp;id=30305&amp;p=section</t>
  </si>
  <si>
    <t>https://dl.smwcentral.net/30305/Super%20Beco%20World%203%20v1.1.zip</t>
  </si>
  <si>
    <t>Super Big Super Shy World</t>
  </si>
  <si>
    <t>TaddyMason74</t>
  </si>
  <si>
    <t>30199</t>
  </si>
  <si>
    <t>https://www.smwcentral.net/?a=details&amp;id=30199&amp;p=section</t>
  </si>
  <si>
    <t>https://dl.smwcentral.net/30199/SBSSW1.31.zip</t>
  </si>
  <si>
    <t>Super Blooper</t>
  </si>
  <si>
    <t>Sonikku</t>
  </si>
  <si>
    <t>9642</t>
  </si>
  <si>
    <t>https://www.smwcentral.net/?a=details&amp;id=9642&amp;p=section</t>
  </si>
  <si>
    <t>https://dl.smwcentral.net/9642/SuperBlooperDemo1.zip</t>
  </si>
  <si>
    <t>Super Boonie World</t>
  </si>
  <si>
    <t>dubiousdinobot</t>
  </si>
  <si>
    <t>38415</t>
  </si>
  <si>
    <t>https://www.smwcentral.net/?a=details&amp;id=38415&amp;p=section</t>
  </si>
  <si>
    <t>https://dl.smwcentral.net/38415/Super%20Boonie%20World%20V1.2.zip</t>
  </si>
  <si>
    <t>Super Breh World</t>
  </si>
  <si>
    <t>MagikNinja, xDropTheHammer</t>
  </si>
  <si>
    <t>35008</t>
  </si>
  <si>
    <t>https://www.smwcentral.net/?a=details&amp;id=35008&amp;p=section</t>
  </si>
  <si>
    <t>https://dl.smwcentral.net/35008/SuperBrehWorldV.2.zip</t>
  </si>
  <si>
    <t>Super Broke World</t>
  </si>
  <si>
    <t>31821</t>
  </si>
  <si>
    <t>https://www.smwcentral.net/?a=details&amp;id=31821&amp;p=section</t>
  </si>
  <si>
    <t>https://dl.smwcentral.net/31821/Broke%20Fixed.zip</t>
  </si>
  <si>
    <t>Super Bulti World</t>
  </si>
  <si>
    <t>37921</t>
  </si>
  <si>
    <t>https://www.smwcentral.net/?a=details&amp;id=37921&amp;p=section</t>
  </si>
  <si>
    <t>https://dl.smwcentral.net/37921/Super%20Bulti%20World.zip</t>
  </si>
  <si>
    <t>Super Butt World 2</t>
  </si>
  <si>
    <t>17898</t>
  </si>
  <si>
    <t>https://www.smwcentral.net/?a=details&amp;id=17898&amp;p=section</t>
  </si>
  <si>
    <t>https://dl.smwcentral.net/17898/butt2.zip</t>
  </si>
  <si>
    <t>Super Challenge World</t>
  </si>
  <si>
    <t>Nigel K.</t>
  </si>
  <si>
    <t>9914</t>
  </si>
  <si>
    <t>https://www.smwcentral.net/?a=details&amp;id=9914&amp;p=section</t>
  </si>
  <si>
    <t>https://dl.smwcentral.net/9914/scw.zip</t>
  </si>
  <si>
    <t>Super Chambo World</t>
  </si>
  <si>
    <t>chester_fields</t>
  </si>
  <si>
    <t>30424</t>
  </si>
  <si>
    <t>https://www.smwcentral.net/?a=details&amp;id=30424&amp;p=section</t>
  </si>
  <si>
    <t>https://dl.smwcentral.net/30424/Super%20Chambo%20World%201.1.zip</t>
  </si>
  <si>
    <t>Super Cheer World</t>
  </si>
  <si>
    <t>19007</t>
  </si>
  <si>
    <t>https://www.smwcentral.net/?a=details&amp;id=19007&amp;p=section</t>
  </si>
  <si>
    <t>https://dl.smwcentral.net/19007/Super%20Cheer%20World.zip</t>
  </si>
  <si>
    <t>Super Chill World</t>
  </si>
  <si>
    <t>MellowYouth</t>
  </si>
  <si>
    <t>25008</t>
  </si>
  <si>
    <t>https://www.smwcentral.net/?a=details&amp;id=25008&amp;p=section</t>
  </si>
  <si>
    <t>https://dl.smwcentral.net/25008/Super%20Chill%20World%20v2.zip</t>
  </si>
  <si>
    <t>Super Chocolate: The Insane Islands</t>
  </si>
  <si>
    <t>Pozeal</t>
  </si>
  <si>
    <t>9727</t>
  </si>
  <si>
    <t>https://www.smwcentral.net/?a=details&amp;id=9727&amp;p=section</t>
  </si>
  <si>
    <t>https://dl.smwcentral.net/9727/Super%20Choco-The%20Insane%20Islands.zip</t>
  </si>
  <si>
    <t>Super Cindy World</t>
  </si>
  <si>
    <t>26197</t>
  </si>
  <si>
    <t>https://www.smwcentral.net/?a=details&amp;id=26197&amp;p=section</t>
  </si>
  <si>
    <t>https://dl.smwcentral.net/26197/SuperCindyWorld.zip</t>
  </si>
  <si>
    <t>Super Cindy World 2</t>
  </si>
  <si>
    <t>27116</t>
  </si>
  <si>
    <t>https://www.smwcentral.net/?a=details&amp;id=27116&amp;p=section</t>
  </si>
  <si>
    <t>https://dl.smwcentral.net/27116/Super%20Cindy%20World%202%20v1.03.zip</t>
  </si>
  <si>
    <t>Super Cindy World 3</t>
  </si>
  <si>
    <t>29715</t>
  </si>
  <si>
    <t>https://www.smwcentral.net/?a=details&amp;id=29715&amp;p=section</t>
  </si>
  <si>
    <t>https://dl.smwcentral.net/29715/SuperCindyWorld3.zip</t>
  </si>
  <si>
    <t>Super Compact World</t>
  </si>
  <si>
    <t>21323</t>
  </si>
  <si>
    <t>https://www.smwcentral.net/?a=details&amp;id=21323&amp;p=section</t>
  </si>
  <si>
    <t>https://dl.smwcentral.net/21323/Super%20Compact%20World%20Submission.zip</t>
  </si>
  <si>
    <t>Super Conan Land</t>
  </si>
  <si>
    <t>13833</t>
  </si>
  <si>
    <t>https://www.smwcentral.net/?a=details&amp;id=13833&amp;p=section</t>
  </si>
  <si>
    <t>https://dl.smwcentral.net/13833/SuperConanLand.zip</t>
  </si>
  <si>
    <t>Super Conan World</t>
  </si>
  <si>
    <t>18067</t>
  </si>
  <si>
    <t>https://www.smwcentral.net/?a=details&amp;id=18067&amp;p=section</t>
  </si>
  <si>
    <t>https://dl.smwcentral.net/18067/SCW.zip</t>
  </si>
  <si>
    <t>Super Cool World</t>
  </si>
  <si>
    <t>FerpyMcFrosting</t>
  </si>
  <si>
    <t>18738</t>
  </si>
  <si>
    <t>https://www.smwcentral.net/?a=details&amp;id=18738&amp;p=section</t>
  </si>
  <si>
    <t>https://dl.smwcentral.net/18738/Super%20Cool%20World%20v1.0.zip</t>
  </si>
  <si>
    <t>Super Corn World</t>
  </si>
  <si>
    <t>39453</t>
  </si>
  <si>
    <t>https://www.smwcentral.net/?a=details&amp;id=39453&amp;p=section</t>
  </si>
  <si>
    <t>https://dl.smwcentral.net/39453/Super%20Corn%20World.zip</t>
  </si>
  <si>
    <t>Super Corn World II</t>
  </si>
  <si>
    <t>39684</t>
  </si>
  <si>
    <t>https://www.smwcentral.net/?a=details&amp;id=39684&amp;p=section</t>
  </si>
  <si>
    <t>https://dl.smwcentral.net/39684/Super%20Corn%20World%20II.zip</t>
  </si>
  <si>
    <t>Super Corn World III</t>
  </si>
  <si>
    <t>39936</t>
  </si>
  <si>
    <t>https://www.smwcentral.net/?a=details&amp;id=39936&amp;p=section</t>
  </si>
  <si>
    <t>https://dl.smwcentral.net/39936/scw3.zip</t>
  </si>
  <si>
    <t>Super Corruptendo World: The Mini HAX</t>
  </si>
  <si>
    <t>Illusiyellow</t>
  </si>
  <si>
    <t>9637</t>
  </si>
  <si>
    <t>https://www.smwcentral.net/?a=details&amp;id=9637&amp;p=section</t>
  </si>
  <si>
    <t>https://dl.smwcentral.net/9637/SCW_The_Mini_Hacks.zip</t>
  </si>
  <si>
    <t>Super cRazy world</t>
  </si>
  <si>
    <t>TheTim_aka_Timmifutz</t>
  </si>
  <si>
    <t>10105</t>
  </si>
  <si>
    <t>https://www.smwcentral.net/?a=details&amp;id=10105&amp;p=section</t>
  </si>
  <si>
    <t>https://dl.smwcentral.net/10105/super%20cRazy%20world.zip</t>
  </si>
  <si>
    <t>Super Creme World</t>
  </si>
  <si>
    <t>22171</t>
  </si>
  <si>
    <t>https://www.smwcentral.net/?a=details&amp;id=22171&amp;p=section</t>
  </si>
  <si>
    <t>https://dl.smwcentral.net/22171/Super%20Creme%20World.zip</t>
  </si>
  <si>
    <t>Super Curious World</t>
  </si>
  <si>
    <t>team_love</t>
  </si>
  <si>
    <t>37951</t>
  </si>
  <si>
    <t>https://www.smwcentral.net/?a=details&amp;id=37951&amp;p=section</t>
  </si>
  <si>
    <t>https://dl.smwcentral.net/37951/Super%20Curious%20World%201.2.zip</t>
  </si>
  <si>
    <t>Super Daisy World</t>
  </si>
  <si>
    <t>MarioIsTheBest1234</t>
  </si>
  <si>
    <t>40498</t>
  </si>
  <si>
    <t>https://www.smwcentral.net/?a=details&amp;id=40498&amp;p=section</t>
  </si>
  <si>
    <t>https://dl.smwcentral.net/40498/Super%20%20Daisy%20World.zip</t>
  </si>
  <si>
    <t>Super Dank World</t>
  </si>
  <si>
    <t>34970</t>
  </si>
  <si>
    <t>https://www.smwcentral.net/?a=details&amp;id=34970&amp;p=section</t>
  </si>
  <si>
    <t>https://dl.smwcentral.net/34970/Super_Dank_World.zip</t>
  </si>
  <si>
    <t>Super Dazran World</t>
  </si>
  <si>
    <t>MatthewGamingLive</t>
  </si>
  <si>
    <t>17266</t>
  </si>
  <si>
    <t>https://www.smwcentral.net/?a=details&amp;id=17266&amp;p=section</t>
  </si>
  <si>
    <t>https://dl.smwcentral.net/17266/Super%20Dazran%20World%20Demo%202.zip</t>
  </si>
  <si>
    <t>Super DB World</t>
  </si>
  <si>
    <t>26319</t>
  </si>
  <si>
    <t>https://www.smwcentral.net/?a=details&amp;id=26319&amp;p=section</t>
  </si>
  <si>
    <t>https://dl.smwcentral.net/26319/Super%20DB%20World.zip</t>
  </si>
  <si>
    <t>Super Deboche World</t>
  </si>
  <si>
    <t>AleGames</t>
  </si>
  <si>
    <t>32346</t>
  </si>
  <si>
    <t>https://www.smwcentral.net/?a=details&amp;id=32346&amp;p=section</t>
  </si>
  <si>
    <t>https://dl.smwcentral.net/32346/Super%20Deboche%20World.zip</t>
  </si>
  <si>
    <t>Super Demo World</t>
  </si>
  <si>
    <t>FuSoYa</t>
  </si>
  <si>
    <t>9679</t>
  </si>
  <si>
    <t>https://www.smwcentral.net/?a=details&amp;id=9679&amp;p=section</t>
  </si>
  <si>
    <t>https://dl.smwcentral.net/9679/demoworld.zip</t>
  </si>
  <si>
    <t>Super Demo World 3</t>
  </si>
  <si>
    <t>DJ Bouche, FuSoYa</t>
  </si>
  <si>
    <t>9825</t>
  </si>
  <si>
    <t>https://www.smwcentral.net/?a=details&amp;id=9825&amp;p=section</t>
  </si>
  <si>
    <t>https://dl.smwcentral.net/9825/Super%20Demo%20World%203.zip</t>
  </si>
  <si>
    <t>Super Demo World: The Legend Continues</t>
  </si>
  <si>
    <t>FuSoYa, Zero-G</t>
  </si>
  <si>
    <t>9678</t>
  </si>
  <si>
    <t>https://www.smwcentral.net/?a=details&amp;id=9678&amp;p=section</t>
  </si>
  <si>
    <t>https://dl.smwcentral.net/9678/downlaod.zip</t>
  </si>
  <si>
    <t>Super Denis World</t>
  </si>
  <si>
    <t>Tony.Metcalfe</t>
  </si>
  <si>
    <t>18286</t>
  </si>
  <si>
    <t>https://www.smwcentral.net/?a=details&amp;id=18286&amp;p=section</t>
  </si>
  <si>
    <t>https://dl.smwcentral.net/18286/SuperDenisWorld_VF5.zip</t>
  </si>
  <si>
    <t>Super Destructive World</t>
  </si>
  <si>
    <t>29568</t>
  </si>
  <si>
    <t>https://www.smwcentral.net/?a=details&amp;id=29568&amp;p=section</t>
  </si>
  <si>
    <t>https://dl.smwcentral.net/29568/SuperDestructiveWorldV1.1.bps.zip</t>
  </si>
  <si>
    <t>Super DGR World</t>
  </si>
  <si>
    <t>18131</t>
  </si>
  <si>
    <t>https://www.smwcentral.net/?a=details&amp;id=18131&amp;p=section</t>
  </si>
  <si>
    <t>https://dl.smwcentral.net/18131/Super%20DGR%20World1.6.zip</t>
  </si>
  <si>
    <t>Super Dram World</t>
  </si>
  <si>
    <t>40663</t>
  </si>
  <si>
    <t>https://www.smwcentral.net/?a=details&amp;id=40663&amp;p=section</t>
  </si>
  <si>
    <t>https://dl.smwcentral.net/40663/Super%20Dram%20World%20v1.3.zip</t>
  </si>
  <si>
    <t>Super Dram World 2</t>
  </si>
  <si>
    <t>40662</t>
  </si>
  <si>
    <t>https://www.smwcentral.net/?a=details&amp;id=40662&amp;p=section</t>
  </si>
  <si>
    <t>https://dl.smwcentral.net/40662/Super%20Dram%20World%202%20v1.3.zip</t>
  </si>
  <si>
    <t>Super Dram World 3</t>
  </si>
  <si>
    <t>41022</t>
  </si>
  <si>
    <t>https://www.smwcentral.net/?a=details&amp;id=41022&amp;p=section</t>
  </si>
  <si>
    <t>https://dl.smwcentral.net/41022/Super%20Dram%20World%203%20v1.3.zip</t>
  </si>
  <si>
    <t>Super Dream World</t>
  </si>
  <si>
    <t>Shingo</t>
  </si>
  <si>
    <t>23193</t>
  </si>
  <si>
    <t>https://www.smwcentral.net/?a=details&amp;id=23193&amp;p=section</t>
  </si>
  <si>
    <t>https://dl.smwcentral.net/23193/SuperDreamWorld.zip</t>
  </si>
  <si>
    <t>Super Duper Mario World W1 DEMO</t>
  </si>
  <si>
    <t>SuperWaluigiBro</t>
  </si>
  <si>
    <t>41566</t>
  </si>
  <si>
    <t>https://www.smwcentral.net/?a=details&amp;id=41566&amp;p=section</t>
  </si>
  <si>
    <t>https://dl.smwcentral.net/41566/SDMW%20DEMOv02c.zip</t>
  </si>
  <si>
    <t>Super Duper World</t>
  </si>
  <si>
    <t>Partly Marble</t>
  </si>
  <si>
    <t>17625</t>
  </si>
  <si>
    <t>https://www.smwcentral.net/?a=details&amp;id=17625&amp;p=section</t>
  </si>
  <si>
    <t>https://dl.smwcentral.net/17625/Super%20Duper%20World.zip</t>
  </si>
  <si>
    <t>Super Empty Land</t>
  </si>
  <si>
    <t>39264</t>
  </si>
  <si>
    <t>https://www.smwcentral.net/?a=details&amp;id=39264&amp;p=section</t>
  </si>
  <si>
    <t>https://dl.smwcentral.net/39264/SuperEmptyLand.zip</t>
  </si>
  <si>
    <t>Super Enan World</t>
  </si>
  <si>
    <t>Enan63, Green Jerry</t>
  </si>
  <si>
    <t>23960</t>
  </si>
  <si>
    <t>https://www.smwcentral.net/?a=details&amp;id=23960&amp;p=section</t>
  </si>
  <si>
    <t>https://dl.smwcentral.net/23960/Super%20Enan%20World%20-%20Demo%203.2.4.zip</t>
  </si>
  <si>
    <t>Super Endoplasm World</t>
  </si>
  <si>
    <t>5519</t>
  </si>
  <si>
    <t>https://www.smwcentral.net/?a=details&amp;id=5519&amp;p=section</t>
  </si>
  <si>
    <t>https://dl.smwcentral.net/5519/SEW.zip</t>
  </si>
  <si>
    <t>Super Enemy World</t>
  </si>
  <si>
    <t>Yoshiboy</t>
  </si>
  <si>
    <t>9836</t>
  </si>
  <si>
    <t>https://www.smwcentral.net/?a=details&amp;id=9836&amp;p=section</t>
  </si>
  <si>
    <t>https://dl.smwcentral.net/9836/Super%20Enemy%20World.zip</t>
  </si>
  <si>
    <t>Super Fail World</t>
  </si>
  <si>
    <t>dubefest</t>
  </si>
  <si>
    <t>10067</t>
  </si>
  <si>
    <t>https://www.smwcentral.net/?a=details&amp;id=10067&amp;p=section</t>
  </si>
  <si>
    <t>https://dl.smwcentral.net/10067/SuperFailWorld.zip</t>
  </si>
  <si>
    <t>Super Fart World</t>
  </si>
  <si>
    <t>19571</t>
  </si>
  <si>
    <t>https://www.smwcentral.net/?a=details&amp;id=19571&amp;p=section</t>
  </si>
  <si>
    <t>https://dl.smwcentral.net/19571/SuperFartWorld.zip</t>
  </si>
  <si>
    <t>Super Fast World</t>
  </si>
  <si>
    <t>the_pilger</t>
  </si>
  <si>
    <t>26267</t>
  </si>
  <si>
    <t>https://www.smwcentral.net/?a=details&amp;id=26267&amp;p=section</t>
  </si>
  <si>
    <t>https://dl.smwcentral.net/26267/Super%20Fast%20World.zip</t>
  </si>
  <si>
    <t>Super Fedora World</t>
  </si>
  <si>
    <t>16099</t>
  </si>
  <si>
    <t>https://www.smwcentral.net/?a=details&amp;id=16099&amp;p=section</t>
  </si>
  <si>
    <t>https://dl.smwcentral.net/16099/Super%20Fedora%20World.zip</t>
  </si>
  <si>
    <t>Super Fish World</t>
  </si>
  <si>
    <t>Perkward</t>
  </si>
  <si>
    <t>41357</t>
  </si>
  <si>
    <t>https://www.smwcentral.net/?a=details&amp;id=41357&amp;p=section</t>
  </si>
  <si>
    <t>https://dl.smwcentral.net/41357/Follow%20the%20Fish.zip</t>
  </si>
  <si>
    <t>Super Flash World</t>
  </si>
  <si>
    <t>Scags</t>
  </si>
  <si>
    <t>31454</t>
  </si>
  <si>
    <t>https://www.smwcentral.net/?a=details&amp;id=31454&amp;p=section</t>
  </si>
  <si>
    <t>https://dl.smwcentral.net/31454/FlashWorld.zip</t>
  </si>
  <si>
    <t>Super Flash World 2</t>
  </si>
  <si>
    <t>41538</t>
  </si>
  <si>
    <t>https://www.smwcentral.net/?a=details&amp;id=41538&amp;p=section</t>
  </si>
  <si>
    <t>https://dl.smwcentral.net/41538/FlashWorld2.zip</t>
  </si>
  <si>
    <t>Super Focused World</t>
  </si>
  <si>
    <t>DigitalSine</t>
  </si>
  <si>
    <t>18172</t>
  </si>
  <si>
    <t>https://www.smwcentral.net/?a=details&amp;id=18172&amp;p=section</t>
  </si>
  <si>
    <t>https://dl.smwcentral.net/18172/Super%20Focused%20World.zip</t>
  </si>
  <si>
    <t>Super Foo World</t>
  </si>
  <si>
    <t>31166</t>
  </si>
  <si>
    <t>https://www.smwcentral.net/?a=details&amp;id=31166&amp;p=section</t>
  </si>
  <si>
    <t>https://dl.smwcentral.net/31166/Super%20Foo%20World%201.1.zip</t>
  </si>
  <si>
    <t>Super Foo World -1</t>
  </si>
  <si>
    <t>39471</t>
  </si>
  <si>
    <t>https://www.smwcentral.net/?a=details&amp;id=39471&amp;p=section</t>
  </si>
  <si>
    <t>https://dl.smwcentral.net/39471/Super%20Foo%20World%20-1.zip</t>
  </si>
  <si>
    <t>Super Foo World 0</t>
  </si>
  <si>
    <t>34929</t>
  </si>
  <si>
    <t>https://www.smwcentral.net/?a=details&amp;id=34929&amp;p=section</t>
  </si>
  <si>
    <t>https://dl.smwcentral.net/34929/Super%20Foo%20World%200.zip</t>
  </si>
  <si>
    <t>Super Foo World 2</t>
  </si>
  <si>
    <t>34184</t>
  </si>
  <si>
    <t>https://www.smwcentral.net/?a=details&amp;id=34184&amp;p=section</t>
  </si>
  <si>
    <t>https://dl.smwcentral.net/34184/Super%20Foo%20World%202%20v1.1.zip</t>
  </si>
  <si>
    <t>Super Foo World 3</t>
  </si>
  <si>
    <t>38458</t>
  </si>
  <si>
    <t>https://www.smwcentral.net/?a=details&amp;id=38458&amp;p=section</t>
  </si>
  <si>
    <t>https://dl.smwcentral.net/38458/Super%20Foo%20World%203%20v1.1.zip</t>
  </si>
  <si>
    <t>Super Foo World Lite</t>
  </si>
  <si>
    <t>31123</t>
  </si>
  <si>
    <t>https://www.smwcentral.net/?a=details&amp;id=31123&amp;p=section</t>
  </si>
  <si>
    <t>https://dl.smwcentral.net/31123/Super%20Foo%20World%20Lite.zip</t>
  </si>
  <si>
    <t>Super Foss World</t>
  </si>
  <si>
    <t>11932</t>
  </si>
  <si>
    <t>https://www.smwcentral.net/?a=details&amp;id=11932&amp;p=section</t>
  </si>
  <si>
    <t>https://dl.smwcentral.net/11932/Super%20Foss%20World%20v1.31.zip</t>
  </si>
  <si>
    <t>Super Fruits 'n Veggies World</t>
  </si>
  <si>
    <t>34846</t>
  </si>
  <si>
    <t>https://www.smwcentral.net/?a=details&amp;id=34846&amp;p=section</t>
  </si>
  <si>
    <t>https://dl.smwcentral.net/34846/Super%20Fruits%20%27n%20Veggies%20World.zip</t>
  </si>
  <si>
    <t>Super Galega World</t>
  </si>
  <si>
    <t>Rapha2k</t>
  </si>
  <si>
    <t>36828</t>
  </si>
  <si>
    <t>https://www.smwcentral.net/?a=details&amp;id=36828&amp;p=section</t>
  </si>
  <si>
    <t>https://dl.smwcentral.net/36828/Super%20Galega%20World%201.1.zip</t>
  </si>
  <si>
    <t>Super germdove World</t>
  </si>
  <si>
    <t>dobbsworks</t>
  </si>
  <si>
    <t>29056</t>
  </si>
  <si>
    <t>https://www.smwcentral.net/?a=details&amp;id=29056&amp;p=section</t>
  </si>
  <si>
    <t>https://dl.smwcentral.net/29056/Super%20germdove%20World.zip</t>
  </si>
  <si>
    <t>Super Ghetto World</t>
  </si>
  <si>
    <t>9664</t>
  </si>
  <si>
    <t>https://www.smwcentral.net/?a=details&amp;id=9664&amp;p=section</t>
  </si>
  <si>
    <t>https://dl.smwcentral.net/9664/Super_Ghettoworld_final.zip</t>
  </si>
  <si>
    <t>Super Glitchcat World</t>
  </si>
  <si>
    <t>15216</t>
  </si>
  <si>
    <t>https://www.smwcentral.net/?a=details&amp;id=15216&amp;p=section</t>
  </si>
  <si>
    <t>https://dl.smwcentral.net/15216/Super%20Glitchcat%20World.zip</t>
  </si>
  <si>
    <t>SUPER Glumper WORLD</t>
  </si>
  <si>
    <t>34189</t>
  </si>
  <si>
    <t>https://www.smwcentral.net/?a=details&amp;id=34189&amp;p=section</t>
  </si>
  <si>
    <t>https://dl.smwcentral.net/34189/glump.zip</t>
  </si>
  <si>
    <t>Super Godly Worl 69</t>
  </si>
  <si>
    <t>Godly</t>
  </si>
  <si>
    <t>23156</t>
  </si>
  <si>
    <t>https://www.smwcentral.net/?a=details&amp;id=23156&amp;p=section</t>
  </si>
  <si>
    <t>https://dl.smwcentral.net/23156/Super%20Godly%20Worl%2069.zip</t>
  </si>
  <si>
    <t>Super Goober World</t>
  </si>
  <si>
    <t>Gumby</t>
  </si>
  <si>
    <t>40585</t>
  </si>
  <si>
    <t>https://www.smwcentral.net/?a=details&amp;id=40585&amp;p=section</t>
  </si>
  <si>
    <t>https://dl.smwcentral.net/40585/SuperGooberWorld.zip</t>
  </si>
  <si>
    <t>Super Gracie World</t>
  </si>
  <si>
    <t>white_moth</t>
  </si>
  <si>
    <t>17395</t>
  </si>
  <si>
    <t>https://www.smwcentral.net/?a=details&amp;id=17395&amp;p=section</t>
  </si>
  <si>
    <t>https://dl.smwcentral.net/17395/Super%20Gracie%20World%20v1.3.bps.zip</t>
  </si>
  <si>
    <t>Super Hacked World</t>
  </si>
  <si>
    <t>videolegoboy123</t>
  </si>
  <si>
    <t>9964</t>
  </si>
  <si>
    <t>https://www.smwcentral.net/?a=details&amp;id=9964&amp;p=section</t>
  </si>
  <si>
    <t>https://dl.smwcentral.net/9964/Super%20Hacked%20World%20%28V1.1%29%20%5BDemo%20Release%201%5D.zip</t>
  </si>
  <si>
    <t>Super Hark Bros</t>
  </si>
  <si>
    <t>17304</t>
  </si>
  <si>
    <t>https://www.smwcentral.net/?a=details&amp;id=17304&amp;p=section</t>
  </si>
  <si>
    <t>https://dl.smwcentral.net/17304/Super%20Hark%20Bros%201.21.zip</t>
  </si>
  <si>
    <t>Super Hark Bros 2</t>
  </si>
  <si>
    <t>35698</t>
  </si>
  <si>
    <t>https://www.smwcentral.net/?a=details&amp;id=35698&amp;p=section</t>
  </si>
  <si>
    <t>https://dl.smwcentral.net/35698/Super%20Hark%20Bros%202.zip</t>
  </si>
  <si>
    <t>Super Herbihalt World</t>
  </si>
  <si>
    <t>19280</t>
  </si>
  <si>
    <t>https://www.smwcentral.net/?a=details&amp;id=19280&amp;p=section</t>
  </si>
  <si>
    <t>https://dl.smwcentral.net/19280/Super%20Herbihalt%20World.zip</t>
  </si>
  <si>
    <t>Super Herbihalt World 2</t>
  </si>
  <si>
    <t>19661</t>
  </si>
  <si>
    <t>https://www.smwcentral.net/?a=details&amp;id=19661&amp;p=section</t>
  </si>
  <si>
    <t>https://dl.smwcentral.net/19661/Super%20Herbihalt%20World%202.zip</t>
  </si>
  <si>
    <t>Super Herbihalt World 3</t>
  </si>
  <si>
    <t>21337</t>
  </si>
  <si>
    <t>https://www.smwcentral.net/?a=details&amp;id=21337&amp;p=section</t>
  </si>
  <si>
    <t>https://dl.smwcentral.net/21337/Super%20Herbihalt%20World%203%20%2820102019%29.zip</t>
  </si>
  <si>
    <t>Super Huh World</t>
  </si>
  <si>
    <t>34151</t>
  </si>
  <si>
    <t>https://www.smwcentral.net/?a=details&amp;id=34151&amp;p=section</t>
  </si>
  <si>
    <t>https://dl.smwcentral.net/34151/superHuhWorld.zip</t>
  </si>
  <si>
    <t>Super Husky World</t>
  </si>
  <si>
    <t>28570</t>
  </si>
  <si>
    <t>https://www.smwcentral.net/?a=details&amp;id=28570&amp;p=section</t>
  </si>
  <si>
    <t>https://dl.smwcentral.net/28570/Super_Husky_World_1.1.zip</t>
  </si>
  <si>
    <t>Super Husky World 2</t>
  </si>
  <si>
    <t>32933</t>
  </si>
  <si>
    <t>https://www.smwcentral.net/?a=details&amp;id=32933&amp;p=section</t>
  </si>
  <si>
    <t>https://dl.smwcentral.net/32933/Super_Husky_World2v1.2.zip</t>
  </si>
  <si>
    <t>Super I Will Make One Level a Day Until Doopu Publishes SHINE World</t>
  </si>
  <si>
    <t>39366</t>
  </si>
  <si>
    <t>https://www.smwcentral.net/?a=details&amp;id=39366&amp;p=section</t>
  </si>
  <si>
    <t>https://dl.smwcentral.net/39366/super-iwmoladudps-world_v0.0.6.zip</t>
  </si>
  <si>
    <t>Super Impressive World</t>
  </si>
  <si>
    <t>Jack Levin</t>
  </si>
  <si>
    <t>9881</t>
  </si>
  <si>
    <t>https://www.smwcentral.net/?a=details&amp;id=9881&amp;p=section</t>
  </si>
  <si>
    <t>https://dl.smwcentral.net/9881/Super%20impressive%20world.zip</t>
  </si>
  <si>
    <t>Super Insecure World</t>
  </si>
  <si>
    <t>34138</t>
  </si>
  <si>
    <t>https://www.smwcentral.net/?a=details&amp;id=34138&amp;p=section</t>
  </si>
  <si>
    <t>https://dl.smwcentral.net/34138/Super%20Insecure%20World.zip</t>
  </si>
  <si>
    <t>Super interdimensional crossroad world</t>
  </si>
  <si>
    <t>24299</t>
  </si>
  <si>
    <t>https://www.smwcentral.net/?a=details&amp;id=24299&amp;p=section</t>
  </si>
  <si>
    <t>https://dl.smwcentral.net/24299/crossroad.zip</t>
  </si>
  <si>
    <t>Super Irresponsible World</t>
  </si>
  <si>
    <t>28880</t>
  </si>
  <si>
    <t>https://www.smwcentral.net/?a=details&amp;id=28880&amp;p=section</t>
  </si>
  <si>
    <t>https://dl.smwcentral.net/28880/siw_1.1.zip</t>
  </si>
  <si>
    <t>Super IsCamden World</t>
  </si>
  <si>
    <t>fancypanda98</t>
  </si>
  <si>
    <t>14819</t>
  </si>
  <si>
    <t>https://www.smwcentral.net/?a=details&amp;id=14819&amp;p=section</t>
  </si>
  <si>
    <t>https://dl.smwcentral.net/14819/Super%20IsCamden%20World%20v%201.6.zip</t>
  </si>
  <si>
    <t>Super Isikoro Mario World</t>
  </si>
  <si>
    <t>Isikoro</t>
  </si>
  <si>
    <t>33988</t>
  </si>
  <si>
    <t>https://www.smwcentral.net/?a=details&amp;id=33988&amp;p=section</t>
  </si>
  <si>
    <t>https://dl.smwcentral.net/33988/IsikoroMario.zip</t>
  </si>
  <si>
    <t>Super IzToat World</t>
  </si>
  <si>
    <t>41099</t>
  </si>
  <si>
    <t>https://www.smwcentral.net/?a=details&amp;id=41099&amp;p=section</t>
  </si>
  <si>
    <t>https://dl.smwcentral.net/41099/IzToat%20World.zip</t>
  </si>
  <si>
    <t>Super Jars World</t>
  </si>
  <si>
    <t>Hwailaluta, JCSII, Mithrillionaire, SpaceGlam, Stucat, djEnby</t>
  </si>
  <si>
    <t>42097</t>
  </si>
  <si>
    <t>https://www.smwcentral.net/?a=details&amp;id=42097&amp;p=section</t>
  </si>
  <si>
    <t>https://dl.smwcentral.net/42097/Super%20Jars%20World.zip</t>
  </si>
  <si>
    <t>Super Joe Bros 3</t>
  </si>
  <si>
    <t>NBSpider, Resnov23, The Voipah, Wolfguy423</t>
  </si>
  <si>
    <t>35025</t>
  </si>
  <si>
    <t>https://www.smwcentral.net/?a=details&amp;id=35025&amp;p=section</t>
  </si>
  <si>
    <t>https://dl.smwcentral.net/35025/Super%20Joe%20Bros%203%20V1.1.zip</t>
  </si>
  <si>
    <t>Super Joe Bros.</t>
  </si>
  <si>
    <t>26882</t>
  </si>
  <si>
    <t>https://www.smwcentral.net/?a=details&amp;id=26882&amp;p=section</t>
  </si>
  <si>
    <t>https://dl.smwcentral.net/26882/Super%20Joe%20Bros%20V3.0.zip</t>
  </si>
  <si>
    <t>Super Joe Bros. 2</t>
  </si>
  <si>
    <t>31836</t>
  </si>
  <si>
    <t>https://www.smwcentral.net/?a=details&amp;id=31836&amp;p=section</t>
  </si>
  <si>
    <t>https://dl.smwcentral.net/31836/Joe%20Bros%202%20V1.5.zip</t>
  </si>
  <si>
    <t>Super Kaizo Nightmare</t>
  </si>
  <si>
    <t>39039</t>
  </si>
  <si>
    <t>https://www.smwcentral.net/?a=details&amp;id=39039&amp;p=section</t>
  </si>
  <si>
    <t>https://dl.smwcentral.net/39039/SKN.zip</t>
  </si>
  <si>
    <t>Super Kamek World</t>
  </si>
  <si>
    <t>Zoreo</t>
  </si>
  <si>
    <t>35498</t>
  </si>
  <si>
    <t>https://www.smwcentral.net/?a=details&amp;id=35498&amp;p=section</t>
  </si>
  <si>
    <t>https://dl.smwcentral.net/35498/Kamek%20World.zip</t>
  </si>
  <si>
    <t>Super Kekcroc World 2 - A Croc Throughout Time</t>
  </si>
  <si>
    <t>20773</t>
  </si>
  <si>
    <t>https://www.smwcentral.net/?a=details&amp;id=20773&amp;p=section</t>
  </si>
  <si>
    <t>https://dl.smwcentral.net/20773/Super%20Kekcroc%20World%202%20A%20Croc%20Throughout%20Time%20Minor%20Update2.zip</t>
  </si>
  <si>
    <t>Super Kekcroc World 3</t>
  </si>
  <si>
    <t>25202</t>
  </si>
  <si>
    <t>https://www.smwcentral.net/?a=details&amp;id=25202&amp;p=section</t>
  </si>
  <si>
    <t>https://dl.smwcentral.net/25202/Super%20Kekcroc%20World%203%20Ver%201.6.zip</t>
  </si>
  <si>
    <t>Super Kekcroc World: Kekcroc in Space</t>
  </si>
  <si>
    <t>17909</t>
  </si>
  <si>
    <t>https://www.smwcentral.net/?a=details&amp;id=17909&amp;p=section</t>
  </si>
  <si>
    <t>https://dl.smwcentral.net/17909/Super%20Kekcroc%20World%20Official%20Release.zip</t>
  </si>
  <si>
    <t>Super Kentucky Bros</t>
  </si>
  <si>
    <t>KBF</t>
  </si>
  <si>
    <t>19910</t>
  </si>
  <si>
    <t>https://www.smwcentral.net/?a=details&amp;id=19910&amp;p=section</t>
  </si>
  <si>
    <t>https://dl.smwcentral.net/19910/SKB1.1.zip</t>
  </si>
  <si>
    <t>Super Kilik World</t>
  </si>
  <si>
    <t>Kilik</t>
  </si>
  <si>
    <t>9989</t>
  </si>
  <si>
    <t>https://www.smwcentral.net/?a=details&amp;id=9989&amp;p=section</t>
  </si>
  <si>
    <t>https://dl.smwcentral.net/9989/Super%20Kilik%20World.zip</t>
  </si>
  <si>
    <t>Super Killer World</t>
  </si>
  <si>
    <t>16725</t>
  </si>
  <si>
    <t>https://www.smwcentral.net/?a=details&amp;id=16725&amp;p=section</t>
  </si>
  <si>
    <t>https://dl.smwcentral.net/16725/Super%20Killer%20World%201.3.zip</t>
  </si>
  <si>
    <t>Super King Jay World</t>
  </si>
  <si>
    <t>34039</t>
  </si>
  <si>
    <t>https://www.smwcentral.net/?a=details&amp;id=34039&amp;p=section</t>
  </si>
  <si>
    <t>https://dl.smwcentral.net/34039/SKJWv1.1.zip</t>
  </si>
  <si>
    <t>Super Kroeti Kaizo World</t>
  </si>
  <si>
    <t>Steffi4689</t>
  </si>
  <si>
    <t>28658</t>
  </si>
  <si>
    <t>https://www.smwcentral.net/?a=details&amp;id=28658&amp;p=section</t>
  </si>
  <si>
    <t>https://dl.smwcentral.net/28658/SuperKroetiKaizoWorld.zip</t>
  </si>
  <si>
    <t>Super Kuso World</t>
  </si>
  <si>
    <t>16700</t>
  </si>
  <si>
    <t>https://www.smwcentral.net/?a=details&amp;id=16700&amp;p=section</t>
  </si>
  <si>
    <t>https://dl.smwcentral.net/16700/Super%20Kuso%20World.zip</t>
  </si>
  <si>
    <t>Super LAME World</t>
  </si>
  <si>
    <t>39964</t>
  </si>
  <si>
    <t>https://www.smwcentral.net/?a=details&amp;id=39964&amp;p=section</t>
  </si>
  <si>
    <t>https://dl.smwcentral.net/39964/LAME%201.1.zip</t>
  </si>
  <si>
    <t>Super Lani World (Remastered)</t>
  </si>
  <si>
    <t>26877</t>
  </si>
  <si>
    <t>https://www.smwcentral.net/?a=details&amp;id=26877&amp;p=section</t>
  </si>
  <si>
    <t>https://dl.smwcentral.net/26877/Super%20Lani%20World.zip</t>
  </si>
  <si>
    <t>Super Lani World 2 (Remastered)</t>
  </si>
  <si>
    <t>27103</t>
  </si>
  <si>
    <t>https://www.smwcentral.net/?a=details&amp;id=27103&amp;p=section</t>
  </si>
  <si>
    <t>https://dl.smwcentral.net/27103/Super%20Lani%20World%202%20%28Remastered%29.zip</t>
  </si>
  <si>
    <t>Super Lani World 3</t>
  </si>
  <si>
    <t>38590</t>
  </si>
  <si>
    <t>https://www.smwcentral.net/?a=details&amp;id=38590&amp;p=section</t>
  </si>
  <si>
    <t>https://dl.smwcentral.net/38590/Super%20Lani%20World%203%20v1.1.zip</t>
  </si>
  <si>
    <t>Super Linkdead World</t>
  </si>
  <si>
    <t>12923</t>
  </si>
  <si>
    <t>https://www.smwcentral.net/?a=details&amp;id=12923&amp;p=section</t>
  </si>
  <si>
    <t>https://dl.smwcentral.net/12923/Super%20Linkdead%20World.zip</t>
  </si>
  <si>
    <t>Super Linkdeadx Dream</t>
  </si>
  <si>
    <t>40178</t>
  </si>
  <si>
    <t>https://www.smwcentral.net/?a=details&amp;id=40178&amp;p=section</t>
  </si>
  <si>
    <t>https://dl.smwcentral.net/40178/Super%20Linkdeadx%20Dream.zip</t>
  </si>
  <si>
    <t>Super Little Miss A.D.D. World</t>
  </si>
  <si>
    <t>AttentionDeficitDad</t>
  </si>
  <si>
    <t>32714</t>
  </si>
  <si>
    <t>https://www.smwcentral.net/?a=details&amp;id=32714&amp;p=section</t>
  </si>
  <si>
    <t>https://dl.smwcentral.net/32714/Super_Little_Miss_ADD_World_v1_0.zip</t>
  </si>
  <si>
    <t>Super Little Miss ADD World DEMO</t>
  </si>
  <si>
    <t>29719</t>
  </si>
  <si>
    <t>https://www.smwcentral.net/?a=details&amp;id=29719&amp;p=section</t>
  </si>
  <si>
    <t>https://dl.smwcentral.net/29719/Super%20Little%20Miss%20ADD%20World%20DEMO%20V1_0.zip</t>
  </si>
  <si>
    <t>Super Logic World 1</t>
  </si>
  <si>
    <t>AKKA</t>
  </si>
  <si>
    <t>34469</t>
  </si>
  <si>
    <t>https://www.smwcentral.net/?a=details&amp;id=34469&amp;p=section</t>
  </si>
  <si>
    <t>https://dl.smwcentral.net/34469/Super%20Logic%20World%201.zip</t>
  </si>
  <si>
    <t>Super LouisDoucet World</t>
  </si>
  <si>
    <t>30838</t>
  </si>
  <si>
    <t>https://www.smwcentral.net/?a=details&amp;id=30838&amp;p=section</t>
  </si>
  <si>
    <t>https://dl.smwcentral.net/30838/LOUISFINALE.zip</t>
  </si>
  <si>
    <t>Super LouisDoucet World 2</t>
  </si>
  <si>
    <t>33563</t>
  </si>
  <si>
    <t>https://www.smwcentral.net/?a=details&amp;id=33563&amp;p=section</t>
  </si>
  <si>
    <t>https://dl.smwcentral.net/33563/Super%20LouisDoucet%20World%202%20%28v1.1%29.zip</t>
  </si>
  <si>
    <t>Super LSG World</t>
  </si>
  <si>
    <t>26130</t>
  </si>
  <si>
    <t>https://www.smwcentral.net/?a=details&amp;id=26130&amp;p=section</t>
  </si>
  <si>
    <t>https://dl.smwcentral.net/26130/Super%20LSG%20World%201.2.zip</t>
  </si>
  <si>
    <t>Super LSG World (B-Side)</t>
  </si>
  <si>
    <t>33322</t>
  </si>
  <si>
    <t>https://www.smwcentral.net/?a=details&amp;id=33322&amp;p=section</t>
  </si>
  <si>
    <t>https://dl.smwcentral.net/33322/LSGB-Side1.03.zip</t>
  </si>
  <si>
    <t>Super Luigi Arcade</t>
  </si>
  <si>
    <t>15639</t>
  </si>
  <si>
    <t>https://www.smwcentral.net/?a=details&amp;id=15639&amp;p=section</t>
  </si>
  <si>
    <t>https://dl.smwcentral.net/15639/SLA.zip</t>
  </si>
  <si>
    <t>Super Luigi Bros: Mystery Of the 7 Jewels</t>
  </si>
  <si>
    <t>5594</t>
  </si>
  <si>
    <t>https://www.smwcentral.net/?a=details&amp;id=5594&amp;p=section</t>
  </si>
  <si>
    <t>https://dl.smwcentral.net/5594/Super%20Luigi%20Bros%20m7j%20demo2%20%28fixed%29.zip</t>
  </si>
  <si>
    <t>Super Luigi Land</t>
  </si>
  <si>
    <t>21515</t>
  </si>
  <si>
    <t>https://www.smwcentral.net/?a=details&amp;id=21515&amp;p=section</t>
  </si>
  <si>
    <t>https://dl.smwcentral.net/21515/Super%20Luigi%20Land%20Rev.%2011-20-2019.zip</t>
  </si>
  <si>
    <t>Super Luigi Land 2</t>
  </si>
  <si>
    <t>41555</t>
  </si>
  <si>
    <t>https://www.smwcentral.net/?a=details&amp;id=41555&amp;p=section</t>
  </si>
  <si>
    <t>https://dl.smwcentral.net/41555/SLL2%20NewIntro.zip</t>
  </si>
  <si>
    <t>Super Luigi RPG World</t>
  </si>
  <si>
    <t>Luigi</t>
  </si>
  <si>
    <t>9753</t>
  </si>
  <si>
    <t>https://www.smwcentral.net/?a=details&amp;id=9753&amp;p=section</t>
  </si>
  <si>
    <t>https://dl.smwcentral.net/9753/SLRPGW%20%28Demo%201%29.zip</t>
  </si>
  <si>
    <t>Super Luigi World 0.5</t>
  </si>
  <si>
    <t>Dark Prince, Gamma V, The Cursed Goomba, h.carrell</t>
  </si>
  <si>
    <t>35747</t>
  </si>
  <si>
    <t>https://www.smwcentral.net/?a=details&amp;id=35747&amp;p=section</t>
  </si>
  <si>
    <t>https://dl.smwcentral.net/35747/slw0.5_w2_demo%20v0.5.zip</t>
  </si>
  <si>
    <t>Super Luigi World DELUXE</t>
  </si>
  <si>
    <t>SMW Miguelix</t>
  </si>
  <si>
    <t>40430</t>
  </si>
  <si>
    <t>https://www.smwcentral.net/?a=details&amp;id=40430&amp;p=section</t>
  </si>
  <si>
    <t>https://dl.smwcentral.net/40430/SuperLuigiWorldDeluxe.zip</t>
  </si>
  <si>
    <t>Super Luigi World: Luigi's Fantastic Dream</t>
  </si>
  <si>
    <t>Magi</t>
  </si>
  <si>
    <t>10049</t>
  </si>
  <si>
    <t>https://www.smwcentral.net/?a=details&amp;id=10049&amp;p=section</t>
  </si>
  <si>
    <t>https://dl.smwcentral.net/10049/SLWLFD%20demo.zip</t>
  </si>
  <si>
    <t>Super Luigi World: Luigi's Quest!</t>
  </si>
  <si>
    <t>Yashum</t>
  </si>
  <si>
    <t>9717</t>
  </si>
  <si>
    <t>https://www.smwcentral.net/?a=details&amp;id=9717&amp;p=section</t>
  </si>
  <si>
    <t>https://dl.smwcentral.net/9717/Super%20Luigi%20World%20-%20Luigi%27s%20Quest%21.zip</t>
  </si>
  <si>
    <t>Super Luigi: King Koopa and the PU</t>
  </si>
  <si>
    <t>edgar</t>
  </si>
  <si>
    <t>29309</t>
  </si>
  <si>
    <t>https://www.smwcentral.net/?a=details&amp;id=29309&amp;p=section</t>
  </si>
  <si>
    <t>https://dl.smwcentral.net/29309/Super%20Luigi%20King%20Koopa%20and%20the%20PU.zip</t>
  </si>
  <si>
    <t>Super Luigi: The Regular Quest</t>
  </si>
  <si>
    <t>Blittle McNilsen</t>
  </si>
  <si>
    <t>12758</t>
  </si>
  <si>
    <t>https://www.smwcentral.net/?a=details&amp;id=12758&amp;p=section</t>
  </si>
  <si>
    <t>https://dl.smwcentral.net/12758/Super%20Luigi%20-%20The%20Regular%20Quest%20DEMO%201.2.zip</t>
  </si>
  <si>
    <t>Super Machok World</t>
  </si>
  <si>
    <t>Kurukururin</t>
  </si>
  <si>
    <t>17936</t>
  </si>
  <si>
    <t>https://www.smwcentral.net/?a=details&amp;id=17936&amp;p=section</t>
  </si>
  <si>
    <t>https://dl.smwcentral.net/17936/Super_Machok_World_1.0.zip</t>
  </si>
  <si>
    <t>Super Macron World</t>
  </si>
  <si>
    <t>39777</t>
  </si>
  <si>
    <t>https://www.smwcentral.net/?a=details&amp;id=39777&amp;p=section</t>
  </si>
  <si>
    <t>https://dl.smwcentral.net/39777/Super%20Macron%20World%20%28Fixed%29.zip</t>
  </si>
  <si>
    <t>Super Macron World: Ultra Lite</t>
  </si>
  <si>
    <t>40742</t>
  </si>
  <si>
    <t>https://www.smwcentral.net/?a=details&amp;id=40742&amp;p=section</t>
  </si>
  <si>
    <t>https://dl.smwcentral.net/40742/Super%20Macron%20World%20Ultra%20Lite.zip</t>
  </si>
  <si>
    <t>Super MADE World</t>
  </si>
  <si>
    <t>detroitkoza</t>
  </si>
  <si>
    <t>42519</t>
  </si>
  <si>
    <t>https://www.smwcentral.net/?a=details&amp;id=42519&amp;p=section</t>
  </si>
  <si>
    <t>https://dl.smwcentral.net/42519/Super%20MADE%20World.zip</t>
  </si>
  <si>
    <t>Super Mallow World</t>
  </si>
  <si>
    <t>Deakula, FerpyMcFrosting, Flabort, FridayFables, FuryfulFawful, IanBoy, Joe Smo, MarkAlarm, Uzerro, frost_heart</t>
  </si>
  <si>
    <t>17104</t>
  </si>
  <si>
    <t>https://www.smwcentral.net/?a=details&amp;id=17104&amp;p=section</t>
  </si>
  <si>
    <t>https://dl.smwcentral.net/17104/SuperMallowWorld.zip</t>
  </si>
  <si>
    <t>Super Mallow World - Master Quest</t>
  </si>
  <si>
    <t>16893</t>
  </si>
  <si>
    <t>https://www.smwcentral.net/?a=details&amp;id=16893&amp;p=section</t>
  </si>
  <si>
    <t>https://dl.smwcentral.net/16893/Super_Mallow_World_Master_Quest.zip</t>
  </si>
  <si>
    <t>Super Maple World</t>
  </si>
  <si>
    <t>Letsmangle</t>
  </si>
  <si>
    <t>21953</t>
  </si>
  <si>
    <t>https://www.smwcentral.net/?a=details&amp;id=21953&amp;p=section</t>
  </si>
  <si>
    <t>https://dl.smwcentral.net/21953/Super%20Maple%20World%20v1.1.zip</t>
  </si>
  <si>
    <t>Super Marina World</t>
  </si>
  <si>
    <t>kona</t>
  </si>
  <si>
    <t>21832</t>
  </si>
  <si>
    <t>https://www.smwcentral.net/?a=details&amp;id=21832&amp;p=section</t>
  </si>
  <si>
    <t>https://dl.smwcentral.net/21832/SuperMarinaWorldv2.2.zip</t>
  </si>
  <si>
    <t>Super Mario (Tentative Title)</t>
  </si>
  <si>
    <t>LunarDrake</t>
  </si>
  <si>
    <t>5150</t>
  </si>
  <si>
    <t>https://www.smwcentral.net/?a=details&amp;id=5150&amp;p=section</t>
  </si>
  <si>
    <t>https://dl.smwcentral.net/5150/supermario.zip</t>
  </si>
  <si>
    <t>Super Mario - Bowser's Secret Weapon</t>
  </si>
  <si>
    <t>Zerio</t>
  </si>
  <si>
    <t>9910</t>
  </si>
  <si>
    <t>https://www.smwcentral.net/?a=details&amp;id=9910&amp;p=section</t>
  </si>
  <si>
    <t>https://dl.smwcentral.net/9910/Super%20Mario%20-%20Bowser%27s%20Secret%20Weapon%20Demo%201%20By%20Zerio.zip</t>
  </si>
  <si>
    <t>Super Mario - Modo Competitivo (Competitive Mode)</t>
  </si>
  <si>
    <t>Leozoppi</t>
  </si>
  <si>
    <t>27968</t>
  </si>
  <si>
    <t>https://www.smwcentral.net/?a=details&amp;id=27968&amp;p=section</t>
  </si>
  <si>
    <t>https://dl.smwcentral.net/27968/Super%20Mario%20-%20Modo%20Competitivo.zip</t>
  </si>
  <si>
    <t>Super Mario - The Ultimate Challenge</t>
  </si>
  <si>
    <t>UltimateMeh</t>
  </si>
  <si>
    <t>10053</t>
  </si>
  <si>
    <t>https://www.smwcentral.net/?a=details&amp;id=10053&amp;p=section</t>
  </si>
  <si>
    <t>https://dl.smwcentral.net/10053/Super%20Mario%20-%20The%20Ultimate%20Challenge%20-%20Demo.zip</t>
  </si>
  <si>
    <t>Super Mario 16: The Fall of Yoshi</t>
  </si>
  <si>
    <t>Alex No</t>
  </si>
  <si>
    <t>39344</t>
  </si>
  <si>
    <t>https://www.smwcentral.net/?a=details&amp;id=39344&amp;p=section</t>
  </si>
  <si>
    <t>https://dl.smwcentral.net/39344/Super%20Mario%2016%20The%20Fall%20of%20Yoshi%20v1.54.zip</t>
  </si>
  <si>
    <t>Super Mario 2D Land</t>
  </si>
  <si>
    <t>6068</t>
  </si>
  <si>
    <t>https://www.smwcentral.net/?a=details&amp;id=6068&amp;p=section</t>
  </si>
  <si>
    <t>https://dl.smwcentral.net/6068/Super%20Mario%202D%20Land%20fix%20Desember%202013.zip</t>
  </si>
  <si>
    <t>Super Mario 32 Levels</t>
  </si>
  <si>
    <t>23339</t>
  </si>
  <si>
    <t>https://www.smwcentral.net/?a=details&amp;id=23339&amp;p=section</t>
  </si>
  <si>
    <t>https://dl.smwcentral.net/23339/Super%20Mario%2032%20Levels.zip</t>
  </si>
  <si>
    <t>Super Mario 32 Levels (R4.0)</t>
  </si>
  <si>
    <t>24103</t>
  </si>
  <si>
    <t>https://www.smwcentral.net/?a=details&amp;id=24103&amp;p=section</t>
  </si>
  <si>
    <t>https://dl.smwcentral.net/24103/Super%20Mario%2032%20Levels%20%28R4.0%29.zip</t>
  </si>
  <si>
    <t>Super Mario 64/4</t>
  </si>
  <si>
    <t>Jagfillit</t>
  </si>
  <si>
    <t>5267</t>
  </si>
  <si>
    <t>https://www.smwcentral.net/?a=details&amp;id=5267&amp;p=section</t>
  </si>
  <si>
    <t>https://dl.smwcentral.net/5267/Mario64over4.zip</t>
  </si>
  <si>
    <t>Super Mario 96: Adventures in Parallel Land</t>
  </si>
  <si>
    <t>6070</t>
  </si>
  <si>
    <t>https://www.smwcentral.net/?a=details&amp;id=6070&amp;p=section</t>
  </si>
  <si>
    <t>https://dl.smwcentral.net/6070/sm96.zip</t>
  </si>
  <si>
    <t>Super Mario Adventure [SMWC #5248]</t>
  </si>
  <si>
    <t>Super Mario Adventure</t>
  </si>
  <si>
    <t>BlackMageMario</t>
  </si>
  <si>
    <t>5248</t>
  </si>
  <si>
    <t>https://www.smwcentral.net/?a=details&amp;id=5248&amp;p=section</t>
  </si>
  <si>
    <t>https://dl.smwcentral.net/5248/SMA%20Demo%201.zip</t>
  </si>
  <si>
    <t>Super Mario Adventure [SMWC #10103]</t>
  </si>
  <si>
    <t>JVyrn</t>
  </si>
  <si>
    <t>10103</t>
  </si>
  <si>
    <t>https://www.smwcentral.net/?a=details&amp;id=10103&amp;p=section</t>
  </si>
  <si>
    <t>https://dl.smwcentral.net/10103/Super%20Mario%20Adventure%20C3%20Fall%202010%20v1.2.zip</t>
  </si>
  <si>
    <t>Super Mario Adventures</t>
  </si>
  <si>
    <t>xAsianjay</t>
  </si>
  <si>
    <t>6207</t>
  </si>
  <si>
    <t>https://www.smwcentral.net/?a=details&amp;id=6207&amp;p=section</t>
  </si>
  <si>
    <t>https://dl.smwcentral.net/6207/Mario%27s%20adventure.zip</t>
  </si>
  <si>
    <t>Super Mario and Luigi World: Brotherhood</t>
  </si>
  <si>
    <t>42669</t>
  </si>
  <si>
    <t>https://www.smwcentral.net/?a=details&amp;id=42669&amp;p=section</t>
  </si>
  <si>
    <t>https://dl.smwcentral.net/42669/brotherhood.zip</t>
  </si>
  <si>
    <t>Super Mario And Super Alli World</t>
  </si>
  <si>
    <t>RealMarioGamer</t>
  </si>
  <si>
    <t>9702</t>
  </si>
  <si>
    <t>https://www.smwcentral.net/?a=details&amp;id=9702&amp;p=section</t>
  </si>
  <si>
    <t>https://dl.smwcentral.net/9702/Super%20Mario%20and%20Super%20Alli%20World.zip</t>
  </si>
  <si>
    <t>Super Mario and the Cretaceous Castle</t>
  </si>
  <si>
    <t>TheStellarstrix</t>
  </si>
  <si>
    <t>20201</t>
  </si>
  <si>
    <t>https://www.smwcentral.net/?a=details&amp;id=20201&amp;p=section</t>
  </si>
  <si>
    <t>https://dl.smwcentral.net/20201/Super%20Mario%20and%20the%20Cretaceous%20Castle.zip</t>
  </si>
  <si>
    <t>Super Mario and the Missing Mushroom Coins</t>
  </si>
  <si>
    <t>5034</t>
  </si>
  <si>
    <t>https://www.smwcentral.net/?a=details&amp;id=5034&amp;p=section</t>
  </si>
  <si>
    <t>https://dl.smwcentral.net/5034/Super%20Mario%20and%20the%20missing%20Mushroom%20Coins%20Demo%201.zip</t>
  </si>
  <si>
    <t>Super Mario and the Undersea Lab</t>
  </si>
  <si>
    <t>Yonowaaru</t>
  </si>
  <si>
    <t>10130</t>
  </si>
  <si>
    <t>https://www.smwcentral.net/?a=details&amp;id=10130&amp;p=section</t>
  </si>
  <si>
    <t>https://dl.smwcentral.net/10130/Super%20Mario%20and%20the%20Underwater%20Lab.zip</t>
  </si>
  <si>
    <t>Super Mario Another Retro</t>
  </si>
  <si>
    <t>22012</t>
  </si>
  <si>
    <t>https://www.smwcentral.net/?a=details&amp;id=22012&amp;p=section</t>
  </si>
  <si>
    <t>https://dl.smwcentral.net/22012/Super%20Mario%20Another%20Retro%20%28Full-version%29.zip</t>
  </si>
  <si>
    <t>Super Mario Another Retro 2 (Demo)</t>
  </si>
  <si>
    <t>41602</t>
  </si>
  <si>
    <t>https://www.smwcentral.net/?a=details&amp;id=41602&amp;p=section</t>
  </si>
  <si>
    <t>https://dl.smwcentral.net/41602/SMAR2%20%28Demo%29.zip</t>
  </si>
  <si>
    <t>Super Mario Arbitrium - Demo 2</t>
  </si>
  <si>
    <t>Evernn</t>
  </si>
  <si>
    <t>34256</t>
  </si>
  <si>
    <t>https://www.smwcentral.net/?a=details&amp;id=34256&amp;p=section</t>
  </si>
  <si>
    <t>https://dl.smwcentral.net/34256/Super_Mario_Arbitrium_Demo_2.zip</t>
  </si>
  <si>
    <t>Super Mario Arcade</t>
  </si>
  <si>
    <t>15456</t>
  </si>
  <si>
    <t>https://www.smwcentral.net/?a=details&amp;id=15456&amp;p=section</t>
  </si>
  <si>
    <t>https://dl.smwcentral.net/15456/SMAv1.6.zip</t>
  </si>
  <si>
    <t>Super Mario Archipelago</t>
  </si>
  <si>
    <t>PROMETHEUS</t>
  </si>
  <si>
    <t>21493</t>
  </si>
  <si>
    <t>https://www.smwcentral.net/?a=details&amp;id=21493&amp;p=section</t>
  </si>
  <si>
    <t>https://dl.smwcentral.net/21493/Super%20Mario%20Archipelago.zip</t>
  </si>
  <si>
    <t>Super Mario Aways - Redrawn</t>
  </si>
  <si>
    <t>17086</t>
  </si>
  <si>
    <t>https://www.smwcentral.net/?a=details&amp;id=17086&amp;p=section</t>
  </si>
  <si>
    <t>https://dl.smwcentral.net/17086/Super%20Mario%20Aways%20-%20Redrawn.zip</t>
  </si>
  <si>
    <t>Super Mario Balloon World</t>
  </si>
  <si>
    <t>25840</t>
  </si>
  <si>
    <t>https://www.smwcentral.net/?a=details&amp;id=25840&amp;p=section</t>
  </si>
  <si>
    <t>https://dl.smwcentral.net/25840/SuperMarioBalloonWorld.zip</t>
  </si>
  <si>
    <t>Super Mario Blooper World</t>
  </si>
  <si>
    <t>Megaman765</t>
  </si>
  <si>
    <t>9692</t>
  </si>
  <si>
    <t>https://www.smwcentral.net/?a=details&amp;id=9692&amp;p=section</t>
  </si>
  <si>
    <t>https://dl.smwcentral.net/9692/Hack.zip</t>
  </si>
  <si>
    <t>Super Mario Brain Dead</t>
  </si>
  <si>
    <t>Rock</t>
  </si>
  <si>
    <t>9830</t>
  </si>
  <si>
    <t>https://www.smwcentral.net/?a=details&amp;id=9830&amp;p=section</t>
  </si>
  <si>
    <t>https://dl.smwcentral.net/9830/Brain%20Dead.zip</t>
  </si>
  <si>
    <t>Super Mario Broken Anomaly: Prototype version</t>
  </si>
  <si>
    <t>5333</t>
  </si>
  <si>
    <t>https://www.smwcentral.net/?a=details&amp;id=5333&amp;p=section</t>
  </si>
  <si>
    <t>https://dl.smwcentral.net/5333/Super%20Mario%20Broken%20Anomaly.zip</t>
  </si>
  <si>
    <t>Super Mario Bros - Merry Mountain Christmas Adventure</t>
  </si>
  <si>
    <t>Bensalot, Nowieso</t>
  </si>
  <si>
    <t>35786</t>
  </si>
  <si>
    <t>https://www.smwcentral.net/?a=details&amp;id=35786&amp;p=section</t>
  </si>
  <si>
    <t>https://dl.smwcentral.net/35786/Super%20Mario%20Bros%20-%20Merry%20Moutaint%20Christmas%20Adventure%20-%20SMW%20Christmas%20Edition%20V3.2.zip</t>
  </si>
  <si>
    <t>Super Mario Bros 2 Dream Courses</t>
  </si>
  <si>
    <t>5400</t>
  </si>
  <si>
    <t>https://www.smwcentral.net/?a=details&amp;id=5400&amp;p=section</t>
  </si>
  <si>
    <t>https://dl.smwcentral.net/5400/Super%20Mario%20Bros%202%20Dream%20Courses.zip</t>
  </si>
  <si>
    <t>Super Mario Bros 2: Mega Mario X</t>
  </si>
  <si>
    <t>17554</t>
  </si>
  <si>
    <t>https://www.smwcentral.net/?a=details&amp;id=17554&amp;p=section</t>
  </si>
  <si>
    <t>https://dl.smwcentral.net/17554/Super%20Mario%20Bros%202%20Mega%20Mario%20X%20version%201.2.zip</t>
  </si>
  <si>
    <t>Super Mario Bros 3 as Dinosaur Land</t>
  </si>
  <si>
    <t>Fento34</t>
  </si>
  <si>
    <t>42366</t>
  </si>
  <si>
    <t>https://www.smwcentral.net/?a=details&amp;id=42366&amp;p=section</t>
  </si>
  <si>
    <t>https://dl.smwcentral.net/42366/SMB3%20as%20Dinosaur%20Land%20v3.4.zip</t>
  </si>
  <si>
    <t>Super Mario Bros. - The Castle</t>
  </si>
  <si>
    <t>Lightvayne</t>
  </si>
  <si>
    <t>9696</t>
  </si>
  <si>
    <t>https://www.smwcentral.net/?a=details&amp;id=9696&amp;p=section</t>
  </si>
  <si>
    <t>https://dl.smwcentral.net/9696/smbthecastle.zip</t>
  </si>
  <si>
    <t>Super Mario Bros. - The Key Of Nightmares</t>
  </si>
  <si>
    <t>9749</t>
  </si>
  <si>
    <t>https://www.smwcentral.net/?a=details&amp;id=9749&amp;p=section</t>
  </si>
  <si>
    <t>https://dl.smwcentral.net/9749/Super%20Mario%20Bros.%20-%20The%20Key%20Of%20Nightmares.zip</t>
  </si>
  <si>
    <t>Super Mario Bros. - The Lost Mario Quest</t>
  </si>
  <si>
    <t>37334</t>
  </si>
  <si>
    <t>https://www.smwcentral.net/?a=details&amp;id=37334&amp;p=section</t>
  </si>
  <si>
    <t>https://dl.smwcentral.net/37334/SMBTLMQ%20v2.2.zip</t>
  </si>
  <si>
    <t>Super Mario Bros. - The Seven Wands</t>
  </si>
  <si>
    <t>Dark Bob-Omb</t>
  </si>
  <si>
    <t>9762</t>
  </si>
  <si>
    <t>https://www.smwcentral.net/?a=details&amp;id=9762&amp;p=section</t>
  </si>
  <si>
    <t>https://dl.smwcentral.net/9762/Super%20Mario%20Bros.%20-%20The%20Seven%20Wands.zip</t>
  </si>
  <si>
    <t>Super Mario Bros. 1X</t>
  </si>
  <si>
    <t>Koyuki</t>
  </si>
  <si>
    <t>18086</t>
  </si>
  <si>
    <t>https://www.smwcentral.net/?a=details&amp;id=18086&amp;p=section</t>
  </si>
  <si>
    <t>https://dl.smwcentral.net/18086/SMB1X%20v1.6.zip</t>
  </si>
  <si>
    <t>Super Mario Bros. 2 DX</t>
  </si>
  <si>
    <t>SSM</t>
  </si>
  <si>
    <t>9682</t>
  </si>
  <si>
    <t>https://www.smwcentral.net/?a=details&amp;id=9682&amp;p=section</t>
  </si>
  <si>
    <t>https://dl.smwcentral.net/9682/Super%20Mario%20Bros.%202%20DX.zip</t>
  </si>
  <si>
    <t>Super Mario Bros. 3 Redrawn</t>
  </si>
  <si>
    <t>9670</t>
  </si>
  <si>
    <t>https://www.smwcentral.net/?a=details&amp;id=9670&amp;p=section</t>
  </si>
  <si>
    <t>https://dl.smwcentral.net/9670/SMB3r.zip</t>
  </si>
  <si>
    <t>Super Mario Bros. 3 X</t>
  </si>
  <si>
    <t>6764</t>
  </si>
  <si>
    <t>https://www.smwcentral.net/?a=details&amp;id=6764&amp;p=section</t>
  </si>
  <si>
    <t>https://dl.smwcentral.net/6764/SMB3X%20Final%202.6.zip</t>
  </si>
  <si>
    <t>Super Mario Bros. 3: Golden</t>
  </si>
  <si>
    <t>9786</t>
  </si>
  <si>
    <t>https://www.smwcentral.net/?a=details&amp;id=9786&amp;p=section</t>
  </si>
  <si>
    <t>https://dl.smwcentral.net/9786/smb3.zip</t>
  </si>
  <si>
    <t>Super Mario Bros. 3: The Secret Place</t>
  </si>
  <si>
    <t>Hinalyte</t>
  </si>
  <si>
    <t>6195</t>
  </si>
  <si>
    <t>https://www.smwcentral.net/?a=details&amp;id=6195&amp;p=section</t>
  </si>
  <si>
    <t>https://dl.smwcentral.net/6195/SMB3TSP%200.5.zip</t>
  </si>
  <si>
    <t>Super Mario Bros. 4 - The Mystery Of The Five Stones</t>
  </si>
  <si>
    <t>10047</t>
  </si>
  <si>
    <t>https://www.smwcentral.net/?a=details&amp;id=10047&amp;p=section</t>
  </si>
  <si>
    <t>https://dl.smwcentral.net/10047/smb4.zip.zip</t>
  </si>
  <si>
    <t>Super Mario Bros. 4: Super Mario World | Mario and Luigi's Return to The Plains</t>
  </si>
  <si>
    <t>MomentBruh</t>
  </si>
  <si>
    <t>31151</t>
  </si>
  <si>
    <t>https://www.smwcentral.net/?a=details&amp;id=31151&amp;p=section</t>
  </si>
  <si>
    <t>https://dl.smwcentral.net/31151/hac.zip</t>
  </si>
  <si>
    <t>Super Mario Bros. 5 Reborn</t>
  </si>
  <si>
    <t>10171</t>
  </si>
  <si>
    <t>https://www.smwcentral.net/?a=details&amp;id=10171&amp;p=section</t>
  </si>
  <si>
    <t>https://dl.smwcentral.net/10171/SMB5Rv5.zip</t>
  </si>
  <si>
    <t>Super Mario Bros. Advance 2 : Super Mario Bros. 3</t>
  </si>
  <si>
    <t>25236</t>
  </si>
  <si>
    <t>https://www.smwcentral.net/?a=details&amp;id=25236&amp;p=section</t>
  </si>
  <si>
    <t>https://dl.smwcentral.net/25236/SMBA2%20V1.0.zip</t>
  </si>
  <si>
    <t>Super Mario Bros. Chaos</t>
  </si>
  <si>
    <t>5151</t>
  </si>
  <si>
    <t>https://www.smwcentral.net/?a=details&amp;id=5151&amp;p=section</t>
  </si>
  <si>
    <t>https://dl.smwcentral.net/5151/SMB%20Chaos%20Demo.zip</t>
  </si>
  <si>
    <t>Super Mario Bros. Easter Adventure</t>
  </si>
  <si>
    <t>9894</t>
  </si>
  <si>
    <t>https://www.smwcentral.net/?a=details&amp;id=9894&amp;p=section</t>
  </si>
  <si>
    <t>https://dl.smwcentral.net/9894/Easter.zip</t>
  </si>
  <si>
    <t>Super Mario Bros. Enhanced</t>
  </si>
  <si>
    <t>Pac</t>
  </si>
  <si>
    <t>10223</t>
  </si>
  <si>
    <t>https://www.smwcentral.net/?a=details&amp;id=10223&amp;p=section</t>
  </si>
  <si>
    <t>https://dl.smwcentral.net/10223/smbe.zip</t>
  </si>
  <si>
    <t>Super Mario Bros. For Lost Players</t>
  </si>
  <si>
    <t>Adam, Truxton, beasteye89, lolyoshi, rextep</t>
  </si>
  <si>
    <t>29052</t>
  </si>
  <si>
    <t>https://www.smwcentral.net/?a=details&amp;id=29052&amp;p=section</t>
  </si>
  <si>
    <t>https://dl.smwcentral.net/29052/JAM_ALERT.zip</t>
  </si>
  <si>
    <t>Super Mario Bros. Peach's Adventure</t>
  </si>
  <si>
    <t>Rosicom</t>
  </si>
  <si>
    <t>25738</t>
  </si>
  <si>
    <t>https://www.smwcentral.net/?a=details&amp;id=25738&amp;p=section</t>
  </si>
  <si>
    <t>https://dl.smwcentral.net/25738/Super%20Mario%20Bros.%20Peach%27s%20Adventure.zip</t>
  </si>
  <si>
    <t>Super Mario Bros. Remix</t>
  </si>
  <si>
    <t>Phantom Kid</t>
  </si>
  <si>
    <t>10036</t>
  </si>
  <si>
    <t>https://www.smwcentral.net/?a=details&amp;id=10036&amp;p=section</t>
  </si>
  <si>
    <t>https://dl.smwcentral.net/10036/Super%20Mario%20Bros.%20Remix.zip</t>
  </si>
  <si>
    <t>Super Mario Bros. The Hunt For The Magical Key</t>
  </si>
  <si>
    <t>9535</t>
  </si>
  <si>
    <t>https://www.smwcentral.net/?a=details&amp;id=9535&amp;p=section</t>
  </si>
  <si>
    <t>https://dl.smwcentral.net/9535/Super%20Mario%20Bros.%20The%20Hunt%20For%20The%20Magical%20Key.zip</t>
  </si>
  <si>
    <t>Super Mario Bros. The Invaders of Mushroom Kingdom</t>
  </si>
  <si>
    <t>11063</t>
  </si>
  <si>
    <t>https://www.smwcentral.net/?a=details&amp;id=11063&amp;p=section</t>
  </si>
  <si>
    <t>https://dl.smwcentral.net/11063/Super%20Mario%20Bros.%20The%20Invaders%20of%20Mushroom%20Kingdom%201.22.zip</t>
  </si>
  <si>
    <t>Super Mario Bros. The Search for Bowser</t>
  </si>
  <si>
    <t>10095</t>
  </si>
  <si>
    <t>https://www.smwcentral.net/?a=details&amp;id=10095&amp;p=section</t>
  </si>
  <si>
    <t>https://dl.smwcentral.net/10095/Super%20Mario%20Bros.%20the%20search%20for%20bowser%20demo%201.zip</t>
  </si>
  <si>
    <t>Super Mario Bros.: Peach's Challenge</t>
  </si>
  <si>
    <t>9793</t>
  </si>
  <si>
    <t>https://www.smwcentral.net/?a=details&amp;id=9793&amp;p=section</t>
  </si>
  <si>
    <t>https://dl.smwcentral.net/9793/SMB%20PC.zip</t>
  </si>
  <si>
    <t>Super Mario Bros.: The Last Showdown</t>
  </si>
  <si>
    <t>9729</t>
  </si>
  <si>
    <t>https://www.smwcentral.net/?a=details&amp;id=9729&amp;p=section</t>
  </si>
  <si>
    <t>https://dl.smwcentral.net/9729/Super%20Mario%20Bros.%20-%20The%20Last%20Showdown.zip</t>
  </si>
  <si>
    <t>Super Mario Bros.: The Lost Levels 2</t>
  </si>
  <si>
    <t>Pete3k</t>
  </si>
  <si>
    <t>10156</t>
  </si>
  <si>
    <t>https://www.smwcentral.net/?a=details&amp;id=10156&amp;p=section</t>
  </si>
  <si>
    <t>https://dl.smwcentral.net/10156/Lost%20Levels%202.zip</t>
  </si>
  <si>
    <t>Super Mario Bros.: The Minus World</t>
  </si>
  <si>
    <t>10139</t>
  </si>
  <si>
    <t>https://www.smwcentral.net/?a=details&amp;id=10139&amp;p=section</t>
  </si>
  <si>
    <t>https://dl.smwcentral.net/10139/SMB-TMW0.1.zip</t>
  </si>
  <si>
    <t>Super Mario Bros: Bowser Chaos</t>
  </si>
  <si>
    <t>5452</t>
  </si>
  <si>
    <t>https://www.smwcentral.net/?a=details&amp;id=5452&amp;p=section</t>
  </si>
  <si>
    <t>https://dl.smwcentral.net/5452/smbbc%20%28demo4%29.zip</t>
  </si>
  <si>
    <t>Super Mario Bros: The Castle 2</t>
  </si>
  <si>
    <t>9712</t>
  </si>
  <si>
    <t>https://www.smwcentral.net/?a=details&amp;id=9712&amp;p=section</t>
  </si>
  <si>
    <t>https://dl.smwcentral.net/9712/SMBTheCastle2Demo.zip</t>
  </si>
  <si>
    <t>Super Mario Bros: The Early Years</t>
  </si>
  <si>
    <t>15943</t>
  </si>
  <si>
    <t>https://www.smwcentral.net/?a=details&amp;id=15943&amp;p=section</t>
  </si>
  <si>
    <t>https://dl.smwcentral.net/15943/SMBTEY%20Fixed%20Forever.zip</t>
  </si>
  <si>
    <t>Super Mario Bros: The Search for Oreo Cakesters</t>
  </si>
  <si>
    <t>30202</t>
  </si>
  <si>
    <t>https://www.smwcentral.net/?a=details&amp;id=30202&amp;p=section</t>
  </si>
  <si>
    <t>https://dl.smwcentral.net/30202/Super%20Mario%20Bros.%20The%20Search%20for%20Oreo%20Cakesters.zip</t>
  </si>
  <si>
    <t>Super Mario Bros: Vanilla Islands</t>
  </si>
  <si>
    <t>26960</t>
  </si>
  <si>
    <t>https://www.smwcentral.net/?a=details&amp;id=26960&amp;p=section</t>
  </si>
  <si>
    <t>https://dl.smwcentral.net/26960/Super%20Mario%20Bros%20Vanilla%20Islands%201.1.zip</t>
  </si>
  <si>
    <t>Super Mario Brothers and the Giant Omelette</t>
  </si>
  <si>
    <t>BloodyToothBrush, TimothyBor</t>
  </si>
  <si>
    <t>9892</t>
  </si>
  <si>
    <t>https://www.smwcentral.net/?a=details&amp;id=9892&amp;p=section</t>
  </si>
  <si>
    <t>https://dl.smwcentral.net/9892/SMB%26TGO.zip</t>
  </si>
  <si>
    <t>Super Mario Challenge</t>
  </si>
  <si>
    <t>Awesomeman</t>
  </si>
  <si>
    <t>27363</t>
  </si>
  <si>
    <t>https://www.smwcentral.net/?a=details&amp;id=27363&amp;p=section</t>
  </si>
  <si>
    <t>https://dl.smwcentral.net/27363/Super%20Mario%20Challenge_FIXED.zip</t>
  </si>
  <si>
    <t>Super Mario Classic'd</t>
  </si>
  <si>
    <t>blocc</t>
  </si>
  <si>
    <t>20166</t>
  </si>
  <si>
    <t>https://www.smwcentral.net/?a=details&amp;id=20166&amp;p=section</t>
  </si>
  <si>
    <t>https://dl.smwcentral.net/20166/Super%20Mario%20Classic%27d%20v2.zip</t>
  </si>
  <si>
    <t>Super Mario Cosmos</t>
  </si>
  <si>
    <t>Xeruss</t>
  </si>
  <si>
    <t>9822</t>
  </si>
  <si>
    <t>https://www.smwcentral.net/?a=details&amp;id=9822&amp;p=section</t>
  </si>
  <si>
    <t>https://dl.smwcentral.net/9822/Super%20Mario%20Cosmos.zip</t>
  </si>
  <si>
    <t>Super Mario Del Lago</t>
  </si>
  <si>
    <t>Slash Man</t>
  </si>
  <si>
    <t>9888</t>
  </si>
  <si>
    <t>https://www.smwcentral.net/?a=details&amp;id=9888&amp;p=section</t>
  </si>
  <si>
    <t>https://dl.smwcentral.net/9888/Super%20Mario%20Del%20Lago.zip</t>
  </si>
  <si>
    <t>Super Mario Denied World</t>
  </si>
  <si>
    <t>10010</t>
  </si>
  <si>
    <t>https://www.smwcentral.net/?a=details&amp;id=10010&amp;p=section</t>
  </si>
  <si>
    <t>https://dl.smwcentral.net/10010/Denied.zip</t>
  </si>
  <si>
    <t>Super Mario Dream World</t>
  </si>
  <si>
    <t>14786</t>
  </si>
  <si>
    <t>https://www.smwcentral.net/?a=details&amp;id=14786&amp;p=section</t>
  </si>
  <si>
    <t>https://dl.smwcentral.net/14786/Super%20Mario%20Dream%20World.zip</t>
  </si>
  <si>
    <t>Super Mario DX</t>
  </si>
  <si>
    <t>41188</t>
  </si>
  <si>
    <t>https://www.smwcentral.net/?a=details&amp;id=41188&amp;p=section</t>
  </si>
  <si>
    <t>https://dl.smwcentral.net/41188/Super%20Mario%20DX.zip</t>
  </si>
  <si>
    <t>Super Mario Element Worlds</t>
  </si>
  <si>
    <t>New Skyon</t>
  </si>
  <si>
    <t>15576</t>
  </si>
  <si>
    <t>https://www.smwcentral.net/?a=details&amp;id=15576&amp;p=section</t>
  </si>
  <si>
    <t>https://dl.smwcentral.net/15576/Super%20Mario%20Element%20Worlds%20FIXED.zip</t>
  </si>
  <si>
    <t>Super Mario Emulator (PTB)</t>
  </si>
  <si>
    <t>noname</t>
  </si>
  <si>
    <t>10022</t>
  </si>
  <si>
    <t>https://www.smwcentral.net/?a=details&amp;id=10022&amp;p=section</t>
  </si>
  <si>
    <t>https://dl.smwcentral.net/10022/SME%20patch.zip</t>
  </si>
  <si>
    <t>Super Mario Endless World</t>
  </si>
  <si>
    <t>Haithius</t>
  </si>
  <si>
    <t>21176</t>
  </si>
  <si>
    <t>https://www.smwcentral.net/?a=details&amp;id=21176&amp;p=section</t>
  </si>
  <si>
    <t>https://dl.smwcentral.net/21176/Super%20Mario%20Endless%20World%20DEMO.zip</t>
  </si>
  <si>
    <t>Super Mario Escapades</t>
  </si>
  <si>
    <t>GammaSlap</t>
  </si>
  <si>
    <t>13342</t>
  </si>
  <si>
    <t>https://www.smwcentral.net/?a=details&amp;id=13342&amp;p=section</t>
  </si>
  <si>
    <t>https://dl.smwcentral.net/13342/Super%20Mario%20Escapades%20DEMO.zip</t>
  </si>
  <si>
    <t>Super Mario Expedition</t>
  </si>
  <si>
    <t>10184</t>
  </si>
  <si>
    <t>https://www.smwcentral.net/?a=details&amp;id=10184&amp;p=section</t>
  </si>
  <si>
    <t>https://dl.smwcentral.net/10184/Super%20Mario%20Expedition.zip</t>
  </si>
  <si>
    <t>Super Mario Fiwerland</t>
  </si>
  <si>
    <t>Cristian Cardoso</t>
  </si>
  <si>
    <t>32985</t>
  </si>
  <si>
    <t>https://www.smwcentral.net/?a=details&amp;id=32985&amp;p=section</t>
  </si>
  <si>
    <t>https://dl.smwcentral.net/32985/Super%20Mario%20Fiwerland.zip</t>
  </si>
  <si>
    <t>Super Mario Flash 2: SMW Remake</t>
  </si>
  <si>
    <t>Apple Boy, Dark Prince, Donut, Segment1Zone2, Stivi</t>
  </si>
  <si>
    <t>27400</t>
  </si>
  <si>
    <t>https://www.smwcentral.net/?a=details&amp;id=27400&amp;p=section</t>
  </si>
  <si>
    <t>https://dl.smwcentral.net/27400/Super%20Mario%20Flash%202%20-%20SMW%20Remake%201.3.zip</t>
  </si>
  <si>
    <t>Super Mario Flash: Super Mario World Remake</t>
  </si>
  <si>
    <t>Dark Prince</t>
  </si>
  <si>
    <t>34419</t>
  </si>
  <si>
    <t>https://www.smwcentral.net/?a=details&amp;id=34419&amp;p=section</t>
  </si>
  <si>
    <t>https://dl.smwcentral.net/34419/Super%20Mario%20Flash.zip</t>
  </si>
  <si>
    <t>Super Mario Fooland</t>
  </si>
  <si>
    <t>Fullcannon</t>
  </si>
  <si>
    <t>19560</t>
  </si>
  <si>
    <t>https://www.smwcentral.net/?a=details&amp;id=19560&amp;p=section</t>
  </si>
  <si>
    <t>https://dl.smwcentral.net/19560/smfooland34.zip</t>
  </si>
  <si>
    <t>Super Mario Gaia</t>
  </si>
  <si>
    <t>31243</t>
  </si>
  <si>
    <t>https://www.smwcentral.net/?a=details&amp;id=31243&amp;p=section</t>
  </si>
  <si>
    <t>https://dl.smwcentral.net/31243/Super%20Mario%20Gaia%201.1.zip</t>
  </si>
  <si>
    <t>Super Mario Hack</t>
  </si>
  <si>
    <t>15487</t>
  </si>
  <si>
    <t>https://www.smwcentral.net/?a=details&amp;id=15487&amp;p=section</t>
  </si>
  <si>
    <t>https://dl.smwcentral.net/15487/Super%20Mario%20Hack%20v1.7.zip</t>
  </si>
  <si>
    <t>Super Mario Hack - Uma Nova Aventura - A New Adventure (Lite Version)</t>
  </si>
  <si>
    <t>28153</t>
  </si>
  <si>
    <t>https://www.smwcentral.net/?a=details&amp;id=28153&amp;p=section</t>
  </si>
  <si>
    <t>https://dl.smwcentral.net/28153/Super%20Mario%20Hack%20-%20Uma%20Nova%20Aventura%20-%20A%20New%20Adventure.zip</t>
  </si>
  <si>
    <t>Super Mario Heroes</t>
  </si>
  <si>
    <t>543</t>
  </si>
  <si>
    <t>9854</t>
  </si>
  <si>
    <t>https://www.smwcentral.net/?a=details&amp;id=9854&amp;p=section</t>
  </si>
  <si>
    <t>https://dl.smwcentral.net/9854/smheroes2.zip</t>
  </si>
  <si>
    <t>Super Mario Horizons 1.0b</t>
  </si>
  <si>
    <t>MegacesarCG</t>
  </si>
  <si>
    <t>35232</t>
  </si>
  <si>
    <t>https://www.smwcentral.net/?a=details&amp;id=35232&amp;p=section</t>
  </si>
  <si>
    <t>https://dl.smwcentral.net/35232/SMH1.0b.zip</t>
  </si>
  <si>
    <t>Super Mario Iggy's Revenge</t>
  </si>
  <si>
    <t>Doseianasan</t>
  </si>
  <si>
    <t>10076</t>
  </si>
  <si>
    <t>https://www.smwcentral.net/?a=details&amp;id=10076&amp;p=section</t>
  </si>
  <si>
    <t>https://dl.smwcentral.net/10076/Super%20Mario%20Iggy%27s%20Revenge.zip</t>
  </si>
  <si>
    <t>Super Mario In Element World</t>
  </si>
  <si>
    <t>6745</t>
  </si>
  <si>
    <t>https://www.smwcentral.net/?a=details&amp;id=6745&amp;p=section</t>
  </si>
  <si>
    <t>https://dl.smwcentral.net/6745/SMW%20patch.zip</t>
  </si>
  <si>
    <t>Super Mario In Element World 2: The Master Hand Revenge</t>
  </si>
  <si>
    <t>6794</t>
  </si>
  <si>
    <t>https://www.smwcentral.net/?a=details&amp;id=6794&amp;p=section</t>
  </si>
  <si>
    <t>https://dl.smwcentral.net/6794/smw%20patch.zip</t>
  </si>
  <si>
    <t>Super Mario in Miscland 2: GrisBoo's Switches!</t>
  </si>
  <si>
    <t>10070</t>
  </si>
  <si>
    <t>https://www.smwcentral.net/?a=details&amp;id=10070&amp;p=section</t>
  </si>
  <si>
    <t>https://dl.smwcentral.net/10070/Miscland2.zip</t>
  </si>
  <si>
    <t>Super Mario in the Health Advocacy Project</t>
  </si>
  <si>
    <t>Herobrine81902</t>
  </si>
  <si>
    <t>17022</t>
  </si>
  <si>
    <t>https://www.smwcentral.net/?a=details&amp;id=17022&amp;p=section</t>
  </si>
  <si>
    <t>https://dl.smwcentral.net/17022/Super%20Mario%20in%20the%20Health%20Advocacy%20Project.zip</t>
  </si>
  <si>
    <t>Super Mario in the Vanilla Forest</t>
  </si>
  <si>
    <t>DatLeon</t>
  </si>
  <si>
    <t>10205</t>
  </si>
  <si>
    <t>https://www.smwcentral.net/?a=details&amp;id=10205&amp;p=section</t>
  </si>
  <si>
    <t>https://dl.smwcentral.net/10205/Vanilla%20Land%20%28EN%29.zip</t>
  </si>
  <si>
    <t>Super Mario in Yoshi Heaven</t>
  </si>
  <si>
    <t>wtfweb</t>
  </si>
  <si>
    <t>5000</t>
  </si>
  <si>
    <t>https://www.smwcentral.net/?a=details&amp;id=5000&amp;p=section</t>
  </si>
  <si>
    <t>https://dl.smwcentral.net/5000/yoshi_heaven.zip</t>
  </si>
  <si>
    <t>Super Mario in: Yoshi's Revenge</t>
  </si>
  <si>
    <t>10187</t>
  </si>
  <si>
    <t>https://www.smwcentral.net/?a=details&amp;id=10187&amp;p=section</t>
  </si>
  <si>
    <t>https://dl.smwcentral.net/10187/YRV1-4.zip</t>
  </si>
  <si>
    <t>Super Mario Infinity 2: The Cursed Gem</t>
  </si>
  <si>
    <t>Reading</t>
  </si>
  <si>
    <t>20859</t>
  </si>
  <si>
    <t>https://www.smwcentral.net/?a=details&amp;id=20859&amp;p=section</t>
  </si>
  <si>
    <t>https://dl.smwcentral.net/20859/smi2.zip</t>
  </si>
  <si>
    <t>Super Mario Infinity: Mystery of the Magic Wand</t>
  </si>
  <si>
    <t>19547</t>
  </si>
  <si>
    <t>https://www.smwcentral.net/?a=details&amp;id=19547&amp;p=section</t>
  </si>
  <si>
    <t>https://dl.smwcentral.net/19547/smi.zip</t>
  </si>
  <si>
    <t>Super Mario Islands</t>
  </si>
  <si>
    <t>bkbusters</t>
  </si>
  <si>
    <t>9804</t>
  </si>
  <si>
    <t>https://www.smwcentral.net/?a=details&amp;id=9804&amp;p=section</t>
  </si>
  <si>
    <t>https://dl.smwcentral.net/9804/Super%20Mario%20Islands%20Demo%202.zip</t>
  </si>
  <si>
    <t>Super Mario Justice</t>
  </si>
  <si>
    <t>RpGaming</t>
  </si>
  <si>
    <t>8983</t>
  </si>
  <si>
    <t>https://www.smwcentral.net/?a=details&amp;id=8983&amp;p=section</t>
  </si>
  <si>
    <t>https://dl.smwcentral.net/8983/Super%20Mario%20Justice%20-%20Demo%20I.zip</t>
  </si>
  <si>
    <t>Super Mario Land 2.5</t>
  </si>
  <si>
    <t>14243</t>
  </si>
  <si>
    <t>https://www.smwcentral.net/?a=details&amp;id=14243&amp;p=section</t>
  </si>
  <si>
    <t>https://dl.smwcentral.net/14243/sml%20demo2.zip</t>
  </si>
  <si>
    <t>Super Mario Land 3: Tatanga's Return</t>
  </si>
  <si>
    <t>13608</t>
  </si>
  <si>
    <t>https://www.smwcentral.net/?a=details&amp;id=13608&amp;p=section</t>
  </si>
  <si>
    <t>https://dl.smwcentral.net/13608/TatangasReturn2.1.zip</t>
  </si>
  <si>
    <t>Super Mario Land 4</t>
  </si>
  <si>
    <t>9963</t>
  </si>
  <si>
    <t>https://www.smwcentral.net/?a=details&amp;id=9963&amp;p=section</t>
  </si>
  <si>
    <t>https://dl.smwcentral.net/9963/SML4_C3%20demo%5Bfr%5D.zip</t>
  </si>
  <si>
    <t>Super Mario Land Arcade!</t>
  </si>
  <si>
    <t>DonnyKD</t>
  </si>
  <si>
    <t>10260</t>
  </si>
  <si>
    <t>https://www.smwcentral.net/?a=details&amp;id=10260&amp;p=section</t>
  </si>
  <si>
    <t>https://dl.smwcentral.net/10260/SMLA%20demo%201.zip</t>
  </si>
  <si>
    <t>Super Mario Land World</t>
  </si>
  <si>
    <t>38127</t>
  </si>
  <si>
    <t>https://www.smwcentral.net/?a=details&amp;id=38127&amp;p=section</t>
  </si>
  <si>
    <t>https://dl.smwcentral.net/38127/Super%20Mario%20Land%20World%20V1.1%20%28%202024%20%29.zip</t>
  </si>
  <si>
    <t>Super Mario Legacy</t>
  </si>
  <si>
    <t>Ragey</t>
  </si>
  <si>
    <t>17478</t>
  </si>
  <si>
    <t>https://www.smwcentral.net/?a=details&amp;id=17478&amp;p=section</t>
  </si>
  <si>
    <t>https://dl.smwcentral.net/17478/Super%20Mario%20Legacy.zip</t>
  </si>
  <si>
    <t>Super Mario Logic</t>
  </si>
  <si>
    <t>Final Theory</t>
  </si>
  <si>
    <t>17005</t>
  </si>
  <si>
    <t>https://www.smwcentral.net/?a=details&amp;id=17005&amp;p=section</t>
  </si>
  <si>
    <t>https://dl.smwcentral.net/17005/Super%20Mario%20Logic.zip</t>
  </si>
  <si>
    <t>Super Mario Lost in Monochrome</t>
  </si>
  <si>
    <t>EL santo</t>
  </si>
  <si>
    <t>10191</t>
  </si>
  <si>
    <t>https://www.smwcentral.net/?a=details&amp;id=10191&amp;p=section</t>
  </si>
  <si>
    <t>https://dl.smwcentral.net/10191/Super%20Mario%20Lost%20in%20Monochrome%20%28v1.4v%29.zip</t>
  </si>
  <si>
    <t>Super Mario Lost World</t>
  </si>
  <si>
    <t>Andyana Jonseph, RussianMan, darken, niko</t>
  </si>
  <si>
    <t>16048</t>
  </si>
  <si>
    <t>https://www.smwcentral.net/?a=details&amp;id=16048&amp;p=section</t>
  </si>
  <si>
    <t>https://dl.smwcentral.net/16048/Super%20Mario%20Lost%20World%20Demo.zip</t>
  </si>
  <si>
    <t>Super Mario Makers' Holiday Extravaganza</t>
  </si>
  <si>
    <t>Brakkie, Buflen, Donkeymint, JeepySol, NewPointless, Scags, mmmdoggy, revolug</t>
  </si>
  <si>
    <t>41494</t>
  </si>
  <si>
    <t>https://www.smwcentral.net/?a=details&amp;id=41494&amp;p=section</t>
  </si>
  <si>
    <t>https://dl.smwcentral.net/41494/SuperMarioMakersHolidayExtravaganza1_1.zip</t>
  </si>
  <si>
    <t>Super Mario Mania</t>
  </si>
  <si>
    <t>OiMuka</t>
  </si>
  <si>
    <t>42235</t>
  </si>
  <si>
    <t>https://www.smwcentral.net/?a=details&amp;id=42235&amp;p=section</t>
  </si>
  <si>
    <t>https://dl.smwcentral.net/42235/SMM%20-%20Demo%20V1.1.zip</t>
  </si>
  <si>
    <t>Super Mario New Life!</t>
  </si>
  <si>
    <t>FamilyTeamProductions</t>
  </si>
  <si>
    <t>10168</t>
  </si>
  <si>
    <t>https://www.smwcentral.net/?a=details&amp;id=10168&amp;p=section</t>
  </si>
  <si>
    <t>https://dl.smwcentral.net/10168/SMNL.zip</t>
  </si>
  <si>
    <t>Super Mario Ocean</t>
  </si>
  <si>
    <t>9761</t>
  </si>
  <si>
    <t>https://www.smwcentral.net/?a=details&amp;id=9761&amp;p=section</t>
  </si>
  <si>
    <t>https://dl.smwcentral.net/9761/SuperMarioOcean.zip</t>
  </si>
  <si>
    <t>Super Mario Odyssey</t>
  </si>
  <si>
    <t>Rachel Mae</t>
  </si>
  <si>
    <t>4987</t>
  </si>
  <si>
    <t>https://www.smwcentral.net/?a=details&amp;id=4987&amp;p=section</t>
  </si>
  <si>
    <t>https://dl.smwcentral.net/4987/odyssey_v02.zip</t>
  </si>
  <si>
    <t>Super Mario Omega</t>
  </si>
  <si>
    <t>Higsby</t>
  </si>
  <si>
    <t>5252</t>
  </si>
  <si>
    <t>https://www.smwcentral.net/?a=details&amp;id=5252&amp;p=section</t>
  </si>
  <si>
    <t>https://dl.smwcentral.net/5252/Super%20Mario%20Omega%20V1.07.zip</t>
  </si>
  <si>
    <t>Super Mario Outbreak</t>
  </si>
  <si>
    <t>22929</t>
  </si>
  <si>
    <t>https://www.smwcentral.net/?a=details&amp;id=22929&amp;p=section</t>
  </si>
  <si>
    <t>https://dl.smwcentral.net/22929/Outbreak%20Demo%20-%20Fixed.zip</t>
  </si>
  <si>
    <t>Super Mario OWMS</t>
  </si>
  <si>
    <t>BanzaiChuck</t>
  </si>
  <si>
    <t>17584</t>
  </si>
  <si>
    <t>https://www.smwcentral.net/?a=details&amp;id=17584&amp;p=section</t>
  </si>
  <si>
    <t>https://dl.smwcentral.net/17584/Super%20Mario%20OWMS.zip</t>
  </si>
  <si>
    <t>Super Mario Pants World</t>
  </si>
  <si>
    <t>16416</t>
  </si>
  <si>
    <t>https://www.smwcentral.net/?a=details&amp;id=16416&amp;p=section</t>
  </si>
  <si>
    <t>https://dl.smwcentral.net/16416/SMPWv2.zip</t>
  </si>
  <si>
    <t>Super Mario Place</t>
  </si>
  <si>
    <t>Angel Astronaut</t>
  </si>
  <si>
    <t>5175</t>
  </si>
  <si>
    <t>https://www.smwcentral.net/?a=details&amp;id=5175&amp;p=section</t>
  </si>
  <si>
    <t>https://dl.smwcentral.net/5175/Super%20Mario%20Place.zip</t>
  </si>
  <si>
    <t>Super Mario Planet</t>
  </si>
  <si>
    <t>Merthacks</t>
  </si>
  <si>
    <t>5520</t>
  </si>
  <si>
    <t>https://www.smwcentral.net/?a=details&amp;id=5520&amp;p=section</t>
  </si>
  <si>
    <t>https://dl.smwcentral.net/5520/Super%20Mario%20Planet.zip</t>
  </si>
  <si>
    <t>Super Mario Quest</t>
  </si>
  <si>
    <t>11428</t>
  </si>
  <si>
    <t>https://www.smwcentral.net/?a=details&amp;id=11428&amp;p=section</t>
  </si>
  <si>
    <t>https://dl.smwcentral.net/11428/Super%20Mario%20Quest.zip</t>
  </si>
  <si>
    <t>Super Mario Radish Kingdom Adventure</t>
  </si>
  <si>
    <t>autisticsceptile1993</t>
  </si>
  <si>
    <t>25875</t>
  </si>
  <si>
    <t>https://www.smwcentral.net/?a=details&amp;id=25875&amp;p=section</t>
  </si>
  <si>
    <t>https://dl.smwcentral.net/25875/Super%20Mario%20Radish%20Kingdom%20Adventure%20V3.1.zip</t>
  </si>
  <si>
    <t>Super Mario Redux</t>
  </si>
  <si>
    <t>10100</t>
  </si>
  <si>
    <t>https://www.smwcentral.net/?a=details&amp;id=10100&amp;p=section</t>
  </si>
  <si>
    <t>https://dl.smwcentral.net/10100/Redux.zip</t>
  </si>
  <si>
    <t>Super Mario Revelations</t>
  </si>
  <si>
    <t>ItsSnowyTime</t>
  </si>
  <si>
    <t>9750</t>
  </si>
  <si>
    <t>https://www.smwcentral.net/?a=details&amp;id=9750&amp;p=section</t>
  </si>
  <si>
    <t>https://dl.smwcentral.net/9750/Super_Mario_Revelations.zip</t>
  </si>
  <si>
    <t>Super Mario Robotical Trouble</t>
  </si>
  <si>
    <t>Dark Yoshi</t>
  </si>
  <si>
    <t>5464</t>
  </si>
  <si>
    <t>https://www.smwcentral.net/?a=details&amp;id=5464&amp;p=section</t>
  </si>
  <si>
    <t>https://dl.smwcentral.net/5464/Super%20Mario%20Robotical%20Trouble.zip</t>
  </si>
  <si>
    <t>Super Mario SS2 - Bowser is Back</t>
  </si>
  <si>
    <t>EmuGamer</t>
  </si>
  <si>
    <t>17597</t>
  </si>
  <si>
    <t>https://www.smwcentral.net/?a=details&amp;id=17597&amp;p=section</t>
  </si>
  <si>
    <t>https://dl.smwcentral.net/17597/Super%20Mario%20SS2%20-%20Bowser%20is%20Back.zip</t>
  </si>
  <si>
    <t>Super Mario SS3 - PU</t>
  </si>
  <si>
    <t>26132</t>
  </si>
  <si>
    <t>https://www.smwcentral.net/?a=details&amp;id=26132&amp;p=section</t>
  </si>
  <si>
    <t>https://dl.smwcentral.net/26132/Super%20Mario%20SS3.zip</t>
  </si>
  <si>
    <t>Super Mario Starlight</t>
  </si>
  <si>
    <t>35049</t>
  </si>
  <si>
    <t>https://www.smwcentral.net/?a=details&amp;id=35049&amp;p=section</t>
  </si>
  <si>
    <t>https://dl.smwcentral.net/35049/SuperMarioStarlight.zip</t>
  </si>
  <si>
    <t>Super Mario Starlight Remix</t>
  </si>
  <si>
    <t>10060</t>
  </si>
  <si>
    <t>https://www.smwcentral.net/?a=details&amp;id=10060&amp;p=section</t>
  </si>
  <si>
    <t>https://dl.smwcentral.net/10060/SM%20Starlight%20Remix%20Version%202.1.zip</t>
  </si>
  <si>
    <t>Super Mario Stole the Souls of the Innocent and Now Must Climb a Tower to Reclaim his Humanity World</t>
  </si>
  <si>
    <t>38051</t>
  </si>
  <si>
    <t>https://www.smwcentral.net/?a=details&amp;id=38051&amp;p=section</t>
  </si>
  <si>
    <t>https://dl.smwcentral.net/38051/Mario%20Climbs%20A%20Tower.zip</t>
  </si>
  <si>
    <t>Super Mario Super Quest (demo)</t>
  </si>
  <si>
    <t>Greeeen</t>
  </si>
  <si>
    <t>41047</t>
  </si>
  <si>
    <t>https://www.smwcentral.net/?a=details&amp;id=41047&amp;p=section</t>
  </si>
  <si>
    <t>https://dl.smwcentral.net/41047/SMSQ%20demo.zip</t>
  </si>
  <si>
    <t>Super Mario SuperStar</t>
  </si>
  <si>
    <t>Super Mario 64</t>
  </si>
  <si>
    <t>9791</t>
  </si>
  <si>
    <t>https://www.smwcentral.net/?a=details&amp;id=9791&amp;p=section</t>
  </si>
  <si>
    <t>https://dl.smwcentral.net/9791/SMSSW1.zip</t>
  </si>
  <si>
    <t>Super Mario Tales!</t>
  </si>
  <si>
    <t>Kobrah</t>
  </si>
  <si>
    <t>5581</t>
  </si>
  <si>
    <t>https://www.smwcentral.net/?a=details&amp;id=5581&amp;p=section</t>
  </si>
  <si>
    <t>https://dl.smwcentral.net/5581/Super%20Mario%20Tales%20DEMO.zip</t>
  </si>
  <si>
    <t>Super Mario The Trip</t>
  </si>
  <si>
    <t>Sig_AM</t>
  </si>
  <si>
    <t>30265</t>
  </si>
  <si>
    <t>https://www.smwcentral.net/?a=details&amp;id=30265&amp;p=section</t>
  </si>
  <si>
    <t>https://dl.smwcentral.net/30265/Super%20Mario%20The%20Trip.zip</t>
  </si>
  <si>
    <t>Super Mario Thousand Islands</t>
  </si>
  <si>
    <t>blueyosh</t>
  </si>
  <si>
    <t>9841</t>
  </si>
  <si>
    <t>https://www.smwcentral.net/?a=details&amp;id=9841&amp;p=section</t>
  </si>
  <si>
    <t>https://dl.smwcentral.net/9841/SMTI2.zip</t>
  </si>
  <si>
    <t>Super Mario TKO</t>
  </si>
  <si>
    <t>Dispari Scuro, Heisanevilgenius</t>
  </si>
  <si>
    <t>5038</t>
  </si>
  <si>
    <t>https://www.smwcentral.net/?a=details&amp;id=5038&amp;p=section</t>
  </si>
  <si>
    <t>https://dl.smwcentral.net/5038/smtko_demo_1.zip</t>
  </si>
  <si>
    <t>Super Mario Ubs</t>
  </si>
  <si>
    <t>Ubsje</t>
  </si>
  <si>
    <t>16490</t>
  </si>
  <si>
    <t>https://www.smwcentral.net/?a=details&amp;id=16490&amp;p=section</t>
  </si>
  <si>
    <t>https://dl.smwcentral.net/16490/Super%20mario%20Ubs.zip</t>
  </si>
  <si>
    <t>Super Mario Ultima</t>
  </si>
  <si>
    <t>Time Traveler</t>
  </si>
  <si>
    <t>9808</t>
  </si>
  <si>
    <t>https://www.smwcentral.net/?a=details&amp;id=9808&amp;p=section</t>
  </si>
  <si>
    <t>https://dl.smwcentral.net/9808/Ultima%20World.zip</t>
  </si>
  <si>
    <t>Super Mario Ultra World</t>
  </si>
  <si>
    <t>Andrew Ultra Gamer</t>
  </si>
  <si>
    <t>28587</t>
  </si>
  <si>
    <t>https://www.smwcentral.net/?a=details&amp;id=28587&amp;p=section</t>
  </si>
  <si>
    <t>https://dl.smwcentral.net/28587/Super%20Mario%20Ultra%20World%20Demo.zip</t>
  </si>
  <si>
    <t>Super Mario Underworld</t>
  </si>
  <si>
    <t>Golden Yoshi, Uhrix</t>
  </si>
  <si>
    <t>5356</t>
  </si>
  <si>
    <t>https://www.smwcentral.net/?a=details&amp;id=5356&amp;p=section</t>
  </si>
  <si>
    <t>https://dl.smwcentral.net/5356/Super%20Mario%20Underworld-%20Final%20Version.zip</t>
  </si>
  <si>
    <t>Super Mario Universe [SMWC #9855]</t>
  </si>
  <si>
    <t>Super Mario Universe</t>
  </si>
  <si>
    <t>Black Crystal Wisher</t>
  </si>
  <si>
    <t>9855</t>
  </si>
  <si>
    <t>https://www.smwcentral.net/?a=details&amp;id=9855&amp;p=section</t>
  </si>
  <si>
    <t>https://dl.smwcentral.net/9855/smu.zip</t>
  </si>
  <si>
    <t>Super Mario Universe [SMWC #25489]</t>
  </si>
  <si>
    <t>25489</t>
  </si>
  <si>
    <t>https://www.smwcentral.net/?a=details&amp;id=25489&amp;p=section</t>
  </si>
  <si>
    <t>https://dl.smwcentral.net/25489/Super%20Mario%20Universe.zip</t>
  </si>
  <si>
    <t>Super Mario Universe 2: The Adventure Resumes</t>
  </si>
  <si>
    <t>Black Crystal Wisher, Marino.EXE</t>
  </si>
  <si>
    <t>9817</t>
  </si>
  <si>
    <t>https://www.smwcentral.net/?a=details&amp;id=9817&amp;p=section</t>
  </si>
  <si>
    <t>https://dl.smwcentral.net/9817/Super%20Mario%20Universe%20II%20-%20The%20Adventure%20Resumes.zip</t>
  </si>
  <si>
    <t>Super Mario Universe Deluxe</t>
  </si>
  <si>
    <t>29968</t>
  </si>
  <si>
    <t>https://www.smwcentral.net/?a=details&amp;id=29968&amp;p=section</t>
  </si>
  <si>
    <t>https://dl.smwcentral.net/29968/SuperMarioUniverseDELUXE.zip</t>
  </si>
  <si>
    <t>Super Mario Versus Bowser's New Army</t>
  </si>
  <si>
    <t>5198</t>
  </si>
  <si>
    <t>https://www.smwcentral.net/?a=details&amp;id=5198&amp;p=section</t>
  </si>
  <si>
    <t>https://dl.smwcentral.net/5198/SuperMarioVersusBowsersNewArmy.zip</t>
  </si>
  <si>
    <t>Super Mario World (Super Mario Bros. 4) : A Trip Full Of Fun!</t>
  </si>
  <si>
    <t>19293</t>
  </si>
  <si>
    <t>https://www.smwcentral.net/?a=details&amp;id=19293&amp;p=section</t>
  </si>
  <si>
    <t>https://dl.smwcentral.net/19293/smw%20smb4%20a%20trip%20full%20of%20fun%20fixed%2Cagain%2Cyes.zip</t>
  </si>
  <si>
    <t>Super Mario World + Land</t>
  </si>
  <si>
    <t>15300</t>
  </si>
  <si>
    <t>https://www.smwcentral.net/?a=details&amp;id=15300&amp;p=section</t>
  </si>
  <si>
    <t>https://dl.smwcentral.net/15300/SMWL.zip</t>
  </si>
  <si>
    <t>Super Mario World - Bowser's Last Revenge</t>
  </si>
  <si>
    <t>BLR_Team, Systrem Studios</t>
  </si>
  <si>
    <t>16452</t>
  </si>
  <si>
    <t>https://www.smwcentral.net/?a=details&amp;id=16452&amp;p=section</t>
  </si>
  <si>
    <t>https://dl.smwcentral.net/16452/SMW%20-%20Bowser%27s%20Last%20Revenge%20DEMO%202.0.zip</t>
  </si>
  <si>
    <t>Super Mario World - Bowser's Return</t>
  </si>
  <si>
    <t>Ice Man, ghettoyouth</t>
  </si>
  <si>
    <t>42676</t>
  </si>
  <si>
    <t>https://www.smwcentral.net/?a=details&amp;id=42676&amp;p=section</t>
  </si>
  <si>
    <t>https://dl.smwcentral.net/42676/Super%20Mario%20World%20-%20Bowser%27s%20Return%20%282026%20Version%20-%20Update%202%29.zip</t>
  </si>
  <si>
    <t>Super Mario World - Bowser's Return Redux</t>
  </si>
  <si>
    <t>42380</t>
  </si>
  <si>
    <t>https://www.smwcentral.net/?a=details&amp;id=42380&amp;p=section</t>
  </si>
  <si>
    <t>https://dl.smwcentral.net/42380/Super%20Mario%20World%20-%20Bowser%27s%20Return%20Redux.zip</t>
  </si>
  <si>
    <t>Super Mario World - Bulgarian Translation</t>
  </si>
  <si>
    <t>Azzara, DKL, KaptainAlexander</t>
  </si>
  <si>
    <t>33731</t>
  </si>
  <si>
    <t>https://www.smwcentral.net/?a=details&amp;id=33731&amp;p=section</t>
  </si>
  <si>
    <t>https://dl.smwcentral.net/33731/mario-world-bg-v3.1.zip</t>
  </si>
  <si>
    <t>Super Mario World - Final Mysterious Quest</t>
  </si>
  <si>
    <t>23494</t>
  </si>
  <si>
    <t>https://www.smwcentral.net/?a=details&amp;id=23494&amp;p=section</t>
  </si>
  <si>
    <t>https://dl.smwcentral.net/23494/SMWFMQ.zip</t>
  </si>
  <si>
    <t>Super Mario World - Gamergull's Version</t>
  </si>
  <si>
    <t>Gamergull</t>
  </si>
  <si>
    <t>10192</t>
  </si>
  <si>
    <t>https://www.smwcentral.net/?a=details&amp;id=10192&amp;p=section</t>
  </si>
  <si>
    <t>https://dl.smwcentral.net/10192/SMWGGV.zip</t>
  </si>
  <si>
    <t>Super Mario World - Hack Project</t>
  </si>
  <si>
    <t>EvilGames</t>
  </si>
  <si>
    <t>10166</t>
  </si>
  <si>
    <t>https://www.smwcentral.net/?a=details&amp;id=10166&amp;p=section</t>
  </si>
  <si>
    <t>https://dl.smwcentral.net/10166/SMW-HC_Demo2_069a.zip</t>
  </si>
  <si>
    <t>Super Mario World - Koopa Revenge</t>
  </si>
  <si>
    <t>Maxderdachs</t>
  </si>
  <si>
    <t>9787</t>
  </si>
  <si>
    <t>https://www.smwcentral.net/?a=details&amp;id=9787&amp;p=section</t>
  </si>
  <si>
    <t>https://dl.smwcentral.net/9787/SMW%20Koopa%20revenge.zip</t>
  </si>
  <si>
    <t>Super Mario World - Leaving Dinosaur Island</t>
  </si>
  <si>
    <t>9962</t>
  </si>
  <si>
    <t>https://www.smwcentral.net/?a=details&amp;id=9962&amp;p=section</t>
  </si>
  <si>
    <t>https://dl.smwcentral.net/9962/SMW-LDI.zip</t>
  </si>
  <si>
    <t>Super Mario World - Luigi's World Edition</t>
  </si>
  <si>
    <t>Random_Josh</t>
  </si>
  <si>
    <t>15266</t>
  </si>
  <si>
    <t>https://www.smwcentral.net/?a=details&amp;id=15266&amp;p=section</t>
  </si>
  <si>
    <t>https://dl.smwcentral.net/15266/SMW%20LWE.zip</t>
  </si>
  <si>
    <t>Super Mario World - Mario's Expedition</t>
  </si>
  <si>
    <t>Domokun007</t>
  </si>
  <si>
    <t>38649</t>
  </si>
  <si>
    <t>https://www.smwcentral.net/?a=details&amp;id=38649&amp;p=section</t>
  </si>
  <si>
    <t>https://dl.smwcentral.net/38649/Super%20Mario%20World%20-%20Mario%27s%20Expedition%20v1.4.zip</t>
  </si>
  <si>
    <t>Super Mario World - Mushroom Revolution</t>
  </si>
  <si>
    <t>36862</t>
  </si>
  <si>
    <t>https://www.smwcentral.net/?a=details&amp;id=36862&amp;p=section</t>
  </si>
  <si>
    <t>https://dl.smwcentral.net/36862/SMW%20Mushroom%20Revolution%20%28Demo%202.5%29.zip</t>
  </si>
  <si>
    <t>Super Mario World - Neeberz's Hack</t>
  </si>
  <si>
    <t>Neeberz</t>
  </si>
  <si>
    <t>25462</t>
  </si>
  <si>
    <t>https://www.smwcentral.net/?a=details&amp;id=25462&amp;p=section</t>
  </si>
  <si>
    <t>https://dl.smwcentral.net/25462/Super%20Mario%20World%20-%20Neeberz%27s%20Hack.zip</t>
  </si>
  <si>
    <t>Super Mario World - Parodian Art Edition</t>
  </si>
  <si>
    <t>Parodian Dark</t>
  </si>
  <si>
    <t>32917</t>
  </si>
  <si>
    <t>https://www.smwcentral.net/?a=details&amp;id=32917&amp;p=section</t>
  </si>
  <si>
    <t>https://dl.smwcentral.net/32917/SMWPAE.zip</t>
  </si>
  <si>
    <t>Super Mario World - Some Random Adventure</t>
  </si>
  <si>
    <t>TheSpeedyJay</t>
  </si>
  <si>
    <t>19535</t>
  </si>
  <si>
    <t>https://www.smwcentral.net/?a=details&amp;id=19535&amp;p=section</t>
  </si>
  <si>
    <t>https://dl.smwcentral.net/19535/Super%20Mario%20World%20-%20Some%20Random%20Adventure%20%28Demo%202%29.zip</t>
  </si>
  <si>
    <t>Super Mario World - The 4 Elemental Jewels</t>
  </si>
  <si>
    <t>SacredSilverYoshi</t>
  </si>
  <si>
    <t>10085</t>
  </si>
  <si>
    <t>https://www.smwcentral.net/?a=details&amp;id=10085&amp;p=section</t>
  </si>
  <si>
    <t>https://dl.smwcentral.net/10085/T4J6-23-2010.zip</t>
  </si>
  <si>
    <t>Super Mario World - The search of Luigi</t>
  </si>
  <si>
    <t>tmauri</t>
  </si>
  <si>
    <t>16522</t>
  </si>
  <si>
    <t>https://www.smwcentral.net/?a=details&amp;id=16522&amp;p=section</t>
  </si>
  <si>
    <t>https://dl.smwcentral.net/16522/SMWTSOL.zip</t>
  </si>
  <si>
    <t>Super Mario World - The Secret Levels</t>
  </si>
  <si>
    <t>JOSHUAPLAYER2002</t>
  </si>
  <si>
    <t>15187</t>
  </si>
  <si>
    <t>https://www.smwcentral.net/?a=details&amp;id=15187&amp;p=section</t>
  </si>
  <si>
    <t>https://dl.smwcentral.net/15187/Super%20Mario%20World.The%20Secret%20Levels.zip</t>
  </si>
  <si>
    <t>Super Mario World 1.5</t>
  </si>
  <si>
    <t>edit1754</t>
  </si>
  <si>
    <t>9853</t>
  </si>
  <si>
    <t>https://www.smwcentral.net/?a=details&amp;id=9853&amp;p=section</t>
  </si>
  <si>
    <t>https://dl.smwcentral.net/9853/SMW1.5.zip</t>
  </si>
  <si>
    <t>Super Mario World 2</t>
  </si>
  <si>
    <t>Adam</t>
  </si>
  <si>
    <t>5237</t>
  </si>
  <si>
    <t>https://www.smwcentral.net/?a=details&amp;id=5237&amp;p=section</t>
  </si>
  <si>
    <t>https://dl.smwcentral.net/5237/SMW2%20Demo.zip</t>
  </si>
  <si>
    <t>Super Mario World 2021 (PT-BR) + (USA)</t>
  </si>
  <si>
    <t>edu_dyck</t>
  </si>
  <si>
    <t>26444</t>
  </si>
  <si>
    <t>https://www.smwcentral.net/?a=details&amp;id=26444&amp;p=section</t>
  </si>
  <si>
    <t>https://dl.smwcentral.net/26444/Super%20Mario%20World%202021.zip</t>
  </si>
  <si>
    <t>Super Mario World 2025</t>
  </si>
  <si>
    <t>Hamilton64</t>
  </si>
  <si>
    <t>39482</t>
  </si>
  <si>
    <t>https://www.smwcentral.net/?a=details&amp;id=39482&amp;p=section</t>
  </si>
  <si>
    <t>https://dl.smwcentral.net/39482/Super%20Mario%20World%202025.zip</t>
  </si>
  <si>
    <t>Super Mario World 3 - A whole new world</t>
  </si>
  <si>
    <t>28563</t>
  </si>
  <si>
    <t>https://www.smwcentral.net/?a=details&amp;id=28563&amp;p=section</t>
  </si>
  <si>
    <t>https://dl.smwcentral.net/28563/SMW3.zip</t>
  </si>
  <si>
    <t>Super Mario World 3 - Bowser's Revenge</t>
  </si>
  <si>
    <t>10138</t>
  </si>
  <si>
    <t>https://www.smwcentral.net/?a=details&amp;id=10138&amp;p=section</t>
  </si>
  <si>
    <t>https://dl.smwcentral.net/10138/Super%20Mario%20World%20patch.zip</t>
  </si>
  <si>
    <t>Super Mario World 3: The Koopas Strike Back</t>
  </si>
  <si>
    <t>RZ1</t>
  </si>
  <si>
    <t>30565</t>
  </si>
  <si>
    <t>https://www.smwcentral.net/?a=details&amp;id=30565&amp;p=section</t>
  </si>
  <si>
    <t>https://dl.smwcentral.net/30565/SMW3%20-%20TKSB%20v1.06.zip</t>
  </si>
  <si>
    <t>Super Mario World 3: The Universe's Star!</t>
  </si>
  <si>
    <t>mariocool1999</t>
  </si>
  <si>
    <t>5245</t>
  </si>
  <si>
    <t>https://www.smwcentral.net/?a=details&amp;id=5245&amp;p=section</t>
  </si>
  <si>
    <t>https://dl.smwcentral.net/5245/Hack.zip</t>
  </si>
  <si>
    <t>Super Mario World 4: The Shining Super Star</t>
  </si>
  <si>
    <t>Super Buzzy Yoshi</t>
  </si>
  <si>
    <t>20259</t>
  </si>
  <si>
    <t>https://www.smwcentral.net/?a=details&amp;id=20259&amp;p=section</t>
  </si>
  <si>
    <t>https://dl.smwcentral.net/20259/SMW4.zip</t>
  </si>
  <si>
    <t>Super Mario World 64</t>
  </si>
  <si>
    <t>XLer8</t>
  </si>
  <si>
    <t>32569</t>
  </si>
  <si>
    <t>https://www.smwcentral.net/?a=details&amp;id=32569&amp;p=section</t>
  </si>
  <si>
    <t>https://dl.smwcentral.net/32569/SuperMarioWorld64-DEMO.zip</t>
  </si>
  <si>
    <t>Super Mario World Adventure</t>
  </si>
  <si>
    <t>16483</t>
  </si>
  <si>
    <t>https://www.smwcentral.net/?a=details&amp;id=16483&amp;p=section</t>
  </si>
  <si>
    <t>https://dl.smwcentral.net/16483/smwa.zip</t>
  </si>
  <si>
    <t>Super Mario World ALPHA 2</t>
  </si>
  <si>
    <t>tunest</t>
  </si>
  <si>
    <t>10056</t>
  </si>
  <si>
    <t>https://www.smwcentral.net/?a=details&amp;id=10056&amp;p=section</t>
  </si>
  <si>
    <t>https://dl.smwcentral.net/10056/SMWAlpha%202demo3.zip</t>
  </si>
  <si>
    <t>Super Mario World and Beyond</t>
  </si>
  <si>
    <t>Tox</t>
  </si>
  <si>
    <t>15465</t>
  </si>
  <si>
    <t>https://www.smwcentral.net/?a=details&amp;id=15465&amp;p=section</t>
  </si>
  <si>
    <t>https://dl.smwcentral.net/15465/Super%20Mario%20World%20and%20Beyond.zip</t>
  </si>
  <si>
    <t>Super Mario World And the 8 jars</t>
  </si>
  <si>
    <t>Mario is the best</t>
  </si>
  <si>
    <t>24029</t>
  </si>
  <si>
    <t>https://www.smwcentral.net/?a=details&amp;id=24029&amp;p=section</t>
  </si>
  <si>
    <t>https://dl.smwcentral.net/24029/7jars_new.zip</t>
  </si>
  <si>
    <t>Super Mario World and the Bois!</t>
  </si>
  <si>
    <t>SubconYoshi, The Bois</t>
  </si>
  <si>
    <t>23276</t>
  </si>
  <si>
    <t>https://www.smwcentral.net/?a=details&amp;id=23276&amp;p=section</t>
  </si>
  <si>
    <t>https://dl.smwcentral.net/23276/Super%20Mario%20World%20and%20the%20Bois%21.zip</t>
  </si>
  <si>
    <t>Super Mario World Arrangement</t>
  </si>
  <si>
    <t>15568</t>
  </si>
  <si>
    <t>https://www.smwcentral.net/?a=details&amp;id=15568&amp;p=section</t>
  </si>
  <si>
    <t>https://dl.smwcentral.net/15568/Super%20Mario%20World%20Arrangement.zip</t>
  </si>
  <si>
    <t>Super Mario World Beta</t>
  </si>
  <si>
    <t>Yoshi Master</t>
  </si>
  <si>
    <t>6267</t>
  </si>
  <si>
    <t>https://www.smwcentral.net/?a=details&amp;id=6267&amp;p=section</t>
  </si>
  <si>
    <t>https://dl.smwcentral.net/6267/Super%20Mario%20World%20Beta.zip</t>
  </si>
  <si>
    <t>Super Mario World Bowser's Vacation (JPN)</t>
  </si>
  <si>
    <t>Esc</t>
  </si>
  <si>
    <t>32929</t>
  </si>
  <si>
    <t>https://www.smwcentral.net/?a=details&amp;id=32929&amp;p=section</t>
  </si>
  <si>
    <t>https://dl.smwcentral.net/32929/SMW_ver.0.5.zip</t>
  </si>
  <si>
    <t>Super Mario World Central Production 2</t>
  </si>
  <si>
    <t>30718</t>
  </si>
  <si>
    <t>https://www.smwcentral.net/?a=details&amp;id=30718&amp;p=section</t>
  </si>
  <si>
    <t>https://dl.smwcentral.net/30718/SMWCP2.zip</t>
  </si>
  <si>
    <t>Super Mario World Challenges</t>
  </si>
  <si>
    <t>28581</t>
  </si>
  <si>
    <t>https://www.smwcentral.net/?a=details&amp;id=28581&amp;p=section</t>
  </si>
  <si>
    <t>https://dl.smwcentral.net/28581/Super%20Mario%20World%20Challenges.zip</t>
  </si>
  <si>
    <t>Super Mario World Challenges 2</t>
  </si>
  <si>
    <t>42545</t>
  </si>
  <si>
    <t>https://www.smwcentral.net/?a=details&amp;id=42545&amp;p=section</t>
  </si>
  <si>
    <t>https://dl.smwcentral.net/42545/%5BHack%5D%20Super%20Mario%20World%20Challenges%202%20v1.0.2..zip</t>
  </si>
  <si>
    <t>Super Mario World Classic Comebacks</t>
  </si>
  <si>
    <t>reghrhre</t>
  </si>
  <si>
    <t>6843</t>
  </si>
  <si>
    <t>https://www.smwcentral.net/?a=details&amp;id=6843&amp;p=section</t>
  </si>
  <si>
    <t>https://dl.smwcentral.net/6843/Super%20Mario%20World%20Classic%20Comebacks.zip</t>
  </si>
  <si>
    <t>Super Mario World Competition Cartridge</t>
  </si>
  <si>
    <t>arnpoly</t>
  </si>
  <si>
    <t>5521</t>
  </si>
  <si>
    <t>https://www.smwcentral.net/?a=details&amp;id=5521&amp;p=section</t>
  </si>
  <si>
    <t>https://dl.smwcentral.net/5521/SMW%20Competition%20Cartridge.zip</t>
  </si>
  <si>
    <t>Super Mario World feat. Marisa Kirisame</t>
  </si>
  <si>
    <t>FailSandwich</t>
  </si>
  <si>
    <t>21996</t>
  </si>
  <si>
    <t>https://www.smwcentral.net/?a=details&amp;id=21996&amp;p=section</t>
  </si>
  <si>
    <t>https://dl.smwcentral.net/21996/smw_ft_marisa.zip</t>
  </si>
  <si>
    <t>Super Mario World Future The Shadow Queen Returns 2021</t>
  </si>
  <si>
    <t>26093</t>
  </si>
  <si>
    <t>https://www.smwcentral.net/?a=details&amp;id=26093&amp;p=section</t>
  </si>
  <si>
    <t>https://dl.smwcentral.net/26093/SMW%20Future%202021%20Demo.zip</t>
  </si>
  <si>
    <t>Super Mario World Hacks 101</t>
  </si>
  <si>
    <t>Tails_155</t>
  </si>
  <si>
    <t>19884</t>
  </si>
  <si>
    <t>https://www.smwcentral.net/?a=details&amp;id=19884&amp;p=section</t>
  </si>
  <si>
    <t>https://dl.smwcentral.net/19884/SMW_Hacks_101_Fixed.zip</t>
  </si>
  <si>
    <t>Super Mario World II</t>
  </si>
  <si>
    <t>42555</t>
  </si>
  <si>
    <t>https://www.smwcentral.net/?a=details&amp;id=42555&amp;p=section</t>
  </si>
  <si>
    <t>https://dl.smwcentral.net/42555/Super%20Mario%20World%20II.zip</t>
  </si>
  <si>
    <t>Super Mario World Master Quest 1</t>
  </si>
  <si>
    <t>9832</t>
  </si>
  <si>
    <t>https://www.smwcentral.net/?a=details&amp;id=9832&amp;p=section</t>
  </si>
  <si>
    <t>https://dl.smwcentral.net/9832/Super%20Mario%20World%20Master%20Quest%201.zip</t>
  </si>
  <si>
    <t>Super Mario World Master Quest 2</t>
  </si>
  <si>
    <t>9690</t>
  </si>
  <si>
    <t>https://www.smwcentral.net/?a=details&amp;id=9690&amp;p=section</t>
  </si>
  <si>
    <t>https://dl.smwcentral.net/9690/Super%20Mario%20World%20Master%20Quest%202%20%28Update%201.3%29.zip</t>
  </si>
  <si>
    <t>Super Mario World Master Quest 3: The Adventure Of Mario</t>
  </si>
  <si>
    <t>6315</t>
  </si>
  <si>
    <t>https://www.smwcentral.net/?a=details&amp;id=6315&amp;p=section</t>
  </si>
  <si>
    <t>https://dl.smwcentral.net/6315/Super%20Mario%20World%20Master%20Quest%206%20%2CUPDATE%201%2C3.zip</t>
  </si>
  <si>
    <t>Super Mario World Master Quest 4: Redrawn</t>
  </si>
  <si>
    <t>9901</t>
  </si>
  <si>
    <t>https://www.smwcentral.net/?a=details&amp;id=9901&amp;p=section</t>
  </si>
  <si>
    <t>https://dl.smwcentral.net/9901/Super%20Mario%20World%20Master%20Quest%204%20Redrawn%20Update%201.2.zip</t>
  </si>
  <si>
    <t>Super Mario World Master Quest 8: The Final Quest</t>
  </si>
  <si>
    <t>10186</t>
  </si>
  <si>
    <t>https://www.smwcentral.net/?a=details&amp;id=10186&amp;p=section</t>
  </si>
  <si>
    <t>https://dl.smwcentral.net/10186/Super%20Mario%20World%20Master%20Quest%208%20The%20Final%20Quest%201%2C3.zip</t>
  </si>
  <si>
    <t>Super Mario World Master Quest Reborn</t>
  </si>
  <si>
    <t>29698</t>
  </si>
  <si>
    <t>https://www.smwcentral.net/?a=details&amp;id=29698&amp;p=section</t>
  </si>
  <si>
    <t>https://dl.smwcentral.net/29698/Super_Mario_World_Master_Quest_Reborn_2.3.zip</t>
  </si>
  <si>
    <t>Super Mario World Mix</t>
  </si>
  <si>
    <t>Steven Atauchi C.</t>
  </si>
  <si>
    <t>40597</t>
  </si>
  <si>
    <t>https://www.smwcentral.net/?a=details&amp;id=40597&amp;p=section</t>
  </si>
  <si>
    <t>https://dl.smwcentral.net/40597/SMW_MIX_BETA2.zip</t>
  </si>
  <si>
    <t>Super Mario World Random Revolution X</t>
  </si>
  <si>
    <t>SMWRR Team</t>
  </si>
  <si>
    <t>37161</t>
  </si>
  <si>
    <t>https://www.smwcentral.net/?a=details&amp;id=37161&amp;p=section</t>
  </si>
  <si>
    <t>https://dl.smwcentral.net/37161/Super%20Mario%20World%20Random%20Revolution%20X%20V1.0.zip</t>
  </si>
  <si>
    <t>Super Mario World Reloaded</t>
  </si>
  <si>
    <t>AltheronX</t>
  </si>
  <si>
    <t>10289</t>
  </si>
  <si>
    <t>https://www.smwcentral.net/?a=details&amp;id=10289&amp;p=section</t>
  </si>
  <si>
    <t>https://dl.smwcentral.net/10289/AltheronX.zip</t>
  </si>
  <si>
    <t>Super Mario World Remix</t>
  </si>
  <si>
    <t>25540</t>
  </si>
  <si>
    <t>https://www.smwcentral.net/?a=details&amp;id=25540&amp;p=section</t>
  </si>
  <si>
    <t>https://dl.smwcentral.net/25540/SuperMarioWorldRemix.zip</t>
  </si>
  <si>
    <t>Super Mario World Revamped</t>
  </si>
  <si>
    <t>msi810</t>
  </si>
  <si>
    <t>13364</t>
  </si>
  <si>
    <t>https://www.smwcentral.net/?a=details&amp;id=13364&amp;p=section</t>
  </si>
  <si>
    <t>https://dl.smwcentral.net/13364/Super%20Mario%20World%20Revamped.zip</t>
  </si>
  <si>
    <t>Super Mario World Ridley X Hack</t>
  </si>
  <si>
    <t>Ridley X</t>
  </si>
  <si>
    <t>41928</t>
  </si>
  <si>
    <t>https://www.smwcentral.net/?a=details&amp;id=41928&amp;p=section</t>
  </si>
  <si>
    <t>https://dl.smwcentral.net/41928/smw%20ridleyx%20hack%20v1.0.zip</t>
  </si>
  <si>
    <t>Super Mario World The Forest  Adventure</t>
  </si>
  <si>
    <t>jesus angel</t>
  </si>
  <si>
    <t>26478</t>
  </si>
  <si>
    <t>https://www.smwcentral.net/?a=details&amp;id=26478&amp;p=section</t>
  </si>
  <si>
    <t>https://dl.smwcentral.net/26478/Super%20Mario%20World%20The%20Forest%20Adventure.zip</t>
  </si>
  <si>
    <t>Super Mario World The Garden</t>
  </si>
  <si>
    <t>27237</t>
  </si>
  <si>
    <t>https://www.smwcentral.net/?a=details&amp;id=27237&amp;p=section</t>
  </si>
  <si>
    <t>https://dl.smwcentral.net/27237/Super%20Mario%20World%20The%20Garden.zip</t>
  </si>
  <si>
    <t>Super Mario World The Pit Version</t>
  </si>
  <si>
    <t>18631</t>
  </si>
  <si>
    <t>https://www.smwcentral.net/?a=details&amp;id=18631&amp;p=section</t>
  </si>
  <si>
    <t>https://dl.smwcentral.net/18631/SMWTPV.zip</t>
  </si>
  <si>
    <t>Super Mario World the Reture</t>
  </si>
  <si>
    <t>Hellsingrunner, Redbone112, ShodanWii, TheRealNinjaBoy, Userofdoom, uNkNowN7642</t>
  </si>
  <si>
    <t>9777</t>
  </si>
  <si>
    <t>https://www.smwcentral.net/?a=details&amp;id=9777&amp;p=section</t>
  </si>
  <si>
    <t>https://dl.smwcentral.net/9777/SMW%20the%20Reture%201st%20World%20Demo.zip</t>
  </si>
  <si>
    <t>Super Mario World Ultra</t>
  </si>
  <si>
    <t>13341</t>
  </si>
  <si>
    <t>https://www.smwcentral.net/?a=details&amp;id=13341&amp;p=section</t>
  </si>
  <si>
    <t>https://dl.smwcentral.net/13341/Super%20Mario%20World%20Ultra.zip</t>
  </si>
  <si>
    <t>Super Mario World-2</t>
  </si>
  <si>
    <t>37830</t>
  </si>
  <si>
    <t>https://www.smwcentral.net/?a=details&amp;id=37830&amp;p=section</t>
  </si>
  <si>
    <t>https://dl.smwcentral.net/37830/SMW-2.zip</t>
  </si>
  <si>
    <t>Super Mario World-3</t>
  </si>
  <si>
    <t>40129</t>
  </si>
  <si>
    <t>https://www.smwcentral.net/?a=details&amp;id=40129&amp;p=section</t>
  </si>
  <si>
    <t>https://dl.smwcentral.net/40129/SMW-3%20v1.1.zip</t>
  </si>
  <si>
    <t>Super Mario World: "Not Over Yet"</t>
  </si>
  <si>
    <t>Mayonnai, Ringo</t>
  </si>
  <si>
    <t>28886</t>
  </si>
  <si>
    <t>https://www.smwcentral.net/?a=details&amp;id=28886&amp;p=section</t>
  </si>
  <si>
    <t>https://dl.smwcentral.net/28886/smwnoia.zip</t>
  </si>
  <si>
    <t>Super Mario World: A New Adventure 2</t>
  </si>
  <si>
    <t>10267</t>
  </si>
  <si>
    <t>https://www.smwcentral.net/?a=details&amp;id=10267&amp;p=section</t>
  </si>
  <si>
    <t>https://dl.smwcentral.net/10267/SMW%20A%20New%20Adventure%202.zip</t>
  </si>
  <si>
    <t>Super Mario World: A Pineapple Kingdom</t>
  </si>
  <si>
    <t>5495</t>
  </si>
  <si>
    <t>https://www.smwcentral.net/?a=details&amp;id=5495&amp;p=section</t>
  </si>
  <si>
    <t>https://dl.smwcentral.net/5495/APK%20C3%20Demo.zip</t>
  </si>
  <si>
    <t>Super Mario World: A Super Mario Adventure</t>
  </si>
  <si>
    <t>KaidenThelens</t>
  </si>
  <si>
    <t>24426</t>
  </si>
  <si>
    <t>https://www.smwcentral.net/?a=details&amp;id=24426&amp;p=section</t>
  </si>
  <si>
    <t>https://dl.smwcentral.net/24426/A%20ROM%20Hack..zip</t>
  </si>
  <si>
    <t>Super Mario World: A Super Mario Adventure 2 (V2.0)</t>
  </si>
  <si>
    <t>27401</t>
  </si>
  <si>
    <t>https://www.smwcentral.net/?a=details&amp;id=27401&amp;p=section</t>
  </si>
  <si>
    <t>https://dl.smwcentral.net/27401/A%20Super%20Mario%20Adventure%202%20%28V2.0%29.zip</t>
  </si>
  <si>
    <t>Super Mario World: A Super Mario Adventure 3</t>
  </si>
  <si>
    <t>28619</t>
  </si>
  <si>
    <t>https://www.smwcentral.net/?a=details&amp;id=28619&amp;p=section</t>
  </si>
  <si>
    <t>https://dl.smwcentral.net/28619/SMW%20A%20Super%20Mario%20Adventure%203%20%28V2.0%29.zip</t>
  </si>
  <si>
    <t>Super Mario World: Adventure in Forest Land</t>
  </si>
  <si>
    <t>40321</t>
  </si>
  <si>
    <t>https://www.smwcentral.net/?a=details&amp;id=40321&amp;p=section</t>
  </si>
  <si>
    <t>https://dl.smwcentral.net/40321/Super%20Mario%20World%20-%20Adventure%20in%20Forest%20Land%20v1.0.zip</t>
  </si>
  <si>
    <t>Super Mario World: Adventures On Petite Island</t>
  </si>
  <si>
    <t>6286</t>
  </si>
  <si>
    <t>https://www.smwcentral.net/?a=details&amp;id=6286&amp;p=section</t>
  </si>
  <si>
    <t>https://dl.smwcentral.net/6286/SMWAPI%20v1.1.zip</t>
  </si>
  <si>
    <t>Super Mario World: Again in Dinosaur Land</t>
  </si>
  <si>
    <t>18091</t>
  </si>
  <si>
    <t>https://www.smwcentral.net/?a=details&amp;id=18091&amp;p=section</t>
  </si>
  <si>
    <t>https://dl.smwcentral.net/18091/SMWAgaininDinosaurLandDEMO1.zip</t>
  </si>
  <si>
    <t>Super Mario World: Another Pointless Adventure</t>
  </si>
  <si>
    <t>13663</t>
  </si>
  <si>
    <t>https://www.smwcentral.net/?a=details&amp;id=13663&amp;p=section</t>
  </si>
  <si>
    <t>https://dl.smwcentral.net/13663/Another%20Pointless%20Adventure%20%28World%201%20Demo%29.zip</t>
  </si>
  <si>
    <t>Super Mario World: Blue Flamingo</t>
  </si>
  <si>
    <t>Truxton</t>
  </si>
  <si>
    <t>6437</t>
  </si>
  <si>
    <t>https://www.smwcentral.net/?a=details&amp;id=6437&amp;p=section</t>
  </si>
  <si>
    <t>https://dl.smwcentral.net/6437/BF.zip</t>
  </si>
  <si>
    <t>Super Mario World: Bowser's Cataclysmic Trap</t>
  </si>
  <si>
    <t>11608</t>
  </si>
  <si>
    <t>https://www.smwcentral.net/?a=details&amp;id=11608&amp;p=section</t>
  </si>
  <si>
    <t>https://dl.smwcentral.net/11608/BCT%201.2.2.zip</t>
  </si>
  <si>
    <t>Super Mario World: Bowser's Kaizo Conspiracy</t>
  </si>
  <si>
    <t>33943</t>
  </si>
  <si>
    <t>https://www.smwcentral.net/?a=details&amp;id=33943&amp;p=section</t>
  </si>
  <si>
    <t>https://dl.smwcentral.net/33943/Bowser%27s%20Kaizo%20Conspiracy%20v1.2.zip</t>
  </si>
  <si>
    <t>Super Mario World: Bowser's Trial</t>
  </si>
  <si>
    <t>Tio broz</t>
  </si>
  <si>
    <t>9991</t>
  </si>
  <si>
    <t>https://www.smwcentral.net/?a=details&amp;id=9991&amp;p=section</t>
  </si>
  <si>
    <t>https://dl.smwcentral.net/9991/Bowser%27s%20Trial.zip</t>
  </si>
  <si>
    <t>Super Mario World: Challenge Worlds</t>
  </si>
  <si>
    <t>i'mbadwithusernames</t>
  </si>
  <si>
    <t>5589</t>
  </si>
  <si>
    <t>https://www.smwcentral.net/?a=details&amp;id=5589&amp;p=section</t>
  </si>
  <si>
    <t>https://dl.smwcentral.net/5589/Challenge%20Worlds%20Demo%202%20fixed.zip</t>
  </si>
  <si>
    <t>Super Mario World: Christmas Edition</t>
  </si>
  <si>
    <t>21677</t>
  </si>
  <si>
    <t>https://www.smwcentral.net/?a=details&amp;id=21677&amp;p=section</t>
  </si>
  <si>
    <t>https://dl.smwcentral.net/21677/SMW%20Christmas%20Edition.zip</t>
  </si>
  <si>
    <t>Super Mario World: Dark Sniggerbobblian Mythos #2: Sniggerbobble's Redemption: The Crystal of Disaster</t>
  </si>
  <si>
    <t>Sniggerb0bble</t>
  </si>
  <si>
    <t>9661</t>
  </si>
  <si>
    <t>https://www.smwcentral.net/?a=details&amp;id=9661&amp;p=section</t>
  </si>
  <si>
    <t>https://dl.smwcentral.net/9661/SR%3BTCoD%20Teaser%20Demo.zip</t>
  </si>
  <si>
    <t>Super Mario World: Dungeon Conquest - C3 Demo</t>
  </si>
  <si>
    <t>31349</t>
  </si>
  <si>
    <t>https://www.smwcentral.net/?a=details&amp;id=31349&amp;p=section</t>
  </si>
  <si>
    <t>https://dl.smwcentral.net/31349/SMW%20Dungeons.zip</t>
  </si>
  <si>
    <t>Super Mario World: Emberside Island</t>
  </si>
  <si>
    <t>CaramelCupcakes</t>
  </si>
  <si>
    <t>32091</t>
  </si>
  <si>
    <t>https://www.smwcentral.net/?a=details&amp;id=32091&amp;p=section</t>
  </si>
  <si>
    <t>https://dl.smwcentral.net/32091/SMWEmbersideIslandDemo3Upd.zip</t>
  </si>
  <si>
    <t>Super Mario World: Glitch Land</t>
  </si>
  <si>
    <t>Smallhacker</t>
  </si>
  <si>
    <t>9792</t>
  </si>
  <si>
    <t>https://www.smwcentral.net/?a=details&amp;id=9792&amp;p=section</t>
  </si>
  <si>
    <t>https://dl.smwcentral.net/9792/SMW%20Glitch%20Land%20-%20Demo%201.zip</t>
  </si>
  <si>
    <t>Super Mario World: Hehey!</t>
  </si>
  <si>
    <t>Grugi</t>
  </si>
  <si>
    <t>13168</t>
  </si>
  <si>
    <t>https://www.smwcentral.net/?a=details&amp;id=13168&amp;p=section</t>
  </si>
  <si>
    <t>https://dl.smwcentral.net/13168/SMW%20Hehey%21.zip</t>
  </si>
  <si>
    <t>Super Mario World: Hunt for the Dragon Coins</t>
  </si>
  <si>
    <t>10012</t>
  </si>
  <si>
    <t>https://www.smwcentral.net/?a=details&amp;id=10012&amp;p=section</t>
  </si>
  <si>
    <t>https://dl.smwcentral.net/10012/Super%20Mario%20HFTDC.zip</t>
  </si>
  <si>
    <t>Super Mario World: Iggy's Island</t>
  </si>
  <si>
    <t>9840</t>
  </si>
  <si>
    <t>https://www.smwcentral.net/?a=details&amp;id=9840&amp;p=section</t>
  </si>
  <si>
    <t>https://dl.smwcentral.net/9840/Iggy%27s%20Island%20Zip.zip</t>
  </si>
  <si>
    <t>Super Mario World: Journey To Plover Hill</t>
  </si>
  <si>
    <t>jcv1235</t>
  </si>
  <si>
    <t>9803</t>
  </si>
  <si>
    <t>https://www.smwcentral.net/?a=details&amp;id=9803&amp;p=section</t>
  </si>
  <si>
    <t>https://dl.smwcentral.net/9803/Journey%20To%20Plover%20Hill.zip</t>
  </si>
  <si>
    <t>Super Mario World: Jurassic Path</t>
  </si>
  <si>
    <t>Mario's Dog</t>
  </si>
  <si>
    <t>9801</t>
  </si>
  <si>
    <t>https://www.smwcentral.net/?a=details&amp;id=9801&amp;p=section</t>
  </si>
  <si>
    <t>https://dl.smwcentral.net/9801/Super%20Mario%20World%20Jurassic%20Path%20%28Demo%201%29.zip</t>
  </si>
  <si>
    <t>Super Mario World: La Nouvelle Vague</t>
  </si>
  <si>
    <t>6467</t>
  </si>
  <si>
    <t>https://www.smwcentral.net/?a=details&amp;id=6467&amp;p=section</t>
  </si>
  <si>
    <t>https://dl.smwcentral.net/6467/SMW%20La%20Nouvelle%20Vague.zip</t>
  </si>
  <si>
    <t>Super Mario World: Legend of the Four Keys</t>
  </si>
  <si>
    <t>39962</t>
  </si>
  <si>
    <t>https://www.smwcentral.net/?a=details&amp;id=39962&amp;p=section</t>
  </si>
  <si>
    <t>https://dl.smwcentral.net/39962/L4K%201.4.zip</t>
  </si>
  <si>
    <t>Super Mario World: Moving Day</t>
  </si>
  <si>
    <t>10074</t>
  </si>
  <si>
    <t>https://www.smwcentral.net/?a=details&amp;id=10074&amp;p=section</t>
  </si>
  <si>
    <t>https://dl.smwcentral.net/10074/MovingDay-Snowshoe.zip</t>
  </si>
  <si>
    <t>Super Mario World: Panic In Eglet Islands</t>
  </si>
  <si>
    <t>Volt</t>
  </si>
  <si>
    <t>5266</t>
  </si>
  <si>
    <t>https://www.smwcentral.net/?a=details&amp;id=5266&amp;p=section</t>
  </si>
  <si>
    <t>https://dl.smwcentral.net/5266/SMWPIEI%20%28fixed%29.zip</t>
  </si>
  <si>
    <t>Super Mario World: Quest up Mount Morlock.</t>
  </si>
  <si>
    <t>25129</t>
  </si>
  <si>
    <t>https://www.smwcentral.net/?a=details&amp;id=25129&amp;p=section</t>
  </si>
  <si>
    <t>https://dl.smwcentral.net/25129/Heres%20the%20Video%20Game%20V2.zip</t>
  </si>
  <si>
    <t>Super Mario World: Return To Dinosaur Land</t>
  </si>
  <si>
    <t>RAGB</t>
  </si>
  <si>
    <t>4990</t>
  </si>
  <si>
    <t>https://www.smwcentral.net/?a=details&amp;id=4990&amp;p=section</t>
  </si>
  <si>
    <t>https://dl.smwcentral.net/4990/SMW-%20RDL.zip</t>
  </si>
  <si>
    <t>Super Mario World: Season 2</t>
  </si>
  <si>
    <t>DaHitmenGuy</t>
  </si>
  <si>
    <t>31925</t>
  </si>
  <si>
    <t>https://www.smwcentral.net/?a=details&amp;id=31925&amp;p=section</t>
  </si>
  <si>
    <t>https://dl.smwcentral.net/31925/Super%20Mario%20World%20-%20Season%202%20%282021%29.zip</t>
  </si>
  <si>
    <t>Super Mario World: Season 3</t>
  </si>
  <si>
    <t>32736</t>
  </si>
  <si>
    <t>https://www.smwcentral.net/?a=details&amp;id=32736&amp;p=section</t>
  </si>
  <si>
    <t>https://dl.smwcentral.net/32736/Super%20Mario%20World%20-%20Season%203%20%28Demo%20V1%29.zip</t>
  </si>
  <si>
    <t>Super Mario World: Seasonal Chaos!</t>
  </si>
  <si>
    <t>Starman97</t>
  </si>
  <si>
    <t>30887</t>
  </si>
  <si>
    <t>https://www.smwcentral.net/?a=details&amp;id=30887&amp;p=section</t>
  </si>
  <si>
    <t>https://dl.smwcentral.net/30887/SMWSeasonalChaos%21.zip</t>
  </si>
  <si>
    <t>Super Mario World: Serbow's Assault</t>
  </si>
  <si>
    <t>keckcellent</t>
  </si>
  <si>
    <t>5446</t>
  </si>
  <si>
    <t>https://www.smwcentral.net/?a=details&amp;id=5446&amp;p=section</t>
  </si>
  <si>
    <t>https://dl.smwcentral.net/5446/Serbow1-3.zip</t>
  </si>
  <si>
    <t>Super Mario World: Shy-Shy Island</t>
  </si>
  <si>
    <t>yupyup____</t>
  </si>
  <si>
    <t>23028</t>
  </si>
  <si>
    <t>https://www.smwcentral.net/?a=details&amp;id=23028&amp;p=section</t>
  </si>
  <si>
    <t>https://dl.smwcentral.net/23028/SMW%20shyshy%20island.zip</t>
  </si>
  <si>
    <t>Super Mario World: The 4 Magic Wands</t>
  </si>
  <si>
    <t>39208</t>
  </si>
  <si>
    <t>https://www.smwcentral.net/?a=details&amp;id=39208&amp;p=section</t>
  </si>
  <si>
    <t>https://dl.smwcentral.net/39208/Super%20Mario%20World%20-%20The%204%20Magic%20Wands%20V1.0.2.zip</t>
  </si>
  <si>
    <t>Super Mario World: The 7 Elemental Yoshies</t>
  </si>
  <si>
    <t>RandomUser46</t>
  </si>
  <si>
    <t>11004</t>
  </si>
  <si>
    <t>https://www.smwcentral.net/?a=details&amp;id=11004&amp;p=section</t>
  </si>
  <si>
    <t>https://dl.smwcentral.net/11004/SMW%20The%207%20Elemental%20Yoshies%20DEMO.zip</t>
  </si>
  <si>
    <t>Super Mario World: The 7 Koopalings Return</t>
  </si>
  <si>
    <t>9053</t>
  </si>
  <si>
    <t>https://www.smwcentral.net/?a=details&amp;id=9053&amp;p=section</t>
  </si>
  <si>
    <t>https://dl.smwcentral.net/9053/koopalings%20-%20demo.zip</t>
  </si>
  <si>
    <t>Super Mario World: The After Years (Ultra)</t>
  </si>
  <si>
    <t>EvilGuy0613</t>
  </si>
  <si>
    <t>5593</t>
  </si>
  <si>
    <t>https://www.smwcentral.net/?a=details&amp;id=5593&amp;p=section</t>
  </si>
  <si>
    <t>https://dl.smwcentral.net/5593/Super%20Mario%20World%20-%20The%20After%20Years%20%28Ultra%29.zip</t>
  </si>
  <si>
    <t>Super Mario World: The Crazy Quest</t>
  </si>
  <si>
    <t>Ayami</t>
  </si>
  <si>
    <t>10043</t>
  </si>
  <si>
    <t>https://www.smwcentral.net/?a=details&amp;id=10043&amp;p=section</t>
  </si>
  <si>
    <t>https://dl.smwcentral.net/10043/SMW%20The%20Crazy%20Quest%20%28DEMO%20v1.0%29.zip</t>
  </si>
  <si>
    <t>Super Mario World: The Final Showdown!</t>
  </si>
  <si>
    <t>12113</t>
  </si>
  <si>
    <t>https://www.smwcentral.net/?a=details&amp;id=12113&amp;p=section</t>
  </si>
  <si>
    <t>https://dl.smwcentral.net/12113/SMWTheFinalShowdown%28Demo%29.zip</t>
  </si>
  <si>
    <t>Super Mario World: The Huge Adventure</t>
  </si>
  <si>
    <t>10221</t>
  </si>
  <si>
    <t>https://www.smwcentral.net/?a=details&amp;id=10221&amp;p=section</t>
  </si>
  <si>
    <t>https://dl.smwcentral.net/10221/tha.zip</t>
  </si>
  <si>
    <t>Super Mario World: The Lost Adventure - Episode I REMASTERED</t>
  </si>
  <si>
    <t>RichardDS90, isaix</t>
  </si>
  <si>
    <t>33456</t>
  </si>
  <si>
    <t>https://www.smwcentral.net/?a=details&amp;id=33456&amp;p=section</t>
  </si>
  <si>
    <t>https://dl.smwcentral.net/33456/SMW%20The%20Lost%20Adventure%20Episode%20I%20REMASTERED.zip</t>
  </si>
  <si>
    <t>Super Mario World: The Lost Levels</t>
  </si>
  <si>
    <t>CargoOfDarkness, LunaStarshine</t>
  </si>
  <si>
    <t>6410</t>
  </si>
  <si>
    <t>https://www.smwcentral.net/?a=details&amp;id=6410&amp;p=section</t>
  </si>
  <si>
    <t>https://dl.smwcentral.net/6410/New%20Super%20Mario%20World%20-%20The%20%20Lost%20Levels.zip</t>
  </si>
  <si>
    <t>Super Mario World: The Magical Golden Mushroom</t>
  </si>
  <si>
    <t>42564</t>
  </si>
  <si>
    <t>https://www.smwcentral.net/?a=details&amp;id=42564&amp;p=section</t>
  </si>
  <si>
    <t>https://dl.smwcentral.net/42564/Super%20Mario%20World%20-%20The%20Magical%20Golden%20Mushroom%20v1.2.zip</t>
  </si>
  <si>
    <t>Super Mario World: The Magical Wand</t>
  </si>
  <si>
    <t>TheEvilFlashAnimator</t>
  </si>
  <si>
    <t>10062</t>
  </si>
  <si>
    <t>https://www.smwcentral.net/?a=details&amp;id=10062&amp;p=section</t>
  </si>
  <si>
    <t>https://dl.smwcentral.net/10062/SMWTMW_demo.zip</t>
  </si>
  <si>
    <t>Super Mario World: The Megaman 29th anniversary adventure</t>
  </si>
  <si>
    <t>13720</t>
  </si>
  <si>
    <t>https://www.smwcentral.net/?a=details&amp;id=13720&amp;p=section</t>
  </si>
  <si>
    <t>https://dl.smwcentral.net/13720/Megaman29thfull2.zip</t>
  </si>
  <si>
    <t>Super Mario World: The Meteor...</t>
  </si>
  <si>
    <t>9643</t>
  </si>
  <si>
    <t>https://www.smwcentral.net/?a=details&amp;id=9643&amp;p=section</t>
  </si>
  <si>
    <t>https://dl.smwcentral.net/9643/Mario%20the%20meteor.zip</t>
  </si>
  <si>
    <t>Super Mario World: The Mysterious Armada</t>
  </si>
  <si>
    <t>MetallicKreeper</t>
  </si>
  <si>
    <t>18817</t>
  </si>
  <si>
    <t>https://www.smwcentral.net/?a=details&amp;id=18817&amp;p=section</t>
  </si>
  <si>
    <t>https://dl.smwcentral.net/18817/TMA.zip</t>
  </si>
  <si>
    <t>Super Mario World: The New World</t>
  </si>
  <si>
    <t>MrUltimateKirby</t>
  </si>
  <si>
    <t>14829</t>
  </si>
  <si>
    <t>https://www.smwcentral.net/?a=details&amp;id=14829&amp;p=section</t>
  </si>
  <si>
    <t>https://dl.smwcentral.net/14829/Super%20Mario%20World%20-%20The%20New%20World.zip</t>
  </si>
  <si>
    <t>Super Mario World: The Return of Bowser</t>
  </si>
  <si>
    <t>Bmann7000</t>
  </si>
  <si>
    <t>9733</t>
  </si>
  <si>
    <t>https://www.smwcentral.net/?a=details&amp;id=9733&amp;p=section</t>
  </si>
  <si>
    <t>https://dl.smwcentral.net/9733/Mario2008v4.zip</t>
  </si>
  <si>
    <t>Super Mario World: The Secret of 4 Colour Switch</t>
  </si>
  <si>
    <t>Reaper Fan</t>
  </si>
  <si>
    <t>11585</t>
  </si>
  <si>
    <t>https://www.smwcentral.net/?a=details&amp;id=11585&amp;p=section</t>
  </si>
  <si>
    <t>https://dl.smwcentral.net/11585/SMW-The%20Secret%20Of%204%20Colour%20Switch%20Demo%201.3.zip</t>
  </si>
  <si>
    <t>Super Mario World: The Secret of the 7 Golden Statues</t>
  </si>
  <si>
    <t>mario90</t>
  </si>
  <si>
    <t>28693</t>
  </si>
  <si>
    <t>https://www.smwcentral.net/?a=details&amp;id=28693&amp;p=section</t>
  </si>
  <si>
    <t>https://dl.smwcentral.net/28693/Super_Mario_World_The_Secret_of_the_7_Golden_Statues.zip</t>
  </si>
  <si>
    <t>Super Mario World: The Secret of the Lands!</t>
  </si>
  <si>
    <t>6084</t>
  </si>
  <si>
    <t>https://www.smwcentral.net/?a=details&amp;id=6084&amp;p=section</t>
  </si>
  <si>
    <t>https://dl.smwcentral.net/6084/tsotl%20-%20demo%202%21.zip</t>
  </si>
  <si>
    <t>Super Mario World: The Star Field</t>
  </si>
  <si>
    <t>vysethelegend47</t>
  </si>
  <si>
    <t>9966</t>
  </si>
  <si>
    <t>https://www.smwcentral.net/?a=details&amp;id=9966&amp;p=section</t>
  </si>
  <si>
    <t>https://dl.smwcentral.net/9966/SMWTheStarFieldDemo2.2.zip</t>
  </si>
  <si>
    <t>Super Mario World: Twentieth Anniversary Edition</t>
  </si>
  <si>
    <t>10041</t>
  </si>
  <si>
    <t>https://www.smwcentral.net/?a=details&amp;id=10041&amp;p=section</t>
  </si>
  <si>
    <t>https://dl.smwcentral.net/10041/SMW%20Twentieth%20Anniversary.zip</t>
  </si>
  <si>
    <t>Super Mario World: Uber Edition</t>
  </si>
  <si>
    <t>MarioPwnz</t>
  </si>
  <si>
    <t>9772</t>
  </si>
  <si>
    <t>https://www.smwcentral.net/?a=details&amp;id=9772&amp;p=section</t>
  </si>
  <si>
    <t>https://dl.smwcentral.net/9772/Uber%20Mario%20World%20DEMO1.zip</t>
  </si>
  <si>
    <t>Super Mario World: Winter's Delight</t>
  </si>
  <si>
    <t>BD132</t>
  </si>
  <si>
    <t>9847</t>
  </si>
  <si>
    <t>https://www.smwcentral.net/?a=details&amp;id=9847&amp;p=section</t>
  </si>
  <si>
    <t>https://dl.smwcentral.net/9847/WintersDelight.zip</t>
  </si>
  <si>
    <t>Super Mario Worldwide</t>
  </si>
  <si>
    <t>Antroid</t>
  </si>
  <si>
    <t>9767</t>
  </si>
  <si>
    <t>https://www.smwcentral.net/?a=details&amp;id=9767&amp;p=section</t>
  </si>
  <si>
    <t>https://dl.smwcentral.net/9767/Super_Mario_Worldwide.zip</t>
  </si>
  <si>
    <t>Super Mario Worldwide 2</t>
  </si>
  <si>
    <t>5370</t>
  </si>
  <si>
    <t>https://www.smwcentral.net/?a=details&amp;id=5370&amp;p=section</t>
  </si>
  <si>
    <t>https://dl.smwcentral.net/5370/Super_Mario_Worldwide_2.zip</t>
  </si>
  <si>
    <t>Super Mario World²</t>
  </si>
  <si>
    <t>19292</t>
  </si>
  <si>
    <t>https://www.smwcentral.net/?a=details&amp;id=19292&amp;p=section</t>
  </si>
  <si>
    <t>https://dl.smwcentral.net/19292/SMW%5E2%20DEMO.zip</t>
  </si>
  <si>
    <t>Super Mario Wornilla</t>
  </si>
  <si>
    <t>20336</t>
  </si>
  <si>
    <t>https://www.smwcentral.net/?a=details&amp;id=20336&amp;p=section</t>
  </si>
  <si>
    <t>https://dl.smwcentral.net/20336/Super%20Mario%20Wornilla.zip</t>
  </si>
  <si>
    <t>Super Mario Wornilla - Lost Levels</t>
  </si>
  <si>
    <t>22082</t>
  </si>
  <si>
    <t>https://www.smwcentral.net/?a=details&amp;id=22082&amp;p=section</t>
  </si>
  <si>
    <t>https://dl.smwcentral.net/22082/Wornilla%20-%20LostLevels.zip</t>
  </si>
  <si>
    <t>Super Mario X</t>
  </si>
  <si>
    <t>zack30</t>
  </si>
  <si>
    <t>6532</t>
  </si>
  <si>
    <t>https://www.smwcentral.net/?a=details&amp;id=6532&amp;p=section</t>
  </si>
  <si>
    <t>https://dl.smwcentral.net/6532/Super%20Mario%20X.zip</t>
  </si>
  <si>
    <t>Super Mario Yggdrasil</t>
  </si>
  <si>
    <t>Inventalgames</t>
  </si>
  <si>
    <t>41496</t>
  </si>
  <si>
    <t>https://www.smwcentral.net/?a=details&amp;id=41496&amp;p=section</t>
  </si>
  <si>
    <t>https://dl.smwcentral.net/41496/Super%20Mario%20Yggdrasil.zip</t>
  </si>
  <si>
    <t>Super Mario's Adventure To Waste Time</t>
  </si>
  <si>
    <t>6094</t>
  </si>
  <si>
    <t>https://www.smwcentral.net/?a=details&amp;id=6094&amp;p=section</t>
  </si>
  <si>
    <t>https://dl.smwcentral.net/6094/SMATWT%20v1.5.zip</t>
  </si>
  <si>
    <t>Super Mario's Island Hopping Adventure</t>
  </si>
  <si>
    <t>Techokami</t>
  </si>
  <si>
    <t>5023</t>
  </si>
  <si>
    <t>https://www.smwcentral.net/?a=details&amp;id=5023&amp;p=section</t>
  </si>
  <si>
    <t>https://dl.smwcentral.net/5023/smiha.zip</t>
  </si>
  <si>
    <t>Super Mario's Legend Quest!</t>
  </si>
  <si>
    <t>mario56</t>
  </si>
  <si>
    <t>23762</t>
  </si>
  <si>
    <t>https://www.smwcentral.net/?a=details&amp;id=23762&amp;p=section</t>
  </si>
  <si>
    <t>https://dl.smwcentral.net/23762/Super_Marios_Legend_Quest_FIXED.zip</t>
  </si>
  <si>
    <t>Super Mario's Legend: Vacations at the Tropics</t>
  </si>
  <si>
    <t>5444</t>
  </si>
  <si>
    <t>https://www.smwcentral.net/?a=details&amp;id=5444&amp;p=section</t>
  </si>
  <si>
    <t>https://dl.smwcentral.net/5444/Super%20Mario%27s%20Legend%20%5BD1F%5D.zip</t>
  </si>
  <si>
    <t>Super Mario's New Adventure 2: The Villain's Revenge</t>
  </si>
  <si>
    <t>5183</t>
  </si>
  <si>
    <t>https://www.smwcentral.net/?a=details&amp;id=5183&amp;p=section</t>
  </si>
  <si>
    <t>https://dl.smwcentral.net/5183/SMA2%20Demo%201%23%20alpha%20version.zip</t>
  </si>
  <si>
    <t>Super Mario's New Adventure: The Plumber's Fury</t>
  </si>
  <si>
    <t>9839</t>
  </si>
  <si>
    <t>https://www.smwcentral.net/?a=details&amp;id=9839&amp;p=section</t>
  </si>
  <si>
    <t>https://dl.smwcentral.net/9839/SMATPF%20Final%20Version.zip</t>
  </si>
  <si>
    <t>Super Mario's Wacky Worlds SD</t>
  </si>
  <si>
    <t>figuiDOS</t>
  </si>
  <si>
    <t>41432</t>
  </si>
  <si>
    <t>https://www.smwcentral.net/?a=details&amp;id=41432&amp;p=section</t>
  </si>
  <si>
    <t>https://dl.smwcentral.net/41432/Super%20Mario%27s%20Wacky%20Worlds%20SD.zip</t>
  </si>
  <si>
    <t>Super Mario: A Familiar Land</t>
  </si>
  <si>
    <t>Kraken Pals v 2.0</t>
  </si>
  <si>
    <t>13498</t>
  </si>
  <si>
    <t>https://www.smwcentral.net/?a=details&amp;id=13498&amp;p=section</t>
  </si>
  <si>
    <t>https://dl.smwcentral.net/13498/Super%20Mario%20A%20Familiar%20Land.zip</t>
  </si>
  <si>
    <t>Super Mario: A New Beginning</t>
  </si>
  <si>
    <t>9900</t>
  </si>
  <si>
    <t>https://www.smwcentral.net/?a=details&amp;id=9900&amp;p=section</t>
  </si>
  <si>
    <t>https://dl.smwcentral.net/9900/SM-NB%20Demo%203.zip</t>
  </si>
  <si>
    <t>Super Mario: Bowser's Last Stand</t>
  </si>
  <si>
    <t>9640</t>
  </si>
  <si>
    <t>https://www.smwcentral.net/?a=details&amp;id=9640&amp;p=section</t>
  </si>
  <si>
    <t>https://dl.smwcentral.net/9640/SMBLS%20V2.0%20%28Final%20Final%20Fix%29.ips.zip</t>
  </si>
  <si>
    <t>Super Mario: Bowser's Shinedown</t>
  </si>
  <si>
    <t>DragonFire6780</t>
  </si>
  <si>
    <t>10111</t>
  </si>
  <si>
    <t>https://www.smwcentral.net/?a=details&amp;id=10111&amp;p=section</t>
  </si>
  <si>
    <t>https://dl.smwcentral.net/10111/SM%20-%20BS%20dehmoh.zip</t>
  </si>
  <si>
    <t>Super Mario: Buried Treasure</t>
  </si>
  <si>
    <t>CaseP</t>
  </si>
  <si>
    <t>5269</t>
  </si>
  <si>
    <t>https://www.smwcentral.net/?a=details&amp;id=5269&amp;p=section</t>
  </si>
  <si>
    <t>https://dl.smwcentral.net/5269/Buried%20Treasure.zip</t>
  </si>
  <si>
    <t>Super Mario: Christmas Season</t>
  </si>
  <si>
    <t>9994</t>
  </si>
  <si>
    <t>https://www.smwcentral.net/?a=details&amp;id=9994&amp;p=section</t>
  </si>
  <si>
    <t>https://dl.smwcentral.net/9994/Super%20Mario-%20Christmas%20Season.zip</t>
  </si>
  <si>
    <t>Super Mario: Daisy's Kidnapping</t>
  </si>
  <si>
    <t>20417</t>
  </si>
  <si>
    <t>https://www.smwcentral.net/?a=details&amp;id=20417&amp;p=section</t>
  </si>
  <si>
    <t>https://dl.smwcentral.net/20417/Super%20Mario%20-%20Daisy%27s%20Kidnapping%20%28C3%20July%202019%20Demo%29.zip</t>
  </si>
  <si>
    <t>Super Mario: Grand Journey</t>
  </si>
  <si>
    <t>14920</t>
  </si>
  <si>
    <t>https://www.smwcentral.net/?a=details&amp;id=14920&amp;p=section</t>
  </si>
  <si>
    <t>https://dl.smwcentral.net/14920/Super%20Mario%20-%20Grand%20Journey%20C3.zip</t>
  </si>
  <si>
    <t>Super Mario: Hunter's Revenge 2</t>
  </si>
  <si>
    <t>9747</t>
  </si>
  <si>
    <t>https://www.smwcentral.net/?a=details&amp;id=9747&amp;p=section</t>
  </si>
  <si>
    <t>https://dl.smwcentral.net/9747/DEMO1.zip</t>
  </si>
  <si>
    <t>Super Mario: Hunter's Revenge 3</t>
  </si>
  <si>
    <t>9820</t>
  </si>
  <si>
    <t>https://www.smwcentral.net/?a=details&amp;id=9820&amp;p=section</t>
  </si>
  <si>
    <t>https://dl.smwcentral.net/9820/HR3%20Legacy%20Hack%20Update.zip</t>
  </si>
  <si>
    <t>Super Mario: Mushroom Legacy</t>
  </si>
  <si>
    <t>blue leader</t>
  </si>
  <si>
    <t>10149</t>
  </si>
  <si>
    <t>https://www.smwcentral.net/?a=details&amp;id=10149&amp;p=section</t>
  </si>
  <si>
    <t>https://dl.smwcentral.net/10149/Super%20Mario-Mushroom%20Legacy%28Demo%201%29.zip</t>
  </si>
  <si>
    <t>Super Mario: Nozom Quest (Level Sampler)</t>
  </si>
  <si>
    <t>25657</t>
  </si>
  <si>
    <t>https://www.smwcentral.net/?a=details&amp;id=25657&amp;p=section</t>
  </si>
  <si>
    <t>https://dl.smwcentral.net/25657/Super%20Mario%20Nozom%20Quest%20%28Level%20Sampler%29.zip</t>
  </si>
  <si>
    <t>Super Mario: Oiram's Invasion</t>
  </si>
  <si>
    <t>6274</t>
  </si>
  <si>
    <t>https://www.smwcentral.net/?a=details&amp;id=6274&amp;p=section</t>
  </si>
  <si>
    <t>https://dl.smwcentral.net/6274/Oiram%27s%20Invasion.zip</t>
  </si>
  <si>
    <t>Super Mario: Other World</t>
  </si>
  <si>
    <t>Epic_Manky</t>
  </si>
  <si>
    <t>20487</t>
  </si>
  <si>
    <t>https://www.smwcentral.net/?a=details&amp;id=20487&amp;p=section</t>
  </si>
  <si>
    <t>https://dl.smwcentral.net/20487/Super%20Mario%20Other%20World%20%28Updated%20C3%20Summer%202019%20Demo%29.zip</t>
  </si>
  <si>
    <t>Super Mario: RamzaProject</t>
  </si>
  <si>
    <t>9728</t>
  </si>
  <si>
    <t>https://www.smwcentral.net/?a=details&amp;id=9728&amp;p=section</t>
  </si>
  <si>
    <t>https://dl.smwcentral.net/9728/demo001.zip</t>
  </si>
  <si>
    <t>Super Mario: Star Seeker</t>
  </si>
  <si>
    <t>25678</t>
  </si>
  <si>
    <t>https://www.smwcentral.net/?a=details&amp;id=25678&amp;p=section</t>
  </si>
  <si>
    <t>https://dl.smwcentral.net/25678/starseeker_c3.zip</t>
  </si>
  <si>
    <t>Super Mario: Summer Gone Wrong</t>
  </si>
  <si>
    <t>Koelkast</t>
  </si>
  <si>
    <t>9768</t>
  </si>
  <si>
    <t>https://www.smwcentral.net/?a=details&amp;id=9768&amp;p=section</t>
  </si>
  <si>
    <t>https://dl.smwcentral.net/9768/Summer%20Goes%20Wrong.zip</t>
  </si>
  <si>
    <t>Super Mario: The Cookie Crisis</t>
  </si>
  <si>
    <t>yoshicookiezeus</t>
  </si>
  <si>
    <t>5187</t>
  </si>
  <si>
    <t>https://www.smwcentral.net/?a=details&amp;id=5187&amp;p=section</t>
  </si>
  <si>
    <t>https://dl.smwcentral.net/5187/Super%20Mario%20-The%20Cookie%20Crisis%20v0.53.zip</t>
  </si>
  <si>
    <t>Super Mario: The Egg Rescue</t>
  </si>
  <si>
    <t>Samuka97</t>
  </si>
  <si>
    <t>10017</t>
  </si>
  <si>
    <t>https://www.smwcentral.net/?a=details&amp;id=10017&amp;p=section</t>
  </si>
  <si>
    <t>https://dl.smwcentral.net/10017/Egg_Rescue_V1.2.zip</t>
  </si>
  <si>
    <t>Super Mario: The Evil Coalition</t>
  </si>
  <si>
    <t>9805</t>
  </si>
  <si>
    <t>https://www.smwcentral.net/?a=details&amp;id=9805&amp;p=section</t>
  </si>
  <si>
    <t>https://dl.smwcentral.net/9805/SMTEC%20Demo%20One%20Final%20Fix.zip</t>
  </si>
  <si>
    <t>Super Mario: The Five Castles Challenge</t>
  </si>
  <si>
    <t>26778</t>
  </si>
  <si>
    <t>https://www.smwcentral.net/?a=details&amp;id=26778&amp;p=section</t>
  </si>
  <si>
    <t>https://dl.smwcentral.net/26778/The%20Five%20Castle%27s%20Challenge.zip</t>
  </si>
  <si>
    <t>Super Mario: The Friends' Rescue</t>
  </si>
  <si>
    <t>24582</t>
  </si>
  <si>
    <t>https://www.smwcentral.net/?a=details&amp;id=24582&amp;p=section</t>
  </si>
  <si>
    <t>https://dl.smwcentral.net/24582/Super%20Mario%20The%20Friends%27%20Rescue.zip</t>
  </si>
  <si>
    <t>Super Mario: The Infection</t>
  </si>
  <si>
    <t>Shadow Duplicate D</t>
  </si>
  <si>
    <t>9760</t>
  </si>
  <si>
    <t>https://www.smwcentral.net/?a=details&amp;id=9760&amp;p=section</t>
  </si>
  <si>
    <t>https://dl.smwcentral.net/9760/SMTI%200.1E.zip</t>
  </si>
  <si>
    <t>Super Mario: The Quest for Breakfast</t>
  </si>
  <si>
    <t>42645</t>
  </si>
  <si>
    <t>https://www.smwcentral.net/?a=details&amp;id=42645&amp;p=section</t>
  </si>
  <si>
    <t>https://dl.smwcentral.net/42645/SMTQFB_v1.3.zip</t>
  </si>
  <si>
    <t>Super Mario: Toadworth's Disappearance</t>
  </si>
  <si>
    <t>9797</t>
  </si>
  <si>
    <t>https://www.smwcentral.net/?a=details&amp;id=9797&amp;p=section</t>
  </si>
  <si>
    <t>https://dl.smwcentral.net/9797/Toadworth%27s%20Disappearance%20V.1.2.zip</t>
  </si>
  <si>
    <t>Super Mario: Ucronia</t>
  </si>
  <si>
    <t>9954</t>
  </si>
  <si>
    <t>https://www.smwcentral.net/?a=details&amp;id=9954&amp;p=section</t>
  </si>
  <si>
    <t>https://dl.smwcentral.net/9954/Uchronia.zip</t>
  </si>
  <si>
    <t>Super Mario: Universos Paralelos</t>
  </si>
  <si>
    <t>carlos-182</t>
  </si>
  <si>
    <t>9756</t>
  </si>
  <si>
    <t>https://www.smwcentral.net/?a=details&amp;id=9756&amp;p=section</t>
  </si>
  <si>
    <t>https://dl.smwcentral.net/9756/SMUPDemo.zip</t>
  </si>
  <si>
    <t>Super Marisa Adventure World</t>
  </si>
  <si>
    <t>Shiki_Makiro</t>
  </si>
  <si>
    <t>31968</t>
  </si>
  <si>
    <t>https://www.smwcentral.net/?a=details&amp;id=31968&amp;p=section</t>
  </si>
  <si>
    <t>https://dl.smwcentral.net/31968/SMAW%20non%20SA-1%20v1.10a%20For%20SMWC%201%20Player.zip</t>
  </si>
  <si>
    <t>Super Marisa Adventure World 2 - Mari Mari Back Forward Around</t>
  </si>
  <si>
    <t>38329</t>
  </si>
  <si>
    <t>https://www.smwcentral.net/?a=details&amp;id=38329&amp;p=section</t>
  </si>
  <si>
    <t>https://dl.smwcentral.net/38329/SMAW2%20-%20Mari%20Mari%20Back%20Forward%20Around%20%28ver.%201.04d%29.zip</t>
  </si>
  <si>
    <t>Super Mawaru World</t>
  </si>
  <si>
    <t>38515</t>
  </si>
  <si>
    <t>https://www.smwcentral.net/?a=details&amp;id=38515&amp;p=section</t>
  </si>
  <si>
    <t>https://dl.smwcentral.net/38515/SuperMawaruWorld.zip</t>
  </si>
  <si>
    <t>Super Melas World</t>
  </si>
  <si>
    <t>SmoothySmooth</t>
  </si>
  <si>
    <t>23467</t>
  </si>
  <si>
    <t>https://www.smwcentral.net/?a=details&amp;id=23467&amp;p=section</t>
  </si>
  <si>
    <t>https://dl.smwcentral.net/23467/Super%20Melas%20World%20v2.4.zip</t>
  </si>
  <si>
    <t>Super Mez World</t>
  </si>
  <si>
    <t>ImCos</t>
  </si>
  <si>
    <t>24654</t>
  </si>
  <si>
    <t>https://www.smwcentral.net/?a=details&amp;id=24654&amp;p=section</t>
  </si>
  <si>
    <t>https://dl.smwcentral.net/24654/Super%20Mez%20World.zip</t>
  </si>
  <si>
    <t>Super Mio World</t>
  </si>
  <si>
    <t>mio</t>
  </si>
  <si>
    <t>25332</t>
  </si>
  <si>
    <t>https://www.smwcentral.net/?a=details&amp;id=25332&amp;p=section</t>
  </si>
  <si>
    <t>https://dl.smwcentral.net/25332/super_mio_world.zip</t>
  </si>
  <si>
    <t>Super Mirror Dimension</t>
  </si>
  <si>
    <t>AIM-pine</t>
  </si>
  <si>
    <t>40080</t>
  </si>
  <si>
    <t>https://www.smwcentral.net/?a=details&amp;id=40080&amp;p=section</t>
  </si>
  <si>
    <t>https://dl.smwcentral.net/40080/Super%20Mirror%20Dimension%201.2.zip</t>
  </si>
  <si>
    <t>Super Mish World</t>
  </si>
  <si>
    <t>mish1</t>
  </si>
  <si>
    <t>25596</t>
  </si>
  <si>
    <t>https://www.smwcentral.net/?a=details&amp;id=25596&amp;p=section</t>
  </si>
  <si>
    <t>https://dl.smwcentral.net/25596/MishDemo.zip</t>
  </si>
  <si>
    <t>Super Mona World</t>
  </si>
  <si>
    <t>27220</t>
  </si>
  <si>
    <t>https://www.smwcentral.net/?a=details&amp;id=27220&amp;p=section</t>
  </si>
  <si>
    <t>https://dl.smwcentral.net/27220/Super%20Mona%20World%201.5.zip</t>
  </si>
  <si>
    <t>Super Monty World</t>
  </si>
  <si>
    <t>00frank</t>
  </si>
  <si>
    <t>36887</t>
  </si>
  <si>
    <t>https://www.smwcentral.net/?a=details&amp;id=36887&amp;p=section</t>
  </si>
  <si>
    <t>https://dl.smwcentral.net/36887/Super%20Monty%20World%20v1.2.zip</t>
  </si>
  <si>
    <t>Super Moo World</t>
  </si>
  <si>
    <t>Jenboo</t>
  </si>
  <si>
    <t>23075</t>
  </si>
  <si>
    <t>https://www.smwcentral.net/?a=details&amp;id=23075&amp;p=section</t>
  </si>
  <si>
    <t>https://dl.smwcentral.net/23075/SuperMooWorld.zip</t>
  </si>
  <si>
    <t>Super Muncher Slopes</t>
  </si>
  <si>
    <t>tOaO</t>
  </si>
  <si>
    <t>37625</t>
  </si>
  <si>
    <t>https://www.smwcentral.net/?a=details&amp;id=37625&amp;p=section</t>
  </si>
  <si>
    <t>https://dl.smwcentral.net/37625/super-muncher-slopes.zip</t>
  </si>
  <si>
    <t>Super Mushroom Planet</t>
  </si>
  <si>
    <t>wrathofblade</t>
  </si>
  <si>
    <t>9905</t>
  </si>
  <si>
    <t>https://www.smwcentral.net/?a=details&amp;id=9905&amp;p=section</t>
  </si>
  <si>
    <t>https://dl.smwcentral.net/9905/SuperMushPlanet_demo1.zip</t>
  </si>
  <si>
    <t>Super N3TS Kaizo World 1</t>
  </si>
  <si>
    <t>41290</t>
  </si>
  <si>
    <t>https://www.smwcentral.net/?a=details&amp;id=41290&amp;p=section</t>
  </si>
  <si>
    <t>https://dl.smwcentral.net/41290/NETS%20WORLD%201%20%28%20REMAKE%20%29.zip</t>
  </si>
  <si>
    <t>Super N3TS Kaizo World 2</t>
  </si>
  <si>
    <t>40837</t>
  </si>
  <si>
    <t>https://www.smwcentral.net/?a=details&amp;id=40837&amp;p=section</t>
  </si>
  <si>
    <t>https://dl.smwcentral.net/40837/SUPER%20NETS%20KAIZO%20WORLD%202.zip</t>
  </si>
  <si>
    <t>Super N3TS Kaizo World 3 ( Revenge Of The Lost Shells )</t>
  </si>
  <si>
    <t>41228</t>
  </si>
  <si>
    <t>https://www.smwcentral.net/?a=details&amp;id=41228&amp;p=section</t>
  </si>
  <si>
    <t>https://dl.smwcentral.net/41228/NETS%203.zip</t>
  </si>
  <si>
    <t>Super N450 World</t>
  </si>
  <si>
    <t>N450</t>
  </si>
  <si>
    <t>25559</t>
  </si>
  <si>
    <t>https://www.smwcentral.net/?a=details&amp;id=25559&amp;p=section</t>
  </si>
  <si>
    <t>https://dl.smwcentral.net/25559/Super%20N450%20World%20Demo%201.1.zip</t>
  </si>
  <si>
    <t>Super Nambona World</t>
  </si>
  <si>
    <t>nambona890</t>
  </si>
  <si>
    <t>14096</t>
  </si>
  <si>
    <t>https://www.smwcentral.net/?a=details&amp;id=14096&amp;p=section</t>
  </si>
  <si>
    <t>https://dl.smwcentral.net/14096/Super%20Nambona%20World%201%20Level%20Demo.zip</t>
  </si>
  <si>
    <t>Super Nana World</t>
  </si>
  <si>
    <t>39725</t>
  </si>
  <si>
    <t>https://www.smwcentral.net/?a=details&amp;id=39725&amp;p=section</t>
  </si>
  <si>
    <t>https://dl.smwcentral.net/39725/SuperNanaWorld.zip</t>
  </si>
  <si>
    <t>Super Nantucket World</t>
  </si>
  <si>
    <t>fome82</t>
  </si>
  <si>
    <t>29058</t>
  </si>
  <si>
    <t>https://www.smwcentral.net/?a=details&amp;id=29058&amp;p=section</t>
  </si>
  <si>
    <t>https://dl.smwcentral.net/29058/SuperNantucketWorld_011.zip</t>
  </si>
  <si>
    <t>Super Napu World</t>
  </si>
  <si>
    <t>MrNapkino</t>
  </si>
  <si>
    <t>39689</t>
  </si>
  <si>
    <t>https://www.smwcentral.net/?a=details&amp;id=39689&amp;p=section</t>
  </si>
  <si>
    <t>https://dl.smwcentral.net/39689/NapuWorldV1.1.zip</t>
  </si>
  <si>
    <t>Super Nario World</t>
  </si>
  <si>
    <t>Nario31415</t>
  </si>
  <si>
    <t>38086</t>
  </si>
  <si>
    <t>https://www.smwcentral.net/?a=details&amp;id=38086&amp;p=section</t>
  </si>
  <si>
    <t>https://dl.smwcentral.net/38086/Super%20Nario%20World%28v1.1%29.zip</t>
  </si>
  <si>
    <t>Super NemMeViu World</t>
  </si>
  <si>
    <t>P1JDS, TheMURAmatsu</t>
  </si>
  <si>
    <t>28977</t>
  </si>
  <si>
    <t>https://www.smwcentral.net/?a=details&amp;id=28977&amp;p=section</t>
  </si>
  <si>
    <t>https://dl.smwcentral.net/28977/Super%20NemMeViu%20World%201.1.zip</t>
  </si>
  <si>
    <t>Super NemMeViu World 2</t>
  </si>
  <si>
    <t>31128</t>
  </si>
  <si>
    <t>https://www.smwcentral.net/?a=details&amp;id=31128&amp;p=section</t>
  </si>
  <si>
    <t>https://dl.smwcentral.net/31128/_Super%20NemMeViu%20World%202%20%28V.1.2%29.zip</t>
  </si>
  <si>
    <t>Super Nessy World</t>
  </si>
  <si>
    <t>paper ness</t>
  </si>
  <si>
    <t>31577</t>
  </si>
  <si>
    <t>https://www.smwcentral.net/?a=details&amp;id=31577&amp;p=section</t>
  </si>
  <si>
    <t>https://dl.smwcentral.net/31577/Super%20Nessy%20World.zip</t>
  </si>
  <si>
    <t>Super Nessy World 2</t>
  </si>
  <si>
    <t>34369</t>
  </si>
  <si>
    <t>https://www.smwcentral.net/?a=details&amp;id=34369&amp;p=section</t>
  </si>
  <si>
    <t>https://dl.smwcentral.net/34369/Super%20Nessy%20World%202.zip</t>
  </si>
  <si>
    <t>Super Ninji Land</t>
  </si>
  <si>
    <t>23434</t>
  </si>
  <si>
    <t>https://www.smwcentral.net/?a=details&amp;id=23434&amp;p=section</t>
  </si>
  <si>
    <t>https://dl.smwcentral.net/23434/SuperNinjiLand1.1.zip</t>
  </si>
  <si>
    <t>Super Ninji Land 2: A Ninji's Journey</t>
  </si>
  <si>
    <t>27137</t>
  </si>
  <si>
    <t>https://www.smwcentral.net/?a=details&amp;id=27137&amp;p=section</t>
  </si>
  <si>
    <t>https://dl.smwcentral.net/27137/SuperNinjiLand%20-%20V%201.2%20.zip</t>
  </si>
  <si>
    <t>Super Ninji Land Reawakened</t>
  </si>
  <si>
    <t>40217</t>
  </si>
  <si>
    <t>https://www.smwcentral.net/?a=details&amp;id=40217&amp;p=section</t>
  </si>
  <si>
    <t>https://dl.smwcentral.net/40217/SuperNinjiLandReawakened%20V1.1.zip</t>
  </si>
  <si>
    <t>Super Normal World</t>
  </si>
  <si>
    <t>IceFreaki</t>
  </si>
  <si>
    <t>9882</t>
  </si>
  <si>
    <t>https://www.smwcentral.net/?a=details&amp;id=9882&amp;p=section</t>
  </si>
  <si>
    <t>https://dl.smwcentral.net/9882/super%20normal%20world.zip</t>
  </si>
  <si>
    <t>Super Nostalgia World</t>
  </si>
  <si>
    <t>6965</t>
  </si>
  <si>
    <t>https://www.smwcentral.net/?a=details&amp;id=6965&amp;p=section</t>
  </si>
  <si>
    <t>https://dl.smwcentral.net/6965/SNW%20c3%20DEMO%201.zip</t>
  </si>
  <si>
    <t>Super Nothing World</t>
  </si>
  <si>
    <t>29680</t>
  </si>
  <si>
    <t>https://www.smwcentral.net/?a=details&amp;id=29680&amp;p=section</t>
  </si>
  <si>
    <t>https://dl.smwcentral.net/29680/SuperNothingWorld1_2.zip</t>
  </si>
  <si>
    <t>Super Nova</t>
  </si>
  <si>
    <t>24397</t>
  </si>
  <si>
    <t>https://www.smwcentral.net/?a=details&amp;id=24397&amp;p=section</t>
  </si>
  <si>
    <t>https://dl.smwcentral.net/24397/Super%20Nova%201.21.zip</t>
  </si>
  <si>
    <t>Super Nova Deluxe</t>
  </si>
  <si>
    <t>24704</t>
  </si>
  <si>
    <t>https://www.smwcentral.net/?a=details&amp;id=24704&amp;p=section</t>
  </si>
  <si>
    <t>https://dl.smwcentral.net/24704/Super%20Nova%20Deluxe.zip</t>
  </si>
  <si>
    <t>Super Nova World</t>
  </si>
  <si>
    <t>28782</t>
  </si>
  <si>
    <t>https://www.smwcentral.net/?a=details&amp;id=28782&amp;p=section</t>
  </si>
  <si>
    <t>https://dl.smwcentral.net/28782/Super%20Nova%20World%201.1.zip</t>
  </si>
  <si>
    <t>Super Odd World</t>
  </si>
  <si>
    <t>Arobam</t>
  </si>
  <si>
    <t>30237</t>
  </si>
  <si>
    <t>https://www.smwcentral.net/?a=details&amp;id=30237&amp;p=section</t>
  </si>
  <si>
    <t>https://dl.smwcentral.net/30237/Super%20Odd%20World.zip</t>
  </si>
  <si>
    <t>Super Odd World 2</t>
  </si>
  <si>
    <t>9879</t>
  </si>
  <si>
    <t>https://www.smwcentral.net/?a=details&amp;id=9879&amp;p=section</t>
  </si>
  <si>
    <t>https://dl.smwcentral.net/9879/Super%20Odd%20World%202.zip</t>
  </si>
  <si>
    <t>Super Omelette World</t>
  </si>
  <si>
    <t>Whoamme</t>
  </si>
  <si>
    <t>10045</t>
  </si>
  <si>
    <t>https://www.smwcentral.net/?a=details&amp;id=10045&amp;p=section</t>
  </si>
  <si>
    <t>https://dl.smwcentral.net/10045/Super%20Omelette%20World.zip</t>
  </si>
  <si>
    <t>Super One Point Oh</t>
  </si>
  <si>
    <t>22591</t>
  </si>
  <si>
    <t>https://www.smwcentral.net/?a=details&amp;id=22591&amp;p=section</t>
  </si>
  <si>
    <t>https://dl.smwcentral.net/22591/SuperOnePointOh.zip</t>
  </si>
  <si>
    <t>Super Only Up with Fennet Boddy's Jump Prince</t>
  </si>
  <si>
    <t>34768</t>
  </si>
  <si>
    <t>https://www.smwcentral.net/?a=details&amp;id=34768&amp;p=section</t>
  </si>
  <si>
    <t>https://dl.smwcentral.net/34768/Super%20Maybe%20Upwards.zip</t>
  </si>
  <si>
    <t>Super Ordinary World</t>
  </si>
  <si>
    <t>41828</t>
  </si>
  <si>
    <t>https://www.smwcentral.net/?a=details&amp;id=41828&amp;p=section</t>
  </si>
  <si>
    <t>https://dl.smwcentral.net/41828/Super%20Ordinary%20World.zip</t>
  </si>
  <si>
    <t>Super Oreetv World</t>
  </si>
  <si>
    <t>40758</t>
  </si>
  <si>
    <t>https://www.smwcentral.net/?a=details&amp;id=40758&amp;p=section</t>
  </si>
  <si>
    <t>https://dl.smwcentral.net/40758/Super%20Oreetv%20World.zip</t>
  </si>
  <si>
    <t>Super Panga World</t>
  </si>
  <si>
    <t>Linkdeadx2</t>
  </si>
  <si>
    <t>15561</t>
  </si>
  <si>
    <t>https://www.smwcentral.net/?a=details&amp;id=15561&amp;p=section</t>
  </si>
  <si>
    <t>https://dl.smwcentral.net/15561/Super%20Panga%20World%20v1.2.zip</t>
  </si>
  <si>
    <t>Super Paper Luigi</t>
  </si>
  <si>
    <t>9771</t>
  </si>
  <si>
    <t>https://www.smwcentral.net/?a=details&amp;id=9771&amp;p=section</t>
  </si>
  <si>
    <t>https://dl.smwcentral.net/9771/Paper%20Luigi.zip</t>
  </si>
  <si>
    <t>Super pcclub88 World</t>
  </si>
  <si>
    <t>39546</t>
  </si>
  <si>
    <t>https://www.smwcentral.net/?a=details&amp;id=39546&amp;p=section</t>
  </si>
  <si>
    <t>https://dl.smwcentral.net/39546/Super%20pcclub88%20World.zip</t>
  </si>
  <si>
    <t>Super pcclub88 World II: The Return of the Fog</t>
  </si>
  <si>
    <t>40175</t>
  </si>
  <si>
    <t>https://www.smwcentral.net/?a=details&amp;id=40175&amp;p=section</t>
  </si>
  <si>
    <t>https://dl.smwcentral.net/40175/Super_pcclub88_World_II_.zip</t>
  </si>
  <si>
    <t>Super Peach World</t>
  </si>
  <si>
    <t>25501</t>
  </si>
  <si>
    <t>https://www.smwcentral.net/?a=details&amp;id=25501&amp;p=section</t>
  </si>
  <si>
    <t>https://dl.smwcentral.net/25501/Super%20Peach%20World.zip</t>
  </si>
  <si>
    <t>Super Peggy World</t>
  </si>
  <si>
    <t>smasken</t>
  </si>
  <si>
    <t>19565</t>
  </si>
  <si>
    <t>https://www.smwcentral.net/?a=details&amp;id=19565&amp;p=section</t>
  </si>
  <si>
    <t>https://dl.smwcentral.net/19565/SuperPeggyWorld1.4.zip</t>
  </si>
  <si>
    <t>Super Penny World</t>
  </si>
  <si>
    <t>27712</t>
  </si>
  <si>
    <t>https://www.smwcentral.net/?a=details&amp;id=27712&amp;p=section</t>
  </si>
  <si>
    <t>https://dl.smwcentral.net/27712/Super%20Penny%20World%20v1.0.zip</t>
  </si>
  <si>
    <t>Super Pika Land Ultra: Chocolate Version</t>
  </si>
  <si>
    <t>6351</t>
  </si>
  <si>
    <t>https://www.smwcentral.net/?a=details&amp;id=6351&amp;p=section</t>
  </si>
  <si>
    <t>https://dl.smwcentral.net/6351/SpluC_FINAL4.3.zip</t>
  </si>
  <si>
    <t>Super Pika Land Ultra: Vanilla Version</t>
  </si>
  <si>
    <t>5494</t>
  </si>
  <si>
    <t>https://www.smwcentral.net/?a=details&amp;id=5494&amp;p=section</t>
  </si>
  <si>
    <t>https://dl.smwcentral.net/5494/SPLU%20patch.zip</t>
  </si>
  <si>
    <t>Super PKlepek World</t>
  </si>
  <si>
    <t>akkanben</t>
  </si>
  <si>
    <t>22794</t>
  </si>
  <si>
    <t>https://www.smwcentral.net/?a=details&amp;id=22794&amp;p=section</t>
  </si>
  <si>
    <t>https://dl.smwcentral.net/22794/Super%20PKlepek%20World.zip</t>
  </si>
  <si>
    <t>super place land!</t>
  </si>
  <si>
    <t>mufbin</t>
  </si>
  <si>
    <t>17292</t>
  </si>
  <si>
    <t>https://www.smwcentral.net/?a=details&amp;id=17292&amp;p=section</t>
  </si>
  <si>
    <t>https://dl.smwcentral.net/17292/super%20place%20land%21.zip</t>
  </si>
  <si>
    <t>Super Plinko World</t>
  </si>
  <si>
    <t>AmperSam, Various Authors</t>
  </si>
  <si>
    <t>40658</t>
  </si>
  <si>
    <t>https://www.smwcentral.net/?a=details&amp;id=40658&amp;p=section</t>
  </si>
  <si>
    <t>https://dl.smwcentral.net/40658/fish_plinko-1.5.zip</t>
  </si>
  <si>
    <t>Super Plumber Mario World</t>
  </si>
  <si>
    <t>9780</t>
  </si>
  <si>
    <t>https://www.smwcentral.net/?a=details&amp;id=9780&amp;p=section</t>
  </si>
  <si>
    <t>https://dl.smwcentral.net/9780/Super%20Plumber%20Mario%20World%201%20%28Demo%201%29.zip</t>
  </si>
  <si>
    <t>Super Practice World</t>
  </si>
  <si>
    <t>djEnby</t>
  </si>
  <si>
    <t>34158</t>
  </si>
  <si>
    <t>https://www.smwcentral.net/?a=details&amp;id=34158&amp;p=section</t>
  </si>
  <si>
    <t>https://dl.smwcentral.net/34158/Super%20Practice%20World.zip</t>
  </si>
  <si>
    <t>Super Puzzle Land 2 - Remastered</t>
  </si>
  <si>
    <t>natnew</t>
  </si>
  <si>
    <t>14874</t>
  </si>
  <si>
    <t>https://www.smwcentral.net/?a=details&amp;id=14874&amp;p=section</t>
  </si>
  <si>
    <t>https://dl.smwcentral.net/14874/SPL2RN1.zip</t>
  </si>
  <si>
    <t>Super Race World</t>
  </si>
  <si>
    <t>The insane little elf</t>
  </si>
  <si>
    <t>9781</t>
  </si>
  <si>
    <t>https://www.smwcentral.net/?a=details&amp;id=9781&amp;p=section</t>
  </si>
  <si>
    <t>https://dl.smwcentral.net/9781/Super%20race%20world.zip</t>
  </si>
  <si>
    <t>Super RDK</t>
  </si>
  <si>
    <t>28166</t>
  </si>
  <si>
    <t>https://www.smwcentral.net/?a=details&amp;id=28166&amp;p=section</t>
  </si>
  <si>
    <t>https://dl.smwcentral.net/28166/RDK.zip</t>
  </si>
  <si>
    <t>Super Reasonable World</t>
  </si>
  <si>
    <t>39863</t>
  </si>
  <si>
    <t>https://www.smwcentral.net/?a=details&amp;id=39863&amp;p=section</t>
  </si>
  <si>
    <t>https://dl.smwcentral.net/39863/SuperReasonableWorld.zip</t>
  </si>
  <si>
    <t>Super Refund World</t>
  </si>
  <si>
    <t>41864</t>
  </si>
  <si>
    <t>https://www.smwcentral.net/?a=details&amp;id=41864&amp;p=section</t>
  </si>
  <si>
    <t>https://dl.smwcentral.net/41864/Super%20Refund%20World%201.02.zip</t>
  </si>
  <si>
    <t>Super Regiane-se</t>
  </si>
  <si>
    <t>42386</t>
  </si>
  <si>
    <t>https://www.smwcentral.net/?a=details&amp;id=42386&amp;p=section</t>
  </si>
  <si>
    <t>https://dl.smwcentral.net/42386/Super%20Regiane-se.zip</t>
  </si>
  <si>
    <t>Super Reimu World Return To Hack</t>
  </si>
  <si>
    <t>31608</t>
  </si>
  <si>
    <t>https://www.smwcentral.net/?a=details&amp;id=31608&amp;p=section</t>
  </si>
  <si>
    <t>https://dl.smwcentral.net/31608/SRW%20return%20to%20hack%20%28final%29.zip</t>
  </si>
  <si>
    <t>Super Responsible World</t>
  </si>
  <si>
    <t>12979</t>
  </si>
  <si>
    <t>https://www.smwcentral.net/?a=details&amp;id=12979&amp;p=section</t>
  </si>
  <si>
    <t>https://dl.smwcentral.net/12979/Super%20Responsible%20World.zip</t>
  </si>
  <si>
    <t>Super Riff World</t>
  </si>
  <si>
    <t>21703</t>
  </si>
  <si>
    <t>https://www.smwcentral.net/?a=details&amp;id=21703&amp;p=section</t>
  </si>
  <si>
    <t>https://dl.smwcentral.net/21703/Super%20Riff%20World.zip</t>
  </si>
  <si>
    <t>Super Rtyuio World: Part 1</t>
  </si>
  <si>
    <t>rtyuio54321</t>
  </si>
  <si>
    <t>9972</t>
  </si>
  <si>
    <t>https://www.smwcentral.net/?a=details&amp;id=9972&amp;p=section</t>
  </si>
  <si>
    <t>https://dl.smwcentral.net/9972/Rtyuio.zip</t>
  </si>
  <si>
    <t>Super Run World</t>
  </si>
  <si>
    <t>18529</t>
  </si>
  <si>
    <t>https://www.smwcentral.net/?a=details&amp;id=18529&amp;p=section</t>
  </si>
  <si>
    <t>https://dl.smwcentral.net/18529/Super%20Run%20World%20v1.2.zip</t>
  </si>
  <si>
    <t>Super Russian World</t>
  </si>
  <si>
    <t>22278</t>
  </si>
  <si>
    <t>https://www.smwcentral.net/?a=details&amp;id=22278&amp;p=section</t>
  </si>
  <si>
    <t>https://dl.smwcentral.net/22278/SRW%20Demo%201.3.zip</t>
  </si>
  <si>
    <t>Super Russian World Prequel</t>
  </si>
  <si>
    <t>23981</t>
  </si>
  <si>
    <t>https://www.smwcentral.net/?a=details&amp;id=23981&amp;p=section</t>
  </si>
  <si>
    <t>https://dl.smwcentral.net/23981/SRW%20Prequel.zip</t>
  </si>
  <si>
    <t>Super Ryu World</t>
  </si>
  <si>
    <t>18268</t>
  </si>
  <si>
    <t>https://www.smwcentral.net/?a=details&amp;id=18268&amp;p=section</t>
  </si>
  <si>
    <t>https://dl.smwcentral.net/18268/Super%20Ryu%20World%201.zip</t>
  </si>
  <si>
    <t>Super Ryu World 2</t>
  </si>
  <si>
    <t>20717</t>
  </si>
  <si>
    <t>https://www.smwcentral.net/?a=details&amp;id=20717&amp;p=section</t>
  </si>
  <si>
    <t>https://dl.smwcentral.net/20717/SRW2.zip</t>
  </si>
  <si>
    <t>Super Sabor World Deluxe</t>
  </si>
  <si>
    <t>18369</t>
  </si>
  <si>
    <t>https://www.smwcentral.net/?a=details&amp;id=18369&amp;p=section</t>
  </si>
  <si>
    <t>https://dl.smwcentral.net/18369/Super%20Sabor%20World%20Deluxe.zip</t>
  </si>
  <si>
    <t>Super Salary World</t>
  </si>
  <si>
    <t>39968</t>
  </si>
  <si>
    <t>https://www.smwcentral.net/?a=details&amp;id=39968&amp;p=section</t>
  </si>
  <si>
    <t>https://dl.smwcentral.net/39968/supersalaryworld.zip</t>
  </si>
  <si>
    <t>Super Samuroy Adventures</t>
  </si>
  <si>
    <t>16863</t>
  </si>
  <si>
    <t>https://www.smwcentral.net/?a=details&amp;id=16863&amp;p=section</t>
  </si>
  <si>
    <t>https://dl.smwcentral.net/16863/Super%20Samuroy%20Adventures.zip</t>
  </si>
  <si>
    <t>Super Sauce Search</t>
  </si>
  <si>
    <t>Falconpunch, Giga, Impetus, LucasRCD</t>
  </si>
  <si>
    <t>29464</t>
  </si>
  <si>
    <t>https://www.smwcentral.net/?a=details&amp;id=29464&amp;p=section</t>
  </si>
  <si>
    <t>https://dl.smwcentral.net/29464/Super%20Sauce%20Search%20-As%20Intended%21-.zip</t>
  </si>
  <si>
    <t>Super Schrausch World</t>
  </si>
  <si>
    <t>30548</t>
  </si>
  <si>
    <t>https://www.smwcentral.net/?a=details&amp;id=30548&amp;p=section</t>
  </si>
  <si>
    <t>https://dl.smwcentral.net/30548/Super%20Schrausch%20WORLD.zip</t>
  </si>
  <si>
    <t>Super Schrausch World 2</t>
  </si>
  <si>
    <t>32345</t>
  </si>
  <si>
    <t>https://www.smwcentral.net/?a=details&amp;id=32345&amp;p=section</t>
  </si>
  <si>
    <t>https://dl.smwcentral.net/32345/SSW2%20RoS.zip</t>
  </si>
  <si>
    <t>Super Sekai World</t>
  </si>
  <si>
    <t>ShadoWingx</t>
  </si>
  <si>
    <t>17489</t>
  </si>
  <si>
    <t>https://www.smwcentral.net/?a=details&amp;id=17489&amp;p=section</t>
  </si>
  <si>
    <t>https://dl.smwcentral.net/17489/Super%20Sekai%20World%201.5.zip</t>
  </si>
  <si>
    <t>Super SGES Races season 1+2</t>
  </si>
  <si>
    <t>RedKitsune</t>
  </si>
  <si>
    <t>26747</t>
  </si>
  <si>
    <t>https://www.smwcentral.net/?a=details&amp;id=26747&amp;p=section</t>
  </si>
  <si>
    <t>https://dl.smwcentral.net/26747/SSGESRs2.zip</t>
  </si>
  <si>
    <t>Super Sheffy World 2: The Quest for 5 Shells</t>
  </si>
  <si>
    <t>18698</t>
  </si>
  <si>
    <t>https://www.smwcentral.net/?a=details&amp;id=18698&amp;p=section</t>
  </si>
  <si>
    <t>https://dl.smwcentral.net/18698/Super%20Sheffy%20World%202%20The%20Quest%20for%20the%205%20Shells%201.04.zip</t>
  </si>
  <si>
    <t>Super Sheffy World Deluxe</t>
  </si>
  <si>
    <t>18422</t>
  </si>
  <si>
    <t>https://www.smwcentral.net/?a=details&amp;id=18422&amp;p=section</t>
  </si>
  <si>
    <t>https://dl.smwcentral.net/18422/SuperSheffyWorldDeluxe.zip</t>
  </si>
  <si>
    <t>Super shell world</t>
  </si>
  <si>
    <t>37427</t>
  </si>
  <si>
    <t>https://www.smwcentral.net/?a=details&amp;id=37427&amp;p=section</t>
  </si>
  <si>
    <t>https://dl.smwcentral.net/37427/super%20shell%20world%20v1.2.zip</t>
  </si>
  <si>
    <t>Super ShyGuy's Epic Journey</t>
  </si>
  <si>
    <t>Captain Domas</t>
  </si>
  <si>
    <t>26670</t>
  </si>
  <si>
    <t>https://www.smwcentral.net/?a=details&amp;id=26670&amp;p=section</t>
  </si>
  <si>
    <t>https://dl.smwcentral.net/26670/Super%20ShyGuys%20Journey.zip</t>
  </si>
  <si>
    <t>Super Sickos World</t>
  </si>
  <si>
    <t>Heraga, Nanako, Nitrogen, RussianMan, margot</t>
  </si>
  <si>
    <t>29004</t>
  </si>
  <si>
    <t>https://www.smwcentral.net/?a=details&amp;id=29004&amp;p=section</t>
  </si>
  <si>
    <t>https://dl.smwcentral.net/29004/Sickos1.2.zip</t>
  </si>
  <si>
    <t>Super Sigma World</t>
  </si>
  <si>
    <t>38184</t>
  </si>
  <si>
    <t>https://www.smwcentral.net/?a=details&amp;id=38184&amp;p=section</t>
  </si>
  <si>
    <t>https://dl.smwcentral.net/38184/SuperSigmaWorld.zip</t>
  </si>
  <si>
    <t>Super Skyler World</t>
  </si>
  <si>
    <t>Uncle_Bones</t>
  </si>
  <si>
    <t>9794</t>
  </si>
  <si>
    <t>https://www.smwcentral.net/?a=details&amp;id=9794&amp;p=section</t>
  </si>
  <si>
    <t>https://dl.smwcentral.net/9794/Super%20Skyler%20World.zip</t>
  </si>
  <si>
    <t>Super Slider World</t>
  </si>
  <si>
    <t>ItIzEcks</t>
  </si>
  <si>
    <t>30661</t>
  </si>
  <si>
    <t>https://www.smwcentral.net/?a=details&amp;id=30661&amp;p=section</t>
  </si>
  <si>
    <t>https://dl.smwcentral.net/30661/SliderWorld.zip</t>
  </si>
  <si>
    <t>Super Slim World</t>
  </si>
  <si>
    <t>20223</t>
  </si>
  <si>
    <t>https://www.smwcentral.net/?a=details&amp;id=20223&amp;p=section</t>
  </si>
  <si>
    <t>https://dl.smwcentral.net/20223/Super%20Slim%20World%20v1.5.zip</t>
  </si>
  <si>
    <t>Super Smile Face World</t>
  </si>
  <si>
    <t>24342</t>
  </si>
  <si>
    <t>https://www.smwcentral.net/?a=details&amp;id=24342&amp;p=section</t>
  </si>
  <si>
    <t>https://dl.smwcentral.net/24342/Super_Smile_Face_World.zip</t>
  </si>
  <si>
    <t>Super Special World</t>
  </si>
  <si>
    <t>SMWizard</t>
  </si>
  <si>
    <t>28669</t>
  </si>
  <si>
    <t>https://www.smwcentral.net/?a=details&amp;id=28669&amp;p=section</t>
  </si>
  <si>
    <t>https://dl.smwcentral.net/28669/SSW_v01.zip</t>
  </si>
  <si>
    <t>Super Speed World</t>
  </si>
  <si>
    <t>Revenge319</t>
  </si>
  <si>
    <t>33637</t>
  </si>
  <si>
    <t>https://www.smwcentral.net/?a=details&amp;id=33637&amp;p=section</t>
  </si>
  <si>
    <t>https://dl.smwcentral.net/33637/Super%20Speed%20World%20DEMO.zip</t>
  </si>
  <si>
    <t>Super Spice World</t>
  </si>
  <si>
    <t>Randomiser</t>
  </si>
  <si>
    <t>16432</t>
  </si>
  <si>
    <t>https://www.smwcentral.net/?a=details&amp;id=16432&amp;p=section</t>
  </si>
  <si>
    <t>https://dl.smwcentral.net/16432/Super%20Spice%20World.zip</t>
  </si>
  <si>
    <t>Super Sponge World</t>
  </si>
  <si>
    <t>19988</t>
  </si>
  <si>
    <t>https://www.smwcentral.net/?a=details&amp;id=19988&amp;p=section</t>
  </si>
  <si>
    <t>https://dl.smwcentral.net/19988/SuperSpongeWorld.zip</t>
  </si>
  <si>
    <t>Super Stacey World</t>
  </si>
  <si>
    <t>dylanofinsanity</t>
  </si>
  <si>
    <t>18426</t>
  </si>
  <si>
    <t>https://www.smwcentral.net/?a=details&amp;id=18426&amp;p=section</t>
  </si>
  <si>
    <t>https://dl.smwcentral.net/18426/Super_Stacey_World_1.2.zip</t>
  </si>
  <si>
    <t>Super Struggler World</t>
  </si>
  <si>
    <t>34008</t>
  </si>
  <si>
    <t>https://www.smwcentral.net/?a=details&amp;id=34008&amp;p=section</t>
  </si>
  <si>
    <t>https://dl.smwcentral.net/34008/Super%20Struggler%20World.zip</t>
  </si>
  <si>
    <t>super super com</t>
  </si>
  <si>
    <t>HeroBr, Togmyoa</t>
  </si>
  <si>
    <t>41925</t>
  </si>
  <si>
    <t>https://www.smwcentral.net/?a=details&amp;id=41925&amp;p=section</t>
  </si>
  <si>
    <t>https://dl.smwcentral.net/41925/fire.zip</t>
  </si>
  <si>
    <t>Super Super Duper World</t>
  </si>
  <si>
    <t>ihaveonebigeye</t>
  </si>
  <si>
    <t>40699</t>
  </si>
  <si>
    <t>https://www.smwcentral.net/?a=details&amp;id=40699&amp;p=section</t>
  </si>
  <si>
    <t>https://dl.smwcentral.net/40699/ssdw%201.1.zip</t>
  </si>
  <si>
    <t>Super Sweg World</t>
  </si>
  <si>
    <t>ElSturge</t>
  </si>
  <si>
    <t>22141</t>
  </si>
  <si>
    <t>https://www.smwcentral.net/?a=details&amp;id=22141&amp;p=section</t>
  </si>
  <si>
    <t>https://dl.smwcentral.net/22141/Super%20Sweg%20World.zip</t>
  </si>
  <si>
    <t>Super Swordi World</t>
  </si>
  <si>
    <t>Sir_Danny_TM</t>
  </si>
  <si>
    <t>25145</t>
  </si>
  <si>
    <t>https://www.smwcentral.net/?a=details&amp;id=25145&amp;p=section</t>
  </si>
  <si>
    <t>https://dl.smwcentral.net/25145/SuperSwordiWorld%20Vers.%201.0.zip</t>
  </si>
  <si>
    <t>Super Swordi World 2</t>
  </si>
  <si>
    <t>29988</t>
  </si>
  <si>
    <t>https://www.smwcentral.net/?a=details&amp;id=29988&amp;p=section</t>
  </si>
  <si>
    <t>https://dl.smwcentral.net/29988/Swordi%20World%202%201.1.zip</t>
  </si>
  <si>
    <t>Super Swunsh World</t>
  </si>
  <si>
    <t>ChrizStylez</t>
  </si>
  <si>
    <t>22253</t>
  </si>
  <si>
    <t>https://www.smwcentral.net/?a=details&amp;id=22253&amp;p=section</t>
  </si>
  <si>
    <t>https://dl.smwcentral.net/22253/Super_Swunsh_World1.1.zip</t>
  </si>
  <si>
    <t>Super Swunsh World 2</t>
  </si>
  <si>
    <t>26113</t>
  </si>
  <si>
    <t>https://www.smwcentral.net/?a=details&amp;id=26113&amp;p=section</t>
  </si>
  <si>
    <t>https://dl.smwcentral.net/26113/Super%20Swunsh%20World%202.zip</t>
  </si>
  <si>
    <t>Super Tanoshii World</t>
  </si>
  <si>
    <t>38881</t>
  </si>
  <si>
    <t>https://www.smwcentral.net/?a=details&amp;id=38881&amp;p=section</t>
  </si>
  <si>
    <t>https://dl.smwcentral.net/38881/SuperTanoshiiWorldV2.zip</t>
  </si>
  <si>
    <t>Super Tapes World</t>
  </si>
  <si>
    <t>39927</t>
  </si>
  <si>
    <t>https://www.smwcentral.net/?a=details&amp;id=39927&amp;p=section</t>
  </si>
  <si>
    <t>https://dl.smwcentral.net/39927/Super%20Tapes%20World.zip</t>
  </si>
  <si>
    <t>Super Tesla World</t>
  </si>
  <si>
    <t>16894</t>
  </si>
  <si>
    <t>https://www.smwcentral.net/?a=details&amp;id=16894&amp;p=section</t>
  </si>
  <si>
    <t>https://dl.smwcentral.net/16894/Super%20Tesla%20World%20v1.3.zip</t>
  </si>
  <si>
    <t>Super Thesis World</t>
  </si>
  <si>
    <t>Nikono</t>
  </si>
  <si>
    <t>38166</t>
  </si>
  <si>
    <t>https://www.smwcentral.net/?a=details&amp;id=38166&amp;p=section</t>
  </si>
  <si>
    <t>https://dl.smwcentral.net/38166/Super_Thesis_World_v1_22.zip</t>
  </si>
  <si>
    <t>Super This Hack Is Registered As Leathal Weapon World</t>
  </si>
  <si>
    <t>30270</t>
  </si>
  <si>
    <t>https://www.smwcentral.net/?a=details&amp;id=30270&amp;p=section</t>
  </si>
  <si>
    <t>https://dl.smwcentral.net/30270/Leathal%20W.zip</t>
  </si>
  <si>
    <t>Super Toest World</t>
  </si>
  <si>
    <t>39025</t>
  </si>
  <si>
    <t>https://www.smwcentral.net/?a=details&amp;id=39025&amp;p=section</t>
  </si>
  <si>
    <t>https://dl.smwcentral.net/39025/Super_Toest_World.zip</t>
  </si>
  <si>
    <t>Super Toshio World</t>
  </si>
  <si>
    <t>30836</t>
  </si>
  <si>
    <t>https://www.smwcentral.net/?a=details&amp;id=30836&amp;p=section</t>
  </si>
  <si>
    <t>https://dl.smwcentral.net/30836/Super_Toshio_World_v1_1.zip</t>
  </si>
  <si>
    <t>Super Tr-lol World</t>
  </si>
  <si>
    <t>Gato_co</t>
  </si>
  <si>
    <t>40212</t>
  </si>
  <si>
    <t>https://www.smwcentral.net/?a=details&amp;id=40212&amp;p=section</t>
  </si>
  <si>
    <t>https://dl.smwcentral.net/40212/Super_Trlol_World.zip</t>
  </si>
  <si>
    <t>Super UltiMario World</t>
  </si>
  <si>
    <t>9806</t>
  </si>
  <si>
    <t>https://www.smwcentral.net/?a=details&amp;id=9806&amp;p=section</t>
  </si>
  <si>
    <t>https://dl.smwcentral.net/9806/UltiMario.zip</t>
  </si>
  <si>
    <t>Super Unethical Stuff I Built for GlitchCat7 Because He Told Me To World</t>
  </si>
  <si>
    <t>24457</t>
  </si>
  <si>
    <t>https://www.smwcentral.net/?a=details&amp;id=24457&amp;p=section</t>
  </si>
  <si>
    <t>https://dl.smwcentral.net/24457/Unethical%201.1.zip</t>
  </si>
  <si>
    <t>Super Unethical Stuff I Built for Thabeast721 Because He Told Me To World</t>
  </si>
  <si>
    <t>35795</t>
  </si>
  <si>
    <t>https://www.smwcentral.net/?a=details&amp;id=35795&amp;p=section</t>
  </si>
  <si>
    <t>https://dl.smwcentral.net/35795/Unethical2.zip</t>
  </si>
  <si>
    <t>Super Vanilla World</t>
  </si>
  <si>
    <t>Nanashi</t>
  </si>
  <si>
    <t>18860</t>
  </si>
  <si>
    <t>https://www.smwcentral.net/?a=details&amp;id=18860&amp;p=section</t>
  </si>
  <si>
    <t>https://dl.smwcentral.net/18860/Super%20Vanilla%20World%20%28v1.1%29.zip</t>
  </si>
  <si>
    <t>Super Video World</t>
  </si>
  <si>
    <t>FantasticFox</t>
  </si>
  <si>
    <t>34766</t>
  </si>
  <si>
    <t>https://www.smwcentral.net/?a=details&amp;id=34766&amp;p=section</t>
  </si>
  <si>
    <t>https://dl.smwcentral.net/34766/svw%201.5.zip</t>
  </si>
  <si>
    <t>Super Video World 2</t>
  </si>
  <si>
    <t>36587</t>
  </si>
  <si>
    <t>https://www.smwcentral.net/?a=details&amp;id=36587&amp;p=section</t>
  </si>
  <si>
    <t>https://dl.smwcentral.net/36587/Super%20Video%20World%202.zip</t>
  </si>
  <si>
    <t>Super Wahnthac World</t>
  </si>
  <si>
    <t>18368</t>
  </si>
  <si>
    <t>https://www.smwcentral.net/?a=details&amp;id=18368&amp;p=section</t>
  </si>
  <si>
    <t>https://dl.smwcentral.net/18368/SuperWahnthacWorld1.4.zip</t>
  </si>
  <si>
    <t>Super Wahnthac World 2</t>
  </si>
  <si>
    <t>18297</t>
  </si>
  <si>
    <t>https://www.smwcentral.net/?a=details&amp;id=18297&amp;p=section</t>
  </si>
  <si>
    <t>https://dl.smwcentral.net/18297/Super%20Wahnthac%20World%202%20Demo.zip</t>
  </si>
  <si>
    <t>Super Wakana Land</t>
  </si>
  <si>
    <t>17982</t>
  </si>
  <si>
    <t>https://www.smwcentral.net/?a=details&amp;id=17982&amp;p=section</t>
  </si>
  <si>
    <t>https://dl.smwcentral.net/17982/SWL2.1.1.zip</t>
  </si>
  <si>
    <t>Super Waluigi World Thwompz Fortress</t>
  </si>
  <si>
    <t>Cartridge King</t>
  </si>
  <si>
    <t>28294</t>
  </si>
  <si>
    <t>https://www.smwcentral.net/?a=details&amp;id=28294&amp;p=section</t>
  </si>
  <si>
    <t>https://dl.smwcentral.net/28294/Super_Waluigi_World.zip</t>
  </si>
  <si>
    <t>Super Waluigi: Rescue Wario</t>
  </si>
  <si>
    <t>42614</t>
  </si>
  <si>
    <t>https://www.smwcentral.net/?a=details&amp;id=42614&amp;p=section</t>
  </si>
  <si>
    <t>https://dl.smwcentral.net/42614/Super%20Waluigi%20-%20Rescue%20Wario%20v1.4.zip</t>
  </si>
  <si>
    <t>Super Wario World</t>
  </si>
  <si>
    <t>21088</t>
  </si>
  <si>
    <t>https://www.smwcentral.net/?a=details&amp;id=21088&amp;p=section</t>
  </si>
  <si>
    <t>https://dl.smwcentral.net/21088/Super%20Wario%20World.zip</t>
  </si>
  <si>
    <t>Super Wario World 2: The Four Castles</t>
  </si>
  <si>
    <t>23049</t>
  </si>
  <si>
    <t>https://www.smwcentral.net/?a=details&amp;id=23049&amp;p=section</t>
  </si>
  <si>
    <t>https://dl.smwcentral.net/23049/Super%20Wario%20World%202%20-%20The%20Four%20Castles.zip</t>
  </si>
  <si>
    <t>Super Wario World Mini Quest Update 2 + Bonus Pack</t>
  </si>
  <si>
    <t>5003</t>
  </si>
  <si>
    <t>https://www.smwcentral.net/?a=details&amp;id=5003&amp;p=section</t>
  </si>
  <si>
    <t>https://dl.smwcentral.net/5003/Super%20Wario%20World%20Mini%20Quest%20Update%202%20%2B%202%20Bonus%20Games%20%28You%20need%20SMB%201%20and%20SMB%202%20roms%20and%20emulator%20for%20play%29%20%281%29.zip</t>
  </si>
  <si>
    <t>Super Weekend World</t>
  </si>
  <si>
    <t>22088</t>
  </si>
  <si>
    <t>https://www.smwcentral.net/?a=details&amp;id=22088&amp;p=section</t>
  </si>
  <si>
    <t>https://dl.smwcentral.net/22088/super-weekend-world_v10.zip</t>
  </si>
  <si>
    <t>Super What World</t>
  </si>
  <si>
    <t>37763</t>
  </si>
  <si>
    <t>https://www.smwcentral.net/?a=details&amp;id=37763&amp;p=section</t>
  </si>
  <si>
    <t>https://dl.smwcentral.net/37763/SuperWhatWorld.zip</t>
  </si>
  <si>
    <t>Super Whatever Quest!!!</t>
  </si>
  <si>
    <t>39555</t>
  </si>
  <si>
    <t>https://www.smwcentral.net/?a=details&amp;id=39555&amp;p=section</t>
  </si>
  <si>
    <t>https://dl.smwcentral.net/39555/SuperWhateverQuest1_1.zip</t>
  </si>
  <si>
    <t>Super Wisdom Quest</t>
  </si>
  <si>
    <t>Tracchete</t>
  </si>
  <si>
    <t>26783</t>
  </si>
  <si>
    <t>https://www.smwcentral.net/?a=details&amp;id=26783&amp;p=section</t>
  </si>
  <si>
    <t>https://dl.smwcentral.net/26783/Super%20Wisdom%20Quest.zip</t>
  </si>
  <si>
    <t>Super World</t>
  </si>
  <si>
    <t>MMXWL</t>
  </si>
  <si>
    <t>27303</t>
  </si>
  <si>
    <t>https://www.smwcentral.net/?a=details&amp;id=27303&amp;p=section</t>
  </si>
  <si>
    <t>https://dl.smwcentral.net/27303/Super_World.zip</t>
  </si>
  <si>
    <t>Super Wow</t>
  </si>
  <si>
    <t>39972</t>
  </si>
  <si>
    <t>https://www.smwcentral.net/?a=details&amp;id=39972&amp;p=section</t>
  </si>
  <si>
    <t>https://dl.smwcentral.net/39972/SuperWow1.1.zip</t>
  </si>
  <si>
    <t>Super Xtreme World</t>
  </si>
  <si>
    <t>Infrared</t>
  </si>
  <si>
    <t>9995</t>
  </si>
  <si>
    <t>https://www.smwcentral.net/?a=details&amp;id=9995&amp;p=section</t>
  </si>
  <si>
    <t>https://dl.smwcentral.net/9995/Super%20Xtreme%20World.zip</t>
  </si>
  <si>
    <t>Super Yeet World</t>
  </si>
  <si>
    <t>28837</t>
  </si>
  <si>
    <t>https://www.smwcentral.net/?a=details&amp;id=28837&amp;p=section</t>
  </si>
  <si>
    <t>https://dl.smwcentral.net/28837/Super%20Yeet%20World.zip</t>
  </si>
  <si>
    <t>Super Yoshi's Land 1 – An Adventure to Rescue Mario!</t>
  </si>
  <si>
    <t>10009</t>
  </si>
  <si>
    <t>https://www.smwcentral.net/?a=details&amp;id=10009&amp;p=section</t>
  </si>
  <si>
    <t>https://dl.smwcentral.net/10009/Yoshi%27s%20Land%201.zip</t>
  </si>
  <si>
    <t>super you are the best</t>
  </si>
  <si>
    <t>thejhonny-ador</t>
  </si>
  <si>
    <t>21303</t>
  </si>
  <si>
    <t>https://www.smwcentral.net/?a=details&amp;id=21303&amp;p=section</t>
  </si>
  <si>
    <t>https://dl.smwcentral.net/21303/SYATB.zip</t>
  </si>
  <si>
    <t>Super Zoulzi World</t>
  </si>
  <si>
    <t>Dreekius</t>
  </si>
  <si>
    <t>22479</t>
  </si>
  <si>
    <t>https://www.smwcentral.net/?a=details&amp;id=22479&amp;p=section</t>
  </si>
  <si>
    <t>https://dl.smwcentral.net/22479/SuperZoulziWorld.zip</t>
  </si>
  <si>
    <t>Super “Dark” World</t>
  </si>
  <si>
    <t>Deoxys594</t>
  </si>
  <si>
    <t>10020</t>
  </si>
  <si>
    <t>https://www.smwcentral.net/?a=details&amp;id=10020&amp;p=section</t>
  </si>
  <si>
    <t>https://dl.smwcentral.net/10020/super%20dark%20world%20%281st%20demo%29.zip</t>
  </si>
  <si>
    <t>Supercontinent World</t>
  </si>
  <si>
    <t>21910</t>
  </si>
  <si>
    <t>https://www.smwcentral.net/?a=details&amp;id=21910&amp;p=section</t>
  </si>
  <si>
    <t>https://dl.smwcentral.net/21910/supercontinent1.1.zip</t>
  </si>
  <si>
    <t>SuperKazuWorld</t>
  </si>
  <si>
    <t>16029</t>
  </si>
  <si>
    <t>https://www.smwcentral.net/?a=details&amp;id=16029&amp;p=section</t>
  </si>
  <si>
    <t>https://dl.smwcentral.net/16029/SuperKazuWorld%20V1.3.zip</t>
  </si>
  <si>
    <t>supernaydropzsmm2</t>
  </si>
  <si>
    <t>MiamidropzSMM2</t>
  </si>
  <si>
    <t>39957</t>
  </si>
  <si>
    <t>https://www.smwcentral.net/?a=details&amp;id=39957&amp;p=section</t>
  </si>
  <si>
    <t>https://dl.smwcentral.net/39957/supernaydropzsmm2.zip</t>
  </si>
  <si>
    <t>Superstar Mario World</t>
  </si>
  <si>
    <t>19369</t>
  </si>
  <si>
    <t>https://www.smwcentral.net/?a=details&amp;id=19369&amp;p=section</t>
  </si>
  <si>
    <t>https://dl.smwcentral.net/19369/Superstar%20Mario%20World%201.5.zip</t>
  </si>
  <si>
    <t>Survivor</t>
  </si>
  <si>
    <t>32222</t>
  </si>
  <si>
    <t>https://www.smwcentral.net/?a=details&amp;id=32222&amp;p=section</t>
  </si>
  <si>
    <t>https://dl.smwcentral.net/32222/Survivor.zip</t>
  </si>
  <si>
    <t>Suupaa Mario-sama Seken</t>
  </si>
  <si>
    <t>Ashura</t>
  </si>
  <si>
    <t>9829</t>
  </si>
  <si>
    <t>https://www.smwcentral.net/?a=details&amp;id=9829&amp;p=section</t>
  </si>
  <si>
    <t>https://dl.smwcentral.net/9829/SMWJ%28H%29.zip</t>
  </si>
  <si>
    <t>SV Bounce World</t>
  </si>
  <si>
    <t>29722</t>
  </si>
  <si>
    <t>https://www.smwcentral.net/?a=details&amp;id=29722&amp;p=section</t>
  </si>
  <si>
    <t>https://dl.smwcentral.net/29722/Renan%20SV%20Games%20atual.zip</t>
  </si>
  <si>
    <t>SV Bounce World 2</t>
  </si>
  <si>
    <t>RenanSV</t>
  </si>
  <si>
    <t>31469</t>
  </si>
  <si>
    <t>https://www.smwcentral.net/?a=details&amp;id=31469&amp;p=section</t>
  </si>
  <si>
    <t>https://dl.smwcentral.net/31469/SV%20Bounce%20World%202.zip</t>
  </si>
  <si>
    <t>SV Practice World</t>
  </si>
  <si>
    <t>30221</t>
  </si>
  <si>
    <t>https://www.smwcentral.net/?a=details&amp;id=30221&amp;p=section</t>
  </si>
  <si>
    <t>https://dl.smwcentral.net/30221/SV%20Practice%20World.zip</t>
  </si>
  <si>
    <t>SV State World</t>
  </si>
  <si>
    <t>30971</t>
  </si>
  <si>
    <t>https://www.smwcentral.net/?a=details&amp;id=30971&amp;p=section</t>
  </si>
  <si>
    <t>https://dl.smwcentral.net/30971/SV%20State%20World.zip</t>
  </si>
  <si>
    <t>Sweet Dream Agnes</t>
  </si>
  <si>
    <t>33999</t>
  </si>
  <si>
    <t>https://www.smwcentral.net/?a=details&amp;id=33999&amp;p=section</t>
  </si>
  <si>
    <t>https://dl.smwcentral.net/33999/Sweet%20Dream%20Agnes%20v1.0.zip</t>
  </si>
  <si>
    <t>Sweet n' Sour</t>
  </si>
  <si>
    <t>Lush_50, bsolt</t>
  </si>
  <si>
    <t>24498</t>
  </si>
  <si>
    <t>https://www.smwcentral.net/?a=details&amp;id=24498&amp;p=section</t>
  </si>
  <si>
    <t>https://dl.smwcentral.net/24498/Sweet%20n%27%20Sour%20v1.1.zip</t>
  </si>
  <si>
    <t>Sweet Shell</t>
  </si>
  <si>
    <t>37677</t>
  </si>
  <si>
    <t>https://www.smwcentral.net/?a=details&amp;id=37677&amp;p=section</t>
  </si>
  <si>
    <t>https://dl.smwcentral.net/37677/SweetShell.zip</t>
  </si>
  <si>
    <t>Sweet World</t>
  </si>
  <si>
    <t>35215</t>
  </si>
  <si>
    <t>https://www.smwcentral.net/?a=details&amp;id=35215&amp;p=section</t>
  </si>
  <si>
    <t>https://dl.smwcentral.net/35215/SweetWorld.zip</t>
  </si>
  <si>
    <t>Swiftly 17</t>
  </si>
  <si>
    <t>33640</t>
  </si>
  <si>
    <t>https://www.smwcentral.net/?a=details&amp;id=33640&amp;p=section</t>
  </si>
  <si>
    <t>https://dl.smwcentral.net/33640/Swiftly17.zip</t>
  </si>
  <si>
    <t>T3rminus: Journey´s End</t>
  </si>
  <si>
    <t>Kr00mmi</t>
  </si>
  <si>
    <t>21634</t>
  </si>
  <si>
    <t>https://www.smwcentral.net/?a=details&amp;id=21634&amp;p=section</t>
  </si>
  <si>
    <t>https://dl.smwcentral.net/21634/T3rminus%20Journey%C2%B4s%20End.zip</t>
  </si>
  <si>
    <t>Tajna and the Mana Seeds</t>
  </si>
  <si>
    <t>40708</t>
  </si>
  <si>
    <t>https://www.smwcentral.net/?a=details&amp;id=40708&amp;p=section</t>
  </si>
  <si>
    <t>https://dl.smwcentral.net/40708/tajna1.31.zip</t>
  </si>
  <si>
    <t>Take It Easy World</t>
  </si>
  <si>
    <t>frx</t>
  </si>
  <si>
    <t>23272</t>
  </si>
  <si>
    <t>https://www.smwcentral.net/?a=details&amp;id=23272&amp;p=section</t>
  </si>
  <si>
    <t>https://dl.smwcentral.net/23272/take_it_easy_1.2.zip</t>
  </si>
  <si>
    <t>Takemoto Inspired</t>
  </si>
  <si>
    <t>35716</t>
  </si>
  <si>
    <t>https://www.smwcentral.net/?a=details&amp;id=35716&amp;p=section</t>
  </si>
  <si>
    <t>https://dl.smwcentral.net/35716/Takemoto_Inspired.zip</t>
  </si>
  <si>
    <t>Takeshi Yumping Simulator</t>
  </si>
  <si>
    <t>28222</t>
  </si>
  <si>
    <t>https://www.smwcentral.net/?a=details&amp;id=28222&amp;p=section</t>
  </si>
  <si>
    <t>https://dl.smwcentral.net/28222/TakeshiYumpingSimulator.zip</t>
  </si>
  <si>
    <t>Tales of Nean</t>
  </si>
  <si>
    <t>Senjan</t>
  </si>
  <si>
    <t>10163</t>
  </si>
  <si>
    <t>https://www.smwcentral.net/?a=details&amp;id=10163&amp;p=section</t>
  </si>
  <si>
    <t>https://dl.smwcentral.net/10163/Tales%20of%20Nean.zip</t>
  </si>
  <si>
    <t>TaleSpin</t>
  </si>
  <si>
    <t>uriel2k3</t>
  </si>
  <si>
    <t>41830</t>
  </si>
  <si>
    <t>https://www.smwcentral.net/?a=details&amp;id=41830&amp;p=section</t>
  </si>
  <si>
    <t>https://dl.smwcentral.net/41830/TaleSpin.zip</t>
  </si>
  <si>
    <t>Talikuu Quest</t>
  </si>
  <si>
    <t>10090</t>
  </si>
  <si>
    <t>https://www.smwcentral.net/?a=details&amp;id=10090&amp;p=section</t>
  </si>
  <si>
    <t>https://dl.smwcentral.net/10090/Talikuu%20Quest%20C3%20Demo.zip</t>
  </si>
  <si>
    <t>Tangle's Trip</t>
  </si>
  <si>
    <t>41987</t>
  </si>
  <si>
    <t>https://www.smwcentral.net/?a=details&amp;id=41987&amp;p=section</t>
  </si>
  <si>
    <t>https://dl.smwcentral.net/41987/Tangle%27s%20Trip%20Update.zip</t>
  </si>
  <si>
    <t>Tartastrophe: a very sticky hack</t>
  </si>
  <si>
    <t>27304</t>
  </si>
  <si>
    <t>https://www.smwcentral.net/?a=details&amp;id=27304&amp;p=section</t>
  </si>
  <si>
    <t>https://dl.smwcentral.net/27304/Tartastrophe.zip</t>
  </si>
  <si>
    <t>Tatsujin Mario part 1</t>
  </si>
  <si>
    <t>abc_ore</t>
  </si>
  <si>
    <t>15147</t>
  </si>
  <si>
    <t>https://www.smwcentral.net/?a=details&amp;id=15147&amp;p=section</t>
  </si>
  <si>
    <t>https://dl.smwcentral.net/15147/Tatsujin%20Mario%20part%201.zip</t>
  </si>
  <si>
    <t>Tatsujin Mario part 2</t>
  </si>
  <si>
    <t>32910</t>
  </si>
  <si>
    <t>https://www.smwcentral.net/?a=details&amp;id=32910&amp;p=section</t>
  </si>
  <si>
    <t>https://dl.smwcentral.net/32910/Tatsujin%20Mario%20part%202%20v13.zip</t>
  </si>
  <si>
    <t>TDC Shells Edition</t>
  </si>
  <si>
    <t>26826</t>
  </si>
  <si>
    <t>https://www.smwcentral.net/?a=details&amp;id=26826&amp;p=section</t>
  </si>
  <si>
    <t>https://dl.smwcentral.net/26826/TDCShellsEdition.zip</t>
  </si>
  <si>
    <t>te's Exo</t>
  </si>
  <si>
    <t>Daizo Dee Von, EvilGuy0613</t>
  </si>
  <si>
    <t>39548</t>
  </si>
  <si>
    <t>https://www.smwcentral.net/?a=details&amp;id=39548&amp;p=section</t>
  </si>
  <si>
    <t>https://dl.smwcentral.net/39548/%5BHack%5D%20TE%27S%20EXO%20%28v1.01%29.zip</t>
  </si>
  <si>
    <t>Teamwork Mario</t>
  </si>
  <si>
    <t>35502</t>
  </si>
  <si>
    <t>https://www.smwcentral.net/?a=details&amp;id=35502&amp;p=section</t>
  </si>
  <si>
    <t>https://dl.smwcentral.net/35502/Teamwork%20Mario.zip</t>
  </si>
  <si>
    <t>Tears Joy and Happiness v1.1</t>
  </si>
  <si>
    <t>42509</t>
  </si>
  <si>
    <t>https://www.smwcentral.net/?a=details&amp;id=42509&amp;p=section</t>
  </si>
  <si>
    <t>https://dl.smwcentral.net/42509/tearsjoyandhappiness.zip</t>
  </si>
  <si>
    <t>Tebeo</t>
  </si>
  <si>
    <t>Nirv</t>
  </si>
  <si>
    <t>25215</t>
  </si>
  <si>
    <t>https://www.smwcentral.net/?a=details&amp;id=25215&amp;p=section</t>
  </si>
  <si>
    <t>https://dl.smwcentral.net/25215/Tebeo.bps.zip</t>
  </si>
  <si>
    <t>Tebeo 2</t>
  </si>
  <si>
    <t>27311</t>
  </si>
  <si>
    <t>https://www.smwcentral.net/?a=details&amp;id=27311&amp;p=section</t>
  </si>
  <si>
    <t>https://dl.smwcentral.net/27311/Tebeo%202.zip</t>
  </si>
  <si>
    <t>Technicolor Mario World</t>
  </si>
  <si>
    <t>21873</t>
  </si>
  <si>
    <t>https://www.smwcentral.net/?a=details&amp;id=21873&amp;p=section</t>
  </si>
  <si>
    <t>https://dl.smwcentral.net/21873/Technicolor%20Mario%20World%20-%20Demo%202%20%28Bug%20Fix%203%29.zip</t>
  </si>
  <si>
    <t>Teh Hack</t>
  </si>
  <si>
    <t>sugar</t>
  </si>
  <si>
    <t>10071</t>
  </si>
  <si>
    <t>https://www.smwcentral.net/?a=details&amp;id=10071&amp;p=section</t>
  </si>
  <si>
    <t>https://dl.smwcentral.net/10071/Teh%20Hack.zip</t>
  </si>
  <si>
    <t>Teh Hack 2</t>
  </si>
  <si>
    <t>10169</t>
  </si>
  <si>
    <t>https://www.smwcentral.net/?a=details&amp;id=10169&amp;p=section</t>
  </si>
  <si>
    <t>https://dl.smwcentral.net/10169/tehhack.zip</t>
  </si>
  <si>
    <t>Ten</t>
  </si>
  <si>
    <t>22304</t>
  </si>
  <si>
    <t>https://www.smwcentral.net/?a=details&amp;id=22304&amp;p=section</t>
  </si>
  <si>
    <t>https://dl.smwcentral.net/22304/TEN.zip</t>
  </si>
  <si>
    <t>TEN A-Side</t>
  </si>
  <si>
    <t>32788</t>
  </si>
  <si>
    <t>https://www.smwcentral.net/?a=details&amp;id=32788&amp;p=section</t>
  </si>
  <si>
    <t>https://dl.smwcentral.net/32788/TEN%20v1.2b.zip</t>
  </si>
  <si>
    <t>TEN B-Side</t>
  </si>
  <si>
    <t>33142</t>
  </si>
  <si>
    <t>https://www.smwcentral.net/?a=details&amp;id=33142&amp;p=section</t>
  </si>
  <si>
    <t>https://dl.smwcentral.net/33142/Ten%20B-Side.zip</t>
  </si>
  <si>
    <t>Terminus</t>
  </si>
  <si>
    <t>19261</t>
  </si>
  <si>
    <t>https://www.smwcentral.net/?a=details&amp;id=19261&amp;p=section</t>
  </si>
  <si>
    <t>https://dl.smwcentral.net/19261/Terminus1.1.zip</t>
  </si>
  <si>
    <t>Terminus 2</t>
  </si>
  <si>
    <t>20208</t>
  </si>
  <si>
    <t>https://www.smwcentral.net/?a=details&amp;id=20208&amp;p=section</t>
  </si>
  <si>
    <t>https://dl.smwcentral.net/20208/Terminus2RealWithOW.zip</t>
  </si>
  <si>
    <t>Terra</t>
  </si>
  <si>
    <t>25475</t>
  </si>
  <si>
    <t>https://www.smwcentral.net/?a=details&amp;id=25475&amp;p=section</t>
  </si>
  <si>
    <t>https://dl.smwcentral.net/25475/Terra1.0.zip</t>
  </si>
  <si>
    <t>Terraria</t>
  </si>
  <si>
    <t>Windveil</t>
  </si>
  <si>
    <t>10031</t>
  </si>
  <si>
    <t>https://www.smwcentral.net/?a=details&amp;id=10031&amp;p=section</t>
  </si>
  <si>
    <t>https://dl.smwcentral.net/10031/Terraria.zip</t>
  </si>
  <si>
    <t>TERRIBLE</t>
  </si>
  <si>
    <t>37971</t>
  </si>
  <si>
    <t>https://www.smwcentral.net/?a=details&amp;id=37971&amp;p=section</t>
  </si>
  <si>
    <t>https://dl.smwcentral.net/37971/Tbuild11.zip</t>
  </si>
  <si>
    <t>test.smc | The old and new Mario World</t>
  </si>
  <si>
    <t>12810</t>
  </si>
  <si>
    <t>https://www.smwcentral.net/?a=details&amp;id=12810&amp;p=section</t>
  </si>
  <si>
    <t>https://dl.smwcentral.net/12810/test.zip</t>
  </si>
  <si>
    <t>Thanks, I hate it</t>
  </si>
  <si>
    <t>31520</t>
  </si>
  <si>
    <t>https://www.smwcentral.net/?a=details&amp;id=31520&amp;p=section</t>
  </si>
  <si>
    <t>https://dl.smwcentral.net/31520/TIHI.zip</t>
  </si>
  <si>
    <t>Thanksgiving Hack</t>
  </si>
  <si>
    <t>40909</t>
  </si>
  <si>
    <t>https://www.smwcentral.net/?a=details&amp;id=40909&amp;p=section</t>
  </si>
  <si>
    <t>https://dl.smwcentral.net/40909/Thanksgiving%20Hack.zip</t>
  </si>
  <si>
    <t>The 11th Annual Vanilla Level Design Contest: Compilation Hack</t>
  </si>
  <si>
    <t>AnEvilGhost, SMW Central, Stivi</t>
  </si>
  <si>
    <t>30173</t>
  </si>
  <si>
    <t>https://www.smwcentral.net/?a=details&amp;id=30173&amp;p=section</t>
  </si>
  <si>
    <t>https://dl.smwcentral.net/30173/VLDC11_1.4.zip</t>
  </si>
  <si>
    <t>The 12th Annual Vanilla Level Design Contest: Compilation Hack</t>
  </si>
  <si>
    <t>32572</t>
  </si>
  <si>
    <t>https://www.smwcentral.net/?a=details&amp;id=32572&amp;p=section</t>
  </si>
  <si>
    <t>https://dl.smwcentral.net/32572/VLDC12_1.07.zip</t>
  </si>
  <si>
    <t>The 1st Annual Vanilla Level Design Contest: Compilation Hack</t>
  </si>
  <si>
    <t>13947</t>
  </si>
  <si>
    <t>https://www.smwcentral.net/?a=details&amp;id=13947&amp;p=section</t>
  </si>
  <si>
    <t>https://dl.smwcentral.net/13947/VLDC1.zip</t>
  </si>
  <si>
    <t>The 1st Old-School Level Design Contest: Compilation Hack</t>
  </si>
  <si>
    <t>17706</t>
  </si>
  <si>
    <t>https://www.smwcentral.net/?a=details&amp;id=17706&amp;p=section</t>
  </si>
  <si>
    <t>https://dl.smwcentral.net/17706/2017%20OLDC%20v1.1.zip</t>
  </si>
  <si>
    <t>The 2nd Old-School Level Design Contest: Compilation Hack</t>
  </si>
  <si>
    <t>32409</t>
  </si>
  <si>
    <t>https://www.smwcentral.net/?a=details&amp;id=32409&amp;p=section</t>
  </si>
  <si>
    <t>https://dl.smwcentral.net/32409/OLDC2_1.02.zip</t>
  </si>
  <si>
    <t>The 3 Little Princesses</t>
  </si>
  <si>
    <t>Batata Douce, OrangeBronzeDaisy</t>
  </si>
  <si>
    <t>29409</t>
  </si>
  <si>
    <t>https://www.smwcentral.net/?a=details&amp;id=29409&amp;p=section</t>
  </si>
  <si>
    <t>https://dl.smwcentral.net/29409/The_3_Little_Princesses.zip</t>
  </si>
  <si>
    <t>The 4 Heroes Of The Great Land</t>
  </si>
  <si>
    <t>40281</t>
  </si>
  <si>
    <t>https://www.smwcentral.net/?a=details&amp;id=40281&amp;p=section</t>
  </si>
  <si>
    <t>https://dl.smwcentral.net/40281/4heroesforever.zip</t>
  </si>
  <si>
    <t>The 4 Keys of Safety</t>
  </si>
  <si>
    <t>9907</t>
  </si>
  <si>
    <t>https://www.smwcentral.net/?a=details&amp;id=9907&amp;p=section</t>
  </si>
  <si>
    <t>https://dl.smwcentral.net/9907/The%204%20Keys%20of%20Safety%20Demo%20FIX.zip</t>
  </si>
  <si>
    <t>The 5 Dragon Gems</t>
  </si>
  <si>
    <t>9779</t>
  </si>
  <si>
    <t>https://www.smwcentral.net/?a=details&amp;id=9779&amp;p=section</t>
  </si>
  <si>
    <t>https://dl.smwcentral.net/9779/5%20Dragon%20Gems.zip</t>
  </si>
  <si>
    <t>The 5 Keys</t>
  </si>
  <si>
    <t>iyanzakai10</t>
  </si>
  <si>
    <t>10158</t>
  </si>
  <si>
    <t>https://www.smwcentral.net/?a=details&amp;id=10158&amp;p=section</t>
  </si>
  <si>
    <t>https://dl.smwcentral.net/10158/The%205%20Keys%20-%28DEMO%29-.zip</t>
  </si>
  <si>
    <t>The 6th Annual Vanilla Level Design Contest: Compilation Hack</t>
  </si>
  <si>
    <t>38000</t>
  </si>
  <si>
    <t>https://www.smwcentral.net/?a=details&amp;id=38000&amp;p=section</t>
  </si>
  <si>
    <t>https://dl.smwcentral.net/38000/vldc6%20v1.1.zip</t>
  </si>
  <si>
    <t>The 7th Annual Vanilla Level Design Contest: Compilation Hack</t>
  </si>
  <si>
    <t>6872</t>
  </si>
  <si>
    <t>https://www.smwcentral.net/?a=details&amp;id=6872&amp;p=section</t>
  </si>
  <si>
    <t>https://dl.smwcentral.net/6872/VLDC_2014.zip</t>
  </si>
  <si>
    <t>The 8th Annual Vanilla Level Design Contest: Compilation Hack</t>
  </si>
  <si>
    <t>11254</t>
  </si>
  <si>
    <t>https://www.smwcentral.net/?a=details&amp;id=11254&amp;p=section</t>
  </si>
  <si>
    <t>https://dl.smwcentral.net/11254/vldc8_1.2.zip</t>
  </si>
  <si>
    <t>The 9th Annual Vanilla Level Design Contest: Compilation Hack</t>
  </si>
  <si>
    <t>14812</t>
  </si>
  <si>
    <t>https://www.smwcentral.net/?a=details&amp;id=14812&amp;p=section</t>
  </si>
  <si>
    <t>https://dl.smwcentral.net/14812/VLDC9%20v1.11.zip</t>
  </si>
  <si>
    <t>The Adventures of Bucken Berry and Ala-Gold</t>
  </si>
  <si>
    <t>39808</t>
  </si>
  <si>
    <t>https://www.smwcentral.net/?a=details&amp;id=39808&amp;p=section</t>
  </si>
  <si>
    <t>https://dl.smwcentral.net/39808/The%20Adventures%20of%20Bucken%20Berry%20and%20ala-Gold%201.3.zip</t>
  </si>
  <si>
    <t>The Adventures Of Super Mario</t>
  </si>
  <si>
    <t>1xsonic</t>
  </si>
  <si>
    <t>10195</t>
  </si>
  <si>
    <t>https://www.smwcentral.net/?a=details&amp;id=10195&amp;p=section</t>
  </si>
  <si>
    <t>https://dl.smwcentral.net/10195/The%20Adventures%20Of%20Super%20Mario.zip</t>
  </si>
  <si>
    <t>The Amazing Autowalk Adventure</t>
  </si>
  <si>
    <t>37781</t>
  </si>
  <si>
    <t>https://www.smwcentral.net/?a=details&amp;id=37781&amp;p=section</t>
  </si>
  <si>
    <t>https://dl.smwcentral.net/37781/Autowalk_1.1.zip</t>
  </si>
  <si>
    <t>The Art of Shells</t>
  </si>
  <si>
    <t>40765</t>
  </si>
  <si>
    <t>https://www.smwcentral.net/?a=details&amp;id=40765&amp;p=section</t>
  </si>
  <si>
    <t>https://dl.smwcentral.net/40765/The%20Art%20of%20Shells.zip</t>
  </si>
  <si>
    <t>The artifacts of marvelous birds</t>
  </si>
  <si>
    <t>exit1337</t>
  </si>
  <si>
    <t>17437</t>
  </si>
  <si>
    <t>https://www.smwcentral.net/?a=details&amp;id=17437&amp;p=section</t>
  </si>
  <si>
    <t>https://dl.smwcentral.net/17437/The%20artifacts%20of%20marvelous%20birds%20-%20Demo%203.zip</t>
  </si>
  <si>
    <t>The Baby Rescue - Starring Yoshi &amp; Friends!</t>
  </si>
  <si>
    <t>34022</t>
  </si>
  <si>
    <t>https://www.smwcentral.net/?a=details&amp;id=34022&amp;p=section</t>
  </si>
  <si>
    <t>https://dl.smwcentral.net/34022/The%20Baby%20Rescue%20-%20Starring%20Yoshi%20%26%20Friends%21.zip</t>
  </si>
  <si>
    <t>The Big Boo's Legion</t>
  </si>
  <si>
    <t>Hadron</t>
  </si>
  <si>
    <t>5260</t>
  </si>
  <si>
    <t>https://www.smwcentral.net/?a=details&amp;id=5260&amp;p=section</t>
  </si>
  <si>
    <t>https://dl.smwcentral.net/5260/The%20Big%20Boo%27s%20Legion.zip</t>
  </si>
  <si>
    <t>The Big Boo's Legion 2: The Curse of the Magic Wand</t>
  </si>
  <si>
    <t>5106</t>
  </si>
  <si>
    <t>https://www.smwcentral.net/?a=details&amp;id=5106&amp;p=section</t>
  </si>
  <si>
    <t>https://dl.smwcentral.net/5106/The%20Big%20Boo%27s%20Legion%202%20demo.zip</t>
  </si>
  <si>
    <t>The Big Fish Chrisis</t>
  </si>
  <si>
    <t>Klopenator</t>
  </si>
  <si>
    <t>9788</t>
  </si>
  <si>
    <t>https://www.smwcentral.net/?a=details&amp;id=9788&amp;p=section</t>
  </si>
  <si>
    <t>https://dl.smwcentral.net/9788/The%20Big%20Fish%20Chrisis.zip</t>
  </si>
  <si>
    <t>The Big Five</t>
  </si>
  <si>
    <t>18962</t>
  </si>
  <si>
    <t>https://www.smwcentral.net/?a=details&amp;id=18962&amp;p=section</t>
  </si>
  <si>
    <t>https://dl.smwcentral.net/18962/The%20Big%20Five.zip</t>
  </si>
  <si>
    <t>The Bonus Rooms</t>
  </si>
  <si>
    <t>38710</t>
  </si>
  <si>
    <t>https://www.smwcentral.net/?a=details&amp;id=38710&amp;p=section</t>
  </si>
  <si>
    <t>https://dl.smwcentral.net/38710/%5BHack%5D%20The%20Bonus%20Rooms%20%28Official%29.zip</t>
  </si>
  <si>
    <t>The Cave of Loathing</t>
  </si>
  <si>
    <t>33977</t>
  </si>
  <si>
    <t>https://www.smwcentral.net/?a=details&amp;id=33977&amp;p=section</t>
  </si>
  <si>
    <t>https://dl.smwcentral.net/33977/The%20Cave%20of%20Loathing%20%281.0%29.zip</t>
  </si>
  <si>
    <t>The Cave of Loathing 2</t>
  </si>
  <si>
    <t>40774</t>
  </si>
  <si>
    <t>https://www.smwcentral.net/?a=details&amp;id=40774&amp;p=section</t>
  </si>
  <si>
    <t>https://dl.smwcentral.net/40774/The%20Cave%20of%20Loathing%202%20%281.0%29.zip</t>
  </si>
  <si>
    <t>The Chamber of 32 Doors</t>
  </si>
  <si>
    <t>41814</t>
  </si>
  <si>
    <t>https://www.smwcentral.net/?a=details&amp;id=41814&amp;p=section</t>
  </si>
  <si>
    <t>https://dl.smwcentral.net/41814/32.zip</t>
  </si>
  <si>
    <t>The Clockwork Chronicles</t>
  </si>
  <si>
    <t>20855</t>
  </si>
  <si>
    <t>https://www.smwcentral.net/?a=details&amp;id=20855&amp;p=section</t>
  </si>
  <si>
    <t>https://dl.smwcentral.net/20855/The%20Clockwork%20Chronicles.zip</t>
  </si>
  <si>
    <t>The Coin Hunt</t>
  </si>
  <si>
    <t>10557</t>
  </si>
  <si>
    <t>https://www.smwcentral.net/?a=details&amp;id=10557&amp;p=section</t>
  </si>
  <si>
    <t>https://dl.smwcentral.net/10557/TheCoinHunt_v1.zip</t>
  </si>
  <si>
    <t>The Coin Hunt 2</t>
  </si>
  <si>
    <t>6331</t>
  </si>
  <si>
    <t>https://www.smwcentral.net/?a=details&amp;id=6331&amp;p=section</t>
  </si>
  <si>
    <t>https://dl.smwcentral.net/6331/TheCoinHunt2.zip</t>
  </si>
  <si>
    <t>The Conventional Isle</t>
  </si>
  <si>
    <t>38682</t>
  </si>
  <si>
    <t>https://www.smwcentral.net/?a=details&amp;id=38682&amp;p=section</t>
  </si>
  <si>
    <t>https://dl.smwcentral.net/38682/The%20Conventional%20Isle%20v1_1.zip</t>
  </si>
  <si>
    <t>The Crimson Castle</t>
  </si>
  <si>
    <t>Redspyda9</t>
  </si>
  <si>
    <t>41949</t>
  </si>
  <si>
    <t>https://www.smwcentral.net/?a=details&amp;id=41949&amp;p=section</t>
  </si>
  <si>
    <t>https://dl.smwcentral.net/41949/The%20Crimson%20Castle.zip</t>
  </si>
  <si>
    <t>The Darkside REMASTERED</t>
  </si>
  <si>
    <t>37477</t>
  </si>
  <si>
    <t>https://www.smwcentral.net/?a=details&amp;id=37477&amp;p=section</t>
  </si>
  <si>
    <t>https://dl.smwcentral.net/37477/The%20Darkside%20REMASTERED%5B1.3%5D.zip</t>
  </si>
  <si>
    <t>The Devious Four Chronicles 3: The Crater</t>
  </si>
  <si>
    <t>Skewer, amhunter</t>
  </si>
  <si>
    <t>11441</t>
  </si>
  <si>
    <t>https://www.smwcentral.net/?a=details&amp;id=11441&amp;p=section</t>
  </si>
  <si>
    <t>https://dl.smwcentral.net/11441/Crater%201_32.zip</t>
  </si>
  <si>
    <t>The Devious Four Chronicles 4: Hunter's Revenge ReVised</t>
  </si>
  <si>
    <t>13915</t>
  </si>
  <si>
    <t>https://www.smwcentral.net/?a=details&amp;id=13915&amp;p=section</t>
  </si>
  <si>
    <t>https://dl.smwcentral.net/13915/%234-Hunter%27sRevenge%201_1.zip</t>
  </si>
  <si>
    <t>The Devious Four Chronicles 6 : The Fourth Sector</t>
  </si>
  <si>
    <t>9170</t>
  </si>
  <si>
    <t>https://www.smwcentral.net/?a=details&amp;id=9170&amp;p=section</t>
  </si>
  <si>
    <t>https://dl.smwcentral.net/9170/%236-FourthSector1_7.zip</t>
  </si>
  <si>
    <t>The Devious Four Chronicles 8 : Goddess Robes</t>
  </si>
  <si>
    <t>6693</t>
  </si>
  <si>
    <t>https://www.smwcentral.net/?a=details&amp;id=6693&amp;p=section</t>
  </si>
  <si>
    <t>https://dl.smwcentral.net/6693/TD4C%238-GoddessRobesDemo1_5.zip</t>
  </si>
  <si>
    <t>The Dimensional Castle Starring Aeron</t>
  </si>
  <si>
    <t>41893</t>
  </si>
  <si>
    <t>https://www.smwcentral.net/?a=details&amp;id=41893&amp;p=section</t>
  </si>
  <si>
    <t>https://dl.smwcentral.net/41893/The%20Dimensional%20Castle%20Starring%20Aeron%20%28version%201.3.8.2%29.zip</t>
  </si>
  <si>
    <t>The Duality of Mario</t>
  </si>
  <si>
    <t>29661</t>
  </si>
  <si>
    <t>https://www.smwcentral.net/?a=details&amp;id=29661&amp;p=section</t>
  </si>
  <si>
    <t>https://dl.smwcentral.net/29661/the-duality-of-mario.zip</t>
  </si>
  <si>
    <t>The Eggs Of Saear</t>
  </si>
  <si>
    <t>Spade</t>
  </si>
  <si>
    <t>5161</t>
  </si>
  <si>
    <t>https://www.smwcentral.net/?a=details&amp;id=5161&amp;p=section</t>
  </si>
  <si>
    <t>https://dl.smwcentral.net/5161/TEOS%20Demo%204.zip</t>
  </si>
  <si>
    <t>The Epic Quest Of Birdo The Pink Dinosaur</t>
  </si>
  <si>
    <t>AjaTheVampire</t>
  </si>
  <si>
    <t>30186</t>
  </si>
  <si>
    <t>https://www.smwcentral.net/?a=details&amp;id=30186&amp;p=section</t>
  </si>
  <si>
    <t>https://dl.smwcentral.net/30186/TEQOBirdoThePinkDinsosaur%20v1.1.zip</t>
  </si>
  <si>
    <t>The Epic Quest Of Birdo The Pink Dinosaur Dark Behaviours</t>
  </si>
  <si>
    <t>31168</t>
  </si>
  <si>
    <t>https://www.smwcentral.net/?a=details&amp;id=31168&amp;p=section</t>
  </si>
  <si>
    <t>https://dl.smwcentral.net/31168/TEQOBirdoThePinkDinosaurDarkBehaviours%201.1.zip</t>
  </si>
  <si>
    <t>The Epic Quest Of Birdo The Vampire Subcon Journey</t>
  </si>
  <si>
    <t>32750</t>
  </si>
  <si>
    <t>https://www.smwcentral.net/?a=details&amp;id=32750&amp;p=section</t>
  </si>
  <si>
    <t>https://dl.smwcentral.net/32750/TEQOBirdoTheVampire%201.1.zip</t>
  </si>
  <si>
    <t>The Evil Maze</t>
  </si>
  <si>
    <t>limepie20</t>
  </si>
  <si>
    <t>10064</t>
  </si>
  <si>
    <t>https://www.smwcentral.net/?a=details&amp;id=10064&amp;p=section</t>
  </si>
  <si>
    <t>https://dl.smwcentral.net/10064/EvilMaze2.4.zip</t>
  </si>
  <si>
    <t>The Expansion of the Combat Zone</t>
  </si>
  <si>
    <t>Eden_</t>
  </si>
  <si>
    <t>39986</t>
  </si>
  <si>
    <t>https://www.smwcentral.net/?a=details&amp;id=39986&amp;p=section</t>
  </si>
  <si>
    <t>https://dl.smwcentral.net/39986/CombatZone.zip</t>
  </si>
  <si>
    <t>The Fallen Star</t>
  </si>
  <si>
    <t>Ringo</t>
  </si>
  <si>
    <t>37607</t>
  </si>
  <si>
    <t>https://www.smwcentral.net/?a=details&amp;id=37607&amp;p=section</t>
  </si>
  <si>
    <t>https://dl.smwcentral.net/37607/TFSDemo1v1.3.zip</t>
  </si>
  <si>
    <t>The Fellership</t>
  </si>
  <si>
    <t>SolveForX, Team Slop</t>
  </si>
  <si>
    <t>33105</t>
  </si>
  <si>
    <t>https://www.smwcentral.net/?a=details&amp;id=33105&amp;p=section</t>
  </si>
  <si>
    <t>https://dl.smwcentral.net/33105/TheFellership.zip</t>
  </si>
  <si>
    <t>The First Round</t>
  </si>
  <si>
    <t>35612</t>
  </si>
  <si>
    <t>https://www.smwcentral.net/?a=details&amp;id=35612&amp;p=section</t>
  </si>
  <si>
    <t>https://dl.smwcentral.net/35612/The%20First%20Round%20v1.11.zip</t>
  </si>
  <si>
    <t>the first smw hack that will ever be so lucky as to gain the luxury of leaving my pc</t>
  </si>
  <si>
    <t>16046</t>
  </si>
  <si>
    <t>https://www.smwcentral.net/?a=details&amp;id=16046&amp;p=section</t>
  </si>
  <si>
    <t>https://dl.smwcentral.net/16046/TFSMWHTWEBSLATGTLOLMPC.zip</t>
  </si>
  <si>
    <t>The Five "Five Room" Room Castle</t>
  </si>
  <si>
    <t>33734</t>
  </si>
  <si>
    <t>https://www.smwcentral.net/?a=details&amp;id=33734&amp;p=section</t>
  </si>
  <si>
    <t>https://dl.smwcentral.net/33734/TheFiveFiveRoomRoomCastle_V1.0.zip</t>
  </si>
  <si>
    <t>The Forest of Rovaki</t>
  </si>
  <si>
    <t>9986</t>
  </si>
  <si>
    <t>https://www.smwcentral.net/?a=details&amp;id=9986&amp;p=section</t>
  </si>
  <si>
    <t>https://dl.smwcentral.net/9986/The%20Forest%20of%20Rovaki.zip</t>
  </si>
  <si>
    <t>The Forever Mystery, Part One: Rescue!</t>
  </si>
  <si>
    <t>FPzero</t>
  </si>
  <si>
    <t>9824</t>
  </si>
  <si>
    <t>https://www.smwcentral.net/?a=details&amp;id=9824&amp;p=section</t>
  </si>
  <si>
    <t>https://dl.smwcentral.net/9824/Super%20Mario%20Eternity%200.7.1.zip</t>
  </si>
  <si>
    <t>The Forever Mystery, Part Zero: Prologue</t>
  </si>
  <si>
    <t>4972</t>
  </si>
  <si>
    <t>https://www.smwcentral.net/?a=details&amp;id=4972&amp;p=section</t>
  </si>
  <si>
    <t>https://dl.smwcentral.net/4972/Forever%20Mystery%20Prologue.zip</t>
  </si>
  <si>
    <t>The Forgotten Island</t>
  </si>
  <si>
    <t>9935</t>
  </si>
  <si>
    <t>https://www.smwcentral.net/?a=details&amp;id=9935&amp;p=section</t>
  </si>
  <si>
    <t>https://dl.smwcentral.net/9935/The_Forgotten_Island.zip</t>
  </si>
  <si>
    <t>The Fort</t>
  </si>
  <si>
    <t>Ostix, Silverfox, Trollope</t>
  </si>
  <si>
    <t>6130</t>
  </si>
  <si>
    <t>https://www.smwcentral.net/?a=details&amp;id=6130&amp;p=section</t>
  </si>
  <si>
    <t>https://dl.smwcentral.net/6130/The_Fort.zip</t>
  </si>
  <si>
    <t>The Found Levels featuring Aeron</t>
  </si>
  <si>
    <t>42166</t>
  </si>
  <si>
    <t>https://www.smwcentral.net/?a=details&amp;id=42166&amp;p=section</t>
  </si>
  <si>
    <t>https://dl.smwcentral.net/42166/The%20Found%20Levels%20featuring%20Aeron%20%28version%201.4.5%29.zip</t>
  </si>
  <si>
    <t>The Four Boos of the Apocalypse</t>
  </si>
  <si>
    <t>42107</t>
  </si>
  <si>
    <t>https://www.smwcentral.net/?a=details&amp;id=42107&amp;p=section</t>
  </si>
  <si>
    <t>https://dl.smwcentral.net/42107/4BoosOfTheApocalypse.zip</t>
  </si>
  <si>
    <t>The Fragmented Realm</t>
  </si>
  <si>
    <t>Dan</t>
  </si>
  <si>
    <t>15202</t>
  </si>
  <si>
    <t>https://www.smwcentral.net/?a=details&amp;id=15202&amp;p=section</t>
  </si>
  <si>
    <t>https://dl.smwcentral.net/15202/The_Fragmented_Realm_-_Demo_2.zip</t>
  </si>
  <si>
    <t>The Friends We Made</t>
  </si>
  <si>
    <t>Jibjig</t>
  </si>
  <si>
    <t>30014</t>
  </si>
  <si>
    <t>https://www.smwcentral.net/?a=details&amp;id=30014&amp;p=section</t>
  </si>
  <si>
    <t>https://dl.smwcentral.net/30014/TFWM1.1.zip</t>
  </si>
  <si>
    <t>The Fugue</t>
  </si>
  <si>
    <t>40917</t>
  </si>
  <si>
    <t>https://www.smwcentral.net/?a=details&amp;id=40917&amp;p=section</t>
  </si>
  <si>
    <t>https://dl.smwcentral.net/40917/TheFugue1_1.zip</t>
  </si>
  <si>
    <t>The Gatekeeper Strikes Again!!!</t>
  </si>
  <si>
    <t>39021</t>
  </si>
  <si>
    <t>https://www.smwcentral.net/?a=details&amp;id=39021&amp;p=section</t>
  </si>
  <si>
    <t>https://dl.smwcentral.net/39021/Gatekeeper.zip</t>
  </si>
  <si>
    <t>The Getaway</t>
  </si>
  <si>
    <t>31221</t>
  </si>
  <si>
    <t>https://www.smwcentral.net/?a=details&amp;id=31221&amp;p=section</t>
  </si>
  <si>
    <t>https://dl.smwcentral.net/31221/The%20Getaway%201.12.zip</t>
  </si>
  <si>
    <t>The Grassy Plains</t>
  </si>
  <si>
    <t>pieguy184</t>
  </si>
  <si>
    <t>9955</t>
  </si>
  <si>
    <t>https://www.smwcentral.net/?a=details&amp;id=9955&amp;p=section</t>
  </si>
  <si>
    <t>https://dl.smwcentral.net/9955/TheGrassyPlains.zip</t>
  </si>
  <si>
    <t>The Great Giana Sisters</t>
  </si>
  <si>
    <t>13430</t>
  </si>
  <si>
    <t>https://www.smwcentral.net/?a=details&amp;id=13430&amp;p=section</t>
  </si>
  <si>
    <t>https://dl.smwcentral.net/13430/The%20Great%20Giana%20Sisters.zip</t>
  </si>
  <si>
    <t>The Great Giana Sisters 2: Another Generical Hack</t>
  </si>
  <si>
    <t>14627</t>
  </si>
  <si>
    <t>https://www.smwcentral.net/?a=details&amp;id=14627&amp;p=section</t>
  </si>
  <si>
    <t>https://dl.smwcentral.net/14627/The%20Great%20Giana%20Sisters%202%20-%20Another%20Generical%20Hack.zip</t>
  </si>
  <si>
    <t>The Great Giana Sisters 3: The Forgotten Dream</t>
  </si>
  <si>
    <t>14671</t>
  </si>
  <si>
    <t>https://www.smwcentral.net/?a=details&amp;id=14671&amp;p=section</t>
  </si>
  <si>
    <t>https://dl.smwcentral.net/14671/The%20Great%20Giana%20Sisters%203%20-%20The%20Forrgoten%20Dream%20Demo1.zip</t>
  </si>
  <si>
    <t>The Great Search</t>
  </si>
  <si>
    <t>34298</t>
  </si>
  <si>
    <t>https://www.smwcentral.net/?a=details&amp;id=34298&amp;p=section</t>
  </si>
  <si>
    <t>https://dl.smwcentral.net/34298/The%20Great%20Search.zip</t>
  </si>
  <si>
    <t>The Green Plumber's Adventure: A Future Prequel</t>
  </si>
  <si>
    <t>Super Buzzy Yoshi, TheOrangeToad</t>
  </si>
  <si>
    <t>27980</t>
  </si>
  <si>
    <t>https://www.smwcentral.net/?a=details&amp;id=27980&amp;p=section</t>
  </si>
  <si>
    <t>https://dl.smwcentral.net/27980/TGPAAFPDemo.zip</t>
  </si>
  <si>
    <t>The grey chapter</t>
  </si>
  <si>
    <t>29915</t>
  </si>
  <si>
    <t>https://www.smwcentral.net/?a=details&amp;id=29915&amp;p=section</t>
  </si>
  <si>
    <t>https://dl.smwcentral.net/29915/The%20grey%20chapter.zip</t>
  </si>
  <si>
    <t>The Hackening</t>
  </si>
  <si>
    <t>28709</t>
  </si>
  <si>
    <t>https://www.smwcentral.net/?a=details&amp;id=28709&amp;p=section</t>
  </si>
  <si>
    <t>https://dl.smwcentral.net/28709/The%20Hackening.zip</t>
  </si>
  <si>
    <t>The Hackrooms</t>
  </si>
  <si>
    <t>40345</t>
  </si>
  <si>
    <t>https://www.smwcentral.net/?a=details&amp;id=40345&amp;p=section</t>
  </si>
  <si>
    <t>https://dl.smwcentral.net/40345/The_Hackrooms.zip</t>
  </si>
  <si>
    <t>The Halloween Island</t>
  </si>
  <si>
    <t>21388</t>
  </si>
  <si>
    <t>https://www.smwcentral.net/?a=details&amp;id=21388&amp;p=section</t>
  </si>
  <si>
    <t>https://dl.smwcentral.net/21388/The%20Halloween%20Island%20V1.2.zip</t>
  </si>
  <si>
    <t>The Hand Of Chaos</t>
  </si>
  <si>
    <t>Forsequad</t>
  </si>
  <si>
    <t>5588</t>
  </si>
  <si>
    <t>https://www.smwcentral.net/?a=details&amp;id=5588&amp;p=section</t>
  </si>
  <si>
    <t>https://dl.smwcentral.net/5588/THOCDEMOFIXED.zip</t>
  </si>
  <si>
    <t>The Hangover</t>
  </si>
  <si>
    <t>13602</t>
  </si>
  <si>
    <t>https://www.smwcentral.net/?a=details&amp;id=13602&amp;p=section</t>
  </si>
  <si>
    <t>https://dl.smwcentral.net/13602/The%20Hangover%20V1.0.zip</t>
  </si>
  <si>
    <t>The Hard</t>
  </si>
  <si>
    <t>34341</t>
  </si>
  <si>
    <t>https://www.smwcentral.net/?a=details&amp;id=34341&amp;p=section</t>
  </si>
  <si>
    <t>https://dl.smwcentral.net/34341/The%20The%20Hard.zip</t>
  </si>
  <si>
    <t>The Haunt</t>
  </si>
  <si>
    <t>5082</t>
  </si>
  <si>
    <t>https://www.smwcentral.net/?a=details&amp;id=5082&amp;p=section</t>
  </si>
  <si>
    <t>https://dl.smwcentral.net/5082/The%20Haunt.zip</t>
  </si>
  <si>
    <t>The Haunted Desert: OLD EDITION</t>
  </si>
  <si>
    <t>Crispy, Dan, Hadron</t>
  </si>
  <si>
    <t>14657</t>
  </si>
  <si>
    <t>https://www.smwcentral.net/?a=details&amp;id=14657&amp;p=section</t>
  </si>
  <si>
    <t>https://dl.smwcentral.net/14657/The%20Haunted%20Desert%20OLD%20EDITION.zip</t>
  </si>
  <si>
    <t>The Haunted Desert: REMASTERED</t>
  </si>
  <si>
    <t>14592</t>
  </si>
  <si>
    <t>https://www.smwcentral.net/?a=details&amp;id=14592&amp;p=section</t>
  </si>
  <si>
    <t>https://dl.smwcentral.net/14592/The%20Haunted%20Desert%20REMASTERED.zip</t>
  </si>
  <si>
    <t>The Hodgepodge: A Collection of Would Be Scrapped Levels</t>
  </si>
  <si>
    <t>Jamie, Kr00mmi</t>
  </si>
  <si>
    <t>33813</t>
  </si>
  <si>
    <t>https://www.smwcentral.net/?a=details&amp;id=33813&amp;p=section</t>
  </si>
  <si>
    <t>https://dl.smwcentral.net/33813/The%20Hodgepodge.zip</t>
  </si>
  <si>
    <t>The Hooray! - Fishing Season</t>
  </si>
  <si>
    <t>13496</t>
  </si>
  <si>
    <t>https://www.smwcentral.net/?a=details&amp;id=13496&amp;p=section</t>
  </si>
  <si>
    <t>https://dl.smwcentral.net/13496/The%20Hooray%21%20-%20Fishing%20Season%20%28v1.01.1%29.zip</t>
  </si>
  <si>
    <t>The House of Many Trolls</t>
  </si>
  <si>
    <t>GoldenSpiny</t>
  </si>
  <si>
    <t>41392</t>
  </si>
  <si>
    <t>https://www.smwcentral.net/?a=details&amp;id=41392&amp;p=section</t>
  </si>
  <si>
    <t>https://dl.smwcentral.net/41392/TheHouseOfManyTrolls.zip</t>
  </si>
  <si>
    <t>The Hungrymumbles Project</t>
  </si>
  <si>
    <t>Hungrymumbles</t>
  </si>
  <si>
    <t>24997</t>
  </si>
  <si>
    <t>https://www.smwcentral.net/?a=details&amp;id=24997&amp;p=section</t>
  </si>
  <si>
    <t>https://dl.smwcentral.net/24997/The%20Hungrymumbles%20Project%20V1.3.zip</t>
  </si>
  <si>
    <t>The Hunt for the Chocolate Egg</t>
  </si>
  <si>
    <t>19664</t>
  </si>
  <si>
    <t>https://www.smwcentral.net/?a=details&amp;id=19664&amp;p=section</t>
  </si>
  <si>
    <t>https://dl.smwcentral.net/19664/The_Hunt_for_the_Chocolate_Egg.zip</t>
  </si>
  <si>
    <t>The Joy of Kaizo</t>
  </si>
  <si>
    <t>18200</t>
  </si>
  <si>
    <t>https://www.smwcentral.net/?a=details&amp;id=18200&amp;p=section</t>
  </si>
  <si>
    <t>https://dl.smwcentral.net/18200/Joy%20of%20Kaizo%201.6.zip</t>
  </si>
  <si>
    <t>The Junkbox</t>
  </si>
  <si>
    <t>17256</t>
  </si>
  <si>
    <t>https://www.smwcentral.net/?a=details&amp;id=17256&amp;p=section</t>
  </si>
  <si>
    <t>https://dl.smwcentral.net/17256/The%20Junkbox%201.1.zip</t>
  </si>
  <si>
    <t>The Last Journey</t>
  </si>
  <si>
    <t>28336</t>
  </si>
  <si>
    <t>https://www.smwcentral.net/?a=details&amp;id=28336&amp;p=section</t>
  </si>
  <si>
    <t>https://dl.smwcentral.net/28336/TheLastJourney_V1.1.zip</t>
  </si>
  <si>
    <t>The Last Straw</t>
  </si>
  <si>
    <t>24693</t>
  </si>
  <si>
    <t>https://www.smwcentral.net/?a=details&amp;id=24693&amp;p=section</t>
  </si>
  <si>
    <t>https://dl.smwcentral.net/24693/TLS%20v2.2.zip</t>
  </si>
  <si>
    <t>The Left Hand of Rosalina</t>
  </si>
  <si>
    <t>Buzbee, GrumpyWalrus</t>
  </si>
  <si>
    <t>36686</t>
  </si>
  <si>
    <t>https://www.smwcentral.net/?a=details&amp;id=36686&amp;p=section</t>
  </si>
  <si>
    <t>https://dl.smwcentral.net/36686/TheLeftHandOfRosalina_2.zip</t>
  </si>
  <si>
    <t>The Legend of Randorland 1 - The Rise of Randor - Resurrected</t>
  </si>
  <si>
    <t>10152</t>
  </si>
  <si>
    <t>https://www.smwcentral.net/?a=details&amp;id=10152&amp;p=section</t>
  </si>
  <si>
    <t>https://dl.smwcentral.net/10152/The%20Legend%20of%20Randorland%201%20-%20The%20Rise%20of%20Randor%20V1.2.zip</t>
  </si>
  <si>
    <t>The Legend of Randorland 3 - Randor's Eternal Empire</t>
  </si>
  <si>
    <t>10002</t>
  </si>
  <si>
    <t>https://www.smwcentral.net/?a=details&amp;id=10002&amp;p=section</t>
  </si>
  <si>
    <t>https://dl.smwcentral.net/10002/The%20Legend%20of%20Randorland%203.zip</t>
  </si>
  <si>
    <t>The Legend Of Red Plumber</t>
  </si>
  <si>
    <t>39497</t>
  </si>
  <si>
    <t>https://www.smwcentral.net/?a=details&amp;id=39497&amp;p=section</t>
  </si>
  <si>
    <t>https://dl.smwcentral.net/39497/thelegendofredplumber.zip</t>
  </si>
  <si>
    <t>The Legend of Zelda - The Mini Quest</t>
  </si>
  <si>
    <t>29774</t>
  </si>
  <si>
    <t>https://www.smwcentral.net/?a=details&amp;id=29774&amp;p=section</t>
  </si>
  <si>
    <t>https://dl.smwcentral.net/29774/The%20Legend%20of%20Zelda%20-%20The%20Mini%20Quest.zip</t>
  </si>
  <si>
    <t>The Legendary Bros.</t>
  </si>
  <si>
    <t>14419</t>
  </si>
  <si>
    <t>https://www.smwcentral.net/?a=details&amp;id=14419&amp;p=section</t>
  </si>
  <si>
    <t>https://dl.smwcentral.net/14419/The%20Legendary%20Bros.%20Demo%202.zip</t>
  </si>
  <si>
    <t>The Level</t>
  </si>
  <si>
    <t>9525</t>
  </si>
  <si>
    <t>https://www.smwcentral.net/?a=details&amp;id=9525&amp;p=section</t>
  </si>
  <si>
    <t>https://dl.smwcentral.net/9525/TheLevel1.2.zip</t>
  </si>
  <si>
    <t>The long way home</t>
  </si>
  <si>
    <t>34659</t>
  </si>
  <si>
    <t>https://www.smwcentral.net/?a=details&amp;id=34659&amp;p=section</t>
  </si>
  <si>
    <t>https://dl.smwcentral.net/34659/The%20long%20way%20home%20v1.1.zip</t>
  </si>
  <si>
    <t>The long way home 2</t>
  </si>
  <si>
    <t>35088</t>
  </si>
  <si>
    <t>https://www.smwcentral.net/?a=details&amp;id=35088&amp;p=section</t>
  </si>
  <si>
    <t>https://dl.smwcentral.net/35088/The%20long%20way%20home%20II%20V1.1.zip</t>
  </si>
  <si>
    <t>The Lost Chapters - Chapter 1: Reminiscence</t>
  </si>
  <si>
    <t>Lumy</t>
  </si>
  <si>
    <t>5965</t>
  </si>
  <si>
    <t>https://www.smwcentral.net/?a=details&amp;id=5965&amp;p=section</t>
  </si>
  <si>
    <t>https://dl.smwcentral.net/5965/TLC%20-%20Chapter%201%20Demo%203.zip</t>
  </si>
  <si>
    <t>The Lost Land</t>
  </si>
  <si>
    <t>10244</t>
  </si>
  <si>
    <t>https://www.smwcentral.net/?a=details&amp;id=10244&amp;p=section</t>
  </si>
  <si>
    <t>https://dl.smwcentral.net/10244/The%20Lost%20Land.zip</t>
  </si>
  <si>
    <t>The Lost Land 2: The 4 Switches</t>
  </si>
  <si>
    <t>5256</t>
  </si>
  <si>
    <t>https://www.smwcentral.net/?a=details&amp;id=5256&amp;p=section</t>
  </si>
  <si>
    <t>https://dl.smwcentral.net/5256/The%20Lost%20Land%202%20-%20The%204%20Switches.zip</t>
  </si>
  <si>
    <t>The Lost Land 3</t>
  </si>
  <si>
    <t>5543</t>
  </si>
  <si>
    <t>https://www.smwcentral.net/?a=details&amp;id=5543&amp;p=section</t>
  </si>
  <si>
    <t>https://dl.smwcentral.net/5543/The%20Lost%20Land%203.zip</t>
  </si>
  <si>
    <t>The Lost Levels Enhanced</t>
  </si>
  <si>
    <t>10229</t>
  </si>
  <si>
    <t>https://www.smwcentral.net/?a=details&amp;id=10229&amp;p=section</t>
  </si>
  <si>
    <t>https://dl.smwcentral.net/10229/tlle.zip</t>
  </si>
  <si>
    <t>The Lost Woods</t>
  </si>
  <si>
    <t>K1ngHacks</t>
  </si>
  <si>
    <t>5603</t>
  </si>
  <si>
    <t>https://www.smwcentral.net/?a=details&amp;id=5603&amp;p=section</t>
  </si>
  <si>
    <t>https://dl.smwcentral.net/5603/The%20Lost%20Woods.zip</t>
  </si>
  <si>
    <t>The Lost World Journey</t>
  </si>
  <si>
    <t>9922</t>
  </si>
  <si>
    <t>https://www.smwcentral.net/?a=details&amp;id=9922&amp;p=section</t>
  </si>
  <si>
    <t>https://dl.smwcentral.net/9922/The%20Lost%20World%20Journey.zip</t>
  </si>
  <si>
    <t>The Magic Cooking Pot</t>
  </si>
  <si>
    <t>Goobie Doobie</t>
  </si>
  <si>
    <t>34379</t>
  </si>
  <si>
    <t>https://www.smwcentral.net/?a=details&amp;id=34379&amp;p=section</t>
  </si>
  <si>
    <t>https://dl.smwcentral.net/34379/MCP.zip</t>
  </si>
  <si>
    <t>The Mario World</t>
  </si>
  <si>
    <t>Mariogoon</t>
  </si>
  <si>
    <t>10084</t>
  </si>
  <si>
    <t>https://www.smwcentral.net/?a=details&amp;id=10084&amp;p=section</t>
  </si>
  <si>
    <t>https://dl.smwcentral.net/10084/The%20Mario%20World.zip</t>
  </si>
  <si>
    <t>The Mario's Greatest Adventure</t>
  </si>
  <si>
    <t>Brutapode89</t>
  </si>
  <si>
    <t>25281</t>
  </si>
  <si>
    <t>https://www.smwcentral.net/?a=details&amp;id=25281&amp;p=section</t>
  </si>
  <si>
    <t>https://dl.smwcentral.net/25281/The%20Mario%27s%20Greatest%20Adventure%20%28Demo%202.1%29.zip</t>
  </si>
  <si>
    <t>The Mirror Border</t>
  </si>
  <si>
    <t>Ckristina, Kixune, Masterlink, Mentholeus, yupilongas</t>
  </si>
  <si>
    <t>30156</t>
  </si>
  <si>
    <t>https://www.smwcentral.net/?a=details&amp;id=30156&amp;p=section</t>
  </si>
  <si>
    <t>https://dl.smwcentral.net/30156/The%20Mirror%20Border.zip</t>
  </si>
  <si>
    <t>The Misfortunes of Little Denise</t>
  </si>
  <si>
    <t>22858</t>
  </si>
  <si>
    <t>https://www.smwcentral.net/?a=details&amp;id=22858&amp;p=section</t>
  </si>
  <si>
    <t>https://dl.smwcentral.net/22858/Little%20Denise.zip</t>
  </si>
  <si>
    <t>The Missing Eggs</t>
  </si>
  <si>
    <t>AHawk</t>
  </si>
  <si>
    <t>10261</t>
  </si>
  <si>
    <t>https://www.smwcentral.net/?a=details&amp;id=10261&amp;p=section</t>
  </si>
  <si>
    <t>https://dl.smwcentral.net/10261/megayoshi%20patch.zip</t>
  </si>
  <si>
    <t>The Missing Plot</t>
  </si>
  <si>
    <t>Huxellberger</t>
  </si>
  <si>
    <t>10096</t>
  </si>
  <si>
    <t>https://www.smwcentral.net/?a=details&amp;id=10096&amp;p=section</t>
  </si>
  <si>
    <t>https://dl.smwcentral.net/10096/Missing%20Plot.zip</t>
  </si>
  <si>
    <t>The Most Pointless Hack Ever</t>
  </si>
  <si>
    <t>Diddy Kong</t>
  </si>
  <si>
    <t>9835</t>
  </si>
  <si>
    <t>https://www.smwcentral.net/?a=details&amp;id=9835&amp;p=section</t>
  </si>
  <si>
    <t>https://dl.smwcentral.net/9835/tMPHE.zip</t>
  </si>
  <si>
    <t>The Mountain Adventure</t>
  </si>
  <si>
    <t>9684</t>
  </si>
  <si>
    <t>https://www.smwcentral.net/?a=details&amp;id=9684&amp;p=section</t>
  </si>
  <si>
    <t>https://dl.smwcentral.net/9684/The%20Mountain%20Adventure.zip</t>
  </si>
  <si>
    <t>The Muncher Run</t>
  </si>
  <si>
    <t>9876</t>
  </si>
  <si>
    <t>https://www.smwcentral.net/?a=details&amp;id=9876&amp;p=section</t>
  </si>
  <si>
    <t>https://dl.smwcentral.net/9876/TMR.zip</t>
  </si>
  <si>
    <t>The Muncher Run 2</t>
  </si>
  <si>
    <t>Bad luck man, Ersanio</t>
  </si>
  <si>
    <t>9695</t>
  </si>
  <si>
    <t>https://www.smwcentral.net/?a=details&amp;id=9695&amp;p=section</t>
  </si>
  <si>
    <t>https://dl.smwcentral.net/9695/The_Muncher_Run_2_V1.1.zip</t>
  </si>
  <si>
    <t>The Mushroom Factor</t>
  </si>
  <si>
    <t>pablopeach</t>
  </si>
  <si>
    <t>5557</t>
  </si>
  <si>
    <t>https://www.smwcentral.net/?a=details&amp;id=5557&amp;p=section</t>
  </si>
  <si>
    <t>https://dl.smwcentral.net/5557/tmf.zip</t>
  </si>
  <si>
    <t>The Mushroom Manifold</t>
  </si>
  <si>
    <t>FerpyMcFrosting, FridayFables, Hwailaluta, Mithrillionaire, Prestinator13</t>
  </si>
  <si>
    <t>30029</t>
  </si>
  <si>
    <t>https://www.smwcentral.net/?a=details&amp;id=30029&amp;p=section</t>
  </si>
  <si>
    <t>https://dl.smwcentral.net/30029/TheMushroomManifold.zip</t>
  </si>
  <si>
    <t>The New Comfort Zone</t>
  </si>
  <si>
    <t>28543</t>
  </si>
  <si>
    <t>https://www.smwcentral.net/?a=details&amp;id=28543&amp;p=section</t>
  </si>
  <si>
    <t>https://dl.smwcentral.net/28543/NewComfy1.02.zip</t>
  </si>
  <si>
    <t>The New Mario World</t>
  </si>
  <si>
    <t>OnlineVideoSurfer</t>
  </si>
  <si>
    <t>5294</t>
  </si>
  <si>
    <t>https://www.smwcentral.net/?a=details&amp;id=5294&amp;p=section</t>
  </si>
  <si>
    <t>https://dl.smwcentral.net/5294/The%20New%20Mario%20World%20V1.1.zip</t>
  </si>
  <si>
    <t>The Ninji Saga</t>
  </si>
  <si>
    <t>9710</t>
  </si>
  <si>
    <t>https://www.smwcentral.net/?a=details&amp;id=9710&amp;p=section</t>
  </si>
  <si>
    <t>https://dl.smwcentral.net/9710/ninjisaga.zip</t>
  </si>
  <si>
    <t>The Old Mansion</t>
  </si>
  <si>
    <t>10121</t>
  </si>
  <si>
    <t>https://www.smwcentral.net/?a=details&amp;id=10121&amp;p=section</t>
  </si>
  <si>
    <t>https://dl.smwcentral.net/10121/The%20Old%20Mansion.zip</t>
  </si>
  <si>
    <t>The Path from Prisminia</t>
  </si>
  <si>
    <t>37627</t>
  </si>
  <si>
    <t>https://www.smwcentral.net/?a=details&amp;id=37627&amp;p=section</t>
  </si>
  <si>
    <t>https://dl.smwcentral.net/37627/The%20Path%20from%20Prisminia%20%28Chapter%201%2B2%20Demo%2C%20v2.1%29.zip</t>
  </si>
  <si>
    <t>The Pit Level 2</t>
  </si>
  <si>
    <t>15823</t>
  </si>
  <si>
    <t>https://www.smwcentral.net/?a=details&amp;id=15823&amp;p=section</t>
  </si>
  <si>
    <t>https://dl.smwcentral.net/15823/TPL2.zip</t>
  </si>
  <si>
    <t>The Pit Level 2 REMASTERED</t>
  </si>
  <si>
    <t>IgorOliveira666</t>
  </si>
  <si>
    <t>32607</t>
  </si>
  <si>
    <t>https://www.smwcentral.net/?a=details&amp;id=32607&amp;p=section</t>
  </si>
  <si>
    <t>https://dl.smwcentral.net/32607/The%20Pit%20Level%202%20REMASTERED.zip</t>
  </si>
  <si>
    <t>The Plumber Saga</t>
  </si>
  <si>
    <t>E-Man</t>
  </si>
  <si>
    <t>9982</t>
  </si>
  <si>
    <t>https://www.smwcentral.net/?a=details&amp;id=9982&amp;p=section</t>
  </si>
  <si>
    <t>https://dl.smwcentral.net/9982/The%20Plumber%20Saga.zip</t>
  </si>
  <si>
    <t>The Possibility Of An Island</t>
  </si>
  <si>
    <t>34219</t>
  </si>
  <si>
    <t>https://www.smwcentral.net/?a=details&amp;id=34219&amp;p=section</t>
  </si>
  <si>
    <t>https://dl.smwcentral.net/34219/ThePossibilityOfAnIsland.zip</t>
  </si>
  <si>
    <t>The Power Beneath</t>
  </si>
  <si>
    <t>27443</t>
  </si>
  <si>
    <t>https://www.smwcentral.net/?a=details&amp;id=27443&amp;p=section</t>
  </si>
  <si>
    <t>https://dl.smwcentral.net/27443/The%20Power%20Beneath.zip</t>
  </si>
  <si>
    <t>The Precise Is Right</t>
  </si>
  <si>
    <t>pixlrik</t>
  </si>
  <si>
    <t>42566</t>
  </si>
  <si>
    <t>https://www.smwcentral.net/?a=details&amp;id=42566&amp;p=section</t>
  </si>
  <si>
    <t>https://dl.smwcentral.net/42566/The%20Precise%20Is%20Right%20V1.1.zip</t>
  </si>
  <si>
    <t>The Princess Was Kidnapped Again DEMO</t>
  </si>
  <si>
    <t>Gabriel BR</t>
  </si>
  <si>
    <t>25186</t>
  </si>
  <si>
    <t>https://www.smwcentral.net/?a=details&amp;id=25186&amp;p=section</t>
  </si>
  <si>
    <t>https://dl.smwcentral.net/25186/The%20Princess%20Was%20Kidnapped%20Again%20DEMO.zip</t>
  </si>
  <si>
    <t>The Prodigy's Last Stand</t>
  </si>
  <si>
    <t>SMGamer</t>
  </si>
  <si>
    <t>5133</t>
  </si>
  <si>
    <t>https://www.smwcentral.net/?a=details&amp;id=5133&amp;p=section</t>
  </si>
  <si>
    <t>https://dl.smwcentral.net/5133/The%20Prodigy%27s%20Last%20Stand.zip</t>
  </si>
  <si>
    <t>The Quest for the Candies</t>
  </si>
  <si>
    <t>32483</t>
  </si>
  <si>
    <t>https://www.smwcentral.net/?a=details&amp;id=32483&amp;p=section</t>
  </si>
  <si>
    <t>https://dl.smwcentral.net/32483/The%20Quest%20for%20the%20Candies%20%28V1.1.1%29.zip</t>
  </si>
  <si>
    <t>The Quiet Island Quest Starring Mario</t>
  </si>
  <si>
    <t>DatGuyT</t>
  </si>
  <si>
    <t>10093</t>
  </si>
  <si>
    <t>https://www.smwcentral.net/?a=details&amp;id=10093&amp;p=section</t>
  </si>
  <si>
    <t>https://dl.smwcentral.net/10093/Quiet%20Island%20%28Final%29.zip</t>
  </si>
  <si>
    <t>The Reapers Shells</t>
  </si>
  <si>
    <t>26558</t>
  </si>
  <si>
    <t>https://www.smwcentral.net/?a=details&amp;id=26558&amp;p=section</t>
  </si>
  <si>
    <t>https://dl.smwcentral.net/26558/TheReaperShells.zip</t>
  </si>
  <si>
    <t>The Reapers Shells 2</t>
  </si>
  <si>
    <t>30170</t>
  </si>
  <si>
    <t>https://www.smwcentral.net/?a=details&amp;id=30170&amp;p=section</t>
  </si>
  <si>
    <t>https://dl.smwcentral.net/30170/TheReapersShells2.zip</t>
  </si>
  <si>
    <t>The Rebuilding of the Star Palace</t>
  </si>
  <si>
    <t>IsoFrieze</t>
  </si>
  <si>
    <t>9722</t>
  </si>
  <si>
    <t>https://www.smwcentral.net/?a=details&amp;id=9722&amp;p=section</t>
  </si>
  <si>
    <t>https://dl.smwcentral.net/9722/vb0.35TheRebuildingofthestarpalace.zip</t>
  </si>
  <si>
    <t>The Reconciliation of Ascension</t>
  </si>
  <si>
    <t>33033</t>
  </si>
  <si>
    <t>https://www.smwcentral.net/?a=details&amp;id=33033&amp;p=section</t>
  </si>
  <si>
    <t>https://dl.smwcentral.net/33033/The%20Reconciliation%20of%20Ascension.zip</t>
  </si>
  <si>
    <t>The Repetitive Adventure of a Distended Plumber</t>
  </si>
  <si>
    <t>The Blue Yoshi</t>
  </si>
  <si>
    <t>9909</t>
  </si>
  <si>
    <t>https://www.smwcentral.net/?a=details&amp;id=9909&amp;p=section</t>
  </si>
  <si>
    <t>https://dl.smwcentral.net/9909/TRAoaDP.zip</t>
  </si>
  <si>
    <t>The Return to Super Mario World</t>
  </si>
  <si>
    <t>nnn</t>
  </si>
  <si>
    <t>10135</t>
  </si>
  <si>
    <t>https://www.smwcentral.net/?a=details&amp;id=10135&amp;p=section</t>
  </si>
  <si>
    <t>https://dl.smwcentral.net/10135/SMW%20EXP%20v3.2%20The%20return%20to%20SMW%20%28Fixed%29.zip</t>
  </si>
  <si>
    <t>The Rituals Of Resurrection</t>
  </si>
  <si>
    <t>9848</t>
  </si>
  <si>
    <t>https://www.smwcentral.net/?a=details&amp;id=9848&amp;p=section</t>
  </si>
  <si>
    <t>https://dl.smwcentral.net/9848/The_Rituals_of_Resurrection.zip</t>
  </si>
  <si>
    <t>The Rock 'n' Roll Mario Show: Set 1</t>
  </si>
  <si>
    <t>24625</t>
  </si>
  <si>
    <t>https://www.smwcentral.net/?a=details&amp;id=24625&amp;p=section</t>
  </si>
  <si>
    <t>https://dl.smwcentral.net/24625/Rock%20n%20Roll%20Mario%20Show%20set%201%20v1.13.zip</t>
  </si>
  <si>
    <t>The Rock 'n' Roll Mario Show: Set Two</t>
  </si>
  <si>
    <t>29606</t>
  </si>
  <si>
    <t>https://www.smwcentral.net/?a=details&amp;id=29606&amp;p=section</t>
  </si>
  <si>
    <t>https://dl.smwcentral.net/29606/The%20Rock%20n%20Roll%20Mario%20Show%20Set%20Two%20v1.1.zip</t>
  </si>
  <si>
    <t>The Ruin</t>
  </si>
  <si>
    <t>Mao</t>
  </si>
  <si>
    <t>36673</t>
  </si>
  <si>
    <t>https://www.smwcentral.net/?a=details&amp;id=36673&amp;p=section</t>
  </si>
  <si>
    <t>https://dl.smwcentral.net/36673/The%20Ruin.zip</t>
  </si>
  <si>
    <t>The Saga - Kame</t>
  </si>
  <si>
    <t>Rauy Style</t>
  </si>
  <si>
    <t>9875</t>
  </si>
  <si>
    <t>https://www.smwcentral.net/?a=details&amp;id=9875&amp;p=section</t>
  </si>
  <si>
    <t>https://dl.smwcentral.net/9875/The%20Saga%20-%20Kame.zip</t>
  </si>
  <si>
    <t>The Sapphire</t>
  </si>
  <si>
    <t>Atari2.0</t>
  </si>
  <si>
    <t>18601</t>
  </si>
  <si>
    <t>https://www.smwcentral.net/?a=details&amp;id=18601&amp;p=section</t>
  </si>
  <si>
    <t>https://dl.smwcentral.net/18601/TheSapphireV1.1%281%29.zip</t>
  </si>
  <si>
    <t>The Search for Salmon</t>
  </si>
  <si>
    <t>17555</t>
  </si>
  <si>
    <t>https://www.smwcentral.net/?a=details&amp;id=17555&amp;p=section</t>
  </si>
  <si>
    <t>https://dl.smwcentral.net/17555/The%20Search%20for%20Salmon%201.2.zip</t>
  </si>
  <si>
    <t>The Second Reality Project</t>
  </si>
  <si>
    <t>4983</t>
  </si>
  <si>
    <t>https://www.smwcentral.net/?a=details&amp;id=4983&amp;p=section</t>
  </si>
  <si>
    <t>https://dl.smwcentral.net/4983/TSRP1.zip</t>
  </si>
  <si>
    <t>The Second Reality Project 2 Reloaded: Zycloboo's Challenge</t>
  </si>
  <si>
    <t>9543</t>
  </si>
  <si>
    <t>https://www.smwcentral.net/?a=details&amp;id=9543&amp;p=section</t>
  </si>
  <si>
    <t>https://dl.smwcentral.net/9543/TSRP2v2.2.zip</t>
  </si>
  <si>
    <t>The Second Reality Project 2: Zycloboo's Challenge</t>
  </si>
  <si>
    <t>4974</t>
  </si>
  <si>
    <t>https://www.smwcentral.net/?a=details&amp;id=4974&amp;p=section</t>
  </si>
  <si>
    <t>https://dl.smwcentral.net/4974/TSRP2vers1.2.zip</t>
  </si>
  <si>
    <t>The Second Reality Project Reloaded</t>
  </si>
  <si>
    <t>16696</t>
  </si>
  <si>
    <t>https://www.smwcentral.net/?a=details&amp;id=16696&amp;p=section</t>
  </si>
  <si>
    <t>https://dl.smwcentral.net/16696/TSRPR%20v1.2.zip</t>
  </si>
  <si>
    <t>The Secret Islands</t>
  </si>
  <si>
    <t>24565</t>
  </si>
  <si>
    <t>https://www.smwcentral.net/?a=details&amp;id=24565&amp;p=section</t>
  </si>
  <si>
    <t>https://dl.smwcentral.net/24565/Secret%20Island.zip</t>
  </si>
  <si>
    <t>The Secret of the Switches</t>
  </si>
  <si>
    <t>arotenbe</t>
  </si>
  <si>
    <t>9902</t>
  </si>
  <si>
    <t>https://www.smwcentral.net/?a=details&amp;id=9902&amp;p=section</t>
  </si>
  <si>
    <t>https://dl.smwcentral.net/9902/The%20Secret%20of%20the%20Switches%20%28Demo%201.1%29.zip</t>
  </si>
  <si>
    <t>The Senate</t>
  </si>
  <si>
    <t>Fornaxus</t>
  </si>
  <si>
    <t>6161</t>
  </si>
  <si>
    <t>https://www.smwcentral.net/?a=details&amp;id=6161&amp;p=section</t>
  </si>
  <si>
    <t>https://dl.smwcentral.net/6161/The%20Senate%20v1.3.zip</t>
  </si>
  <si>
    <t>The Seven Hurdles</t>
  </si>
  <si>
    <t>11848</t>
  </si>
  <si>
    <t>https://www.smwcentral.net/?a=details&amp;id=11848&amp;p=section</t>
  </si>
  <si>
    <t>https://dl.smwcentral.net/11848/The%20Seven%20Hurdles%20v1.1.zip</t>
  </si>
  <si>
    <t>The Seven Hurdles 2</t>
  </si>
  <si>
    <t>13850</t>
  </si>
  <si>
    <t>https://www.smwcentral.net/?a=details&amp;id=13850&amp;p=section</t>
  </si>
  <si>
    <t>https://dl.smwcentral.net/13850/TSH2v121.zip</t>
  </si>
  <si>
    <t>The Seven Star Pieces</t>
  </si>
  <si>
    <t>4989</t>
  </si>
  <si>
    <t>https://www.smwcentral.net/?a=details&amp;id=4989&amp;p=section</t>
  </si>
  <si>
    <t>https://dl.smwcentral.net/4989/7star_demo1.zip</t>
  </si>
  <si>
    <t>The Sixty-four Trials</t>
  </si>
  <si>
    <t>Mariowings77</t>
  </si>
  <si>
    <t>9992</t>
  </si>
  <si>
    <t>https://www.smwcentral.net/?a=details&amp;id=9992&amp;p=section</t>
  </si>
  <si>
    <t>https://dl.smwcentral.net/9992/The%20Sixty-four%20Trials%20Demo%201.zip</t>
  </si>
  <si>
    <t>The Stinky Black Banana Peel</t>
  </si>
  <si>
    <t>38660</t>
  </si>
  <si>
    <t>https://www.smwcentral.net/?a=details&amp;id=38660&amp;p=section</t>
  </si>
  <si>
    <t>https://dl.smwcentral.net/38660/the%20stinky%20black%20banana%20peel.zip</t>
  </si>
  <si>
    <t>The Stolen Yoshi Coins</t>
  </si>
  <si>
    <t>super pokemon world</t>
  </si>
  <si>
    <t>9970</t>
  </si>
  <si>
    <t>https://www.smwcentral.net/?a=details&amp;id=9970&amp;p=section</t>
  </si>
  <si>
    <t>https://dl.smwcentral.net/9970/the%20stolen%20yoshi%20coins.zip</t>
  </si>
  <si>
    <t>The Sweet Sweet Love</t>
  </si>
  <si>
    <t>Beefy Chud</t>
  </si>
  <si>
    <t>28591</t>
  </si>
  <si>
    <t>https://www.smwcentral.net/?a=details&amp;id=28591&amp;p=section</t>
  </si>
  <si>
    <t>https://dl.smwcentral.net/28591/The_Sweet_Sweet_Love_V1.1.zip</t>
  </si>
  <si>
    <t>The Sweet Sweet Love Forever</t>
  </si>
  <si>
    <t>31894</t>
  </si>
  <si>
    <t>https://www.smwcentral.net/?a=details&amp;id=31894&amp;p=section</t>
  </si>
  <si>
    <t>https://dl.smwcentral.net/31894/The_Sweet_Sweet_Love_Forever.zip</t>
  </si>
  <si>
    <t>The Sweet Sweet Love Returns</t>
  </si>
  <si>
    <t>29914</t>
  </si>
  <si>
    <t>https://www.smwcentral.net/?a=details&amp;id=29914&amp;p=section</t>
  </si>
  <si>
    <t>https://dl.smwcentral.net/29914/The_Sweet_Sweet_Love_Returns.zip</t>
  </si>
  <si>
    <t>The Swift Skooter Parallelogram</t>
  </si>
  <si>
    <t>placeholdertest</t>
  </si>
  <si>
    <t>35279</t>
  </si>
  <si>
    <t>https://www.smwcentral.net/?a=details&amp;id=35279&amp;p=section</t>
  </si>
  <si>
    <t>https://dl.smwcentral.net/35279/pht.zip</t>
  </si>
  <si>
    <t>The Tale of Elementia</t>
  </si>
  <si>
    <t>Supertails</t>
  </si>
  <si>
    <t>16068</t>
  </si>
  <si>
    <t>https://www.smwcentral.net/?a=details&amp;id=16068&amp;p=section</t>
  </si>
  <si>
    <t>https://dl.smwcentral.net/16068/ttoedemo2-fixed.zip</t>
  </si>
  <si>
    <t>The Team Shell Hack</t>
  </si>
  <si>
    <t>Jikurein, Team Shell, xamexer</t>
  </si>
  <si>
    <t>36961</t>
  </si>
  <si>
    <t>https://www.smwcentral.net/?a=details&amp;id=36961&amp;p=section</t>
  </si>
  <si>
    <t>https://dl.smwcentral.net/36961/TEAM_SHELL_3.0.zip</t>
  </si>
  <si>
    <t>The Temple of Dinosaurs</t>
  </si>
  <si>
    <t>9960</t>
  </si>
  <si>
    <t>https://www.smwcentral.net/?a=details&amp;id=9960&amp;p=section</t>
  </si>
  <si>
    <t>https://dl.smwcentral.net/9960/Temple.zip</t>
  </si>
  <si>
    <t>The Thousand Year Castle: A Sholmes Adventure</t>
  </si>
  <si>
    <t>41257</t>
  </si>
  <si>
    <t>https://www.smwcentral.net/?a=details&amp;id=41257&amp;p=section</t>
  </si>
  <si>
    <t>https://dl.smwcentral.net/41257/Sholmes%20Adventure%20updated.zip</t>
  </si>
  <si>
    <t>The Title is Irrelevant</t>
  </si>
  <si>
    <t>Forty2</t>
  </si>
  <si>
    <t>10136</t>
  </si>
  <si>
    <t>https://www.smwcentral.net/?a=details&amp;id=10136&amp;p=section</t>
  </si>
  <si>
    <t>https://dl.smwcentral.net/10136/tTiI-demo2.zip</t>
  </si>
  <si>
    <t>The Tower Tyrant</t>
  </si>
  <si>
    <t>Mtb4000</t>
  </si>
  <si>
    <t>10200</t>
  </si>
  <si>
    <t>https://www.smwcentral.net/?a=details&amp;id=10200&amp;p=section</t>
  </si>
  <si>
    <t>https://dl.smwcentral.net/10200/The%20Tower%20Tyrant%20DEMO.zip</t>
  </si>
  <si>
    <t>The Treasure Hunt</t>
  </si>
  <si>
    <t>Joshua</t>
  </si>
  <si>
    <t>13148</t>
  </si>
  <si>
    <t>https://www.smwcentral.net/?a=details&amp;id=13148&amp;p=section</t>
  </si>
  <si>
    <t>https://dl.smwcentral.net/13148/The%20Treasure%20Huntv1.1.zip</t>
  </si>
  <si>
    <t>The unbearable lightness of being</t>
  </si>
  <si>
    <t>30657</t>
  </si>
  <si>
    <t>https://www.smwcentral.net/?a=details&amp;id=30657&amp;p=section</t>
  </si>
  <si>
    <t>https://dl.smwcentral.net/30657/Release.zip</t>
  </si>
  <si>
    <t>The Underground</t>
  </si>
  <si>
    <t>algae5</t>
  </si>
  <si>
    <t>20204</t>
  </si>
  <si>
    <t>https://www.smwcentral.net/?a=details&amp;id=20204&amp;p=section</t>
  </si>
  <si>
    <t>https://dl.smwcentral.net/20204/The%20Underground.zip</t>
  </si>
  <si>
    <t>The United States of Mario</t>
  </si>
  <si>
    <t>marathonx</t>
  </si>
  <si>
    <t>27225</t>
  </si>
  <si>
    <t>https://www.smwcentral.net/?a=details&amp;id=27225&amp;p=section</t>
  </si>
  <si>
    <t>https://dl.smwcentral.net/27225/USM%20v1.04a.zip</t>
  </si>
  <si>
    <t>The Unknown</t>
  </si>
  <si>
    <t>29951</t>
  </si>
  <si>
    <t>https://www.smwcentral.net/?a=details&amp;id=29951&amp;p=section</t>
  </si>
  <si>
    <t>https://dl.smwcentral.net/29951/The%20Unknown.zip</t>
  </si>
  <si>
    <t>The Unworld</t>
  </si>
  <si>
    <t>PrincessEmilu</t>
  </si>
  <si>
    <t>9653</t>
  </si>
  <si>
    <t>https://www.smwcentral.net/?a=details&amp;id=9653&amp;p=section</t>
  </si>
  <si>
    <t>https://dl.smwcentral.net/9653/The%20Unworld.zip</t>
  </si>
  <si>
    <t>The Unworld: Recharged</t>
  </si>
  <si>
    <t>6230</t>
  </si>
  <si>
    <t>https://www.smwcentral.net/?a=details&amp;id=6230&amp;p=section</t>
  </si>
  <si>
    <t>https://dl.smwcentral.net/6230/The%20Unworld%20Recharged.zip</t>
  </si>
  <si>
    <t>The Vanilla</t>
  </si>
  <si>
    <t>15486</t>
  </si>
  <si>
    <t>https://www.smwcentral.net/?a=details&amp;id=15486&amp;p=section</t>
  </si>
  <si>
    <t>https://dl.smwcentral.net/15486/TheVanilla%201.3.zip</t>
  </si>
  <si>
    <t>The Wahn Stew Race</t>
  </si>
  <si>
    <t>Captain_Hacko, Erik_The_Swift, Para_0, VLSkoot, Yetibucca, placeholdertest, user_36733</t>
  </si>
  <si>
    <t>23816</t>
  </si>
  <si>
    <t>https://www.smwcentral.net/?a=details&amp;id=23816&amp;p=section</t>
  </si>
  <si>
    <t>https://dl.smwcentral.net/23816/The_Wahn_Stew_Race.zip</t>
  </si>
  <si>
    <t>The Way</t>
  </si>
  <si>
    <t>jdero</t>
  </si>
  <si>
    <t>36599</t>
  </si>
  <si>
    <t>https://www.smwcentral.net/?a=details&amp;id=36599&amp;p=section</t>
  </si>
  <si>
    <t>https://dl.smwcentral.net/36599/The%20Way.zip</t>
  </si>
  <si>
    <t>The Way of The M</t>
  </si>
  <si>
    <t>6225</t>
  </si>
  <si>
    <t>https://www.smwcentral.net/?a=details&amp;id=6225&amp;p=section</t>
  </si>
  <si>
    <t>https://dl.smwcentral.net/6225/The%20Way%20of%20The%20M%20%28Epsilon%29.zip</t>
  </si>
  <si>
    <t>The Winter Island</t>
  </si>
  <si>
    <t>25206</t>
  </si>
  <si>
    <t>https://www.smwcentral.net/?a=details&amp;id=25206&amp;p=section</t>
  </si>
  <si>
    <t>https://dl.smwcentral.net/25206/The%20Winter%20Island.zip</t>
  </si>
  <si>
    <t>The Worlds Longest Shelljump</t>
  </si>
  <si>
    <t>15340</t>
  </si>
  <si>
    <t>https://www.smwcentral.net/?a=details&amp;id=15340&amp;p=section</t>
  </si>
  <si>
    <t>https://dl.smwcentral.net/15340/WorldsLongestShellJump.zip</t>
  </si>
  <si>
    <t>The Yoshi Egg: A Mission in Miniature</t>
  </si>
  <si>
    <t>5344</t>
  </si>
  <si>
    <t>https://www.smwcentral.net/?a=details&amp;id=5344&amp;p=section</t>
  </si>
  <si>
    <t>https://dl.smwcentral.net/5344/The%20Yoshi%20Egg.zip</t>
  </si>
  <si>
    <t>The Yoshi Trilogy: Part 1 - Dawn of the Darkness</t>
  </si>
  <si>
    <t>DarthYoshi492</t>
  </si>
  <si>
    <t>10025</t>
  </si>
  <si>
    <t>https://www.smwcentral.net/?a=details&amp;id=10025&amp;p=section</t>
  </si>
  <si>
    <t>https://dl.smwcentral.net/10025/Yoshi%20-%20Dawn%20of%20the%20Darkness%20demo2.zip</t>
  </si>
  <si>
    <t>TheIslands</t>
  </si>
  <si>
    <t>42594</t>
  </si>
  <si>
    <t>https://www.smwcentral.net/?a=details&amp;id=42594&amp;p=section</t>
  </si>
  <si>
    <t>https://dl.smwcentral.net/42594/TheIslandsv1.1.zip</t>
  </si>
  <si>
    <t>theplumber'sodyssey</t>
  </si>
  <si>
    <t>Angel Miranda</t>
  </si>
  <si>
    <t>33848</t>
  </si>
  <si>
    <t>https://www.smwcentral.net/?a=details&amp;id=33848&amp;p=section</t>
  </si>
  <si>
    <t>https://dl.smwcentral.net/33848/theplumber%27sodyssey.zip</t>
  </si>
  <si>
    <t>therapy!</t>
  </si>
  <si>
    <t>28332</t>
  </si>
  <si>
    <t>https://www.smwcentral.net/?a=details&amp;id=28332&amp;p=section</t>
  </si>
  <si>
    <t>https://dl.smwcentral.net/28332/therapy%21.zip</t>
  </si>
  <si>
    <t>Things.smc</t>
  </si>
  <si>
    <t>28936</t>
  </si>
  <si>
    <t>https://www.smwcentral.net/?a=details&amp;id=28936&amp;p=section</t>
  </si>
  <si>
    <t>https://dl.smwcentral.net/28936/Things4U2Play.zip</t>
  </si>
  <si>
    <t>Think Fast</t>
  </si>
  <si>
    <t>26277</t>
  </si>
  <si>
    <t>https://www.smwcentral.net/?a=details&amp;id=26277&amp;p=section</t>
  </si>
  <si>
    <t>https://dl.smwcentral.net/26277/Think%20Fast.zip</t>
  </si>
  <si>
    <t>Third Whistle</t>
  </si>
  <si>
    <t>32464</t>
  </si>
  <si>
    <t>https://www.smwcentral.net/?a=details&amp;id=32464&amp;p=section</t>
  </si>
  <si>
    <t>https://dl.smwcentral.net/32464/ThirdWhistle.zip</t>
  </si>
  <si>
    <t>This Hack Contains EVERY Switch Palace Switch</t>
  </si>
  <si>
    <t>30338</t>
  </si>
  <si>
    <t>https://www.smwcentral.net/?a=details&amp;id=30338&amp;p=section</t>
  </si>
  <si>
    <t>https://dl.smwcentral.net/30338/%5BHack%5D%20This%20Hack%20Contains%20EVERY%20Switch%20Palace%20Switch.zip</t>
  </si>
  <si>
    <t>This Hack Needs a Name</t>
  </si>
  <si>
    <t>yeahman</t>
  </si>
  <si>
    <t>33796</t>
  </si>
  <si>
    <t>https://www.smwcentral.net/?a=details&amp;id=33796&amp;p=section</t>
  </si>
  <si>
    <t>https://dl.smwcentral.net/33796/this%20hack%20needs%20a%20name.zip</t>
  </si>
  <si>
    <t>This Hack Was Made in 2 Hours</t>
  </si>
  <si>
    <t>14930</t>
  </si>
  <si>
    <t>https://www.smwcentral.net/?a=details&amp;id=14930&amp;p=section</t>
  </si>
  <si>
    <t>https://dl.smwcentral.net/14930/This%20Hack%20Was%20Made%20in%202%20Hours.zip</t>
  </si>
  <si>
    <t>This is a Good Hack to Play if You Just Started Playing Kaizo... World</t>
  </si>
  <si>
    <t>BabaYegha, LouisDoucet, Magmatic, StayAtHomeStegosaurus, Sweetdude, gui</t>
  </si>
  <si>
    <t>27729</t>
  </si>
  <si>
    <t>https://www.smwcentral.net/?a=details&amp;id=27729&amp;p=section</t>
  </si>
  <si>
    <t>https://dl.smwcentral.net/27729/TIAGHTPIYJSPKW_V1.1.1.zip</t>
  </si>
  <si>
    <t>This Is Why We Kaizo</t>
  </si>
  <si>
    <t>42425</t>
  </si>
  <si>
    <t>https://www.smwcentral.net/?a=details&amp;id=42425&amp;p=section</t>
  </si>
  <si>
    <t>https://dl.smwcentral.net/42425/ThisIsWhyWeKaizo.zip</t>
  </si>
  <si>
    <t>Those Darn Plumbers</t>
  </si>
  <si>
    <t>9697</t>
  </si>
  <si>
    <t>https://www.smwcentral.net/?a=details&amp;id=9697&amp;p=section</t>
  </si>
  <si>
    <t>https://dl.smwcentral.net/9697/TDPV03.zip</t>
  </si>
  <si>
    <t>Thread the Needle</t>
  </si>
  <si>
    <t>35044</t>
  </si>
  <si>
    <t>https://www.smwcentral.net/?a=details&amp;id=35044&amp;p=section</t>
  </si>
  <si>
    <t>https://dl.smwcentral.net/35044/Thread%20the%20Needle%201.3.zip</t>
  </si>
  <si>
    <t>THROWING HANDS</t>
  </si>
  <si>
    <t>40657</t>
  </si>
  <si>
    <t>https://www.smwcentral.net/?a=details&amp;id=40657&amp;p=section</t>
  </si>
  <si>
    <t>https://dl.smwcentral.net/40657/THROWING%20HANDS.zip</t>
  </si>
  <si>
    <t>Thunderstruck Mario</t>
  </si>
  <si>
    <t>Mr Esc</t>
  </si>
  <si>
    <t>10241</t>
  </si>
  <si>
    <t>https://www.smwcentral.net/?a=details&amp;id=10241&amp;p=section</t>
  </si>
  <si>
    <t>https://dl.smwcentral.net/10241/Thunderstruck%20demo%202012%20v1A.zip</t>
  </si>
  <si>
    <t>TILIA</t>
  </si>
  <si>
    <t>41580</t>
  </si>
  <si>
    <t>https://www.smwcentral.net/?a=details&amp;id=41580&amp;p=section</t>
  </si>
  <si>
    <t>https://dl.smwcentral.net/41580/TILIA%202.3.zip</t>
  </si>
  <si>
    <t>Time Out!</t>
  </si>
  <si>
    <t>28440</t>
  </si>
  <si>
    <t>https://www.smwcentral.net/?a=details&amp;id=28440&amp;p=section</t>
  </si>
  <si>
    <t>https://dl.smwcentral.net/28440/Time%20Out%21%20%5BDemo%202%5D.zip</t>
  </si>
  <si>
    <t>TIME UP!</t>
  </si>
  <si>
    <t>Scarfley</t>
  </si>
  <si>
    <t>39398</t>
  </si>
  <si>
    <t>https://www.smwcentral.net/?a=details&amp;id=39398&amp;p=section</t>
  </si>
  <si>
    <t>https://dl.smwcentral.net/39398/TIME%20UP.zip</t>
  </si>
  <si>
    <t>Timeline Death Challenge</t>
  </si>
  <si>
    <t>26719</t>
  </si>
  <si>
    <t>https://www.smwcentral.net/?a=details&amp;id=26719&amp;p=section</t>
  </si>
  <si>
    <t>https://dl.smwcentral.net/26719/TimelineDeathChallenge.zip</t>
  </si>
  <si>
    <t>Timeline World</t>
  </si>
  <si>
    <t>Natsuz2, TheReaper</t>
  </si>
  <si>
    <t>28647</t>
  </si>
  <si>
    <t>https://www.smwcentral.net/?a=details&amp;id=28647&amp;p=section</t>
  </si>
  <si>
    <t>https://dl.smwcentral.net/28647/Timeline%20World%201.2.zip</t>
  </si>
  <si>
    <t>Tiny Variety World</t>
  </si>
  <si>
    <t>10250</t>
  </si>
  <si>
    <t>https://www.smwcentral.net/?a=details&amp;id=10250&amp;p=section</t>
  </si>
  <si>
    <t>https://dl.smwcentral.net/10250/TVW.zip</t>
  </si>
  <si>
    <t>Tired Mario World</t>
  </si>
  <si>
    <t>33137</t>
  </si>
  <si>
    <t>https://www.smwcentral.net/?a=details&amp;id=33137&amp;p=section</t>
  </si>
  <si>
    <t>https://dl.smwcentral.net/33137/Tired%20Mario%20World.zip</t>
  </si>
  <si>
    <t>Titan Mario</t>
  </si>
  <si>
    <t>28247</t>
  </si>
  <si>
    <t>https://www.smwcentral.net/?a=details&amp;id=28247&amp;p=section</t>
  </si>
  <si>
    <t>https://dl.smwcentral.net/28247/titan1.1.zip</t>
  </si>
  <si>
    <t>Titan Mario 2</t>
  </si>
  <si>
    <t>37767</t>
  </si>
  <si>
    <t>https://www.smwcentral.net/?a=details&amp;id=37767&amp;p=section</t>
  </si>
  <si>
    <t>https://dl.smwcentral.net/37767/Titan2_1.1.zip</t>
  </si>
  <si>
    <t>Tithered Mario</t>
  </si>
  <si>
    <t>22845</t>
  </si>
  <si>
    <t>https://www.smwcentral.net/?a=details&amp;id=22845&amp;p=section</t>
  </si>
  <si>
    <t>https://dl.smwcentral.net/22845/Tithered_Mario.zip</t>
  </si>
  <si>
    <t>5577</t>
  </si>
  <si>
    <t>https://www.smwcentral.net/?a=details&amp;id=5577&amp;p=section</t>
  </si>
  <si>
    <t>https://dl.smwcentral.net/5577/%5Btitle%5D.zip</t>
  </si>
  <si>
    <t>TmD</t>
  </si>
  <si>
    <t>30607</t>
  </si>
  <si>
    <t>https://www.smwcentral.net/?a=details&amp;id=30607&amp;p=section</t>
  </si>
  <si>
    <t>https://dl.smwcentral.net/30607/TmD.zip</t>
  </si>
  <si>
    <t>TMFC3EYHEP&amp;K - Q2BDB</t>
  </si>
  <si>
    <t>11499</t>
  </si>
  <si>
    <t>https://www.smwcentral.net/?a=details&amp;id=11499&amp;p=section</t>
  </si>
  <si>
    <t>https://dl.smwcentral.net/11499/TMFC3EYHAP%26K%20-%20Q2BDB.zip</t>
  </si>
  <si>
    <t>To Shell And Back!</t>
  </si>
  <si>
    <t>Bux</t>
  </si>
  <si>
    <t>36780</t>
  </si>
  <si>
    <t>https://www.smwcentral.net/?a=details&amp;id=36780&amp;p=section</t>
  </si>
  <si>
    <t>https://dl.smwcentral.net/36780/To%20Shell%20And%20Back%21%201.3.zip</t>
  </si>
  <si>
    <t>Toad Kaizo World</t>
  </si>
  <si>
    <t>Bruno Peixoto</t>
  </si>
  <si>
    <t>22869</t>
  </si>
  <si>
    <t>https://www.smwcentral.net/?a=details&amp;id=22869&amp;p=section</t>
  </si>
  <si>
    <t>https://dl.smwcentral.net/22869/Toad%20Kaizo%20World.zip</t>
  </si>
  <si>
    <t>Toad Kaizo World 2</t>
  </si>
  <si>
    <t>26862</t>
  </si>
  <si>
    <t>https://www.smwcentral.net/?a=details&amp;id=26862&amp;p=section</t>
  </si>
  <si>
    <t>https://dl.smwcentral.net/26862/Toad%20Kaizo%20World%202.zip</t>
  </si>
  <si>
    <t>Toad's cherry tracker</t>
  </si>
  <si>
    <t>38570</t>
  </si>
  <si>
    <t>https://www.smwcentral.net/?a=details&amp;id=38570&amp;p=section</t>
  </si>
  <si>
    <t>https://dl.smwcentral.net/38570/Toad%27s%20Cherry%20Tracker%20V1.3.zip</t>
  </si>
  <si>
    <t>Toad's World</t>
  </si>
  <si>
    <t>FPI, Ice Man, ghettoyouth</t>
  </si>
  <si>
    <t>42620</t>
  </si>
  <si>
    <t>https://www.smwcentral.net/?a=details&amp;id=42620&amp;p=section</t>
  </si>
  <si>
    <t>https://dl.smwcentral.net/42620/Toad%27s%20World%20%282026%20Version%201.2%29.zip</t>
  </si>
  <si>
    <t>Toad's World 2</t>
  </si>
  <si>
    <t>39167</t>
  </si>
  <si>
    <t>https://www.smwcentral.net/?a=details&amp;id=39167&amp;p=section</t>
  </si>
  <si>
    <t>https://dl.smwcentral.net/39167/Toad%27s%20World%202%20v1.2%20%28Normal%20%2B%20Hard%20Mode%29.zip</t>
  </si>
  <si>
    <t>Toadette's Adventure</t>
  </si>
  <si>
    <t>I don't know a good name.</t>
  </si>
  <si>
    <t>21476</t>
  </si>
  <si>
    <t>https://www.smwcentral.net/?a=details&amp;id=21476&amp;p=section</t>
  </si>
  <si>
    <t>https://dl.smwcentral.net/21476/Toadette.zip</t>
  </si>
  <si>
    <t>Toadette's Kaizo Tuesday</t>
  </si>
  <si>
    <t>31771</t>
  </si>
  <si>
    <t>https://www.smwcentral.net/?a=details&amp;id=31771&amp;p=section</t>
  </si>
  <si>
    <t>https://dl.smwcentral.net/31771/ToadettesKaizoTuesday.zip</t>
  </si>
  <si>
    <t>Toadventure</t>
  </si>
  <si>
    <t>28264</t>
  </si>
  <si>
    <t>https://www.smwcentral.net/?a=details&amp;id=28264&amp;p=section</t>
  </si>
  <si>
    <t>https://dl.smwcentral.net/28264/Toadventure.zip</t>
  </si>
  <si>
    <t>Tomorrow, Together</t>
  </si>
  <si>
    <t>32718</t>
  </si>
  <si>
    <t>https://www.smwcentral.net/?a=details&amp;id=32718&amp;p=section</t>
  </si>
  <si>
    <t>https://dl.smwcentral.net/32718/Tomorrow.zip</t>
  </si>
  <si>
    <t>Toothpaste World</t>
  </si>
  <si>
    <t>TheRedCrystal</t>
  </si>
  <si>
    <t>40125</t>
  </si>
  <si>
    <t>https://www.smwcentral.net/?a=details&amp;id=40125&amp;p=section</t>
  </si>
  <si>
    <t>https://dl.smwcentral.net/40125/toothpaste%20world.zip</t>
  </si>
  <si>
    <t>Torkiyello</t>
  </si>
  <si>
    <t>20120</t>
  </si>
  <si>
    <t>https://www.smwcentral.net/?a=details&amp;id=20120&amp;p=section</t>
  </si>
  <si>
    <t>https://dl.smwcentral.net/20120/Torkiyello%20v1.zip</t>
  </si>
  <si>
    <t>torkiyello extra pack</t>
  </si>
  <si>
    <t>25031</t>
  </si>
  <si>
    <t>https://www.smwcentral.net/?a=details&amp;id=25031&amp;p=section</t>
  </si>
  <si>
    <t>https://dl.smwcentral.net/25031/torkiyello%20extra%20pack%20new%20update.zip</t>
  </si>
  <si>
    <t>torkiyello iki</t>
  </si>
  <si>
    <t>25030</t>
  </si>
  <si>
    <t>https://www.smwcentral.net/?a=details&amp;id=25030&amp;p=section</t>
  </si>
  <si>
    <t>https://dl.smwcentral.net/25030/torkiyello%20iki%20new%20update.zip</t>
  </si>
  <si>
    <t>Tortured Souls</t>
  </si>
  <si>
    <t>RZRider</t>
  </si>
  <si>
    <t>31160</t>
  </si>
  <si>
    <t>https://www.smwcentral.net/?a=details&amp;id=31160&amp;p=section</t>
  </si>
  <si>
    <t>https://dl.smwcentral.net/31160/TorturedSouls1.2.zip</t>
  </si>
  <si>
    <t>Tortured Souls 3 DEMO</t>
  </si>
  <si>
    <t>38917</t>
  </si>
  <si>
    <t>https://www.smwcentral.net/?a=details&amp;id=38917&amp;p=section</t>
  </si>
  <si>
    <t>https://dl.smwcentral.net/38917/TS3Demo1.1.zip</t>
  </si>
  <si>
    <t>Tortured Souls II: Rapture</t>
  </si>
  <si>
    <t>37513</t>
  </si>
  <si>
    <t>https://www.smwcentral.net/?a=details&amp;id=37513&amp;p=section</t>
  </si>
  <si>
    <t>https://dl.smwcentral.net/37513/TorturedSoulsIIRapture.zip</t>
  </si>
  <si>
    <t>Total Jotary World</t>
  </si>
  <si>
    <t>Narcologer</t>
  </si>
  <si>
    <t>31032</t>
  </si>
  <si>
    <t>https://www.smwcentral.net/?a=details&amp;id=31032&amp;p=section</t>
  </si>
  <si>
    <t>https://dl.smwcentral.net/31032/Total%20Jotary%20World.zip</t>
  </si>
  <si>
    <t>Total Mario World</t>
  </si>
  <si>
    <t>18665</t>
  </si>
  <si>
    <t>https://www.smwcentral.net/?a=details&amp;id=18665&amp;p=section</t>
  </si>
  <si>
    <t>https://dl.smwcentral.net/18665/TMW.zip</t>
  </si>
  <si>
    <t>Totally Vanilla</t>
  </si>
  <si>
    <t>23974</t>
  </si>
  <si>
    <t>https://www.smwcentral.net/?a=details&amp;id=23974&amp;p=section</t>
  </si>
  <si>
    <t>https://dl.smwcentral.net/23974/Totally%20Vanilla.zip</t>
  </si>
  <si>
    <t>Totemo Tanoshii World</t>
  </si>
  <si>
    <t>26296</t>
  </si>
  <si>
    <t>https://www.smwcentral.net/?a=details&amp;id=26296&amp;p=section</t>
  </si>
  <si>
    <t>https://dl.smwcentral.net/26296/TotemoTanoshiWorld_v1.02.zip</t>
  </si>
  <si>
    <t>Touhou Mario: Imperishable Night</t>
  </si>
  <si>
    <t>Vitor Vilela, Wakana</t>
  </si>
  <si>
    <t>6059</t>
  </si>
  <si>
    <t>https://www.smwcentral.net/?a=details&amp;id=6059&amp;p=section</t>
  </si>
  <si>
    <t>https://dl.smwcentral.net/6059/Touhou%20Mario.zip</t>
  </si>
  <si>
    <t>Tower of Facades</t>
  </si>
  <si>
    <t>39332</t>
  </si>
  <si>
    <t>https://www.smwcentral.net/?a=details&amp;id=39332&amp;p=section</t>
  </si>
  <si>
    <t>https://dl.smwcentral.net/39332/Tower%20of%20Facades.zip</t>
  </si>
  <si>
    <t>Tower Of Glory</t>
  </si>
  <si>
    <t>ShoopDaWhoop</t>
  </si>
  <si>
    <t>38036</t>
  </si>
  <si>
    <t>https://www.smwcentral.net/?a=details&amp;id=38036&amp;p=section</t>
  </si>
  <si>
    <t>https://dl.smwcentral.net/38036/Tower%20of%20Glory.zip</t>
  </si>
  <si>
    <t>Tower Of Glory 2</t>
  </si>
  <si>
    <t>42504</t>
  </si>
  <si>
    <t>https://www.smwcentral.net/?a=details&amp;id=42504&amp;p=section</t>
  </si>
  <si>
    <t>https://dl.smwcentral.net/42504/Tower%20of%20Glory%202%20%281%29.zip</t>
  </si>
  <si>
    <t>Tower Of Keys</t>
  </si>
  <si>
    <t>14452</t>
  </si>
  <si>
    <t>https://www.smwcentral.net/?a=details&amp;id=14452&amp;p=section</t>
  </si>
  <si>
    <t>https://dl.smwcentral.net/14452/tower%20of%20keys.zip</t>
  </si>
  <si>
    <t>Tower Of Nopecr</t>
  </si>
  <si>
    <t>38786</t>
  </si>
  <si>
    <t>https://www.smwcentral.net/?a=details&amp;id=38786&amp;p=section</t>
  </si>
  <si>
    <t>https://dl.smwcentral.net/38786/Tower_Of_Nopecr.zip</t>
  </si>
  <si>
    <t>Tower of Shells 2: True Insanity</t>
  </si>
  <si>
    <t>32042</t>
  </si>
  <si>
    <t>https://www.smwcentral.net/?a=details&amp;id=32042&amp;p=section</t>
  </si>
  <si>
    <t>https://dl.smwcentral.net/32042/TowerOfShells2TrueInsanity.zip</t>
  </si>
  <si>
    <t>Tower of Shells DELUXE</t>
  </si>
  <si>
    <t>27801</t>
  </si>
  <si>
    <t>https://www.smwcentral.net/?a=details&amp;id=27801&amp;p=section</t>
  </si>
  <si>
    <t>https://dl.smwcentral.net/27801/Tower%20of%20Shells%20DELUXE.zip</t>
  </si>
  <si>
    <t>Trans Liberation Forever</t>
  </si>
  <si>
    <t>33007</t>
  </si>
  <si>
    <t>https://www.smwcentral.net/?a=details&amp;id=33007&amp;p=section</t>
  </si>
  <si>
    <t>https://dl.smwcentral.net/33007/Trans%20Liberation%20Forever%202.04.zip</t>
  </si>
  <si>
    <t>Transatlantic Flights</t>
  </si>
  <si>
    <t>37885</t>
  </si>
  <si>
    <t>https://www.smwcentral.net/?a=details&amp;id=37885&amp;p=section</t>
  </si>
  <si>
    <t>https://dl.smwcentral.net/37885/Transatlantic_Flight-V1.1.zip</t>
  </si>
  <si>
    <t>Transmission Chain Experiment</t>
  </si>
  <si>
    <t>29659</t>
  </si>
  <si>
    <t>https://www.smwcentral.net/?a=details&amp;id=29659&amp;p=section</t>
  </si>
  <si>
    <t>https://dl.smwcentral.net/29659/TransmissionChainExperiment.zip</t>
  </si>
  <si>
    <t>Transylvania Fable- Legacy of Archaic Arcanum</t>
  </si>
  <si>
    <t>16080</t>
  </si>
  <si>
    <t>https://www.smwcentral.net/?a=details&amp;id=16080&amp;p=section</t>
  </si>
  <si>
    <t>https://dl.smwcentral.net/16080/TF.zip</t>
  </si>
  <si>
    <t>trashdumb</t>
  </si>
  <si>
    <t>26737</t>
  </si>
  <si>
    <t>https://www.smwcentral.net/?a=details&amp;id=26737&amp;p=section</t>
  </si>
  <si>
    <t>https://dl.smwcentral.net/26737/trashdumb.zip</t>
  </si>
  <si>
    <t>TRAWASBNONASYACTNISGAS</t>
  </si>
  <si>
    <t>13554</t>
  </si>
  <si>
    <t>https://www.smwcentral.net/?a=details&amp;id=13554&amp;p=section</t>
  </si>
  <si>
    <t>https://dl.smwcentral.net/13554/TRAWASBNONASYACTNISGAS.zip</t>
  </si>
  <si>
    <t>Tribute</t>
  </si>
  <si>
    <t>JakAttack</t>
  </si>
  <si>
    <t>42703</t>
  </si>
  <si>
    <t>https://www.smwcentral.net/?a=details&amp;id=42703&amp;p=section</t>
  </si>
  <si>
    <t>https://dl.smwcentral.net/42703/Tribute.zip</t>
  </si>
  <si>
    <t>Tricky Mario</t>
  </si>
  <si>
    <t>tomato jonson</t>
  </si>
  <si>
    <t>22832</t>
  </si>
  <si>
    <t>https://www.smwcentral.net/?a=details&amp;id=22832&amp;p=section</t>
  </si>
  <si>
    <t>https://dl.smwcentral.net/22832/tricky%20mario.zip</t>
  </si>
  <si>
    <t>Tricky Mario 2</t>
  </si>
  <si>
    <t>28235</t>
  </si>
  <si>
    <t>https://www.smwcentral.net/?a=details&amp;id=28235&amp;p=section</t>
  </si>
  <si>
    <t>https://dl.smwcentral.net/28235/tm2.zip</t>
  </si>
  <si>
    <t>Trinity Shells</t>
  </si>
  <si>
    <t>33538</t>
  </si>
  <si>
    <t>https://www.smwcentral.net/?a=details&amp;id=33538&amp;p=section</t>
  </si>
  <si>
    <t>https://dl.smwcentral.net/33538/Trinity%20Shells%20V1.1.zip</t>
  </si>
  <si>
    <t>Trouble at Snow Land</t>
  </si>
  <si>
    <t>35774</t>
  </si>
  <si>
    <t>https://www.smwcentral.net/?a=details&amp;id=35774&amp;p=section</t>
  </si>
  <si>
    <t>https://dl.smwcentral.net/35774/Trouble%20at%20Snow%20Land%201.1.zip</t>
  </si>
  <si>
    <t>Trouble in Truffle Islands</t>
  </si>
  <si>
    <t>Cydrius</t>
  </si>
  <si>
    <t>14167</t>
  </si>
  <si>
    <t>https://www.smwcentral.net/?a=details&amp;id=14167&amp;p=section</t>
  </si>
  <si>
    <t>https://dl.smwcentral.net/14167/SMW%20-%20Trouble%20in%20Truffle%20Islands.zip</t>
  </si>
  <si>
    <t>Truc Bidule</t>
  </si>
  <si>
    <t>35741</t>
  </si>
  <si>
    <t>https://www.smwcentral.net/?a=details&amp;id=35741&amp;p=section</t>
  </si>
  <si>
    <t>https://dl.smwcentral.net/35741/Truc_Bidule.zip</t>
  </si>
  <si>
    <t>TSG's Obligatory Ice Level</t>
  </si>
  <si>
    <t>10120</t>
  </si>
  <si>
    <t>https://www.smwcentral.net/?a=details&amp;id=10120&amp;p=section</t>
  </si>
  <si>
    <t>https://dl.smwcentral.net/10120/OILDL.zip</t>
  </si>
  <si>
    <t>Tsunami Island</t>
  </si>
  <si>
    <t>5609</t>
  </si>
  <si>
    <t>https://www.smwcentral.net/?a=details&amp;id=5609&amp;p=section</t>
  </si>
  <si>
    <t>https://dl.smwcentral.net/5609/Tsunami%20Island.zip</t>
  </si>
  <si>
    <t>Twisted Plains</t>
  </si>
  <si>
    <t>25564</t>
  </si>
  <si>
    <t>https://www.smwcentral.net/?a=details&amp;id=25564&amp;p=section</t>
  </si>
  <si>
    <t>https://dl.smwcentral.net/25564/Twisted%20Plains.zip</t>
  </si>
  <si>
    <t>U N O R I G I N A L (C3 2020 Demo)</t>
  </si>
  <si>
    <t>92</t>
  </si>
  <si>
    <t>23741</t>
  </si>
  <si>
    <t>https://www.smwcentral.net/?a=details&amp;id=23741&amp;p=section</t>
  </si>
  <si>
    <t>https://dl.smwcentral.net/23741/UNORIGINAL_C3_2020_v1.1.zip</t>
  </si>
  <si>
    <t>Ukraine, Detroit</t>
  </si>
  <si>
    <t>tamano</t>
  </si>
  <si>
    <t>29669</t>
  </si>
  <si>
    <t>https://www.smwcentral.net/?a=details&amp;id=29669&amp;p=section</t>
  </si>
  <si>
    <t>https://dl.smwcentral.net/29669/ukraine%20detroit.zip</t>
  </si>
  <si>
    <t>Ultima Kiwi Winter Demo</t>
  </si>
  <si>
    <t>ModernKiwi</t>
  </si>
  <si>
    <t>35863</t>
  </si>
  <si>
    <t>https://www.smwcentral.net/?a=details&amp;id=35863&amp;p=section</t>
  </si>
  <si>
    <t>https://dl.smwcentral.net/35863/Ultima%20Kiwi%20Winter%20Demo.zip</t>
  </si>
  <si>
    <t>Ultimate Carl Heaven</t>
  </si>
  <si>
    <t>39095</t>
  </si>
  <si>
    <t>https://www.smwcentral.net/?a=details&amp;id=39095&amp;p=section</t>
  </si>
  <si>
    <t>https://dl.smwcentral.net/39095/Ultimate_Carl_Heaven.zip</t>
  </si>
  <si>
    <t>Ultimate Kaizo Tutorial Hack</t>
  </si>
  <si>
    <t>38769</t>
  </si>
  <si>
    <t>https://www.smwcentral.net/?a=details&amp;id=38769&amp;p=section</t>
  </si>
  <si>
    <t>https://dl.smwcentral.net/38769/zip.zip</t>
  </si>
  <si>
    <t>Ultimate Mario World</t>
  </si>
  <si>
    <t>Master_Owens</t>
  </si>
  <si>
    <t>9826</t>
  </si>
  <si>
    <t>https://www.smwcentral.net/?a=details&amp;id=9826&amp;p=section</t>
  </si>
  <si>
    <t>https://dl.smwcentral.net/9826/Ultimate%20Mario%20World.zip</t>
  </si>
  <si>
    <t>Ultra Kaizo World</t>
  </si>
  <si>
    <t>18664</t>
  </si>
  <si>
    <t>https://www.smwcentral.net/?a=details&amp;id=18664&amp;p=section</t>
  </si>
  <si>
    <t>https://dl.smwcentral.net/18664/Ultra%20Kaizo%20World1.1.zip</t>
  </si>
  <si>
    <t>Ultra Kaizo World 2</t>
  </si>
  <si>
    <t>22676</t>
  </si>
  <si>
    <t>https://www.smwcentral.net/?a=details&amp;id=22676&amp;p=section</t>
  </si>
  <si>
    <t>https://dl.smwcentral.net/22676/UKW2%20Version%201.2.zip</t>
  </si>
  <si>
    <t>Ultra Luigi World: Luigi in... Destiny</t>
  </si>
  <si>
    <t>9732</t>
  </si>
  <si>
    <t>https://www.smwcentral.net/?a=details&amp;id=9732&amp;p=section</t>
  </si>
  <si>
    <t>https://dl.smwcentral.net/9732/ULWD1.zip</t>
  </si>
  <si>
    <t>Ultraviolet</t>
  </si>
  <si>
    <t>24272</t>
  </si>
  <si>
    <t>https://www.smwcentral.net/?a=details&amp;id=24272&amp;p=section</t>
  </si>
  <si>
    <t>https://dl.smwcentral.net/24272/UV2.0.zip</t>
  </si>
  <si>
    <t>Uma Aventura Xalabaias</t>
  </si>
  <si>
    <t>21058</t>
  </si>
  <si>
    <t>https://www.smwcentral.net/?a=details&amp;id=21058&amp;p=section</t>
  </si>
  <si>
    <t>https://dl.smwcentral.net/21058/Aventura%20Xalabaias.zip</t>
  </si>
  <si>
    <t>Uncharted World</t>
  </si>
  <si>
    <t>41359</t>
  </si>
  <si>
    <t>https://www.smwcentral.net/?a=details&amp;id=41359&amp;p=section</t>
  </si>
  <si>
    <t>https://dl.smwcentral.net/41359/UnchartedWorld.zip</t>
  </si>
  <si>
    <t>Under Control</t>
  </si>
  <si>
    <t>WoxicTaste</t>
  </si>
  <si>
    <t>40070</t>
  </si>
  <si>
    <t>https://www.smwcentral.net/?a=details&amp;id=40070&amp;p=section</t>
  </si>
  <si>
    <t>https://dl.smwcentral.net/40070/uc_1.1_final.zip</t>
  </si>
  <si>
    <t>Under the Rose</t>
  </si>
  <si>
    <t>Cianureto</t>
  </si>
  <si>
    <t>21138</t>
  </si>
  <si>
    <t>https://www.smwcentral.net/?a=details&amp;id=21138&amp;p=section</t>
  </si>
  <si>
    <t>https://dl.smwcentral.net/21138/Under%20the%20Rose.zip</t>
  </si>
  <si>
    <t>Underworld</t>
  </si>
  <si>
    <t>14932</t>
  </si>
  <si>
    <t>https://www.smwcentral.net/?a=details&amp;id=14932&amp;p=section</t>
  </si>
  <si>
    <t>https://dl.smwcentral.net/14932/Underworld.zip</t>
  </si>
  <si>
    <t>Unforgiving Tower</t>
  </si>
  <si>
    <t>28912</t>
  </si>
  <si>
    <t>https://www.smwcentral.net/?a=details&amp;id=28912&amp;p=section</t>
  </si>
  <si>
    <t>https://dl.smwcentral.net/28912/Unforgiving%20Tower.zip</t>
  </si>
  <si>
    <t>Unforgiving Tower 2</t>
  </si>
  <si>
    <t>32546</t>
  </si>
  <si>
    <t>https://www.smwcentral.net/?a=details&amp;id=32546&amp;p=section</t>
  </si>
  <si>
    <t>https://dl.smwcentral.net/32546/Unforgiving%20Tower%202.zip</t>
  </si>
  <si>
    <t>Unforgiving Tower 3</t>
  </si>
  <si>
    <t>35081</t>
  </si>
  <si>
    <t>https://www.smwcentral.net/?a=details&amp;id=35081&amp;p=section</t>
  </si>
  <si>
    <t>https://dl.smwcentral.net/35081/Unforgiving%20Tower%203.zip</t>
  </si>
  <si>
    <t>Unforgiving Tower 4</t>
  </si>
  <si>
    <t>37636</t>
  </si>
  <si>
    <t>https://www.smwcentral.net/?a=details&amp;id=37636&amp;p=section</t>
  </si>
  <si>
    <t>https://dl.smwcentral.net/37636/Unforgiving%20Tower%204.zip</t>
  </si>
  <si>
    <t>Unfriendly Afterlives Demo</t>
  </si>
  <si>
    <t>AntonioAntonio</t>
  </si>
  <si>
    <t>31800</t>
  </si>
  <si>
    <t>https://www.smwcentral.net/?a=details&amp;id=31800&amp;p=section</t>
  </si>
  <si>
    <t>https://dl.smwcentral.net/31800/Unfriendly%20Demos.zip</t>
  </si>
  <si>
    <t>Unintended Behavior</t>
  </si>
  <si>
    <t>25406</t>
  </si>
  <si>
    <t>https://www.smwcentral.net/?a=details&amp;id=25406&amp;p=section</t>
  </si>
  <si>
    <t>https://dl.smwcentral.net/25406/UnintendedBehavior.zip</t>
  </si>
  <si>
    <t>Unintended Behavior 2</t>
  </si>
  <si>
    <t>27338</t>
  </si>
  <si>
    <t>https://www.smwcentral.net/?a=details&amp;id=27338&amp;p=section</t>
  </si>
  <si>
    <t>https://dl.smwcentral.net/27338/Unintended_Behavior_2.zip</t>
  </si>
  <si>
    <t>Unintended Behavior 3</t>
  </si>
  <si>
    <t>32166</t>
  </si>
  <si>
    <t>https://www.smwcentral.net/?a=details&amp;id=32166&amp;p=section</t>
  </si>
  <si>
    <t>https://dl.smwcentral.net/32166/Unintended%20Behavior%203%20v1.1.zip</t>
  </si>
  <si>
    <t>Unknown Islandz</t>
  </si>
  <si>
    <t>25234</t>
  </si>
  <si>
    <t>https://www.smwcentral.net/?a=details&amp;id=25234&amp;p=section</t>
  </si>
  <si>
    <t>https://dl.smwcentral.net/25234/UnknownIslandz.zip</t>
  </si>
  <si>
    <t>Unlit Candles</t>
  </si>
  <si>
    <t>25250</t>
  </si>
  <si>
    <t>https://www.smwcentral.net/?a=details&amp;id=25250&amp;p=section</t>
  </si>
  <si>
    <t>https://dl.smwcentral.net/25250/Unlit%20Candles%201.2.zip</t>
  </si>
  <si>
    <t>Unnamed 2D Mario Game</t>
  </si>
  <si>
    <t>Dominicentek</t>
  </si>
  <si>
    <t>22495</t>
  </si>
  <si>
    <t>https://www.smwcentral.net/?a=details&amp;id=22495&amp;p=section</t>
  </si>
  <si>
    <t>https://dl.smwcentral.net/22495/Unnamed%202D%20Mario%20Game%20Beta%202.2.zip</t>
  </si>
  <si>
    <t>Unnamed Pit</t>
  </si>
  <si>
    <t>17473</t>
  </si>
  <si>
    <t>https://www.smwcentral.net/?a=details&amp;id=17473&amp;p=section</t>
  </si>
  <si>
    <t>https://dl.smwcentral.net/17473/Unnamed%20Pit.zip</t>
  </si>
  <si>
    <t>Unnamed Precision</t>
  </si>
  <si>
    <t>29660</t>
  </si>
  <si>
    <t>https://www.smwcentral.net/?a=details&amp;id=29660&amp;p=section</t>
  </si>
  <si>
    <t>https://dl.smwcentral.net/29660/UnnamedPrecision.zip</t>
  </si>
  <si>
    <t>Unnormal</t>
  </si>
  <si>
    <t>32500</t>
  </si>
  <si>
    <t>https://www.smwcentral.net/?a=details&amp;id=32500&amp;p=section</t>
  </si>
  <si>
    <t>https://dl.smwcentral.net/32500/keyB.zip</t>
  </si>
  <si>
    <t>Untamed</t>
  </si>
  <si>
    <t>32577</t>
  </si>
  <si>
    <t>https://www.smwcentral.net/?a=details&amp;id=32577&amp;p=section</t>
  </si>
  <si>
    <t>https://dl.smwcentral.net/32577/Untamed_v2.zip</t>
  </si>
  <si>
    <t>UNTITLED DOOM</t>
  </si>
  <si>
    <t>6386</t>
  </si>
  <si>
    <t>https://www.smwcentral.net/?a=details&amp;id=6386&amp;p=section</t>
  </si>
  <si>
    <t>https://dl.smwcentral.net/6386/UNTITLED%20DOOM%20demo%201.zip</t>
  </si>
  <si>
    <t>Untitled Hack</t>
  </si>
  <si>
    <t>PinkSatan</t>
  </si>
  <si>
    <t>22946</t>
  </si>
  <si>
    <t>https://www.smwcentral.net/?a=details&amp;id=22946&amp;p=section</t>
  </si>
  <si>
    <t>https://dl.smwcentral.net/22946/Untitled%20Hack.zip</t>
  </si>
  <si>
    <t>Untitled ROM Hack</t>
  </si>
  <si>
    <t>Caped Mario2</t>
  </si>
  <si>
    <t>9783</t>
  </si>
  <si>
    <t>https://www.smwcentral.net/?a=details&amp;id=9783&amp;p=section</t>
  </si>
  <si>
    <t>https://dl.smwcentral.net/9783/Hack.zip</t>
  </si>
  <si>
    <t>UP ᵀʰᵉ ᴿᵒᵐʰᵃᶜᵏ</t>
  </si>
  <si>
    <t>37640</t>
  </si>
  <si>
    <t>https://www.smwcentral.net/?a=details&amp;id=37640&amp;p=section</t>
  </si>
  <si>
    <t>https://dl.smwcentral.net/37640/What%27sUpDog.zip</t>
  </si>
  <si>
    <t>Vah Knee Yah</t>
  </si>
  <si>
    <t>35565</t>
  </si>
  <si>
    <t>https://www.smwcentral.net/?a=details&amp;id=35565&amp;p=section</t>
  </si>
  <si>
    <t>https://dl.smwcentral.net/35565/Vah%20Knee%20Yah.zip</t>
  </si>
  <si>
    <t>Valuable and Beautiful</t>
  </si>
  <si>
    <t>41548</t>
  </si>
  <si>
    <t>https://www.smwcentral.net/?a=details&amp;id=41548&amp;p=section</t>
  </si>
  <si>
    <t>https://dl.smwcentral.net/41548/ValuableAndBeautiful.zip</t>
  </si>
  <si>
    <t>Vampire Hunter Savior Of The Kingdom</t>
  </si>
  <si>
    <t>33795</t>
  </si>
  <si>
    <t>https://www.smwcentral.net/?a=details&amp;id=33795&amp;p=section</t>
  </si>
  <si>
    <t>https://dl.smwcentral.net/33795/Vampire%20Hunter%20Savior%20Of%20The%20Kingdom.zip</t>
  </si>
  <si>
    <t>Vanilla Failure: Blind Devil's Final Stand</t>
  </si>
  <si>
    <t>5493</t>
  </si>
  <si>
    <t>https://www.smwcentral.net/?a=details&amp;id=5493&amp;p=section</t>
  </si>
  <si>
    <t>https://dl.smwcentral.net/5493/Vanilla%20Failure%20C3%20Demo%20v1.1.zip</t>
  </si>
  <si>
    <t>Vanilla Flavour</t>
  </si>
  <si>
    <t>39643</t>
  </si>
  <si>
    <t>https://www.smwcentral.net/?a=details&amp;id=39643&amp;p=section</t>
  </si>
  <si>
    <t>https://dl.smwcentral.net/39643/Vanilla%20Flavour%20V.%201.30.zip</t>
  </si>
  <si>
    <t>Vanilla Hour - a collection of one-hour levels</t>
  </si>
  <si>
    <t>41740</t>
  </si>
  <si>
    <t>https://www.smwcentral.net/?a=details&amp;id=41740&amp;p=section</t>
  </si>
  <si>
    <t>https://dl.smwcentral.net/41740/Vanilla%20Hour%20-%20a%20collection%20of%20one-hour%20levels.zip</t>
  </si>
  <si>
    <t>Vanilla Kaizo World</t>
  </si>
  <si>
    <t>24833</t>
  </si>
  <si>
    <t>https://www.smwcentral.net/?a=details&amp;id=24833&amp;p=section</t>
  </si>
  <si>
    <t>https://dl.smwcentral.net/24833/VKW1.1.zip</t>
  </si>
  <si>
    <t>Vanilla Mario World</t>
  </si>
  <si>
    <t>monkey03297</t>
  </si>
  <si>
    <t>24708</t>
  </si>
  <si>
    <t>https://www.smwcentral.net/?a=details&amp;id=24708&amp;p=section</t>
  </si>
  <si>
    <t>https://dl.smwcentral.net/24708/VMW%20v0.01.zip</t>
  </si>
  <si>
    <t>Vanilla Shakedown</t>
  </si>
  <si>
    <t>30669</t>
  </si>
  <si>
    <t>https://www.smwcentral.net/?a=details&amp;id=30669&amp;p=section</t>
  </si>
  <si>
    <t>https://dl.smwcentral.net/30669/VanillaShakedown.zip</t>
  </si>
  <si>
    <t>Vanilla Twist!</t>
  </si>
  <si>
    <t>6692</t>
  </si>
  <si>
    <t>https://www.smwcentral.net/?a=details&amp;id=6692&amp;p=section</t>
  </si>
  <si>
    <t>https://dl.smwcentral.net/6692/VTv3.1.zip</t>
  </si>
  <si>
    <t>Vanilla: Made to Order</t>
  </si>
  <si>
    <t>19028</t>
  </si>
  <si>
    <t>https://www.smwcentral.net/?a=details&amp;id=19028&amp;p=section</t>
  </si>
  <si>
    <t>https://dl.smwcentral.net/19028/Vanilla%20Made%20to%20Order.zip</t>
  </si>
  <si>
    <t>VanillaCraft</t>
  </si>
  <si>
    <t>28289</t>
  </si>
  <si>
    <t>https://www.smwcentral.net/?a=details&amp;id=28289&amp;p=section</t>
  </si>
  <si>
    <t>https://dl.smwcentral.net/28289/VanillaCraft.zip</t>
  </si>
  <si>
    <t>Varndts Castle</t>
  </si>
  <si>
    <t>Hellbourne</t>
  </si>
  <si>
    <t>10019</t>
  </si>
  <si>
    <t>https://www.smwcentral.net/?a=details&amp;id=10019&amp;p=section</t>
  </si>
  <si>
    <t>https://dl.smwcentral.net/10019/Varndts%20Castle.zip</t>
  </si>
  <si>
    <t>Vast Minutiae</t>
  </si>
  <si>
    <t>36796</t>
  </si>
  <si>
    <t>https://www.smwcentral.net/?a=details&amp;id=36796&amp;p=section</t>
  </si>
  <si>
    <t>https://dl.smwcentral.net/36796/Vast%20Minutiae%201.2%20by%20GlitchCat7.zip</t>
  </si>
  <si>
    <t>Vengeful Mario</t>
  </si>
  <si>
    <t>38882</t>
  </si>
  <si>
    <t>https://www.smwcentral.net/?a=details&amp;id=38882&amp;p=section</t>
  </si>
  <si>
    <t>https://dl.smwcentral.net/38882/reasonably%20long%20kaizo%20game%20but%20it%27s%20version%201.1.1%20now.zip</t>
  </si>
  <si>
    <t>Venture</t>
  </si>
  <si>
    <t>37735</t>
  </si>
  <si>
    <t>https://www.smwcentral.net/?a=details&amp;id=37735&amp;p=section</t>
  </si>
  <si>
    <t>https://dl.smwcentral.net/37735/Venture1_2.zip</t>
  </si>
  <si>
    <t>Very Fun World</t>
  </si>
  <si>
    <t>21080</t>
  </si>
  <si>
    <t>https://www.smwcentral.net/?a=details&amp;id=21080&amp;p=section</t>
  </si>
  <si>
    <t>https://dl.smwcentral.net/21080/Very%20Fun%20World.zip</t>
  </si>
  <si>
    <t>Very Hard Mario</t>
  </si>
  <si>
    <t>40105</t>
  </si>
  <si>
    <t>https://www.smwcentral.net/?a=details&amp;id=40105&amp;p=section</t>
  </si>
  <si>
    <t>https://dl.smwcentral.net/40105/veryhard.zip</t>
  </si>
  <si>
    <t>Vincere</t>
  </si>
  <si>
    <t>31246</t>
  </si>
  <si>
    <t>https://www.smwcentral.net/?a=details&amp;id=31246&amp;p=section</t>
  </si>
  <si>
    <t>https://dl.smwcentral.net/31246/Vincere.zip</t>
  </si>
  <si>
    <t>VIP and Wall Mix 1</t>
  </si>
  <si>
    <t>Vipper</t>
  </si>
  <si>
    <t>9706</t>
  </si>
  <si>
    <t>https://www.smwcentral.net/?a=details&amp;id=9706&amp;p=section</t>
  </si>
  <si>
    <t>https://dl.smwcentral.net/9706/VIP1.zip</t>
  </si>
  <si>
    <t>VIP and Wall Mix 1: Mario Edition</t>
  </si>
  <si>
    <t>10005</t>
  </si>
  <si>
    <t>https://www.smwcentral.net/?a=details&amp;id=10005&amp;p=section</t>
  </si>
  <si>
    <t>https://dl.smwcentral.net/10005/Vip%20mario%20-%20mario%20edition.zip</t>
  </si>
  <si>
    <t>VIP and Wall Mix 2</t>
  </si>
  <si>
    <t>9821</t>
  </si>
  <si>
    <t>https://www.smwcentral.net/?a=details&amp;id=9821&amp;p=section</t>
  </si>
  <si>
    <t>https://dl.smwcentral.net/9821/SMW2-By%20Vipper.zip</t>
  </si>
  <si>
    <t>VIP and Wall Mix 2: Mario Edition</t>
  </si>
  <si>
    <t>10123</t>
  </si>
  <si>
    <t>https://www.smwcentral.net/?a=details&amp;id=10123&amp;p=section</t>
  </si>
  <si>
    <t>https://dl.smwcentral.net/10123/vip%20mario%202%20-%20mario%20edition.zip</t>
  </si>
  <si>
    <t>VIP and Wall Mix 3</t>
  </si>
  <si>
    <t>10027</t>
  </si>
  <si>
    <t>https://www.smwcentral.net/?a=details&amp;id=10027&amp;p=section</t>
  </si>
  <si>
    <t>https://dl.smwcentral.net/10027/VIP%26%2312510%3B%26%2312522%3B%26%2312458%3B3AAE%20ver.1.48.zip</t>
  </si>
  <si>
    <t>VIP and Wall Mix 3: Mario Edition</t>
  </si>
  <si>
    <t>9812</t>
  </si>
  <si>
    <t>https://www.smwcentral.net/?a=details&amp;id=9812&amp;p=section</t>
  </si>
  <si>
    <t>https://dl.smwcentral.net/9812/SMW3-%20By%20Vipper.zip</t>
  </si>
  <si>
    <t>VIP and Wall Mix 4</t>
  </si>
  <si>
    <t>9799</t>
  </si>
  <si>
    <t>https://www.smwcentral.net/?a=details&amp;id=9799&amp;p=section</t>
  </si>
  <si>
    <t>https://dl.smwcentral.net/9799/MIX4AAE.zip</t>
  </si>
  <si>
    <t>VIP and Wall Mix 4: Mario Edition</t>
  </si>
  <si>
    <t>9778</t>
  </si>
  <si>
    <t>https://www.smwcentral.net/?a=details&amp;id=9778&amp;p=section</t>
  </si>
  <si>
    <t>https://dl.smwcentral.net/9778/vip%20mario%204%20-%20mario%20edition.zip</t>
  </si>
  <si>
    <t>VOQBON.smc</t>
  </si>
  <si>
    <t>36682</t>
  </si>
  <si>
    <t>https://www.smwcentral.net/?a=details&amp;id=36682&amp;p=section</t>
  </si>
  <si>
    <t>https://dl.smwcentral.net/36682/VOQBON.zip</t>
  </si>
  <si>
    <t>Voyager</t>
  </si>
  <si>
    <t>28513</t>
  </si>
  <si>
    <t>https://www.smwcentral.net/?a=details&amp;id=28513&amp;p=section</t>
  </si>
  <si>
    <t>https://dl.smwcentral.net/28513/Voyager%20v1.27.zip</t>
  </si>
  <si>
    <t>VP</t>
  </si>
  <si>
    <t>13214</t>
  </si>
  <si>
    <t>https://www.smwcentral.net/?a=details&amp;id=13214&amp;p=section</t>
  </si>
  <si>
    <t>https://dl.smwcentral.net/13214/VP.zip</t>
  </si>
  <si>
    <t>Vuit Grups</t>
  </si>
  <si>
    <t>40549</t>
  </si>
  <si>
    <t>https://www.smwcentral.net/?a=details&amp;id=40549&amp;p=section</t>
  </si>
  <si>
    <t>https://dl.smwcentral.net/40549/VuitGrups.zip</t>
  </si>
  <si>
    <t>Wake Up Call</t>
  </si>
  <si>
    <t>lustreflux</t>
  </si>
  <si>
    <t>35030</t>
  </si>
  <si>
    <t>https://www.smwcentral.net/?a=details&amp;id=35030&amp;p=section</t>
  </si>
  <si>
    <t>https://dl.smwcentral.net/35030/WakeUpCall.zip</t>
  </si>
  <si>
    <t>Wake Up Call Re-Mix</t>
  </si>
  <si>
    <t>35849</t>
  </si>
  <si>
    <t>https://www.smwcentral.net/?a=details&amp;id=35849&amp;p=section</t>
  </si>
  <si>
    <t>https://dl.smwcentral.net/35849/wakeupcallREMIX1.2.zip</t>
  </si>
  <si>
    <t>Walkabout</t>
  </si>
  <si>
    <t>SgN4T4N</t>
  </si>
  <si>
    <t>41906</t>
  </si>
  <si>
    <t>https://www.smwcentral.net/?a=details&amp;id=41906&amp;p=section</t>
  </si>
  <si>
    <t>https://dl.smwcentral.net/41906/Walkabout.zip</t>
  </si>
  <si>
    <t>Wall Mario 1</t>
  </si>
  <si>
    <t>TanookiMan</t>
  </si>
  <si>
    <t>10259</t>
  </si>
  <si>
    <t>https://www.smwcentral.net/?a=details&amp;id=10259&amp;p=section</t>
  </si>
  <si>
    <t>https://dl.smwcentral.net/10259/Wall%20Mario%201%20%28Demo%201%29.zip</t>
  </si>
  <si>
    <t>Waluigi's Quest to Become Known</t>
  </si>
  <si>
    <t>9751</t>
  </si>
  <si>
    <t>https://www.smwcentral.net/?a=details&amp;id=9751&amp;p=section</t>
  </si>
  <si>
    <t>https://dl.smwcentral.net/9751/WQtBK-Demo1.zip</t>
  </si>
  <si>
    <t>Waluigi's Road to Glory 2 - Azathomura</t>
  </si>
  <si>
    <t>40960</t>
  </si>
  <si>
    <t>https://www.smwcentral.net/?a=details&amp;id=40960&amp;p=section</t>
  </si>
  <si>
    <t>https://dl.smwcentral.net/40960/waluigi02-f02b.zip</t>
  </si>
  <si>
    <t>Waluigi's road to glory: Horlogic will go on</t>
  </si>
  <si>
    <t>27018</t>
  </si>
  <si>
    <t>https://www.smwcentral.net/?a=details&amp;id=27018&amp;p=section</t>
  </si>
  <si>
    <t>https://dl.smwcentral.net/27018/WaluigiRoad01.zip</t>
  </si>
  <si>
    <t>Waluigi's Wadventure</t>
  </si>
  <si>
    <t>17837</t>
  </si>
  <si>
    <t>https://www.smwcentral.net/?a=details&amp;id=17837&amp;p=section</t>
  </si>
  <si>
    <t>https://dl.smwcentral.net/17837/Waluigi%27s%20Wadventure%20-%20Demo%202.1.zip</t>
  </si>
  <si>
    <t>Wario Land 5</t>
  </si>
  <si>
    <t>9650</t>
  </si>
  <si>
    <t>https://www.smwcentral.net/?a=details&amp;id=9650&amp;p=section</t>
  </si>
  <si>
    <t>https://dl.smwcentral.net/9650/Wario%20Land%205.zip</t>
  </si>
  <si>
    <t>Wario Land 6</t>
  </si>
  <si>
    <t>mariomaster13</t>
  </si>
  <si>
    <t>10112</t>
  </si>
  <si>
    <t>https://www.smwcentral.net/?a=details&amp;id=10112&amp;p=section</t>
  </si>
  <si>
    <t>https://dl.smwcentral.net/10112/wario%20land.zip</t>
  </si>
  <si>
    <t>Wario World: Between The Dimensions</t>
  </si>
  <si>
    <t>SLBros.</t>
  </si>
  <si>
    <t>5500</t>
  </si>
  <si>
    <t>https://www.smwcentral.net/?a=details&amp;id=5500&amp;p=section</t>
  </si>
  <si>
    <t>https://dl.smwcentral.net/5500/Wario%20World%20-%20Between%20The%20Dimensions%20%28Ver1.5b%29.zip</t>
  </si>
  <si>
    <t>Wario's Adventure</t>
  </si>
  <si>
    <t>Retrodeath</t>
  </si>
  <si>
    <t>11026</t>
  </si>
  <si>
    <t>https://www.smwcentral.net/?a=details&amp;id=11026&amp;p=section</t>
  </si>
  <si>
    <t>https://dl.smwcentral.net/11026/Wario%27s%20Adventure%201.4.zip</t>
  </si>
  <si>
    <t>Wario's Return</t>
  </si>
  <si>
    <t>5372</t>
  </si>
  <si>
    <t>https://www.smwcentral.net/?a=details&amp;id=5372&amp;p=section</t>
  </si>
  <si>
    <t>https://dl.smwcentral.net/5372/Wario%C2%B4s%20Return.zip</t>
  </si>
  <si>
    <t>Warios Wonderful Walk</t>
  </si>
  <si>
    <t>30365</t>
  </si>
  <si>
    <t>https://www.smwcentral.net/?a=details&amp;id=30365&amp;p=section</t>
  </si>
  <si>
    <t>https://dl.smwcentral.net/30365/WWW.zip</t>
  </si>
  <si>
    <t>Watch Mario</t>
  </si>
  <si>
    <t>ANDCo., BabyCan</t>
  </si>
  <si>
    <t>17731</t>
  </si>
  <si>
    <t>https://www.smwcentral.net/?a=details&amp;id=17731&amp;p=section</t>
  </si>
  <si>
    <t>https://dl.smwcentral.net/17731/Watch%20Mario%20Bundle.zip</t>
  </si>
  <si>
    <t>Watermelon World</t>
  </si>
  <si>
    <t>19397</t>
  </si>
  <si>
    <t>https://www.smwcentral.net/?a=details&amp;id=19397&amp;p=section</t>
  </si>
  <si>
    <t>https://dl.smwcentral.net/19397/Watermelon%20World.zip</t>
  </si>
  <si>
    <t>Waterworld</t>
  </si>
  <si>
    <t>27024</t>
  </si>
  <si>
    <t>https://www.smwcentral.net/?a=details&amp;id=27024&amp;p=section</t>
  </si>
  <si>
    <t>https://dl.smwcentral.net/27024/Waterworld.zip</t>
  </si>
  <si>
    <t>Way of the Tempest</t>
  </si>
  <si>
    <t>34920</t>
  </si>
  <si>
    <t>https://www.smwcentral.net/?a=details&amp;id=34920&amp;p=section</t>
  </si>
  <si>
    <t>https://dl.smwcentral.net/34920/tempest1.2.zip</t>
  </si>
  <si>
    <t>We all end up here</t>
  </si>
  <si>
    <t>38468</t>
  </si>
  <si>
    <t>https://www.smwcentral.net/?a=details&amp;id=38468&amp;p=section</t>
  </si>
  <si>
    <t>https://dl.smwcentral.net/38468/kuso.zip</t>
  </si>
  <si>
    <t>We Like It Here</t>
  </si>
  <si>
    <t>37880</t>
  </si>
  <si>
    <t>https://www.smwcentral.net/?a=details&amp;id=37880&amp;p=section</t>
  </si>
  <si>
    <t>https://dl.smwcentral.net/37880/WeLikeItHere1_1.zip</t>
  </si>
  <si>
    <t>We Must Go Steeper</t>
  </si>
  <si>
    <t>39891</t>
  </si>
  <si>
    <t>https://www.smwcentral.net/?a=details&amp;id=39891&amp;p=section</t>
  </si>
  <si>
    <t>https://dl.smwcentral.net/39891/We_Must_Go_Steeper_1.0.zip</t>
  </si>
  <si>
    <t>Weather Report</t>
  </si>
  <si>
    <t>38150</t>
  </si>
  <si>
    <t>https://www.smwcentral.net/?a=details&amp;id=38150&amp;p=section</t>
  </si>
  <si>
    <t>https://dl.smwcentral.net/38150/WeatherReport.zip</t>
  </si>
  <si>
    <t>Weekend</t>
  </si>
  <si>
    <t>39553</t>
  </si>
  <si>
    <t>https://www.smwcentral.net/?a=details&amp;id=39553&amp;p=section</t>
  </si>
  <si>
    <t>https://dl.smwcentral.net/39553/Weekend.zip</t>
  </si>
  <si>
    <t>Weekend at Luigi's</t>
  </si>
  <si>
    <t>AmazingChest, PinkDad</t>
  </si>
  <si>
    <t>27869</t>
  </si>
  <si>
    <t>https://www.smwcentral.net/?a=details&amp;id=27869&amp;p=section</t>
  </si>
  <si>
    <t>https://dl.smwcentral.net/27869/weekend-at-luigis-v111%20%281%29.zip</t>
  </si>
  <si>
    <t>Wendy's Ten Fights</t>
  </si>
  <si>
    <t>26183</t>
  </si>
  <si>
    <t>https://www.smwcentral.net/?a=details&amp;id=26183&amp;p=section</t>
  </si>
  <si>
    <t>https://dl.smwcentral.net/26183/WTF.zip</t>
  </si>
  <si>
    <t>What did Mario do?</t>
  </si>
  <si>
    <t>eltiolavara9, woop</t>
  </si>
  <si>
    <t>38285</t>
  </si>
  <si>
    <t>https://www.smwcentral.net/?a=details&amp;id=38285&amp;p=section</t>
  </si>
  <si>
    <t>https://dl.smwcentral.net/38285/WDMD.zip</t>
  </si>
  <si>
    <t>What The Heck 2</t>
  </si>
  <si>
    <t>6421</t>
  </si>
  <si>
    <t>https://www.smwcentral.net/?a=details&amp;id=6421&amp;p=section</t>
  </si>
  <si>
    <t>https://dl.smwcentral.net/6421/WTH2.zip</t>
  </si>
  <si>
    <t>What The Shell!</t>
  </si>
  <si>
    <t>27263</t>
  </si>
  <si>
    <t>https://www.smwcentral.net/?a=details&amp;id=27263&amp;p=section</t>
  </si>
  <si>
    <t>https://dl.smwcentral.net/27263/What%20The%20Shell%21.zip</t>
  </si>
  <si>
    <t>What the... Hack?</t>
  </si>
  <si>
    <t>10021</t>
  </si>
  <si>
    <t>https://www.smwcentral.net/?a=details&amp;id=10021&amp;p=section</t>
  </si>
  <si>
    <t>https://dl.smwcentral.net/10021/What%20the...%20Hack.zip</t>
  </si>
  <si>
    <t>What's Thanksgiving Without Turkey?</t>
  </si>
  <si>
    <t>OmegaLuigi</t>
  </si>
  <si>
    <t>22073</t>
  </si>
  <si>
    <t>https://www.smwcentral.net/?a=details&amp;id=22073&amp;p=section</t>
  </si>
  <si>
    <t>https://dl.smwcentral.net/22073/Whats%20Thanksgiving%20Without%20Turkey%20%28Music%20Fixed%29.zip</t>
  </si>
  <si>
    <t>What's The Name of This Hack?</t>
  </si>
  <si>
    <t>20891</t>
  </si>
  <si>
    <t>https://www.smwcentral.net/?a=details&amp;id=20891&amp;p=section</t>
  </si>
  <si>
    <t>https://dl.smwcentral.net/20891/Whats_The_Name_Of_This_Hack_v1_7.zip</t>
  </si>
  <si>
    <t>Where the universe breaks</t>
  </si>
  <si>
    <t>37046</t>
  </si>
  <si>
    <t>https://www.smwcentral.net/?a=details&amp;id=37046&amp;p=section</t>
  </si>
  <si>
    <t>https://dl.smwcentral.net/37046/Edge.zip</t>
  </si>
  <si>
    <t>White Men Can´t Toss</t>
  </si>
  <si>
    <t>42624</t>
  </si>
  <si>
    <t>https://www.smwcentral.net/?a=details&amp;id=42624&amp;p=section</t>
  </si>
  <si>
    <t>https://dl.smwcentral.net/42624/WhiteMenCantToss.zip</t>
  </si>
  <si>
    <t>Why Do Coins Float?</t>
  </si>
  <si>
    <t>28807</t>
  </si>
  <si>
    <t>https://www.smwcentral.net/?a=details&amp;id=28807&amp;p=section</t>
  </si>
  <si>
    <t>https://dl.smwcentral.net/28807/Why%20Do%20Coins%20Float.zip</t>
  </si>
  <si>
    <t>Windows Mario World</t>
  </si>
  <si>
    <t>BetaMaster64</t>
  </si>
  <si>
    <t>10412</t>
  </si>
  <si>
    <t>https://www.smwcentral.net/?a=details&amp;id=10412&amp;p=section</t>
  </si>
  <si>
    <t>https://dl.smwcentral.net/10412/WMW.zip</t>
  </si>
  <si>
    <t>Winter Season</t>
  </si>
  <si>
    <t>15265</t>
  </si>
  <si>
    <t>https://www.smwcentral.net/?a=details&amp;id=15265&amp;p=section</t>
  </si>
  <si>
    <t>https://dl.smwcentral.net/15265/Winter%20season.zip</t>
  </si>
  <si>
    <t>Winter Season 2</t>
  </si>
  <si>
    <t>33326</t>
  </si>
  <si>
    <t>https://www.smwcentral.net/?a=details&amp;id=33326&amp;p=section</t>
  </si>
  <si>
    <t>https://dl.smwcentral.net/33326/WinterSeason2.zip</t>
  </si>
  <si>
    <t>Woji World</t>
  </si>
  <si>
    <t>16890</t>
  </si>
  <si>
    <t>https://www.smwcentral.net/?a=details&amp;id=16890&amp;p=section</t>
  </si>
  <si>
    <t>https://dl.smwcentral.net/16890/Woji%20World%20v1.3.zip</t>
  </si>
  <si>
    <t>Wonders of Kaizo!</t>
  </si>
  <si>
    <t>Vanessa</t>
  </si>
  <si>
    <t>28323</t>
  </si>
  <si>
    <t>https://www.smwcentral.net/?a=details&amp;id=28323&amp;p=section</t>
  </si>
  <si>
    <t>https://dl.smwcentral.net/28323/Wonders%20of%20Kaizo%21%21.zip</t>
  </si>
  <si>
    <t>Worl's World</t>
  </si>
  <si>
    <t>24118</t>
  </si>
  <si>
    <t>https://www.smwcentral.net/?a=details&amp;id=24118&amp;p=section</t>
  </si>
  <si>
    <t>https://dl.smwcentral.net/24118/Worls%20World%201.3.zip</t>
  </si>
  <si>
    <t>Worl's World 2: The Rebellion</t>
  </si>
  <si>
    <t>26447</t>
  </si>
  <si>
    <t>https://www.smwcentral.net/?a=details&amp;id=26447&amp;p=section</t>
  </si>
  <si>
    <t>https://dl.smwcentral.net/26447/Worls%20World%202%20v1.1.zip</t>
  </si>
  <si>
    <t>World Of Illusion</t>
  </si>
  <si>
    <t>Azure</t>
  </si>
  <si>
    <t>4980</t>
  </si>
  <si>
    <t>https://www.smwcentral.net/?a=details&amp;id=4980&amp;p=section</t>
  </si>
  <si>
    <t>https://dl.smwcentral.net/4980/World%20of%20Illusion.zip</t>
  </si>
  <si>
    <t>World of Jumps</t>
  </si>
  <si>
    <t>Maltz</t>
  </si>
  <si>
    <t>41374</t>
  </si>
  <si>
    <t>https://www.smwcentral.net/?a=details&amp;id=41374&amp;p=section</t>
  </si>
  <si>
    <t>https://dl.smwcentral.net/41374/WorldOfJumps.zip</t>
  </si>
  <si>
    <t>World of Shells</t>
  </si>
  <si>
    <t>32844</t>
  </si>
  <si>
    <t>https://www.smwcentral.net/?a=details&amp;id=32844&amp;p=section</t>
  </si>
  <si>
    <t>https://dl.smwcentral.net/32844/World%20of%20Shells%20V%201.4.zip</t>
  </si>
  <si>
    <t>World's Hardest Hack</t>
  </si>
  <si>
    <t>32940</t>
  </si>
  <si>
    <t>https://www.smwcentral.net/?a=details&amp;id=32940&amp;p=section</t>
  </si>
  <si>
    <t>https://dl.smwcentral.net/32940/CoolMathHacks.zip</t>
  </si>
  <si>
    <t>worm</t>
  </si>
  <si>
    <t>39888</t>
  </si>
  <si>
    <t>https://www.smwcentral.net/?a=details&amp;id=39888&amp;p=section</t>
  </si>
  <si>
    <t>https://dl.smwcentral.net/39888/worm.zip</t>
  </si>
  <si>
    <t>Wrath of Bowser</t>
  </si>
  <si>
    <t>Tubbaluvin</t>
  </si>
  <si>
    <t>22025</t>
  </si>
  <si>
    <t>https://www.smwcentral.net/?a=details&amp;id=22025&amp;p=section</t>
  </si>
  <si>
    <t>https://dl.smwcentral.net/22025/WrathOfBowserV1_1.zip</t>
  </si>
  <si>
    <t>Wrecking Crew '98</t>
  </si>
  <si>
    <t>13765</t>
  </si>
  <si>
    <t>https://www.smwcentral.net/?a=details&amp;id=13765&amp;p=section</t>
  </si>
  <si>
    <t>https://dl.smwcentral.net/13765/Wrecking%20Crew%20%2798%20v1.3.zip</t>
  </si>
  <si>
    <t>X-Drive</t>
  </si>
  <si>
    <t>Aurel509, Kourauh, MrJ'lien</t>
  </si>
  <si>
    <t>33559</t>
  </si>
  <si>
    <t>https://www.smwcentral.net/?a=details&amp;id=33559&amp;p=section</t>
  </si>
  <si>
    <t>https://dl.smwcentral.net/33559/XDrive%20-%20v1.0.2.zip</t>
  </si>
  <si>
    <t>Xka Shack</t>
  </si>
  <si>
    <t>Smallhacker, smkdan</t>
  </si>
  <si>
    <t>17482</t>
  </si>
  <si>
    <t>https://www.smwcentral.net/?a=details&amp;id=17482&amp;p=section</t>
  </si>
  <si>
    <t>https://dl.smwcentral.net/17482/xka_shack.zip</t>
  </si>
  <si>
    <t>Xulaph Kaizo World</t>
  </si>
  <si>
    <t>22346</t>
  </si>
  <si>
    <t>https://www.smwcentral.net/?a=details&amp;id=22346&amp;p=section</t>
  </si>
  <si>
    <t>https://dl.smwcentral.net/22346/Xulaph_Kaizo_World.zip</t>
  </si>
  <si>
    <t>Yahoo!!</t>
  </si>
  <si>
    <t>Mousejuggler</t>
  </si>
  <si>
    <t>39510</t>
  </si>
  <si>
    <t>https://www.smwcentral.net/?a=details&amp;id=39510&amp;p=section</t>
  </si>
  <si>
    <t>https://dl.smwcentral.net/39510/Yahoo%21%21.zip</t>
  </si>
  <si>
    <t>Yank 2</t>
  </si>
  <si>
    <t>26899</t>
  </si>
  <si>
    <t>https://www.smwcentral.net/?a=details&amp;id=26899&amp;p=section</t>
  </si>
  <si>
    <t>https://dl.smwcentral.net/26899/Yank%202.zip</t>
  </si>
  <si>
    <t>Yet Another SMW Hack</t>
  </si>
  <si>
    <t>15893</t>
  </si>
  <si>
    <t>https://www.smwcentral.net/?a=details&amp;id=15893&amp;p=section</t>
  </si>
  <si>
    <t>https://dl.smwcentral.net/15893/YASH%20F1.0.zip</t>
  </si>
  <si>
    <t>Yet Another Super Mario Adventure</t>
  </si>
  <si>
    <t>25198</t>
  </si>
  <si>
    <t>https://www.smwcentral.net/?a=details&amp;id=25198&amp;p=section</t>
  </si>
  <si>
    <t>https://dl.smwcentral.net/25198/Yet%20Another%20Super%20Mario%20Adventure%20Demo.zip</t>
  </si>
  <si>
    <t>YF10CBTTHNTDWTL</t>
  </si>
  <si>
    <t>11769</t>
  </si>
  <si>
    <t>https://www.smwcentral.net/?a=details&amp;id=11769&amp;p=section</t>
  </si>
  <si>
    <t>https://dl.smwcentral.net/11769/YF10CBTTHNTDWTL.zip</t>
  </si>
  <si>
    <t>Yikes Kaizo World</t>
  </si>
  <si>
    <t>jquery861</t>
  </si>
  <si>
    <t>28710</t>
  </si>
  <si>
    <t>https://www.smwcentral.net/?a=details&amp;id=28710&amp;p=section</t>
  </si>
  <si>
    <t>https://dl.smwcentral.net/28710/YikesKaizoWorld_v1.0.zip</t>
  </si>
  <si>
    <t>YNT MARIO</t>
  </si>
  <si>
    <t>YNT, astm</t>
  </si>
  <si>
    <t>42427</t>
  </si>
  <si>
    <t>https://www.smwcentral.net/?a=details&amp;id=42427&amp;p=section</t>
  </si>
  <si>
    <t>https://dl.smwcentral.net/42427/ynt_mario_en_v1.0.6.zip</t>
  </si>
  <si>
    <t>Yo mama is fat</t>
  </si>
  <si>
    <t>17614</t>
  </si>
  <si>
    <t>https://www.smwcentral.net/?a=details&amp;id=17614&amp;p=section</t>
  </si>
  <si>
    <t>https://dl.smwcentral.net/17614/Yo%20mama%20is%20fat.zip</t>
  </si>
  <si>
    <t>YoHo</t>
  </si>
  <si>
    <t>26473</t>
  </si>
  <si>
    <t>https://www.smwcentral.net/?a=details&amp;id=26473&amp;p=section</t>
  </si>
  <si>
    <t>https://dl.smwcentral.net/26473/YoHo1.4.zip</t>
  </si>
  <si>
    <t>YoHo Adventure</t>
  </si>
  <si>
    <t>26657</t>
  </si>
  <si>
    <t>https://www.smwcentral.net/?a=details&amp;id=26657&amp;p=section</t>
  </si>
  <si>
    <t>https://dl.smwcentral.net/26657/YoHo%20Adventure.zip</t>
  </si>
  <si>
    <t>Yoshi Is Missing!</t>
  </si>
  <si>
    <t>S.L</t>
  </si>
  <si>
    <t>9770</t>
  </si>
  <si>
    <t>https://www.smwcentral.net/?a=details&amp;id=9770&amp;p=section</t>
  </si>
  <si>
    <t>https://dl.smwcentral.net/9770/Yoshi%20is%20missing%20%21.zip</t>
  </si>
  <si>
    <t>Yoshi Saves Summer Vacation</t>
  </si>
  <si>
    <t>34071</t>
  </si>
  <si>
    <t>https://www.smwcentral.net/?a=details&amp;id=34071&amp;p=section</t>
  </si>
  <si>
    <t>https://dl.smwcentral.net/34071/Yoshi%20Saves%20Summer%20Vacation.zip</t>
  </si>
  <si>
    <t>Yoshi Surfer 5000</t>
  </si>
  <si>
    <t>19699</t>
  </si>
  <si>
    <t>https://www.smwcentral.net/?a=details&amp;id=19699&amp;p=section</t>
  </si>
  <si>
    <t>https://dl.smwcentral.net/19699/Yoshi%20Surfer%205000.zip</t>
  </si>
  <si>
    <t>Yoshi's Crack House</t>
  </si>
  <si>
    <t>MilkyMooer</t>
  </si>
  <si>
    <t>29590</t>
  </si>
  <si>
    <t>https://www.smwcentral.net/?a=details&amp;id=29590&amp;p=section</t>
  </si>
  <si>
    <t>https://dl.smwcentral.net/29590/Yoshis_Crack_House.zip</t>
  </si>
  <si>
    <t>Yoshi's Emergency</t>
  </si>
  <si>
    <t>Brad172</t>
  </si>
  <si>
    <t>10072</t>
  </si>
  <si>
    <t>https://www.smwcentral.net/?a=details&amp;id=10072&amp;p=section</t>
  </si>
  <si>
    <t>https://dl.smwcentral.net/10072/Yoshi%27s%20Emergency.zip</t>
  </si>
  <si>
    <t>Yoshi's rescue run</t>
  </si>
  <si>
    <t>36719</t>
  </si>
  <si>
    <t>https://www.smwcentral.net/?a=details&amp;id=36719&amp;p=section</t>
  </si>
  <si>
    <t>https://dl.smwcentral.net/36719/Yoshisrescuerun1.2%20%282%29.zip</t>
  </si>
  <si>
    <t>Yoshi's Revenge</t>
  </si>
  <si>
    <t>42385</t>
  </si>
  <si>
    <t>https://www.smwcentral.net/?a=details&amp;id=42385&amp;p=section</t>
  </si>
  <si>
    <t>https://dl.smwcentral.net/42385/Yoshi%27s%20Revenge%201.1.1.zip</t>
  </si>
  <si>
    <t>Yoshi's Strange Quest</t>
  </si>
  <si>
    <t>10302</t>
  </si>
  <si>
    <t>https://www.smwcentral.net/?a=details&amp;id=10302&amp;p=section</t>
  </si>
  <si>
    <t>https://dl.smwcentral.net/10302/YSQ%20V1.3.zip</t>
  </si>
  <si>
    <t>Yoshi: Super Dinosaur</t>
  </si>
  <si>
    <t>Kyouken</t>
  </si>
  <si>
    <t>10029</t>
  </si>
  <si>
    <t>https://www.smwcentral.net/?a=details&amp;id=10029&amp;p=section</t>
  </si>
  <si>
    <t>https://dl.smwcentral.net/10029/Yoshi%20-%20Super%20Dinosaur.zip</t>
  </si>
  <si>
    <t>10024</t>
  </si>
  <si>
    <t>https://www.smwcentral.net/?a=details&amp;id=10024&amp;p=section</t>
  </si>
  <si>
    <t>https://dl.smwcentral.net/10024/Yoshirofullversion1.1.zip</t>
  </si>
  <si>
    <t>You Are Just A Blue Switch</t>
  </si>
  <si>
    <t>40107</t>
  </si>
  <si>
    <t>https://www.smwcentral.net/?a=details&amp;id=40107&amp;p=section</t>
  </si>
  <si>
    <t>https://dl.smwcentral.net/40107/%5BHack%5D%20You%20Are%20Just%20A%20Blue%20Switch%20v1.03.zip</t>
  </si>
  <si>
    <t>You Have No Life</t>
  </si>
  <si>
    <t>39741</t>
  </si>
  <si>
    <t>https://www.smwcentral.net/?a=details&amp;id=39741&amp;p=section</t>
  </si>
  <si>
    <t>https://dl.smwcentral.net/39741/You%20Have%20No%20Life%20-%20SMW.zip</t>
  </si>
  <si>
    <t>You Shell Not Pass</t>
  </si>
  <si>
    <t>Firstnamebutt, Inflagrandy, robbstermusic</t>
  </si>
  <si>
    <t>38263</t>
  </si>
  <si>
    <t>https://www.smwcentral.net/?a=details&amp;id=38263&amp;p=section</t>
  </si>
  <si>
    <t>https://dl.smwcentral.net/38263/You%20Shell%20Not%20Pass%201.2.zip</t>
  </si>
  <si>
    <t>Yuki Mario</t>
  </si>
  <si>
    <t>Rouge</t>
  </si>
  <si>
    <t>32596</t>
  </si>
  <si>
    <t>https://www.smwcentral.net/?a=details&amp;id=32596&amp;p=section</t>
  </si>
  <si>
    <t>https://dl.smwcentral.net/32596/Yuki%20Mario%20World%201.zip</t>
  </si>
  <si>
    <t>YUMP</t>
  </si>
  <si>
    <t>Christina Hendricks, JUMP Team, Lazy</t>
  </si>
  <si>
    <t>15892</t>
  </si>
  <si>
    <t>https://www.smwcentral.net/?a=details&amp;id=15892&amp;p=section</t>
  </si>
  <si>
    <t>https://dl.smwcentral.net/15892/yumpy%20boy.zip</t>
  </si>
  <si>
    <t>YUMP 2</t>
  </si>
  <si>
    <t>JUMP Team, Lazy</t>
  </si>
  <si>
    <t>23778</t>
  </si>
  <si>
    <t>https://www.smwcentral.net/?a=details&amp;id=23778&amp;p=section</t>
  </si>
  <si>
    <t>https://dl.smwcentral.net/23778/YUMP%202.zip</t>
  </si>
  <si>
    <t>Zap &amp; Lena Adventures</t>
  </si>
  <si>
    <t>23031</t>
  </si>
  <si>
    <t>https://www.smwcentral.net/?a=details&amp;id=23031&amp;p=section</t>
  </si>
  <si>
    <t>https://dl.smwcentral.net/23031/ZapLenaAdventures.zip</t>
  </si>
  <si>
    <t>Zap Lena World</t>
  </si>
  <si>
    <t>24421</t>
  </si>
  <si>
    <t>https://www.smwcentral.net/?a=details&amp;id=24421&amp;p=section</t>
  </si>
  <si>
    <t>https://dl.smwcentral.net/24421/Zap%20Lena%20World%20v1.2.zip</t>
  </si>
  <si>
    <t>Zeldara's Glitch City v147</t>
  </si>
  <si>
    <t>Karisa</t>
  </si>
  <si>
    <t>15935</t>
  </si>
  <si>
    <t>https://www.smwcentral.net/?a=details&amp;id=15935&amp;p=section</t>
  </si>
  <si>
    <t>https://dl.smwcentral.net/15935/zgc147.zip</t>
  </si>
  <si>
    <t>~ Sure Shot ~ featuring Sonic the Hedgehog DELUXE EDITION</t>
  </si>
  <si>
    <t>YMM, margot</t>
  </si>
  <si>
    <t>32587</t>
  </si>
  <si>
    <t>https://www.smwcentral.net/?a=details&amp;id=32587&amp;p=section</t>
  </si>
  <si>
    <t>https://dl.smwcentral.net/32587/Sure%20Shot.zip</t>
  </si>
  <si>
    <t>~omh~</t>
  </si>
  <si>
    <t>Daizo Dee Von, Squirrelyman157, Team JANK</t>
  </si>
  <si>
    <t>35050</t>
  </si>
  <si>
    <t>https://www.smwcentral.net/?a=details&amp;id=35050&amp;p=section</t>
  </si>
  <si>
    <t>https://dl.smwcentral.net/35050/~omh~%20-%20original%20mario%20hack.zip</t>
  </si>
  <si>
    <t>⏱︎ Slow Motion Mario</t>
  </si>
  <si>
    <t>TheSpreee333</t>
  </si>
  <si>
    <t>39168</t>
  </si>
  <si>
    <t>https://www.smwcentral.net/?a=details&amp;id=39168&amp;p=section</t>
  </si>
  <si>
    <t>https://dl.smwcentral.net/39168/%E2%8F%B1%EF%B8%8E%20Slow%20Motion%20Mario.zip</t>
  </si>
  <si>
    <t>🐭 So 2 Mice Walk Into a Bar... 🐭</t>
  </si>
  <si>
    <t>Christina Hendricks, S.N.N.</t>
  </si>
  <si>
    <t>21950</t>
  </si>
  <si>
    <t>https://www.smwcentral.net/?a=details&amp;id=21950&amp;p=section</t>
  </si>
  <si>
    <t>https://dl.smwcentral.net/21950/so_2_mice_walk_into_a_bar_v1.1.zip</t>
  </si>
  <si>
    <t>🐸🥣</t>
  </si>
  <si>
    <t>32897</t>
  </si>
  <si>
    <t>https://www.smwcentral.net/?a=details&amp;id=32897&amp;p=section</t>
  </si>
  <si>
    <t>https://dl.smwcentral.net/32897/meep.zip</t>
  </si>
  <si>
    <t>Open Page</t>
  </si>
  <si>
    <t>Download</t>
  </si>
  <si>
    <t>ROM Hack Dropdown</t>
  </si>
  <si>
    <t>Yes</t>
  </si>
  <si>
    <t>0 Hours</t>
  </si>
  <si>
    <t>0 Minutes</t>
  </si>
  <si>
    <t>0 Seconds</t>
  </si>
  <si>
    <t>No</t>
  </si>
  <si>
    <t>1 Hour</t>
  </si>
  <si>
    <t>1 Minute</t>
  </si>
  <si>
    <t>1 Second</t>
  </si>
  <si>
    <t>2 Hours</t>
  </si>
  <si>
    <t>2 Minutes</t>
  </si>
  <si>
    <t>2 Seconds</t>
  </si>
  <si>
    <t>Tool-Assisted</t>
  </si>
  <si>
    <t>3 Hours</t>
  </si>
  <si>
    <t>3 Minutes</t>
  </si>
  <si>
    <t>3 Seconds</t>
  </si>
  <si>
    <t>Pit</t>
  </si>
  <si>
    <t>4 Hours</t>
  </si>
  <si>
    <t>4 Minutes</t>
  </si>
  <si>
    <t>4 Seconds</t>
  </si>
  <si>
    <t>Troll</t>
  </si>
  <si>
    <t>5 Hours</t>
  </si>
  <si>
    <t>5 Minutes</t>
  </si>
  <si>
    <t>5 Seconds</t>
  </si>
  <si>
    <t>6 Hours</t>
  </si>
  <si>
    <t>6 Minutes</t>
  </si>
  <si>
    <t>6 Seconds</t>
  </si>
  <si>
    <t>7 Hours</t>
  </si>
  <si>
    <t>7 Minutes</t>
  </si>
  <si>
    <t>7 Seconds</t>
  </si>
  <si>
    <t>8 Hours</t>
  </si>
  <si>
    <t>8 Minutes</t>
  </si>
  <si>
    <t>8 Seconds</t>
  </si>
  <si>
    <t>9 Hours</t>
  </si>
  <si>
    <t>9 Minutes</t>
  </si>
  <si>
    <t>9 Seconds</t>
  </si>
  <si>
    <t>10 Hours</t>
  </si>
  <si>
    <t>10 Minutes</t>
  </si>
  <si>
    <t>10 Seconds</t>
  </si>
  <si>
    <t>11 Hours</t>
  </si>
  <si>
    <t>11 Minutes</t>
  </si>
  <si>
    <t>11 Seconds</t>
  </si>
  <si>
    <t>12 Hours</t>
  </si>
  <si>
    <t>12 Minutes</t>
  </si>
  <si>
    <t>12 Seconds</t>
  </si>
  <si>
    <t>13 Hours</t>
  </si>
  <si>
    <t>13 Minutes</t>
  </si>
  <si>
    <t>13 Seconds</t>
  </si>
  <si>
    <t>14 Hours</t>
  </si>
  <si>
    <t>14 Minutes</t>
  </si>
  <si>
    <t>14 Seconds</t>
  </si>
  <si>
    <t>15 Hours</t>
  </si>
  <si>
    <t>15 Minutes</t>
  </si>
  <si>
    <t>15 Seconds</t>
  </si>
  <si>
    <t>16 Hours</t>
  </si>
  <si>
    <t>16 Minutes</t>
  </si>
  <si>
    <t>16 Seconds</t>
  </si>
  <si>
    <t>17 Hours</t>
  </si>
  <si>
    <t>17 Minutes</t>
  </si>
  <si>
    <t>17 Seconds</t>
  </si>
  <si>
    <t>18 Hours</t>
  </si>
  <si>
    <t>18 Minutes</t>
  </si>
  <si>
    <t>18 Seconds</t>
  </si>
  <si>
    <t>19 Hours</t>
  </si>
  <si>
    <t>19 Minutes</t>
  </si>
  <si>
    <t>19 Seconds</t>
  </si>
  <si>
    <t>20 Hours</t>
  </si>
  <si>
    <t>20 Minutes</t>
  </si>
  <si>
    <t>20 Seconds</t>
  </si>
  <si>
    <t>21 Hours</t>
  </si>
  <si>
    <t>21 Minutes</t>
  </si>
  <si>
    <t>21 Seconds</t>
  </si>
  <si>
    <t>22 Hours</t>
  </si>
  <si>
    <t>22 Minutes</t>
  </si>
  <si>
    <t>22 Seconds</t>
  </si>
  <si>
    <t>23 Hours</t>
  </si>
  <si>
    <t>23 Minutes</t>
  </si>
  <si>
    <t>23 Seconds</t>
  </si>
  <si>
    <t>24 Hours</t>
  </si>
  <si>
    <t>24 Minutes</t>
  </si>
  <si>
    <t>24 Seconds</t>
  </si>
  <si>
    <t>25 Hours</t>
  </si>
  <si>
    <t>25 Minutes</t>
  </si>
  <si>
    <t>25 Seconds</t>
  </si>
  <si>
    <t>26 Hours</t>
  </si>
  <si>
    <t>26 Minutes</t>
  </si>
  <si>
    <t>26 Seconds</t>
  </si>
  <si>
    <t>27 Hours</t>
  </si>
  <si>
    <t>27 Minutes</t>
  </si>
  <si>
    <t>27 Seconds</t>
  </si>
  <si>
    <t>28 Hours</t>
  </si>
  <si>
    <t>28 Minutes</t>
  </si>
  <si>
    <t>28 Seconds</t>
  </si>
  <si>
    <t>29 Hours</t>
  </si>
  <si>
    <t>29 Minutes</t>
  </si>
  <si>
    <t>29 Seconds</t>
  </si>
  <si>
    <t>30 Hours</t>
  </si>
  <si>
    <t>30 Minutes</t>
  </si>
  <si>
    <t>30 Seconds</t>
  </si>
  <si>
    <t>31 Hours</t>
  </si>
  <si>
    <t>31 Minutes</t>
  </si>
  <si>
    <t>31 Seconds</t>
  </si>
  <si>
    <t>32 Hours</t>
  </si>
  <si>
    <t>32 Minutes</t>
  </si>
  <si>
    <t>32 Seconds</t>
  </si>
  <si>
    <t>33 Hours</t>
  </si>
  <si>
    <t>33 Minutes</t>
  </si>
  <si>
    <t>33 Seconds</t>
  </si>
  <si>
    <t>34 Hours</t>
  </si>
  <si>
    <t>34 Minutes</t>
  </si>
  <si>
    <t>34 Seconds</t>
  </si>
  <si>
    <t>35 Hours</t>
  </si>
  <si>
    <t>35 Minutes</t>
  </si>
  <si>
    <t>35 Seconds</t>
  </si>
  <si>
    <t>36 Hours</t>
  </si>
  <si>
    <t>36 Minutes</t>
  </si>
  <si>
    <t>36 Seconds</t>
  </si>
  <si>
    <t>37 Hours</t>
  </si>
  <si>
    <t>37 Minutes</t>
  </si>
  <si>
    <t>37 Seconds</t>
  </si>
  <si>
    <t>38 Hours</t>
  </si>
  <si>
    <t>38 Minutes</t>
  </si>
  <si>
    <t>38 Seconds</t>
  </si>
  <si>
    <t>39 Hours</t>
  </si>
  <si>
    <t>39 Minutes</t>
  </si>
  <si>
    <t>39 Seconds</t>
  </si>
  <si>
    <t>40 Hours</t>
  </si>
  <si>
    <t>40 Minutes</t>
  </si>
  <si>
    <t>40 Seconds</t>
  </si>
  <si>
    <t>41 Hours</t>
  </si>
  <si>
    <t>41 Minutes</t>
  </si>
  <si>
    <t>41 Seconds</t>
  </si>
  <si>
    <t>42 Hours</t>
  </si>
  <si>
    <t>42 Minutes</t>
  </si>
  <si>
    <t>42 Seconds</t>
  </si>
  <si>
    <t>43 Hours</t>
  </si>
  <si>
    <t>43 Minutes</t>
  </si>
  <si>
    <t>43 Seconds</t>
  </si>
  <si>
    <t>44 Hours</t>
  </si>
  <si>
    <t>44 Minutes</t>
  </si>
  <si>
    <t>44 Seconds</t>
  </si>
  <si>
    <t>45 Hours</t>
  </si>
  <si>
    <t>45 Minutes</t>
  </si>
  <si>
    <t>45 Seconds</t>
  </si>
  <si>
    <t>46 Hours</t>
  </si>
  <si>
    <t>46 Minutes</t>
  </si>
  <si>
    <t>46 Seconds</t>
  </si>
  <si>
    <t>47 Hours</t>
  </si>
  <si>
    <t>47 Minutes</t>
  </si>
  <si>
    <t>47 Seconds</t>
  </si>
  <si>
    <t>48 Hours</t>
  </si>
  <si>
    <t>48 Minutes</t>
  </si>
  <si>
    <t>48 Seconds</t>
  </si>
  <si>
    <t>49 Hours</t>
  </si>
  <si>
    <t>49 Minutes</t>
  </si>
  <si>
    <t>49 Seconds</t>
  </si>
  <si>
    <t>50 Hours</t>
  </si>
  <si>
    <t>50 Minutes</t>
  </si>
  <si>
    <t>50 Seconds</t>
  </si>
  <si>
    <t>51 Hours</t>
  </si>
  <si>
    <t>51 Minutes</t>
  </si>
  <si>
    <t>51 Seconds</t>
  </si>
  <si>
    <t>52 Hours</t>
  </si>
  <si>
    <t>52 Minutes</t>
  </si>
  <si>
    <t>52 Seconds</t>
  </si>
  <si>
    <t>53 Hours</t>
  </si>
  <si>
    <t>53 Minutes</t>
  </si>
  <si>
    <t>53 Seconds</t>
  </si>
  <si>
    <t>54 Hours</t>
  </si>
  <si>
    <t>54 Minutes</t>
  </si>
  <si>
    <t>54 Seconds</t>
  </si>
  <si>
    <t>55 Hours</t>
  </si>
  <si>
    <t>55 Minutes</t>
  </si>
  <si>
    <t>55 Seconds</t>
  </si>
  <si>
    <t>56 Hours</t>
  </si>
  <si>
    <t>56 Minutes</t>
  </si>
  <si>
    <t>56 Seconds</t>
  </si>
  <si>
    <t>57 Hours</t>
  </si>
  <si>
    <t>57 Minutes</t>
  </si>
  <si>
    <t>57 Seconds</t>
  </si>
  <si>
    <t>58 Hours</t>
  </si>
  <si>
    <t>58 Minutes</t>
  </si>
  <si>
    <t>58 Seconds</t>
  </si>
  <si>
    <t>59 Hours</t>
  </si>
  <si>
    <t>59 Minutes</t>
  </si>
  <si>
    <t>59 Seconds</t>
  </si>
  <si>
    <t>60 Hours</t>
  </si>
  <si>
    <t>61 Hours</t>
  </si>
  <si>
    <t>62 Hours</t>
  </si>
  <si>
    <t>63 Hours</t>
  </si>
  <si>
    <t>64 Hours</t>
  </si>
  <si>
    <t>65 Hours</t>
  </si>
  <si>
    <t>66 Hours</t>
  </si>
  <si>
    <t>67 Hours</t>
  </si>
  <si>
    <t>68 Hours</t>
  </si>
  <si>
    <t>69 Hours</t>
  </si>
  <si>
    <t>70 Hours</t>
  </si>
  <si>
    <t>71 Hours</t>
  </si>
  <si>
    <t>72 Hours</t>
  </si>
  <si>
    <t>73 Hours</t>
  </si>
  <si>
    <t>74 Hours</t>
  </si>
  <si>
    <t>75 Hours</t>
  </si>
  <si>
    <t>76 Hours</t>
  </si>
  <si>
    <t>77 Hours</t>
  </si>
  <si>
    <t>78 Hours</t>
  </si>
  <si>
    <t>79 Hours</t>
  </si>
  <si>
    <t>80 Hours</t>
  </si>
  <si>
    <t>81 Hours</t>
  </si>
  <si>
    <t>82 Hours</t>
  </si>
  <si>
    <t>83 Hours</t>
  </si>
  <si>
    <t>84 Hours</t>
  </si>
  <si>
    <t>85 Hours</t>
  </si>
  <si>
    <t>86 Hours</t>
  </si>
  <si>
    <t>87 Hours</t>
  </si>
  <si>
    <t>88 Hours</t>
  </si>
  <si>
    <t>89 Hours</t>
  </si>
  <si>
    <t>90 Hours</t>
  </si>
  <si>
    <t>91 Hours</t>
  </si>
  <si>
    <t>92 Hours</t>
  </si>
  <si>
    <t>93 Hours</t>
  </si>
  <si>
    <t>94 Hours</t>
  </si>
  <si>
    <t>95 Hours</t>
  </si>
  <si>
    <t>96 Hours</t>
  </si>
  <si>
    <t>97 Hours</t>
  </si>
  <si>
    <t>98 Hours</t>
  </si>
  <si>
    <t>99 Hours</t>
  </si>
  <si>
    <t>100 Hours</t>
  </si>
  <si>
    <t>101 Hours</t>
  </si>
  <si>
    <t>102 Hours</t>
  </si>
  <si>
    <t>103 Hours</t>
  </si>
  <si>
    <t>104 Hours</t>
  </si>
  <si>
    <t>105 Hours</t>
  </si>
  <si>
    <t>106 Hours</t>
  </si>
  <si>
    <t>107 Hours</t>
  </si>
  <si>
    <t>108 Hours</t>
  </si>
  <si>
    <t>109 Hours</t>
  </si>
  <si>
    <t>110 Hours</t>
  </si>
  <si>
    <t>111 Hours</t>
  </si>
  <si>
    <t>112 Hours</t>
  </si>
  <si>
    <t>113 Hours</t>
  </si>
  <si>
    <t>114 Hours</t>
  </si>
  <si>
    <t>115 Hours</t>
  </si>
  <si>
    <t>116 Hours</t>
  </si>
  <si>
    <t>117 Hours</t>
  </si>
  <si>
    <t>118 Hours</t>
  </si>
  <si>
    <t>119 Hours</t>
  </si>
  <si>
    <t>120 Hours</t>
  </si>
  <si>
    <t>121 Hours</t>
  </si>
  <si>
    <t>122 Hours</t>
  </si>
  <si>
    <t>123 Hours</t>
  </si>
  <si>
    <t>124 Hours</t>
  </si>
  <si>
    <t>125 Hours</t>
  </si>
  <si>
    <t>126 Hours</t>
  </si>
  <si>
    <t>127 Hours</t>
  </si>
  <si>
    <t>128 Hours</t>
  </si>
  <si>
    <t>129 Hours</t>
  </si>
  <si>
    <t>130 Hours</t>
  </si>
  <si>
    <t>131 Hours</t>
  </si>
  <si>
    <t>132 Hours</t>
  </si>
  <si>
    <t>133 Hours</t>
  </si>
  <si>
    <t>134 Hours</t>
  </si>
  <si>
    <t>135 Hours</t>
  </si>
  <si>
    <t>136 Hours</t>
  </si>
  <si>
    <t>137 Hours</t>
  </si>
  <si>
    <t>138 Hours</t>
  </si>
  <si>
    <t>139 Hours</t>
  </si>
  <si>
    <t>140 Hours</t>
  </si>
  <si>
    <t>141 Hours</t>
  </si>
  <si>
    <t>142 Hours</t>
  </si>
  <si>
    <t>143 Hours</t>
  </si>
  <si>
    <t>144 Hours</t>
  </si>
  <si>
    <t>145 Hours</t>
  </si>
  <si>
    <t>146 Hours</t>
  </si>
  <si>
    <t>147 Hours</t>
  </si>
  <si>
    <t>148 Hours</t>
  </si>
  <si>
    <t>149 Hours</t>
  </si>
  <si>
    <t>150 Hours</t>
  </si>
  <si>
    <t>151 Hours</t>
  </si>
  <si>
    <t>152 Hours</t>
  </si>
  <si>
    <t>153 Hours</t>
  </si>
  <si>
    <t>154 Hours</t>
  </si>
  <si>
    <t>155 Hours</t>
  </si>
  <si>
    <t>156 Hours</t>
  </si>
  <si>
    <t>157 Hours</t>
  </si>
  <si>
    <t>158 Hours</t>
  </si>
  <si>
    <t>159 Hours</t>
  </si>
  <si>
    <t>160 Hours</t>
  </si>
  <si>
    <t>161 Hours</t>
  </si>
  <si>
    <t>162 Hours</t>
  </si>
  <si>
    <t>163 Hours</t>
  </si>
  <si>
    <t>164 Hours</t>
  </si>
  <si>
    <t>165 Hours</t>
  </si>
  <si>
    <t>166 Hours</t>
  </si>
  <si>
    <t>167 Hours</t>
  </si>
  <si>
    <t>168 Hours</t>
  </si>
  <si>
    <t>169 Hours</t>
  </si>
  <si>
    <t>170 Hours</t>
  </si>
  <si>
    <t>171 Hours</t>
  </si>
  <si>
    <t>172 Hours</t>
  </si>
  <si>
    <t>173 Hours</t>
  </si>
  <si>
    <t>174 Hours</t>
  </si>
  <si>
    <t>175 Hours</t>
  </si>
  <si>
    <t>176 Hours</t>
  </si>
  <si>
    <t>177 Hours</t>
  </si>
  <si>
    <t>178 Hours</t>
  </si>
  <si>
    <t>179 Hours</t>
  </si>
  <si>
    <t>180 Hours</t>
  </si>
  <si>
    <t>181 Hours</t>
  </si>
  <si>
    <t>182 Hours</t>
  </si>
  <si>
    <t>183 Hours</t>
  </si>
  <si>
    <t>184 Hours</t>
  </si>
  <si>
    <t>185 Hours</t>
  </si>
  <si>
    <t>186 Hours</t>
  </si>
  <si>
    <t>187 Hours</t>
  </si>
  <si>
    <t>188 Hours</t>
  </si>
  <si>
    <t>189 Hours</t>
  </si>
  <si>
    <t>190 Hours</t>
  </si>
  <si>
    <t>191 Hours</t>
  </si>
  <si>
    <t>192 Hours</t>
  </si>
  <si>
    <t>193 Hours</t>
  </si>
  <si>
    <t>194 Hours</t>
  </si>
  <si>
    <t>195 Hours</t>
  </si>
  <si>
    <t>196 Hours</t>
  </si>
  <si>
    <t>197 Hours</t>
  </si>
  <si>
    <t>198 Hours</t>
  </si>
  <si>
    <t>199 Hours</t>
  </si>
  <si>
    <t>200 Hours</t>
  </si>
  <si>
    <t>201 Hours</t>
  </si>
  <si>
    <t>202 Hours</t>
  </si>
  <si>
    <t>203 Hours</t>
  </si>
  <si>
    <t>204 Hours</t>
  </si>
  <si>
    <t>205 Hours</t>
  </si>
  <si>
    <t>206 Hours</t>
  </si>
  <si>
    <t>207 Hours</t>
  </si>
  <si>
    <t>208 Hours</t>
  </si>
  <si>
    <t>209 Hours</t>
  </si>
  <si>
    <t>210 Hours</t>
  </si>
  <si>
    <t>211 Hours</t>
  </si>
  <si>
    <t>212 Hours</t>
  </si>
  <si>
    <t>213 Hours</t>
  </si>
  <si>
    <t>214 Hours</t>
  </si>
  <si>
    <t>215 Hours</t>
  </si>
  <si>
    <t>216 Hours</t>
  </si>
  <si>
    <t>217 Hours</t>
  </si>
  <si>
    <t>218 Hours</t>
  </si>
  <si>
    <t>219 Hours</t>
  </si>
  <si>
    <t>220 Hours</t>
  </si>
  <si>
    <t>221 Hours</t>
  </si>
  <si>
    <t>222 Hours</t>
  </si>
  <si>
    <t>223 Hours</t>
  </si>
  <si>
    <t>224 Hours</t>
  </si>
  <si>
    <t>225 Hours</t>
  </si>
  <si>
    <t>226 Hours</t>
  </si>
  <si>
    <t>227 Hours</t>
  </si>
  <si>
    <t>228 Hours</t>
  </si>
  <si>
    <t>229 Hours</t>
  </si>
  <si>
    <t>230 Hours</t>
  </si>
  <si>
    <t>231 Hours</t>
  </si>
  <si>
    <t>232 Hours</t>
  </si>
  <si>
    <t>233 Hours</t>
  </si>
  <si>
    <t>234 Hours</t>
  </si>
  <si>
    <t>235 Hours</t>
  </si>
  <si>
    <t>236 Hours</t>
  </si>
  <si>
    <t>237 Hours</t>
  </si>
  <si>
    <t>238 Hours</t>
  </si>
  <si>
    <t>239 Hours</t>
  </si>
  <si>
    <t>240 Hours</t>
  </si>
  <si>
    <t>241 Hours</t>
  </si>
  <si>
    <t>242 Hours</t>
  </si>
  <si>
    <t>243 Hours</t>
  </si>
  <si>
    <t>244 Hours</t>
  </si>
  <si>
    <t>245 Hours</t>
  </si>
  <si>
    <t>246 Hours</t>
  </si>
  <si>
    <t>247 Hours</t>
  </si>
  <si>
    <t>248 Hours</t>
  </si>
  <si>
    <t>249 Hours</t>
  </si>
  <si>
    <t>250 Hours</t>
  </si>
  <si>
    <t>251 Hours</t>
  </si>
  <si>
    <t>252 Hours</t>
  </si>
  <si>
    <t>253 Hours</t>
  </si>
  <si>
    <t>254 Hours</t>
  </si>
  <si>
    <t>255 Hours</t>
  </si>
  <si>
    <t>256 Hours</t>
  </si>
  <si>
    <t>257 Hours</t>
  </si>
  <si>
    <t>258 Hours</t>
  </si>
  <si>
    <t>259 Hours</t>
  </si>
  <si>
    <t>260 Hours</t>
  </si>
  <si>
    <t>261 Hours</t>
  </si>
  <si>
    <t>262 Hours</t>
  </si>
  <si>
    <t>263 Hours</t>
  </si>
  <si>
    <t>264 Hours</t>
  </si>
  <si>
    <t>265 Hours</t>
  </si>
  <si>
    <t>266 Hours</t>
  </si>
  <si>
    <t>267 Hours</t>
  </si>
  <si>
    <t>268 Hours</t>
  </si>
  <si>
    <t>269 Hours</t>
  </si>
  <si>
    <t>270 Hours</t>
  </si>
  <si>
    <t>271 Hours</t>
  </si>
  <si>
    <t>272 Hours</t>
  </si>
  <si>
    <t>273 Hours</t>
  </si>
  <si>
    <t>274 Hours</t>
  </si>
  <si>
    <t>275 Hours</t>
  </si>
  <si>
    <t>276 Hours</t>
  </si>
  <si>
    <t>277 Hours</t>
  </si>
  <si>
    <t>278 Hours</t>
  </si>
  <si>
    <t>279 Hours</t>
  </si>
  <si>
    <t>280 Hours</t>
  </si>
  <si>
    <t>281 Hours</t>
  </si>
  <si>
    <t>282 Hours</t>
  </si>
  <si>
    <t>283 Hours</t>
  </si>
  <si>
    <t>284 Hours</t>
  </si>
  <si>
    <t>285 Hours</t>
  </si>
  <si>
    <t>286 Hours</t>
  </si>
  <si>
    <t>287 Hours</t>
  </si>
  <si>
    <t>288 Hours</t>
  </si>
  <si>
    <t>289 Hours</t>
  </si>
  <si>
    <t>290 Hours</t>
  </si>
  <si>
    <t>291 Hours</t>
  </si>
  <si>
    <t>292 Hours</t>
  </si>
  <si>
    <t>293 Hours</t>
  </si>
  <si>
    <t>294 Hours</t>
  </si>
  <si>
    <t>295 Hours</t>
  </si>
  <si>
    <t>296 Hours</t>
  </si>
  <si>
    <t>297 Hours</t>
  </si>
  <si>
    <t>298 Hours</t>
  </si>
  <si>
    <t>299 Hours</t>
  </si>
  <si>
    <t>300 Hours</t>
  </si>
  <si>
    <t>301 Hours</t>
  </si>
  <si>
    <t>302 Hours</t>
  </si>
  <si>
    <t>303 Hours</t>
  </si>
  <si>
    <t>304 Hours</t>
  </si>
  <si>
    <t>305 Hours</t>
  </si>
  <si>
    <t>306 Hours</t>
  </si>
  <si>
    <t>307 Hours</t>
  </si>
  <si>
    <t>308 Hours</t>
  </si>
  <si>
    <t>309 Hours</t>
  </si>
  <si>
    <t>310 Hours</t>
  </si>
  <si>
    <t>311 Hours</t>
  </si>
  <si>
    <t>312 Hours</t>
  </si>
  <si>
    <t>313 Hours</t>
  </si>
  <si>
    <t>314 Hours</t>
  </si>
  <si>
    <t>315 Hours</t>
  </si>
  <si>
    <t>316 Hours</t>
  </si>
  <si>
    <t>317 Hours</t>
  </si>
  <si>
    <t>318 Hours</t>
  </si>
  <si>
    <t>319 Hours</t>
  </si>
  <si>
    <t>320 Hours</t>
  </si>
  <si>
    <t>321 Hours</t>
  </si>
  <si>
    <t>322 Hours</t>
  </si>
  <si>
    <t>323 Hours</t>
  </si>
  <si>
    <t>324 Hours</t>
  </si>
  <si>
    <t>325 Hours</t>
  </si>
  <si>
    <t>326 Hours</t>
  </si>
  <si>
    <t>327 Hours</t>
  </si>
  <si>
    <t>328 Hours</t>
  </si>
  <si>
    <t>329 Hours</t>
  </si>
  <si>
    <t>330 Hours</t>
  </si>
  <si>
    <t>331 Hours</t>
  </si>
  <si>
    <t>332 Hours</t>
  </si>
  <si>
    <t>333 Hours</t>
  </si>
  <si>
    <t>334 Hours</t>
  </si>
  <si>
    <t>335 Hours</t>
  </si>
  <si>
    <t>336 Hours</t>
  </si>
  <si>
    <t>337 Hours</t>
  </si>
  <si>
    <t>338 Hours</t>
  </si>
  <si>
    <t>339 Hours</t>
  </si>
  <si>
    <t>340 Hours</t>
  </si>
  <si>
    <t>341 Hours</t>
  </si>
  <si>
    <t>342 Hours</t>
  </si>
  <si>
    <t>343 Hours</t>
  </si>
  <si>
    <t>344 Hours</t>
  </si>
  <si>
    <t>345 Hours</t>
  </si>
  <si>
    <t>346 Hours</t>
  </si>
  <si>
    <t>347 Hours</t>
  </si>
  <si>
    <t>348 Hours</t>
  </si>
  <si>
    <t>349 Hours</t>
  </si>
  <si>
    <t>350 Hours</t>
  </si>
  <si>
    <t>351 Hours</t>
  </si>
  <si>
    <t>352 Hours</t>
  </si>
  <si>
    <t>353 Hours</t>
  </si>
  <si>
    <t>354 Hours</t>
  </si>
  <si>
    <t>355 Hours</t>
  </si>
  <si>
    <t>356 Hours</t>
  </si>
  <si>
    <t>357 Hours</t>
  </si>
  <si>
    <t>358 Hours</t>
  </si>
  <si>
    <t>359 Hours</t>
  </si>
  <si>
    <t>360 Hours</t>
  </si>
  <si>
    <t>361 Hours</t>
  </si>
  <si>
    <t>362 Hours</t>
  </si>
  <si>
    <t>363 Hours</t>
  </si>
  <si>
    <t>364 Hours</t>
  </si>
  <si>
    <t>365 Hours</t>
  </si>
  <si>
    <t>366 Hours</t>
  </si>
  <si>
    <t>367 Hours</t>
  </si>
  <si>
    <t>368 Hours</t>
  </si>
  <si>
    <t>369 Hours</t>
  </si>
  <si>
    <t>370 Hours</t>
  </si>
  <si>
    <t>371 Hours</t>
  </si>
  <si>
    <t>372 Hours</t>
  </si>
  <si>
    <t>373 Hours</t>
  </si>
  <si>
    <t>374 Hours</t>
  </si>
  <si>
    <t>375 Hours</t>
  </si>
  <si>
    <t>376 Hours</t>
  </si>
  <si>
    <t>377 Hours</t>
  </si>
  <si>
    <t>378 Hours</t>
  </si>
  <si>
    <t>379 Hours</t>
  </si>
  <si>
    <t>380 Hours</t>
  </si>
  <si>
    <t>381 Hours</t>
  </si>
  <si>
    <t>382 Hours</t>
  </si>
  <si>
    <t>383 Hours</t>
  </si>
  <si>
    <t>384 Hours</t>
  </si>
  <si>
    <t>385 Hours</t>
  </si>
  <si>
    <t>386 Hours</t>
  </si>
  <si>
    <t>387 Hours</t>
  </si>
  <si>
    <t>388 Hours</t>
  </si>
  <si>
    <t>389 Hours</t>
  </si>
  <si>
    <t>390 Hours</t>
  </si>
  <si>
    <t>391 Hours</t>
  </si>
  <si>
    <t>392 Hours</t>
  </si>
  <si>
    <t>393 Hours</t>
  </si>
  <si>
    <t>394 Hours</t>
  </si>
  <si>
    <t>395 Hours</t>
  </si>
  <si>
    <t>396 Hours</t>
  </si>
  <si>
    <t>397 Hours</t>
  </si>
  <si>
    <t>398 Hours</t>
  </si>
  <si>
    <t>399 Hours</t>
  </si>
  <si>
    <t>400 Hours</t>
  </si>
  <si>
    <t>401 Hours</t>
  </si>
  <si>
    <t>402 Hours</t>
  </si>
  <si>
    <t>403 Hours</t>
  </si>
  <si>
    <t>404 Hours</t>
  </si>
  <si>
    <t>405 Hours</t>
  </si>
  <si>
    <t>406 Hours</t>
  </si>
  <si>
    <t>407 Hours</t>
  </si>
  <si>
    <t>408 Hours</t>
  </si>
  <si>
    <t>409 Hours</t>
  </si>
  <si>
    <t>410 Hours</t>
  </si>
  <si>
    <t>411 Hours</t>
  </si>
  <si>
    <t>412 Hours</t>
  </si>
  <si>
    <t>413 Hours</t>
  </si>
  <si>
    <t>414 Hours</t>
  </si>
  <si>
    <t>415 Hours</t>
  </si>
  <si>
    <t>416 Hours</t>
  </si>
  <si>
    <t>417 Hours</t>
  </si>
  <si>
    <t>418 Hours</t>
  </si>
  <si>
    <t>419 Hours</t>
  </si>
  <si>
    <t>420 Hours</t>
  </si>
  <si>
    <t>421 Hours</t>
  </si>
  <si>
    <t>422 Hours</t>
  </si>
  <si>
    <t>423 Hours</t>
  </si>
  <si>
    <t>424 Hours</t>
  </si>
  <si>
    <t>425 Hours</t>
  </si>
  <si>
    <t>426 Hours</t>
  </si>
  <si>
    <t>427 Hours</t>
  </si>
  <si>
    <t>428 Hours</t>
  </si>
  <si>
    <t>429 Hours</t>
  </si>
  <si>
    <t>430 Hours</t>
  </si>
  <si>
    <t>431 Hours</t>
  </si>
  <si>
    <t>432 Hours</t>
  </si>
  <si>
    <t>433 Hours</t>
  </si>
  <si>
    <t>434 Hours</t>
  </si>
  <si>
    <t>435 Hours</t>
  </si>
  <si>
    <t>436 Hours</t>
  </si>
  <si>
    <t>437 Hours</t>
  </si>
  <si>
    <t>438 Hours</t>
  </si>
  <si>
    <t>439 Hours</t>
  </si>
  <si>
    <t>440 Hours</t>
  </si>
  <si>
    <t>441 Hours</t>
  </si>
  <si>
    <t>442 Hours</t>
  </si>
  <si>
    <t>443 Hours</t>
  </si>
  <si>
    <t>444 Hours</t>
  </si>
  <si>
    <t>445 Hours</t>
  </si>
  <si>
    <t>446 Hours</t>
  </si>
  <si>
    <t>447 Hours</t>
  </si>
  <si>
    <t>448 Hours</t>
  </si>
  <si>
    <t>449 Hours</t>
  </si>
  <si>
    <t>450 Hours</t>
  </si>
  <si>
    <t>451 Hours</t>
  </si>
  <si>
    <t>452 Hours</t>
  </si>
  <si>
    <t>453 Hours</t>
  </si>
  <si>
    <t>454 Hours</t>
  </si>
  <si>
    <t>455 Hours</t>
  </si>
  <si>
    <t>456 Hours</t>
  </si>
  <si>
    <t>457 Hours</t>
  </si>
  <si>
    <t>458 Hours</t>
  </si>
  <si>
    <t>459 Hours</t>
  </si>
  <si>
    <t>460 Hours</t>
  </si>
  <si>
    <t>461 Hours</t>
  </si>
  <si>
    <t>462 Hours</t>
  </si>
  <si>
    <t>463 Hours</t>
  </si>
  <si>
    <t>464 Hours</t>
  </si>
  <si>
    <t>465 Hours</t>
  </si>
  <si>
    <t>466 Hours</t>
  </si>
  <si>
    <t>467 Hours</t>
  </si>
  <si>
    <t>468 Hours</t>
  </si>
  <si>
    <t>469 Hours</t>
  </si>
  <si>
    <t>470 Hours</t>
  </si>
  <si>
    <t>471 Hours</t>
  </si>
  <si>
    <t>472 Hours</t>
  </si>
  <si>
    <t>473 Hours</t>
  </si>
  <si>
    <t>474 Hours</t>
  </si>
  <si>
    <t>475 Hours</t>
  </si>
  <si>
    <t>476 Hours</t>
  </si>
  <si>
    <t>477 Hours</t>
  </si>
  <si>
    <t>478 Hours</t>
  </si>
  <si>
    <t>479 Hours</t>
  </si>
  <si>
    <t>480 Hours</t>
  </si>
  <si>
    <t>481 Hours</t>
  </si>
  <si>
    <t>482 Hours</t>
  </si>
  <si>
    <t>483 Hours</t>
  </si>
  <si>
    <t>484 Hours</t>
  </si>
  <si>
    <t>485 Hours</t>
  </si>
  <si>
    <t>486 Hours</t>
  </si>
  <si>
    <t>487 Hours</t>
  </si>
  <si>
    <t>488 Hours</t>
  </si>
  <si>
    <t>489 Hours</t>
  </si>
  <si>
    <t>490 Hours</t>
  </si>
  <si>
    <t>491 Hours</t>
  </si>
  <si>
    <t>492 Hours</t>
  </si>
  <si>
    <t>493 Hours</t>
  </si>
  <si>
    <t>494 Hours</t>
  </si>
  <si>
    <t>495 Hours</t>
  </si>
  <si>
    <t>496 Hours</t>
  </si>
  <si>
    <t>497 Hours</t>
  </si>
  <si>
    <t>498 Hours</t>
  </si>
  <si>
    <t>499 Hours</t>
  </si>
  <si>
    <t>500 Hours</t>
  </si>
  <si>
    <t>501 Hours</t>
  </si>
  <si>
    <t>502 Hours</t>
  </si>
  <si>
    <t>503 Hours</t>
  </si>
  <si>
    <t>504 Hours</t>
  </si>
  <si>
    <t>505 Hours</t>
  </si>
  <si>
    <t>506 Hours</t>
  </si>
  <si>
    <t>507 Hours</t>
  </si>
  <si>
    <t>508 Hours</t>
  </si>
  <si>
    <t>509 Hours</t>
  </si>
  <si>
    <t>510 Hours</t>
  </si>
  <si>
    <t>511 Hours</t>
  </si>
  <si>
    <t>512 Hours</t>
  </si>
  <si>
    <t>513 Hours</t>
  </si>
  <si>
    <t>514 Hours</t>
  </si>
  <si>
    <t>515 Hours</t>
  </si>
  <si>
    <t>516 Hours</t>
  </si>
  <si>
    <t>517 Hours</t>
  </si>
  <si>
    <t>518 Hours</t>
  </si>
  <si>
    <t>519 Hours</t>
  </si>
  <si>
    <t>520 Hours</t>
  </si>
  <si>
    <t>521 Hours</t>
  </si>
  <si>
    <t>522 Hours</t>
  </si>
  <si>
    <t>523 Hours</t>
  </si>
  <si>
    <t>524 Hours</t>
  </si>
  <si>
    <t>525 Hours</t>
  </si>
  <si>
    <t>526 Hours</t>
  </si>
  <si>
    <t>527 Hours</t>
  </si>
  <si>
    <t>528 Hours</t>
  </si>
  <si>
    <t>529 Hours</t>
  </si>
  <si>
    <t>530 Hours</t>
  </si>
  <si>
    <t>531 Hours</t>
  </si>
  <si>
    <t>532 Hours</t>
  </si>
  <si>
    <t>533 Hours</t>
  </si>
  <si>
    <t>534 Hours</t>
  </si>
  <si>
    <t>535 Hours</t>
  </si>
  <si>
    <t>536 Hours</t>
  </si>
  <si>
    <t>537 Hours</t>
  </si>
  <si>
    <t>538 Hours</t>
  </si>
  <si>
    <t>539 Hours</t>
  </si>
  <si>
    <t>540 Hours</t>
  </si>
  <si>
    <t>541 Hours</t>
  </si>
  <si>
    <t>542 Hours</t>
  </si>
  <si>
    <t>543 Hours</t>
  </si>
  <si>
    <t>544 Hours</t>
  </si>
  <si>
    <t>545 Hours</t>
  </si>
  <si>
    <t>546 Hours</t>
  </si>
  <si>
    <t>547 Hours</t>
  </si>
  <si>
    <t>548 Hours</t>
  </si>
  <si>
    <t>549 Hours</t>
  </si>
  <si>
    <t>550 Hours</t>
  </si>
  <si>
    <t>551 Hours</t>
  </si>
  <si>
    <t>552 Hours</t>
  </si>
  <si>
    <t>553 Hours</t>
  </si>
  <si>
    <t>554 Hours</t>
  </si>
  <si>
    <t>555 Hours</t>
  </si>
  <si>
    <t>556 Hours</t>
  </si>
  <si>
    <t>557 Hours</t>
  </si>
  <si>
    <t>558 Hours</t>
  </si>
  <si>
    <t>559 Hours</t>
  </si>
  <si>
    <t>560 Hours</t>
  </si>
  <si>
    <t>561 Hours</t>
  </si>
  <si>
    <t>562 Hours</t>
  </si>
  <si>
    <t>563 Hours</t>
  </si>
  <si>
    <t>564 Hours</t>
  </si>
  <si>
    <t>565 Hours</t>
  </si>
  <si>
    <t>566 Hours</t>
  </si>
  <si>
    <t>567 Hours</t>
  </si>
  <si>
    <t>568 Hours</t>
  </si>
  <si>
    <t>569 Hours</t>
  </si>
  <si>
    <t>570 Hours</t>
  </si>
  <si>
    <t>571 Hours</t>
  </si>
  <si>
    <t>572 Hours</t>
  </si>
  <si>
    <t>573 Hours</t>
  </si>
  <si>
    <t>574 Hours</t>
  </si>
  <si>
    <t>575 Hours</t>
  </si>
  <si>
    <t>576 Hours</t>
  </si>
  <si>
    <t>577 Hours</t>
  </si>
  <si>
    <t>578 Hours</t>
  </si>
  <si>
    <t>579 Hours</t>
  </si>
  <si>
    <t>580 Hours</t>
  </si>
  <si>
    <t>581 Hours</t>
  </si>
  <si>
    <t>582 Hours</t>
  </si>
  <si>
    <t>583 Hours</t>
  </si>
  <si>
    <t>584 Hours</t>
  </si>
  <si>
    <t>585 Hours</t>
  </si>
  <si>
    <t>586 Hours</t>
  </si>
  <si>
    <t>587 Hours</t>
  </si>
  <si>
    <t>588 Hours</t>
  </si>
  <si>
    <t>589 Hours</t>
  </si>
  <si>
    <t>590 Hours</t>
  </si>
  <si>
    <t>591 Hours</t>
  </si>
  <si>
    <t>592 Hours</t>
  </si>
  <si>
    <t>593 Hours</t>
  </si>
  <si>
    <t>594 Hours</t>
  </si>
  <si>
    <t>595 Hours</t>
  </si>
  <si>
    <t>596 Hours</t>
  </si>
  <si>
    <t>597 Hours</t>
  </si>
  <si>
    <t>598 Hours</t>
  </si>
  <si>
    <t>599 Hours</t>
  </si>
  <si>
    <t>600 Hours</t>
  </si>
  <si>
    <t>601 Hours</t>
  </si>
  <si>
    <t>602 Hours</t>
  </si>
  <si>
    <t>603 Hours</t>
  </si>
  <si>
    <t>604 Hours</t>
  </si>
  <si>
    <t>605 Hours</t>
  </si>
  <si>
    <t>606 Hours</t>
  </si>
  <si>
    <t>607 Hours</t>
  </si>
  <si>
    <t>608 Hours</t>
  </si>
  <si>
    <t>609 Hours</t>
  </si>
  <si>
    <t>610 Hours</t>
  </si>
  <si>
    <t>611 Hours</t>
  </si>
  <si>
    <t>612 Hours</t>
  </si>
  <si>
    <t>613 Hours</t>
  </si>
  <si>
    <t>614 Hours</t>
  </si>
  <si>
    <t>615 Hours</t>
  </si>
  <si>
    <t>616 Hours</t>
  </si>
  <si>
    <t>617 Hours</t>
  </si>
  <si>
    <t>618 Hours</t>
  </si>
  <si>
    <t>619 Hours</t>
  </si>
  <si>
    <t>620 Hours</t>
  </si>
  <si>
    <t>621 Hours</t>
  </si>
  <si>
    <t>622 Hours</t>
  </si>
  <si>
    <t>623 Hours</t>
  </si>
  <si>
    <t>624 Hours</t>
  </si>
  <si>
    <t>625 Hours</t>
  </si>
  <si>
    <t>626 Hours</t>
  </si>
  <si>
    <t>627 Hours</t>
  </si>
  <si>
    <t>628 Hours</t>
  </si>
  <si>
    <t>629 Hours</t>
  </si>
  <si>
    <t>630 Hours</t>
  </si>
  <si>
    <t>631 Hours</t>
  </si>
  <si>
    <t>632 Hours</t>
  </si>
  <si>
    <t>633 Hours</t>
  </si>
  <si>
    <t>634 Hours</t>
  </si>
  <si>
    <t>635 Hours</t>
  </si>
  <si>
    <t>636 Hours</t>
  </si>
  <si>
    <t>637 Hours</t>
  </si>
  <si>
    <t>638 Hours</t>
  </si>
  <si>
    <t>639 Hours</t>
  </si>
  <si>
    <t>640 Hours</t>
  </si>
  <si>
    <t>641 Hours</t>
  </si>
  <si>
    <t>642 Hours</t>
  </si>
  <si>
    <t>643 Hours</t>
  </si>
  <si>
    <t>644 Hours</t>
  </si>
  <si>
    <t>645 Hours</t>
  </si>
  <si>
    <t>646 Hours</t>
  </si>
  <si>
    <t>647 Hours</t>
  </si>
  <si>
    <t>648 Hours</t>
  </si>
  <si>
    <t>649 Hours</t>
  </si>
  <si>
    <t>650 Hours</t>
  </si>
  <si>
    <t>651 Hours</t>
  </si>
  <si>
    <t>652 Hours</t>
  </si>
  <si>
    <t>653 Hours</t>
  </si>
  <si>
    <t>654 Hours</t>
  </si>
  <si>
    <t>655 Hours</t>
  </si>
  <si>
    <t>656 Hours</t>
  </si>
  <si>
    <t>657 Hours</t>
  </si>
  <si>
    <t>658 Hours</t>
  </si>
  <si>
    <t>659 Hours</t>
  </si>
  <si>
    <t>660 Hours</t>
  </si>
  <si>
    <t>661 Hours</t>
  </si>
  <si>
    <t>662 Hours</t>
  </si>
  <si>
    <t>663 Hours</t>
  </si>
  <si>
    <t>664 Hours</t>
  </si>
  <si>
    <t>665 Hours</t>
  </si>
  <si>
    <t>666 Hours</t>
  </si>
  <si>
    <t>667 Hours</t>
  </si>
  <si>
    <t>668 Hours</t>
  </si>
  <si>
    <t>669 Hours</t>
  </si>
  <si>
    <t>670 Hours</t>
  </si>
  <si>
    <t>671 Hours</t>
  </si>
  <si>
    <t>672 Hours</t>
  </si>
  <si>
    <t>673 Hours</t>
  </si>
  <si>
    <t>674 Hours</t>
  </si>
  <si>
    <t>675 Hours</t>
  </si>
  <si>
    <t>676 Hours</t>
  </si>
  <si>
    <t>677 Hours</t>
  </si>
  <si>
    <t>678 Hours</t>
  </si>
  <si>
    <t>679 Hours</t>
  </si>
  <si>
    <t>680 Hours</t>
  </si>
  <si>
    <t>681 Hours</t>
  </si>
  <si>
    <t>682 Hours</t>
  </si>
  <si>
    <t>683 Hours</t>
  </si>
  <si>
    <t>684 Hours</t>
  </si>
  <si>
    <t>685 Hours</t>
  </si>
  <si>
    <t>686 Hours</t>
  </si>
  <si>
    <t>687 Hours</t>
  </si>
  <si>
    <t>688 Hours</t>
  </si>
  <si>
    <t>689 Hours</t>
  </si>
  <si>
    <t>690 Hours</t>
  </si>
  <si>
    <t>691 Hours</t>
  </si>
  <si>
    <t>692 Hours</t>
  </si>
  <si>
    <t>693 Hours</t>
  </si>
  <si>
    <t>694 Hours</t>
  </si>
  <si>
    <t>695 Hours</t>
  </si>
  <si>
    <t>696 Hours</t>
  </si>
  <si>
    <t>697 Hours</t>
  </si>
  <si>
    <t>698 Hours</t>
  </si>
  <si>
    <t>699 Hours</t>
  </si>
  <si>
    <t>700 Hours</t>
  </si>
  <si>
    <t>701 Hours</t>
  </si>
  <si>
    <t>702 Hours</t>
  </si>
  <si>
    <t>703 Hours</t>
  </si>
  <si>
    <t>704 Hours</t>
  </si>
  <si>
    <t>705 Hours</t>
  </si>
  <si>
    <t>706 Hours</t>
  </si>
  <si>
    <t>707 Hours</t>
  </si>
  <si>
    <t>708 Hours</t>
  </si>
  <si>
    <t>709 Hours</t>
  </si>
  <si>
    <t>710 Hours</t>
  </si>
  <si>
    <t>711 Hours</t>
  </si>
  <si>
    <t>712 Hours</t>
  </si>
  <si>
    <t>713 Hours</t>
  </si>
  <si>
    <t>714 Hours</t>
  </si>
  <si>
    <t>715 Hours</t>
  </si>
  <si>
    <t>716 Hours</t>
  </si>
  <si>
    <t>717 Hours</t>
  </si>
  <si>
    <t>718 Hours</t>
  </si>
  <si>
    <t>719 Hours</t>
  </si>
  <si>
    <t>720 Hours</t>
  </si>
  <si>
    <t>721 Hours</t>
  </si>
  <si>
    <t>722 Hours</t>
  </si>
  <si>
    <t>723 Hours</t>
  </si>
  <si>
    <t>724 Hours</t>
  </si>
  <si>
    <t>725 Hours</t>
  </si>
  <si>
    <t>726 Hours</t>
  </si>
  <si>
    <t>727 Hours</t>
  </si>
  <si>
    <t>728 Hours</t>
  </si>
  <si>
    <t>729 Hours</t>
  </si>
  <si>
    <t>730 Hours</t>
  </si>
  <si>
    <t>731 Hours</t>
  </si>
  <si>
    <t>732 Hours</t>
  </si>
  <si>
    <t>733 Hours</t>
  </si>
  <si>
    <t>734 Hours</t>
  </si>
  <si>
    <t>735 Hours</t>
  </si>
  <si>
    <t>736 Hours</t>
  </si>
  <si>
    <t>737 Hours</t>
  </si>
  <si>
    <t>738 Hours</t>
  </si>
  <si>
    <t>739 Hours</t>
  </si>
  <si>
    <t>740 Hours</t>
  </si>
  <si>
    <t>741 Hours</t>
  </si>
  <si>
    <t>742 Hours</t>
  </si>
  <si>
    <t>743 Hours</t>
  </si>
  <si>
    <t>744 Hours</t>
  </si>
  <si>
    <t>745 Hours</t>
  </si>
  <si>
    <t>746 Hours</t>
  </si>
  <si>
    <t>747 Hours</t>
  </si>
  <si>
    <t>748 Hours</t>
  </si>
  <si>
    <t>749 Hours</t>
  </si>
  <si>
    <t>750 Hours</t>
  </si>
  <si>
    <t>751 Hours</t>
  </si>
  <si>
    <t>752 Hours</t>
  </si>
  <si>
    <t>753 Hours</t>
  </si>
  <si>
    <t>754 Hours</t>
  </si>
  <si>
    <t>755 Hours</t>
  </si>
  <si>
    <t>756 Hours</t>
  </si>
  <si>
    <t>757 Hours</t>
  </si>
  <si>
    <t>758 Hours</t>
  </si>
  <si>
    <t>759 Hours</t>
  </si>
  <si>
    <t>760 Hours</t>
  </si>
  <si>
    <t>761 Hours</t>
  </si>
  <si>
    <t>762 Hours</t>
  </si>
  <si>
    <t>763 Hours</t>
  </si>
  <si>
    <t>764 Hours</t>
  </si>
  <si>
    <t>765 Hours</t>
  </si>
  <si>
    <t>766 Hours</t>
  </si>
  <si>
    <t>767 Hours</t>
  </si>
  <si>
    <t>768 Hours</t>
  </si>
  <si>
    <t>769 Hours</t>
  </si>
  <si>
    <t>770 Hours</t>
  </si>
  <si>
    <t>771 Hours</t>
  </si>
  <si>
    <t>772 Hours</t>
  </si>
  <si>
    <t>773 Hours</t>
  </si>
  <si>
    <t>774 Hours</t>
  </si>
  <si>
    <t>775 Hours</t>
  </si>
  <si>
    <t>776 Hours</t>
  </si>
  <si>
    <t>777 Hours</t>
  </si>
  <si>
    <t>778 Hours</t>
  </si>
  <si>
    <t>779 Hours</t>
  </si>
  <si>
    <t>780 Hours</t>
  </si>
  <si>
    <t>781 Hours</t>
  </si>
  <si>
    <t>782 Hours</t>
  </si>
  <si>
    <t>783 Hours</t>
  </si>
  <si>
    <t>784 Hours</t>
  </si>
  <si>
    <t>785 Hours</t>
  </si>
  <si>
    <t>786 Hours</t>
  </si>
  <si>
    <t>787 Hours</t>
  </si>
  <si>
    <t>788 Hours</t>
  </si>
  <si>
    <t>789 Hours</t>
  </si>
  <si>
    <t>790 Hours</t>
  </si>
  <si>
    <t>791 Hours</t>
  </si>
  <si>
    <t>792 Hours</t>
  </si>
  <si>
    <t>793 Hours</t>
  </si>
  <si>
    <t>794 Hours</t>
  </si>
  <si>
    <t>795 Hours</t>
  </si>
  <si>
    <t>796 Hours</t>
  </si>
  <si>
    <t>797 Hours</t>
  </si>
  <si>
    <t>798 Hours</t>
  </si>
  <si>
    <t>799 Hours</t>
  </si>
  <si>
    <t>800 Hours</t>
  </si>
  <si>
    <t>801 Hours</t>
  </si>
  <si>
    <t>802 Hours</t>
  </si>
  <si>
    <t>803 Hours</t>
  </si>
  <si>
    <t>804 Hours</t>
  </si>
  <si>
    <t>805 Hours</t>
  </si>
  <si>
    <t>806 Hours</t>
  </si>
  <si>
    <t>807 Hours</t>
  </si>
  <si>
    <t>808 Hours</t>
  </si>
  <si>
    <t>809 Hours</t>
  </si>
  <si>
    <t>810 Hours</t>
  </si>
  <si>
    <t>811 Hours</t>
  </si>
  <si>
    <t>812 Hours</t>
  </si>
  <si>
    <t>813 Hours</t>
  </si>
  <si>
    <t>814 Hours</t>
  </si>
  <si>
    <t>815 Hours</t>
  </si>
  <si>
    <t>816 Hours</t>
  </si>
  <si>
    <t>817 Hours</t>
  </si>
  <si>
    <t>818 Hours</t>
  </si>
  <si>
    <t>819 Hours</t>
  </si>
  <si>
    <t>820 Hours</t>
  </si>
  <si>
    <t>821 Hours</t>
  </si>
  <si>
    <t>822 Hours</t>
  </si>
  <si>
    <t>823 Hours</t>
  </si>
  <si>
    <t>824 Hours</t>
  </si>
  <si>
    <t>825 Hours</t>
  </si>
  <si>
    <t>826 Hours</t>
  </si>
  <si>
    <t>827 Hours</t>
  </si>
  <si>
    <t>828 Hours</t>
  </si>
  <si>
    <t>829 Hours</t>
  </si>
  <si>
    <t>830 Hours</t>
  </si>
  <si>
    <t>831 Hours</t>
  </si>
  <si>
    <t>832 Hours</t>
  </si>
  <si>
    <t>833 Hours</t>
  </si>
  <si>
    <t>834 Hours</t>
  </si>
  <si>
    <t>835 Hours</t>
  </si>
  <si>
    <t>836 Hours</t>
  </si>
  <si>
    <t>837 Hours</t>
  </si>
  <si>
    <t>838 Hours</t>
  </si>
  <si>
    <t>839 Hours</t>
  </si>
  <si>
    <t>840 Hours</t>
  </si>
  <si>
    <t>841 Hours</t>
  </si>
  <si>
    <t>842 Hours</t>
  </si>
  <si>
    <t>843 Hours</t>
  </si>
  <si>
    <t>844 Hours</t>
  </si>
  <si>
    <t>845 Hours</t>
  </si>
  <si>
    <t>846 Hours</t>
  </si>
  <si>
    <t>847 Hours</t>
  </si>
  <si>
    <t>848 Hours</t>
  </si>
  <si>
    <t>849 Hours</t>
  </si>
  <si>
    <t>850 Hours</t>
  </si>
  <si>
    <t>851 Hours</t>
  </si>
  <si>
    <t>852 Hours</t>
  </si>
  <si>
    <t>853 Hours</t>
  </si>
  <si>
    <t>854 Hours</t>
  </si>
  <si>
    <t>855 Hours</t>
  </si>
  <si>
    <t>856 Hours</t>
  </si>
  <si>
    <t>857 Hours</t>
  </si>
  <si>
    <t>858 Hours</t>
  </si>
  <si>
    <t>859 Hours</t>
  </si>
  <si>
    <t>860 Hours</t>
  </si>
  <si>
    <t>861 Hours</t>
  </si>
  <si>
    <t>862 Hours</t>
  </si>
  <si>
    <t>863 Hours</t>
  </si>
  <si>
    <t>864 Hours</t>
  </si>
  <si>
    <t>865 Hours</t>
  </si>
  <si>
    <t>866 Hours</t>
  </si>
  <si>
    <t>867 Hours</t>
  </si>
  <si>
    <t>868 Hours</t>
  </si>
  <si>
    <t>869 Hours</t>
  </si>
  <si>
    <t>870 Hours</t>
  </si>
  <si>
    <t>871 Hours</t>
  </si>
  <si>
    <t>872 Hours</t>
  </si>
  <si>
    <t>873 Hours</t>
  </si>
  <si>
    <t>874 Hours</t>
  </si>
  <si>
    <t>875 Hours</t>
  </si>
  <si>
    <t>876 Hours</t>
  </si>
  <si>
    <t>877 Hours</t>
  </si>
  <si>
    <t>878 Hours</t>
  </si>
  <si>
    <t>879 Hours</t>
  </si>
  <si>
    <t>880 Hours</t>
  </si>
  <si>
    <t>881 Hours</t>
  </si>
  <si>
    <t>882 Hours</t>
  </si>
  <si>
    <t>883 Hours</t>
  </si>
  <si>
    <t>884 Hours</t>
  </si>
  <si>
    <t>885 Hours</t>
  </si>
  <si>
    <t>886 Hours</t>
  </si>
  <si>
    <t>887 Hours</t>
  </si>
  <si>
    <t>888 Hours</t>
  </si>
  <si>
    <t>889 Hours</t>
  </si>
  <si>
    <t>890 Hours</t>
  </si>
  <si>
    <t>891 Hours</t>
  </si>
  <si>
    <t>892 Hours</t>
  </si>
  <si>
    <t>893 Hours</t>
  </si>
  <si>
    <t>894 Hours</t>
  </si>
  <si>
    <t>895 Hours</t>
  </si>
  <si>
    <t>896 Hours</t>
  </si>
  <si>
    <t>897 Hours</t>
  </si>
  <si>
    <t>898 Hours</t>
  </si>
  <si>
    <t>899 Hours</t>
  </si>
  <si>
    <t>900 Hours</t>
  </si>
  <si>
    <t>901 Hours</t>
  </si>
  <si>
    <t>902 Hours</t>
  </si>
  <si>
    <t>903 Hours</t>
  </si>
  <si>
    <t>904 Hours</t>
  </si>
  <si>
    <t>905 Hours</t>
  </si>
  <si>
    <t>906 Hours</t>
  </si>
  <si>
    <t>907 Hours</t>
  </si>
  <si>
    <t>908 Hours</t>
  </si>
  <si>
    <t>909 Hours</t>
  </si>
  <si>
    <t>910 Hours</t>
  </si>
  <si>
    <t>911 Hours</t>
  </si>
  <si>
    <t>912 Hours</t>
  </si>
  <si>
    <t>913 Hours</t>
  </si>
  <si>
    <t>914 Hours</t>
  </si>
  <si>
    <t>915 Hours</t>
  </si>
  <si>
    <t>916 Hours</t>
  </si>
  <si>
    <t>917 Hours</t>
  </si>
  <si>
    <t>918 Hours</t>
  </si>
  <si>
    <t>919 Hours</t>
  </si>
  <si>
    <t>920 Hours</t>
  </si>
  <si>
    <t>921 Hours</t>
  </si>
  <si>
    <t>922 Hours</t>
  </si>
  <si>
    <t>923 Hours</t>
  </si>
  <si>
    <t>924 Hours</t>
  </si>
  <si>
    <t>925 Hours</t>
  </si>
  <si>
    <t>926 Hours</t>
  </si>
  <si>
    <t>927 Hours</t>
  </si>
  <si>
    <t>928 Hours</t>
  </si>
  <si>
    <t>929 Hours</t>
  </si>
  <si>
    <t>930 Hours</t>
  </si>
  <si>
    <t>931 Hours</t>
  </si>
  <si>
    <t>932 Hours</t>
  </si>
  <si>
    <t>933 Hours</t>
  </si>
  <si>
    <t>934 Hours</t>
  </si>
  <si>
    <t>935 Hours</t>
  </si>
  <si>
    <t>936 Hours</t>
  </si>
  <si>
    <t>937 Hours</t>
  </si>
  <si>
    <t>938 Hours</t>
  </si>
  <si>
    <t>939 Hours</t>
  </si>
  <si>
    <t>940 Hours</t>
  </si>
  <si>
    <t>941 Hours</t>
  </si>
  <si>
    <t>942 Hours</t>
  </si>
  <si>
    <t>943 Hours</t>
  </si>
  <si>
    <t>944 Hours</t>
  </si>
  <si>
    <t>945 Hours</t>
  </si>
  <si>
    <t>946 Hours</t>
  </si>
  <si>
    <t>947 Hours</t>
  </si>
  <si>
    <t>948 Hours</t>
  </si>
  <si>
    <t>949 Hours</t>
  </si>
  <si>
    <t>950 Hours</t>
  </si>
  <si>
    <t>951 Hours</t>
  </si>
  <si>
    <t>952 Hours</t>
  </si>
  <si>
    <t>953 Hours</t>
  </si>
  <si>
    <t>954 Hours</t>
  </si>
  <si>
    <t>955 Hours</t>
  </si>
  <si>
    <t>956 Hours</t>
  </si>
  <si>
    <t>957 Hours</t>
  </si>
  <si>
    <t>958 Hours</t>
  </si>
  <si>
    <t>959 Hours</t>
  </si>
  <si>
    <t>960 Hours</t>
  </si>
  <si>
    <t>961 Hours</t>
  </si>
  <si>
    <t>962 Hours</t>
  </si>
  <si>
    <t>963 Hours</t>
  </si>
  <si>
    <t>964 Hours</t>
  </si>
  <si>
    <t>965 Hours</t>
  </si>
  <si>
    <t>966 Hours</t>
  </si>
  <si>
    <t>967 Hours</t>
  </si>
  <si>
    <t>968 Hours</t>
  </si>
  <si>
    <t>969 Hours</t>
  </si>
  <si>
    <t>970 Hours</t>
  </si>
  <si>
    <t>971 Hours</t>
  </si>
  <si>
    <t>972 Hours</t>
  </si>
  <si>
    <t>973 Hours</t>
  </si>
  <si>
    <t>974 Hours</t>
  </si>
  <si>
    <t>975 Hours</t>
  </si>
  <si>
    <t>976 Hours</t>
  </si>
  <si>
    <t>977 Hours</t>
  </si>
  <si>
    <t>978 Hours</t>
  </si>
  <si>
    <t>979 Hours</t>
  </si>
  <si>
    <t>980 Hours</t>
  </si>
  <si>
    <t>981 Hours</t>
  </si>
  <si>
    <t>982 Hours</t>
  </si>
  <si>
    <t>983 Hours</t>
  </si>
  <si>
    <t>984 Hours</t>
  </si>
  <si>
    <t>985 Hours</t>
  </si>
  <si>
    <t>986 Hours</t>
  </si>
  <si>
    <t>987 Hours</t>
  </si>
  <si>
    <t>988 Hours</t>
  </si>
  <si>
    <t>989 Hours</t>
  </si>
  <si>
    <t>990 Hours</t>
  </si>
  <si>
    <t>991 Hours</t>
  </si>
  <si>
    <t>992 Hours</t>
  </si>
  <si>
    <t>993 Hours</t>
  </si>
  <si>
    <t>994 Hours</t>
  </si>
  <si>
    <t>995 Hours</t>
  </si>
  <si>
    <t>996 Hours</t>
  </si>
  <si>
    <t>997 Hours</t>
  </si>
  <si>
    <t>998 Hours</t>
  </si>
  <si>
    <t>999 Hours</t>
  </si>
  <si>
    <t>1000 Hours</t>
  </si>
  <si>
    <t>Setting</t>
  </si>
  <si>
    <t>Value</t>
  </si>
  <si>
    <t>Catalog CSV URL</t>
  </si>
  <si>
    <t>https://raw.githubusercontent.com/freddogg23/smwc_tracker/main/data/SMWCentral_All_Moderated_Hacks.csv</t>
  </si>
  <si>
    <t>Version JSON URL</t>
  </si>
  <si>
    <t>https://raw.githubusercontent.com/freddogg23/smwc_tracker/main/data/version.json</t>
  </si>
  <si>
    <t>Workbook Version</t>
  </si>
  <si>
    <t>2.1.0</t>
  </si>
  <si>
    <t>Official Hack Count</t>
  </si>
  <si>
    <t>2026.07.26</t>
  </si>
  <si>
    <t>Initial embedded catalog</t>
  </si>
  <si>
    <t>Repository URL</t>
  </si>
  <si>
    <t>https://github.com/freddogg23/smwc_tracker</t>
  </si>
  <si>
    <t>Protection Password</t>
  </si>
  <si>
    <t>SMWCommunity2026</t>
  </si>
  <si>
    <t>SMW ROM Hack Tracker — Community Edition</t>
  </si>
  <si>
    <t>Step</t>
  </si>
  <si>
    <t>Instructions</t>
  </si>
  <si>
    <t>1</t>
  </si>
  <si>
    <t>Choose a hack from the dropdown on the Tracker sheet.</t>
  </si>
  <si>
    <t>2</t>
  </si>
  <si>
    <t>The title, creator, exits, difficulty, type, and official links fill automatically.</t>
  </si>
  <si>
    <t>3</t>
  </si>
  <si>
    <t>Enter your dates, completion status, rating, playtime, and notes.</t>
  </si>
  <si>
    <t>4</t>
  </si>
  <si>
    <t>Click Refresh Hacks on the Dashboard whenever you want the newest official catalog.</t>
  </si>
  <si>
    <t>5</t>
  </si>
  <si>
    <t>Use Add Custom Hack for hacks that are not in the official SMWCentral catalog.</t>
  </si>
  <si>
    <t>6</t>
  </si>
  <si>
    <t>Refreshes never overwrite Tracker entries or custom hacks.</t>
  </si>
  <si>
    <t>Playtime</t>
  </si>
  <si>
    <t>Direct Download</t>
  </si>
  <si>
    <t>Select a ROM Hack</t>
  </si>
  <si>
    <t>Browse the full database without adding a row to your tracker</t>
  </si>
  <si>
    <t>SMWCentral ROM Hack Finder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</si>
</sst>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"/>
    <numFmt numFmtId="165" formatCode="mmm\ d\,\ yyyy"/>
    <numFmt numFmtId="166" formatCode="0.0%"/>
    <numFmt numFmtId="167" formatCode="0.0"/>
    <numFmt numFmtId="168" formatCode="mmm\ d\,\ yyyy\ h:mm\ AM/PM"/>
    <numFmt numFmtId="169" formatCode="mm/dd/yyyy"/>
    <numFmt numFmtId="170" formatCode="[h]:mm"/>
  </numFmts>
  <fonts count="34">
    <font>
      <sz val="11"/>
      <name val="Carlito"/>
    </font>
    <font>
      <b/>
      <sz val="10"/>
      <color rgb="FFFFFFFF"/>
      <name val="Carlito"/>
    </font>
    <font>
      <sz val="10"/>
      <color rgb="FF25364A"/>
      <name val="Carlito"/>
    </font>
    <font>
      <b/>
      <sz val="10"/>
      <color rgb="FF14213D"/>
      <name val="Carlito"/>
    </font>
    <font>
      <b/>
      <sz val="24"/>
      <color rgb="FFFFFFFF"/>
      <name val="Carlito"/>
    </font>
    <font>
      <i/>
      <sz val="11"/>
      <color rgb="FF526273"/>
      <name val="Carlito"/>
    </font>
    <font>
      <b/>
      <sz val="18"/>
      <color rgb="FF14213D"/>
      <name val="Carlito"/>
    </font>
    <font>
      <b/>
      <sz val="18"/>
      <color rgb="FF1F4E78"/>
      <name val="Carlito"/>
    </font>
    <font>
      <b/>
      <sz val="18"/>
      <color rgb="FF375623"/>
      <name val="Carlito"/>
    </font>
    <font>
      <b/>
      <sz val="18"/>
      <color rgb="FF5F497A"/>
      <name val="Carlito"/>
    </font>
    <font>
      <b/>
      <sz val="18"/>
      <color rgb="FF7F6000"/>
      <name val="Carlito"/>
    </font>
    <font>
      <b/>
      <sz val="18"/>
      <color rgb="FF9C3D10"/>
      <name val="Carlito"/>
    </font>
    <font>
      <b/>
      <sz val="18"/>
      <color rgb="FF25364A"/>
      <name val="Carlito"/>
    </font>
    <font>
      <sz val="11"/>
      <color rgb="FF25364A"/>
      <name val="Carlito"/>
    </font>
    <font>
      <b/>
      <sz val="18"/>
      <color rgb="FFFFFFFF"/>
      <name val="Carlito"/>
    </font>
    <font>
      <b/>
      <sz val="13"/>
      <color rgb="FFFFFFFF"/>
      <name val="Carlito"/>
    </font>
    <font>
      <b/>
      <sz val="15"/>
      <color rgb="FFFFFFFF"/>
      <name val="Carlito"/>
    </font>
    <font>
      <b/>
      <sz val="20"/>
      <color rgb="FFFFFFFF"/>
      <name val="Carlito"/>
    </font>
    <font>
      <b/>
      <sz val="11"/>
      <color rgb="FFFFFFFF"/>
      <name val="Carlito"/>
    </font>
    <font>
      <b/>
      <sz val="10"/>
      <color rgb="FFFFFFFF"/>
      <name val="Calibri"/>
    </font>
    <font>
      <sz val="10"/>
      <color rgb="FF23364A"/>
      <name val="Calibri"/>
    </font>
    <font>
      <b/>
      <sz val="10"/>
      <color rgb="FFFFFFFF"/>
      <name val="Calibri"/>
    </font>
    <font>
      <sz val="9"/>
      <color rgb="FF23364A"/>
      <name val="Calibri"/>
    </font>
    <font>
      <b/>
      <sz val="10"/>
      <color rgb="FF17365D"/>
      <name val="Calibri"/>
    </font>
    <font>
      <b/>
      <sz val="10"/>
      <color rgb="FF0563C1"/>
      <name val="Calibri"/>
    </font>
    <font>
      <sz val="11"/>
      <color theme="1"/>
      <name val="Calibri"/>
    </font>
    <font>
      <b/>
      <sz val="11"/>
      <color rgb="FF17365D"/>
      <name val="Calibri"/>
    </font>
    <font>
      <b/>
      <sz val="11"/>
      <color rgb="FFFFFFFF"/>
      <name val="Calibri"/>
    </font>
    <font>
      <i/>
      <sz val="10"/>
      <color rgb="FF5B6573"/>
      <name val="Calibri"/>
    </font>
    <font>
      <b/>
      <sz val="18"/>
      <color rgb="FFFFFFFF"/>
      <name val="Calibri"/>
    </font>
    <font>
      <sz val="9"/>
      <color rgb="FF23364A"/>
      <name val="Calibri"/>
      <family val="2"/>
    </font>
    <font>
      <b/>
      <sz val="10"/>
      <color rgb="FFFFFFFF"/>
      <name val="Calibri"/>
      <family val="2"/>
    </font>
    <font>
      <b/>
      <sz val="11"/>
      <name val="Carlito"/>
    </font>
    <font>
      <b/>
      <sz val="11"/>
      <color rgb="FF0563C1"/>
      <name val="Calibri"/>
      <family val="2"/>
    </font>
  </fonts>
  <fills count="23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4D6"/>
      </patternFill>
    </fill>
    <fill>
      <patternFill patternType="solid">
        <fgColor rgb="FFF2F6FA"/>
      </patternFill>
    </fill>
    <fill>
      <patternFill patternType="solid">
        <fgColor rgb="FFFFFFFF"/>
      </patternFill>
    </fill>
    <fill>
      <patternFill patternType="solid">
        <fgColor rgb="FF14213D"/>
      </patternFill>
    </fill>
    <fill>
      <patternFill patternType="solid">
        <fgColor rgb="FFEAF3F8"/>
      </patternFill>
    </fill>
    <fill>
      <patternFill patternType="solid">
        <fgColor rgb="FFD9EAF7"/>
      </patternFill>
    </fill>
    <fill>
      <patternFill patternType="solid">
        <fgColor rgb="FFDDEBF7"/>
      </patternFill>
    </fill>
    <fill>
      <patternFill patternType="solid">
        <fgColor rgb="FFE2F0D9"/>
      </patternFill>
    </fill>
    <fill>
      <patternFill patternType="solid">
        <fgColor rgb="FFE4DFEC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147D92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F6F9FC"/>
      </patternFill>
    </fill>
    <fill>
      <patternFill patternType="solid">
        <fgColor rgb="FFFFFFFF"/>
      </patternFill>
    </fill>
    <fill>
      <patternFill patternType="solid">
        <fgColor rgb="FFFFF8E7"/>
      </patternFill>
    </fill>
    <fill>
      <patternFill patternType="solid">
        <fgColor rgb="FFF2F6FA"/>
      </patternFill>
    </fill>
    <fill>
      <patternFill patternType="solid">
        <fgColor rgb="FF1F6D7A"/>
      </patternFill>
    </fill>
    <fill>
      <patternFill patternType="solid">
        <fgColor rgb="FFEAF2F8"/>
      </patternFill>
    </fill>
  </fills>
  <borders count="64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A6A6A6"/>
      </left>
      <right/>
      <top style="thin">
        <color rgb="FFA6A6A6"/>
      </top>
      <bottom style="medium">
        <color rgb="FF000000"/>
      </bottom>
      <diagonal/>
    </border>
    <border>
      <left/>
      <right style="thin">
        <color rgb="FFA6A6A6"/>
      </right>
      <top style="thin">
        <color rgb="FFA6A6A6"/>
      </top>
      <bottom style="medium">
        <color rgb="FF000000"/>
      </bottom>
      <diagonal/>
    </border>
    <border>
      <left style="thin">
        <color rgb="FFA6A6A6"/>
      </left>
      <right/>
      <top/>
      <bottom/>
      <diagonal/>
    </border>
    <border>
      <left/>
      <right style="thin">
        <color rgb="FFA6A6A6"/>
      </right>
      <top/>
      <bottom/>
      <diagonal/>
    </border>
    <border>
      <left style="thin">
        <color rgb="FFA6A6A6"/>
      </left>
      <right/>
      <top/>
      <bottom style="thin">
        <color rgb="FFA6A6A6"/>
      </bottom>
      <diagonal/>
    </border>
    <border>
      <left/>
      <right style="thin">
        <color rgb="FFA6A6A6"/>
      </right>
      <top/>
      <bottom style="thin">
        <color rgb="FFA6A6A6"/>
      </bottom>
      <diagonal/>
    </border>
    <border>
      <left/>
      <right style="thin">
        <color rgb="FFA6A6A6"/>
      </right>
      <top/>
      <bottom/>
      <diagonal/>
    </border>
    <border>
      <left/>
      <right style="thin">
        <color rgb="FFA6A6A6"/>
      </right>
      <top/>
      <bottom style="thin">
        <color rgb="FFA6A6A6"/>
      </bottom>
      <diagonal/>
    </border>
    <border>
      <left style="thin">
        <color rgb="FFA6A6A6"/>
      </left>
      <right/>
      <top style="thin">
        <color rgb="FFA6A6A6"/>
      </top>
      <bottom/>
      <diagonal/>
    </border>
    <border>
      <left/>
      <right/>
      <top style="thin">
        <color rgb="FFA6A6A6"/>
      </top>
      <bottom/>
      <diagonal/>
    </border>
    <border>
      <left/>
      <right style="thin">
        <color rgb="FFA6A6A6"/>
      </right>
      <top style="thin">
        <color rgb="FFA6A6A6"/>
      </top>
      <bottom/>
      <diagonal/>
    </border>
    <border>
      <left/>
      <right/>
      <top/>
      <bottom style="thin">
        <color rgb="FFA6A6A6"/>
      </bottom>
      <diagonal/>
    </border>
    <border>
      <left/>
      <right/>
      <top style="thin">
        <color rgb="FFA6A6A6"/>
      </top>
      <bottom/>
      <diagonal/>
    </border>
    <border>
      <left/>
      <right style="thin">
        <color rgb="FFA6A6A6"/>
      </right>
      <top style="thin">
        <color rgb="FFA6A6A6"/>
      </top>
      <bottom/>
      <diagonal/>
    </border>
    <border>
      <left/>
      <right/>
      <top/>
      <bottom style="thin">
        <color rgb="FFA6A6A6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/>
      <diagonal/>
    </border>
    <border>
      <left style="thin">
        <color rgb="FFA6A6A6"/>
      </left>
      <right style="thin">
        <color rgb="FFA6A6A6"/>
      </right>
      <top/>
      <bottom/>
      <diagonal/>
    </border>
    <border>
      <left style="thin">
        <color rgb="FFA6A6A6"/>
      </left>
      <right style="thin">
        <color rgb="FFA6A6A6"/>
      </right>
      <top/>
      <bottom style="thin">
        <color rgb="FFA6A6A6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/>
      <diagonal/>
    </border>
    <border>
      <left style="thin">
        <color rgb="FFA6A6A6"/>
      </left>
      <right style="thin">
        <color rgb="FFA6A6A6"/>
      </right>
      <top/>
      <bottom/>
      <diagonal/>
    </border>
    <border>
      <left style="thin">
        <color rgb="FFA6A6A6"/>
      </left>
      <right style="thin">
        <color rgb="FFA6A6A6"/>
      </right>
      <top/>
      <bottom style="thin">
        <color rgb="FFA6A6A6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ck">
        <color theme="1"/>
      </left>
      <right style="thick">
        <color theme="1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000000"/>
      </left>
      <right style="thick">
        <color theme="1"/>
      </right>
      <top style="thick">
        <color rgb="FF000000"/>
      </top>
      <bottom style="thick">
        <color rgb="FF000000"/>
      </bottom>
      <diagonal/>
    </border>
    <border>
      <left style="thick">
        <color theme="1"/>
      </left>
      <right/>
      <top style="thick">
        <color rgb="FF000000"/>
      </top>
      <bottom style="thick">
        <color rgb="FF000000"/>
      </bottom>
      <diagonal/>
    </border>
    <border>
      <left style="thick">
        <color theme="1"/>
      </left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A6A6A6"/>
      </left>
      <right style="thick">
        <color theme="1"/>
      </right>
      <top style="thin">
        <color rgb="FFA6A6A6"/>
      </top>
      <bottom style="thin">
        <color rgb="FFA6A6A6"/>
      </bottom>
      <diagonal/>
    </border>
    <border>
      <left/>
      <right style="thick">
        <color theme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rgb="FFA6A6A6"/>
      </right>
      <top style="thick">
        <color auto="1"/>
      </top>
      <bottom style="thick">
        <color auto="1"/>
      </bottom>
      <diagonal/>
    </border>
    <border>
      <left style="thin">
        <color rgb="FFA6A6A6"/>
      </left>
      <right style="thin">
        <color rgb="FFA6A6A6"/>
      </right>
      <top style="thick">
        <color auto="1"/>
      </top>
      <bottom style="thick">
        <color auto="1"/>
      </bottom>
      <diagonal/>
    </border>
    <border>
      <left style="thin">
        <color rgb="FFA6A6A6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1"/>
    <xf numFmtId="0" fontId="25" fillId="0" borderId="41"/>
  </cellStyleXfs>
  <cellXfs count="124">
    <xf numFmtId="0" fontId="0" fillId="0" borderId="0" xfId="0" applyBorder="1"/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164" fontId="1" fillId="2" borderId="3" xfId="0" applyNumberFormat="1" applyFont="1" applyFill="1" applyBorder="1" applyAlignment="1">
      <alignment horizontal="center" vertical="center" wrapText="1"/>
    </xf>
    <xf numFmtId="1" fontId="1" fillId="2" borderId="3" xfId="0" applyNumberFormat="1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6" xfId="0" applyBorder="1"/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13" xfId="0" applyBorder="1" applyAlignment="1">
      <alignment horizontal="center"/>
    </xf>
    <xf numFmtId="0" fontId="18" fillId="14" borderId="23" xfId="0" applyFont="1" applyFill="1" applyBorder="1" applyAlignment="1">
      <alignment horizontal="center" vertical="center"/>
    </xf>
    <xf numFmtId="0" fontId="18" fillId="14" borderId="24" xfId="0" applyFont="1" applyFill="1" applyBorder="1" applyAlignment="1">
      <alignment horizontal="center" vertical="center"/>
    </xf>
    <xf numFmtId="0" fontId="18" fillId="14" borderId="25" xfId="0" applyFont="1" applyFill="1" applyBorder="1" applyAlignment="1">
      <alignment horizontal="center" vertical="center"/>
    </xf>
    <xf numFmtId="168" fontId="0" fillId="0" borderId="11" xfId="0" applyNumberFormat="1" applyBorder="1"/>
    <xf numFmtId="165" fontId="0" fillId="0" borderId="0" xfId="0" applyNumberFormat="1" applyBorder="1"/>
    <xf numFmtId="0" fontId="21" fillId="16" borderId="44" xfId="0" applyFont="1" applyFill="1" applyBorder="1" applyAlignment="1">
      <alignment horizontal="center" vertical="center" wrapText="1"/>
    </xf>
    <xf numFmtId="164" fontId="21" fillId="16" borderId="44" xfId="0" applyNumberFormat="1" applyFont="1" applyFill="1" applyBorder="1" applyAlignment="1">
      <alignment horizontal="center" vertical="center" wrapText="1"/>
    </xf>
    <xf numFmtId="0" fontId="22" fillId="17" borderId="45" xfId="0" applyFont="1" applyFill="1" applyBorder="1" applyAlignment="1">
      <alignment horizontal="center" vertical="center"/>
    </xf>
    <xf numFmtId="165" fontId="22" fillId="17" borderId="45" xfId="0" applyNumberFormat="1" applyFont="1" applyFill="1" applyBorder="1" applyAlignment="1">
      <alignment horizontal="center" vertical="center"/>
    </xf>
    <xf numFmtId="0" fontId="22" fillId="18" borderId="45" xfId="0" applyFont="1" applyFill="1" applyBorder="1" applyAlignment="1">
      <alignment horizontal="center" vertical="center"/>
    </xf>
    <xf numFmtId="165" fontId="22" fillId="18" borderId="45" xfId="0" applyNumberFormat="1" applyFont="1" applyFill="1" applyBorder="1" applyAlignment="1">
      <alignment horizontal="center" vertical="center"/>
    </xf>
    <xf numFmtId="0" fontId="3" fillId="7" borderId="43" xfId="0" applyFont="1" applyFill="1" applyBorder="1" applyAlignment="1">
      <alignment vertical="center"/>
    </xf>
    <xf numFmtId="0" fontId="0" fillId="0" borderId="36" xfId="0" applyBorder="1"/>
    <xf numFmtId="0" fontId="2" fillId="3" borderId="43" xfId="0" applyFont="1" applyFill="1" applyBorder="1" applyAlignment="1">
      <alignment vertical="center" wrapText="1"/>
    </xf>
    <xf numFmtId="0" fontId="0" fillId="0" borderId="37" xfId="0" applyBorder="1"/>
    <xf numFmtId="168" fontId="12" fillId="4" borderId="42" xfId="0" applyNumberFormat="1" applyFont="1" applyFill="1" applyBorder="1" applyAlignment="1">
      <alignment horizontal="center" vertical="center" wrapText="1"/>
    </xf>
    <xf numFmtId="0" fontId="0" fillId="0" borderId="29" xfId="0" applyBorder="1"/>
    <xf numFmtId="0" fontId="0" fillId="0" borderId="30" xfId="0" applyBorder="1"/>
    <xf numFmtId="0" fontId="0" fillId="0" borderId="31" xfId="0" applyBorder="1"/>
    <xf numFmtId="0" fontId="0" fillId="0" borderId="0" xfId="0" applyBorder="1"/>
    <xf numFmtId="0" fontId="0" fillId="0" borderId="32" xfId="0" applyBorder="1"/>
    <xf numFmtId="0" fontId="0" fillId="0" borderId="33" xfId="0" applyBorder="1"/>
    <xf numFmtId="0" fontId="0" fillId="0" borderId="34" xfId="0" applyBorder="1"/>
    <xf numFmtId="0" fontId="0" fillId="0" borderId="35" xfId="0" applyBorder="1"/>
    <xf numFmtId="0" fontId="1" fillId="2" borderId="42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14" fillId="14" borderId="42" xfId="0" applyFont="1" applyFill="1" applyBorder="1" applyAlignment="1">
      <alignment horizontal="center" vertical="center"/>
    </xf>
    <xf numFmtId="0" fontId="5" fillId="7" borderId="1" xfId="0" applyFont="1" applyFill="1" applyAlignment="1">
      <alignment horizontal="center" vertical="center"/>
    </xf>
    <xf numFmtId="0" fontId="0" fillId="0" borderId="1" xfId="0"/>
    <xf numFmtId="165" fontId="2" fillId="3" borderId="43" xfId="0" applyNumberFormat="1" applyFont="1" applyFill="1" applyBorder="1" applyAlignment="1">
      <alignment vertical="center" wrapText="1"/>
    </xf>
    <xf numFmtId="0" fontId="4" fillId="6" borderId="1" xfId="0" applyFont="1" applyFill="1" applyAlignment="1">
      <alignment horizontal="center" vertical="center"/>
    </xf>
    <xf numFmtId="1" fontId="7" fillId="9" borderId="42" xfId="0" applyNumberFormat="1" applyFont="1" applyFill="1" applyBorder="1" applyAlignment="1">
      <alignment horizontal="center" vertical="center" wrapText="1"/>
    </xf>
    <xf numFmtId="0" fontId="2" fillId="4" borderId="42" xfId="0" applyFont="1" applyFill="1" applyBorder="1" applyAlignment="1">
      <alignment horizontal="center" vertical="center" wrapText="1"/>
    </xf>
    <xf numFmtId="1" fontId="6" fillId="8" borderId="42" xfId="0" applyNumberFormat="1" applyFont="1" applyFill="1" applyBorder="1" applyAlignment="1">
      <alignment horizontal="center" vertical="center" wrapText="1"/>
    </xf>
    <xf numFmtId="1" fontId="8" fillId="10" borderId="42" xfId="0" applyNumberFormat="1" applyFont="1" applyFill="1" applyBorder="1" applyAlignment="1">
      <alignment horizontal="center" vertical="center" wrapText="1"/>
    </xf>
    <xf numFmtId="167" fontId="11" fillId="13" borderId="42" xfId="0" applyNumberFormat="1" applyFont="1" applyFill="1" applyBorder="1" applyAlignment="1">
      <alignment horizontal="center" vertical="center" wrapText="1"/>
    </xf>
    <xf numFmtId="49" fontId="6" fillId="7" borderId="42" xfId="0" applyNumberFormat="1" applyFont="1" applyFill="1" applyBorder="1" applyAlignment="1">
      <alignment horizontal="center" vertical="center" wrapText="1"/>
    </xf>
    <xf numFmtId="0" fontId="16" fillId="14" borderId="42" xfId="0" applyFont="1" applyFill="1" applyBorder="1" applyAlignment="1">
      <alignment horizontal="center" vertical="center"/>
    </xf>
    <xf numFmtId="0" fontId="13" fillId="7" borderId="42" xfId="0" applyFont="1" applyFill="1" applyBorder="1" applyAlignment="1">
      <alignment horizontal="left" vertical="center" wrapText="1"/>
    </xf>
    <xf numFmtId="166" fontId="9" fillId="11" borderId="42" xfId="0" applyNumberFormat="1" applyFont="1" applyFill="1" applyBorder="1" applyAlignment="1">
      <alignment horizontal="center" vertical="center" wrapText="1"/>
    </xf>
    <xf numFmtId="1" fontId="10" fillId="12" borderId="42" xfId="0" applyNumberFormat="1" applyFont="1" applyFill="1" applyBorder="1" applyAlignment="1">
      <alignment horizontal="center" vertical="center" wrapText="1"/>
    </xf>
    <xf numFmtId="0" fontId="15" fillId="2" borderId="42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 wrapText="1"/>
    </xf>
    <xf numFmtId="0" fontId="13" fillId="5" borderId="27" xfId="0" applyFont="1" applyFill="1" applyBorder="1" applyAlignment="1">
      <alignment vertical="center" wrapText="1"/>
    </xf>
    <xf numFmtId="0" fontId="0" fillId="0" borderId="14" xfId="0" applyBorder="1"/>
    <xf numFmtId="0" fontId="13" fillId="5" borderId="28" xfId="0" applyFont="1" applyFill="1" applyBorder="1" applyAlignment="1">
      <alignment vertical="center" wrapText="1"/>
    </xf>
    <xf numFmtId="0" fontId="0" fillId="0" borderId="22" xfId="0" applyBorder="1"/>
    <xf numFmtId="0" fontId="0" fillId="0" borderId="15" xfId="0" applyBorder="1"/>
    <xf numFmtId="0" fontId="17" fillId="6" borderId="1" xfId="0" applyFont="1" applyFill="1" applyAlignment="1">
      <alignment horizontal="center" vertical="center"/>
    </xf>
    <xf numFmtId="0" fontId="13" fillId="5" borderId="26" xfId="0" applyFont="1" applyFill="1" applyBorder="1" applyAlignment="1">
      <alignment vertical="center" wrapText="1"/>
    </xf>
    <xf numFmtId="0" fontId="0" fillId="0" borderId="20" xfId="0" applyBorder="1"/>
    <xf numFmtId="0" fontId="0" fillId="0" borderId="21" xfId="0" applyBorder="1"/>
    <xf numFmtId="0" fontId="19" fillId="16" borderId="46" xfId="0" applyFont="1" applyFill="1" applyBorder="1" applyAlignment="1">
      <alignment horizontal="center" vertical="center" wrapText="1"/>
    </xf>
    <xf numFmtId="0" fontId="20" fillId="0" borderId="1" xfId="0" applyFont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1" xfId="0" applyAlignment="1">
      <alignment horizontal="center" vertical="center" wrapText="1"/>
    </xf>
    <xf numFmtId="0" fontId="19" fillId="16" borderId="47" xfId="0" applyFont="1" applyFill="1" applyBorder="1" applyAlignment="1">
      <alignment horizontal="center" vertical="center" wrapText="1"/>
    </xf>
    <xf numFmtId="1" fontId="23" fillId="0" borderId="1" xfId="0" applyNumberFormat="1" applyFont="1" applyAlignment="1">
      <alignment horizontal="center" vertical="center" wrapText="1"/>
    </xf>
    <xf numFmtId="0" fontId="19" fillId="16" borderId="48" xfId="0" applyFont="1" applyFill="1" applyBorder="1" applyAlignment="1">
      <alignment horizontal="center" vertical="center" wrapText="1"/>
    </xf>
    <xf numFmtId="1" fontId="20" fillId="0" borderId="1" xfId="0" applyNumberFormat="1" applyFont="1" applyAlignment="1">
      <alignment horizontal="center" vertical="center" wrapText="1"/>
    </xf>
    <xf numFmtId="165" fontId="20" fillId="0" borderId="1" xfId="0" applyNumberFormat="1" applyFont="1" applyAlignment="1">
      <alignment horizontal="center" vertical="center" wrapText="1"/>
    </xf>
    <xf numFmtId="169" fontId="0" fillId="0" borderId="43" xfId="0" applyNumberFormat="1" applyBorder="1" applyAlignment="1">
      <alignment horizontal="center" vertical="center" wrapText="1"/>
    </xf>
    <xf numFmtId="0" fontId="19" fillId="16" borderId="49" xfId="0" applyFont="1" applyFill="1" applyBorder="1" applyAlignment="1">
      <alignment horizontal="center" vertical="center" wrapText="1"/>
    </xf>
    <xf numFmtId="0" fontId="21" fillId="16" borderId="40" xfId="0" applyFont="1" applyFill="1" applyBorder="1" applyAlignment="1">
      <alignment horizontal="center" vertical="center" wrapText="1"/>
    </xf>
    <xf numFmtId="170" fontId="0" fillId="0" borderId="43" xfId="0" applyNumberFormat="1" applyBorder="1" applyAlignment="1">
      <alignment horizontal="center" vertical="center" wrapText="1"/>
    </xf>
    <xf numFmtId="0" fontId="19" fillId="16" borderId="39" xfId="0" applyFont="1" applyFill="1" applyBorder="1" applyAlignment="1">
      <alignment horizontal="center" vertical="center" wrapText="1"/>
    </xf>
    <xf numFmtId="0" fontId="19" fillId="16" borderId="40" xfId="0" applyFont="1" applyFill="1" applyBorder="1" applyAlignment="1">
      <alignment horizontal="center" vertical="center" wrapText="1"/>
    </xf>
    <xf numFmtId="0" fontId="24" fillId="0" borderId="1" xfId="0" applyFont="1" applyAlignment="1">
      <alignment horizontal="center" vertical="center" wrapText="1"/>
    </xf>
    <xf numFmtId="0" fontId="19" fillId="16" borderId="50" xfId="0" applyFont="1" applyFill="1" applyBorder="1" applyAlignment="1">
      <alignment horizontal="center" vertical="center" wrapText="1"/>
    </xf>
    <xf numFmtId="0" fontId="19" fillId="16" borderId="51" xfId="0" applyFont="1" applyFill="1" applyBorder="1" applyAlignment="1">
      <alignment horizontal="center" vertical="center" wrapText="1"/>
    </xf>
    <xf numFmtId="0" fontId="0" fillId="0" borderId="52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25" fillId="0" borderId="41" xfId="1"/>
    <xf numFmtId="0" fontId="29" fillId="16" borderId="57" xfId="1" applyFont="1" applyFill="1" applyBorder="1" applyAlignment="1">
      <alignment horizontal="center" vertical="center"/>
    </xf>
    <xf numFmtId="0" fontId="29" fillId="16" borderId="58" xfId="1" applyFont="1" applyFill="1" applyBorder="1" applyAlignment="1">
      <alignment horizontal="center" vertical="center"/>
    </xf>
    <xf numFmtId="0" fontId="29" fillId="16" borderId="59" xfId="1" applyFont="1" applyFill="1" applyBorder="1" applyAlignment="1">
      <alignment horizontal="center" vertical="center"/>
    </xf>
    <xf numFmtId="0" fontId="28" fillId="22" borderId="57" xfId="1" applyFont="1" applyFill="1" applyBorder="1" applyAlignment="1">
      <alignment horizontal="center" vertical="center"/>
    </xf>
    <xf numFmtId="0" fontId="28" fillId="22" borderId="58" xfId="1" applyFont="1" applyFill="1" applyBorder="1" applyAlignment="1">
      <alignment horizontal="center" vertical="center"/>
    </xf>
    <xf numFmtId="0" fontId="28" fillId="22" borderId="59" xfId="1" applyFont="1" applyFill="1" applyBorder="1" applyAlignment="1">
      <alignment horizontal="center" vertical="center"/>
    </xf>
    <xf numFmtId="0" fontId="27" fillId="21" borderId="54" xfId="1" applyFont="1" applyFill="1" applyBorder="1" applyAlignment="1">
      <alignment horizontal="center" vertical="center" wrapText="1"/>
    </xf>
    <xf numFmtId="0" fontId="26" fillId="19" borderId="60" xfId="1" applyFont="1" applyFill="1" applyBorder="1" applyAlignment="1">
      <alignment vertical="center"/>
    </xf>
    <xf numFmtId="0" fontId="26" fillId="19" borderId="61" xfId="1" applyFont="1" applyFill="1" applyBorder="1" applyAlignment="1">
      <alignment vertical="center"/>
    </xf>
    <xf numFmtId="0" fontId="26" fillId="19" borderId="62" xfId="1" applyFont="1" applyFill="1" applyBorder="1" applyAlignment="1">
      <alignment vertical="center"/>
    </xf>
    <xf numFmtId="0" fontId="25" fillId="0" borderId="55" xfId="1" applyBorder="1" applyAlignment="1">
      <alignment horizontal="center"/>
    </xf>
    <xf numFmtId="0" fontId="25" fillId="0" borderId="41" xfId="1" applyBorder="1" applyAlignment="1">
      <alignment horizontal="center"/>
    </xf>
    <xf numFmtId="0" fontId="25" fillId="0" borderId="56" xfId="1" applyBorder="1" applyAlignment="1">
      <alignment horizontal="center"/>
    </xf>
    <xf numFmtId="0" fontId="19" fillId="15" borderId="54" xfId="1" applyFont="1" applyFill="1" applyBorder="1" applyAlignment="1">
      <alignment horizontal="center" vertical="center" wrapText="1"/>
    </xf>
    <xf numFmtId="0" fontId="20" fillId="20" borderId="54" xfId="1" applyFont="1" applyFill="1" applyBorder="1" applyAlignment="1">
      <alignment vertical="center" wrapText="1"/>
    </xf>
    <xf numFmtId="165" fontId="20" fillId="20" borderId="54" xfId="1" applyNumberFormat="1" applyFont="1" applyFill="1" applyBorder="1" applyAlignment="1">
      <alignment vertical="center" wrapText="1"/>
    </xf>
    <xf numFmtId="0" fontId="24" fillId="20" borderId="54" xfId="1" applyFont="1" applyFill="1" applyBorder="1" applyAlignment="1">
      <alignment vertical="center" wrapText="1"/>
    </xf>
    <xf numFmtId="0" fontId="0" fillId="0" borderId="0" xfId="0" applyBorder="1" applyAlignment="1">
      <alignment horizontal="center" vertical="center"/>
    </xf>
    <xf numFmtId="0" fontId="31" fillId="16" borderId="44" xfId="0" applyFont="1" applyFill="1" applyBorder="1" applyAlignment="1">
      <alignment horizontal="center" vertical="center" wrapText="1"/>
    </xf>
    <xf numFmtId="0" fontId="32" fillId="0" borderId="0" xfId="0" applyFont="1" applyBorder="1" applyAlignment="1">
      <alignment horizontal="center" vertical="center"/>
    </xf>
    <xf numFmtId="0" fontId="33" fillId="17" borderId="45" xfId="0" applyFont="1" applyFill="1" applyBorder="1" applyAlignment="1">
      <alignment horizontal="center" vertical="center"/>
    </xf>
    <xf numFmtId="0" fontId="33" fillId="18" borderId="45" xfId="0" applyFont="1" applyFill="1" applyBorder="1" applyAlignment="1">
      <alignment horizontal="center" vertical="center"/>
    </xf>
    <xf numFmtId="1" fontId="21" fillId="16" borderId="38" xfId="0" applyNumberFormat="1" applyFont="1" applyFill="1" applyBorder="1" applyAlignment="1">
      <alignment horizontal="center" vertical="center" wrapText="1"/>
    </xf>
    <xf numFmtId="0" fontId="22" fillId="17" borderId="5" xfId="0" applyFont="1" applyFill="1" applyBorder="1" applyAlignment="1">
      <alignment horizontal="center" vertical="center"/>
    </xf>
    <xf numFmtId="0" fontId="22" fillId="18" borderId="5" xfId="0" applyFont="1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22" fillId="17" borderId="7" xfId="0" applyFont="1" applyFill="1" applyBorder="1" applyAlignment="1">
      <alignment horizontal="center" vertical="center"/>
    </xf>
    <xf numFmtId="0" fontId="22" fillId="18" borderId="7" xfId="0" applyFont="1" applyFill="1" applyBorder="1" applyAlignment="1">
      <alignment horizontal="center" vertical="center"/>
    </xf>
    <xf numFmtId="0" fontId="31" fillId="16" borderId="63" xfId="0" applyFont="1" applyFill="1" applyBorder="1" applyAlignment="1">
      <alignment horizontal="center" vertical="center" wrapText="1"/>
    </xf>
    <xf numFmtId="0" fontId="30" fillId="18" borderId="63" xfId="0" applyFont="1" applyFill="1" applyBorder="1" applyAlignment="1">
      <alignment horizontal="center" vertical="center"/>
    </xf>
    <xf numFmtId="0" fontId="0" fillId="0" borderId="63" xfId="0" applyBorder="1"/>
  </cellXfs>
  <cellStyles count="2">
    <cellStyle name="Normal" xfId="0" builtinId="0"/>
    <cellStyle name="Normal 2" xfId="1" xr:uid="{69628848-921E-446F-B8E7-A7368DFB4C52}"/>
  </cellStyles>
  <dxfs count="164">
    <dxf>
      <font>
        <b/>
        <color rgb="FF595959"/>
      </font>
      <fill>
        <patternFill>
          <bgColor rgb="FFE7E6E6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5F497A"/>
      </font>
      <fill>
        <patternFill>
          <bgColor rgb="FFE4DFEC"/>
        </patternFill>
      </fill>
    </dxf>
    <dxf>
      <font>
        <b/>
        <color rgb="FF9C3D10"/>
      </font>
      <fill>
        <patternFill>
          <bgColor rgb="FFFCE4D6"/>
        </patternFill>
      </fill>
    </dxf>
    <dxf>
      <font>
        <b/>
        <color rgb="FF7F6000"/>
      </font>
      <fill>
        <patternFill>
          <bgColor rgb="FFFFF2CC"/>
        </patternFill>
      </fill>
    </dxf>
    <dxf>
      <font>
        <b/>
        <color rgb="FF376237"/>
      </font>
      <fill>
        <patternFill>
          <bgColor rgb="FFD9EAD3"/>
        </patternFill>
      </fill>
    </dxf>
    <dxf>
      <font>
        <b/>
        <color rgb="FF1F4E78"/>
      </font>
      <fill>
        <patternFill>
          <bgColor rgb="FFDDEBF7"/>
        </patternFill>
      </fill>
    </dxf>
    <dxf>
      <font>
        <b/>
        <color rgb="FF2E5D2E"/>
      </font>
      <fill>
        <patternFill>
          <bgColor rgb="FFE2F0D9"/>
        </patternFill>
      </fill>
    </dxf>
    <dxf>
      <fill>
        <patternFill>
          <bgColor rgb="FFF6F9FC"/>
        </patternFill>
      </fill>
    </dxf>
    <dxf>
      <font>
        <b/>
        <color rgb="FF595959"/>
      </font>
      <fill>
        <patternFill>
          <bgColor rgb="FFE7E6E6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5F497A"/>
      </font>
      <fill>
        <patternFill>
          <bgColor rgb="FFE4DFEC"/>
        </patternFill>
      </fill>
    </dxf>
    <dxf>
      <font>
        <b/>
        <color rgb="FF9C3D10"/>
      </font>
      <fill>
        <patternFill>
          <bgColor rgb="FFFCE4D6"/>
        </patternFill>
      </fill>
    </dxf>
    <dxf>
      <font>
        <b/>
        <color rgb="FF7F6000"/>
      </font>
      <fill>
        <patternFill>
          <bgColor rgb="FFFFF2CC"/>
        </patternFill>
      </fill>
    </dxf>
    <dxf>
      <font>
        <b/>
        <color rgb="FF376237"/>
      </font>
      <fill>
        <patternFill>
          <bgColor rgb="FFD9EAD3"/>
        </patternFill>
      </fill>
    </dxf>
    <dxf>
      <font>
        <b/>
        <color rgb="FF1F4E78"/>
      </font>
      <fill>
        <patternFill>
          <bgColor rgb="FFDDEBF7"/>
        </patternFill>
      </fill>
    </dxf>
    <dxf>
      <font>
        <b/>
        <color rgb="FF2E5D2E"/>
      </font>
      <fill>
        <patternFill>
          <bgColor rgb="FFE2F0D9"/>
        </patternFill>
      </fill>
    </dxf>
    <dxf>
      <font>
        <b/>
        <color rgb="FF595959"/>
      </font>
    </dxf>
    <dxf>
      <font>
        <b/>
        <color rgb="FF9C0006"/>
      </font>
    </dxf>
    <dxf>
      <font>
        <b/>
        <color rgb="FF5F497A"/>
      </font>
    </dxf>
    <dxf>
      <font>
        <b/>
        <color rgb="FF9C3D10"/>
      </font>
    </dxf>
    <dxf>
      <font>
        <b/>
        <color rgb="FF7F6000"/>
      </font>
    </dxf>
    <dxf>
      <font>
        <b/>
        <color rgb="FF376237"/>
      </font>
    </dxf>
    <dxf>
      <font>
        <b/>
        <color rgb="FF1F4E78"/>
      </font>
    </dxf>
    <dxf>
      <font>
        <b/>
        <color rgb="FF2E5D2E"/>
      </font>
    </dxf>
    <dxf>
      <fill>
        <patternFill>
          <bgColor rgb="FFF6F9FC"/>
        </patternFill>
      </fill>
    </dxf>
    <dxf>
      <fill>
        <patternFill>
          <bgColor rgb="FFF7FAFC"/>
        </patternFill>
      </fill>
    </dxf>
    <dxf>
      <fill>
        <patternFill patternType="solid">
          <bgColor rgb="FFFFFFFF"/>
        </patternFill>
      </fill>
    </dxf>
    <dxf>
      <border>
        <left style="medium">
          <color rgb="FF000000"/>
        </left>
        <right style="thick">
          <color rgb="FF000000"/>
        </right>
        <top style="medium">
          <color rgb="FF000000"/>
        </top>
        <bottom style="thick">
          <color rgb="FF000000"/>
        </bottom>
      </border>
    </dxf>
    <dxf>
      <border>
        <left style="medium">
          <color rgb="FF000000"/>
        </left>
        <right style="thick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solid">
          <bgColor rgb="FFF2F6FA"/>
        </patternFill>
      </fill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thick">
          <color rgb="FF000000"/>
        </bottom>
      </border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solid">
          <bgColor rgb="FFF2F6FA"/>
        </patternFill>
      </fill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thick">
          <color rgb="FF000000"/>
        </bottom>
      </border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solid">
          <bgColor rgb="FFF2F6FA"/>
        </patternFill>
      </fill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thick">
          <color rgb="FF000000"/>
        </bottom>
      </border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solid">
          <bgColor rgb="FFFFF8E7"/>
        </patternFill>
      </fill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thick">
          <color rgb="FF000000"/>
        </bottom>
      </border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solid">
          <bgColor rgb="FFFFF8E7"/>
        </patternFill>
      </fill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thick">
          <color rgb="FF000000"/>
        </bottom>
      </border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solid">
          <bgColor rgb="FFFFF8E7"/>
        </patternFill>
      </fill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thick">
          <color rgb="FF000000"/>
        </bottom>
      </border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>
          <bgColor rgb="FFF4B183"/>
        </patternFill>
      </fill>
    </dxf>
    <dxf>
      <font>
        <b/>
        <color rgb="FF375623"/>
      </font>
      <fill>
        <patternFill patternType="solid">
          <bgColor rgb="FFC6E0B4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595959"/>
      </font>
      <fill>
        <patternFill patternType="solid">
          <bgColor rgb="FFE7E6E6"/>
        </patternFill>
      </fill>
    </dxf>
    <dxf>
      <fill>
        <patternFill patternType="solid">
          <bgColor rgb="FFF2F6FA"/>
        </patternFill>
      </fill>
    </dxf>
    <dxf>
      <font>
        <b/>
        <color rgb="FF375623"/>
      </font>
      <fill>
        <patternFill>
          <bgColor rgb="FFC6E0B4"/>
        </patternFill>
      </fill>
    </dxf>
    <dxf>
      <font>
        <b/>
        <color rgb="FF1F4E78"/>
      </font>
      <fill>
        <patternFill>
          <bgColor rgb="FFDDEBF7"/>
        </patternFill>
      </fill>
    </dxf>
    <dxf>
      <font>
        <b/>
        <color rgb="FF7F6000"/>
      </font>
      <fill>
        <patternFill>
          <bgColor rgb="FFFFF2CC"/>
        </patternFill>
      </fill>
    </dxf>
    <dxf>
      <font>
        <b/>
        <color rgb="FF595959"/>
      </font>
      <fill>
        <patternFill>
          <bgColor rgb="FFE7E6E6"/>
        </patternFill>
      </fill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thick">
          <color rgb="FF000000"/>
        </bottom>
      </border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>
          <bgColor rgb="FFF4B183"/>
        </patternFill>
      </fill>
    </dxf>
    <dxf>
      <font>
        <b/>
        <color rgb="FF375623"/>
      </font>
      <fill>
        <patternFill patternType="solid">
          <bgColor rgb="FFC6E0B4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595959"/>
      </font>
      <fill>
        <patternFill patternType="solid">
          <bgColor rgb="FFE7E6E6"/>
        </patternFill>
      </fill>
    </dxf>
    <dxf>
      <fill>
        <patternFill patternType="solid">
          <bgColor rgb="FFF2F6FA"/>
        </patternFill>
      </fill>
    </dxf>
    <dxf>
      <font>
        <b/>
        <color rgb="FF375623"/>
      </font>
      <fill>
        <patternFill>
          <bgColor rgb="FFC6E0B4"/>
        </patternFill>
      </fill>
    </dxf>
    <dxf>
      <font>
        <b/>
        <color rgb="FF1F4E78"/>
      </font>
      <fill>
        <patternFill>
          <bgColor rgb="FFDDEBF7"/>
        </patternFill>
      </fill>
    </dxf>
    <dxf>
      <font>
        <b/>
        <color rgb="FF7F6000"/>
      </font>
      <fill>
        <patternFill>
          <bgColor rgb="FFFFF2CC"/>
        </patternFill>
      </fill>
    </dxf>
    <dxf>
      <font>
        <b/>
        <color rgb="FF595959"/>
      </font>
      <fill>
        <patternFill>
          <bgColor rgb="FFE7E6E6"/>
        </patternFill>
      </fill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thick">
          <color rgb="FF000000"/>
        </bottom>
      </border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solid">
          <bgColor rgb="FFFFF8E7"/>
        </patternFill>
      </fill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thick">
          <color rgb="FF000000"/>
        </bottom>
      </border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solid">
          <bgColor rgb="FFFFF8E7"/>
        </patternFill>
      </fill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thick">
          <color rgb="FF000000"/>
        </bottom>
      </border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solid">
          <bgColor rgb="FFFFF8E7"/>
        </patternFill>
      </fill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thick">
          <color rgb="FF000000"/>
        </bottom>
      </border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solid">
          <bgColor rgb="FFF2F6FA"/>
        </patternFill>
      </fill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thick">
          <color rgb="FF000000"/>
        </bottom>
      </border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  <color rgb="FF595959"/>
      </font>
      <fill>
        <patternFill patternType="solid">
          <bgColor rgb="FFE7E6E6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5F497A"/>
      </font>
      <fill>
        <patternFill patternType="solid">
          <bgColor rgb="FFE4DFEC"/>
        </patternFill>
      </fill>
    </dxf>
    <dxf>
      <font>
        <b/>
        <color rgb="FF9C3D10"/>
      </font>
      <fill>
        <patternFill patternType="solid">
          <bgColor rgb="FFFCE4D6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6237"/>
      </font>
      <fill>
        <patternFill patternType="solid">
          <bgColor rgb="FFD9EAD3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2E5D2E"/>
      </font>
      <fill>
        <patternFill patternType="solid">
          <bgColor rgb="FFE2F0D9"/>
        </patternFill>
      </fill>
    </dxf>
    <dxf>
      <fill>
        <patternFill patternType="solid">
          <bgColor rgb="FFF2F6FA"/>
        </patternFill>
      </fill>
    </dxf>
    <dxf>
      <font>
        <b/>
        <color rgb="FF595959"/>
      </font>
      <fill>
        <patternFill>
          <bgColor rgb="FFE7E6E6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5F497A"/>
      </font>
      <fill>
        <patternFill>
          <bgColor rgb="FFE4DFEC"/>
        </patternFill>
      </fill>
    </dxf>
    <dxf>
      <font>
        <b/>
        <color rgb="FF9C3D10"/>
      </font>
      <fill>
        <patternFill>
          <bgColor rgb="FFFCE4D6"/>
        </patternFill>
      </fill>
    </dxf>
    <dxf>
      <font>
        <b/>
        <color rgb="FF7F6000"/>
      </font>
      <fill>
        <patternFill>
          <bgColor rgb="FFFFF2CC"/>
        </patternFill>
      </fill>
    </dxf>
    <dxf>
      <font>
        <b/>
        <color rgb="FF376237"/>
      </font>
      <fill>
        <patternFill>
          <bgColor rgb="FFD9EAD3"/>
        </patternFill>
      </fill>
    </dxf>
    <dxf>
      <font>
        <b/>
        <color rgb="FF1F4E78"/>
      </font>
      <fill>
        <patternFill>
          <bgColor rgb="FFDDEBF7"/>
        </patternFill>
      </fill>
    </dxf>
    <dxf>
      <font>
        <b/>
        <color rgb="FF2E5D2E"/>
      </font>
      <fill>
        <patternFill>
          <bgColor rgb="FFE2F0D9"/>
        </patternFill>
      </fill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thick">
          <color rgb="FF000000"/>
        </bottom>
      </border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solid">
          <bgColor rgb="FFF2F6FA"/>
        </patternFill>
      </fill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thick">
          <color rgb="FF000000"/>
        </bottom>
      </border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solid">
          <bgColor rgb="FFF2F6FA"/>
        </patternFill>
      </fill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thick">
          <color rgb="FF000000"/>
        </bottom>
      </border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solid">
          <bgColor rgb="FFF2F6FA"/>
        </patternFill>
      </fill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thick">
          <color rgb="FF000000"/>
        </bottom>
      </border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thick">
          <color rgb="FF000000"/>
        </bottom>
      </border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solid">
          <bgColor rgb="FFFFF8E7"/>
        </patternFill>
      </fill>
    </dxf>
    <dxf>
      <fill>
        <patternFill patternType="solid">
          <bgColor rgb="FFDCEAF7"/>
        </patternFill>
      </fill>
    </dxf>
    <dxf>
      <border>
        <left style="thick">
          <color rgb="FF000000"/>
        </left>
        <right style="medium">
          <color rgb="FF000000"/>
        </right>
        <top style="medium">
          <color rgb="FF000000"/>
        </top>
        <bottom style="thick">
          <color rgb="FF000000"/>
        </bottom>
      </border>
    </dxf>
    <dxf>
      <border>
        <left style="thick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solid">
          <bgColor rgb="FFF2F6FA"/>
        </patternFill>
      </fill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thick">
          <color rgb="FF000000"/>
        </bottom>
      </border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solid">
          <bgColor rgb="FFF2F6FA"/>
        </patternFill>
      </fill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thick">
          <color rgb="FF000000"/>
        </bottom>
      </border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ont>
        <color rgb="FF9C0006"/>
      </font>
      <fill>
        <patternFill patternType="solid">
          <bgColor rgb="FFF4CCCC"/>
        </patternFill>
      </fill>
    </dxf>
    <dxf>
      <font>
        <b/>
        <color rgb="FF375623"/>
      </font>
      <fill>
        <patternFill patternType="solid">
          <bgColor rgb="FFC6E0B4"/>
        </patternFill>
      </fill>
    </dxf>
    <dxf>
      <fill>
        <patternFill patternType="solid">
          <bgColor rgb="FFFFF8E7"/>
        </patternFill>
      </fill>
    </dxf>
    <dxf>
      <font>
        <color rgb="FF9C0006"/>
      </font>
      <fill>
        <patternFill>
          <bgColor rgb="FFF4CCCC"/>
        </patternFill>
      </fill>
    </dxf>
    <dxf>
      <font>
        <b/>
        <color rgb="FF375623"/>
      </font>
      <fill>
        <patternFill>
          <bgColor rgb="FFC6E0B4"/>
        </patternFill>
      </fill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thick">
          <color rgb="FF000000"/>
        </bottom>
      </border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ont>
        <color rgb="FF9C0006"/>
      </font>
      <fill>
        <patternFill patternType="solid">
          <bgColor rgb="FFF4CCCC"/>
        </patternFill>
      </fill>
    </dxf>
    <dxf>
      <font>
        <b/>
        <color rgb="FF375623"/>
      </font>
      <fill>
        <patternFill patternType="solid">
          <bgColor rgb="FFC6E0B4"/>
        </patternFill>
      </fill>
    </dxf>
    <dxf>
      <fill>
        <patternFill patternType="solid">
          <bgColor rgb="FFFFF8E7"/>
        </patternFill>
      </fill>
    </dxf>
    <dxf>
      <font>
        <color rgb="FF9C0006"/>
      </font>
      <fill>
        <patternFill>
          <bgColor rgb="FFF4CCCC"/>
        </patternFill>
      </fill>
    </dxf>
    <dxf>
      <font>
        <b/>
        <color rgb="FF375623"/>
      </font>
      <fill>
        <patternFill>
          <bgColor rgb="FFC6E0B4"/>
        </patternFill>
      </fill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thick">
          <color rgb="FF000000"/>
        </bottom>
      </border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solid">
          <fgColor rgb="FFFFFFFF"/>
        </patternFill>
      </fill>
      <border>
        <left style="thick">
          <color rgb="FF000000"/>
        </left>
        <right style="thick">
          <color rgb="FF000000"/>
        </right>
        <top style="thick">
          <color rgb="FF000000"/>
        </top>
        <bottom style="thick">
          <color rgb="FF000000"/>
        </bottom>
      </border>
    </dxf>
    <dxf>
      <fill>
        <patternFill patternType="solid">
          <fgColor rgb="FFF2F6FA"/>
        </patternFill>
      </fill>
      <border>
        <left style="thick">
          <color rgb="FF000000"/>
        </left>
        <right style="thick">
          <color rgb="FF000000"/>
        </right>
        <top style="thick">
          <color rgb="FF000000"/>
        </top>
        <bottom style="thick">
          <color rgb="FF000000"/>
        </bottom>
      </border>
    </dxf>
    <dxf>
      <fill>
        <patternFill patternType="solid">
          <fgColor rgb="FFFFF8E7"/>
        </patternFill>
      </fill>
      <border>
        <left style="thick">
          <color rgb="FF000000"/>
        </left>
        <right style="thick">
          <color rgb="FF000000"/>
        </right>
        <top style="thick">
          <color rgb="FF000000"/>
        </top>
        <bottom style="thick">
          <color rgb="FF000000"/>
        </bottom>
      </border>
    </dxf>
    <dxf>
      <font>
        <b/>
        <color rgb="FF375623"/>
        <name val="Calibri"/>
      </font>
      <fill>
        <patternFill patternType="solid">
          <fgColor rgb="FFC6E0B4"/>
        </patternFill>
      </fill>
      <border>
        <left style="thick">
          <color rgb="FF000000"/>
        </left>
        <right style="thick">
          <color rgb="FF000000"/>
        </right>
        <top style="thick">
          <color rgb="FF000000"/>
        </top>
        <bottom style="thick">
          <color rgb="FF000000"/>
        </bottom>
      </border>
    </dxf>
    <dxf>
      <font>
        <b/>
        <color rgb="FF1F4E78"/>
        <name val="Calibri"/>
      </font>
      <fill>
        <patternFill patternType="solid">
          <fgColor rgb="FFDDEBF7"/>
        </patternFill>
      </fill>
      <border>
        <left style="thick">
          <color rgb="FF000000"/>
        </left>
        <right style="thick">
          <color rgb="FF000000"/>
        </right>
        <top style="thick">
          <color rgb="FF000000"/>
        </top>
        <bottom style="thick">
          <color rgb="FF000000"/>
        </bottom>
      </border>
    </dxf>
    <dxf>
      <font>
        <b/>
        <color rgb="FF7F6000"/>
        <name val="Calibri"/>
      </font>
      <fill>
        <patternFill patternType="solid">
          <fgColor rgb="FFFFE699"/>
        </patternFill>
      </fill>
      <border>
        <left style="thick">
          <color rgb="FF000000"/>
        </left>
        <right style="thick">
          <color rgb="FF000000"/>
        </right>
        <top style="thick">
          <color rgb="FF000000"/>
        </top>
        <bottom style="thick">
          <color rgb="FF000000"/>
        </bottom>
      </border>
    </dxf>
    <dxf>
      <font>
        <b/>
        <color rgb="FF595959"/>
        <name val="Calibri"/>
      </font>
      <fill>
        <patternFill patternType="solid">
          <fgColor rgb="FFE7E6E6"/>
        </patternFill>
      </fill>
      <border>
        <left style="thick">
          <color rgb="FF000000"/>
        </left>
        <right style="thick">
          <color rgb="FF000000"/>
        </right>
        <top style="thick">
          <color rgb="FF000000"/>
        </top>
        <bottom style="thick">
          <color rgb="FF000000"/>
        </bottom>
      </border>
    </dxf>
    <dxf>
      <fill>
        <patternFill patternType="solid">
          <fgColor rgb="FFF2F6FA"/>
        </patternFill>
      </fill>
      <border>
        <left style="thick">
          <color rgb="FF000000"/>
        </left>
        <right style="thick">
          <color rgb="FF000000"/>
        </right>
        <top style="thick">
          <color rgb="FF000000"/>
        </top>
        <bottom style="thick">
          <color rgb="FF000000"/>
        </bottom>
      </border>
    </dxf>
    <dxf>
      <font>
        <color rgb="FF9C0006"/>
        <name val="Calibri"/>
      </font>
      <fill>
        <patternFill patternType="solid">
          <fgColor rgb="FFF4CCCC"/>
        </patternFill>
      </fill>
      <border>
        <left style="thick">
          <color rgb="FF000000"/>
        </left>
        <right style="thick">
          <color rgb="FF000000"/>
        </right>
        <top style="thick">
          <color rgb="FF000000"/>
        </top>
        <bottom style="thick">
          <color rgb="FF000000"/>
        </bottom>
      </border>
    </dxf>
    <dxf>
      <font>
        <b/>
        <color rgb="FF375623"/>
        <name val="Calibri"/>
      </font>
      <fill>
        <patternFill patternType="solid">
          <fgColor rgb="FFC6E0B4"/>
        </patternFill>
      </fill>
      <border>
        <left style="thick">
          <color rgb="FF000000"/>
        </left>
        <right style="thick">
          <color rgb="FF000000"/>
        </right>
        <top style="thick">
          <color rgb="FF000000"/>
        </top>
        <bottom style="thick">
          <color rgb="FF000000"/>
        </bottom>
      </border>
    </dxf>
    <dxf>
      <fill>
        <patternFill patternType="solid">
          <fgColor rgb="FFFFF8E7"/>
        </patternFill>
      </fill>
      <border>
        <left style="thick">
          <color rgb="FF000000"/>
        </left>
        <right style="thick">
          <color rgb="FF000000"/>
        </right>
        <top style="thick">
          <color rgb="FF000000"/>
        </top>
        <bottom style="thick">
          <color rgb="FF000000"/>
        </bottom>
      </border>
    </dxf>
    <dxf>
      <font>
        <b/>
        <color rgb="FF595959"/>
        <name val="Calibri"/>
      </font>
      <fill>
        <patternFill patternType="solid">
          <fgColor rgb="FFE7E6E6"/>
        </patternFill>
      </fill>
      <border>
        <left style="thick">
          <color rgb="FF000000"/>
        </left>
        <right style="thick">
          <color rgb="FF000000"/>
        </right>
        <top style="thick">
          <color rgb="FF000000"/>
        </top>
        <bottom style="thick">
          <color rgb="FF000000"/>
        </bottom>
      </border>
    </dxf>
    <dxf>
      <font>
        <b/>
        <color rgb="FF9C0006"/>
        <name val="Calibri"/>
      </font>
      <fill>
        <patternFill patternType="solid">
          <fgColor rgb="FFF4CCCC"/>
        </patternFill>
      </fill>
      <border>
        <left style="thick">
          <color rgb="FF000000"/>
        </left>
        <right style="thick">
          <color rgb="FF000000"/>
        </right>
        <top style="thick">
          <color rgb="FF000000"/>
        </top>
        <bottom style="thick">
          <color rgb="FF000000"/>
        </bottom>
      </border>
    </dxf>
    <dxf>
      <font>
        <b/>
        <color rgb="FF5F497A"/>
        <name val="Calibri"/>
      </font>
      <fill>
        <patternFill patternType="solid">
          <fgColor rgb="FFE4DFEC"/>
        </patternFill>
      </fill>
      <border>
        <left style="thick">
          <color rgb="FF000000"/>
        </left>
        <right style="thick">
          <color rgb="FF000000"/>
        </right>
        <top style="thick">
          <color rgb="FF000000"/>
        </top>
        <bottom style="thick">
          <color rgb="FF000000"/>
        </bottom>
      </border>
    </dxf>
    <dxf>
      <font>
        <b/>
        <color rgb="FF9C3D10"/>
        <name val="Calibri"/>
      </font>
      <fill>
        <patternFill patternType="solid">
          <fgColor rgb="FFFCE4D6"/>
        </patternFill>
      </fill>
      <border>
        <left style="thick">
          <color rgb="FF000000"/>
        </left>
        <right style="thick">
          <color rgb="FF000000"/>
        </right>
        <top style="thick">
          <color rgb="FF000000"/>
        </top>
        <bottom style="thick">
          <color rgb="FF000000"/>
        </bottom>
      </border>
    </dxf>
    <dxf>
      <font>
        <b/>
        <color rgb="FF7F6000"/>
        <name val="Calibri"/>
      </font>
      <fill>
        <patternFill patternType="solid">
          <fgColor rgb="FFFFF2CC"/>
        </patternFill>
      </fill>
      <border>
        <left style="thick">
          <color rgb="FF000000"/>
        </left>
        <right style="thick">
          <color rgb="FF000000"/>
        </right>
        <top style="thick">
          <color rgb="FF000000"/>
        </top>
        <bottom style="thick">
          <color rgb="FF000000"/>
        </bottom>
      </border>
    </dxf>
    <dxf>
      <font>
        <b/>
        <color rgb="FF376237"/>
        <name val="Calibri"/>
      </font>
      <fill>
        <patternFill patternType="solid">
          <fgColor rgb="FFD9EAD3"/>
        </patternFill>
      </fill>
      <border>
        <left style="thick">
          <color rgb="FF000000"/>
        </left>
        <right style="thick">
          <color rgb="FF000000"/>
        </right>
        <top style="thick">
          <color rgb="FF000000"/>
        </top>
        <bottom style="thick">
          <color rgb="FF000000"/>
        </bottom>
      </border>
    </dxf>
    <dxf>
      <font>
        <b/>
        <color rgb="FF1F4E78"/>
        <name val="Calibri"/>
      </font>
      <fill>
        <patternFill patternType="solid">
          <fgColor rgb="FFDDEBF7"/>
        </patternFill>
      </fill>
      <border>
        <left style="thick">
          <color rgb="FF000000"/>
        </left>
        <right style="thick">
          <color rgb="FF000000"/>
        </right>
        <top style="thick">
          <color rgb="FF000000"/>
        </top>
        <bottom style="thick">
          <color rgb="FF000000"/>
        </bottom>
      </border>
    </dxf>
    <dxf>
      <font>
        <b/>
        <color rgb="FF2E5D2E"/>
        <name val="Calibri"/>
      </font>
      <fill>
        <patternFill patternType="solid">
          <fgColor rgb="FFE2F0D9"/>
        </patternFill>
      </fill>
      <border>
        <left style="thick">
          <color rgb="FF000000"/>
        </left>
        <right style="thick">
          <color rgb="FF000000"/>
        </right>
        <top style="thick">
          <color rgb="FF000000"/>
        </top>
        <bottom style="thick">
          <color rgb="FF000000"/>
        </bottom>
      </border>
    </dxf>
    <dxf>
      <fill>
        <patternFill patternType="solid">
          <fgColor rgb="FFF2F6FA"/>
        </patternFill>
      </fill>
      <border>
        <left style="thick">
          <color rgb="FF000000"/>
        </left>
        <right style="thick">
          <color rgb="FF000000"/>
        </right>
        <top style="thick">
          <color rgb="FF000000"/>
        </top>
        <bottom style="thick">
          <color rgb="FF000000"/>
        </bottom>
      </border>
    </dxf>
    <dxf>
      <fill>
        <patternFill patternType="solid">
          <fgColor rgb="FFFFF8E7"/>
        </patternFill>
      </fill>
      <border>
        <left style="thick">
          <color rgb="FF000000"/>
        </left>
        <right style="thick">
          <color rgb="FF000000"/>
        </right>
        <top style="thick">
          <color rgb="FF000000"/>
        </top>
        <bottom style="thick">
          <color rgb="FF000000"/>
        </bottom>
      </border>
    </dxf>
    <dxf>
      <fill>
        <patternFill patternType="solid">
          <fgColor rgb="FFDCEAF7"/>
        </patternFill>
      </fill>
      <border>
        <left style="thick">
          <color rgb="FF000000"/>
        </left>
        <right style="thick">
          <color rgb="FF000000"/>
        </right>
        <top style="thick">
          <color rgb="FF000000"/>
        </top>
        <bottom style="thick">
          <color rgb="FF000000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rPr lang="en-US"/>
              <a:t>Progress by Difficulty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Tracked</c:v>
          </c:tx>
          <c:spPr>
            <a:ln>
              <a:prstDash val="solid"/>
            </a:ln>
          </c:spPr>
          <c:invertIfNegative val="1"/>
          <c:cat>
            <c:strRef>
              <c:f>Dashboard!$A$33:$A$40</c:f>
              <c:strCache>
                <c:ptCount val="8"/>
                <c:pt idx="0">
                  <c:v>Newcomer</c:v>
                </c:pt>
                <c:pt idx="1">
                  <c:v>Casual</c:v>
                </c:pt>
                <c:pt idx="2">
                  <c:v>Intermediate</c:v>
                </c:pt>
                <c:pt idx="3">
                  <c:v>Advanced</c:v>
                </c:pt>
                <c:pt idx="4">
                  <c:v>Expert</c:v>
                </c:pt>
                <c:pt idx="5">
                  <c:v>Master</c:v>
                </c:pt>
                <c:pt idx="6">
                  <c:v>Grandmaster</c:v>
                </c:pt>
                <c:pt idx="7">
                  <c:v>Unranked</c:v>
                </c:pt>
              </c:strCache>
            </c:strRef>
          </c:cat>
          <c:val>
            <c:numRef>
              <c:f>Dashboard!$B$33:$B$40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E0-40ED-95FD-68066DA642E9}"/>
            </c:ext>
          </c:extLst>
        </c:ser>
        <c:ser>
          <c:idx val="1"/>
          <c:order val="1"/>
          <c:tx>
            <c:v>Completed</c:v>
          </c:tx>
          <c:spPr>
            <a:ln>
              <a:prstDash val="solid"/>
            </a:ln>
          </c:spPr>
          <c:invertIfNegative val="1"/>
          <c:cat>
            <c:strRef>
              <c:f>Dashboard!$A$33:$A$40</c:f>
              <c:strCache>
                <c:ptCount val="8"/>
                <c:pt idx="0">
                  <c:v>Newcomer</c:v>
                </c:pt>
                <c:pt idx="1">
                  <c:v>Casual</c:v>
                </c:pt>
                <c:pt idx="2">
                  <c:v>Intermediate</c:v>
                </c:pt>
                <c:pt idx="3">
                  <c:v>Advanced</c:v>
                </c:pt>
                <c:pt idx="4">
                  <c:v>Expert</c:v>
                </c:pt>
                <c:pt idx="5">
                  <c:v>Master</c:v>
                </c:pt>
                <c:pt idx="6">
                  <c:v>Grandmaster</c:v>
                </c:pt>
                <c:pt idx="7">
                  <c:v>Unranked</c:v>
                </c:pt>
              </c:strCache>
            </c:strRef>
          </c:cat>
          <c:val>
            <c:numRef>
              <c:f>Dashboard!$C$33:$C$40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E0-40ED-95FD-68066DA642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t>Tracker Status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v>Count</c:v>
          </c:tx>
          <c:spPr>
            <a:ln>
              <a:prstDash val="solid"/>
            </a:ln>
          </c:spPr>
          <c:cat>
            <c:strRef>
              <c:f>Dashboard!$E$33:$E$36</c:f>
              <c:strCache>
                <c:ptCount val="4"/>
                <c:pt idx="0">
                  <c:v>Planned</c:v>
                </c:pt>
                <c:pt idx="1">
                  <c:v>In Progress</c:v>
                </c:pt>
                <c:pt idx="2">
                  <c:v>Finished</c:v>
                </c:pt>
                <c:pt idx="3">
                  <c:v>100% Complete</c:v>
                </c:pt>
              </c:strCache>
            </c:strRef>
          </c:cat>
          <c:val>
            <c:numRef>
              <c:f>Dashboard!$F$33:$F$36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F4-46D0-BE1C-F3F49D183B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</c:plotArea>
    <c:legend>
      <c:legendPos val="r"/>
      <c:overlay val="0"/>
    </c:legend>
    <c:plotVisOnly val="1"/>
    <c:dispBlanksAs val="gap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31</xdr:row>
      <xdr:rowOff>0</xdr:rowOff>
    </xdr:from>
    <xdr:to>
      <xdr:col>12</xdr:col>
      <xdr:colOff>0</xdr:colOff>
      <xdr:row>45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6</xdr:col>
      <xdr:colOff>0</xdr:colOff>
      <xdr:row>57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OneDrive/Desktop/Hacklist.xlsx" TargetMode="External"/><Relationship Id="rId2" Type="http://schemas.openxmlformats.org/officeDocument/2006/relationships/externalLinkPath" Target="file:///C:\Users\brand\OneDrive\Desktop\Hacklist.xlsx" TargetMode="External"/><Relationship Id="rId1" Type="http://schemas.openxmlformats.org/officeDocument/2006/relationships/externalLinkPath" Target="/Users/brand/OneDrive/Desktop/Hackli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racker"/>
      <sheetName val="Hack Finder"/>
      <sheetName val="Hack Database"/>
      <sheetName val="Dashboard"/>
      <sheetName val="Lists"/>
      <sheetName val="Read Me"/>
    </sheetNames>
    <sheetDataSet>
      <sheetData sheetId="0" refreshError="1"/>
      <sheetData sheetId="1" refreshError="1"/>
      <sheetData sheetId="2">
        <row r="1">
          <cell r="A1" t="str">
            <v>Dropdown Selection</v>
          </cell>
          <cell r="B1" t="str">
            <v>ROM Hack Title</v>
          </cell>
          <cell r="C1" t="str">
            <v>Created By</v>
          </cell>
          <cell r="D1" t="str">
            <v>Exits</v>
          </cell>
          <cell r="E1" t="str">
            <v>Difficulty</v>
          </cell>
          <cell r="F1" t="str">
            <v>Type</v>
          </cell>
          <cell r="G1" t="str">
            <v>Added Date</v>
          </cell>
          <cell r="H1" t="str">
            <v>SMWC ID</v>
          </cell>
          <cell r="I1" t="str">
            <v>SMWCentral Page URL</v>
          </cell>
          <cell r="J1" t="str">
            <v>Direct Download URL</v>
          </cell>
        </row>
        <row r="2">
          <cell r="A2" t="str">
            <v>!uppipe</v>
          </cell>
          <cell r="B2" t="str">
            <v>!uppipe</v>
          </cell>
          <cell r="C2" t="str">
            <v>Dan2point5</v>
          </cell>
          <cell r="D2">
            <v>8</v>
          </cell>
          <cell r="E2" t="str">
            <v>Advanced</v>
          </cell>
          <cell r="F2" t="str">
            <v>Kaizo</v>
          </cell>
          <cell r="G2">
            <v>45872</v>
          </cell>
          <cell r="H2" t="str">
            <v>40226</v>
          </cell>
          <cell r="I2" t="str">
            <v>https://www.smwcentral.net/?a=details&amp;id=40226&amp;p=section</v>
          </cell>
          <cell r="J2" t="str">
            <v>https://dl.smwcentral.net/40226/%21uppipe.zip</v>
          </cell>
        </row>
        <row r="3">
          <cell r="A3" t="str">
            <v>#0 IGGY'S CASTLE</v>
          </cell>
          <cell r="B3" t="str">
            <v>#0 IGGY'S CASTLE</v>
          </cell>
          <cell r="C3" t="str">
            <v>Wakana</v>
          </cell>
          <cell r="D3">
            <v>25</v>
          </cell>
          <cell r="E3" t="str">
            <v>Intermediate</v>
          </cell>
          <cell r="F3" t="str">
            <v>Standard</v>
          </cell>
          <cell r="G3">
            <v>46021</v>
          </cell>
          <cell r="H3" t="str">
            <v>41349</v>
          </cell>
          <cell r="I3" t="str">
            <v>https://www.smwcentral.net/?a=details&amp;id=41349&amp;p=section</v>
          </cell>
          <cell r="J3" t="str">
            <v>https://dl.smwcentral.net/41349/%230%20IGGY%27S%20CASTLE%20v3.0.0.zip</v>
          </cell>
        </row>
        <row r="4">
          <cell r="A4" t="str">
            <v>#thathack</v>
          </cell>
          <cell r="B4" t="str">
            <v>#thathack</v>
          </cell>
          <cell r="C4" t="str">
            <v>levelengine</v>
          </cell>
          <cell r="D4">
            <v>12</v>
          </cell>
          <cell r="E4" t="str">
            <v>Casual</v>
          </cell>
          <cell r="F4" t="str">
            <v>Standard</v>
          </cell>
          <cell r="G4">
            <v>41636</v>
          </cell>
          <cell r="H4" t="str">
            <v>6027</v>
          </cell>
          <cell r="I4" t="str">
            <v>https://www.smwcentral.net/?a=details&amp;id=6027&amp;p=section</v>
          </cell>
          <cell r="J4" t="str">
            <v>https://dl.smwcentral.net/6027/%23thathack.zip</v>
          </cell>
        </row>
        <row r="5">
          <cell r="A5" t="str">
            <v>'the</v>
          </cell>
          <cell r="B5" t="str">
            <v>'the</v>
          </cell>
          <cell r="C5" t="str">
            <v>Torchkas, underway</v>
          </cell>
          <cell r="D5">
            <v>1</v>
          </cell>
          <cell r="E5" t="str">
            <v>Casual</v>
          </cell>
          <cell r="F5" t="str">
            <v>Standard</v>
          </cell>
          <cell r="G5">
            <v>45906</v>
          </cell>
          <cell r="H5" t="str">
            <v>41112</v>
          </cell>
          <cell r="I5" t="str">
            <v>https://www.smwcentral.net/?a=details&amp;id=41112&amp;p=section</v>
          </cell>
          <cell r="J5" t="str">
            <v>https://dl.smwcentral.net/41112/%27the.zip</v>
          </cell>
        </row>
        <row r="6">
          <cell r="A6" t="str">
            <v>*SUPERSTAR* - an EP by margot</v>
          </cell>
          <cell r="B6" t="str">
            <v>*SUPERSTAR* - an EP by margot</v>
          </cell>
          <cell r="C6" t="str">
            <v>margot</v>
          </cell>
          <cell r="D6">
            <v>6</v>
          </cell>
          <cell r="E6" t="str">
            <v>Master</v>
          </cell>
          <cell r="F6" t="str">
            <v>Kaizo</v>
          </cell>
          <cell r="G6">
            <v>44868</v>
          </cell>
          <cell r="H6" t="str">
            <v>32479</v>
          </cell>
          <cell r="I6" t="str">
            <v>https://www.smwcentral.net/?a=details&amp;id=32479&amp;p=section</v>
          </cell>
          <cell r="J6" t="str">
            <v>https://dl.smwcentral.net/32479/SUPERSTAR.zip</v>
          </cell>
        </row>
        <row r="7">
          <cell r="A7" t="str">
            <v>1 Island Of Vanilla Feeling</v>
          </cell>
          <cell r="B7" t="str">
            <v>1 Island Of Vanilla Feeling</v>
          </cell>
          <cell r="C7" t="str">
            <v>neidoodle</v>
          </cell>
          <cell r="D7">
            <v>7</v>
          </cell>
          <cell r="E7" t="str">
            <v>Casual</v>
          </cell>
          <cell r="F7" t="str">
            <v>Standard</v>
          </cell>
          <cell r="G7">
            <v>41627</v>
          </cell>
          <cell r="H7" t="str">
            <v>5988</v>
          </cell>
          <cell r="I7" t="str">
            <v>https://www.smwcentral.net/?a=details&amp;id=5988&amp;p=section</v>
          </cell>
          <cell r="J7" t="str">
            <v>https://dl.smwcentral.net/5988/1island1.2.zip</v>
          </cell>
        </row>
        <row r="8">
          <cell r="A8" t="str">
            <v>1 Square Puzzle</v>
          </cell>
          <cell r="B8" t="str">
            <v>1 Square Puzzle</v>
          </cell>
          <cell r="C8" t="str">
            <v>HoorayForJay</v>
          </cell>
          <cell r="D8">
            <v>1</v>
          </cell>
          <cell r="E8" t="str">
            <v>Grandmaster</v>
          </cell>
          <cell r="F8" t="str">
            <v>Tool-Assisted, Pit</v>
          </cell>
          <cell r="G8">
            <v>42864</v>
          </cell>
          <cell r="H8" t="str">
            <v>15342</v>
          </cell>
          <cell r="I8" t="str">
            <v>https://www.smwcentral.net/?a=details&amp;id=15342&amp;p=section</v>
          </cell>
          <cell r="J8" t="str">
            <v>https://dl.smwcentral.net/15342/1SquarePuzzle.zip</v>
          </cell>
        </row>
        <row r="9">
          <cell r="A9" t="str">
            <v>100 Rooms of Enemies: 10th Anniversary Edition</v>
          </cell>
          <cell r="B9" t="str">
            <v>100 Rooms of Enemies: 10th Anniversary Edition</v>
          </cell>
          <cell r="C9" t="str">
            <v>Daizo Dee Von, Mellonpizza</v>
          </cell>
          <cell r="D9">
            <v>2</v>
          </cell>
          <cell r="E9" t="str">
            <v>Intermediate</v>
          </cell>
          <cell r="F9" t="str">
            <v>Standard</v>
          </cell>
          <cell r="G9">
            <v>45500</v>
          </cell>
          <cell r="H9" t="str">
            <v>38104</v>
          </cell>
          <cell r="I9" t="str">
            <v>https://www.smwcentral.net/?a=details&amp;id=38104&amp;p=section</v>
          </cell>
          <cell r="J9" t="str">
            <v>https://dl.smwcentral.net/38104/100%20Rooms%20of%20Enemies%20-%2010th%20Anniversary%20Edition.zip</v>
          </cell>
        </row>
        <row r="10">
          <cell r="A10" t="str">
            <v>100 Rooms Of Torment</v>
          </cell>
          <cell r="B10" t="str">
            <v>100 Rooms Of Torment</v>
          </cell>
          <cell r="C10" t="str">
            <v>Gasterus155</v>
          </cell>
          <cell r="D10">
            <v>0</v>
          </cell>
          <cell r="E10" t="str">
            <v>Grandmaster</v>
          </cell>
          <cell r="F10" t="str">
            <v>Kaizo</v>
          </cell>
          <cell r="G10">
            <v>46166</v>
          </cell>
          <cell r="H10" t="str">
            <v>42400</v>
          </cell>
          <cell r="I10" t="str">
            <v>https://www.smwcentral.net/?a=details&amp;id=42400&amp;p=section</v>
          </cell>
          <cell r="J10" t="str">
            <v>https://dl.smwcentral.net/42400/100%20Torment%20of%20Rooms.zip</v>
          </cell>
        </row>
        <row r="11">
          <cell r="A11" t="str">
            <v>100th Birthday Cake</v>
          </cell>
          <cell r="B11" t="str">
            <v>100th Birthday Cake</v>
          </cell>
          <cell r="C11" t="str">
            <v>Hwailaluta</v>
          </cell>
          <cell r="D11">
            <v>0</v>
          </cell>
          <cell r="E11" t="str">
            <v>Advanced</v>
          </cell>
          <cell r="F11" t="str">
            <v>Kaizo</v>
          </cell>
          <cell r="G11">
            <v>45237</v>
          </cell>
          <cell r="H11" t="str">
            <v>35444</v>
          </cell>
          <cell r="I11" t="str">
            <v>https://www.smwcentral.net/?a=details&amp;id=35444&amp;p=section</v>
          </cell>
          <cell r="J11" t="str">
            <v>https://dl.smwcentral.net/35444/100th%20Birthday%20Cake.zip</v>
          </cell>
        </row>
        <row r="12">
          <cell r="A12" t="str">
            <v>10yumps</v>
          </cell>
          <cell r="B12" t="str">
            <v>10yumps</v>
          </cell>
          <cell r="C12" t="str">
            <v>Fyre150</v>
          </cell>
          <cell r="D12">
            <v>56</v>
          </cell>
          <cell r="E12" t="str">
            <v>Master</v>
          </cell>
          <cell r="F12" t="str">
            <v>Kaizo</v>
          </cell>
          <cell r="G12">
            <v>46086</v>
          </cell>
          <cell r="H12" t="str">
            <v>41558</v>
          </cell>
          <cell r="I12" t="str">
            <v>https://www.smwcentral.net/?a=details&amp;id=41558&amp;p=section</v>
          </cell>
          <cell r="J12" t="str">
            <v>https://dl.smwcentral.net/41558/10yumps%28real%29.zip</v>
          </cell>
        </row>
        <row r="13">
          <cell r="A13" t="str">
            <v>12 DAY: An SMW Mixtape</v>
          </cell>
          <cell r="B13" t="str">
            <v>12 DAY: An SMW Mixtape</v>
          </cell>
          <cell r="C13" t="str">
            <v>Squirrelyman157</v>
          </cell>
          <cell r="D13">
            <v>11</v>
          </cell>
          <cell r="E13" t="str">
            <v>Advanced</v>
          </cell>
          <cell r="F13" t="str">
            <v>Standard, Kaizo</v>
          </cell>
          <cell r="G13">
            <v>44234</v>
          </cell>
          <cell r="H13" t="str">
            <v>25843</v>
          </cell>
          <cell r="I13" t="str">
            <v>https://www.smwcentral.net/?a=details&amp;id=25843&amp;p=section</v>
          </cell>
          <cell r="J13" t="str">
            <v>https://dl.smwcentral.net/25843/12DAY.zip</v>
          </cell>
        </row>
        <row r="14">
          <cell r="A14" t="str">
            <v>1st Kochobo Dourado Collab</v>
          </cell>
          <cell r="B14" t="str">
            <v>1st Kochobo Dourado Collab</v>
          </cell>
          <cell r="C14" t="str">
            <v>Mario Hacks Group, TheMorganah</v>
          </cell>
          <cell r="D14">
            <v>18</v>
          </cell>
          <cell r="E14" t="str">
            <v>Casual</v>
          </cell>
          <cell r="F14" t="str">
            <v>Standard</v>
          </cell>
          <cell r="G14">
            <v>45125</v>
          </cell>
          <cell r="H14" t="str">
            <v>34370</v>
          </cell>
          <cell r="I14" t="str">
            <v>https://www.smwcentral.net/?a=details&amp;id=34370&amp;p=section</v>
          </cell>
          <cell r="J14" t="str">
            <v>https://dl.smwcentral.net/34370/%5B2020%5D%201st%20Kochobo%20Dourado%20Collab%20V3.0%20%28U%29%20%5BPT-BR%5D.zip</v>
          </cell>
        </row>
        <row r="15">
          <cell r="A15" t="str">
            <v>2 Hour Hack</v>
          </cell>
          <cell r="B15" t="str">
            <v>2 Hour Hack</v>
          </cell>
          <cell r="C15" t="str">
            <v>Magmatic</v>
          </cell>
          <cell r="D15">
            <v>6</v>
          </cell>
          <cell r="E15" t="str">
            <v>Advanced</v>
          </cell>
          <cell r="F15" t="str">
            <v>Standard</v>
          </cell>
          <cell r="G15">
            <v>45944</v>
          </cell>
          <cell r="H15" t="str">
            <v>40799</v>
          </cell>
          <cell r="I15" t="str">
            <v>https://www.smwcentral.net/?a=details&amp;id=40799&amp;p=section</v>
          </cell>
          <cell r="J15" t="str">
            <v>https://dl.smwcentral.net/40799/2hourhack.zip</v>
          </cell>
        </row>
        <row r="16">
          <cell r="A16" t="str">
            <v>2 Player Co-op Quest 2</v>
          </cell>
          <cell r="B16" t="str">
            <v>2 Player Co-op Quest 2</v>
          </cell>
          <cell r="C16" t="str">
            <v>cyphermur9t</v>
          </cell>
          <cell r="D16">
            <v>13</v>
          </cell>
          <cell r="E16" t="str">
            <v>Casual</v>
          </cell>
          <cell r="F16" t="str">
            <v>Standard</v>
          </cell>
          <cell r="G16">
            <v>41808</v>
          </cell>
          <cell r="H16" t="str">
            <v>6593</v>
          </cell>
          <cell r="I16" t="str">
            <v>https://www.smwcentral.net/?a=details&amp;id=6593&amp;p=section</v>
          </cell>
          <cell r="J16" t="str">
            <v>https://dl.smwcentral.net/6593/2%20Player%20Co-op%20Quest%202.zip</v>
          </cell>
        </row>
        <row r="17">
          <cell r="A17" t="str">
            <v>2 Player Co-op Quest!</v>
          </cell>
          <cell r="B17" t="str">
            <v>2 Player Co-op Quest!</v>
          </cell>
          <cell r="C17" t="str">
            <v>cyphermur9t</v>
          </cell>
          <cell r="D17">
            <v>8</v>
          </cell>
          <cell r="E17" t="str">
            <v>Casual</v>
          </cell>
          <cell r="F17" t="str">
            <v>Standard</v>
          </cell>
          <cell r="G17">
            <v>41549</v>
          </cell>
          <cell r="H17" t="str">
            <v>5559</v>
          </cell>
          <cell r="I17" t="str">
            <v>https://www.smwcentral.net/?a=details&amp;id=5559&amp;p=section</v>
          </cell>
          <cell r="J17" t="str">
            <v>https://dl.smwcentral.net/5559/2%20Player%20Co-op%20Quest.zip</v>
          </cell>
        </row>
        <row r="18">
          <cell r="A18" t="str">
            <v>20 Challenges: Episode 1 - A feard enemy</v>
          </cell>
          <cell r="B18" t="str">
            <v>20 Challenges: Episode 1 - A feard enemy</v>
          </cell>
          <cell r="C18" t="str">
            <v>Drakel</v>
          </cell>
          <cell r="D18">
            <v>1</v>
          </cell>
          <cell r="E18" t="str">
            <v>Intermediate</v>
          </cell>
          <cell r="F18" t="str">
            <v>Standard</v>
          </cell>
          <cell r="G18">
            <v>45484</v>
          </cell>
          <cell r="H18" t="str">
            <v>38065</v>
          </cell>
          <cell r="I18" t="str">
            <v>https://www.smwcentral.net/?a=details&amp;id=38065&amp;p=section</v>
          </cell>
          <cell r="J18" t="str">
            <v>https://dl.smwcentral.net/38065/20ChallengesE1.zip</v>
          </cell>
        </row>
        <row r="19">
          <cell r="A19" t="str">
            <v>20 Challenges: Episode 2 - Witchcraft</v>
          </cell>
          <cell r="B19" t="str">
            <v>20 Challenges: Episode 2 - Witchcraft</v>
          </cell>
          <cell r="C19" t="str">
            <v>Drakel</v>
          </cell>
          <cell r="D19">
            <v>1</v>
          </cell>
          <cell r="E19" t="str">
            <v>Intermediate</v>
          </cell>
          <cell r="F19" t="str">
            <v>Standard</v>
          </cell>
          <cell r="G19">
            <v>45584</v>
          </cell>
          <cell r="H19" t="str">
            <v>38585</v>
          </cell>
          <cell r="I19" t="str">
            <v>https://www.smwcentral.net/?a=details&amp;id=38585&amp;p=section</v>
          </cell>
          <cell r="J19" t="str">
            <v>https://dl.smwcentral.net/38585/20ChallengesE2.zip</v>
          </cell>
        </row>
        <row r="20">
          <cell r="A20" t="str">
            <v>20 Challenges: Episode 3 - The tale from a bone</v>
          </cell>
          <cell r="B20" t="str">
            <v>20 Challenges: Episode 3 - The tale from a bone</v>
          </cell>
          <cell r="C20" t="str">
            <v>Drakel</v>
          </cell>
          <cell r="D20">
            <v>1</v>
          </cell>
          <cell r="E20" t="str">
            <v>Intermediate</v>
          </cell>
          <cell r="F20" t="str">
            <v>Standard</v>
          </cell>
          <cell r="G20">
            <v>45664</v>
          </cell>
          <cell r="H20" t="str">
            <v>39007</v>
          </cell>
          <cell r="I20" t="str">
            <v>https://www.smwcentral.net/?a=details&amp;id=39007&amp;p=section</v>
          </cell>
          <cell r="J20" t="str">
            <v>https://dl.smwcentral.net/39007/20ChallengesE3.zip</v>
          </cell>
        </row>
        <row r="21">
          <cell r="A21" t="str">
            <v>20 Challenges: Episode 4 - Temple of the elements</v>
          </cell>
          <cell r="B21" t="str">
            <v>20 Challenges: Episode 4 - Temple of the elements</v>
          </cell>
          <cell r="C21" t="str">
            <v>Drakel</v>
          </cell>
          <cell r="D21">
            <v>1</v>
          </cell>
          <cell r="E21" t="str">
            <v>Intermediate</v>
          </cell>
          <cell r="F21" t="str">
            <v>Standard</v>
          </cell>
          <cell r="G21">
            <v>45797</v>
          </cell>
          <cell r="H21" t="str">
            <v>39850</v>
          </cell>
          <cell r="I21" t="str">
            <v>https://www.smwcentral.net/?a=details&amp;id=39850&amp;p=section</v>
          </cell>
          <cell r="J21" t="str">
            <v>https://dl.smwcentral.net/39850/20ChallengesE4.zip</v>
          </cell>
        </row>
        <row r="22">
          <cell r="A22" t="str">
            <v>20 Challenges: Episode 5 - Community Vibe</v>
          </cell>
          <cell r="B22" t="str">
            <v>20 Challenges: Episode 5 - Community Vibe</v>
          </cell>
          <cell r="C22" t="str">
            <v>Drakel</v>
          </cell>
          <cell r="D22">
            <v>1</v>
          </cell>
          <cell r="E22" t="str">
            <v>Intermediate</v>
          </cell>
          <cell r="F22" t="str">
            <v>Standard</v>
          </cell>
          <cell r="G22">
            <v>46063</v>
          </cell>
          <cell r="H22" t="str">
            <v>41543</v>
          </cell>
          <cell r="I22" t="str">
            <v>https://www.smwcentral.net/?a=details&amp;id=41543&amp;p=section</v>
          </cell>
          <cell r="J22" t="str">
            <v>https://dl.smwcentral.net/41543/20ChallengesE5.zip</v>
          </cell>
        </row>
        <row r="23">
          <cell r="A23" t="str">
            <v>2019 Blind Kaizo Relay Level Collaboration</v>
          </cell>
          <cell r="B23" t="str">
            <v>2019 Blind Kaizo Relay Level Collaboration</v>
          </cell>
          <cell r="C23" t="str">
            <v>ChrisG___, Freakin_HA, IcyFruit, MarkAlarm, NeXuS15, Romhack Races Team, Valdio, dtothefourth</v>
          </cell>
          <cell r="D23">
            <v>7</v>
          </cell>
          <cell r="E23" t="str">
            <v>Expert</v>
          </cell>
          <cell r="F23" t="str">
            <v>Kaizo</v>
          </cell>
          <cell r="G23">
            <v>43648</v>
          </cell>
          <cell r="H23" t="str">
            <v>20319</v>
          </cell>
          <cell r="I23" t="str">
            <v>https://www.smwcentral.net/?a=details&amp;id=20319&amp;p=section</v>
          </cell>
          <cell r="J23" t="str">
            <v>https://dl.smwcentral.net/20319/2019%20Blind%20Kaizo%20Relay%20Level%20Collaboration.zip</v>
          </cell>
        </row>
        <row r="24">
          <cell r="A24" t="str">
            <v>22H</v>
          </cell>
          <cell r="B24" t="str">
            <v>22H</v>
          </cell>
          <cell r="C24" t="str">
            <v>random_box</v>
          </cell>
          <cell r="D24">
            <v>21</v>
          </cell>
          <cell r="E24" t="str">
            <v>Grandmaster</v>
          </cell>
          <cell r="F24" t="str">
            <v>Kaizo</v>
          </cell>
          <cell r="G24">
            <v>45583</v>
          </cell>
          <cell r="H24" t="str">
            <v>38406</v>
          </cell>
          <cell r="I24" t="str">
            <v>https://www.smwcentral.net/?a=details&amp;id=38406&amp;p=section</v>
          </cell>
          <cell r="J24" t="str">
            <v>https://dl.smwcentral.net/38406/22H%20v1.1.zip</v>
          </cell>
        </row>
        <row r="25">
          <cell r="A25" t="str">
            <v>2K Shells</v>
          </cell>
          <cell r="B25" t="str">
            <v>2K Shells</v>
          </cell>
          <cell r="C25" t="str">
            <v>Rapha2k, arantes</v>
          </cell>
          <cell r="D25">
            <v>17</v>
          </cell>
          <cell r="E25" t="str">
            <v>Advanced</v>
          </cell>
          <cell r="F25" t="str">
            <v>Kaizo</v>
          </cell>
          <cell r="G25">
            <v>45436</v>
          </cell>
          <cell r="H25" t="str">
            <v>37821</v>
          </cell>
          <cell r="I25" t="str">
            <v>https://www.smwcentral.net/?a=details&amp;id=37821&amp;p=section</v>
          </cell>
          <cell r="J25" t="str">
            <v>https://dl.smwcentral.net/37821/2k%20Shells%20v1.1.zip</v>
          </cell>
        </row>
        <row r="26">
          <cell r="A26" t="str">
            <v>2Kaizo2Learn</v>
          </cell>
          <cell r="B26" t="str">
            <v>2Kaizo2Learn</v>
          </cell>
          <cell r="C26" t="str">
            <v>blueribbonhighlife</v>
          </cell>
          <cell r="D26">
            <v>69</v>
          </cell>
          <cell r="E26" t="str">
            <v>Intermediate</v>
          </cell>
          <cell r="F26" t="str">
            <v>Kaizo</v>
          </cell>
          <cell r="G26">
            <v>44885</v>
          </cell>
          <cell r="H26" t="str">
            <v>32593</v>
          </cell>
          <cell r="I26" t="str">
            <v>https://www.smwcentral.net/?a=details&amp;id=32593&amp;p=section</v>
          </cell>
          <cell r="J26" t="str">
            <v>https://dl.smwcentral.net/32593/2Kaizo2Learn_1.0.zip</v>
          </cell>
        </row>
        <row r="27">
          <cell r="A27" t="str">
            <v>3 Islands of Shells</v>
          </cell>
          <cell r="B27" t="str">
            <v>3 Islands of Shells</v>
          </cell>
          <cell r="C27" t="str">
            <v>Gulaschko</v>
          </cell>
          <cell r="D27">
            <v>9</v>
          </cell>
          <cell r="E27" t="str">
            <v>Expert</v>
          </cell>
          <cell r="F27" t="str">
            <v>Kaizo</v>
          </cell>
          <cell r="G27">
            <v>44664</v>
          </cell>
          <cell r="H27" t="str">
            <v>30435</v>
          </cell>
          <cell r="I27" t="str">
            <v>https://www.smwcentral.net/?a=details&amp;id=30435&amp;p=section</v>
          </cell>
          <cell r="J27" t="str">
            <v>https://dl.smwcentral.net/30435/3%20Islands%20of%20Shells%20V.2.0.zip</v>
          </cell>
        </row>
        <row r="28">
          <cell r="A28" t="str">
            <v>3 Trials</v>
          </cell>
          <cell r="B28" t="str">
            <v>3 Trials</v>
          </cell>
          <cell r="C28" t="str">
            <v>I8Strudel</v>
          </cell>
          <cell r="D28">
            <v>4</v>
          </cell>
          <cell r="E28" t="str">
            <v>Casual</v>
          </cell>
          <cell r="F28" t="str">
            <v>Standard</v>
          </cell>
          <cell r="G28">
            <v>42235</v>
          </cell>
          <cell r="H28" t="str">
            <v>9893</v>
          </cell>
          <cell r="I28" t="str">
            <v>https://www.smwcentral.net/?a=details&amp;id=9893&amp;p=section</v>
          </cell>
          <cell r="J28" t="str">
            <v>https://dl.smwcentral.net/9893/3_Trials_I8Strudel_V_1.zip</v>
          </cell>
        </row>
        <row r="29">
          <cell r="A29" t="str">
            <v>35 Questions Deluxe</v>
          </cell>
          <cell r="B29" t="str">
            <v>35 Questions Deluxe</v>
          </cell>
          <cell r="C29" t="str">
            <v>random_box</v>
          </cell>
          <cell r="D29">
            <v>35</v>
          </cell>
          <cell r="E29" t="str">
            <v>Master</v>
          </cell>
          <cell r="F29" t="str">
            <v>Kaizo</v>
          </cell>
          <cell r="G29">
            <v>44164</v>
          </cell>
          <cell r="H29" t="str">
            <v>25310</v>
          </cell>
          <cell r="I29" t="str">
            <v>https://www.smwcentral.net/?a=details&amp;id=25310&amp;p=section</v>
          </cell>
          <cell r="J29" t="str">
            <v>https://dl.smwcentral.net/25310/35QuestionsDeluxe.zip</v>
          </cell>
        </row>
        <row r="30">
          <cell r="A30" t="str">
            <v>35 Rooms of Nonsense</v>
          </cell>
          <cell r="B30" t="str">
            <v>35 Rooms of Nonsense</v>
          </cell>
          <cell r="C30" t="str">
            <v>spratt</v>
          </cell>
          <cell r="D30">
            <v>1</v>
          </cell>
          <cell r="E30" t="str">
            <v>Master</v>
          </cell>
          <cell r="F30" t="str">
            <v>Kaizo</v>
          </cell>
          <cell r="G30">
            <v>45082</v>
          </cell>
          <cell r="H30" t="str">
            <v>34013</v>
          </cell>
          <cell r="I30" t="str">
            <v>https://www.smwcentral.net/?a=details&amp;id=34013&amp;p=section</v>
          </cell>
          <cell r="J30" t="str">
            <v>https://dl.smwcentral.net/34013/nonsense.zip</v>
          </cell>
        </row>
        <row r="31">
          <cell r="A31" t="str">
            <v>4 YUMPs For Yoshi</v>
          </cell>
          <cell r="B31" t="str">
            <v>4 YUMPs For Yoshi</v>
          </cell>
          <cell r="C31" t="str">
            <v>AmazingChest</v>
          </cell>
          <cell r="D31">
            <v>4</v>
          </cell>
          <cell r="E31" t="str">
            <v>Expert</v>
          </cell>
          <cell r="F31" t="str">
            <v>Kaizo</v>
          </cell>
          <cell r="G31">
            <v>44252</v>
          </cell>
          <cell r="H31" t="str">
            <v>26253</v>
          </cell>
          <cell r="I31" t="str">
            <v>https://www.smwcentral.net/?a=details&amp;id=26253&amp;p=section</v>
          </cell>
          <cell r="J31" t="str">
            <v>https://dl.smwcentral.net/26253/4-yumps-for-yoshi-v12.zip</v>
          </cell>
        </row>
        <row r="32">
          <cell r="A32" t="str">
            <v>45 Rooms of Balderdash</v>
          </cell>
          <cell r="B32" t="str">
            <v>45 Rooms of Balderdash</v>
          </cell>
          <cell r="C32" t="str">
            <v>spratt</v>
          </cell>
          <cell r="D32">
            <v>1</v>
          </cell>
          <cell r="E32" t="str">
            <v>Master</v>
          </cell>
          <cell r="F32" t="str">
            <v>Kaizo</v>
          </cell>
          <cell r="G32">
            <v>45725</v>
          </cell>
          <cell r="H32" t="str">
            <v>39505</v>
          </cell>
          <cell r="I32" t="str">
            <v>https://www.smwcentral.net/?a=details&amp;id=39505&amp;p=section</v>
          </cell>
          <cell r="J32" t="str">
            <v>https://dl.smwcentral.net/39505/balderdash.zip</v>
          </cell>
        </row>
        <row r="33">
          <cell r="A33" t="str">
            <v>4th Chamber</v>
          </cell>
          <cell r="B33" t="str">
            <v>4th Chamber</v>
          </cell>
          <cell r="C33" t="str">
            <v>Abstract</v>
          </cell>
          <cell r="D33">
            <v>29</v>
          </cell>
          <cell r="E33" t="str">
            <v>Master</v>
          </cell>
          <cell r="F33" t="str">
            <v>Kaizo</v>
          </cell>
          <cell r="G33">
            <v>44862</v>
          </cell>
          <cell r="H33" t="str">
            <v>32431</v>
          </cell>
          <cell r="I33" t="str">
            <v>https://www.smwcentral.net/?a=details&amp;id=32431&amp;p=section</v>
          </cell>
          <cell r="J33" t="str">
            <v>https://dl.smwcentral.net/32431/4th%20Chamber.zip</v>
          </cell>
        </row>
        <row r="34">
          <cell r="A34" t="str">
            <v>5 Level Hack</v>
          </cell>
          <cell r="B34" t="str">
            <v>5 Level Hack</v>
          </cell>
          <cell r="C34" t="str">
            <v>grishnax</v>
          </cell>
          <cell r="D34">
            <v>5</v>
          </cell>
          <cell r="E34" t="str">
            <v>Casual</v>
          </cell>
          <cell r="F34" t="str">
            <v>Standard</v>
          </cell>
          <cell r="G34">
            <v>42114</v>
          </cell>
          <cell r="H34" t="str">
            <v>9639</v>
          </cell>
          <cell r="I34" t="str">
            <v>https://www.smwcentral.net/?a=details&amp;id=9639&amp;p=section</v>
          </cell>
          <cell r="J34" t="str">
            <v>https://dl.smwcentral.net/9639/5LevelHack.zip</v>
          </cell>
        </row>
        <row r="35">
          <cell r="A35" t="str">
            <v>5 Orbs</v>
          </cell>
          <cell r="B35" t="str">
            <v>5 Orbs</v>
          </cell>
          <cell r="C35" t="str">
            <v>Shy-Hi</v>
          </cell>
          <cell r="D35">
            <v>16</v>
          </cell>
          <cell r="E35" t="str">
            <v>Newcomer</v>
          </cell>
          <cell r="F35" t="str">
            <v>Standard</v>
          </cell>
          <cell r="G35">
            <v>41457</v>
          </cell>
          <cell r="H35" t="str">
            <v>5257</v>
          </cell>
          <cell r="I35" t="str">
            <v>https://www.smwcentral.net/?a=details&amp;id=5257&amp;p=section</v>
          </cell>
          <cell r="J35" t="str">
            <v>https://dl.smwcentral.net/5257/5%20Orbs%20Demo%201.zip</v>
          </cell>
        </row>
        <row r="36">
          <cell r="A36" t="str">
            <v>5.3.20 Magnolia</v>
          </cell>
          <cell r="B36" t="str">
            <v>5.3.20 Magnolia</v>
          </cell>
          <cell r="C36" t="str">
            <v>Robju</v>
          </cell>
          <cell r="D36">
            <v>14</v>
          </cell>
          <cell r="E36" t="str">
            <v>Casual</v>
          </cell>
          <cell r="F36" t="str">
            <v>Standard</v>
          </cell>
          <cell r="G36">
            <v>43962</v>
          </cell>
          <cell r="H36" t="str">
            <v>22945</v>
          </cell>
          <cell r="I36" t="str">
            <v>https://www.smwcentral.net/?a=details&amp;id=22945&amp;p=section</v>
          </cell>
          <cell r="J36" t="str">
            <v>https://dl.smwcentral.net/22945/5.3.20%20Magnolia.zip</v>
          </cell>
        </row>
        <row r="37">
          <cell r="A37" t="str">
            <v>6 HOURS</v>
          </cell>
          <cell r="B37" t="str">
            <v>6 HOURS</v>
          </cell>
          <cell r="C37" t="str">
            <v>aur</v>
          </cell>
          <cell r="D37">
            <v>6</v>
          </cell>
          <cell r="E37" t="str">
            <v>Advanced</v>
          </cell>
          <cell r="F37" t="str">
            <v>Kaizo</v>
          </cell>
          <cell r="G37">
            <v>45964</v>
          </cell>
          <cell r="H37" t="str">
            <v>40952</v>
          </cell>
          <cell r="I37" t="str">
            <v>https://www.smwcentral.net/?a=details&amp;id=40952&amp;p=section</v>
          </cell>
          <cell r="J37" t="str">
            <v>https://dl.smwcentral.net/40952/6HOURS.zip</v>
          </cell>
        </row>
        <row r="38">
          <cell r="A38" t="str">
            <v>8 SCREENS</v>
          </cell>
          <cell r="B38" t="str">
            <v>8 SCREENS</v>
          </cell>
          <cell r="C38" t="str">
            <v>Nitrogen</v>
          </cell>
          <cell r="D38">
            <v>6</v>
          </cell>
          <cell r="E38" t="str">
            <v>Advanced</v>
          </cell>
          <cell r="F38" t="str">
            <v>Standard</v>
          </cell>
          <cell r="G38">
            <v>45963</v>
          </cell>
          <cell r="H38" t="str">
            <v>40929</v>
          </cell>
          <cell r="I38" t="str">
            <v>https://www.smwcentral.net/?a=details&amp;id=40929&amp;p=section</v>
          </cell>
          <cell r="J38" t="str">
            <v>https://dl.smwcentral.net/40929/8%20SCREENS.zip</v>
          </cell>
        </row>
        <row r="39">
          <cell r="A39" t="str">
            <v>8 Trials Await</v>
          </cell>
          <cell r="B39" t="str">
            <v>8 Trials Await</v>
          </cell>
          <cell r="C39" t="str">
            <v>GearboxGoober</v>
          </cell>
          <cell r="D39">
            <v>8</v>
          </cell>
          <cell r="E39" t="str">
            <v>Newcomer</v>
          </cell>
          <cell r="F39" t="str">
            <v>Standard</v>
          </cell>
          <cell r="G39">
            <v>43703</v>
          </cell>
          <cell r="H39" t="str">
            <v>20899</v>
          </cell>
          <cell r="I39" t="str">
            <v>https://www.smwcentral.net/?a=details&amp;id=20899&amp;p=section</v>
          </cell>
          <cell r="J39" t="str">
            <v>https://dl.smwcentral.net/20899/8%20Trials%20Await.zip</v>
          </cell>
        </row>
        <row r="40">
          <cell r="A40" t="str">
            <v>8-bit Mario World - Desert Mario</v>
          </cell>
          <cell r="B40" t="str">
            <v>8-bit Mario World - Desert Mario</v>
          </cell>
          <cell r="C40" t="str">
            <v>Green Jerry</v>
          </cell>
          <cell r="D40">
            <v>1</v>
          </cell>
          <cell r="E40" t="str">
            <v>Newcomer</v>
          </cell>
          <cell r="F40" t="str">
            <v>Standard</v>
          </cell>
          <cell r="G40">
            <v>42690</v>
          </cell>
          <cell r="H40" t="str">
            <v>14593</v>
          </cell>
          <cell r="I40" t="str">
            <v>https://www.smwcentral.net/?a=details&amp;id=14593&amp;p=section</v>
          </cell>
          <cell r="J40" t="str">
            <v>https://dl.smwcentral.net/14593/8-bit%20Mario%20World%20-%20Desert%20Mario%20ver.%201.3.zip</v>
          </cell>
        </row>
        <row r="41">
          <cell r="A41" t="str">
            <v>8:40</v>
          </cell>
          <cell r="B41" t="str">
            <v>8:40</v>
          </cell>
          <cell r="C41" t="str">
            <v>Irondill</v>
          </cell>
          <cell r="D41">
            <v>0</v>
          </cell>
          <cell r="E41" t="str">
            <v>Advanced</v>
          </cell>
          <cell r="F41" t="str">
            <v>Kaizo</v>
          </cell>
          <cell r="G41">
            <v>44420</v>
          </cell>
          <cell r="H41" t="str">
            <v>27975</v>
          </cell>
          <cell r="I41" t="str">
            <v>https://www.smwcentral.net/?a=details&amp;id=27975&amp;p=section</v>
          </cell>
          <cell r="J41" t="str">
            <v>https://dl.smwcentral.net/27975/8%3B40.zip</v>
          </cell>
        </row>
        <row r="42">
          <cell r="A42" t="str">
            <v>9 Dreams</v>
          </cell>
          <cell r="B42" t="str">
            <v>9 Dreams</v>
          </cell>
          <cell r="C42" t="str">
            <v>VLSkoot</v>
          </cell>
          <cell r="D42">
            <v>9</v>
          </cell>
          <cell r="E42" t="str">
            <v>Expert</v>
          </cell>
          <cell r="F42" t="str">
            <v>Kaizo</v>
          </cell>
          <cell r="G42">
            <v>45617</v>
          </cell>
          <cell r="H42" t="str">
            <v>38806</v>
          </cell>
          <cell r="I42" t="str">
            <v>https://www.smwcentral.net/?a=details&amp;id=38806&amp;p=section</v>
          </cell>
          <cell r="J42" t="str">
            <v>https://dl.smwcentral.net/38806/9%20Dreams.zip</v>
          </cell>
        </row>
        <row r="43">
          <cell r="A43" t="str">
            <v>9 LONG ADVENTURES</v>
          </cell>
          <cell r="B43" t="str">
            <v>9 LONG ADVENTURES</v>
          </cell>
          <cell r="C43" t="str">
            <v>Jonathan82GR</v>
          </cell>
          <cell r="D43">
            <v>10</v>
          </cell>
          <cell r="E43" t="str">
            <v>Intermediate</v>
          </cell>
          <cell r="F43" t="str">
            <v>Standard</v>
          </cell>
          <cell r="G43">
            <v>43865</v>
          </cell>
          <cell r="H43" t="str">
            <v>21890</v>
          </cell>
          <cell r="I43" t="str">
            <v>https://www.smwcentral.net/?a=details&amp;id=21890&amp;p=section</v>
          </cell>
          <cell r="J43" t="str">
            <v>https://dl.smwcentral.net/21890/9LA.zip</v>
          </cell>
        </row>
        <row r="44">
          <cell r="A44" t="str">
            <v>[Demo] Mario Adventure Land</v>
          </cell>
          <cell r="B44" t="str">
            <v>[Demo] Mario Adventure Land</v>
          </cell>
          <cell r="C44" t="str">
            <v>Ennui Goldfeld</v>
          </cell>
          <cell r="D44">
            <v>5</v>
          </cell>
          <cell r="E44" t="str">
            <v>Casual</v>
          </cell>
          <cell r="F44" t="str">
            <v>Standard</v>
          </cell>
          <cell r="G44">
            <v>45477</v>
          </cell>
          <cell r="H44" t="str">
            <v>37997</v>
          </cell>
          <cell r="I44" t="str">
            <v>https://www.smwcentral.net/?a=details&amp;id=37997&amp;p=section</v>
          </cell>
          <cell r="J44" t="str">
            <v>https://dl.smwcentral.net/37997/Mario%20Adventure%20Land.zip</v>
          </cell>
        </row>
        <row r="45">
          <cell r="A45" t="str">
            <v>A Baby Yoshi Quest</v>
          </cell>
          <cell r="B45" t="str">
            <v>A Baby Yoshi Quest</v>
          </cell>
          <cell r="C45" t="str">
            <v>that1bigbossyouhate</v>
          </cell>
          <cell r="D45">
            <v>9</v>
          </cell>
          <cell r="E45" t="str">
            <v>Intermediate</v>
          </cell>
          <cell r="F45" t="str">
            <v>Standard</v>
          </cell>
          <cell r="G45">
            <v>44006</v>
          </cell>
          <cell r="H45" t="str">
            <v>23415</v>
          </cell>
          <cell r="I45" t="str">
            <v>https://www.smwcentral.net/?a=details&amp;id=23415&amp;p=section</v>
          </cell>
          <cell r="J45" t="str">
            <v>https://dl.smwcentral.net/23415/A%20BABY%20YOSHI%20QUEST%201.5%20%28DEMO%29.zip</v>
          </cell>
        </row>
        <row r="46">
          <cell r="A46" t="str">
            <v>A Chance for Glory</v>
          </cell>
          <cell r="B46" t="str">
            <v>A Chance for Glory</v>
          </cell>
          <cell r="C46" t="str">
            <v>Nciktendo</v>
          </cell>
          <cell r="D46">
            <v>0</v>
          </cell>
          <cell r="E46" t="str">
            <v>Intermediate</v>
          </cell>
          <cell r="F46" t="str">
            <v>Standard, Kaizo</v>
          </cell>
          <cell r="G46">
            <v>44946</v>
          </cell>
          <cell r="H46" t="str">
            <v>32181</v>
          </cell>
          <cell r="I46" t="str">
            <v>https://www.smwcentral.net/?a=details&amp;id=32181&amp;p=section</v>
          </cell>
          <cell r="J46" t="str">
            <v>https://dl.smwcentral.net/32181/A_Chance_for_Glory.zip</v>
          </cell>
        </row>
        <row r="47">
          <cell r="A47" t="str">
            <v>A Christmas Gift</v>
          </cell>
          <cell r="B47" t="str">
            <v>A Christmas Gift</v>
          </cell>
          <cell r="C47" t="str">
            <v>The_Uber_Camper</v>
          </cell>
          <cell r="D47">
            <v>4</v>
          </cell>
          <cell r="E47" t="str">
            <v>Intermediate</v>
          </cell>
          <cell r="F47" t="str">
            <v>Kaizo</v>
          </cell>
          <cell r="G47">
            <v>44540</v>
          </cell>
          <cell r="H47" t="str">
            <v>28957</v>
          </cell>
          <cell r="I47" t="str">
            <v>https://www.smwcentral.net/?a=details&amp;id=28957&amp;p=section</v>
          </cell>
          <cell r="J47" t="str">
            <v>https://dl.smwcentral.net/28957/AChristmasGift.zip</v>
          </cell>
        </row>
        <row r="48">
          <cell r="A48" t="str">
            <v>A Christmas Gift: Timmy's Final Gift</v>
          </cell>
          <cell r="B48" t="str">
            <v>A Christmas Gift: Timmy's Final Gift</v>
          </cell>
          <cell r="C48" t="str">
            <v>The_Uber_Camper</v>
          </cell>
          <cell r="D48">
            <v>5</v>
          </cell>
          <cell r="E48" t="str">
            <v>Advanced</v>
          </cell>
          <cell r="F48" t="str">
            <v>Kaizo</v>
          </cell>
          <cell r="G48">
            <v>45268</v>
          </cell>
          <cell r="H48" t="str">
            <v>35663</v>
          </cell>
          <cell r="I48" t="str">
            <v>https://www.smwcentral.net/?a=details&amp;id=35663&amp;p=section</v>
          </cell>
          <cell r="J48" t="str">
            <v>https://dl.smwcentral.net/35663/A%20Christmas%20Gift%20-%20Timmy%27s%20Final%20Gift.zip</v>
          </cell>
        </row>
        <row r="49">
          <cell r="A49" t="str">
            <v>A Christmas Walk</v>
          </cell>
          <cell r="B49" t="str">
            <v>A Christmas Walk</v>
          </cell>
          <cell r="C49" t="str">
            <v>MATTAN</v>
          </cell>
          <cell r="D49">
            <v>1</v>
          </cell>
          <cell r="E49" t="str">
            <v>Casual</v>
          </cell>
          <cell r="F49" t="str">
            <v>Standard</v>
          </cell>
          <cell r="G49">
            <v>43827</v>
          </cell>
          <cell r="H49" t="str">
            <v>21704</v>
          </cell>
          <cell r="I49" t="str">
            <v>https://www.smwcentral.net/?a=details&amp;id=21704&amp;p=section</v>
          </cell>
          <cell r="J49" t="str">
            <v>https://dl.smwcentral.net/21704/A%20christmas%20walk%20%28Music%20Fixed%29.zip</v>
          </cell>
        </row>
        <row r="50">
          <cell r="A50" t="str">
            <v>A Cold Day In Shell</v>
          </cell>
          <cell r="B50" t="str">
            <v>A Cold Day In Shell</v>
          </cell>
          <cell r="C50" t="str">
            <v>Ryuoxel</v>
          </cell>
          <cell r="D50">
            <v>7</v>
          </cell>
          <cell r="E50" t="str">
            <v>Expert</v>
          </cell>
          <cell r="F50" t="str">
            <v>Kaizo</v>
          </cell>
          <cell r="G50">
            <v>45533</v>
          </cell>
          <cell r="H50" t="str">
            <v>38259</v>
          </cell>
          <cell r="I50" t="str">
            <v>https://www.smwcentral.net/?a=details&amp;id=38259&amp;p=section</v>
          </cell>
          <cell r="J50" t="str">
            <v>https://dl.smwcentral.net/38259/A%20Cold%20Day%20In%20Shell.zip</v>
          </cell>
        </row>
        <row r="51">
          <cell r="A51" t="str">
            <v>A Difficult Journey</v>
          </cell>
          <cell r="B51" t="str">
            <v>A Difficult Journey</v>
          </cell>
          <cell r="C51" t="str">
            <v>Cal-of-Gearva</v>
          </cell>
          <cell r="D51">
            <v>12</v>
          </cell>
          <cell r="E51" t="str">
            <v>Casual</v>
          </cell>
          <cell r="F51" t="str">
            <v>Standard</v>
          </cell>
          <cell r="G51">
            <v>43918</v>
          </cell>
          <cell r="H51" t="str">
            <v>22376</v>
          </cell>
          <cell r="I51" t="str">
            <v>https://www.smwcentral.net/?a=details&amp;id=22376&amp;p=section</v>
          </cell>
          <cell r="J51" t="str">
            <v>https://dl.smwcentral.net/22376/A%20Difficult%20Journey.zip</v>
          </cell>
        </row>
        <row r="52">
          <cell r="A52" t="str">
            <v>A FIP</v>
          </cell>
          <cell r="B52" t="str">
            <v>A FIP</v>
          </cell>
          <cell r="C52" t="str">
            <v>NikSik1</v>
          </cell>
          <cell r="D52">
            <v>0</v>
          </cell>
          <cell r="E52" t="str">
            <v>Master</v>
          </cell>
          <cell r="F52" t="str">
            <v>Kaizo</v>
          </cell>
          <cell r="G52">
            <v>44794</v>
          </cell>
          <cell r="H52" t="str">
            <v>31904</v>
          </cell>
          <cell r="I52" t="str">
            <v>https://www.smwcentral.net/?a=details&amp;id=31904&amp;p=section</v>
          </cell>
          <cell r="J52" t="str">
            <v>https://dl.smwcentral.net/31904/A%20FIP.zip</v>
          </cell>
        </row>
        <row r="53">
          <cell r="A53" t="str">
            <v>A Frivolous Journey</v>
          </cell>
          <cell r="B53" t="str">
            <v>A Frivolous Journey</v>
          </cell>
          <cell r="C53" t="str">
            <v>Chromite</v>
          </cell>
          <cell r="D53">
            <v>7</v>
          </cell>
          <cell r="E53" t="str">
            <v>Casual</v>
          </cell>
          <cell r="F53" t="str">
            <v>Standard</v>
          </cell>
          <cell r="G53">
            <v>42710</v>
          </cell>
          <cell r="H53" t="str">
            <v>14688</v>
          </cell>
          <cell r="I53" t="str">
            <v>https://www.smwcentral.net/?a=details&amp;id=14688&amp;p=section</v>
          </cell>
          <cell r="J53" t="str">
            <v>https://dl.smwcentral.net/14688/frivolous.zip</v>
          </cell>
        </row>
        <row r="54">
          <cell r="A54" t="str">
            <v>A Goblin's Quest to Leave Her House and Get a Gyro For Lunch Because She Was Hungry</v>
          </cell>
          <cell r="B54" t="str">
            <v>A Goblin's Quest to Leave Her House and Get a Gyro For Lunch Because She Was Hungry</v>
          </cell>
          <cell r="C54" t="str">
            <v>Lizstar</v>
          </cell>
          <cell r="D54">
            <v>24</v>
          </cell>
          <cell r="E54" t="str">
            <v>Expert</v>
          </cell>
          <cell r="F54" t="str">
            <v>Kaizo</v>
          </cell>
          <cell r="G54">
            <v>44342</v>
          </cell>
          <cell r="H54" t="str">
            <v>26928</v>
          </cell>
          <cell r="I54" t="str">
            <v>https://www.smwcentral.net/?a=details&amp;id=26928&amp;p=section</v>
          </cell>
          <cell r="J54" t="str">
            <v>https://dl.smwcentral.net/26928/A%20Goblin%27s%20Quest.zip</v>
          </cell>
        </row>
        <row r="55">
          <cell r="A55" t="str">
            <v>A Goomba's Walk</v>
          </cell>
          <cell r="B55" t="str">
            <v>A Goomba's Walk</v>
          </cell>
          <cell r="C55" t="str">
            <v>Luks</v>
          </cell>
          <cell r="D55">
            <v>7</v>
          </cell>
          <cell r="E55" t="str">
            <v>Intermediate</v>
          </cell>
          <cell r="F55" t="str">
            <v>Standard</v>
          </cell>
          <cell r="G55">
            <v>42013</v>
          </cell>
          <cell r="H55" t="str">
            <v>10456</v>
          </cell>
          <cell r="I55" t="str">
            <v>https://www.smwcentral.net/?a=details&amp;id=10456&amp;p=section</v>
          </cell>
          <cell r="J55" t="str">
            <v>https://dl.smwcentral.net/10456/GW.zip</v>
          </cell>
        </row>
        <row r="56">
          <cell r="A56" t="str">
            <v>A Hack Thing</v>
          </cell>
          <cell r="B56" t="str">
            <v>A Hack Thing</v>
          </cell>
          <cell r="C56" t="str">
            <v>MercuryPenny</v>
          </cell>
          <cell r="D56">
            <v>11</v>
          </cell>
          <cell r="E56" t="str">
            <v>Newcomer</v>
          </cell>
          <cell r="F56" t="str">
            <v>Standard</v>
          </cell>
          <cell r="G56">
            <v>42011</v>
          </cell>
          <cell r="H56" t="str">
            <v>10416</v>
          </cell>
          <cell r="I56" t="str">
            <v>https://www.smwcentral.net/?a=details&amp;id=10416&amp;p=section</v>
          </cell>
          <cell r="J56" t="str">
            <v>https://dl.smwcentral.net/10416/A%20Hack%20Thing%20v1.3.zip</v>
          </cell>
        </row>
        <row r="57">
          <cell r="A57" t="str">
            <v>A Hack Thing 2</v>
          </cell>
          <cell r="B57" t="str">
            <v>A Hack Thing 2</v>
          </cell>
          <cell r="C57" t="str">
            <v>MercuryPenny</v>
          </cell>
          <cell r="D57">
            <v>12</v>
          </cell>
          <cell r="E57" t="str">
            <v>Casual</v>
          </cell>
          <cell r="F57" t="str">
            <v>Standard</v>
          </cell>
          <cell r="G57">
            <v>42069</v>
          </cell>
          <cell r="H57" t="str">
            <v>10928</v>
          </cell>
          <cell r="I57" t="str">
            <v>https://www.smwcentral.net/?a=details&amp;id=10928&amp;p=section</v>
          </cell>
          <cell r="J57" t="str">
            <v>https://dl.smwcentral.net/10928/a%20hack%20thing%202.zip</v>
          </cell>
        </row>
        <row r="58">
          <cell r="A58" t="str">
            <v>A Halloween Walk</v>
          </cell>
          <cell r="B58" t="str">
            <v>A Halloween Walk</v>
          </cell>
          <cell r="C58" t="str">
            <v>MATTAN</v>
          </cell>
          <cell r="D58">
            <v>7</v>
          </cell>
          <cell r="E58" t="str">
            <v>Casual</v>
          </cell>
          <cell r="F58" t="str">
            <v>Standard</v>
          </cell>
          <cell r="G58">
            <v>43838</v>
          </cell>
          <cell r="H58" t="str">
            <v>21887</v>
          </cell>
          <cell r="I58" t="str">
            <v>https://www.smwcentral.net/?a=details&amp;id=21887&amp;p=section</v>
          </cell>
          <cell r="J58" t="str">
            <v>https://dl.smwcentral.net/21887/A%20halloween%20walk%20%28Music%20Fixed%29.zip</v>
          </cell>
        </row>
        <row r="59">
          <cell r="A59" t="str">
            <v>A Haunted Christmas</v>
          </cell>
          <cell r="B59" t="str">
            <v>A Haunted Christmas</v>
          </cell>
          <cell r="C59" t="str">
            <v>Team Haunted</v>
          </cell>
          <cell r="D59">
            <v>7</v>
          </cell>
          <cell r="E59" t="str">
            <v>Casual</v>
          </cell>
          <cell r="F59" t="str">
            <v>Standard</v>
          </cell>
          <cell r="G59">
            <v>44297</v>
          </cell>
          <cell r="H59" t="str">
            <v>26660</v>
          </cell>
          <cell r="I59" t="str">
            <v>https://www.smwcentral.net/?a=details&amp;id=26660&amp;p=section</v>
          </cell>
          <cell r="J59" t="str">
            <v>https://dl.smwcentral.net/26660/A%20Haunted%20Christmas.zip</v>
          </cell>
        </row>
        <row r="60">
          <cell r="A60" t="str">
            <v>A Haunting at Chateau Cousseaux</v>
          </cell>
          <cell r="B60" t="str">
            <v>A Haunting at Chateau Cousseaux</v>
          </cell>
          <cell r="C60" t="str">
            <v>NixKillsMyths</v>
          </cell>
          <cell r="D60">
            <v>9</v>
          </cell>
          <cell r="E60" t="str">
            <v>Grandmaster</v>
          </cell>
          <cell r="F60" t="str">
            <v>Kaizo</v>
          </cell>
          <cell r="G60">
            <v>45666</v>
          </cell>
          <cell r="H60" t="str">
            <v>38820</v>
          </cell>
          <cell r="I60" t="str">
            <v>https://www.smwcentral.net/?a=details&amp;id=38820&amp;p=section</v>
          </cell>
          <cell r="J60" t="str">
            <v>https://dl.smwcentral.net/38820/A%20Haunting%20at%20Chateau%20Cousseaux%20%281.3%29.zip</v>
          </cell>
        </row>
        <row r="61">
          <cell r="A61" t="str">
            <v>A Helping Hand</v>
          </cell>
          <cell r="B61" t="str">
            <v>A Helping Hand</v>
          </cell>
          <cell r="C61" t="str">
            <v>NewPointless, schema_tuna</v>
          </cell>
          <cell r="D61">
            <v>7</v>
          </cell>
          <cell r="E61" t="str">
            <v>Casual</v>
          </cell>
          <cell r="F61" t="str">
            <v>Standard</v>
          </cell>
          <cell r="G61">
            <v>45398</v>
          </cell>
          <cell r="H61" t="str">
            <v>37605</v>
          </cell>
          <cell r="I61" t="str">
            <v>https://www.smwcentral.net/?a=details&amp;id=37605&amp;p=section</v>
          </cell>
          <cell r="J61" t="str">
            <v>https://dl.smwcentral.net/37605/AHelpingHand1_2.zip</v>
          </cell>
        </row>
        <row r="62">
          <cell r="A62" t="str">
            <v>A Journey To Save The Yoshis</v>
          </cell>
          <cell r="B62" t="str">
            <v>A Journey To Save The Yoshis</v>
          </cell>
          <cell r="C62" t="str">
            <v>Yoshivert99</v>
          </cell>
          <cell r="D62">
            <v>19</v>
          </cell>
          <cell r="E62" t="str">
            <v>Casual</v>
          </cell>
          <cell r="F62" t="str">
            <v>Standard</v>
          </cell>
          <cell r="G62">
            <v>43730</v>
          </cell>
          <cell r="H62" t="str">
            <v>21194</v>
          </cell>
          <cell r="I62" t="str">
            <v>https://www.smwcentral.net/?a=details&amp;id=21194&amp;p=section</v>
          </cell>
          <cell r="J62" t="str">
            <v>https://dl.smwcentral.net/21194/A%20Journey%20to%20Save%20the%20Yoshis%20%281.7.1%29.zip</v>
          </cell>
        </row>
        <row r="63">
          <cell r="A63" t="str">
            <v>A Kaizo Adventure</v>
          </cell>
          <cell r="B63" t="str">
            <v>A Kaizo Adventure</v>
          </cell>
          <cell r="C63" t="str">
            <v>GbreezeSunset</v>
          </cell>
          <cell r="D63">
            <v>1</v>
          </cell>
          <cell r="E63" t="str">
            <v>Master</v>
          </cell>
          <cell r="F63" t="str">
            <v>Kaizo</v>
          </cell>
          <cell r="G63">
            <v>42133</v>
          </cell>
          <cell r="H63" t="str">
            <v>11306</v>
          </cell>
          <cell r="I63" t="str">
            <v>https://www.smwcentral.net/?a=details&amp;id=11306&amp;p=section</v>
          </cell>
          <cell r="J63" t="str">
            <v>https://dl.smwcentral.net/11306/A%20Kaizo%20Adventure.zip</v>
          </cell>
        </row>
        <row r="64">
          <cell r="A64" t="str">
            <v>A Kekcroc Christmas</v>
          </cell>
          <cell r="B64" t="str">
            <v>A Kekcroc Christmas</v>
          </cell>
          <cell r="C64" t="str">
            <v>Knucklesfan</v>
          </cell>
          <cell r="D64">
            <v>5</v>
          </cell>
          <cell r="E64" t="str">
            <v>Casual</v>
          </cell>
          <cell r="F64" t="str">
            <v>Standard</v>
          </cell>
          <cell r="G64">
            <v>43461</v>
          </cell>
          <cell r="H64" t="str">
            <v>18734</v>
          </cell>
          <cell r="I64" t="str">
            <v>https://www.smwcentral.net/?a=details&amp;id=18734&amp;p=section</v>
          </cell>
          <cell r="J64" t="str">
            <v>https://dl.smwcentral.net/18734/A%20Kekcroc%20Christmas.zip</v>
          </cell>
        </row>
        <row r="65">
          <cell r="A65" t="str">
            <v>A Land That is Super</v>
          </cell>
          <cell r="B65" t="str">
            <v>A Land That is Super</v>
          </cell>
          <cell r="C65" t="str">
            <v>NAM</v>
          </cell>
          <cell r="D65">
            <v>25</v>
          </cell>
          <cell r="E65" t="str">
            <v>Intermediate</v>
          </cell>
          <cell r="F65" t="str">
            <v>Standard</v>
          </cell>
          <cell r="G65">
            <v>42207</v>
          </cell>
          <cell r="H65" t="str">
            <v>10147</v>
          </cell>
          <cell r="I65" t="str">
            <v>https://www.smwcentral.net/?a=details&amp;id=10147&amp;p=section</v>
          </cell>
          <cell r="J65" t="str">
            <v>https://dl.smwcentral.net/10147/ALTiS_C3X.zip</v>
          </cell>
        </row>
        <row r="66">
          <cell r="A66" t="str">
            <v>A Lenda do Herói (Songs for a Hero)</v>
          </cell>
          <cell r="B66" t="str">
            <v>A Lenda do Herói (Songs for a Hero)</v>
          </cell>
          <cell r="C66" t="str">
            <v>TheMURAmatsu</v>
          </cell>
          <cell r="D66">
            <v>25</v>
          </cell>
          <cell r="E66" t="str">
            <v>Intermediate</v>
          </cell>
          <cell r="F66" t="str">
            <v>Standard</v>
          </cell>
          <cell r="G66">
            <v>43980</v>
          </cell>
          <cell r="H66" t="str">
            <v>23107</v>
          </cell>
          <cell r="I66" t="str">
            <v>https://www.smwcentral.net/?a=details&amp;id=23107&amp;p=section</v>
          </cell>
          <cell r="J66" t="str">
            <v>https://dl.smwcentral.net/23107/V2-2020-A-Lenda-do-Heroi-Songs_for-a-Hero.zip</v>
          </cell>
        </row>
        <row r="67">
          <cell r="A67" t="str">
            <v>A Mario Place</v>
          </cell>
          <cell r="B67" t="str">
            <v>A Mario Place</v>
          </cell>
          <cell r="C67" t="str">
            <v>salem</v>
          </cell>
          <cell r="D67">
            <v>7</v>
          </cell>
          <cell r="E67" t="str">
            <v>Casual</v>
          </cell>
          <cell r="F67" t="str">
            <v>Standard</v>
          </cell>
          <cell r="G67">
            <v>42218</v>
          </cell>
          <cell r="H67" t="str">
            <v>10014</v>
          </cell>
          <cell r="I67" t="str">
            <v>https://www.smwcentral.net/?a=details&amp;id=10014&amp;p=section</v>
          </cell>
          <cell r="J67" t="str">
            <v>https://dl.smwcentral.net/10014/AMPD.zip</v>
          </cell>
        </row>
        <row r="68">
          <cell r="A68" t="str">
            <v>A Maxi Mini Hack</v>
          </cell>
          <cell r="B68" t="str">
            <v>A Maxi Mini Hack</v>
          </cell>
          <cell r="C68" t="str">
            <v>noon</v>
          </cell>
          <cell r="D68">
            <v>8</v>
          </cell>
          <cell r="E68" t="str">
            <v>Newcomer</v>
          </cell>
          <cell r="F68" t="str">
            <v>Standard</v>
          </cell>
          <cell r="G68">
            <v>41543</v>
          </cell>
          <cell r="H68" t="str">
            <v>5480</v>
          </cell>
          <cell r="I68" t="str">
            <v>https://www.smwcentral.net/?a=details&amp;id=5480&amp;p=section</v>
          </cell>
          <cell r="J68" t="str">
            <v>https://dl.smwcentral.net/5480/A%20Maxi%20Mini%20Hack.zip</v>
          </cell>
        </row>
        <row r="69">
          <cell r="A69" t="str">
            <v>A Maxi Mini Hack B-Sides</v>
          </cell>
          <cell r="B69" t="str">
            <v>A Maxi Mini Hack B-Sides</v>
          </cell>
          <cell r="C69" t="str">
            <v>noon</v>
          </cell>
          <cell r="D69">
            <v>3</v>
          </cell>
          <cell r="E69" t="str">
            <v>Casual</v>
          </cell>
          <cell r="F69" t="str">
            <v>Standard</v>
          </cell>
          <cell r="G69">
            <v>42062</v>
          </cell>
          <cell r="H69" t="str">
            <v>9973</v>
          </cell>
          <cell r="I69" t="str">
            <v>https://www.smwcentral.net/?a=details&amp;id=9973&amp;p=section</v>
          </cell>
          <cell r="J69" t="str">
            <v>https://dl.smwcentral.net/9973/A%20Maxi%20Mini%20Hack%20B-Sides.zip</v>
          </cell>
        </row>
        <row r="70">
          <cell r="A70" t="str">
            <v>A Metal Hack</v>
          </cell>
          <cell r="B70" t="str">
            <v>A Metal Hack</v>
          </cell>
          <cell r="C70" t="str">
            <v>Eric Maia</v>
          </cell>
          <cell r="D70">
            <v>5</v>
          </cell>
          <cell r="E70" t="str">
            <v>Newcomer</v>
          </cell>
          <cell r="F70" t="str">
            <v>Standard</v>
          </cell>
          <cell r="G70">
            <v>42309</v>
          </cell>
          <cell r="H70" t="str">
            <v>10266</v>
          </cell>
          <cell r="I70" t="str">
            <v>https://www.smwcentral.net/?a=details&amp;id=10266&amp;p=section</v>
          </cell>
          <cell r="J70" t="str">
            <v>https://dl.smwcentral.net/10266/A%20Metal%20Hack%20Demo.zip</v>
          </cell>
        </row>
        <row r="71">
          <cell r="A71" t="str">
            <v>A Mole in Space</v>
          </cell>
          <cell r="B71" t="str">
            <v>A Mole in Space</v>
          </cell>
          <cell r="C71" t="str">
            <v>Anorakun, Dark Prince, Donut, NopeContest, Segment1Zone2</v>
          </cell>
          <cell r="D71">
            <v>0</v>
          </cell>
          <cell r="E71" t="str">
            <v>Advanced</v>
          </cell>
          <cell r="F71" t="str">
            <v>Standard</v>
          </cell>
          <cell r="G71">
            <v>44613</v>
          </cell>
          <cell r="H71" t="str">
            <v>29849</v>
          </cell>
          <cell r="I71" t="str">
            <v>https://www.smwcentral.net/?a=details&amp;id=29849&amp;p=section</v>
          </cell>
          <cell r="J71" t="str">
            <v>https://dl.smwcentral.net/29849/A%20Mole%20in%20Space%20Ver.%202.3.zip</v>
          </cell>
        </row>
        <row r="72">
          <cell r="A72" t="str">
            <v>A New Journey</v>
          </cell>
          <cell r="B72" t="str">
            <v>A New Journey</v>
          </cell>
          <cell r="C72" t="str">
            <v>GvS</v>
          </cell>
          <cell r="D72">
            <v>8</v>
          </cell>
          <cell r="E72" t="str">
            <v>Casual</v>
          </cell>
          <cell r="F72" t="str">
            <v>Standard</v>
          </cell>
          <cell r="G72">
            <v>42301</v>
          </cell>
          <cell r="H72" t="str">
            <v>10051</v>
          </cell>
          <cell r="I72" t="str">
            <v>https://www.smwcentral.net/?a=details&amp;id=10051&amp;p=section</v>
          </cell>
          <cell r="J72" t="str">
            <v>https://dl.smwcentral.net/10051/A%20New%20Journey.zip</v>
          </cell>
        </row>
        <row r="73">
          <cell r="A73" t="str">
            <v>A New Year Walk</v>
          </cell>
          <cell r="B73" t="str">
            <v>A New Year Walk</v>
          </cell>
          <cell r="C73" t="str">
            <v>MATTAN</v>
          </cell>
          <cell r="D73">
            <v>1</v>
          </cell>
          <cell r="E73" t="str">
            <v>Casual</v>
          </cell>
          <cell r="F73" t="str">
            <v>Standard</v>
          </cell>
          <cell r="G73">
            <v>43907</v>
          </cell>
          <cell r="H73" t="str">
            <v>22382</v>
          </cell>
          <cell r="I73" t="str">
            <v>https://www.smwcentral.net/?a=details&amp;id=22382&amp;p=section</v>
          </cell>
          <cell r="J73" t="str">
            <v>https://dl.smwcentral.net/22382/A%20new%20year%20walk%20%28Music%20Fixed%29.zip</v>
          </cell>
        </row>
        <row r="74">
          <cell r="A74" t="str">
            <v>A Plumber For All Seasons</v>
          </cell>
          <cell r="B74" t="str">
            <v>A Plumber For All Seasons</v>
          </cell>
          <cell r="C74" t="str">
            <v>wye</v>
          </cell>
          <cell r="D74">
            <v>41</v>
          </cell>
          <cell r="E74" t="str">
            <v>Casual</v>
          </cell>
          <cell r="F74" t="str">
            <v>Standard</v>
          </cell>
          <cell r="G74">
            <v>44540</v>
          </cell>
          <cell r="H74" t="str">
            <v>28856</v>
          </cell>
          <cell r="I74" t="str">
            <v>https://www.smwcentral.net/?a=details&amp;id=28856&amp;p=section</v>
          </cell>
          <cell r="J74" t="str">
            <v>https://dl.smwcentral.net/28856/A_Plumber_For_All_Seasons_2021-11-22.zip</v>
          </cell>
        </row>
        <row r="75">
          <cell r="A75" t="str">
            <v>a pretty view</v>
          </cell>
          <cell r="B75" t="str">
            <v>a pretty view</v>
          </cell>
          <cell r="C75" t="str">
            <v>Dixy</v>
          </cell>
          <cell r="D75">
            <v>13</v>
          </cell>
          <cell r="E75" t="str">
            <v>Expert</v>
          </cell>
          <cell r="F75" t="str">
            <v>Kaizo</v>
          </cell>
          <cell r="G75">
            <v>46207</v>
          </cell>
          <cell r="H75" t="str">
            <v>42626</v>
          </cell>
          <cell r="I75" t="str">
            <v>https://www.smwcentral.net/?a=details&amp;id=42626&amp;p=section</v>
          </cell>
          <cell r="J75" t="str">
            <v>https://dl.smwcentral.net/42626/a%20pretty%20view.zip</v>
          </cell>
        </row>
        <row r="76">
          <cell r="A76" t="str">
            <v>A Pure Vanilla Hack</v>
          </cell>
          <cell r="B76" t="str">
            <v>A Pure Vanilla Hack</v>
          </cell>
          <cell r="C76" t="str">
            <v>wye</v>
          </cell>
          <cell r="D76">
            <v>6</v>
          </cell>
          <cell r="E76" t="str">
            <v>Newcomer</v>
          </cell>
          <cell r="F76" t="str">
            <v>Standard</v>
          </cell>
          <cell r="G76">
            <v>41539</v>
          </cell>
          <cell r="H76" t="str">
            <v>5056</v>
          </cell>
          <cell r="I76" t="str">
            <v>https://www.smwcentral.net/?a=details&amp;id=5056&amp;p=section</v>
          </cell>
          <cell r="J76" t="str">
            <v>https://dl.smwcentral.net/5056/PureVanillaHack.zip</v>
          </cell>
        </row>
        <row r="77">
          <cell r="A77" t="str">
            <v>A Random Pit</v>
          </cell>
          <cell r="B77" t="str">
            <v>A Random Pit</v>
          </cell>
          <cell r="C77" t="str">
            <v>A Random Taser</v>
          </cell>
          <cell r="D77">
            <v>1</v>
          </cell>
          <cell r="E77" t="str">
            <v>Master</v>
          </cell>
          <cell r="F77" t="str">
            <v>Tool-Assisted, Pit</v>
          </cell>
          <cell r="G77">
            <v>43782</v>
          </cell>
          <cell r="H77" t="str">
            <v>21253</v>
          </cell>
          <cell r="I77" t="str">
            <v>https://www.smwcentral.net/?a=details&amp;id=21253&amp;p=section</v>
          </cell>
          <cell r="J77" t="str">
            <v>https://dl.smwcentral.net/21253/A_Random_Pit.zip</v>
          </cell>
        </row>
        <row r="78">
          <cell r="A78" t="str">
            <v>A Rose for Emily</v>
          </cell>
          <cell r="B78" t="str">
            <v>A Rose for Emily</v>
          </cell>
          <cell r="C78" t="str">
            <v>shovda</v>
          </cell>
          <cell r="D78">
            <v>9</v>
          </cell>
          <cell r="E78" t="str">
            <v>Master</v>
          </cell>
          <cell r="F78" t="str">
            <v>Kaizo</v>
          </cell>
          <cell r="G78">
            <v>45463</v>
          </cell>
          <cell r="H78" t="str">
            <v>37976</v>
          </cell>
          <cell r="I78" t="str">
            <v>https://www.smwcentral.net/?a=details&amp;id=37976&amp;p=section</v>
          </cell>
          <cell r="J78" t="str">
            <v>https://dl.smwcentral.net/37976/Rose.zip</v>
          </cell>
        </row>
        <row r="79">
          <cell r="A79" t="str">
            <v>A Rushed Project</v>
          </cell>
          <cell r="B79" t="str">
            <v>A Rushed Project</v>
          </cell>
          <cell r="C79" t="str">
            <v>Galactic Spear</v>
          </cell>
          <cell r="D79">
            <v>7</v>
          </cell>
          <cell r="E79" t="str">
            <v>Intermediate</v>
          </cell>
          <cell r="F79" t="str">
            <v>Standard</v>
          </cell>
          <cell r="G79">
            <v>44034</v>
          </cell>
          <cell r="H79" t="str">
            <v>23961</v>
          </cell>
          <cell r="I79" t="str">
            <v>https://www.smwcentral.net/?a=details&amp;id=23961&amp;p=section</v>
          </cell>
          <cell r="J79" t="str">
            <v>https://dl.smwcentral.net/23961/A%20Rushed%20Project.zip</v>
          </cell>
        </row>
        <row r="80">
          <cell r="A80" t="str">
            <v>A Second X Thing: Gaiden: Gaiden</v>
          </cell>
          <cell r="B80" t="str">
            <v>A Second X Thing: Gaiden: Gaiden</v>
          </cell>
          <cell r="C80" t="str">
            <v>Heraga, talkhaus</v>
          </cell>
          <cell r="D80">
            <v>26</v>
          </cell>
          <cell r="E80" t="str">
            <v>Advanced</v>
          </cell>
          <cell r="F80" t="str">
            <v>Standard</v>
          </cell>
          <cell r="G80">
            <v>46035</v>
          </cell>
          <cell r="H80" t="str">
            <v>41328</v>
          </cell>
          <cell r="I80" t="str">
            <v>https://www.smwcentral.net/?a=details&amp;id=41328&amp;p=section</v>
          </cell>
          <cell r="J80" t="str">
            <v>https://dl.smwcentral.net/41328/a2xtgaidengaiden.zip</v>
          </cell>
        </row>
        <row r="81">
          <cell r="A81" t="str">
            <v>A Semi-Normal Castle</v>
          </cell>
          <cell r="B81" t="str">
            <v>A Semi-Normal Castle</v>
          </cell>
          <cell r="C81" t="str">
            <v>Heitor Porfirio</v>
          </cell>
          <cell r="D81">
            <v>1</v>
          </cell>
          <cell r="E81" t="str">
            <v>Casual</v>
          </cell>
          <cell r="F81" t="str">
            <v>Standard</v>
          </cell>
          <cell r="G81">
            <v>45532</v>
          </cell>
          <cell r="H81" t="str">
            <v>38269</v>
          </cell>
          <cell r="I81" t="str">
            <v>https://www.smwcentral.net/?a=details&amp;id=38269&amp;p=section</v>
          </cell>
          <cell r="J81" t="str">
            <v>https://dl.smwcentral.net/38269/A%20Semi-Normal%20Castle%20v1.2.1.zip</v>
          </cell>
        </row>
        <row r="82">
          <cell r="A82" t="str">
            <v>A short Journey</v>
          </cell>
          <cell r="B82" t="str">
            <v>A short Journey</v>
          </cell>
          <cell r="C82" t="str">
            <v>H3nt4ik4m3n</v>
          </cell>
          <cell r="D82">
            <v>7</v>
          </cell>
          <cell r="E82" t="str">
            <v>Expert</v>
          </cell>
          <cell r="F82" t="str">
            <v>Kaizo</v>
          </cell>
          <cell r="G82">
            <v>44881</v>
          </cell>
          <cell r="H82" t="str">
            <v>32575</v>
          </cell>
          <cell r="I82" t="str">
            <v>https://www.smwcentral.net/?a=details&amp;id=32575&amp;p=section</v>
          </cell>
          <cell r="J82" t="str">
            <v>https://dl.smwcentral.net/32575/A%20short%20Journey.zip</v>
          </cell>
        </row>
        <row r="83">
          <cell r="A83" t="str">
            <v>A short kaizo</v>
          </cell>
          <cell r="B83" t="str">
            <v>A short kaizo</v>
          </cell>
          <cell r="C83" t="str">
            <v>Lush_50</v>
          </cell>
          <cell r="D83">
            <v>6</v>
          </cell>
          <cell r="E83" t="str">
            <v>Intermediate</v>
          </cell>
          <cell r="F83" t="str">
            <v>Kaizo</v>
          </cell>
          <cell r="G83">
            <v>44932</v>
          </cell>
          <cell r="H83" t="str">
            <v>32874</v>
          </cell>
          <cell r="I83" t="str">
            <v>https://www.smwcentral.net/?a=details&amp;id=32874&amp;p=section</v>
          </cell>
          <cell r="J83" t="str">
            <v>https://dl.smwcentral.net/32874/A_short_kaizo_v1.1.zip</v>
          </cell>
        </row>
        <row r="84">
          <cell r="A84" t="str">
            <v>A short kaizo 2</v>
          </cell>
          <cell r="B84" t="str">
            <v>A short kaizo 2</v>
          </cell>
          <cell r="C84" t="str">
            <v>Lush_50</v>
          </cell>
          <cell r="D84">
            <v>6</v>
          </cell>
          <cell r="E84" t="str">
            <v>Intermediate</v>
          </cell>
          <cell r="F84" t="str">
            <v>Kaizo</v>
          </cell>
          <cell r="G84">
            <v>45509</v>
          </cell>
          <cell r="H84" t="str">
            <v>38177</v>
          </cell>
          <cell r="I84" t="str">
            <v>https://www.smwcentral.net/?a=details&amp;id=38177&amp;p=section</v>
          </cell>
          <cell r="J84" t="str">
            <v>https://dl.smwcentral.net/38177/A%20Short%20kaizo%202%20by%20Lush_50%20%282022-24%29.zip</v>
          </cell>
        </row>
        <row r="85">
          <cell r="A85" t="str">
            <v>A Simple Story</v>
          </cell>
          <cell r="B85" t="str">
            <v>A Simple Story</v>
          </cell>
          <cell r="C85" t="str">
            <v>Thehoundsquad</v>
          </cell>
          <cell r="D85">
            <v>7</v>
          </cell>
          <cell r="E85" t="str">
            <v>Casual</v>
          </cell>
          <cell r="F85" t="str">
            <v>Standard</v>
          </cell>
          <cell r="G85">
            <v>42299</v>
          </cell>
          <cell r="H85" t="str">
            <v>10189</v>
          </cell>
          <cell r="I85" t="str">
            <v>https://www.smwcentral.net/?a=details&amp;id=10189&amp;p=section</v>
          </cell>
          <cell r="J85" t="str">
            <v>https://dl.smwcentral.net/10189/A%20Simple%20Story.zip</v>
          </cell>
        </row>
        <row r="86">
          <cell r="A86" t="str">
            <v>A SMW Hack</v>
          </cell>
          <cell r="B86" t="str">
            <v>A SMW Hack</v>
          </cell>
          <cell r="C86" t="str">
            <v>MetalLuigi</v>
          </cell>
          <cell r="D86">
            <v>6</v>
          </cell>
          <cell r="E86" t="str">
            <v>Newcomer</v>
          </cell>
          <cell r="F86" t="str">
            <v>Standard</v>
          </cell>
          <cell r="G86">
            <v>42220</v>
          </cell>
          <cell r="H86" t="str">
            <v>10089</v>
          </cell>
          <cell r="I86" t="str">
            <v>https://www.smwcentral.net/?a=details&amp;id=10089&amp;p=section</v>
          </cell>
          <cell r="J86" t="str">
            <v>https://dl.smwcentral.net/10089/A%20SMW%20HACK%20DEMO%20V1.2.zip</v>
          </cell>
        </row>
        <row r="87">
          <cell r="A87" t="str">
            <v>A Special Birthday</v>
          </cell>
          <cell r="B87" t="str">
            <v>A Special Birthday</v>
          </cell>
          <cell r="C87" t="str">
            <v>Andyana Jonseph</v>
          </cell>
          <cell r="D87">
            <v>8</v>
          </cell>
          <cell r="E87" t="str">
            <v>Advanced</v>
          </cell>
          <cell r="F87" t="str">
            <v>Standard</v>
          </cell>
          <cell r="G87">
            <v>42939</v>
          </cell>
          <cell r="H87" t="str">
            <v>15923</v>
          </cell>
          <cell r="I87" t="str">
            <v>https://www.smwcentral.net/?a=details&amp;id=15923&amp;p=section</v>
          </cell>
          <cell r="J87" t="str">
            <v>https://dl.smwcentral.net/15923/A%20Special%20Birthday.zip</v>
          </cell>
        </row>
        <row r="88">
          <cell r="A88" t="str">
            <v>A Special Christmas</v>
          </cell>
          <cell r="B88" t="str">
            <v>A Special Christmas</v>
          </cell>
          <cell r="C88" t="str">
            <v>Andyana Jonseph</v>
          </cell>
          <cell r="D88">
            <v>8</v>
          </cell>
          <cell r="E88" t="str">
            <v>Advanced</v>
          </cell>
          <cell r="F88" t="str">
            <v>Standard</v>
          </cell>
          <cell r="G88">
            <v>42738</v>
          </cell>
          <cell r="H88" t="str">
            <v>14841</v>
          </cell>
          <cell r="I88" t="str">
            <v>https://www.smwcentral.net/?a=details&amp;id=14841&amp;p=section</v>
          </cell>
          <cell r="J88" t="str">
            <v>https://dl.smwcentral.net/14841/A%20Special%20Christmas.zip</v>
          </cell>
        </row>
        <row r="89">
          <cell r="A89" t="str">
            <v>A Sticky Situation</v>
          </cell>
          <cell r="B89" t="str">
            <v>A Sticky Situation</v>
          </cell>
          <cell r="C89" t="str">
            <v>Firstnamebutt, dotCoockie</v>
          </cell>
          <cell r="D89">
            <v>16</v>
          </cell>
          <cell r="E89" t="str">
            <v>Advanced</v>
          </cell>
          <cell r="F89" t="str">
            <v>Kaizo</v>
          </cell>
          <cell r="G89">
            <v>45152</v>
          </cell>
          <cell r="H89" t="str">
            <v>34830</v>
          </cell>
          <cell r="I89" t="str">
            <v>https://www.smwcentral.net/?a=details&amp;id=34830&amp;p=section</v>
          </cell>
          <cell r="J89" t="str">
            <v>https://dl.smwcentral.net/34830/AStickySituation.zip</v>
          </cell>
        </row>
        <row r="90">
          <cell r="A90" t="str">
            <v>A story about an island</v>
          </cell>
          <cell r="B90" t="str">
            <v>A story about an island</v>
          </cell>
          <cell r="C90" t="str">
            <v>dotCoockie</v>
          </cell>
          <cell r="D90">
            <v>8</v>
          </cell>
          <cell r="E90" t="str">
            <v>Advanced</v>
          </cell>
          <cell r="F90" t="str">
            <v>Kaizo</v>
          </cell>
          <cell r="G90">
            <v>44445</v>
          </cell>
          <cell r="H90" t="str">
            <v>28197</v>
          </cell>
          <cell r="I90" t="str">
            <v>https://www.smwcentral.net/?a=details&amp;id=28197&amp;p=section</v>
          </cell>
          <cell r="J90" t="str">
            <v>https://dl.smwcentral.net/28197/Release.zip</v>
          </cell>
        </row>
        <row r="91">
          <cell r="A91" t="str">
            <v>A Strange Mission</v>
          </cell>
          <cell r="B91" t="str">
            <v>A Strange Mission</v>
          </cell>
          <cell r="C91" t="str">
            <v>wye</v>
          </cell>
          <cell r="D91">
            <v>8</v>
          </cell>
          <cell r="E91" t="str">
            <v>Intermediate</v>
          </cell>
          <cell r="F91" t="str">
            <v>Standard</v>
          </cell>
          <cell r="G91">
            <v>41451</v>
          </cell>
          <cell r="H91" t="str">
            <v>5031</v>
          </cell>
          <cell r="I91" t="str">
            <v>https://www.smwcentral.net/?a=details&amp;id=5031&amp;p=section</v>
          </cell>
          <cell r="J91" t="str">
            <v>https://dl.smwcentral.net/5031/AStrangeMission.zip</v>
          </cell>
        </row>
        <row r="92">
          <cell r="A92" t="str">
            <v>A Strongly-Worded Letter to the Iceberg</v>
          </cell>
          <cell r="B92" t="str">
            <v>A Strongly-Worded Letter to the Iceberg</v>
          </cell>
          <cell r="C92" t="str">
            <v>MarsAmPear</v>
          </cell>
          <cell r="D92">
            <v>7</v>
          </cell>
          <cell r="E92" t="str">
            <v>Master</v>
          </cell>
          <cell r="F92" t="str">
            <v>Standard, Kaizo</v>
          </cell>
          <cell r="G92">
            <v>46133</v>
          </cell>
          <cell r="H92" t="str">
            <v>41930</v>
          </cell>
          <cell r="I92" t="str">
            <v>https://www.smwcentral.net/?a=details&amp;id=41930&amp;p=section</v>
          </cell>
          <cell r="J92" t="str">
            <v>https://dl.smwcentral.net/41930/A%20Strongly-Worded%20Letter%20to%20the%20Iceberg%201.01.zip</v>
          </cell>
        </row>
        <row r="93">
          <cell r="A93" t="str">
            <v>A Summer Level</v>
          </cell>
          <cell r="B93" t="str">
            <v>A Summer Level</v>
          </cell>
          <cell r="C93" t="str">
            <v>DukeEnemy</v>
          </cell>
          <cell r="D93">
            <v>1</v>
          </cell>
          <cell r="E93" t="str">
            <v>Casual</v>
          </cell>
          <cell r="F93" t="str">
            <v>Standard</v>
          </cell>
          <cell r="G93">
            <v>41445</v>
          </cell>
          <cell r="H93" t="str">
            <v>5052</v>
          </cell>
          <cell r="I93" t="str">
            <v>https://www.smwcentral.net/?a=details&amp;id=5052&amp;p=section</v>
          </cell>
          <cell r="J93" t="str">
            <v>https://dl.smwcentral.net/5052/A%20Summer%20Level.zip</v>
          </cell>
        </row>
        <row r="94">
          <cell r="A94" t="str">
            <v>A Super Mario Adventure</v>
          </cell>
          <cell r="B94" t="str">
            <v>A Super Mario Adventure</v>
          </cell>
          <cell r="C94" t="str">
            <v>Gamma V</v>
          </cell>
          <cell r="D94">
            <v>107</v>
          </cell>
          <cell r="E94" t="str">
            <v>Casual</v>
          </cell>
          <cell r="F94" t="str">
            <v>Standard</v>
          </cell>
          <cell r="G94">
            <v>46073</v>
          </cell>
          <cell r="H94" t="str">
            <v>41554</v>
          </cell>
          <cell r="I94" t="str">
            <v>https://www.smwcentral.net/?a=details&amp;id=41554&amp;p=section</v>
          </cell>
          <cell r="J94" t="str">
            <v>https://dl.smwcentral.net/41554/ASMA%20NewIntro.zip</v>
          </cell>
        </row>
        <row r="95">
          <cell r="A95" t="str">
            <v>A Super Mario Thing</v>
          </cell>
          <cell r="B95" t="str">
            <v>A Super Mario Thing</v>
          </cell>
          <cell r="C95" t="str">
            <v>Talkhaus</v>
          </cell>
          <cell r="D95">
            <v>94</v>
          </cell>
          <cell r="E95" t="str">
            <v>Expert</v>
          </cell>
          <cell r="F95" t="str">
            <v>Standard</v>
          </cell>
          <cell r="G95">
            <v>43167</v>
          </cell>
          <cell r="H95" t="str">
            <v>17125</v>
          </cell>
          <cell r="I95" t="str">
            <v>https://www.smwcentral.net/?a=details&amp;id=17125&amp;p=section</v>
          </cell>
          <cell r="J95" t="str">
            <v>https://dl.smwcentral.net/17125/A%20Super%20Mario%20Thing.zip</v>
          </cell>
        </row>
        <row r="96">
          <cell r="A96" t="str">
            <v>A Super Mario World Rom Hack</v>
          </cell>
          <cell r="B96" t="str">
            <v>A Super Mario World Rom Hack</v>
          </cell>
          <cell r="C96" t="str">
            <v>Ralshi02</v>
          </cell>
          <cell r="D96">
            <v>7</v>
          </cell>
          <cell r="E96" t="str">
            <v>Intermediate</v>
          </cell>
          <cell r="F96" t="str">
            <v>Standard</v>
          </cell>
          <cell r="G96">
            <v>43670</v>
          </cell>
          <cell r="H96" t="str">
            <v>20604</v>
          </cell>
          <cell r="I96" t="str">
            <v>https://www.smwcentral.net/?a=details&amp;id=20604&amp;p=section</v>
          </cell>
          <cell r="J96" t="str">
            <v>https://dl.smwcentral.net/20604/Hack%202.zip</v>
          </cell>
        </row>
        <row r="97">
          <cell r="A97" t="str">
            <v>A Supposedly Fun Thing I'll Never Do Again</v>
          </cell>
          <cell r="B97" t="str">
            <v>A Supposedly Fun Thing I'll Never Do Again</v>
          </cell>
          <cell r="C97" t="str">
            <v>Abstract</v>
          </cell>
          <cell r="D97">
            <v>18</v>
          </cell>
          <cell r="E97" t="str">
            <v>Expert</v>
          </cell>
          <cell r="F97" t="str">
            <v>Kaizo</v>
          </cell>
          <cell r="G97">
            <v>45769</v>
          </cell>
          <cell r="H97" t="str">
            <v>39767</v>
          </cell>
          <cell r="I97" t="str">
            <v>https://www.smwcentral.net/?a=details&amp;id=39767&amp;p=section</v>
          </cell>
          <cell r="J97" t="str">
            <v>https://dl.smwcentral.net/39767/A%20Supposedly%20Fun%20Thing.zip</v>
          </cell>
        </row>
        <row r="98">
          <cell r="A98" t="str">
            <v>A Teakettle of Wet Bees</v>
          </cell>
          <cell r="B98" t="str">
            <v>A Teakettle of Wet Bees</v>
          </cell>
          <cell r="C98" t="str">
            <v>bucketofwetsocks</v>
          </cell>
          <cell r="D98">
            <v>11</v>
          </cell>
          <cell r="E98" t="str">
            <v>Expert</v>
          </cell>
          <cell r="F98" t="str">
            <v>Kaizo</v>
          </cell>
          <cell r="G98">
            <v>44950</v>
          </cell>
          <cell r="H98" t="str">
            <v>32994</v>
          </cell>
          <cell r="I98" t="str">
            <v>https://www.smwcentral.net/?a=details&amp;id=32994&amp;p=section</v>
          </cell>
          <cell r="J98" t="str">
            <v>https://dl.smwcentral.net/32994/ATeaKettleOfWetBees.zip</v>
          </cell>
        </row>
        <row r="99">
          <cell r="A99" t="str">
            <v>A Thing w/ Peiton</v>
          </cell>
          <cell r="B99" t="str">
            <v>A Thing w/ Peiton</v>
          </cell>
          <cell r="C99" t="str">
            <v>Peyton</v>
          </cell>
          <cell r="D99">
            <v>69</v>
          </cell>
          <cell r="E99" t="str">
            <v>Advanced</v>
          </cell>
          <cell r="F99" t="str">
            <v>Standard</v>
          </cell>
          <cell r="G99">
            <v>45802</v>
          </cell>
          <cell r="H99" t="str">
            <v>39597</v>
          </cell>
          <cell r="I99" t="str">
            <v>https://www.smwcentral.net/?a=details&amp;id=39597&amp;p=section</v>
          </cell>
          <cell r="J99" t="str">
            <v>https://dl.smwcentral.net/39597/A%20Thing%20With%20Peiton%20v.1.1.zip</v>
          </cell>
        </row>
        <row r="100">
          <cell r="A100" t="str">
            <v>A Vanilla Level</v>
          </cell>
          <cell r="B100" t="str">
            <v>A Vanilla Level</v>
          </cell>
          <cell r="C100" t="str">
            <v>yoshiguy978</v>
          </cell>
          <cell r="D100">
            <v>1</v>
          </cell>
          <cell r="E100" t="str">
            <v>Intermediate</v>
          </cell>
          <cell r="F100" t="str">
            <v>Standard</v>
          </cell>
          <cell r="G100">
            <v>42345</v>
          </cell>
          <cell r="H100" t="str">
            <v>10546</v>
          </cell>
          <cell r="I100" t="str">
            <v>https://www.smwcentral.net/?a=details&amp;id=10546&amp;p=section</v>
          </cell>
          <cell r="J100" t="str">
            <v>https://dl.smwcentral.net/10546/A%20Vanilla%20Level%20v1.4.zip</v>
          </cell>
        </row>
        <row r="101">
          <cell r="A101" t="str">
            <v>A Very Super Mario World</v>
          </cell>
          <cell r="B101" t="str">
            <v>A Very Super Mario World</v>
          </cell>
          <cell r="C101" t="str">
            <v>SchwerMuta</v>
          </cell>
          <cell r="D101">
            <v>120</v>
          </cell>
          <cell r="E101" t="str">
            <v>Grandmaster</v>
          </cell>
          <cell r="F101" t="str">
            <v>Standard</v>
          </cell>
          <cell r="G101">
            <v>42876</v>
          </cell>
          <cell r="H101" t="str">
            <v>15587</v>
          </cell>
          <cell r="I101" t="str">
            <v>https://www.smwcentral.net/?a=details&amp;id=15587&amp;p=section</v>
          </cell>
          <cell r="J101" t="str">
            <v>https://dl.smwcentral.net/15587/avsmw.zip</v>
          </cell>
        </row>
        <row r="102">
          <cell r="A102" t="str">
            <v>A WIP</v>
          </cell>
          <cell r="B102" t="str">
            <v>A WIP</v>
          </cell>
          <cell r="C102" t="str">
            <v>NikSik1</v>
          </cell>
          <cell r="D102">
            <v>0</v>
          </cell>
          <cell r="E102" t="str">
            <v>Master</v>
          </cell>
          <cell r="F102" t="str">
            <v>Kaizo</v>
          </cell>
          <cell r="G102">
            <v>44609</v>
          </cell>
          <cell r="H102" t="str">
            <v>29748</v>
          </cell>
          <cell r="I102" t="str">
            <v>https://www.smwcentral.net/?a=details&amp;id=29748&amp;p=section</v>
          </cell>
          <cell r="J102" t="str">
            <v>https://dl.smwcentral.net/29748/A%20WIP.zip</v>
          </cell>
        </row>
        <row r="103">
          <cell r="A103" t="str">
            <v>A work project thing...</v>
          </cell>
          <cell r="B103" t="str">
            <v>A work project thing...</v>
          </cell>
          <cell r="C103" t="str">
            <v>Stivi</v>
          </cell>
          <cell r="D103">
            <v>4</v>
          </cell>
          <cell r="E103" t="str">
            <v>Intermediate</v>
          </cell>
          <cell r="F103" t="str">
            <v>Standard</v>
          </cell>
          <cell r="G103">
            <v>43292</v>
          </cell>
          <cell r="H103" t="str">
            <v>17750</v>
          </cell>
          <cell r="I103" t="str">
            <v>https://www.smwcentral.net/?a=details&amp;id=17750&amp;p=section</v>
          </cell>
          <cell r="J103" t="str">
            <v>https://dl.smwcentral.net/17750/A%20work%20project%20thing....bps.zip</v>
          </cell>
        </row>
        <row r="104">
          <cell r="A104" t="str">
            <v>A Yoshi's Story</v>
          </cell>
          <cell r="B104" t="str">
            <v>A Yoshi's Story</v>
          </cell>
          <cell r="C104" t="str">
            <v>CaptainDazz</v>
          </cell>
          <cell r="D104">
            <v>1</v>
          </cell>
          <cell r="E104" t="str">
            <v>Intermediate</v>
          </cell>
          <cell r="F104" t="str">
            <v>Standard</v>
          </cell>
          <cell r="G104">
            <v>45732</v>
          </cell>
          <cell r="H104" t="str">
            <v>39452</v>
          </cell>
          <cell r="I104" t="str">
            <v>https://www.smwcentral.net/?a=details&amp;id=39452&amp;p=section</v>
          </cell>
          <cell r="J104" t="str">
            <v>https://dl.smwcentral.net/39452/AYoshi%27sStoryFixed.zip</v>
          </cell>
        </row>
        <row r="105">
          <cell r="A105" t="str">
            <v>A Yoshi's Story 2</v>
          </cell>
          <cell r="B105" t="str">
            <v>A Yoshi's Story 2</v>
          </cell>
          <cell r="C105" t="str">
            <v>CaptainDazz</v>
          </cell>
          <cell r="D105">
            <v>16</v>
          </cell>
          <cell r="E105" t="str">
            <v>Casual</v>
          </cell>
          <cell r="F105" t="str">
            <v>Standard</v>
          </cell>
          <cell r="G105">
            <v>42306</v>
          </cell>
          <cell r="H105" t="str">
            <v>10209</v>
          </cell>
          <cell r="I105" t="str">
            <v>https://www.smwcentral.net/?a=details&amp;id=10209&amp;p=section</v>
          </cell>
          <cell r="J105" t="str">
            <v>https://dl.smwcentral.net/10209/A%20Yoshi%27s%20Story%202.zip</v>
          </cell>
        </row>
        <row r="106">
          <cell r="A106" t="str">
            <v>A1 Mario World</v>
          </cell>
          <cell r="B106" t="str">
            <v>A1 Mario World</v>
          </cell>
          <cell r="C106" t="str">
            <v>qbear</v>
          </cell>
          <cell r="D106">
            <v>14</v>
          </cell>
          <cell r="E106" t="str">
            <v>Advanced</v>
          </cell>
          <cell r="F106" t="str">
            <v>Kaizo</v>
          </cell>
          <cell r="G106">
            <v>44950</v>
          </cell>
          <cell r="H106" t="str">
            <v>32964</v>
          </cell>
          <cell r="I106" t="str">
            <v>https://www.smwcentral.net/?a=details&amp;id=32964&amp;p=section</v>
          </cell>
          <cell r="J106" t="str">
            <v>https://dl.smwcentral.net/32964/A1%20Mario%20World%20vA.01.zip</v>
          </cell>
        </row>
        <row r="107">
          <cell r="A107" t="str">
            <v>Absolute Authenticity</v>
          </cell>
          <cell r="B107" t="str">
            <v>Absolute Authenticity</v>
          </cell>
          <cell r="C107" t="str">
            <v>MarsAmPear</v>
          </cell>
          <cell r="D107">
            <v>0</v>
          </cell>
          <cell r="E107" t="str">
            <v>Grandmaster</v>
          </cell>
          <cell r="F107" t="str">
            <v>Kaizo</v>
          </cell>
          <cell r="G107">
            <v>46089</v>
          </cell>
          <cell r="H107" t="str">
            <v>41559</v>
          </cell>
          <cell r="I107" t="str">
            <v>https://www.smwcentral.net/?a=details&amp;id=41559&amp;p=section</v>
          </cell>
          <cell r="J107" t="str">
            <v>https://dl.smwcentral.net/41559/Absolute%20Authenticity.zip</v>
          </cell>
        </row>
        <row r="108">
          <cell r="A108" t="str">
            <v>Abuse and Die 3</v>
          </cell>
          <cell r="B108" t="str">
            <v>Abuse and Die 3</v>
          </cell>
          <cell r="C108" t="str">
            <v>AFH</v>
          </cell>
          <cell r="D108">
            <v>3</v>
          </cell>
          <cell r="E108" t="str">
            <v>Expert</v>
          </cell>
          <cell r="F108" t="str">
            <v>Kaizo, Tool-Assisted</v>
          </cell>
          <cell r="G108">
            <v>43450</v>
          </cell>
          <cell r="H108" t="str">
            <v>18626</v>
          </cell>
          <cell r="I108" t="str">
            <v>https://www.smwcentral.net/?a=details&amp;id=18626&amp;p=section</v>
          </cell>
          <cell r="J108" t="str">
            <v>https://dl.smwcentral.net/18626/Abuse%20and%20Die%203%20demo.zip</v>
          </cell>
        </row>
        <row r="109">
          <cell r="A109" t="str">
            <v>Acid Tapes Vol. 1</v>
          </cell>
          <cell r="B109" t="str">
            <v>Acid Tapes Vol. 1</v>
          </cell>
          <cell r="C109" t="str">
            <v>twicepipes</v>
          </cell>
          <cell r="D109">
            <v>10</v>
          </cell>
          <cell r="E109" t="str">
            <v>Advanced</v>
          </cell>
          <cell r="F109" t="str">
            <v>Kaizo</v>
          </cell>
          <cell r="G109">
            <v>44854</v>
          </cell>
          <cell r="H109" t="str">
            <v>32375</v>
          </cell>
          <cell r="I109" t="str">
            <v>https://www.smwcentral.net/?a=details&amp;id=32375&amp;p=section</v>
          </cell>
          <cell r="J109" t="str">
            <v>https://dl.smwcentral.net/32375/AcidTapesVol1.zip</v>
          </cell>
        </row>
        <row r="110">
          <cell r="A110" t="str">
            <v>Acid Tapes Vol. 2</v>
          </cell>
          <cell r="B110" t="str">
            <v>Acid Tapes Vol. 2</v>
          </cell>
          <cell r="C110" t="str">
            <v>twicepipes</v>
          </cell>
          <cell r="D110">
            <v>20</v>
          </cell>
          <cell r="E110" t="str">
            <v>Expert</v>
          </cell>
          <cell r="F110" t="str">
            <v>Kaizo</v>
          </cell>
          <cell r="G110">
            <v>46055</v>
          </cell>
          <cell r="H110" t="str">
            <v>41504</v>
          </cell>
          <cell r="I110" t="str">
            <v>https://www.smwcentral.net/?a=details&amp;id=41504&amp;p=section</v>
          </cell>
          <cell r="J110" t="str">
            <v>https://dl.smwcentral.net/41504/AcidTapesVol2%201.1.zip</v>
          </cell>
        </row>
        <row r="111">
          <cell r="A111" t="str">
            <v>Action42</v>
          </cell>
          <cell r="B111" t="str">
            <v>Action42</v>
          </cell>
          <cell r="C111" t="str">
            <v>Nicoke42</v>
          </cell>
          <cell r="D111">
            <v>10</v>
          </cell>
          <cell r="E111" t="str">
            <v>Advanced</v>
          </cell>
          <cell r="F111" t="str">
            <v>Kaizo</v>
          </cell>
          <cell r="G111">
            <v>44745</v>
          </cell>
          <cell r="H111" t="str">
            <v>31179</v>
          </cell>
          <cell r="I111" t="str">
            <v>https://www.smwcentral.net/?a=details&amp;id=31179&amp;p=section</v>
          </cell>
          <cell r="J111" t="str">
            <v>https://dl.smwcentral.net/31179/Action42.zip</v>
          </cell>
        </row>
        <row r="112">
          <cell r="A112" t="str">
            <v>Advanced Shells</v>
          </cell>
          <cell r="B112" t="str">
            <v>Advanced Shells</v>
          </cell>
          <cell r="C112" t="str">
            <v>RicardoDeMelo</v>
          </cell>
          <cell r="D112">
            <v>15</v>
          </cell>
          <cell r="E112" t="str">
            <v>Master</v>
          </cell>
          <cell r="F112" t="str">
            <v>Kaizo</v>
          </cell>
          <cell r="G112">
            <v>44846</v>
          </cell>
          <cell r="H112" t="str">
            <v>32218</v>
          </cell>
          <cell r="I112" t="str">
            <v>https://www.smwcentral.net/?a=details&amp;id=32218&amp;p=section</v>
          </cell>
          <cell r="J112" t="str">
            <v>https://dl.smwcentral.net/32218/Advanced%20Shells.zip</v>
          </cell>
        </row>
        <row r="113">
          <cell r="A113" t="str">
            <v>Advanced Shells II</v>
          </cell>
          <cell r="B113" t="str">
            <v>Advanced Shells II</v>
          </cell>
          <cell r="C113" t="str">
            <v>RicardoDeMelo</v>
          </cell>
          <cell r="D113">
            <v>14</v>
          </cell>
          <cell r="E113" t="str">
            <v>Master</v>
          </cell>
          <cell r="F113" t="str">
            <v>Kaizo</v>
          </cell>
          <cell r="G113">
            <v>44624</v>
          </cell>
          <cell r="H113" t="str">
            <v>29945</v>
          </cell>
          <cell r="I113" t="str">
            <v>https://www.smwcentral.net/?a=details&amp;id=29945&amp;p=section</v>
          </cell>
          <cell r="J113" t="str">
            <v>https://dl.smwcentral.net/29945/Advanced%20Shells%202.zip</v>
          </cell>
        </row>
        <row r="114">
          <cell r="A114" t="str">
            <v>Advanced Shells III</v>
          </cell>
          <cell r="B114" t="str">
            <v>Advanced Shells III</v>
          </cell>
          <cell r="C114" t="str">
            <v>RicardoDeMelo</v>
          </cell>
          <cell r="D114">
            <v>13</v>
          </cell>
          <cell r="E114" t="str">
            <v>Master</v>
          </cell>
          <cell r="F114" t="str">
            <v>Kaizo</v>
          </cell>
          <cell r="G114">
            <v>44985</v>
          </cell>
          <cell r="H114" t="str">
            <v>33319</v>
          </cell>
          <cell r="I114" t="str">
            <v>https://www.smwcentral.net/?a=details&amp;id=33319&amp;p=section</v>
          </cell>
          <cell r="J114" t="str">
            <v>https://dl.smwcentral.net/33319/Advanced%20Shells%203.zip</v>
          </cell>
        </row>
        <row r="115">
          <cell r="A115" t="str">
            <v>Adventure in Gemstone Islands</v>
          </cell>
          <cell r="B115" t="str">
            <v>Adventure in Gemstone Islands</v>
          </cell>
          <cell r="C115" t="str">
            <v>Burst Man</v>
          </cell>
          <cell r="D115">
            <v>73</v>
          </cell>
          <cell r="E115" t="str">
            <v>Intermediate</v>
          </cell>
          <cell r="F115" t="str">
            <v>Standard</v>
          </cell>
          <cell r="G115">
            <v>46092</v>
          </cell>
          <cell r="H115" t="str">
            <v>41808</v>
          </cell>
          <cell r="I115" t="str">
            <v>https://www.smwcentral.net/?a=details&amp;id=41808&amp;p=section</v>
          </cell>
          <cell r="J115" t="str">
            <v>https://dl.smwcentral.net/41808/Adventure%20in%20Gemstone%20Islands%20v2.03.zip</v>
          </cell>
        </row>
        <row r="116">
          <cell r="A116" t="str">
            <v>Adventure Islands</v>
          </cell>
          <cell r="B116" t="str">
            <v>Adventure Islands</v>
          </cell>
          <cell r="C116" t="str">
            <v>Shadow9999</v>
          </cell>
          <cell r="D116">
            <v>44</v>
          </cell>
          <cell r="E116" t="str">
            <v>Advanced</v>
          </cell>
          <cell r="F116" t="str">
            <v>Kaizo</v>
          </cell>
          <cell r="G116">
            <v>43760</v>
          </cell>
          <cell r="H116" t="str">
            <v>21316</v>
          </cell>
          <cell r="I116" t="str">
            <v>https://www.smwcentral.net/?a=details&amp;id=21316&amp;p=section</v>
          </cell>
          <cell r="J116" t="str">
            <v>https://dl.smwcentral.net/21316/Adventure%20Islands.zip</v>
          </cell>
        </row>
        <row r="117">
          <cell r="A117" t="str">
            <v>Adventure Land: Darkness Rising</v>
          </cell>
          <cell r="B117" t="str">
            <v>Adventure Land: Darkness Rising</v>
          </cell>
          <cell r="C117" t="str">
            <v>flareblade26</v>
          </cell>
          <cell r="D117">
            <v>8</v>
          </cell>
          <cell r="E117" t="str">
            <v>Casual</v>
          </cell>
          <cell r="F117" t="str">
            <v>Standard</v>
          </cell>
          <cell r="G117">
            <v>41815</v>
          </cell>
          <cell r="H117" t="str">
            <v>6777</v>
          </cell>
          <cell r="I117" t="str">
            <v>https://www.smwcentral.net/?a=details&amp;id=6777&amp;p=section</v>
          </cell>
          <cell r="J117" t="str">
            <v>https://dl.smwcentral.net/6777/Adventure%20Land%20-%20Darkness%20Rising.zip</v>
          </cell>
        </row>
        <row r="118">
          <cell r="A118" t="str">
            <v>Adventure Land: Legend of the Stars</v>
          </cell>
          <cell r="B118" t="str">
            <v>Adventure Land: Legend of the Stars</v>
          </cell>
          <cell r="C118" t="str">
            <v>flareblade26</v>
          </cell>
          <cell r="D118">
            <v>7</v>
          </cell>
          <cell r="E118" t="str">
            <v>Casual</v>
          </cell>
          <cell r="F118" t="str">
            <v>Standard</v>
          </cell>
          <cell r="G118">
            <v>41513</v>
          </cell>
          <cell r="H118" t="str">
            <v>5368</v>
          </cell>
          <cell r="I118" t="str">
            <v>https://www.smwcentral.net/?a=details&amp;id=5368&amp;p=section</v>
          </cell>
          <cell r="J118" t="str">
            <v>https://dl.smwcentral.net/5368/Adventure%20Land%20Demo%201.zip</v>
          </cell>
        </row>
        <row r="119">
          <cell r="A119" t="str">
            <v>Adventure Of The Red Plumber</v>
          </cell>
          <cell r="B119" t="str">
            <v>Adventure Of The Red Plumber</v>
          </cell>
          <cell r="C119" t="str">
            <v>guitar god527</v>
          </cell>
          <cell r="D119">
            <v>3</v>
          </cell>
          <cell r="E119" t="str">
            <v>Newcomer</v>
          </cell>
          <cell r="F119" t="str">
            <v>Standard</v>
          </cell>
          <cell r="G119">
            <v>42044</v>
          </cell>
          <cell r="H119" t="str">
            <v>9742</v>
          </cell>
          <cell r="I119" t="str">
            <v>https://www.smwcentral.net/?a=details&amp;id=9742&amp;p=section</v>
          </cell>
          <cell r="J119" t="str">
            <v>https://dl.smwcentral.net/9742/Adventure%20of%20the%20red%20plumber.zip</v>
          </cell>
        </row>
        <row r="120">
          <cell r="A120" t="str">
            <v>Aeron Returns</v>
          </cell>
          <cell r="B120" t="str">
            <v>Aeron Returns</v>
          </cell>
          <cell r="C120" t="str">
            <v>Anorakun</v>
          </cell>
          <cell r="D120">
            <v>3</v>
          </cell>
          <cell r="E120" t="str">
            <v>Advanced</v>
          </cell>
          <cell r="F120" t="str">
            <v>Standard, Kaizo</v>
          </cell>
          <cell r="G120">
            <v>44774</v>
          </cell>
          <cell r="H120" t="str">
            <v>31365</v>
          </cell>
          <cell r="I120" t="str">
            <v>https://www.smwcentral.net/?a=details&amp;id=31365&amp;p=section</v>
          </cell>
          <cell r="J120" t="str">
            <v>https://dl.smwcentral.net/31365/Aeron_Returns_ver._1.8.zip</v>
          </cell>
        </row>
        <row r="121">
          <cell r="A121" t="str">
            <v>Aeron's Golden Cookie Quest ~ Special Edition</v>
          </cell>
          <cell r="B121" t="str">
            <v>Aeron's Golden Cookie Quest ~ Special Edition</v>
          </cell>
          <cell r="C121" t="str">
            <v>Anorakun</v>
          </cell>
          <cell r="D121">
            <v>10</v>
          </cell>
          <cell r="E121" t="str">
            <v>Advanced</v>
          </cell>
          <cell r="F121" t="str">
            <v>Standard</v>
          </cell>
          <cell r="G121">
            <v>46167</v>
          </cell>
          <cell r="H121" t="str">
            <v>42362</v>
          </cell>
          <cell r="I121" t="str">
            <v>https://www.smwcentral.net/?a=details&amp;id=42362&amp;p=section</v>
          </cell>
          <cell r="J121" t="str">
            <v>https://dl.smwcentral.net/42362/Aeron%27s%20Golden%20Cookie%20Quest%20-%20Special%20Edition%20%28ver.5.0.1%29.zip</v>
          </cell>
        </row>
        <row r="122">
          <cell r="A122" t="str">
            <v>Aether: The Paramount Omnibus</v>
          </cell>
          <cell r="B122" t="str">
            <v>Aether: The Paramount Omnibus</v>
          </cell>
          <cell r="C122" t="str">
            <v>Dappertron</v>
          </cell>
          <cell r="D122">
            <v>20</v>
          </cell>
          <cell r="E122" t="str">
            <v>Casual</v>
          </cell>
          <cell r="F122" t="str">
            <v>Standard</v>
          </cell>
          <cell r="G122">
            <v>41570</v>
          </cell>
          <cell r="H122" t="str">
            <v>5471</v>
          </cell>
          <cell r="I122" t="str">
            <v>https://www.smwcentral.net/?a=details&amp;id=5471&amp;p=section</v>
          </cell>
          <cell r="J122" t="str">
            <v>https://dl.smwcentral.net/5471/Aether%20TPO.zip</v>
          </cell>
        </row>
        <row r="123">
          <cell r="A123" t="str">
            <v>ageVerrly's Challenge</v>
          </cell>
          <cell r="B123" t="str">
            <v>ageVerrly's Challenge</v>
          </cell>
          <cell r="C123" t="str">
            <v>ageVerrly</v>
          </cell>
          <cell r="D123">
            <v>1</v>
          </cell>
          <cell r="E123" t="str">
            <v>Grandmaster</v>
          </cell>
          <cell r="F123" t="str">
            <v>Kaizo</v>
          </cell>
          <cell r="G123">
            <v>44874</v>
          </cell>
          <cell r="H123" t="str">
            <v>32364</v>
          </cell>
          <cell r="I123" t="str">
            <v>https://www.smwcentral.net/?a=details&amp;id=32364&amp;p=section</v>
          </cell>
          <cell r="J123" t="str">
            <v>https://dl.smwcentral.net/32364/ac.zip</v>
          </cell>
        </row>
        <row r="124">
          <cell r="A124" t="str">
            <v>Agnosthesia</v>
          </cell>
          <cell r="B124" t="str">
            <v>Agnosthesia</v>
          </cell>
          <cell r="C124" t="str">
            <v>LightAligns, Saela</v>
          </cell>
          <cell r="D124">
            <v>22</v>
          </cell>
          <cell r="E124" t="str">
            <v>Expert</v>
          </cell>
          <cell r="F124" t="str">
            <v>Kaizo</v>
          </cell>
          <cell r="G124">
            <v>45151</v>
          </cell>
          <cell r="H124" t="str">
            <v>34827</v>
          </cell>
          <cell r="I124" t="str">
            <v>https://www.smwcentral.net/?a=details&amp;id=34827&amp;p=section</v>
          </cell>
          <cell r="J124" t="str">
            <v>https://dl.smwcentral.net/34827/Agnosthesia.zip</v>
          </cell>
        </row>
        <row r="125">
          <cell r="A125" t="str">
            <v>Aionios Dynami</v>
          </cell>
          <cell r="B125" t="str">
            <v>Aionios Dynami</v>
          </cell>
          <cell r="C125" t="str">
            <v>Atma, Buster Beetle</v>
          </cell>
          <cell r="D125">
            <v>6</v>
          </cell>
          <cell r="E125" t="str">
            <v>Intermediate</v>
          </cell>
          <cell r="F125" t="str">
            <v>Standard</v>
          </cell>
          <cell r="G125">
            <v>42258</v>
          </cell>
          <cell r="H125" t="str">
            <v>9993</v>
          </cell>
          <cell r="I125" t="str">
            <v>https://www.smwcentral.net/?a=details&amp;id=9993&amp;p=section</v>
          </cell>
          <cell r="J125" t="str">
            <v>https://dl.smwcentral.net/9993/Aionios%20Dynami.zip</v>
          </cell>
        </row>
        <row r="126">
          <cell r="A126" t="str">
            <v>Akogare 2</v>
          </cell>
          <cell r="B126" t="str">
            <v>Akogare 2</v>
          </cell>
          <cell r="C126" t="str">
            <v>Mega</v>
          </cell>
          <cell r="D126">
            <v>29</v>
          </cell>
          <cell r="E126" t="str">
            <v>Expert</v>
          </cell>
          <cell r="F126" t="str">
            <v>Kaizo</v>
          </cell>
          <cell r="G126">
            <v>44342</v>
          </cell>
          <cell r="H126" t="str">
            <v>27094</v>
          </cell>
          <cell r="I126" t="str">
            <v>https://www.smwcentral.net/?a=details&amp;id=27094&amp;p=section</v>
          </cell>
          <cell r="J126" t="str">
            <v>https://dl.smwcentral.net/27094/Akogare2.zip</v>
          </cell>
        </row>
        <row r="127">
          <cell r="A127" t="str">
            <v>Akogare Mario World</v>
          </cell>
          <cell r="B127" t="str">
            <v>Akogare Mario World</v>
          </cell>
          <cell r="C127" t="str">
            <v>Mega</v>
          </cell>
          <cell r="D127">
            <v>28</v>
          </cell>
          <cell r="E127" t="str">
            <v>Advanced</v>
          </cell>
          <cell r="F127" t="str">
            <v>Kaizo</v>
          </cell>
          <cell r="G127">
            <v>43442</v>
          </cell>
          <cell r="H127" t="str">
            <v>18612</v>
          </cell>
          <cell r="I127" t="str">
            <v>https://www.smwcentral.net/?a=details&amp;id=18612&amp;p=section</v>
          </cell>
          <cell r="J127" t="str">
            <v>https://dl.smwcentral.net/18612/Akogare%20v1.2.zip</v>
          </cell>
        </row>
        <row r="128">
          <cell r="A128" t="str">
            <v>Alabaras Shells</v>
          </cell>
          <cell r="B128" t="str">
            <v>Alabaras Shells</v>
          </cell>
          <cell r="C128" t="str">
            <v>arantes</v>
          </cell>
          <cell r="D128">
            <v>10</v>
          </cell>
          <cell r="E128" t="str">
            <v>Expert</v>
          </cell>
          <cell r="F128" t="str">
            <v>Kaizo</v>
          </cell>
          <cell r="G128">
            <v>44958</v>
          </cell>
          <cell r="H128" t="str">
            <v>33026</v>
          </cell>
          <cell r="I128" t="str">
            <v>https://www.smwcentral.net/?a=details&amp;id=33026&amp;p=section</v>
          </cell>
          <cell r="J128" t="str">
            <v>https://dl.smwcentral.net/33026/Alabaras%20Shells%201.2.zip</v>
          </cell>
        </row>
        <row r="129">
          <cell r="A129" t="str">
            <v>Albatros</v>
          </cell>
          <cell r="B129" t="str">
            <v>Albatros</v>
          </cell>
          <cell r="C129" t="str">
            <v>kurtistrydiz</v>
          </cell>
          <cell r="D129">
            <v>32</v>
          </cell>
          <cell r="E129" t="str">
            <v>Grandmaster</v>
          </cell>
          <cell r="F129" t="str">
            <v>Kaizo</v>
          </cell>
          <cell r="G129">
            <v>45680</v>
          </cell>
          <cell r="H129" t="str">
            <v>38912</v>
          </cell>
          <cell r="I129" t="str">
            <v>https://www.smwcentral.net/?a=details&amp;id=38912&amp;p=section</v>
          </cell>
          <cell r="J129" t="str">
            <v>https://dl.smwcentral.net/38912/Albatros%201.102.zip</v>
          </cell>
        </row>
        <row r="130">
          <cell r="A130" t="str">
            <v>Alex Kidd in Mario World</v>
          </cell>
          <cell r="B130" t="str">
            <v>Alex Kidd in Mario World</v>
          </cell>
          <cell r="C130" t="str">
            <v>Bioma</v>
          </cell>
          <cell r="D130">
            <v>38</v>
          </cell>
          <cell r="E130" t="str">
            <v>Casual</v>
          </cell>
          <cell r="F130" t="str">
            <v>Standard</v>
          </cell>
          <cell r="G130">
            <v>42561</v>
          </cell>
          <cell r="H130" t="str">
            <v>13589</v>
          </cell>
          <cell r="I130" t="str">
            <v>https://www.smwcentral.net/?a=details&amp;id=13589&amp;p=section</v>
          </cell>
          <cell r="J130" t="str">
            <v>https://dl.smwcentral.net/13589/AKMW.zip</v>
          </cell>
        </row>
        <row r="131">
          <cell r="A131" t="str">
            <v>Alex Kidd In Pancake World</v>
          </cell>
          <cell r="B131" t="str">
            <v>Alex Kidd In Pancake World</v>
          </cell>
          <cell r="C131" t="str">
            <v>Lunartoad</v>
          </cell>
          <cell r="D131">
            <v>4</v>
          </cell>
          <cell r="E131" t="str">
            <v>Casual</v>
          </cell>
          <cell r="F131" t="str">
            <v>Standard</v>
          </cell>
          <cell r="G131">
            <v>42046</v>
          </cell>
          <cell r="H131" t="str">
            <v>9721</v>
          </cell>
          <cell r="I131" t="str">
            <v>https://www.smwcentral.net/?a=details&amp;id=9721&amp;p=section</v>
          </cell>
          <cell r="J131" t="str">
            <v>https://dl.smwcentral.net/9721/Alex_Kidd_Demo1_%28IPS%2C_for_clean_ROM%29.zip</v>
          </cell>
        </row>
        <row r="132">
          <cell r="A132" t="str">
            <v>All in a Day's World</v>
          </cell>
          <cell r="B132" t="str">
            <v>All in a Day's World</v>
          </cell>
          <cell r="C132" t="str">
            <v>E-man38</v>
          </cell>
          <cell r="D132">
            <v>10</v>
          </cell>
          <cell r="E132" t="str">
            <v>Intermediate</v>
          </cell>
          <cell r="F132" t="str">
            <v>Standard</v>
          </cell>
          <cell r="G132">
            <v>45706</v>
          </cell>
          <cell r="H132" t="str">
            <v>39362</v>
          </cell>
          <cell r="I132" t="str">
            <v>https://www.smwcentral.net/?a=details&amp;id=39362&amp;p=section</v>
          </cell>
          <cell r="J132" t="str">
            <v>https://dl.smwcentral.net/39362/All%20in%20a%20Day%27s%20World.zip</v>
          </cell>
        </row>
        <row r="133">
          <cell r="A133" t="str">
            <v>Allstar's dream</v>
          </cell>
          <cell r="B133" t="str">
            <v>Allstar's dream</v>
          </cell>
          <cell r="C133" t="str">
            <v>Lush_50</v>
          </cell>
          <cell r="D133">
            <v>0</v>
          </cell>
          <cell r="E133" t="str">
            <v>Intermediate</v>
          </cell>
          <cell r="F133" t="str">
            <v>Kaizo</v>
          </cell>
          <cell r="G133">
            <v>44475</v>
          </cell>
          <cell r="H133" t="str">
            <v>28535</v>
          </cell>
          <cell r="I133" t="str">
            <v>https://www.smwcentral.net/?a=details&amp;id=28535&amp;p=section</v>
          </cell>
          <cell r="J133" t="str">
            <v>https://dl.smwcentral.net/28535/Allstar%27s%20dream%20v1.0.zip</v>
          </cell>
        </row>
        <row r="134">
          <cell r="A134" t="str">
            <v>Allycia Legends - The Blood Moon</v>
          </cell>
          <cell r="B134" t="str">
            <v>Allycia Legends - The Blood Moon</v>
          </cell>
          <cell r="C134" t="str">
            <v>Guilherme F Santos</v>
          </cell>
          <cell r="D134">
            <v>9</v>
          </cell>
          <cell r="E134" t="str">
            <v>Casual</v>
          </cell>
          <cell r="F134" t="str">
            <v>Standard</v>
          </cell>
          <cell r="G134">
            <v>42716</v>
          </cell>
          <cell r="H134" t="str">
            <v>14727</v>
          </cell>
          <cell r="I134" t="str">
            <v>https://www.smwcentral.net/?a=details&amp;id=14727&amp;p=section</v>
          </cell>
          <cell r="J134" t="str">
            <v>https://dl.smwcentral.net/14727/Allycia%20Legends.zip</v>
          </cell>
        </row>
        <row r="135">
          <cell r="A135" t="str">
            <v>Alpha Shelltauri</v>
          </cell>
          <cell r="B135" t="str">
            <v>Alpha Shelltauri</v>
          </cell>
          <cell r="C135" t="str">
            <v>pibolarGaming</v>
          </cell>
          <cell r="D135">
            <v>1</v>
          </cell>
          <cell r="E135" t="str">
            <v>Master</v>
          </cell>
          <cell r="F135" t="str">
            <v>Kaizo</v>
          </cell>
          <cell r="G135">
            <v>45091</v>
          </cell>
          <cell r="H135" t="str">
            <v>34112</v>
          </cell>
          <cell r="I135" t="str">
            <v>https://www.smwcentral.net/?a=details&amp;id=34112&amp;p=section</v>
          </cell>
          <cell r="J135" t="str">
            <v>https://dl.smwcentral.net/34112/Alpha%20Shelltauri.zip</v>
          </cell>
        </row>
        <row r="136">
          <cell r="A136" t="str">
            <v>ALPHA SPHERE Zero: Rotten Brains</v>
          </cell>
          <cell r="B136" t="str">
            <v>ALPHA SPHERE Zero: Rotten Brains</v>
          </cell>
          <cell r="C136" t="str">
            <v>Daizo Dee Von</v>
          </cell>
          <cell r="D136">
            <v>0</v>
          </cell>
          <cell r="E136" t="str">
            <v>Newcomer</v>
          </cell>
          <cell r="F136" t="str">
            <v>Standard</v>
          </cell>
          <cell r="G136">
            <v>44859</v>
          </cell>
          <cell r="H136" t="str">
            <v>32393</v>
          </cell>
          <cell r="I136" t="str">
            <v>https://www.smwcentral.net/?a=details&amp;id=32393&amp;p=section</v>
          </cell>
          <cell r="J136" t="str">
            <v>https://dl.smwcentral.net/32393/%5BHack%5D%20ALPHA%20SPHERE%20Zero%20-%20Rotten%20Brains.zip</v>
          </cell>
        </row>
        <row r="137">
          <cell r="A137" t="str">
            <v>ALPHA SPHERE: Director's Cut</v>
          </cell>
          <cell r="B137" t="str">
            <v>ALPHA SPHERE: Director's Cut</v>
          </cell>
          <cell r="C137" t="str">
            <v>Daizo Dee Von</v>
          </cell>
          <cell r="D137">
            <v>5</v>
          </cell>
          <cell r="E137" t="str">
            <v>Casual</v>
          </cell>
          <cell r="F137" t="str">
            <v>Standard</v>
          </cell>
          <cell r="G137">
            <v>44407</v>
          </cell>
          <cell r="H137" t="str">
            <v>27795</v>
          </cell>
          <cell r="I137" t="str">
            <v>https://www.smwcentral.net/?a=details&amp;id=27795&amp;p=section</v>
          </cell>
          <cell r="J137" t="str">
            <v>https://dl.smwcentral.net/27795/ALPHA%20SPHERE%20Director%27s%20Cut%20v1.0.2.zip</v>
          </cell>
        </row>
        <row r="138">
          <cell r="A138" t="str">
            <v>Also Sprach Mario</v>
          </cell>
          <cell r="B138" t="str">
            <v>Also Sprach Mario</v>
          </cell>
          <cell r="C138" t="str">
            <v>MrBread</v>
          </cell>
          <cell r="D138">
            <v>10</v>
          </cell>
          <cell r="E138" t="str">
            <v>Advanced</v>
          </cell>
          <cell r="F138" t="str">
            <v>Kaizo</v>
          </cell>
          <cell r="G138">
            <v>43908</v>
          </cell>
          <cell r="H138" t="str">
            <v>22417</v>
          </cell>
          <cell r="I138" t="str">
            <v>https://www.smwcentral.net/?a=details&amp;id=22417&amp;p=section</v>
          </cell>
          <cell r="J138" t="str">
            <v>https://dl.smwcentral.net/22417/AlsoSprachMario.zip</v>
          </cell>
        </row>
        <row r="139">
          <cell r="A139" t="str">
            <v>Amazing</v>
          </cell>
          <cell r="B139" t="str">
            <v>Amazing</v>
          </cell>
          <cell r="C139" t="str">
            <v>Sweetdude</v>
          </cell>
          <cell r="D139">
            <v>8</v>
          </cell>
          <cell r="E139" t="str">
            <v>Advanced</v>
          </cell>
          <cell r="F139" t="str">
            <v>Kaizo</v>
          </cell>
          <cell r="G139">
            <v>45634</v>
          </cell>
          <cell r="H139" t="str">
            <v>38889</v>
          </cell>
          <cell r="I139" t="str">
            <v>https://www.smwcentral.net/?a=details&amp;id=38889&amp;p=section</v>
          </cell>
          <cell r="J139" t="str">
            <v>https://dl.smwcentral.net/38889/Amazeballs.zip</v>
          </cell>
        </row>
        <row r="140">
          <cell r="A140" t="str">
            <v>Ambivalence</v>
          </cell>
          <cell r="B140" t="str">
            <v>Ambivalence</v>
          </cell>
          <cell r="C140" t="str">
            <v>drkrdnk</v>
          </cell>
          <cell r="D140">
            <v>11</v>
          </cell>
          <cell r="E140" t="str">
            <v>Advanced</v>
          </cell>
          <cell r="F140" t="str">
            <v>Kaizo</v>
          </cell>
          <cell r="G140">
            <v>44736</v>
          </cell>
          <cell r="H140" t="str">
            <v>31224</v>
          </cell>
          <cell r="I140" t="str">
            <v>https://www.smwcentral.net/?a=details&amp;id=31224&amp;p=section</v>
          </cell>
          <cell r="J140" t="str">
            <v>https://dl.smwcentral.net/31224/ambivalence%20v101.zip</v>
          </cell>
        </row>
        <row r="141">
          <cell r="A141" t="str">
            <v>Amulet Of Corruption DEMO</v>
          </cell>
          <cell r="B141" t="str">
            <v>Amulet Of Corruption DEMO</v>
          </cell>
          <cell r="C141" t="str">
            <v>Superwan</v>
          </cell>
          <cell r="D141">
            <v>7</v>
          </cell>
          <cell r="E141" t="str">
            <v>Casual</v>
          </cell>
          <cell r="F141" t="str">
            <v>Standard</v>
          </cell>
          <cell r="G141">
            <v>44297</v>
          </cell>
          <cell r="H141" t="str">
            <v>26347</v>
          </cell>
          <cell r="I141" t="str">
            <v>https://www.smwcentral.net/?a=details&amp;id=26347&amp;p=section</v>
          </cell>
          <cell r="J141" t="str">
            <v>https://dl.smwcentral.net/26347/AmuletOfCorruption.zip</v>
          </cell>
        </row>
        <row r="142">
          <cell r="A142" t="str">
            <v>An SMW Central Production</v>
          </cell>
          <cell r="B142" t="str">
            <v>An SMW Central Production</v>
          </cell>
          <cell r="C142" t="str">
            <v>SMW Central</v>
          </cell>
          <cell r="D142">
            <v>117</v>
          </cell>
          <cell r="E142" t="str">
            <v>Advanced</v>
          </cell>
          <cell r="F142" t="str">
            <v>Standard</v>
          </cell>
          <cell r="G142">
            <v>41639</v>
          </cell>
          <cell r="H142" t="str">
            <v>5420</v>
          </cell>
          <cell r="I142" t="str">
            <v>https://www.smwcentral.net/?a=details&amp;id=5420&amp;p=section</v>
          </cell>
          <cell r="J142" t="str">
            <v>https://dl.smwcentral.net/5420/SMWCP.zip</v>
          </cell>
        </row>
        <row r="143">
          <cell r="A143" t="str">
            <v>An Untitled Quest!</v>
          </cell>
          <cell r="B143" t="str">
            <v>An Untitled Quest!</v>
          </cell>
          <cell r="C143" t="str">
            <v>LHB</v>
          </cell>
          <cell r="D143">
            <v>14</v>
          </cell>
          <cell r="E143" t="str">
            <v>Casual</v>
          </cell>
          <cell r="F143" t="str">
            <v>Standard</v>
          </cell>
          <cell r="G143">
            <v>42303</v>
          </cell>
          <cell r="H143" t="str">
            <v>10216</v>
          </cell>
          <cell r="I143" t="str">
            <v>https://www.smwcentral.net/?a=details&amp;id=10216&amp;p=section</v>
          </cell>
          <cell r="J143" t="str">
            <v>https://dl.smwcentral.net/10216/An%20Untitled%20Quest%21.zip</v>
          </cell>
        </row>
        <row r="144">
          <cell r="A144" t="str">
            <v>Anita Kaizo Land</v>
          </cell>
          <cell r="B144" t="str">
            <v>Anita Kaizo Land</v>
          </cell>
          <cell r="C144" t="str">
            <v>Azula16</v>
          </cell>
          <cell r="D144">
            <v>7</v>
          </cell>
          <cell r="E144" t="str">
            <v>Advanced</v>
          </cell>
          <cell r="F144" t="str">
            <v>Kaizo</v>
          </cell>
          <cell r="G144">
            <v>44405</v>
          </cell>
          <cell r="H144" t="str">
            <v>27829</v>
          </cell>
          <cell r="I144" t="str">
            <v>https://www.smwcentral.net/?a=details&amp;id=27829&amp;p=section</v>
          </cell>
          <cell r="J144" t="str">
            <v>https://dl.smwcentral.net/27829/Anita%20Kaizo%20Land%20V1.1.zip</v>
          </cell>
        </row>
        <row r="145">
          <cell r="A145" t="str">
            <v>Another adventure of Mario</v>
          </cell>
          <cell r="B145" t="str">
            <v>Another adventure of Mario</v>
          </cell>
          <cell r="C145" t="str">
            <v>Suhru</v>
          </cell>
          <cell r="D145">
            <v>19</v>
          </cell>
          <cell r="E145" t="str">
            <v>Intermediate</v>
          </cell>
          <cell r="F145" t="str">
            <v>Standard</v>
          </cell>
          <cell r="G145">
            <v>42284</v>
          </cell>
          <cell r="H145" t="str">
            <v>10106</v>
          </cell>
          <cell r="I145" t="str">
            <v>https://www.smwcentral.net/?a=details&amp;id=10106&amp;p=section</v>
          </cell>
          <cell r="J145" t="str">
            <v>https://dl.smwcentral.net/10106/Another%20adventure%20of%20Mario.zip</v>
          </cell>
        </row>
        <row r="146">
          <cell r="A146" t="str">
            <v>Another Challenge With Mario</v>
          </cell>
          <cell r="B146" t="str">
            <v>Another Challenge With Mario</v>
          </cell>
          <cell r="C146" t="str">
            <v>ChaoticX</v>
          </cell>
          <cell r="D146">
            <v>8</v>
          </cell>
          <cell r="E146" t="str">
            <v>Intermediate</v>
          </cell>
          <cell r="F146" t="str">
            <v>Standard</v>
          </cell>
          <cell r="G146">
            <v>42207</v>
          </cell>
          <cell r="H146" t="str">
            <v>9677</v>
          </cell>
          <cell r="I146" t="str">
            <v>https://www.smwcentral.net/?a=details&amp;id=9677&amp;p=section</v>
          </cell>
          <cell r="J146" t="str">
            <v>https://dl.smwcentral.net/9677/AnotherChallengeWithMario%20DEMO%201.0.zip</v>
          </cell>
        </row>
        <row r="147">
          <cell r="A147" t="str">
            <v>Another Christmas Gift - Christmas in March</v>
          </cell>
          <cell r="B147" t="str">
            <v>Another Christmas Gift - Christmas in March</v>
          </cell>
          <cell r="C147" t="str">
            <v>The_Uber_Camper</v>
          </cell>
          <cell r="D147">
            <v>4</v>
          </cell>
          <cell r="E147" t="str">
            <v>Advanced</v>
          </cell>
          <cell r="F147" t="str">
            <v>Kaizo</v>
          </cell>
          <cell r="G147">
            <v>44995</v>
          </cell>
          <cell r="H147" t="str">
            <v>33435</v>
          </cell>
          <cell r="I147" t="str">
            <v>https://www.smwcentral.net/?a=details&amp;id=33435&amp;p=section</v>
          </cell>
          <cell r="J147" t="str">
            <v>https://dl.smwcentral.net/33435/Another%20Christmas%20Gift%20-%20Christmas%20in%20March.zip</v>
          </cell>
        </row>
        <row r="148">
          <cell r="A148" t="str">
            <v>Another Generic SMW Hack</v>
          </cell>
          <cell r="B148" t="str">
            <v>Another Generic SMW Hack</v>
          </cell>
          <cell r="C148" t="str">
            <v>MarioFan22</v>
          </cell>
          <cell r="D148">
            <v>11</v>
          </cell>
          <cell r="E148" t="str">
            <v>Newcomer</v>
          </cell>
          <cell r="F148" t="str">
            <v>Standard</v>
          </cell>
          <cell r="G148">
            <v>42295</v>
          </cell>
          <cell r="H148" t="str">
            <v>10059</v>
          </cell>
          <cell r="I148" t="str">
            <v>https://www.smwcentral.net/?a=details&amp;id=10059&amp;p=section</v>
          </cell>
          <cell r="J148" t="str">
            <v>https://dl.smwcentral.net/10059/GenSMWHackUnfinished.zip</v>
          </cell>
        </row>
        <row r="149">
          <cell r="A149" t="str">
            <v>Another Mario Adventure</v>
          </cell>
          <cell r="B149" t="str">
            <v>Another Mario Adventure</v>
          </cell>
          <cell r="C149" t="str">
            <v>NismoZ</v>
          </cell>
          <cell r="D149">
            <v>5</v>
          </cell>
          <cell r="E149" t="str">
            <v>Newcomer</v>
          </cell>
          <cell r="F149" t="str">
            <v>Standard</v>
          </cell>
          <cell r="G149">
            <v>42317</v>
          </cell>
          <cell r="H149" t="str">
            <v>10160</v>
          </cell>
          <cell r="I149" t="str">
            <v>https://www.smwcentral.net/?a=details&amp;id=10160&amp;p=section</v>
          </cell>
          <cell r="J149" t="str">
            <v>https://dl.smwcentral.net/10160/marventurev131.zip</v>
          </cell>
        </row>
        <row r="150">
          <cell r="A150" t="str">
            <v>Another Mario Hack</v>
          </cell>
          <cell r="B150" t="str">
            <v>Another Mario Hack</v>
          </cell>
          <cell r="C150" t="str">
            <v>Carsr4carpeople1</v>
          </cell>
          <cell r="D150">
            <v>9</v>
          </cell>
          <cell r="E150" t="str">
            <v>Intermediate</v>
          </cell>
          <cell r="F150" t="str">
            <v>Standard</v>
          </cell>
          <cell r="G150">
            <v>42065</v>
          </cell>
          <cell r="H150" t="str">
            <v>9671</v>
          </cell>
          <cell r="I150" t="str">
            <v>https://www.smwcentral.net/?a=details&amp;id=9671&amp;p=section</v>
          </cell>
          <cell r="J150" t="str">
            <v>https://dl.smwcentral.net/9671/Another%20Mario%20Hack.zip</v>
          </cell>
        </row>
        <row r="151">
          <cell r="A151" t="str">
            <v>Another Mario Remastered</v>
          </cell>
          <cell r="B151" t="str">
            <v>Another Mario Remastered</v>
          </cell>
          <cell r="C151" t="str">
            <v>DAA234</v>
          </cell>
          <cell r="D151">
            <v>71</v>
          </cell>
          <cell r="E151" t="str">
            <v>Casual</v>
          </cell>
          <cell r="F151" t="str">
            <v>Standard</v>
          </cell>
          <cell r="G151">
            <v>42892</v>
          </cell>
          <cell r="H151" t="str">
            <v>15640</v>
          </cell>
          <cell r="I151" t="str">
            <v>https://www.smwcentral.net/?a=details&amp;id=15640&amp;p=section</v>
          </cell>
          <cell r="J151" t="str">
            <v>https://dl.smwcentral.net/15640/Another%20Mario%20Remastered.zip</v>
          </cell>
        </row>
        <row r="152">
          <cell r="A152" t="str">
            <v>Another Mario Remastered 2 - HF Crismon</v>
          </cell>
          <cell r="B152" t="str">
            <v>Another Mario Remastered 2 - HF Crismon</v>
          </cell>
          <cell r="C152" t="str">
            <v>DAA234</v>
          </cell>
          <cell r="D152">
            <v>34</v>
          </cell>
          <cell r="E152" t="str">
            <v>Casual</v>
          </cell>
          <cell r="F152" t="str">
            <v>Standard</v>
          </cell>
          <cell r="G152">
            <v>42987</v>
          </cell>
          <cell r="H152" t="str">
            <v>16145</v>
          </cell>
          <cell r="I152" t="str">
            <v>https://www.smwcentral.net/?a=details&amp;id=16145&amp;p=section</v>
          </cell>
          <cell r="J152" t="str">
            <v>https://dl.smwcentral.net/16145/Another%20Mario%20Remastered%202%20Demo%202.zip</v>
          </cell>
        </row>
        <row r="153">
          <cell r="A153" t="str">
            <v>Another Mario World</v>
          </cell>
          <cell r="B153" t="str">
            <v>Another Mario World</v>
          </cell>
          <cell r="C153" t="str">
            <v>Stivi</v>
          </cell>
          <cell r="D153">
            <v>54</v>
          </cell>
          <cell r="E153" t="str">
            <v>Casual</v>
          </cell>
          <cell r="F153" t="str">
            <v>Standard</v>
          </cell>
          <cell r="G153">
            <v>42764</v>
          </cell>
          <cell r="H153" t="str">
            <v>15076</v>
          </cell>
          <cell r="I153" t="str">
            <v>https://www.smwcentral.net/?a=details&amp;id=15076&amp;p=section</v>
          </cell>
          <cell r="J153" t="str">
            <v>https://dl.smwcentral.net/15076/Another%20Mario%20World.zip</v>
          </cell>
        </row>
        <row r="154">
          <cell r="A154" t="str">
            <v>Another Mario World 2: Luigi's Mission</v>
          </cell>
          <cell r="B154" t="str">
            <v>Another Mario World 2: Luigi's Mission</v>
          </cell>
          <cell r="C154" t="str">
            <v>Stivi</v>
          </cell>
          <cell r="D154">
            <v>70</v>
          </cell>
          <cell r="E154" t="str">
            <v>Casual</v>
          </cell>
          <cell r="F154" t="str">
            <v>Standard</v>
          </cell>
          <cell r="G154">
            <v>42926</v>
          </cell>
          <cell r="H154" t="str">
            <v>15710</v>
          </cell>
          <cell r="I154" t="str">
            <v>https://www.smwcentral.net/?a=details&amp;id=15710&amp;p=section</v>
          </cell>
          <cell r="J154" t="str">
            <v>https://dl.smwcentral.net/15710/Another%20Mario%20World%202%20-%20Luigi%27s%20Mission.zip</v>
          </cell>
        </row>
        <row r="155">
          <cell r="A155" t="str">
            <v>Another Rom Hack Featuring Mario</v>
          </cell>
          <cell r="B155" t="str">
            <v>Another Rom Hack Featuring Mario</v>
          </cell>
          <cell r="C155" t="str">
            <v>rumpg46691</v>
          </cell>
          <cell r="D155">
            <v>8</v>
          </cell>
          <cell r="E155" t="str">
            <v>Casual</v>
          </cell>
          <cell r="F155" t="str">
            <v>Standard</v>
          </cell>
          <cell r="G155">
            <v>42211</v>
          </cell>
          <cell r="H155" t="str">
            <v>11837</v>
          </cell>
          <cell r="I155" t="str">
            <v>https://www.smwcentral.net/?a=details&amp;id=11837&amp;p=section</v>
          </cell>
          <cell r="J155" t="str">
            <v>https://dl.smwcentral.net/11837/Another%20Rom%20Hack%20Featuring%20Mario.zip</v>
          </cell>
        </row>
        <row r="156">
          <cell r="A156" t="str">
            <v>Another Special World</v>
          </cell>
          <cell r="B156" t="str">
            <v>Another Special World</v>
          </cell>
          <cell r="C156" t="str">
            <v>lolyoshi, rextep</v>
          </cell>
          <cell r="D156">
            <v>8</v>
          </cell>
          <cell r="E156" t="str">
            <v>Intermediate</v>
          </cell>
          <cell r="F156" t="str">
            <v>Standard</v>
          </cell>
          <cell r="G156">
            <v>42587</v>
          </cell>
          <cell r="H156" t="str">
            <v>14122</v>
          </cell>
          <cell r="I156" t="str">
            <v>https://www.smwcentral.net/?a=details&amp;id=14122&amp;p=section</v>
          </cell>
          <cell r="J156" t="str">
            <v>https://dl.smwcentral.net/14122/newASW.zip</v>
          </cell>
        </row>
        <row r="157">
          <cell r="A157" t="str">
            <v>Another Special World 2</v>
          </cell>
          <cell r="B157" t="str">
            <v>Another Special World 2</v>
          </cell>
          <cell r="C157" t="str">
            <v>lolyoshi, rextep</v>
          </cell>
          <cell r="D157">
            <v>9</v>
          </cell>
          <cell r="E157" t="str">
            <v>Advanced</v>
          </cell>
          <cell r="F157" t="str">
            <v>Standard</v>
          </cell>
          <cell r="G157">
            <v>44385</v>
          </cell>
          <cell r="H157" t="str">
            <v>27588</v>
          </cell>
          <cell r="I157" t="str">
            <v>https://www.smwcentral.net/?a=details&amp;id=27588&amp;p=section</v>
          </cell>
          <cell r="J157" t="str">
            <v>https://dl.smwcentral.net/27588/asw2.zip</v>
          </cell>
        </row>
        <row r="158">
          <cell r="A158" t="str">
            <v>Another Super Mario Adventure</v>
          </cell>
          <cell r="B158" t="str">
            <v>Another Super Mario Adventure</v>
          </cell>
          <cell r="C158" t="str">
            <v>Gamma V</v>
          </cell>
          <cell r="D158">
            <v>27</v>
          </cell>
          <cell r="E158" t="str">
            <v>Casual</v>
          </cell>
          <cell r="F158" t="str">
            <v>Standard</v>
          </cell>
          <cell r="G158">
            <v>46137</v>
          </cell>
          <cell r="H158" t="str">
            <v>42255</v>
          </cell>
          <cell r="I158" t="str">
            <v>https://www.smwcentral.net/?a=details&amp;id=42255&amp;p=section</v>
          </cell>
          <cell r="J158" t="str">
            <v>https://dl.smwcentral.net/42255/ASMA2%20Demo.zip</v>
          </cell>
        </row>
        <row r="159">
          <cell r="A159" t="str">
            <v>Aperitif</v>
          </cell>
          <cell r="B159" t="str">
            <v>Aperitif</v>
          </cell>
          <cell r="C159" t="str">
            <v>bald_ridge</v>
          </cell>
          <cell r="D159">
            <v>13</v>
          </cell>
          <cell r="E159" t="str">
            <v>Intermediate</v>
          </cell>
          <cell r="F159" t="str">
            <v>Kaizo</v>
          </cell>
          <cell r="G159">
            <v>46192</v>
          </cell>
          <cell r="H159" t="str">
            <v>42560</v>
          </cell>
          <cell r="I159" t="str">
            <v>https://www.smwcentral.net/?a=details&amp;id=42560&amp;p=section</v>
          </cell>
          <cell r="J159" t="str">
            <v>https://dl.smwcentral.net/42560/Aperitif1.1.zip</v>
          </cell>
        </row>
        <row r="160">
          <cell r="A160" t="str">
            <v>App Strike</v>
          </cell>
          <cell r="B160" t="str">
            <v>App Strike</v>
          </cell>
          <cell r="C160" t="str">
            <v>Metalstriker</v>
          </cell>
          <cell r="D160">
            <v>5</v>
          </cell>
          <cell r="E160" t="str">
            <v>Casual</v>
          </cell>
          <cell r="F160" t="str">
            <v>Standard</v>
          </cell>
          <cell r="G160">
            <v>42058</v>
          </cell>
          <cell r="H160" t="str">
            <v>10048</v>
          </cell>
          <cell r="I160" t="str">
            <v>https://www.smwcentral.net/?a=details&amp;id=10048&amp;p=section</v>
          </cell>
          <cell r="J160" t="str">
            <v>https://dl.smwcentral.net/10048/App%20Strike%28v2%29.zip</v>
          </cell>
        </row>
        <row r="161">
          <cell r="A161" t="str">
            <v>Apple Boy 2: Homebound Hero</v>
          </cell>
          <cell r="B161" t="str">
            <v>Apple Boy 2: Homebound Hero</v>
          </cell>
          <cell r="C161" t="str">
            <v>Apple Boy, KaidenThelens</v>
          </cell>
          <cell r="D161">
            <v>45</v>
          </cell>
          <cell r="E161" t="str">
            <v>Casual</v>
          </cell>
          <cell r="F161" t="str">
            <v>Standard</v>
          </cell>
          <cell r="G161">
            <v>45279</v>
          </cell>
          <cell r="H161" t="str">
            <v>35726</v>
          </cell>
          <cell r="I161" t="str">
            <v>https://www.smwcentral.net/?a=details&amp;id=35726&amp;p=section</v>
          </cell>
          <cell r="J161" t="str">
            <v>https://dl.smwcentral.net/35726/Apple%20Boy%20Hack%202.zip</v>
          </cell>
        </row>
        <row r="162">
          <cell r="A162" t="str">
            <v>Apple Boy: Attack of Ice Cream Man</v>
          </cell>
          <cell r="B162" t="str">
            <v>Apple Boy: Attack of Ice Cream Man</v>
          </cell>
          <cell r="C162" t="str">
            <v>Apple Boy</v>
          </cell>
          <cell r="D162">
            <v>33</v>
          </cell>
          <cell r="E162" t="str">
            <v>Casual</v>
          </cell>
          <cell r="F162" t="str">
            <v>Standard</v>
          </cell>
          <cell r="G162">
            <v>44845</v>
          </cell>
          <cell r="H162" t="str">
            <v>32317</v>
          </cell>
          <cell r="I162" t="str">
            <v>https://www.smwcentral.net/?a=details&amp;id=32317&amp;p=section</v>
          </cell>
          <cell r="J162" t="str">
            <v>https://dl.smwcentral.net/32317/Apple%20Boy%20Attack%20of%20Ice%20Cream%20Man.zip</v>
          </cell>
        </row>
        <row r="163">
          <cell r="A163" t="str">
            <v>Apple Guardian</v>
          </cell>
          <cell r="B163" t="str">
            <v>Apple Guardian</v>
          </cell>
          <cell r="C163" t="str">
            <v>Kerfuffle</v>
          </cell>
          <cell r="D163">
            <v>9</v>
          </cell>
          <cell r="E163" t="str">
            <v>Expert</v>
          </cell>
          <cell r="F163" t="str">
            <v>Kaizo</v>
          </cell>
          <cell r="G163">
            <v>44918</v>
          </cell>
          <cell r="H163" t="str">
            <v>32781</v>
          </cell>
          <cell r="I163" t="str">
            <v>https://www.smwcentral.net/?a=details&amp;id=32781&amp;p=section</v>
          </cell>
          <cell r="J163" t="str">
            <v>https://dl.smwcentral.net/32781/Apple%20Guardian%201.1.zip</v>
          </cell>
        </row>
        <row r="164">
          <cell r="A164" t="str">
            <v>Arantes Shells</v>
          </cell>
          <cell r="B164" t="str">
            <v>Arantes Shells</v>
          </cell>
          <cell r="C164" t="str">
            <v>RenanSV, arantes</v>
          </cell>
          <cell r="D164">
            <v>15</v>
          </cell>
          <cell r="E164" t="str">
            <v>Master</v>
          </cell>
          <cell r="F164" t="str">
            <v>Kaizo</v>
          </cell>
          <cell r="G164">
            <v>45211</v>
          </cell>
          <cell r="H164" t="str">
            <v>34662</v>
          </cell>
          <cell r="I164" t="str">
            <v>https://www.smwcentral.net/?a=details&amp;id=34662&amp;p=section</v>
          </cell>
          <cell r="J164" t="str">
            <v>https://dl.smwcentral.net/34662/Arantes%20Shells%201.2.zip</v>
          </cell>
        </row>
        <row r="165">
          <cell r="A165" t="str">
            <v>Arcadia</v>
          </cell>
          <cell r="B165" t="str">
            <v>Arcadia</v>
          </cell>
          <cell r="C165" t="str">
            <v>D_O_M</v>
          </cell>
          <cell r="D165">
            <v>25</v>
          </cell>
          <cell r="E165" t="str">
            <v>Expert</v>
          </cell>
          <cell r="F165" t="str">
            <v>Kaizo</v>
          </cell>
          <cell r="G165">
            <v>46114</v>
          </cell>
          <cell r="H165" t="str">
            <v>41875</v>
          </cell>
          <cell r="I165" t="str">
            <v>https://www.smwcentral.net/?a=details&amp;id=41875&amp;p=section</v>
          </cell>
          <cell r="J165" t="str">
            <v>https://dl.smwcentral.net/41875/Arcadia.zip</v>
          </cell>
        </row>
        <row r="166">
          <cell r="A166" t="str">
            <v>Arcane Mario World</v>
          </cell>
          <cell r="B166" t="str">
            <v>Arcane Mario World</v>
          </cell>
          <cell r="C166" t="str">
            <v>Mithrillionaire</v>
          </cell>
          <cell r="D166">
            <v>16</v>
          </cell>
          <cell r="E166" t="str">
            <v>Expert</v>
          </cell>
          <cell r="F166" t="str">
            <v>Kaizo</v>
          </cell>
          <cell r="G166">
            <v>44368</v>
          </cell>
          <cell r="H166" t="str">
            <v>27227</v>
          </cell>
          <cell r="I166" t="str">
            <v>https://www.smwcentral.net/?a=details&amp;id=27227&amp;p=section</v>
          </cell>
          <cell r="J166" t="str">
            <v>https://dl.smwcentral.net/27227/Arcane%20Mario%20World.zip</v>
          </cell>
        </row>
        <row r="167">
          <cell r="A167" t="str">
            <v>Archipelago of Truth Collection</v>
          </cell>
          <cell r="B167" t="str">
            <v>Archipelago of Truth Collection</v>
          </cell>
          <cell r="C167" t="str">
            <v>Onyx</v>
          </cell>
          <cell r="D167">
            <v>19</v>
          </cell>
          <cell r="E167" t="str">
            <v>Casual</v>
          </cell>
          <cell r="F167" t="str">
            <v>Standard</v>
          </cell>
          <cell r="G167">
            <v>42346</v>
          </cell>
          <cell r="H167" t="str">
            <v>9926</v>
          </cell>
          <cell r="I167" t="str">
            <v>https://www.smwcentral.net/?a=details&amp;id=9926&amp;p=section</v>
          </cell>
          <cell r="J167" t="str">
            <v>https://dl.smwcentral.net/9926/Archipelago%20of%20Truth%20Collection.zip</v>
          </cell>
        </row>
        <row r="168">
          <cell r="A168" t="str">
            <v>Arcyria</v>
          </cell>
          <cell r="B168" t="str">
            <v>Arcyria</v>
          </cell>
          <cell r="C168" t="str">
            <v>neidoodle</v>
          </cell>
          <cell r="D168">
            <v>8</v>
          </cell>
          <cell r="E168" t="str">
            <v>Expert</v>
          </cell>
          <cell r="F168" t="str">
            <v>Kaizo</v>
          </cell>
          <cell r="G168">
            <v>46117</v>
          </cell>
          <cell r="H168" t="str">
            <v>42100</v>
          </cell>
          <cell r="I168" t="str">
            <v>https://www.smwcentral.net/?a=details&amp;id=42100&amp;p=section</v>
          </cell>
          <cell r="J168" t="str">
            <v>https://dl.smwcentral.net/42100/Arcyria%201.1.zip</v>
          </cell>
        </row>
        <row r="169">
          <cell r="A169" t="str">
            <v>Are The Enemies Smarter Than A Caveman?</v>
          </cell>
          <cell r="B169" t="str">
            <v>Are The Enemies Smarter Than A Caveman?</v>
          </cell>
          <cell r="C169" t="str">
            <v>Daizo Dee Von</v>
          </cell>
          <cell r="D169">
            <v>10</v>
          </cell>
          <cell r="E169" t="str">
            <v>Intermediate</v>
          </cell>
          <cell r="F169" t="str">
            <v>Standard</v>
          </cell>
          <cell r="G169">
            <v>45401</v>
          </cell>
          <cell r="H169" t="str">
            <v>37655</v>
          </cell>
          <cell r="I169" t="str">
            <v>https://www.smwcentral.net/?a=details&amp;id=37655&amp;p=section</v>
          </cell>
          <cell r="J169" t="str">
            <v>https://dl.smwcentral.net/37655/Are%20The%20Enemies%20Smarter%20Than%20A%20Caveman%20%28v1.01%29.zip</v>
          </cell>
        </row>
        <row r="170">
          <cell r="A170" t="str">
            <v>Arkin</v>
          </cell>
          <cell r="B170" t="str">
            <v>Arkin</v>
          </cell>
          <cell r="C170" t="str">
            <v>TheTrueCommonSense</v>
          </cell>
          <cell r="D170">
            <v>11</v>
          </cell>
          <cell r="E170" t="str">
            <v>Advanced</v>
          </cell>
          <cell r="F170" t="str">
            <v>Kaizo</v>
          </cell>
          <cell r="G170">
            <v>45742</v>
          </cell>
          <cell r="H170" t="str">
            <v>39637</v>
          </cell>
          <cell r="I170" t="str">
            <v>https://www.smwcentral.net/?a=details&amp;id=39637&amp;p=section</v>
          </cell>
          <cell r="J170" t="str">
            <v>https://dl.smwcentral.net/39637/Arkin.zip</v>
          </cell>
        </row>
        <row r="171">
          <cell r="A171" t="str">
            <v>ARMAGEDDON</v>
          </cell>
          <cell r="B171" t="str">
            <v>ARMAGEDDON</v>
          </cell>
          <cell r="C171" t="str">
            <v>dacin</v>
          </cell>
          <cell r="D171">
            <v>1</v>
          </cell>
          <cell r="E171" t="str">
            <v>Grandmaster</v>
          </cell>
          <cell r="F171" t="str">
            <v>Tool-Assisted, Pit</v>
          </cell>
          <cell r="G171">
            <v>44428</v>
          </cell>
          <cell r="H171" t="str">
            <v>27209</v>
          </cell>
          <cell r="I171" t="str">
            <v>https://www.smwcentral.net/?a=details&amp;id=27209&amp;p=section</v>
          </cell>
          <cell r="J171" t="str">
            <v>https://dl.smwcentral.net/27209/ARMAGEDDON_1.1.zip</v>
          </cell>
        </row>
        <row r="172">
          <cell r="A172" t="str">
            <v>Armaidia</v>
          </cell>
          <cell r="B172" t="str">
            <v>Armaidia</v>
          </cell>
          <cell r="C172" t="str">
            <v>34088, SMW Physicist, levelengine</v>
          </cell>
          <cell r="D172">
            <v>5</v>
          </cell>
          <cell r="E172" t="str">
            <v>Casual</v>
          </cell>
          <cell r="F172" t="str">
            <v>Standard</v>
          </cell>
          <cell r="G172">
            <v>43670</v>
          </cell>
          <cell r="H172" t="str">
            <v>20671</v>
          </cell>
          <cell r="I172" t="str">
            <v>https://www.smwcentral.net/?a=details&amp;id=20671&amp;p=section</v>
          </cell>
          <cell r="J172" t="str">
            <v>https://dl.smwcentral.net/20671/Armaidia.zip</v>
          </cell>
        </row>
        <row r="173">
          <cell r="A173" t="str">
            <v>Assortment Of Wyverns</v>
          </cell>
          <cell r="B173" t="str">
            <v>Assortment Of Wyverns</v>
          </cell>
          <cell r="C173" t="str">
            <v>SolveForX</v>
          </cell>
          <cell r="D173">
            <v>3</v>
          </cell>
          <cell r="E173" t="str">
            <v>Grandmaster</v>
          </cell>
          <cell r="F173" t="str">
            <v>Kaizo</v>
          </cell>
          <cell r="G173">
            <v>46097</v>
          </cell>
          <cell r="H173" t="str">
            <v>41455</v>
          </cell>
          <cell r="I173" t="str">
            <v>https://www.smwcentral.net/?a=details&amp;id=41455&amp;p=section</v>
          </cell>
          <cell r="J173" t="str">
            <v>https://dl.smwcentral.net/41455/AssortmentOfWyverns.zip</v>
          </cell>
        </row>
        <row r="174">
          <cell r="A174" t="str">
            <v>At Least The Music's Good</v>
          </cell>
          <cell r="B174" t="str">
            <v>At Least The Music's Good</v>
          </cell>
          <cell r="C174" t="str">
            <v>Worl</v>
          </cell>
          <cell r="D174">
            <v>15</v>
          </cell>
          <cell r="E174" t="str">
            <v>Expert</v>
          </cell>
          <cell r="F174" t="str">
            <v>Kaizo</v>
          </cell>
          <cell r="G174">
            <v>44523</v>
          </cell>
          <cell r="H174" t="str">
            <v>28839</v>
          </cell>
          <cell r="I174" t="str">
            <v>https://www.smwcentral.net/?a=details&amp;id=28839&amp;p=section</v>
          </cell>
          <cell r="J174" t="str">
            <v>https://dl.smwcentral.net/28839/At%20Least%20The%20Music%27s%20Good%20v1.1.zip</v>
          </cell>
        </row>
        <row r="175">
          <cell r="A175" t="str">
            <v>Athletic Plumber Twins</v>
          </cell>
          <cell r="B175" t="str">
            <v>Athletic Plumber Twins</v>
          </cell>
          <cell r="C175" t="str">
            <v>Shuffles</v>
          </cell>
          <cell r="D175">
            <v>24</v>
          </cell>
          <cell r="E175" t="str">
            <v>Casual</v>
          </cell>
          <cell r="F175" t="str">
            <v>Standard</v>
          </cell>
          <cell r="G175">
            <v>42238</v>
          </cell>
          <cell r="H175" t="str">
            <v>9857</v>
          </cell>
          <cell r="I175" t="str">
            <v>https://www.smwcentral.net/?a=details&amp;id=9857&amp;p=section</v>
          </cell>
          <cell r="J175" t="str">
            <v>https://dl.smwcentral.net/9857/Athletic%20Plumber%20Twins.zip</v>
          </cell>
        </row>
        <row r="176">
          <cell r="A176" t="str">
            <v>Attempt at a Normal Hack</v>
          </cell>
          <cell r="B176" t="str">
            <v>Attempt at a Normal Hack</v>
          </cell>
          <cell r="C176" t="str">
            <v>ft029</v>
          </cell>
          <cell r="D176">
            <v>40</v>
          </cell>
          <cell r="E176" t="str">
            <v>Intermediate</v>
          </cell>
          <cell r="F176" t="str">
            <v>Standard</v>
          </cell>
          <cell r="G176">
            <v>45430</v>
          </cell>
          <cell r="H176" t="str">
            <v>37783</v>
          </cell>
          <cell r="I176" t="str">
            <v>https://www.smwcentral.net/?a=details&amp;id=37783&amp;p=section</v>
          </cell>
          <cell r="J176" t="str">
            <v>https://dl.smwcentral.net/37783/Attempt%20at%20a%20normal%20hack%20v1.11.zip</v>
          </cell>
        </row>
        <row r="177">
          <cell r="A177" t="str">
            <v>Autumn</v>
          </cell>
          <cell r="B177" t="str">
            <v>Autumn</v>
          </cell>
          <cell r="C177" t="str">
            <v>Morph Moth</v>
          </cell>
          <cell r="D177">
            <v>18</v>
          </cell>
          <cell r="E177" t="str">
            <v>Expert</v>
          </cell>
          <cell r="F177" t="str">
            <v>Kaizo</v>
          </cell>
          <cell r="G177">
            <v>44622</v>
          </cell>
          <cell r="H177" t="str">
            <v>29994</v>
          </cell>
          <cell r="I177" t="str">
            <v>https://www.smwcentral.net/?a=details&amp;id=29994&amp;p=section</v>
          </cell>
          <cell r="J177" t="str">
            <v>https://dl.smwcentral.net/29994/Autumn%201.1.zip</v>
          </cell>
        </row>
        <row r="178">
          <cell r="A178" t="str">
            <v>Autumn Hike (Demo)</v>
          </cell>
          <cell r="B178" t="str">
            <v>Autumn Hike (Demo)</v>
          </cell>
          <cell r="C178" t="str">
            <v>its_heeho</v>
          </cell>
          <cell r="D178">
            <v>4</v>
          </cell>
          <cell r="E178" t="str">
            <v>Newcomer</v>
          </cell>
          <cell r="F178" t="str">
            <v>Standard</v>
          </cell>
          <cell r="G178">
            <v>45584</v>
          </cell>
          <cell r="H178" t="str">
            <v>38595</v>
          </cell>
          <cell r="I178" t="str">
            <v>https://www.smwcentral.net/?a=details&amp;id=38595&amp;p=section</v>
          </cell>
          <cell r="J178" t="str">
            <v>https://dl.smwcentral.net/38595/AutumnHike%28Demo%29.zip</v>
          </cell>
        </row>
        <row r="179">
          <cell r="A179" t="str">
            <v>Awesome Mario World</v>
          </cell>
          <cell r="B179" t="str">
            <v>Awesome Mario World</v>
          </cell>
          <cell r="C179" t="str">
            <v>NGB</v>
          </cell>
          <cell r="D179">
            <v>11</v>
          </cell>
          <cell r="E179" t="str">
            <v>Casual</v>
          </cell>
          <cell r="F179" t="str">
            <v>Standard</v>
          </cell>
          <cell r="G179">
            <v>42021</v>
          </cell>
          <cell r="H179" t="str">
            <v>10346</v>
          </cell>
          <cell r="I179" t="str">
            <v>https://www.smwcentral.net/?a=details&amp;id=10346&amp;p=section</v>
          </cell>
          <cell r="J179" t="str">
            <v>https://dl.smwcentral.net/10346/Awesome_Mario_World%20Ver.%201.0.zip</v>
          </cell>
        </row>
        <row r="180">
          <cell r="A180" t="str">
            <v>Awful Mario World</v>
          </cell>
          <cell r="B180" t="str">
            <v>Awful Mario World</v>
          </cell>
          <cell r="C180" t="str">
            <v>KoJi</v>
          </cell>
          <cell r="D180">
            <v>12</v>
          </cell>
          <cell r="E180" t="str">
            <v>Expert</v>
          </cell>
          <cell r="F180" t="str">
            <v>Kaizo</v>
          </cell>
          <cell r="G180">
            <v>45530</v>
          </cell>
          <cell r="H180" t="str">
            <v>38239</v>
          </cell>
          <cell r="I180" t="str">
            <v>https://www.smwcentral.net/?a=details&amp;id=38239&amp;p=section</v>
          </cell>
          <cell r="J180" t="str">
            <v>https://dl.smwcentral.net/38239/awfulmarioworld.zip</v>
          </cell>
        </row>
        <row r="181">
          <cell r="A181" t="str">
            <v>Ayashi Mario</v>
          </cell>
          <cell r="B181" t="str">
            <v>Ayashi Mario</v>
          </cell>
          <cell r="C181" t="str">
            <v>edidari</v>
          </cell>
          <cell r="D181">
            <v>5</v>
          </cell>
          <cell r="E181" t="str">
            <v>Expert</v>
          </cell>
          <cell r="F181" t="str">
            <v>Kaizo</v>
          </cell>
          <cell r="G181">
            <v>43774</v>
          </cell>
          <cell r="H181" t="str">
            <v>21408</v>
          </cell>
          <cell r="I181" t="str">
            <v>https://www.smwcentral.net/?a=details&amp;id=21408&amp;p=section</v>
          </cell>
          <cell r="J181" t="str">
            <v>https://dl.smwcentral.net/21408/Ayashi%20Mario.zip</v>
          </cell>
        </row>
        <row r="182">
          <cell r="A182" t="str">
            <v>Babby Builds Wevels</v>
          </cell>
          <cell r="B182" t="str">
            <v>Babby Builds Wevels</v>
          </cell>
          <cell r="C182" t="str">
            <v>liz_bean</v>
          </cell>
          <cell r="D182">
            <v>14</v>
          </cell>
          <cell r="E182" t="str">
            <v>Advanced</v>
          </cell>
          <cell r="F182" t="str">
            <v>Kaizo</v>
          </cell>
          <cell r="G182">
            <v>45899</v>
          </cell>
          <cell r="H182" t="str">
            <v>40535</v>
          </cell>
          <cell r="I182" t="str">
            <v>https://www.smwcentral.net/?a=details&amp;id=40535&amp;p=section</v>
          </cell>
          <cell r="J182" t="str">
            <v>https://dl.smwcentral.net/40535/Babby%20Builds%20Wevels%20-%20V1.0.zip</v>
          </cell>
        </row>
        <row r="183">
          <cell r="A183" t="str">
            <v>Baby Kaizo World</v>
          </cell>
          <cell r="B183" t="str">
            <v>Baby Kaizo World</v>
          </cell>
          <cell r="C183" t="str">
            <v>Nowieso</v>
          </cell>
          <cell r="D183">
            <v>44</v>
          </cell>
          <cell r="E183" t="str">
            <v>Advanced</v>
          </cell>
          <cell r="F183" t="str">
            <v>Kaizo</v>
          </cell>
          <cell r="G183">
            <v>43514</v>
          </cell>
          <cell r="H183" t="str">
            <v>19145</v>
          </cell>
          <cell r="I183" t="str">
            <v>https://www.smwcentral.net/?a=details&amp;id=19145&amp;p=section</v>
          </cell>
          <cell r="J183" t="str">
            <v>https://dl.smwcentral.net/19145/BabyKaizoWorld.zip</v>
          </cell>
        </row>
        <row r="184">
          <cell r="A184" t="str">
            <v>Baby Kaizo World 2</v>
          </cell>
          <cell r="B184" t="str">
            <v>Baby Kaizo World 2</v>
          </cell>
          <cell r="C184" t="str">
            <v>Phyll</v>
          </cell>
          <cell r="D184">
            <v>34</v>
          </cell>
          <cell r="E184" t="str">
            <v>Intermediate</v>
          </cell>
          <cell r="F184" t="str">
            <v>Kaizo</v>
          </cell>
          <cell r="G184">
            <v>44734</v>
          </cell>
          <cell r="H184" t="str">
            <v>31182</v>
          </cell>
          <cell r="I184" t="str">
            <v>https://www.smwcentral.net/?a=details&amp;id=31182&amp;p=section</v>
          </cell>
          <cell r="J184" t="str">
            <v>https://dl.smwcentral.net/31182/BKW2V1.1NeW.zip</v>
          </cell>
        </row>
        <row r="185">
          <cell r="A185" t="str">
            <v>Back to the Classics</v>
          </cell>
          <cell r="B185" t="str">
            <v>Back to the Classics</v>
          </cell>
          <cell r="C185" t="str">
            <v>Spud Alpha</v>
          </cell>
          <cell r="D185">
            <v>36</v>
          </cell>
          <cell r="E185" t="str">
            <v>Casual</v>
          </cell>
          <cell r="F185" t="str">
            <v>Standard</v>
          </cell>
          <cell r="G185">
            <v>41454</v>
          </cell>
          <cell r="H185" t="str">
            <v>5277</v>
          </cell>
          <cell r="I185" t="str">
            <v>https://www.smwcentral.net/?a=details&amp;id=5277&amp;p=section</v>
          </cell>
          <cell r="J185" t="str">
            <v>https://dl.smwcentral.net/5277/Back%20to%20the%20Classics.zip</v>
          </cell>
        </row>
        <row r="186">
          <cell r="A186" t="str">
            <v>Back to the Green Hill</v>
          </cell>
          <cell r="B186" t="str">
            <v>Back to the Green Hill</v>
          </cell>
          <cell r="C186" t="str">
            <v>sholmes</v>
          </cell>
          <cell r="D186">
            <v>25</v>
          </cell>
          <cell r="E186" t="str">
            <v>Master</v>
          </cell>
          <cell r="F186" t="str">
            <v>Kaizo</v>
          </cell>
          <cell r="G186">
            <v>46096</v>
          </cell>
          <cell r="H186" t="str">
            <v>41863</v>
          </cell>
          <cell r="I186" t="str">
            <v>https://www.smwcentral.net/?a=details&amp;id=41863&amp;p=section</v>
          </cell>
          <cell r="J186" t="str">
            <v>https://dl.smwcentral.net/41863/Back%20to%20the%20Green%20Hill%20Updated.zip</v>
          </cell>
        </row>
        <row r="187">
          <cell r="A187" t="str">
            <v>Backwards Mario World</v>
          </cell>
          <cell r="B187" t="str">
            <v>Backwards Mario World</v>
          </cell>
          <cell r="C187" t="str">
            <v>westslasher2</v>
          </cell>
          <cell r="D187">
            <v>13</v>
          </cell>
          <cell r="E187" t="str">
            <v>Intermediate</v>
          </cell>
          <cell r="F187" t="str">
            <v>Kaizo</v>
          </cell>
          <cell r="G187">
            <v>43335</v>
          </cell>
          <cell r="H187" t="str">
            <v>18071</v>
          </cell>
          <cell r="I187" t="str">
            <v>https://www.smwcentral.net/?a=details&amp;id=18071&amp;p=section</v>
          </cell>
          <cell r="J187" t="str">
            <v>https://dl.smwcentral.net/18071/BackwardsMarioWorld1.11.zip</v>
          </cell>
        </row>
        <row r="188">
          <cell r="A188" t="str">
            <v>Backyard Kaizo</v>
          </cell>
          <cell r="B188" t="str">
            <v>Backyard Kaizo</v>
          </cell>
          <cell r="C188" t="str">
            <v>zynnoir</v>
          </cell>
          <cell r="D188">
            <v>3</v>
          </cell>
          <cell r="E188" t="str">
            <v>Expert</v>
          </cell>
          <cell r="F188" t="str">
            <v>Kaizo</v>
          </cell>
          <cell r="G188">
            <v>44705</v>
          </cell>
          <cell r="H188" t="str">
            <v>30968</v>
          </cell>
          <cell r="I188" t="str">
            <v>https://www.smwcentral.net/?a=details&amp;id=30968&amp;p=section</v>
          </cell>
          <cell r="J188" t="str">
            <v>https://dl.smwcentral.net/30968/Backyard.zip</v>
          </cell>
        </row>
        <row r="189">
          <cell r="A189" t="str">
            <v>Baker's Dozen</v>
          </cell>
          <cell r="B189" t="str">
            <v>Baker's Dozen</v>
          </cell>
          <cell r="C189" t="str">
            <v>HaddonFeels</v>
          </cell>
          <cell r="D189">
            <v>13</v>
          </cell>
          <cell r="E189" t="str">
            <v>Advanced</v>
          </cell>
          <cell r="F189" t="str">
            <v>Kaizo</v>
          </cell>
          <cell r="G189">
            <v>45592</v>
          </cell>
          <cell r="H189" t="str">
            <v>38701</v>
          </cell>
          <cell r="I189" t="str">
            <v>https://www.smwcentral.net/?a=details&amp;id=38701&amp;p=section</v>
          </cell>
          <cell r="J189" t="str">
            <v>https://dl.smwcentral.net/38701/bakers1.1.zip</v>
          </cell>
        </row>
        <row r="190">
          <cell r="A190" t="str">
            <v>BALL BUSTER</v>
          </cell>
          <cell r="B190" t="str">
            <v>BALL BUSTER</v>
          </cell>
          <cell r="C190" t="str">
            <v>NerDose</v>
          </cell>
          <cell r="D190">
            <v>9</v>
          </cell>
          <cell r="E190" t="str">
            <v>Expert</v>
          </cell>
          <cell r="F190" t="str">
            <v>Kaizo</v>
          </cell>
          <cell r="G190">
            <v>46107</v>
          </cell>
          <cell r="H190" t="str">
            <v>41843</v>
          </cell>
          <cell r="I190" t="str">
            <v>https://www.smwcentral.net/?a=details&amp;id=41843&amp;p=section</v>
          </cell>
          <cell r="J190" t="str">
            <v>https://dl.smwcentral.net/41843/BallBusterV1.4.zip</v>
          </cell>
        </row>
        <row r="191">
          <cell r="A191" t="str">
            <v>Ball of Revenge</v>
          </cell>
          <cell r="B191" t="str">
            <v>Ball of Revenge</v>
          </cell>
          <cell r="C191" t="str">
            <v>Darky</v>
          </cell>
          <cell r="D191">
            <v>10</v>
          </cell>
          <cell r="E191" t="str">
            <v>Newcomer</v>
          </cell>
          <cell r="F191" t="str">
            <v>Standard</v>
          </cell>
          <cell r="G191">
            <v>42260</v>
          </cell>
          <cell r="H191" t="str">
            <v>9944</v>
          </cell>
          <cell r="I191" t="str">
            <v>https://www.smwcentral.net/?a=details&amp;id=9944&amp;p=section</v>
          </cell>
          <cell r="J191" t="str">
            <v>https://dl.smwcentral.net/9944/BoR.zip</v>
          </cell>
        </row>
        <row r="192">
          <cell r="A192" t="str">
            <v>Banana Is Missing!</v>
          </cell>
          <cell r="B192" t="str">
            <v>Banana Is Missing!</v>
          </cell>
          <cell r="C192" t="str">
            <v>BDgames2023</v>
          </cell>
          <cell r="D192">
            <v>19</v>
          </cell>
          <cell r="E192" t="str">
            <v>Intermediate</v>
          </cell>
          <cell r="F192" t="str">
            <v>Standard</v>
          </cell>
          <cell r="G192">
            <v>45928</v>
          </cell>
          <cell r="H192" t="str">
            <v>40622</v>
          </cell>
          <cell r="I192" t="str">
            <v>https://www.smwcentral.net/?a=details&amp;id=40622&amp;p=section</v>
          </cell>
          <cell r="J192" t="str">
            <v>https://dl.smwcentral.net/40622/BIM%21.zip</v>
          </cell>
        </row>
        <row r="193">
          <cell r="A193" t="str">
            <v>Banana's Quest</v>
          </cell>
          <cell r="B193" t="str">
            <v>Banana's Quest</v>
          </cell>
          <cell r="C193" t="str">
            <v>BDgames2023</v>
          </cell>
          <cell r="D193">
            <v>23</v>
          </cell>
          <cell r="E193" t="str">
            <v>Intermediate</v>
          </cell>
          <cell r="F193" t="str">
            <v>Standard</v>
          </cell>
          <cell r="G193">
            <v>45628</v>
          </cell>
          <cell r="H193" t="str">
            <v>38857</v>
          </cell>
          <cell r="I193" t="str">
            <v>https://www.smwcentral.net/?a=details&amp;id=38857&amp;p=section</v>
          </cell>
          <cell r="J193" t="str">
            <v>https://dl.smwcentral.net/38857/B%27SQ.zip</v>
          </cell>
        </row>
        <row r="194">
          <cell r="A194" t="str">
            <v>BanShell</v>
          </cell>
          <cell r="B194" t="str">
            <v>BanShell</v>
          </cell>
          <cell r="C194" t="str">
            <v>kLk</v>
          </cell>
          <cell r="D194">
            <v>6</v>
          </cell>
          <cell r="E194" t="str">
            <v>Master</v>
          </cell>
          <cell r="F194" t="str">
            <v>Kaizo</v>
          </cell>
          <cell r="G194">
            <v>44938</v>
          </cell>
          <cell r="H194" t="str">
            <v>32912</v>
          </cell>
          <cell r="I194" t="str">
            <v>https://www.smwcentral.net/?a=details&amp;id=32912&amp;p=section</v>
          </cell>
          <cell r="J194" t="str">
            <v>https://dl.smwcentral.net/32912/BanShell.zip</v>
          </cell>
        </row>
        <row r="195">
          <cell r="A195" t="str">
            <v>Banzai Mario World</v>
          </cell>
          <cell r="B195" t="str">
            <v>Banzai Mario World</v>
          </cell>
          <cell r="C195" t="str">
            <v>GbreezeSunset</v>
          </cell>
          <cell r="D195">
            <v>40</v>
          </cell>
          <cell r="E195" t="str">
            <v>Expert</v>
          </cell>
          <cell r="F195" t="str">
            <v>Kaizo</v>
          </cell>
          <cell r="G195">
            <v>42179</v>
          </cell>
          <cell r="H195" t="str">
            <v>11477</v>
          </cell>
          <cell r="I195" t="str">
            <v>https://www.smwcentral.net/?a=details&amp;id=11477&amp;p=section</v>
          </cell>
          <cell r="J195" t="str">
            <v>https://dl.smwcentral.net/11477/Banzai%20Mario%20World.zip</v>
          </cell>
        </row>
        <row r="196">
          <cell r="A196" t="str">
            <v>Banzai's Level Sampler</v>
          </cell>
          <cell r="B196" t="str">
            <v>Banzai's Level Sampler</v>
          </cell>
          <cell r="C196" t="str">
            <v>TheNewerGuy</v>
          </cell>
          <cell r="D196">
            <v>10</v>
          </cell>
          <cell r="E196" t="str">
            <v>Casual</v>
          </cell>
          <cell r="F196" t="str">
            <v>Standard</v>
          </cell>
          <cell r="G196">
            <v>42093</v>
          </cell>
          <cell r="H196" t="str">
            <v>9652</v>
          </cell>
          <cell r="I196" t="str">
            <v>https://www.smwcentral.net/?a=details&amp;id=9652&amp;p=section</v>
          </cell>
          <cell r="J196" t="str">
            <v>https://dl.smwcentral.net/9652/banzai%27s%20Level%20Sampler.zip</v>
          </cell>
        </row>
        <row r="197">
          <cell r="A197" t="str">
            <v>Baron of Shell</v>
          </cell>
          <cell r="B197" t="str">
            <v>Baron of Shell</v>
          </cell>
          <cell r="C197" t="str">
            <v>shaoshao</v>
          </cell>
          <cell r="D197">
            <v>22</v>
          </cell>
          <cell r="E197" t="str">
            <v>Master</v>
          </cell>
          <cell r="F197" t="str">
            <v>Kaizo</v>
          </cell>
          <cell r="G197">
            <v>45077</v>
          </cell>
          <cell r="H197" t="str">
            <v>34021</v>
          </cell>
          <cell r="I197" t="str">
            <v>https://www.smwcentral.net/?a=details&amp;id=34021&amp;p=section</v>
          </cell>
          <cell r="J197" t="str">
            <v>https://dl.smwcentral.net/34021/baron.zip</v>
          </cell>
        </row>
        <row r="198">
          <cell r="A198" t="str">
            <v>Basic Mario Hack</v>
          </cell>
          <cell r="B198" t="str">
            <v>Basic Mario Hack</v>
          </cell>
          <cell r="C198" t="str">
            <v>GMCHacker91</v>
          </cell>
          <cell r="D198">
            <v>13</v>
          </cell>
          <cell r="E198" t="str">
            <v>Intermediate</v>
          </cell>
          <cell r="F198" t="str">
            <v>Standard</v>
          </cell>
          <cell r="G198">
            <v>43918</v>
          </cell>
          <cell r="H198" t="str">
            <v>22210</v>
          </cell>
          <cell r="I198" t="str">
            <v>https://www.smwcentral.net/?a=details&amp;id=22210&amp;p=section</v>
          </cell>
          <cell r="J198" t="str">
            <v>https://dl.smwcentral.net/22210/2020%20Basic%20Mario%20UPDATE.zip</v>
          </cell>
        </row>
        <row r="199">
          <cell r="A199" t="str">
            <v>Basic Mario Hack 2 BETA</v>
          </cell>
          <cell r="B199" t="str">
            <v>Basic Mario Hack 2 BETA</v>
          </cell>
          <cell r="C199" t="str">
            <v>GMCHacker91</v>
          </cell>
          <cell r="D199">
            <v>11</v>
          </cell>
          <cell r="E199" t="str">
            <v>Intermediate</v>
          </cell>
          <cell r="F199" t="str">
            <v>Standard</v>
          </cell>
          <cell r="G199">
            <v>44505</v>
          </cell>
          <cell r="H199" t="str">
            <v>28720</v>
          </cell>
          <cell r="I199" t="str">
            <v>https://www.smwcentral.net/?a=details&amp;id=28720&amp;p=section</v>
          </cell>
          <cell r="J199" t="str">
            <v>https://dl.smwcentral.net/28720/Basic%20Mario%202%20BETA.zip</v>
          </cell>
        </row>
        <row r="200">
          <cell r="A200" t="str">
            <v>Bavario Bros.</v>
          </cell>
          <cell r="B200" t="str">
            <v>Bavario Bros.</v>
          </cell>
          <cell r="C200" t="str">
            <v>Ahrion, DoktorGroove, Edphonse15, Gulaschko, H3nt4ik4m3n, KoS, Maw, Nowieso, Rudi_Schrausch, Schlafkopf, Spedinja, neidoodle, xamexer</v>
          </cell>
          <cell r="D200">
            <v>16</v>
          </cell>
          <cell r="E200" t="str">
            <v>Expert</v>
          </cell>
          <cell r="F200" t="str">
            <v>Kaizo</v>
          </cell>
          <cell r="G200">
            <v>45347</v>
          </cell>
          <cell r="H200" t="str">
            <v>37056</v>
          </cell>
          <cell r="I200" t="str">
            <v>https://www.smwcentral.net/?a=details&amp;id=37056&amp;p=section</v>
          </cell>
          <cell r="J200" t="str">
            <v>https://dl.smwcentral.net/37056/Bavario%20Bros.%20v1.1.zip</v>
          </cell>
        </row>
        <row r="201">
          <cell r="A201" t="str">
            <v>Beach Park At Isla Blanca</v>
          </cell>
          <cell r="B201" t="str">
            <v>Beach Park At Isla Blanca</v>
          </cell>
          <cell r="C201" t="str">
            <v>El Cuh Fermin</v>
          </cell>
          <cell r="D201">
            <v>8</v>
          </cell>
          <cell r="E201" t="str">
            <v>Intermediate</v>
          </cell>
          <cell r="F201" t="str">
            <v>Standard</v>
          </cell>
          <cell r="G201">
            <v>44700</v>
          </cell>
          <cell r="H201" t="str">
            <v>30707</v>
          </cell>
          <cell r="I201" t="str">
            <v>https://www.smwcentral.net/?a=details&amp;id=30707&amp;p=section</v>
          </cell>
          <cell r="J201" t="str">
            <v>https://dl.smwcentral.net/30707/Beach%20Park%20At%20Isla%20Blanca%20Hack.zip</v>
          </cell>
        </row>
        <row r="202">
          <cell r="A202" t="str">
            <v>Beachside Blitz</v>
          </cell>
          <cell r="B202" t="str">
            <v>Beachside Blitz</v>
          </cell>
          <cell r="C202" t="str">
            <v>TheRealCatsup</v>
          </cell>
          <cell r="D202">
            <v>14</v>
          </cell>
          <cell r="E202" t="str">
            <v>Advanced</v>
          </cell>
          <cell r="F202" t="str">
            <v>Kaizo</v>
          </cell>
          <cell r="G202">
            <v>44577</v>
          </cell>
          <cell r="H202" t="str">
            <v>29528</v>
          </cell>
          <cell r="I202" t="str">
            <v>https://www.smwcentral.net/?a=details&amp;id=29528&amp;p=section</v>
          </cell>
          <cell r="J202" t="str">
            <v>https://dl.smwcentral.net/29528/BeachsideBlitz.zip</v>
          </cell>
        </row>
        <row r="203">
          <cell r="A203" t="str">
            <v>Bearded Comedy World</v>
          </cell>
          <cell r="B203" t="str">
            <v>Bearded Comedy World</v>
          </cell>
          <cell r="C203" t="str">
            <v>dotCoockie</v>
          </cell>
          <cell r="D203">
            <v>20</v>
          </cell>
          <cell r="E203" t="str">
            <v>Expert</v>
          </cell>
          <cell r="F203" t="str">
            <v>Kaizo</v>
          </cell>
          <cell r="G203">
            <v>44523</v>
          </cell>
          <cell r="H203" t="str">
            <v>28731</v>
          </cell>
          <cell r="I203" t="str">
            <v>https://www.smwcentral.net/?a=details&amp;id=28731&amp;p=section</v>
          </cell>
          <cell r="J203" t="str">
            <v>https://dl.smwcentral.net/28731/BCW_1.2.zip</v>
          </cell>
        </row>
        <row r="204">
          <cell r="A204" t="str">
            <v>Bearded Comedy World 2 Demo</v>
          </cell>
          <cell r="B204" t="str">
            <v>Bearded Comedy World 2 Demo</v>
          </cell>
          <cell r="C204" t="str">
            <v>dotCoockie</v>
          </cell>
          <cell r="D204">
            <v>5</v>
          </cell>
          <cell r="E204" t="str">
            <v>Expert</v>
          </cell>
          <cell r="F204" t="str">
            <v>Kaizo</v>
          </cell>
          <cell r="G204">
            <v>46005</v>
          </cell>
          <cell r="H204" t="str">
            <v>41268</v>
          </cell>
          <cell r="I204" t="str">
            <v>https://www.smwcentral.net/?a=details&amp;id=41268&amp;p=section</v>
          </cell>
          <cell r="J204" t="str">
            <v>https://dl.smwcentral.net/41268/BCW2-demo.zip</v>
          </cell>
        </row>
        <row r="205">
          <cell r="A205" t="str">
            <v>Beautiful (Not So) Dangerous</v>
          </cell>
          <cell r="B205" t="str">
            <v>Beautiful (Not So) Dangerous</v>
          </cell>
          <cell r="C205" t="str">
            <v>iamtheratio</v>
          </cell>
          <cell r="D205">
            <v>15</v>
          </cell>
          <cell r="E205" t="str">
            <v>Intermediate</v>
          </cell>
          <cell r="F205" t="str">
            <v>Kaizo</v>
          </cell>
          <cell r="G205">
            <v>45893</v>
          </cell>
          <cell r="H205" t="str">
            <v>40437</v>
          </cell>
          <cell r="I205" t="str">
            <v>https://www.smwcentral.net/?a=details&amp;id=40437&amp;p=section</v>
          </cell>
          <cell r="J205" t="str">
            <v>https://dl.smwcentral.net/40437/BeautifulNotSoDangerous_v1.0%20.zip</v>
          </cell>
        </row>
        <row r="206">
          <cell r="A206" t="str">
            <v>Beautiful Dangerous</v>
          </cell>
          <cell r="B206" t="str">
            <v>Beautiful Dangerous</v>
          </cell>
          <cell r="C206" t="str">
            <v>iamtheratio</v>
          </cell>
          <cell r="D206">
            <v>20</v>
          </cell>
          <cell r="E206" t="str">
            <v>Expert</v>
          </cell>
          <cell r="F206" t="str">
            <v>Kaizo</v>
          </cell>
          <cell r="G206">
            <v>45386</v>
          </cell>
          <cell r="H206" t="str">
            <v>37555</v>
          </cell>
          <cell r="I206" t="str">
            <v>https://www.smwcentral.net/?a=details&amp;id=37555&amp;p=section</v>
          </cell>
          <cell r="J206" t="str">
            <v>https://dl.smwcentral.net/37555/Beautiful%20Dangerous%20v1.1.zip</v>
          </cell>
        </row>
        <row r="207">
          <cell r="A207" t="str">
            <v>BEES in Space!</v>
          </cell>
          <cell r="B207" t="str">
            <v>BEES in Space!</v>
          </cell>
          <cell r="C207" t="str">
            <v>BEESphilly</v>
          </cell>
          <cell r="D207">
            <v>4</v>
          </cell>
          <cell r="E207" t="str">
            <v>Intermediate</v>
          </cell>
          <cell r="F207" t="str">
            <v>Standard</v>
          </cell>
          <cell r="G207">
            <v>44710</v>
          </cell>
          <cell r="H207" t="str">
            <v>31047</v>
          </cell>
          <cell r="I207" t="str">
            <v>https://www.smwcentral.net/?a=details&amp;id=31047&amp;p=section</v>
          </cell>
          <cell r="J207" t="str">
            <v>https://dl.smwcentral.net/31047/BEES%20in%20Space.zip</v>
          </cell>
        </row>
        <row r="208">
          <cell r="A208" t="str">
            <v>Before The Shrooms Kick In</v>
          </cell>
          <cell r="B208" t="str">
            <v>Before The Shrooms Kick In</v>
          </cell>
          <cell r="C208" t="str">
            <v>JudithPrietht</v>
          </cell>
          <cell r="D208">
            <v>12</v>
          </cell>
          <cell r="E208" t="str">
            <v>Advanced</v>
          </cell>
          <cell r="F208" t="str">
            <v>Kaizo</v>
          </cell>
          <cell r="G208">
            <v>45509</v>
          </cell>
          <cell r="H208" t="str">
            <v>38171</v>
          </cell>
          <cell r="I208" t="str">
            <v>https://www.smwcentral.net/?a=details&amp;id=38171&amp;p=section</v>
          </cell>
          <cell r="J208" t="str">
            <v>https://dl.smwcentral.net/38171/Shroomskickin.zip</v>
          </cell>
        </row>
        <row r="209">
          <cell r="A209" t="str">
            <v>Beginning of the End</v>
          </cell>
          <cell r="B209" t="str">
            <v>Beginning of the End</v>
          </cell>
          <cell r="C209" t="str">
            <v>ShadowBoxer_Sandshrew</v>
          </cell>
          <cell r="D209">
            <v>9</v>
          </cell>
          <cell r="E209" t="str">
            <v>Expert</v>
          </cell>
          <cell r="F209" t="str">
            <v>Kaizo</v>
          </cell>
          <cell r="G209">
            <v>45125</v>
          </cell>
          <cell r="H209" t="str">
            <v>34163</v>
          </cell>
          <cell r="I209" t="str">
            <v>https://www.smwcentral.net/?a=details&amp;id=34163&amp;p=section</v>
          </cell>
          <cell r="J209" t="str">
            <v>https://dl.smwcentral.net/34163/BeginningoftheEnd.zip</v>
          </cell>
        </row>
        <row r="210">
          <cell r="A210" t="str">
            <v>BeginningBrew - Super "Real" World</v>
          </cell>
          <cell r="B210" t="str">
            <v>BeginningBrew - Super "Real" World</v>
          </cell>
          <cell r="C210" t="str">
            <v>Hanzo</v>
          </cell>
          <cell r="D210">
            <v>11</v>
          </cell>
          <cell r="E210" t="str">
            <v>Advanced</v>
          </cell>
          <cell r="F210" t="str">
            <v>Kaizo</v>
          </cell>
          <cell r="G210">
            <v>44768</v>
          </cell>
          <cell r="H210" t="str">
            <v>31618</v>
          </cell>
          <cell r="I210" t="str">
            <v>https://www.smwcentral.net/?a=details&amp;id=31618&amp;p=section</v>
          </cell>
          <cell r="J210" t="str">
            <v>https://dl.smwcentral.net/31618/BeginningBrew%20-%20Super%20Real%20World.zip</v>
          </cell>
        </row>
        <row r="211">
          <cell r="A211" t="str">
            <v>Beneath the Bottom of the Screen</v>
          </cell>
          <cell r="B211" t="str">
            <v>Beneath the Bottom of the Screen</v>
          </cell>
          <cell r="C211" t="str">
            <v>xLyfu</v>
          </cell>
          <cell r="D211">
            <v>13</v>
          </cell>
          <cell r="E211" t="str">
            <v>Master</v>
          </cell>
          <cell r="F211" t="str">
            <v>Kaizo</v>
          </cell>
          <cell r="G211">
            <v>45941</v>
          </cell>
          <cell r="H211" t="str">
            <v>40744</v>
          </cell>
          <cell r="I211" t="str">
            <v>https://www.smwcentral.net/?a=details&amp;id=40744&amp;p=section</v>
          </cell>
          <cell r="J211" t="str">
            <v>https://dl.smwcentral.net/40744/Beneath%20the%20Bottom%20of%20the%20Screen.zip</v>
          </cell>
        </row>
        <row r="212">
          <cell r="A212" t="str">
            <v>BETO UNIVERSE</v>
          </cell>
          <cell r="B212" t="str">
            <v>BETO UNIVERSE</v>
          </cell>
          <cell r="C212" t="str">
            <v>alvinluis</v>
          </cell>
          <cell r="D212">
            <v>7</v>
          </cell>
          <cell r="E212" t="str">
            <v>Intermediate</v>
          </cell>
          <cell r="F212" t="str">
            <v>Kaizo</v>
          </cell>
          <cell r="G212">
            <v>44781</v>
          </cell>
          <cell r="H212" t="str">
            <v>31781</v>
          </cell>
          <cell r="I212" t="str">
            <v>https://www.smwcentral.net/?a=details&amp;id=31781&amp;p=section</v>
          </cell>
          <cell r="J212" t="str">
            <v>https://dl.smwcentral.net/31781/beto%20universe.zip</v>
          </cell>
        </row>
        <row r="213">
          <cell r="A213" t="str">
            <v>Beyond Beco World</v>
          </cell>
          <cell r="B213" t="str">
            <v>Beyond Beco World</v>
          </cell>
          <cell r="C213" t="str">
            <v>Azula16, SKAW Adri</v>
          </cell>
          <cell r="D213">
            <v>10</v>
          </cell>
          <cell r="E213" t="str">
            <v>Advanced</v>
          </cell>
          <cell r="F213" t="str">
            <v>Kaizo</v>
          </cell>
          <cell r="G213">
            <v>44994</v>
          </cell>
          <cell r="H213" t="str">
            <v>33461</v>
          </cell>
          <cell r="I213" t="str">
            <v>https://www.smwcentral.net/?a=details&amp;id=33461&amp;p=section</v>
          </cell>
          <cell r="J213" t="str">
            <v>https://dl.smwcentral.net/33461/Beyond%20Beco%20World.zip</v>
          </cell>
        </row>
        <row r="214">
          <cell r="A214" t="str">
            <v>Big Boo Gang</v>
          </cell>
          <cell r="B214" t="str">
            <v>Big Boo Gang</v>
          </cell>
          <cell r="C214" t="str">
            <v>GvS</v>
          </cell>
          <cell r="D214">
            <v>18</v>
          </cell>
          <cell r="E214" t="str">
            <v>Casual</v>
          </cell>
          <cell r="F214" t="str">
            <v>Standard</v>
          </cell>
          <cell r="G214">
            <v>41509</v>
          </cell>
          <cell r="H214" t="str">
            <v>5055</v>
          </cell>
          <cell r="I214" t="str">
            <v>https://www.smwcentral.net/?a=details&amp;id=5055&amp;p=section</v>
          </cell>
          <cell r="J214" t="str">
            <v>https://dl.smwcentral.net/5055/BBG.zip</v>
          </cell>
        </row>
        <row r="215">
          <cell r="A215" t="str">
            <v>Big Boo's Revenge</v>
          </cell>
          <cell r="B215" t="str">
            <v>Big Boo's Revenge</v>
          </cell>
          <cell r="C215" t="str">
            <v>Tobias94</v>
          </cell>
          <cell r="D215">
            <v>91</v>
          </cell>
          <cell r="E215" t="str">
            <v>Intermediate</v>
          </cell>
          <cell r="F215" t="str">
            <v>Standard</v>
          </cell>
          <cell r="G215">
            <v>44607</v>
          </cell>
          <cell r="H215" t="str">
            <v>29604</v>
          </cell>
          <cell r="I215" t="str">
            <v>https://www.smwcentral.net/?a=details&amp;id=29604&amp;p=section</v>
          </cell>
          <cell r="J215" t="str">
            <v>https://dl.smwcentral.net/29604/Big%20Boo%27s%20Revenge%20-%20Fixed.zip</v>
          </cell>
        </row>
        <row r="216">
          <cell r="A216" t="str">
            <v>Binary Perdition</v>
          </cell>
          <cell r="B216" t="str">
            <v>Binary Perdition</v>
          </cell>
          <cell r="C216" t="str">
            <v>dotCoockie</v>
          </cell>
          <cell r="D216">
            <v>5</v>
          </cell>
          <cell r="E216" t="str">
            <v>Grandmaster</v>
          </cell>
          <cell r="F216" t="str">
            <v>Kaizo</v>
          </cell>
          <cell r="G216">
            <v>45216</v>
          </cell>
          <cell r="H216" t="str">
            <v>35070</v>
          </cell>
          <cell r="I216" t="str">
            <v>https://www.smwcentral.net/?a=details&amp;id=35070&amp;p=section</v>
          </cell>
          <cell r="J216" t="str">
            <v>https://dl.smwcentral.net/35070/Binary.zip</v>
          </cell>
        </row>
        <row r="217">
          <cell r="A217" t="str">
            <v>Binary World</v>
          </cell>
          <cell r="B217" t="str">
            <v>Binary World</v>
          </cell>
          <cell r="C217" t="str">
            <v>Celestin_Goulvet, RussianMan, TheXander</v>
          </cell>
          <cell r="D217">
            <v>10</v>
          </cell>
          <cell r="E217" t="str">
            <v>Advanced</v>
          </cell>
          <cell r="F217" t="str">
            <v>Standard</v>
          </cell>
          <cell r="G217">
            <v>45690</v>
          </cell>
          <cell r="H217" t="str">
            <v>39116</v>
          </cell>
          <cell r="I217" t="str">
            <v>https://www.smwcentral.net/?a=details&amp;id=39116&amp;p=section</v>
          </cell>
          <cell r="J217" t="str">
            <v>https://dl.smwcentral.net/39116/Binary%20World%20Submission%201.0.11.zip</v>
          </cell>
        </row>
        <row r="218">
          <cell r="A218" t="str">
            <v>Biob's Challenge</v>
          </cell>
          <cell r="B218" t="str">
            <v>Biob's Challenge</v>
          </cell>
          <cell r="C218" t="str">
            <v>TheBiob</v>
          </cell>
          <cell r="D218">
            <v>1</v>
          </cell>
          <cell r="E218" t="str">
            <v>Master</v>
          </cell>
          <cell r="F218" t="str">
            <v>Tool-Assisted, Pit</v>
          </cell>
          <cell r="G218">
            <v>42796</v>
          </cell>
          <cell r="H218" t="str">
            <v>14999</v>
          </cell>
          <cell r="I218" t="str">
            <v>https://www.smwcentral.net/?a=details&amp;id=14999&amp;p=section</v>
          </cell>
          <cell r="J218" t="str">
            <v>https://dl.smwcentral.net/14999/BiobsChallenge.zip</v>
          </cell>
        </row>
        <row r="219">
          <cell r="A219" t="str">
            <v>Birola World</v>
          </cell>
          <cell r="B219" t="str">
            <v>Birola World</v>
          </cell>
          <cell r="C219" t="str">
            <v>TheMURAmatsu</v>
          </cell>
          <cell r="D219">
            <v>13</v>
          </cell>
          <cell r="E219" t="str">
            <v>Expert</v>
          </cell>
          <cell r="F219" t="str">
            <v>Kaizo</v>
          </cell>
          <cell r="G219">
            <v>44145</v>
          </cell>
          <cell r="H219" t="str">
            <v>25068</v>
          </cell>
          <cell r="I219" t="str">
            <v>https://www.smwcentral.net/?a=details&amp;id=25068&amp;p=section</v>
          </cell>
          <cell r="J219" t="str">
            <v>https://dl.smwcentral.net/25068/Birola_World_V2.zip</v>
          </cell>
        </row>
        <row r="220">
          <cell r="A220" t="str">
            <v>Bits and Pieces</v>
          </cell>
          <cell r="B220" t="str">
            <v>Bits and Pieces</v>
          </cell>
          <cell r="C220" t="str">
            <v>levelengine</v>
          </cell>
          <cell r="D220">
            <v>58</v>
          </cell>
          <cell r="E220" t="str">
            <v>Advanced</v>
          </cell>
          <cell r="F220" t="str">
            <v>Standard</v>
          </cell>
          <cell r="G220">
            <v>43372</v>
          </cell>
          <cell r="H220" t="str">
            <v>18119</v>
          </cell>
          <cell r="I220" t="str">
            <v>https://www.smwcentral.net/?a=details&amp;id=18119&amp;p=section</v>
          </cell>
          <cell r="J220" t="str">
            <v>https://dl.smwcentral.net/18119/Bits_and_Pieces_3rd_Edition.zip</v>
          </cell>
        </row>
        <row r="221">
          <cell r="A221" t="str">
            <v>Blackout Shells</v>
          </cell>
          <cell r="B221" t="str">
            <v>Blackout Shells</v>
          </cell>
          <cell r="C221" t="str">
            <v>Breno Henrique, Daniel Pedroza, flavioinsanity</v>
          </cell>
          <cell r="D221">
            <v>4</v>
          </cell>
          <cell r="E221" t="str">
            <v>Expert</v>
          </cell>
          <cell r="F221" t="str">
            <v>Kaizo</v>
          </cell>
          <cell r="G221">
            <v>46220</v>
          </cell>
          <cell r="H221" t="str">
            <v>42683</v>
          </cell>
          <cell r="I221" t="str">
            <v>https://www.smwcentral.net/?a=details&amp;id=42683&amp;p=section</v>
          </cell>
          <cell r="J221" t="str">
            <v>https://dl.smwcentral.net/42683/Blackout%20shells.zip</v>
          </cell>
        </row>
        <row r="222">
          <cell r="A222" t="str">
            <v>BLACKOUT.exe</v>
          </cell>
          <cell r="B222" t="str">
            <v>BLACKOUT.exe</v>
          </cell>
          <cell r="C222" t="str">
            <v>bald_ridge</v>
          </cell>
          <cell r="D222">
            <v>23</v>
          </cell>
          <cell r="E222" t="str">
            <v>Expert</v>
          </cell>
          <cell r="F222" t="str">
            <v>Kaizo</v>
          </cell>
          <cell r="G222">
            <v>45680</v>
          </cell>
          <cell r="H222" t="str">
            <v>38957</v>
          </cell>
          <cell r="I222" t="str">
            <v>https://www.smwcentral.net/?a=details&amp;id=38957&amp;p=section</v>
          </cell>
          <cell r="J222" t="str">
            <v>https://dl.smwcentral.net/38957/BlackOut.zip</v>
          </cell>
        </row>
        <row r="223">
          <cell r="A223" t="str">
            <v>Blind Devil's Trip Back in Time</v>
          </cell>
          <cell r="B223" t="str">
            <v>Blind Devil's Trip Back in Time</v>
          </cell>
          <cell r="C223" t="str">
            <v>Blind Devil</v>
          </cell>
          <cell r="D223">
            <v>33</v>
          </cell>
          <cell r="E223" t="str">
            <v>Intermediate</v>
          </cell>
          <cell r="F223" t="str">
            <v>Standard</v>
          </cell>
          <cell r="G223">
            <v>41450</v>
          </cell>
          <cell r="H223" t="str">
            <v>5527</v>
          </cell>
          <cell r="I223" t="str">
            <v>https://www.smwcentral.net/?a=details&amp;id=5527&amp;p=section</v>
          </cell>
          <cell r="J223" t="str">
            <v>https://dl.smwcentral.net/5527/BlindTripBackFixed.zip</v>
          </cell>
        </row>
        <row r="224">
          <cell r="A224" t="str">
            <v>Blind Race: Lucky Pick</v>
          </cell>
          <cell r="B224" t="str">
            <v>Blind Race: Lucky Pick</v>
          </cell>
          <cell r="C224" t="str">
            <v>Firstnamebutt, Justepic</v>
          </cell>
          <cell r="D224">
            <v>5</v>
          </cell>
          <cell r="E224" t="str">
            <v>Advanced</v>
          </cell>
          <cell r="F224" t="str">
            <v>Kaizo</v>
          </cell>
          <cell r="G224">
            <v>45215</v>
          </cell>
          <cell r="H224" t="str">
            <v>35280</v>
          </cell>
          <cell r="I224" t="str">
            <v>https://www.smwcentral.net/?a=details&amp;id=35280&amp;p=section</v>
          </cell>
          <cell r="J224" t="str">
            <v>https://dl.smwcentral.net/35280/Blind%20Race%20Lucky%20Pick.zip</v>
          </cell>
        </row>
        <row r="225">
          <cell r="A225" t="str">
            <v>Blockreator Hack</v>
          </cell>
          <cell r="B225" t="str">
            <v>Blockreator Hack</v>
          </cell>
          <cell r="C225" t="str">
            <v>Golden Yoshi</v>
          </cell>
          <cell r="D225">
            <v>7</v>
          </cell>
          <cell r="E225" t="str">
            <v>Advanced</v>
          </cell>
          <cell r="F225" t="str">
            <v>Standard</v>
          </cell>
          <cell r="G225">
            <v>46013</v>
          </cell>
          <cell r="H225" t="str">
            <v>41314</v>
          </cell>
          <cell r="I225" t="str">
            <v>https://www.smwcentral.net/?a=details&amp;id=41314&amp;p=section</v>
          </cell>
          <cell r="J225" t="str">
            <v>https://dl.smwcentral.net/41314/Blockreator%20Hack.zip</v>
          </cell>
        </row>
        <row r="226">
          <cell r="A226" t="str">
            <v>Blocks and Hammers and Coins and Spikes</v>
          </cell>
          <cell r="B226" t="str">
            <v>Blocks and Hammers and Coins and Spikes</v>
          </cell>
          <cell r="C226" t="str">
            <v>ageVerrly</v>
          </cell>
          <cell r="D226">
            <v>6</v>
          </cell>
          <cell r="E226" t="str">
            <v>Master</v>
          </cell>
          <cell r="F226" t="str">
            <v>Kaizo</v>
          </cell>
          <cell r="G226">
            <v>44657</v>
          </cell>
          <cell r="H226" t="str">
            <v>30171</v>
          </cell>
          <cell r="I226" t="str">
            <v>https://www.smwcentral.net/?a=details&amp;id=30171&amp;p=section</v>
          </cell>
          <cell r="J226" t="str">
            <v>https://dl.smwcentral.net/30171/blocks.zip</v>
          </cell>
        </row>
        <row r="227">
          <cell r="A227" t="str">
            <v>Blooper Stole My Cake</v>
          </cell>
          <cell r="B227" t="str">
            <v>Blooper Stole My Cake</v>
          </cell>
          <cell r="C227" t="str">
            <v>ShadowBoxer_Sandshrew</v>
          </cell>
          <cell r="D227">
            <v>12</v>
          </cell>
          <cell r="E227" t="str">
            <v>Master</v>
          </cell>
          <cell r="F227" t="str">
            <v>Kaizo</v>
          </cell>
          <cell r="G227">
            <v>44825</v>
          </cell>
          <cell r="H227" t="str">
            <v>31843</v>
          </cell>
          <cell r="I227" t="str">
            <v>https://www.smwcentral.net/?a=details&amp;id=31843&amp;p=section</v>
          </cell>
          <cell r="J227" t="str">
            <v>https://dl.smwcentral.net/31843/Blooper%20Stole%20My%20Cake%20%28Version%201.1%29.zip</v>
          </cell>
        </row>
        <row r="228">
          <cell r="A228" t="str">
            <v>Blue World</v>
          </cell>
          <cell r="B228" t="str">
            <v>Blue World</v>
          </cell>
          <cell r="C228" t="str">
            <v>johhankyuzu</v>
          </cell>
          <cell r="D228">
            <v>17</v>
          </cell>
          <cell r="E228" t="str">
            <v>Advanced</v>
          </cell>
          <cell r="F228" t="str">
            <v>Kaizo</v>
          </cell>
          <cell r="G228">
            <v>44900</v>
          </cell>
          <cell r="H228" t="str">
            <v>32646</v>
          </cell>
          <cell r="I228" t="str">
            <v>https://www.smwcentral.net/?a=details&amp;id=32646&amp;p=section</v>
          </cell>
          <cell r="J228" t="str">
            <v>https://dl.smwcentral.net/32646/Blue%20World.zip</v>
          </cell>
        </row>
        <row r="229">
          <cell r="A229" t="str">
            <v>Blue's Revenge</v>
          </cell>
          <cell r="B229" t="str">
            <v>Blue's Revenge</v>
          </cell>
          <cell r="C229" t="str">
            <v>TheRealCatsup</v>
          </cell>
          <cell r="D229">
            <v>17</v>
          </cell>
          <cell r="E229" t="str">
            <v>Advanced</v>
          </cell>
          <cell r="F229" t="str">
            <v>Kaizo</v>
          </cell>
          <cell r="G229">
            <v>44361</v>
          </cell>
          <cell r="H229" t="str">
            <v>27212</v>
          </cell>
          <cell r="I229" t="str">
            <v>https://www.smwcentral.net/?a=details&amp;id=27212&amp;p=section</v>
          </cell>
          <cell r="J229" t="str">
            <v>https://dl.smwcentral.net/27212/Blue%27sRevengeV1.1.zip</v>
          </cell>
        </row>
        <row r="230">
          <cell r="A230" t="str">
            <v>Bluerio's Adventure</v>
          </cell>
          <cell r="B230" t="str">
            <v>Bluerio's Adventure</v>
          </cell>
          <cell r="C230" t="str">
            <v>Inflagrandy</v>
          </cell>
          <cell r="D230">
            <v>11</v>
          </cell>
          <cell r="E230" t="str">
            <v>Expert</v>
          </cell>
          <cell r="F230" t="str">
            <v>Kaizo</v>
          </cell>
          <cell r="G230">
            <v>45733</v>
          </cell>
          <cell r="H230" t="str">
            <v>39591</v>
          </cell>
          <cell r="I230" t="str">
            <v>https://www.smwcentral.net/?a=details&amp;id=39591&amp;p=section</v>
          </cell>
          <cell r="J230" t="str">
            <v>https://dl.smwcentral.net/39591/Bluerio%27s%20Adventure.zip</v>
          </cell>
        </row>
        <row r="231">
          <cell r="A231" t="str">
            <v>Bluewater Kingdom</v>
          </cell>
          <cell r="B231" t="str">
            <v>Bluewater Kingdom</v>
          </cell>
          <cell r="C231" t="str">
            <v>Nic Nac</v>
          </cell>
          <cell r="D231">
            <v>24</v>
          </cell>
          <cell r="E231" t="str">
            <v>Casual</v>
          </cell>
          <cell r="F231" t="str">
            <v>Standard</v>
          </cell>
          <cell r="G231">
            <v>42147</v>
          </cell>
          <cell r="H231" t="str">
            <v>11347</v>
          </cell>
          <cell r="I231" t="str">
            <v>https://www.smwcentral.net/?a=details&amp;id=11347&amp;p=section</v>
          </cell>
          <cell r="J231" t="str">
            <v>https://dl.smwcentral.net/11347/Bluewater%20Kingdom.zip</v>
          </cell>
        </row>
        <row r="232">
          <cell r="A232" t="str">
            <v>Bob's Adventure</v>
          </cell>
          <cell r="B232" t="str">
            <v>Bob's Adventure</v>
          </cell>
          <cell r="C232" t="str">
            <v>thekenbaum</v>
          </cell>
          <cell r="D232">
            <v>6</v>
          </cell>
          <cell r="E232" t="str">
            <v>Casual</v>
          </cell>
          <cell r="F232" t="str">
            <v>Standard</v>
          </cell>
          <cell r="G232">
            <v>42309</v>
          </cell>
          <cell r="H232" t="str">
            <v>10194</v>
          </cell>
          <cell r="I232" t="str">
            <v>https://www.smwcentral.net/?a=details&amp;id=10194&amp;p=section</v>
          </cell>
          <cell r="J232" t="str">
            <v>https://dl.smwcentral.net/10194/Bob%27s%20adventure%20patch.zip</v>
          </cell>
        </row>
        <row r="233">
          <cell r="A233" t="str">
            <v>BokoBoko 2  - no yaba (smw remaster)</v>
          </cell>
          <cell r="B233" t="str">
            <v>BokoBoko 2  - no yaba (smw remaster)</v>
          </cell>
          <cell r="C233" t="str">
            <v>AnaRosaHD01</v>
          </cell>
          <cell r="D233">
            <v>11</v>
          </cell>
          <cell r="E233" t="str">
            <v>Intermediate</v>
          </cell>
          <cell r="F233" t="str">
            <v>Standard</v>
          </cell>
          <cell r="G233">
            <v>44872</v>
          </cell>
          <cell r="H233" t="str">
            <v>32466</v>
          </cell>
          <cell r="I233" t="str">
            <v>https://www.smwcentral.net/?a=details&amp;id=32466&amp;p=section</v>
          </cell>
          <cell r="J233" t="str">
            <v>https://dl.smwcentral.net/32466/BokoBoko2%20smw%20remaster.zip</v>
          </cell>
        </row>
        <row r="234">
          <cell r="A234" t="str">
            <v>BoliKa</v>
          </cell>
          <cell r="B234" t="str">
            <v>BoliKa</v>
          </cell>
          <cell r="C234" t="str">
            <v>Kazefbr</v>
          </cell>
          <cell r="D234">
            <v>9</v>
          </cell>
          <cell r="E234" t="str">
            <v>Expert</v>
          </cell>
          <cell r="F234" t="str">
            <v>Kaizo</v>
          </cell>
          <cell r="G234">
            <v>44400</v>
          </cell>
          <cell r="H234" t="str">
            <v>27797</v>
          </cell>
          <cell r="I234" t="str">
            <v>https://www.smwcentral.net/?a=details&amp;id=27797&amp;p=section</v>
          </cell>
          <cell r="J234" t="str">
            <v>https://dl.smwcentral.net/27797/BoliKa%20V1.1.zip</v>
          </cell>
        </row>
        <row r="235">
          <cell r="A235" t="str">
            <v>Bomberman X</v>
          </cell>
          <cell r="B235" t="str">
            <v>Bomberman X</v>
          </cell>
          <cell r="C235" t="str">
            <v>karen13505</v>
          </cell>
          <cell r="D235">
            <v>41</v>
          </cell>
          <cell r="E235" t="str">
            <v>Casual</v>
          </cell>
          <cell r="F235" t="str">
            <v>Standard</v>
          </cell>
          <cell r="G235">
            <v>42619</v>
          </cell>
          <cell r="H235" t="str">
            <v>14376</v>
          </cell>
          <cell r="I235" t="str">
            <v>https://www.smwcentral.net/?a=details&amp;id=14376&amp;p=section</v>
          </cell>
          <cell r="J235" t="str">
            <v>https://dl.smwcentral.net/14376/Bomberman_X%20final%20patch.zip</v>
          </cell>
        </row>
        <row r="236">
          <cell r="A236" t="str">
            <v>Bonni's Quest</v>
          </cell>
          <cell r="B236" t="str">
            <v>Bonni's Quest</v>
          </cell>
          <cell r="C236" t="str">
            <v>Ladida</v>
          </cell>
          <cell r="D236">
            <v>25</v>
          </cell>
          <cell r="E236" t="str">
            <v>Casual</v>
          </cell>
          <cell r="F236" t="str">
            <v>Standard</v>
          </cell>
          <cell r="G236">
            <v>41572</v>
          </cell>
          <cell r="H236" t="str">
            <v>5346</v>
          </cell>
          <cell r="I236" t="str">
            <v>https://www.smwcentral.net/?a=details&amp;id=5346&amp;p=section</v>
          </cell>
          <cell r="J236" t="str">
            <v>https://dl.smwcentral.net/5346/Bonni%27s%20Quest%20-%20Demo%202%20%5BFixed%5D.zip</v>
          </cell>
        </row>
        <row r="237">
          <cell r="A237" t="str">
            <v>Boogie Wonderland</v>
          </cell>
          <cell r="B237" t="str">
            <v>Boogie Wonderland</v>
          </cell>
          <cell r="C237" t="str">
            <v>BabaYegha</v>
          </cell>
          <cell r="D237">
            <v>20</v>
          </cell>
          <cell r="E237" t="str">
            <v>Master</v>
          </cell>
          <cell r="F237" t="str">
            <v>Kaizo</v>
          </cell>
          <cell r="G237">
            <v>44476</v>
          </cell>
          <cell r="H237" t="str">
            <v>28495</v>
          </cell>
          <cell r="I237" t="str">
            <v>https://www.smwcentral.net/?a=details&amp;id=28495&amp;p=section</v>
          </cell>
          <cell r="J237" t="str">
            <v>https://dl.smwcentral.net/28495/BoogieWonderLand_v2.0.zip</v>
          </cell>
        </row>
        <row r="238">
          <cell r="A238" t="str">
            <v>Boon's Adventure</v>
          </cell>
          <cell r="B238" t="str">
            <v>Boon's Adventure</v>
          </cell>
          <cell r="C238" t="str">
            <v>Phyll</v>
          </cell>
          <cell r="D238">
            <v>0</v>
          </cell>
          <cell r="E238" t="str">
            <v>Advanced</v>
          </cell>
          <cell r="F238" t="str">
            <v>Kaizo</v>
          </cell>
          <cell r="G238">
            <v>44887</v>
          </cell>
          <cell r="H238" t="str">
            <v>32564</v>
          </cell>
          <cell r="I238" t="str">
            <v>https://www.smwcentral.net/?a=details&amp;id=32564&amp;p=section</v>
          </cell>
          <cell r="J238" t="str">
            <v>https://dl.smwcentral.net/32564/Boon%27s%20Adventure%20Demo.zip</v>
          </cell>
        </row>
        <row r="239">
          <cell r="A239" t="str">
            <v>BooSide</v>
          </cell>
          <cell r="B239" t="str">
            <v>BooSide</v>
          </cell>
          <cell r="C239" t="str">
            <v>CousinCatnip</v>
          </cell>
          <cell r="D239">
            <v>8</v>
          </cell>
          <cell r="E239" t="str">
            <v>Intermediate</v>
          </cell>
          <cell r="F239" t="str">
            <v>Standard</v>
          </cell>
          <cell r="G239">
            <v>44341</v>
          </cell>
          <cell r="H239" t="str">
            <v>27043</v>
          </cell>
          <cell r="I239" t="str">
            <v>https://www.smwcentral.net/?a=details&amp;id=27043&amp;p=section</v>
          </cell>
          <cell r="J239" t="str">
            <v>https://dl.smwcentral.net/27043/BooSide%201.0.zip</v>
          </cell>
        </row>
        <row r="240">
          <cell r="A240" t="str">
            <v>BOOT IT UP</v>
          </cell>
          <cell r="B240" t="str">
            <v>BOOT IT UP</v>
          </cell>
          <cell r="C240" t="str">
            <v>Goon Nation, deported</v>
          </cell>
          <cell r="D240">
            <v>1</v>
          </cell>
          <cell r="E240" t="str">
            <v>Master</v>
          </cell>
          <cell r="F240" t="str">
            <v>Kaizo</v>
          </cell>
          <cell r="G240">
            <v>45749</v>
          </cell>
          <cell r="H240" t="str">
            <v>39679</v>
          </cell>
          <cell r="I240" t="str">
            <v>https://www.smwcentral.net/?a=details&amp;id=39679&amp;p=section</v>
          </cell>
          <cell r="J240" t="str">
            <v>https://dl.smwcentral.net/39679/boot.zip</v>
          </cell>
        </row>
        <row r="241">
          <cell r="A241" t="str">
            <v>Borealis Sh'El</v>
          </cell>
          <cell r="B241" t="str">
            <v>Borealis Sh'El</v>
          </cell>
          <cell r="C241" t="str">
            <v>elsaiz117</v>
          </cell>
          <cell r="D241">
            <v>9</v>
          </cell>
          <cell r="E241" t="str">
            <v>Master</v>
          </cell>
          <cell r="F241" t="str">
            <v>Kaizo</v>
          </cell>
          <cell r="G241">
            <v>45899</v>
          </cell>
          <cell r="H241" t="str">
            <v>40521</v>
          </cell>
          <cell r="I241" t="str">
            <v>https://www.smwcentral.net/?a=details&amp;id=40521&amp;p=section</v>
          </cell>
          <cell r="J241" t="str">
            <v>https://dl.smwcentral.net/40521/Borealis%20Sh%27El.zip</v>
          </cell>
        </row>
        <row r="242">
          <cell r="A242" t="str">
            <v>Boris</v>
          </cell>
          <cell r="B242" t="str">
            <v>Boris</v>
          </cell>
          <cell r="C242" t="str">
            <v>Sockbat Replica</v>
          </cell>
          <cell r="D242">
            <v>52</v>
          </cell>
          <cell r="E242" t="str">
            <v>Casual</v>
          </cell>
          <cell r="F242" t="str">
            <v>Standard</v>
          </cell>
          <cell r="G242">
            <v>43300</v>
          </cell>
          <cell r="H242" t="str">
            <v>17843</v>
          </cell>
          <cell r="I242" t="str">
            <v>https://www.smwcentral.net/?a=details&amp;id=17843&amp;p=section</v>
          </cell>
          <cell r="J242" t="str">
            <v>https://dl.smwcentral.net/17843/Boris%20V2.zip</v>
          </cell>
        </row>
        <row r="243">
          <cell r="A243" t="str">
            <v>Bounceland: The Quest for The Holy Springboard</v>
          </cell>
          <cell r="B243" t="str">
            <v>Bounceland: The Quest for The Holy Springboard</v>
          </cell>
          <cell r="C243" t="str">
            <v>Segment1Zone2</v>
          </cell>
          <cell r="D243">
            <v>10</v>
          </cell>
          <cell r="E243" t="str">
            <v>Intermediate</v>
          </cell>
          <cell r="F243" t="str">
            <v>Standard</v>
          </cell>
          <cell r="G243">
            <v>45717</v>
          </cell>
          <cell r="H243" t="str">
            <v>39209</v>
          </cell>
          <cell r="I243" t="str">
            <v>https://www.smwcentral.net/?a=details&amp;id=39209&amp;p=section</v>
          </cell>
          <cell r="J243" t="str">
            <v>https://dl.smwcentral.net/39209/Bounceland%20v1.02.zip</v>
          </cell>
        </row>
        <row r="244">
          <cell r="A244" t="str">
            <v>Bowser Forest</v>
          </cell>
          <cell r="B244" t="str">
            <v>Bowser Forest</v>
          </cell>
          <cell r="C244" t="str">
            <v>Dylan Yoshi</v>
          </cell>
          <cell r="D244">
            <v>9</v>
          </cell>
          <cell r="E244" t="str">
            <v>Intermediate</v>
          </cell>
          <cell r="F244" t="str">
            <v>Standard</v>
          </cell>
          <cell r="G244">
            <v>42039</v>
          </cell>
          <cell r="H244" t="str">
            <v>9752</v>
          </cell>
          <cell r="I244" t="str">
            <v>https://www.smwcentral.net/?a=details&amp;id=9752&amp;p=section</v>
          </cell>
          <cell r="J244" t="str">
            <v>https://dl.smwcentral.net/9752/Bowser%20Forest.zip</v>
          </cell>
        </row>
        <row r="245">
          <cell r="A245" t="str">
            <v>Bowser Jr's Adventure</v>
          </cell>
          <cell r="B245" t="str">
            <v>Bowser Jr's Adventure</v>
          </cell>
          <cell r="C245" t="str">
            <v>BBkaizo</v>
          </cell>
          <cell r="D245">
            <v>17</v>
          </cell>
          <cell r="E245" t="str">
            <v>Casual</v>
          </cell>
          <cell r="F245" t="str">
            <v>Standard</v>
          </cell>
          <cell r="G245">
            <v>42304</v>
          </cell>
          <cell r="H245" t="str">
            <v>10199</v>
          </cell>
          <cell r="I245" t="str">
            <v>https://www.smwcentral.net/?a=details&amp;id=10199&amp;p=section</v>
          </cell>
          <cell r="J245" t="str">
            <v>https://dl.smwcentral.net/10199/Bowser%20jr.zip</v>
          </cell>
        </row>
        <row r="246">
          <cell r="A246" t="str">
            <v>Bowser Jr.'s Pirate Ship</v>
          </cell>
          <cell r="B246" t="str">
            <v>Bowser Jr.'s Pirate Ship</v>
          </cell>
          <cell r="C246" t="str">
            <v>Shizufuzu</v>
          </cell>
          <cell r="D246">
            <v>7</v>
          </cell>
          <cell r="E246" t="str">
            <v>Intermediate</v>
          </cell>
          <cell r="F246" t="str">
            <v>Standard</v>
          </cell>
          <cell r="G246">
            <v>42306</v>
          </cell>
          <cell r="H246" t="str">
            <v>11682</v>
          </cell>
          <cell r="I246" t="str">
            <v>https://www.smwcentral.net/?a=details&amp;id=11682&amp;p=section</v>
          </cell>
          <cell r="J246" t="str">
            <v>https://dl.smwcentral.net/11682/Bowser%20JR.s%20pirate%20ship.zip</v>
          </cell>
        </row>
        <row r="247">
          <cell r="A247" t="str">
            <v>Bowser Rampages Again</v>
          </cell>
          <cell r="B247" t="str">
            <v>Bowser Rampages Again</v>
          </cell>
          <cell r="C247" t="str">
            <v>ZMann</v>
          </cell>
          <cell r="D247">
            <v>48</v>
          </cell>
          <cell r="E247" t="str">
            <v>Casual</v>
          </cell>
          <cell r="F247" t="str">
            <v>Standard</v>
          </cell>
          <cell r="G247">
            <v>41552</v>
          </cell>
          <cell r="H247" t="str">
            <v>5241</v>
          </cell>
          <cell r="I247" t="str">
            <v>https://www.smwcentral.net/?a=details&amp;id=5241&amp;p=section</v>
          </cell>
          <cell r="J247" t="str">
            <v>https://dl.smwcentral.net/5241/Bowser%20Rampages%20Again.zip</v>
          </cell>
        </row>
        <row r="248">
          <cell r="A248" t="str">
            <v>Bowser Rampages Again 2 - Peach Rampages Back!</v>
          </cell>
          <cell r="B248" t="str">
            <v>Bowser Rampages Again 2 - Peach Rampages Back!</v>
          </cell>
          <cell r="C248" t="str">
            <v>ZMann</v>
          </cell>
          <cell r="D248">
            <v>10</v>
          </cell>
          <cell r="E248" t="str">
            <v>Casual</v>
          </cell>
          <cell r="F248" t="str">
            <v>Standard</v>
          </cell>
          <cell r="G248">
            <v>42013</v>
          </cell>
          <cell r="H248" t="str">
            <v>10488</v>
          </cell>
          <cell r="I248" t="str">
            <v>https://www.smwcentral.net/?a=details&amp;id=10488&amp;p=section</v>
          </cell>
          <cell r="J248" t="str">
            <v>https://dl.smwcentral.net/10488/RAMPAGEII-REALDEMOI%20%282%29.zip</v>
          </cell>
        </row>
        <row r="249">
          <cell r="A249" t="str">
            <v>Bowser Runis Marios Vaction</v>
          </cell>
          <cell r="B249" t="str">
            <v>Bowser Runis Marios Vaction</v>
          </cell>
          <cell r="C249" t="str">
            <v>Enan63</v>
          </cell>
          <cell r="D249">
            <v>6</v>
          </cell>
          <cell r="E249" t="str">
            <v>Casual</v>
          </cell>
          <cell r="F249" t="str">
            <v>Standard</v>
          </cell>
          <cell r="G249">
            <v>43471</v>
          </cell>
          <cell r="H249" t="str">
            <v>18822</v>
          </cell>
          <cell r="I249" t="str">
            <v>https://www.smwcentral.net/?a=details&amp;id=18822&amp;p=section</v>
          </cell>
          <cell r="J249" t="str">
            <v>https://dl.smwcentral.net/18822/Bowser%20Runis%20Marios%20Vaction.zip</v>
          </cell>
        </row>
        <row r="250">
          <cell r="A250" t="str">
            <v>Bowser Stadium</v>
          </cell>
          <cell r="B250" t="str">
            <v>Bowser Stadium</v>
          </cell>
          <cell r="C250" t="str">
            <v>levelengine</v>
          </cell>
          <cell r="D250">
            <v>18</v>
          </cell>
          <cell r="E250" t="str">
            <v>Casual</v>
          </cell>
          <cell r="F250" t="str">
            <v>Standard</v>
          </cell>
          <cell r="G250">
            <v>41572</v>
          </cell>
          <cell r="H250" t="str">
            <v>5582</v>
          </cell>
          <cell r="I250" t="str">
            <v>https://www.smwcentral.net/?a=details&amp;id=5582&amp;p=section</v>
          </cell>
          <cell r="J250" t="str">
            <v>https://dl.smwcentral.net/5582/Bowser%20Stadium%20Gamma.zip</v>
          </cell>
        </row>
        <row r="251">
          <cell r="A251" t="str">
            <v>Bowser Strikes Back</v>
          </cell>
          <cell r="B251" t="str">
            <v>Bowser Strikes Back</v>
          </cell>
          <cell r="C251" t="str">
            <v>Jimmy</v>
          </cell>
          <cell r="D251">
            <v>11</v>
          </cell>
          <cell r="E251" t="str">
            <v>Casual</v>
          </cell>
          <cell r="F251" t="str">
            <v>Standard</v>
          </cell>
          <cell r="G251">
            <v>42208</v>
          </cell>
          <cell r="H251" t="str">
            <v>9774</v>
          </cell>
          <cell r="I251" t="str">
            <v>https://www.smwcentral.net/?a=details&amp;id=9774&amp;p=section</v>
          </cell>
          <cell r="J251" t="str">
            <v>https://dl.smwcentral.net/9774/BSB-Demo1v1.1.zip</v>
          </cell>
        </row>
        <row r="252">
          <cell r="A252" t="str">
            <v>Bowser's Armada</v>
          </cell>
          <cell r="B252" t="str">
            <v>Bowser's Armada</v>
          </cell>
          <cell r="C252" t="str">
            <v>Choco</v>
          </cell>
          <cell r="D252">
            <v>15</v>
          </cell>
          <cell r="E252" t="str">
            <v>Casual</v>
          </cell>
          <cell r="F252" t="str">
            <v>Standard</v>
          </cell>
          <cell r="G252">
            <v>42224</v>
          </cell>
          <cell r="H252" t="str">
            <v>9877</v>
          </cell>
          <cell r="I252" t="str">
            <v>https://www.smwcentral.net/?a=details&amp;id=9877&amp;p=section</v>
          </cell>
          <cell r="J252" t="str">
            <v>https://dl.smwcentral.net/9877/Kopia%20%284%29%20av%20Super%20Mario%20World%20%28U%29%20%5B%21%5D.zip</v>
          </cell>
        </row>
        <row r="253">
          <cell r="A253" t="str">
            <v>Bowser's Casino</v>
          </cell>
          <cell r="B253" t="str">
            <v>Bowser's Casino</v>
          </cell>
          <cell r="C253" t="str">
            <v>FreeKill2111</v>
          </cell>
          <cell r="D253">
            <v>0</v>
          </cell>
          <cell r="E253" t="str">
            <v>Newcomer</v>
          </cell>
          <cell r="F253" t="str">
            <v>Standard</v>
          </cell>
          <cell r="G253">
            <v>45876</v>
          </cell>
          <cell r="H253" t="str">
            <v>40169</v>
          </cell>
          <cell r="I253" t="str">
            <v>https://www.smwcentral.net/?a=details&amp;id=40169&amp;p=section</v>
          </cell>
          <cell r="J253" t="str">
            <v>https://dl.smwcentral.net/40169/BowsersCasino.zip</v>
          </cell>
        </row>
        <row r="254">
          <cell r="A254" t="str">
            <v>Bowser's Castle</v>
          </cell>
          <cell r="B254" t="str">
            <v>Bowser's Castle</v>
          </cell>
          <cell r="C254" t="str">
            <v>PMH</v>
          </cell>
          <cell r="D254">
            <v>1</v>
          </cell>
          <cell r="E254" t="str">
            <v>Casual</v>
          </cell>
          <cell r="F254" t="str">
            <v>Standard</v>
          </cell>
          <cell r="G254">
            <v>42579</v>
          </cell>
          <cell r="H254" t="str">
            <v>13982</v>
          </cell>
          <cell r="I254" t="str">
            <v>https://www.smwcentral.net/?a=details&amp;id=13982&amp;p=section</v>
          </cell>
          <cell r="J254" t="str">
            <v>https://dl.smwcentral.net/13982/Bowser%27s%20Castle.zip</v>
          </cell>
        </row>
        <row r="255">
          <cell r="A255" t="str">
            <v>Bowser's Castle 2</v>
          </cell>
          <cell r="B255" t="str">
            <v>Bowser's Castle 2</v>
          </cell>
          <cell r="C255" t="str">
            <v>PMH</v>
          </cell>
          <cell r="D255">
            <v>1</v>
          </cell>
          <cell r="E255" t="str">
            <v>Casual</v>
          </cell>
          <cell r="F255" t="str">
            <v>Standard</v>
          </cell>
          <cell r="G255">
            <v>43895</v>
          </cell>
          <cell r="H255" t="str">
            <v>22233</v>
          </cell>
          <cell r="I255" t="str">
            <v>https://www.smwcentral.net/?a=details&amp;id=22233&amp;p=section</v>
          </cell>
          <cell r="J255" t="str">
            <v>https://dl.smwcentral.net/22233/Bowser%27s%20Castle%202.zip</v>
          </cell>
        </row>
        <row r="256">
          <cell r="A256" t="str">
            <v>Bowser's Dangerous Castle 2</v>
          </cell>
          <cell r="B256" t="str">
            <v>Bowser's Dangerous Castle 2</v>
          </cell>
          <cell r="C256" t="str">
            <v>Vampire Killer</v>
          </cell>
          <cell r="D256">
            <v>1</v>
          </cell>
          <cell r="E256" t="str">
            <v>Casual</v>
          </cell>
          <cell r="F256" t="str">
            <v>Standard</v>
          </cell>
          <cell r="G256">
            <v>42322</v>
          </cell>
          <cell r="H256" t="str">
            <v>9707</v>
          </cell>
          <cell r="I256" t="str">
            <v>https://www.smwcentral.net/?a=details&amp;id=9707&amp;p=section</v>
          </cell>
          <cell r="J256" t="str">
            <v>https://dl.smwcentral.net/9707/BDC2.zip</v>
          </cell>
        </row>
        <row r="257">
          <cell r="A257" t="str">
            <v>Bowser's Hideout</v>
          </cell>
          <cell r="B257" t="str">
            <v>Bowser's Hideout</v>
          </cell>
          <cell r="C257" t="str">
            <v>Core</v>
          </cell>
          <cell r="D257">
            <v>4</v>
          </cell>
          <cell r="E257" t="str">
            <v>Intermediate</v>
          </cell>
          <cell r="F257" t="str">
            <v>Standard</v>
          </cell>
          <cell r="G257">
            <v>44908</v>
          </cell>
          <cell r="H257" t="str">
            <v>32728</v>
          </cell>
          <cell r="I257" t="str">
            <v>https://www.smwcentral.net/?a=details&amp;id=32728&amp;p=section</v>
          </cell>
          <cell r="J257" t="str">
            <v>https://dl.smwcentral.net/32728/BH1Fix.zip</v>
          </cell>
        </row>
        <row r="258">
          <cell r="A258" t="str">
            <v>Bowser's Hideout 2</v>
          </cell>
          <cell r="B258" t="str">
            <v>Bowser's Hideout 2</v>
          </cell>
          <cell r="C258" t="str">
            <v>Core</v>
          </cell>
          <cell r="D258">
            <v>5</v>
          </cell>
          <cell r="E258" t="str">
            <v>Expert</v>
          </cell>
          <cell r="F258" t="str">
            <v>Standard</v>
          </cell>
          <cell r="G258">
            <v>44505</v>
          </cell>
          <cell r="H258" t="str">
            <v>28708</v>
          </cell>
          <cell r="I258" t="str">
            <v>https://www.smwcentral.net/?a=details&amp;id=28708&amp;p=section</v>
          </cell>
          <cell r="J258" t="str">
            <v>https://dl.smwcentral.net/28708/Bowser%27s%20Hideout%202_fix.zip</v>
          </cell>
        </row>
        <row r="259">
          <cell r="A259" t="str">
            <v>Bowser's Hideout Deluxe</v>
          </cell>
          <cell r="B259" t="str">
            <v>Bowser's Hideout Deluxe</v>
          </cell>
          <cell r="C259" t="str">
            <v>Core, Mr. MS</v>
          </cell>
          <cell r="D259">
            <v>5</v>
          </cell>
          <cell r="E259" t="str">
            <v>Intermediate</v>
          </cell>
          <cell r="F259" t="str">
            <v>Standard</v>
          </cell>
          <cell r="G259">
            <v>44971</v>
          </cell>
          <cell r="H259" t="str">
            <v>33106</v>
          </cell>
          <cell r="I259" t="str">
            <v>https://www.smwcentral.net/?a=details&amp;id=33106&amp;p=section</v>
          </cell>
          <cell r="J259" t="str">
            <v>https://dl.smwcentral.net/33106/BH1R.zip</v>
          </cell>
        </row>
        <row r="260">
          <cell r="A260" t="str">
            <v>Bowser's Kingdom</v>
          </cell>
          <cell r="B260" t="str">
            <v>Bowser's Kingdom</v>
          </cell>
          <cell r="C260" t="str">
            <v>mario and luigi</v>
          </cell>
          <cell r="D260">
            <v>6</v>
          </cell>
          <cell r="E260" t="str">
            <v>Casual</v>
          </cell>
          <cell r="F260" t="str">
            <v>Standard</v>
          </cell>
          <cell r="G260">
            <v>41856</v>
          </cell>
          <cell r="H260" t="str">
            <v>6874</v>
          </cell>
          <cell r="I260" t="str">
            <v>https://www.smwcentral.net/?a=details&amp;id=6874&amp;p=section</v>
          </cell>
          <cell r="J260" t="str">
            <v>https://dl.smwcentral.net/6874/bowser%27s%20kingdom%20hack.zip</v>
          </cell>
        </row>
        <row r="261">
          <cell r="A261" t="str">
            <v>Bowser's Plan Part One: Alternate World</v>
          </cell>
          <cell r="B261" t="str">
            <v>Bowser's Plan Part One: Alternate World</v>
          </cell>
          <cell r="C261" t="str">
            <v>ShyGuyGuyShy</v>
          </cell>
          <cell r="D261">
            <v>9</v>
          </cell>
          <cell r="E261" t="str">
            <v>Newcomer</v>
          </cell>
          <cell r="F261" t="str">
            <v>Standard</v>
          </cell>
          <cell r="G261">
            <v>42275</v>
          </cell>
          <cell r="H261" t="str">
            <v>10046</v>
          </cell>
          <cell r="I261" t="str">
            <v>https://www.smwcentral.net/?a=details&amp;id=10046&amp;p=section</v>
          </cell>
          <cell r="J261" t="str">
            <v>https://dl.smwcentral.net/10046/SMB%20BP%20DEMO.zip</v>
          </cell>
        </row>
        <row r="262">
          <cell r="A262" t="str">
            <v>Bowser's Revenge</v>
          </cell>
          <cell r="B262" t="str">
            <v>Bowser's Revenge</v>
          </cell>
          <cell r="C262" t="str">
            <v>Easy Difficulty</v>
          </cell>
          <cell r="D262">
            <v>67</v>
          </cell>
          <cell r="E262" t="str">
            <v>Intermediate</v>
          </cell>
          <cell r="F262" t="str">
            <v>Standard</v>
          </cell>
          <cell r="G262">
            <v>45199</v>
          </cell>
          <cell r="H262" t="str">
            <v>35118</v>
          </cell>
          <cell r="I262" t="str">
            <v>https://www.smwcentral.net/?a=details&amp;id=35118&amp;p=section</v>
          </cell>
          <cell r="J262" t="str">
            <v>https://dl.smwcentral.net/35118/Bowser%27s%20Revenge%20v1.1.zip</v>
          </cell>
        </row>
        <row r="263">
          <cell r="A263" t="str">
            <v>Bowser's Revenge 2</v>
          </cell>
          <cell r="B263" t="str">
            <v>Bowser's Revenge 2</v>
          </cell>
          <cell r="C263" t="str">
            <v>Easy Difficulty</v>
          </cell>
          <cell r="D263">
            <v>68</v>
          </cell>
          <cell r="E263" t="str">
            <v>Intermediate</v>
          </cell>
          <cell r="F263" t="str">
            <v>Standard</v>
          </cell>
          <cell r="G263">
            <v>45420</v>
          </cell>
          <cell r="H263" t="str">
            <v>37751</v>
          </cell>
          <cell r="I263" t="str">
            <v>https://www.smwcentral.net/?a=details&amp;id=37751&amp;p=section</v>
          </cell>
          <cell r="J263" t="str">
            <v>https://dl.smwcentral.net/37751/Bowser%27s%20Revenge%202%20v1.1.zip</v>
          </cell>
        </row>
        <row r="264">
          <cell r="A264" t="str">
            <v>Bowser's Revenge 3</v>
          </cell>
          <cell r="B264" t="str">
            <v>Bowser's Revenge 3</v>
          </cell>
          <cell r="C264" t="str">
            <v>Easy Difficulty</v>
          </cell>
          <cell r="D264">
            <v>44</v>
          </cell>
          <cell r="E264" t="str">
            <v>Intermediate</v>
          </cell>
          <cell r="F264" t="str">
            <v>Standard</v>
          </cell>
          <cell r="G264">
            <v>45232</v>
          </cell>
          <cell r="H264" t="str">
            <v>35354</v>
          </cell>
          <cell r="I264" t="str">
            <v>https://www.smwcentral.net/?a=details&amp;id=35354&amp;p=section</v>
          </cell>
          <cell r="J264" t="str">
            <v>https://dl.smwcentral.net/35354/Bowser%27s%20Revenge%203.zip</v>
          </cell>
        </row>
        <row r="265">
          <cell r="A265" t="str">
            <v>Bowser's Revenge 4</v>
          </cell>
          <cell r="B265" t="str">
            <v>Bowser's Revenge 4</v>
          </cell>
          <cell r="C265" t="str">
            <v>Easy Difficulty</v>
          </cell>
          <cell r="D265">
            <v>70</v>
          </cell>
          <cell r="E265" t="str">
            <v>Intermediate</v>
          </cell>
          <cell r="F265" t="str">
            <v>Standard</v>
          </cell>
          <cell r="G265">
            <v>45391</v>
          </cell>
          <cell r="H265" t="str">
            <v>36606</v>
          </cell>
          <cell r="I265" t="str">
            <v>https://www.smwcentral.net/?a=details&amp;id=36606&amp;p=section</v>
          </cell>
          <cell r="J265" t="str">
            <v>https://dl.smwcentral.net/36606/Bowser%27s%20Revenge%204.zip</v>
          </cell>
        </row>
        <row r="266">
          <cell r="A266" t="str">
            <v>Bowser's Time Machine</v>
          </cell>
          <cell r="B266" t="str">
            <v>Bowser's Time Machine</v>
          </cell>
          <cell r="C266" t="str">
            <v>DarkBones</v>
          </cell>
          <cell r="D266">
            <v>6</v>
          </cell>
          <cell r="E266" t="str">
            <v>Newcomer</v>
          </cell>
          <cell r="F266" t="str">
            <v>Standard</v>
          </cell>
          <cell r="G266">
            <v>42293</v>
          </cell>
          <cell r="H266" t="str">
            <v>10178</v>
          </cell>
          <cell r="I266" t="str">
            <v>https://www.smwcentral.net/?a=details&amp;id=10178&amp;p=section</v>
          </cell>
          <cell r="J266" t="str">
            <v>https://dl.smwcentral.net/10178/Bowser%27s%20Time%20Machine.zip</v>
          </cell>
        </row>
        <row r="267">
          <cell r="A267" t="str">
            <v>Box of Shadows</v>
          </cell>
          <cell r="B267" t="str">
            <v>Box of Shadows</v>
          </cell>
          <cell r="C267" t="str">
            <v>ShadowBoxer_Sandshrew</v>
          </cell>
          <cell r="D267">
            <v>28</v>
          </cell>
          <cell r="E267" t="str">
            <v>Expert</v>
          </cell>
          <cell r="F267" t="str">
            <v>Kaizo</v>
          </cell>
          <cell r="G267">
            <v>44534</v>
          </cell>
          <cell r="H267" t="str">
            <v>28763</v>
          </cell>
          <cell r="I267" t="str">
            <v>https://www.smwcentral.net/?a=details&amp;id=28763&amp;p=section</v>
          </cell>
          <cell r="J267" t="str">
            <v>https://dl.smwcentral.net/28763/Box_of_Shadows.zip</v>
          </cell>
        </row>
        <row r="268">
          <cell r="A268" t="str">
            <v>Brave New World</v>
          </cell>
          <cell r="B268" t="str">
            <v>Brave New World</v>
          </cell>
          <cell r="C268" t="str">
            <v>derv82</v>
          </cell>
          <cell r="D268">
            <v>12</v>
          </cell>
          <cell r="E268" t="str">
            <v>Expert</v>
          </cell>
          <cell r="F268" t="str">
            <v>Kaizo</v>
          </cell>
          <cell r="G268">
            <v>44666</v>
          </cell>
          <cell r="H268" t="str">
            <v>30248</v>
          </cell>
          <cell r="I268" t="str">
            <v>https://www.smwcentral.net/?a=details&amp;id=30248&amp;p=section</v>
          </cell>
          <cell r="J268" t="str">
            <v>https://dl.smwcentral.net/30248/Brave%20New%20World%201.1.zip</v>
          </cell>
        </row>
        <row r="269">
          <cell r="A269" t="str">
            <v>Brave New World 2</v>
          </cell>
          <cell r="B269" t="str">
            <v>Brave New World 2</v>
          </cell>
          <cell r="C269" t="str">
            <v>derv82</v>
          </cell>
          <cell r="D269">
            <v>26</v>
          </cell>
          <cell r="E269" t="str">
            <v>Expert</v>
          </cell>
          <cell r="F269" t="str">
            <v>Kaizo</v>
          </cell>
          <cell r="G269">
            <v>45243</v>
          </cell>
          <cell r="H269" t="str">
            <v>35504</v>
          </cell>
          <cell r="I269" t="str">
            <v>https://www.smwcentral.net/?a=details&amp;id=35504&amp;p=section</v>
          </cell>
          <cell r="J269" t="str">
            <v>https://dl.smwcentral.net/35504/BraveNewWorld2.zip</v>
          </cell>
        </row>
        <row r="270">
          <cell r="A270" t="str">
            <v>Bread World</v>
          </cell>
          <cell r="B270" t="str">
            <v>Bread World</v>
          </cell>
          <cell r="C270" t="str">
            <v>MrBread</v>
          </cell>
          <cell r="D270">
            <v>11</v>
          </cell>
          <cell r="E270" t="str">
            <v>Intermediate</v>
          </cell>
          <cell r="F270" t="str">
            <v>Kaizo</v>
          </cell>
          <cell r="G270">
            <v>43920</v>
          </cell>
          <cell r="H270" t="str">
            <v>22536</v>
          </cell>
          <cell r="I270" t="str">
            <v>https://www.smwcentral.net/?a=details&amp;id=22536&amp;p=section</v>
          </cell>
          <cell r="J270" t="str">
            <v>https://dl.smwcentral.net/22536/BreadWorld.zip</v>
          </cell>
        </row>
        <row r="271">
          <cell r="A271" t="str">
            <v>Breakfast Kaizo 2: Elevensies</v>
          </cell>
          <cell r="B271" t="str">
            <v>Breakfast Kaizo 2: Elevensies</v>
          </cell>
          <cell r="C271" t="str">
            <v>GlitchCat7</v>
          </cell>
          <cell r="D271">
            <v>10</v>
          </cell>
          <cell r="E271" t="str">
            <v>Expert</v>
          </cell>
          <cell r="F271" t="str">
            <v>Kaizo</v>
          </cell>
          <cell r="G271">
            <v>43754</v>
          </cell>
          <cell r="H271" t="str">
            <v>21147</v>
          </cell>
          <cell r="I271" t="str">
            <v>https://www.smwcentral.net/?a=details&amp;id=21147&amp;p=section</v>
          </cell>
          <cell r="J271" t="str">
            <v>https://dl.smwcentral.net/21147/BKW2_1.1.zip</v>
          </cell>
        </row>
        <row r="272">
          <cell r="A272" t="str">
            <v>Breaking SMW</v>
          </cell>
          <cell r="B272" t="str">
            <v>Breaking SMW</v>
          </cell>
          <cell r="C272" t="str">
            <v>Devazure, Magikey, dacin, xHF01x</v>
          </cell>
          <cell r="D272">
            <v>6</v>
          </cell>
          <cell r="E272" t="str">
            <v>Master</v>
          </cell>
          <cell r="F272" t="str">
            <v>Kaizo</v>
          </cell>
          <cell r="G272">
            <v>44700</v>
          </cell>
          <cell r="H272" t="str">
            <v>30536</v>
          </cell>
          <cell r="I272" t="str">
            <v>https://www.smwcentral.net/?a=details&amp;id=30536&amp;p=section</v>
          </cell>
          <cell r="J272" t="str">
            <v>https://dl.smwcentral.net/30536/BreakingSMW.zip</v>
          </cell>
        </row>
        <row r="273">
          <cell r="A273" t="str">
            <v>Briefly12 World</v>
          </cell>
          <cell r="B273" t="str">
            <v>Briefly12 World</v>
          </cell>
          <cell r="C273" t="str">
            <v>Lee12UK</v>
          </cell>
          <cell r="D273">
            <v>11</v>
          </cell>
          <cell r="E273" t="str">
            <v>Advanced</v>
          </cell>
          <cell r="F273" t="str">
            <v>Kaizo</v>
          </cell>
          <cell r="G273">
            <v>44513</v>
          </cell>
          <cell r="H273" t="str">
            <v>28764</v>
          </cell>
          <cell r="I273" t="str">
            <v>https://www.smwcentral.net/?a=details&amp;id=28764&amp;p=section</v>
          </cell>
          <cell r="J273" t="str">
            <v>https://dl.smwcentral.net/28764/Briefly12v1.1.zip</v>
          </cell>
        </row>
        <row r="274">
          <cell r="A274" t="str">
            <v>BRMVR</v>
          </cell>
          <cell r="B274" t="str">
            <v>BRMVR</v>
          </cell>
          <cell r="C274" t="str">
            <v>Enan63</v>
          </cell>
          <cell r="D274">
            <v>23</v>
          </cell>
          <cell r="E274" t="str">
            <v>Casual</v>
          </cell>
          <cell r="F274" t="str">
            <v>Standard</v>
          </cell>
          <cell r="G274">
            <v>43657</v>
          </cell>
          <cell r="H274" t="str">
            <v>20443</v>
          </cell>
          <cell r="I274" t="str">
            <v>https://www.smwcentral.net/?a=details&amp;id=20443&amp;p=section</v>
          </cell>
          <cell r="J274" t="str">
            <v>https://dl.smwcentral.net/20443/BRMVR%20Demo%202%20C3%20July%202019.zip</v>
          </cell>
        </row>
        <row r="275">
          <cell r="A275" t="str">
            <v>Bro's Adventure</v>
          </cell>
          <cell r="B275" t="str">
            <v>Bro's Adventure</v>
          </cell>
          <cell r="C275" t="str">
            <v>Gringo Loco Jr.</v>
          </cell>
          <cell r="D275">
            <v>4</v>
          </cell>
          <cell r="E275" t="str">
            <v>Casual</v>
          </cell>
          <cell r="F275" t="str">
            <v>Standard</v>
          </cell>
          <cell r="G275">
            <v>45049</v>
          </cell>
          <cell r="H275" t="str">
            <v>33806</v>
          </cell>
          <cell r="I275" t="str">
            <v>https://www.smwcentral.net/?a=details&amp;id=33806&amp;p=section</v>
          </cell>
          <cell r="J275" t="str">
            <v>https://dl.smwcentral.net/33806/Bro%27s%20Adventure%20%28Demo%29.zip</v>
          </cell>
        </row>
        <row r="276">
          <cell r="A276" t="str">
            <v>Broken Shell</v>
          </cell>
          <cell r="B276" t="str">
            <v>Broken Shell</v>
          </cell>
          <cell r="C276" t="str">
            <v>Pottsie</v>
          </cell>
          <cell r="D276">
            <v>12</v>
          </cell>
          <cell r="E276" t="str">
            <v>Expert</v>
          </cell>
          <cell r="F276" t="str">
            <v>Kaizo</v>
          </cell>
          <cell r="G276">
            <v>45952</v>
          </cell>
          <cell r="H276" t="str">
            <v>40848</v>
          </cell>
          <cell r="I276" t="str">
            <v>https://www.smwcentral.net/?a=details&amp;id=40848&amp;p=section</v>
          </cell>
          <cell r="J276" t="str">
            <v>https://dl.smwcentral.net/40848/Broken%20Shell.zip</v>
          </cell>
        </row>
        <row r="277">
          <cell r="A277" t="str">
            <v>Brothermen</v>
          </cell>
          <cell r="B277" t="str">
            <v>Brothermen</v>
          </cell>
          <cell r="C277" t="str">
            <v>JezJitzu, MorrieTheMagpie, pnaha</v>
          </cell>
          <cell r="D277">
            <v>5</v>
          </cell>
          <cell r="E277" t="str">
            <v>Advanced</v>
          </cell>
          <cell r="F277" t="str">
            <v>Kaizo</v>
          </cell>
          <cell r="G277">
            <v>46214</v>
          </cell>
          <cell r="H277" t="str">
            <v>42661</v>
          </cell>
          <cell r="I277" t="str">
            <v>https://www.smwcentral.net/?a=details&amp;id=42661&amp;p=section</v>
          </cell>
          <cell r="J277" t="str">
            <v>https://dl.smwcentral.net/42661/Brothermen.zip</v>
          </cell>
        </row>
        <row r="278">
          <cell r="A278" t="str">
            <v>Brutal Bunny</v>
          </cell>
          <cell r="B278" t="str">
            <v>Brutal Bunny</v>
          </cell>
          <cell r="C278" t="str">
            <v>fanfan21</v>
          </cell>
          <cell r="D278">
            <v>5</v>
          </cell>
          <cell r="E278" t="str">
            <v>Intermediate</v>
          </cell>
          <cell r="F278" t="str">
            <v>Kaizo, Tool-Assisted</v>
          </cell>
          <cell r="G278">
            <v>45743</v>
          </cell>
          <cell r="H278" t="str">
            <v>39595</v>
          </cell>
          <cell r="I278" t="str">
            <v>https://www.smwcentral.net/?a=details&amp;id=39595&amp;p=section</v>
          </cell>
          <cell r="J278" t="str">
            <v>https://dl.smwcentral.net/39595/Brutal%20Bunny%20%28SMW%29.zip</v>
          </cell>
        </row>
        <row r="279">
          <cell r="A279" t="str">
            <v>Brutal Mario</v>
          </cell>
          <cell r="B279" t="str">
            <v>Brutal Mario</v>
          </cell>
          <cell r="C279" t="str">
            <v>carol</v>
          </cell>
          <cell r="D279">
            <v>98</v>
          </cell>
          <cell r="E279" t="str">
            <v>Intermediate</v>
          </cell>
          <cell r="F279" t="str">
            <v>Standard</v>
          </cell>
          <cell r="G279">
            <v>41644</v>
          </cell>
          <cell r="H279" t="str">
            <v>6099</v>
          </cell>
          <cell r="I279" t="str">
            <v>https://www.smwcentral.net/?a=details&amp;id=6099&amp;p=section</v>
          </cell>
          <cell r="J279" t="str">
            <v>https://dl.smwcentral.net/6099/Brutal%20Mario%20Demo%207.zip</v>
          </cell>
        </row>
        <row r="280">
          <cell r="A280" t="str">
            <v>Buddy Shell</v>
          </cell>
          <cell r="B280" t="str">
            <v>Buddy Shell</v>
          </cell>
          <cell r="C280" t="str">
            <v>Firstnamebutt</v>
          </cell>
          <cell r="D280">
            <v>12</v>
          </cell>
          <cell r="E280" t="str">
            <v>Advanced</v>
          </cell>
          <cell r="F280" t="str">
            <v>Kaizo</v>
          </cell>
          <cell r="G280">
            <v>45022</v>
          </cell>
          <cell r="H280" t="str">
            <v>33690</v>
          </cell>
          <cell r="I280" t="str">
            <v>https://www.smwcentral.net/?a=details&amp;id=33690&amp;p=section</v>
          </cell>
          <cell r="J280" t="str">
            <v>https://dl.smwcentral.net/33690/BUDDY%20SHELL%20v1.zip</v>
          </cell>
        </row>
        <row r="281">
          <cell r="A281" t="str">
            <v>Buddy Shell 2</v>
          </cell>
          <cell r="B281" t="str">
            <v>Buddy Shell 2</v>
          </cell>
          <cell r="C281" t="str">
            <v>Firstnamebutt</v>
          </cell>
          <cell r="D281">
            <v>25</v>
          </cell>
          <cell r="E281" t="str">
            <v>Expert</v>
          </cell>
          <cell r="F281" t="str">
            <v>Kaizo</v>
          </cell>
          <cell r="G281">
            <v>45329</v>
          </cell>
          <cell r="H281" t="str">
            <v>36816</v>
          </cell>
          <cell r="I281" t="str">
            <v>https://www.smwcentral.net/?a=details&amp;id=36816&amp;p=section</v>
          </cell>
          <cell r="J281" t="str">
            <v>https://dl.smwcentral.net/36816/Buddy_Shell2.zip</v>
          </cell>
        </row>
        <row r="282">
          <cell r="A282" t="str">
            <v>Buddy Shell 2 REDUX</v>
          </cell>
          <cell r="B282" t="str">
            <v>Buddy Shell 2 REDUX</v>
          </cell>
          <cell r="C282" t="str">
            <v>Firstnamebutt</v>
          </cell>
          <cell r="D282">
            <v>21</v>
          </cell>
          <cell r="E282" t="str">
            <v>Expert</v>
          </cell>
          <cell r="F282" t="str">
            <v>Kaizo</v>
          </cell>
          <cell r="G282">
            <v>45419</v>
          </cell>
          <cell r="H282" t="str">
            <v>37743</v>
          </cell>
          <cell r="I282" t="str">
            <v>https://www.smwcentral.net/?a=details&amp;id=37743&amp;p=section</v>
          </cell>
          <cell r="J282" t="str">
            <v>https://dl.smwcentral.net/37743/BuddyShell2REDUX.zip</v>
          </cell>
        </row>
        <row r="283">
          <cell r="A283" t="str">
            <v>Bullymario's New Super Mario World</v>
          </cell>
          <cell r="B283" t="str">
            <v>Bullymario's New Super Mario World</v>
          </cell>
          <cell r="C283" t="str">
            <v>Bullymario</v>
          </cell>
          <cell r="D283">
            <v>80</v>
          </cell>
          <cell r="E283" t="str">
            <v>Intermediate</v>
          </cell>
          <cell r="F283" t="str">
            <v>Standard</v>
          </cell>
          <cell r="G283">
            <v>44828</v>
          </cell>
          <cell r="H283" t="str">
            <v>31895</v>
          </cell>
          <cell r="I283" t="str">
            <v>https://www.smwcentral.net/?a=details&amp;id=31895&amp;p=section</v>
          </cell>
          <cell r="J283" t="str">
            <v>https://dl.smwcentral.net/31895/NSMW1%20%28Fixed%29.zip</v>
          </cell>
        </row>
        <row r="284">
          <cell r="A284" t="str">
            <v>Bunbun 3</v>
          </cell>
          <cell r="B284" t="str">
            <v>Bunbun 3</v>
          </cell>
          <cell r="C284" t="str">
            <v>sio-kedelic</v>
          </cell>
          <cell r="D284">
            <v>24</v>
          </cell>
          <cell r="E284" t="str">
            <v>Advanced</v>
          </cell>
          <cell r="F284" t="str">
            <v>Kaizo</v>
          </cell>
          <cell r="G284">
            <v>45137</v>
          </cell>
          <cell r="H284" t="str">
            <v>34494</v>
          </cell>
          <cell r="I284" t="str">
            <v>https://www.smwcentral.net/?a=details&amp;id=34494&amp;p=section</v>
          </cell>
          <cell r="J284" t="str">
            <v>https://dl.smwcentral.net/34494/bunbun3v1.01.zip</v>
          </cell>
        </row>
        <row r="285">
          <cell r="A285" t="str">
            <v>Bunbun World</v>
          </cell>
          <cell r="B285" t="str">
            <v>Bunbun World</v>
          </cell>
          <cell r="C285" t="str">
            <v>sio-kedelic</v>
          </cell>
          <cell r="D285">
            <v>19</v>
          </cell>
          <cell r="E285" t="str">
            <v>Advanced</v>
          </cell>
          <cell r="F285" t="str">
            <v>Kaizo</v>
          </cell>
          <cell r="G285">
            <v>43627</v>
          </cell>
          <cell r="H285" t="str">
            <v>20177</v>
          </cell>
          <cell r="I285" t="str">
            <v>https://www.smwcentral.net/?a=details&amp;id=20177&amp;p=section</v>
          </cell>
          <cell r="J285" t="str">
            <v>https://dl.smwcentral.net/20177/BunbunWorld_1.0.zip</v>
          </cell>
        </row>
        <row r="286">
          <cell r="A286" t="str">
            <v>Bunbun World 2</v>
          </cell>
          <cell r="B286" t="str">
            <v>Bunbun World 2</v>
          </cell>
          <cell r="C286" t="str">
            <v>sio-kedelic</v>
          </cell>
          <cell r="D286">
            <v>19</v>
          </cell>
          <cell r="E286" t="str">
            <v>Advanced</v>
          </cell>
          <cell r="F286" t="str">
            <v>Kaizo</v>
          </cell>
          <cell r="G286">
            <v>44073</v>
          </cell>
          <cell r="H286" t="str">
            <v>24356</v>
          </cell>
          <cell r="I286" t="str">
            <v>https://www.smwcentral.net/?a=details&amp;id=24356&amp;p=section</v>
          </cell>
          <cell r="J286" t="str">
            <v>https://dl.smwcentral.net/24356/BunbunWorld2_1.1.zip</v>
          </cell>
        </row>
        <row r="287">
          <cell r="A287" t="str">
            <v>Burning Star</v>
          </cell>
          <cell r="B287" t="str">
            <v>Burning Star</v>
          </cell>
          <cell r="C287" t="str">
            <v>PixlBitNick</v>
          </cell>
          <cell r="D287">
            <v>11</v>
          </cell>
          <cell r="E287" t="str">
            <v>Expert</v>
          </cell>
          <cell r="F287" t="str">
            <v>Kaizo</v>
          </cell>
          <cell r="G287">
            <v>45062</v>
          </cell>
          <cell r="H287" t="str">
            <v>33860</v>
          </cell>
          <cell r="I287" t="str">
            <v>https://www.smwcentral.net/?a=details&amp;id=33860&amp;p=section</v>
          </cell>
          <cell r="J287" t="str">
            <v>https://dl.smwcentral.net/33860/burningstar1.3.zip</v>
          </cell>
        </row>
        <row r="288">
          <cell r="A288" t="str">
            <v>Burning Star 2 Deluxe</v>
          </cell>
          <cell r="B288" t="str">
            <v>Burning Star 2 Deluxe</v>
          </cell>
          <cell r="C288" t="str">
            <v>PixlBitNick</v>
          </cell>
          <cell r="D288">
            <v>16</v>
          </cell>
          <cell r="E288" t="str">
            <v>Master</v>
          </cell>
          <cell r="F288" t="str">
            <v>Kaizo</v>
          </cell>
          <cell r="G288">
            <v>45539</v>
          </cell>
          <cell r="H288" t="str">
            <v>38340</v>
          </cell>
          <cell r="I288" t="str">
            <v>https://www.smwcentral.net/?a=details&amp;id=38340&amp;p=section</v>
          </cell>
          <cell r="J288" t="str">
            <v>https://dl.smwcentral.net/38340/BurningStar2Deluxe.zip</v>
          </cell>
        </row>
        <row r="289">
          <cell r="A289" t="str">
            <v>Burrito Rings</v>
          </cell>
          <cell r="B289" t="str">
            <v>Burrito Rings</v>
          </cell>
          <cell r="C289" t="str">
            <v>Sammmoo</v>
          </cell>
          <cell r="D289">
            <v>10</v>
          </cell>
          <cell r="E289" t="str">
            <v>Expert</v>
          </cell>
          <cell r="F289" t="str">
            <v>Standard</v>
          </cell>
          <cell r="G289">
            <v>44143</v>
          </cell>
          <cell r="H289" t="str">
            <v>25065</v>
          </cell>
          <cell r="I289" t="str">
            <v>https://www.smwcentral.net/?a=details&amp;id=25065&amp;p=section</v>
          </cell>
          <cell r="J289" t="str">
            <v>https://dl.smwcentral.net/25065/Burrito%20Rings.zip</v>
          </cell>
        </row>
        <row r="290">
          <cell r="A290" t="str">
            <v>BUTT GRAVY</v>
          </cell>
          <cell r="B290" t="str">
            <v>BUTT GRAVY</v>
          </cell>
          <cell r="C290" t="str">
            <v>xMANGRAVYx</v>
          </cell>
          <cell r="D290">
            <v>1</v>
          </cell>
          <cell r="E290" t="str">
            <v>Advanced</v>
          </cell>
          <cell r="F290" t="str">
            <v>Kaizo</v>
          </cell>
          <cell r="G290">
            <v>45767</v>
          </cell>
          <cell r="H290" t="str">
            <v>39760</v>
          </cell>
          <cell r="I290" t="str">
            <v>https://www.smwcentral.net/?a=details&amp;id=39760&amp;p=section</v>
          </cell>
          <cell r="J290" t="str">
            <v>https://dl.smwcentral.net/39760/BUTT%20GRAVY.zip</v>
          </cell>
        </row>
        <row r="291">
          <cell r="A291" t="str">
            <v>Buzzed</v>
          </cell>
          <cell r="B291" t="str">
            <v>Buzzed</v>
          </cell>
          <cell r="C291" t="str">
            <v>bald_ridge</v>
          </cell>
          <cell r="D291">
            <v>10</v>
          </cell>
          <cell r="E291" t="str">
            <v>Advanced</v>
          </cell>
          <cell r="F291" t="str">
            <v>Kaizo</v>
          </cell>
          <cell r="G291">
            <v>45833</v>
          </cell>
          <cell r="H291" t="str">
            <v>40001</v>
          </cell>
          <cell r="I291" t="str">
            <v>https://www.smwcentral.net/?a=details&amp;id=40001&amp;p=section</v>
          </cell>
          <cell r="J291" t="str">
            <v>https://dl.smwcentral.net/40001/BUZZED.zip</v>
          </cell>
        </row>
        <row r="292">
          <cell r="A292" t="str">
            <v>Buzzy's World Tour</v>
          </cell>
          <cell r="B292" t="str">
            <v>Buzzy's World Tour</v>
          </cell>
          <cell r="C292" t="str">
            <v>Stivi</v>
          </cell>
          <cell r="D292">
            <v>6</v>
          </cell>
          <cell r="E292" t="str">
            <v>Intermediate</v>
          </cell>
          <cell r="F292" t="str">
            <v>Standard</v>
          </cell>
          <cell r="G292">
            <v>43651</v>
          </cell>
          <cell r="H292" t="str">
            <v>20379</v>
          </cell>
          <cell r="I292" t="str">
            <v>https://www.smwcentral.net/?a=details&amp;id=20379&amp;p=section</v>
          </cell>
          <cell r="J292" t="str">
            <v>https://dl.smwcentral.net/20379/Buzzy%27s%20World%20Tour%20%28DISCONTINUED%29.zip</v>
          </cell>
        </row>
        <row r="293">
          <cell r="A293" t="str">
            <v>By The Harvest Moon</v>
          </cell>
          <cell r="B293" t="str">
            <v>By The Harvest Moon</v>
          </cell>
          <cell r="C293" t="str">
            <v>levelengine</v>
          </cell>
          <cell r="D293">
            <v>5</v>
          </cell>
          <cell r="E293" t="str">
            <v>Intermediate</v>
          </cell>
          <cell r="F293" t="str">
            <v>Standard</v>
          </cell>
          <cell r="G293">
            <v>41900</v>
          </cell>
          <cell r="H293" t="str">
            <v>9267</v>
          </cell>
          <cell r="I293" t="str">
            <v>https://www.smwcentral.net/?a=details&amp;id=9267&amp;p=section</v>
          </cell>
          <cell r="J293" t="str">
            <v>https://dl.smwcentral.net/9267/By%20The%20Harvest%20Moon%202nd%20Edition.zip</v>
          </cell>
        </row>
        <row r="294">
          <cell r="A294" t="str">
            <v>Cacaphonic Chrysalis</v>
          </cell>
          <cell r="B294" t="str">
            <v>Cacaphonic Chrysalis</v>
          </cell>
          <cell r="C294" t="str">
            <v>Hwailaluta</v>
          </cell>
          <cell r="D294">
            <v>1</v>
          </cell>
          <cell r="E294" t="str">
            <v>Master</v>
          </cell>
          <cell r="F294" t="str">
            <v>Kaizo</v>
          </cell>
          <cell r="G294">
            <v>44798</v>
          </cell>
          <cell r="H294" t="str">
            <v>31877</v>
          </cell>
          <cell r="I294" t="str">
            <v>https://www.smwcentral.net/?a=details&amp;id=31877&amp;p=section</v>
          </cell>
          <cell r="J294" t="str">
            <v>https://dl.smwcentral.net/31877/CacaphonicChrysalis.zip</v>
          </cell>
        </row>
        <row r="295">
          <cell r="A295" t="str">
            <v>Cadaverous Chains</v>
          </cell>
          <cell r="B295" t="str">
            <v>Cadaverous Chains</v>
          </cell>
          <cell r="C295" t="str">
            <v>ft029</v>
          </cell>
          <cell r="D295">
            <v>1</v>
          </cell>
          <cell r="E295" t="str">
            <v>Expert</v>
          </cell>
          <cell r="F295" t="str">
            <v>Kaizo</v>
          </cell>
          <cell r="G295">
            <v>42674</v>
          </cell>
          <cell r="H295" t="str">
            <v>14605</v>
          </cell>
          <cell r="I295" t="str">
            <v>https://www.smwcentral.net/?a=details&amp;id=14605&amp;p=section</v>
          </cell>
          <cell r="J295" t="str">
            <v>https://dl.smwcentral.net/14605/Cadaverous%20Chains.zip</v>
          </cell>
        </row>
        <row r="296">
          <cell r="A296" t="str">
            <v>Can't Stop Won't Stop</v>
          </cell>
          <cell r="B296" t="str">
            <v>Can't Stop Won't Stop</v>
          </cell>
          <cell r="C296" t="str">
            <v>brown_tower</v>
          </cell>
          <cell r="D296">
            <v>6</v>
          </cell>
          <cell r="E296" t="str">
            <v>Expert</v>
          </cell>
          <cell r="F296" t="str">
            <v>Kaizo</v>
          </cell>
          <cell r="G296">
            <v>46080</v>
          </cell>
          <cell r="H296" t="str">
            <v>41726</v>
          </cell>
          <cell r="I296" t="str">
            <v>https://www.smwcentral.net/?a=details&amp;id=41726&amp;p=section</v>
          </cell>
          <cell r="J296" t="str">
            <v>https://dl.smwcentral.net/41726/CantStopWontStop_v1.1.zip</v>
          </cell>
        </row>
        <row r="297">
          <cell r="A297" t="str">
            <v>Candy Shop</v>
          </cell>
          <cell r="B297" t="str">
            <v>Candy Shop</v>
          </cell>
          <cell r="C297" t="str">
            <v>Saphros</v>
          </cell>
          <cell r="D297">
            <v>12</v>
          </cell>
          <cell r="E297" t="str">
            <v>Advanced</v>
          </cell>
          <cell r="F297" t="str">
            <v>Kaizo</v>
          </cell>
          <cell r="G297">
            <v>45540</v>
          </cell>
          <cell r="H297" t="str">
            <v>38387</v>
          </cell>
          <cell r="I297" t="str">
            <v>https://www.smwcentral.net/?a=details&amp;id=38387&amp;p=section</v>
          </cell>
          <cell r="J297" t="str">
            <v>https://dl.smwcentral.net/38387/Candy_Shop.zip</v>
          </cell>
        </row>
        <row r="298">
          <cell r="A298" t="str">
            <v>Candy Shop - Light Edition</v>
          </cell>
          <cell r="B298" t="str">
            <v>Candy Shop - Light Edition</v>
          </cell>
          <cell r="C298" t="str">
            <v>Saphros</v>
          </cell>
          <cell r="D298">
            <v>10</v>
          </cell>
          <cell r="E298" t="str">
            <v>Intermediate</v>
          </cell>
          <cell r="F298" t="str">
            <v>Kaizo</v>
          </cell>
          <cell r="G298">
            <v>45717</v>
          </cell>
          <cell r="H298" t="str">
            <v>39487</v>
          </cell>
          <cell r="I298" t="str">
            <v>https://www.smwcentral.net/?a=details&amp;id=39487&amp;p=section</v>
          </cell>
          <cell r="J298" t="str">
            <v>https://dl.smwcentral.net/39487/Candyshop%20-%20Light%20Edition%201.1.zip</v>
          </cell>
        </row>
        <row r="299">
          <cell r="A299" t="str">
            <v>Cangrejo Kaizo Land</v>
          </cell>
          <cell r="B299" t="str">
            <v>Cangrejo Kaizo Land</v>
          </cell>
          <cell r="C299" t="str">
            <v>Hiroki</v>
          </cell>
          <cell r="D299">
            <v>17</v>
          </cell>
          <cell r="E299" t="str">
            <v>Advanced</v>
          </cell>
          <cell r="F299" t="str">
            <v>Kaizo</v>
          </cell>
          <cell r="G299">
            <v>44285</v>
          </cell>
          <cell r="H299" t="str">
            <v>26500</v>
          </cell>
          <cell r="I299" t="str">
            <v>https://www.smwcentral.net/?a=details&amp;id=26500&amp;p=section</v>
          </cell>
          <cell r="J299" t="str">
            <v>https://dl.smwcentral.net/26500/Cangrejo%20Kaizo%20Land%20v1.1.zip</v>
          </cell>
        </row>
        <row r="300">
          <cell r="A300" t="str">
            <v>Cape is Good</v>
          </cell>
          <cell r="B300" t="str">
            <v>Cape is Good</v>
          </cell>
          <cell r="C300" t="str">
            <v>Insanit</v>
          </cell>
          <cell r="D300">
            <v>7</v>
          </cell>
          <cell r="E300" t="str">
            <v>Expert</v>
          </cell>
          <cell r="F300" t="str">
            <v>Kaizo</v>
          </cell>
          <cell r="G300">
            <v>45778</v>
          </cell>
          <cell r="H300" t="str">
            <v>39796</v>
          </cell>
          <cell r="I300" t="str">
            <v>https://www.smwcentral.net/?a=details&amp;id=39796&amp;p=section</v>
          </cell>
          <cell r="J300" t="str">
            <v>https://dl.smwcentral.net/39796/Cape%20is%20Good%201.3.zip</v>
          </cell>
        </row>
        <row r="301">
          <cell r="A301" t="str">
            <v>Capirotada Land</v>
          </cell>
          <cell r="B301" t="str">
            <v>Capirotada Land</v>
          </cell>
          <cell r="C301" t="str">
            <v>Mane Bros.</v>
          </cell>
          <cell r="D301">
            <v>10</v>
          </cell>
          <cell r="E301" t="str">
            <v>Expert</v>
          </cell>
          <cell r="F301" t="str">
            <v>Kaizo</v>
          </cell>
          <cell r="G301">
            <v>44827</v>
          </cell>
          <cell r="H301" t="str">
            <v>32084</v>
          </cell>
          <cell r="I301" t="str">
            <v>https://www.smwcentral.net/?a=details&amp;id=32084&amp;p=section</v>
          </cell>
          <cell r="J301" t="str">
            <v>https://dl.smwcentral.net/32084/Capirotada%20Land%202.1.zip</v>
          </cell>
        </row>
        <row r="302">
          <cell r="A302" t="str">
            <v>Capirotada Land 2: Meta Knight's Intervention</v>
          </cell>
          <cell r="B302" t="str">
            <v>Capirotada Land 2: Meta Knight's Intervention</v>
          </cell>
          <cell r="C302" t="str">
            <v>Mane Bros.</v>
          </cell>
          <cell r="D302">
            <v>18</v>
          </cell>
          <cell r="E302" t="str">
            <v>Master</v>
          </cell>
          <cell r="F302" t="str">
            <v>Kaizo</v>
          </cell>
          <cell r="G302">
            <v>45054</v>
          </cell>
          <cell r="H302" t="str">
            <v>33805</v>
          </cell>
          <cell r="I302" t="str">
            <v>https://www.smwcentral.net/?a=details&amp;id=33805&amp;p=section</v>
          </cell>
          <cell r="J302" t="str">
            <v>https://dl.smwcentral.net/33805/Capirotada%20Land%202.zip</v>
          </cell>
        </row>
        <row r="303">
          <cell r="A303" t="str">
            <v>Captain Barry's Treasure</v>
          </cell>
          <cell r="B303" t="str">
            <v>Captain Barry's Treasure</v>
          </cell>
          <cell r="C303" t="str">
            <v>MORC</v>
          </cell>
          <cell r="D303">
            <v>8</v>
          </cell>
          <cell r="E303" t="str">
            <v>Casual</v>
          </cell>
          <cell r="F303" t="str">
            <v>Standard</v>
          </cell>
          <cell r="G303">
            <v>43700</v>
          </cell>
          <cell r="H303" t="str">
            <v>21010</v>
          </cell>
          <cell r="I303" t="str">
            <v>https://www.smwcentral.net/?a=details&amp;id=21010&amp;p=section</v>
          </cell>
          <cell r="J303" t="str">
            <v>https://dl.smwcentral.net/21010/Captain%20Barry%27s%20Treasure%20V1.2.zip</v>
          </cell>
        </row>
        <row r="304">
          <cell r="A304" t="str">
            <v>Captain Toad treasure tracker for snes</v>
          </cell>
          <cell r="B304" t="str">
            <v>Captain Toad treasure tracker for snes</v>
          </cell>
          <cell r="C304" t="str">
            <v>zacmario</v>
          </cell>
          <cell r="D304">
            <v>24</v>
          </cell>
          <cell r="E304" t="str">
            <v>Intermediate</v>
          </cell>
          <cell r="F304" t="str">
            <v>Standard</v>
          </cell>
          <cell r="G304">
            <v>42719</v>
          </cell>
          <cell r="H304" t="str">
            <v>14736</v>
          </cell>
          <cell r="I304" t="str">
            <v>https://www.smwcentral.net/?a=details&amp;id=14736&amp;p=section</v>
          </cell>
          <cell r="J304" t="str">
            <v>https://dl.smwcentral.net/14736/Capttoad1.1.zip</v>
          </cell>
        </row>
        <row r="305">
          <cell r="A305" t="str">
            <v>Captain Toad Treasure Tracker for SNES II</v>
          </cell>
          <cell r="B305" t="str">
            <v>Captain Toad Treasure Tracker for SNES II</v>
          </cell>
          <cell r="C305" t="str">
            <v>zacmario</v>
          </cell>
          <cell r="D305">
            <v>25</v>
          </cell>
          <cell r="E305" t="str">
            <v>Casual</v>
          </cell>
          <cell r="F305" t="str">
            <v>Standard</v>
          </cell>
          <cell r="G305">
            <v>43275</v>
          </cell>
          <cell r="H305" t="str">
            <v>17594</v>
          </cell>
          <cell r="I305" t="str">
            <v>https://www.smwcentral.net/?a=details&amp;id=17594&amp;p=section</v>
          </cell>
          <cell r="J305" t="str">
            <v>https://dl.smwcentral.net/17594/Captain%20Toad%20IIv1.2.zip</v>
          </cell>
        </row>
        <row r="306">
          <cell r="A306" t="str">
            <v>Capture That Cake!</v>
          </cell>
          <cell r="B306" t="str">
            <v>Capture That Cake!</v>
          </cell>
          <cell r="C306" t="str">
            <v>Zildjian</v>
          </cell>
          <cell r="D306">
            <v>6</v>
          </cell>
          <cell r="E306" t="str">
            <v>Casual</v>
          </cell>
          <cell r="F306" t="str">
            <v>Standard</v>
          </cell>
          <cell r="G306">
            <v>41675</v>
          </cell>
          <cell r="H306" t="str">
            <v>6264</v>
          </cell>
          <cell r="I306" t="str">
            <v>https://www.smwcentral.net/?a=details&amp;id=6264&amp;p=section</v>
          </cell>
          <cell r="J306" t="str">
            <v>https://dl.smwcentral.net/6264/ctc%21.zip</v>
          </cell>
        </row>
        <row r="307">
          <cell r="A307" t="str">
            <v>Carl vs Juz: Carl's Toilet</v>
          </cell>
          <cell r="B307" t="str">
            <v>Carl vs Juz: Carl's Toilet</v>
          </cell>
          <cell r="C307" t="str">
            <v>juzcook</v>
          </cell>
          <cell r="D307">
            <v>1</v>
          </cell>
          <cell r="E307" t="str">
            <v>Intermediate</v>
          </cell>
          <cell r="F307" t="str">
            <v>Kaizo</v>
          </cell>
          <cell r="G307">
            <v>43946</v>
          </cell>
          <cell r="H307" t="str">
            <v>22475</v>
          </cell>
          <cell r="I307" t="str">
            <v>https://www.smwcentral.net/?a=details&amp;id=22475&amp;p=section</v>
          </cell>
          <cell r="J307" t="str">
            <v>https://dl.smwcentral.net/22475/Carls_Toilet.zip</v>
          </cell>
        </row>
        <row r="308">
          <cell r="A308" t="str">
            <v>Carl vs Juz: Juzt Desserts</v>
          </cell>
          <cell r="B308" t="str">
            <v>Carl vs Juz: Juzt Desserts</v>
          </cell>
          <cell r="C308" t="str">
            <v>juzcook</v>
          </cell>
          <cell r="D308">
            <v>1</v>
          </cell>
          <cell r="E308" t="str">
            <v>Expert</v>
          </cell>
          <cell r="F308" t="str">
            <v>Standard, Kaizo</v>
          </cell>
          <cell r="G308">
            <v>43972</v>
          </cell>
          <cell r="H308" t="str">
            <v>22856</v>
          </cell>
          <cell r="I308" t="str">
            <v>https://www.smwcentral.net/?a=details&amp;id=22856&amp;p=section</v>
          </cell>
          <cell r="J308" t="str">
            <v>https://dl.smwcentral.net/22856/JuztDesserts.zip</v>
          </cell>
        </row>
        <row r="309">
          <cell r="A309" t="str">
            <v>Cartuchito World</v>
          </cell>
          <cell r="B309" t="str">
            <v>Cartuchito World</v>
          </cell>
          <cell r="C309" t="str">
            <v>MaxwelHacks</v>
          </cell>
          <cell r="D309">
            <v>26</v>
          </cell>
          <cell r="E309" t="str">
            <v>Casual</v>
          </cell>
          <cell r="F309" t="str">
            <v>Standard</v>
          </cell>
          <cell r="G309">
            <v>42615</v>
          </cell>
          <cell r="H309" t="str">
            <v>14348</v>
          </cell>
          <cell r="I309" t="str">
            <v>https://www.smwcentral.net/?a=details&amp;id=14348&amp;p=section</v>
          </cell>
          <cell r="J309" t="str">
            <v>https://dl.smwcentral.net/14348/Cartuchito%20World.zip</v>
          </cell>
        </row>
        <row r="310">
          <cell r="A310" t="str">
            <v>Casio Mario World</v>
          </cell>
          <cell r="B310" t="str">
            <v>Casio Mario World</v>
          </cell>
          <cell r="C310" t="str">
            <v>Wyatt</v>
          </cell>
          <cell r="D310">
            <v>9</v>
          </cell>
          <cell r="E310" t="str">
            <v>Grandmaster</v>
          </cell>
          <cell r="F310" t="str">
            <v>Kaizo</v>
          </cell>
          <cell r="G310">
            <v>44135</v>
          </cell>
          <cell r="H310" t="str">
            <v>24990</v>
          </cell>
          <cell r="I310" t="str">
            <v>https://www.smwcentral.net/?a=details&amp;id=24990&amp;p=section</v>
          </cell>
          <cell r="J310" t="str">
            <v>https://dl.smwcentral.net/24990/Casio%20Mario%20World.zip</v>
          </cell>
        </row>
        <row r="311">
          <cell r="A311" t="str">
            <v>Castle of Terror 3</v>
          </cell>
          <cell r="B311" t="str">
            <v>Castle of Terror 3</v>
          </cell>
          <cell r="C311" t="str">
            <v>IgorS777</v>
          </cell>
          <cell r="D311">
            <v>1</v>
          </cell>
          <cell r="E311" t="str">
            <v>Advanced</v>
          </cell>
          <cell r="F311" t="str">
            <v>Kaizo, Tool-Assisted</v>
          </cell>
          <cell r="G311">
            <v>42897</v>
          </cell>
          <cell r="H311" t="str">
            <v>15634</v>
          </cell>
          <cell r="I311" t="str">
            <v>https://www.smwcentral.net/?a=details&amp;id=15634&amp;p=section</v>
          </cell>
          <cell r="J311" t="str">
            <v>https://dl.smwcentral.net/15634/CastleOfTerror3.zip</v>
          </cell>
        </row>
        <row r="312">
          <cell r="A312" t="str">
            <v>Castle of Time</v>
          </cell>
          <cell r="B312" t="str">
            <v>Castle of Time</v>
          </cell>
          <cell r="C312" t="str">
            <v>Yoshiro</v>
          </cell>
          <cell r="D312">
            <v>5</v>
          </cell>
          <cell r="E312" t="str">
            <v>Casual</v>
          </cell>
          <cell r="F312" t="str">
            <v>Standard</v>
          </cell>
          <cell r="G312">
            <v>42276</v>
          </cell>
          <cell r="H312" t="str">
            <v>10063</v>
          </cell>
          <cell r="I312" t="str">
            <v>https://www.smwcentral.net/?a=details&amp;id=10063&amp;p=section</v>
          </cell>
          <cell r="J312" t="str">
            <v>https://dl.smwcentral.net/10063/Cot.zip</v>
          </cell>
        </row>
        <row r="313">
          <cell r="A313" t="str">
            <v>Castlemania</v>
          </cell>
          <cell r="B313" t="str">
            <v>Castlemania</v>
          </cell>
          <cell r="C313" t="str">
            <v>xMANGRAVYx</v>
          </cell>
          <cell r="D313">
            <v>6</v>
          </cell>
          <cell r="E313" t="str">
            <v>Intermediate</v>
          </cell>
          <cell r="F313" t="str">
            <v>Standard</v>
          </cell>
          <cell r="G313">
            <v>46142</v>
          </cell>
          <cell r="H313" t="str">
            <v>42285</v>
          </cell>
          <cell r="I313" t="str">
            <v>https://www.smwcentral.net/?a=details&amp;id=42285&amp;p=section</v>
          </cell>
          <cell r="J313" t="str">
            <v>https://dl.smwcentral.net/42285/Castlemania%20v1.1.zip</v>
          </cell>
        </row>
        <row r="314">
          <cell r="A314" t="str">
            <v>Castlemania - REVAMPED</v>
          </cell>
          <cell r="B314" t="str">
            <v>Castlemania - REVAMPED</v>
          </cell>
          <cell r="C314" t="str">
            <v>xMANGRAVYx</v>
          </cell>
          <cell r="D314">
            <v>6</v>
          </cell>
          <cell r="E314" t="str">
            <v>Intermediate</v>
          </cell>
          <cell r="F314" t="str">
            <v>Standard</v>
          </cell>
          <cell r="G314">
            <v>46198</v>
          </cell>
          <cell r="H314" t="str">
            <v>42459</v>
          </cell>
          <cell r="I314" t="str">
            <v>https://www.smwcentral.net/?a=details&amp;id=42459&amp;p=section</v>
          </cell>
          <cell r="J314" t="str">
            <v>https://dl.smwcentral.net/42459/Castlemania%20-%20REVAMPED.zip</v>
          </cell>
        </row>
        <row r="315">
          <cell r="A315" t="str">
            <v>Castlemania II</v>
          </cell>
          <cell r="B315" t="str">
            <v>Castlemania II</v>
          </cell>
          <cell r="C315" t="str">
            <v>xMANGRAVYx</v>
          </cell>
          <cell r="D315">
            <v>6</v>
          </cell>
          <cell r="E315" t="str">
            <v>Advanced</v>
          </cell>
          <cell r="F315" t="str">
            <v>Standard</v>
          </cell>
          <cell r="G315">
            <v>46164</v>
          </cell>
          <cell r="H315" t="str">
            <v>42393</v>
          </cell>
          <cell r="I315" t="str">
            <v>https://www.smwcentral.net/?a=details&amp;id=42393&amp;p=section</v>
          </cell>
          <cell r="J315" t="str">
            <v>https://dl.smwcentral.net/42393/Castlemania%20II%20v1.1.zip</v>
          </cell>
        </row>
        <row r="316">
          <cell r="A316" t="str">
            <v>Castlemania II - REVAMPED</v>
          </cell>
          <cell r="B316" t="str">
            <v>Castlemania II - REVAMPED</v>
          </cell>
          <cell r="C316" t="str">
            <v>xMANGRAVYx</v>
          </cell>
          <cell r="D316">
            <v>6</v>
          </cell>
          <cell r="E316" t="str">
            <v>Advanced</v>
          </cell>
          <cell r="F316" t="str">
            <v>Standard</v>
          </cell>
          <cell r="G316">
            <v>46202</v>
          </cell>
          <cell r="H316" t="str">
            <v>42602</v>
          </cell>
          <cell r="I316" t="str">
            <v>https://www.smwcentral.net/?a=details&amp;id=42602&amp;p=section</v>
          </cell>
          <cell r="J316" t="str">
            <v>https://dl.smwcentral.net/42602/Castlemania%20II%20-%20REVAMPED.zip</v>
          </cell>
        </row>
        <row r="317">
          <cell r="A317" t="str">
            <v>CATACLYSM</v>
          </cell>
          <cell r="B317" t="str">
            <v>CATACLYSM</v>
          </cell>
          <cell r="C317" t="str">
            <v>xHF01x</v>
          </cell>
          <cell r="D317">
            <v>1</v>
          </cell>
          <cell r="E317" t="str">
            <v>Grandmaster</v>
          </cell>
          <cell r="F317" t="str">
            <v>Tool-Assisted, Pit</v>
          </cell>
          <cell r="G317">
            <v>43962</v>
          </cell>
          <cell r="H317" t="str">
            <v>21933</v>
          </cell>
          <cell r="I317" t="str">
            <v>https://www.smwcentral.net/?a=details&amp;id=21933&amp;p=section</v>
          </cell>
          <cell r="J317" t="str">
            <v>https://dl.smwcentral.net/21933/CATACLYSM%20v1.2.zip</v>
          </cell>
        </row>
        <row r="318">
          <cell r="A318" t="str">
            <v>Cave Escape</v>
          </cell>
          <cell r="B318" t="str">
            <v>Cave Escape</v>
          </cell>
          <cell r="C318" t="str">
            <v>MarioFan22</v>
          </cell>
          <cell r="D318">
            <v>2</v>
          </cell>
          <cell r="E318" t="str">
            <v>Casual</v>
          </cell>
          <cell r="F318" t="str">
            <v>Standard</v>
          </cell>
          <cell r="G318">
            <v>41999</v>
          </cell>
          <cell r="H318" t="str">
            <v>9704</v>
          </cell>
          <cell r="I318" t="str">
            <v>https://www.smwcentral.net/?a=details&amp;id=9704&amp;p=section</v>
          </cell>
          <cell r="J318" t="str">
            <v>https://dl.smwcentral.net/9704/CaveEscape1.5.zip</v>
          </cell>
        </row>
        <row r="319">
          <cell r="A319" t="str">
            <v>Caveat Emptor 2</v>
          </cell>
          <cell r="B319" t="str">
            <v>Caveat Emptor 2</v>
          </cell>
          <cell r="C319" t="str">
            <v>ElohssaYtrid</v>
          </cell>
          <cell r="D319">
            <v>11</v>
          </cell>
          <cell r="E319" t="str">
            <v>Expert</v>
          </cell>
          <cell r="F319" t="str">
            <v>Kaizo</v>
          </cell>
          <cell r="G319">
            <v>44237</v>
          </cell>
          <cell r="H319" t="str">
            <v>25656</v>
          </cell>
          <cell r="I319" t="str">
            <v>https://www.smwcentral.net/?a=details&amp;id=25656&amp;p=section</v>
          </cell>
          <cell r="J319" t="str">
            <v>https://dl.smwcentral.net/25656/CaveatEmptor2v1.11.zip</v>
          </cell>
        </row>
        <row r="320">
          <cell r="A320" t="str">
            <v>Cazeaje World</v>
          </cell>
          <cell r="B320" t="str">
            <v>Cazeaje World</v>
          </cell>
          <cell r="C320" t="str">
            <v>Deivid Borba</v>
          </cell>
          <cell r="D320">
            <v>6</v>
          </cell>
          <cell r="E320" t="str">
            <v>Expert</v>
          </cell>
          <cell r="F320" t="str">
            <v>Kaizo</v>
          </cell>
          <cell r="G320">
            <v>44362</v>
          </cell>
          <cell r="H320" t="str">
            <v>27260</v>
          </cell>
          <cell r="I320" t="str">
            <v>https://www.smwcentral.net/?a=details&amp;id=27260&amp;p=section</v>
          </cell>
          <cell r="J320" t="str">
            <v>https://dl.smwcentral.net/27260/Cazeaje%20World.zip</v>
          </cell>
        </row>
        <row r="321">
          <cell r="A321" t="str">
            <v>Celery</v>
          </cell>
          <cell r="B321" t="str">
            <v>Celery</v>
          </cell>
          <cell r="C321" t="str">
            <v>Jordan</v>
          </cell>
          <cell r="D321">
            <v>20</v>
          </cell>
          <cell r="E321" t="str">
            <v>Casual</v>
          </cell>
          <cell r="F321" t="str">
            <v>Kaizo</v>
          </cell>
          <cell r="G321">
            <v>46006</v>
          </cell>
          <cell r="H321" t="str">
            <v>41254</v>
          </cell>
          <cell r="I321" t="str">
            <v>https://www.smwcentral.net/?a=details&amp;id=41254&amp;p=section</v>
          </cell>
          <cell r="J321" t="str">
            <v>https://dl.smwcentral.net/41254/Celery%201.1.zip</v>
          </cell>
        </row>
        <row r="322">
          <cell r="A322" t="str">
            <v>Celeste.smc</v>
          </cell>
          <cell r="B322" t="str">
            <v>Celeste.smc</v>
          </cell>
          <cell r="C322" t="str">
            <v>MarkAlarm</v>
          </cell>
          <cell r="D322">
            <v>9</v>
          </cell>
          <cell r="E322" t="str">
            <v>Expert</v>
          </cell>
          <cell r="F322" t="str">
            <v>Kaizo</v>
          </cell>
          <cell r="G322">
            <v>44594</v>
          </cell>
          <cell r="H322" t="str">
            <v>29613</v>
          </cell>
          <cell r="I322" t="str">
            <v>https://www.smwcentral.net/?a=details&amp;id=29613&amp;p=section</v>
          </cell>
          <cell r="J322" t="str">
            <v>https://dl.smwcentral.net/29613/Celeste.zip</v>
          </cell>
        </row>
        <row r="323">
          <cell r="A323" t="str">
            <v>Chain Reaction</v>
          </cell>
          <cell r="B323" t="str">
            <v>Chain Reaction</v>
          </cell>
          <cell r="C323" t="str">
            <v>Sweetdude</v>
          </cell>
          <cell r="D323">
            <v>15</v>
          </cell>
          <cell r="E323" t="str">
            <v>Expert</v>
          </cell>
          <cell r="F323" t="str">
            <v>Kaizo</v>
          </cell>
          <cell r="G323">
            <v>43452</v>
          </cell>
          <cell r="H323" t="str">
            <v>18669</v>
          </cell>
          <cell r="I323" t="str">
            <v>https://www.smwcentral.net/?a=details&amp;id=18669&amp;p=section</v>
          </cell>
          <cell r="J323" t="str">
            <v>https://dl.smwcentral.net/18669/Chain%20Reaction.zip</v>
          </cell>
        </row>
        <row r="324">
          <cell r="A324" t="str">
            <v>Chain Reaction 2</v>
          </cell>
          <cell r="B324" t="str">
            <v>Chain Reaction 2</v>
          </cell>
          <cell r="C324" t="str">
            <v>Sweetdude</v>
          </cell>
          <cell r="D324">
            <v>0</v>
          </cell>
          <cell r="E324" t="str">
            <v>Expert</v>
          </cell>
          <cell r="F324" t="str">
            <v>Kaizo</v>
          </cell>
          <cell r="G324">
            <v>45902</v>
          </cell>
          <cell r="H324" t="str">
            <v>40504</v>
          </cell>
          <cell r="I324" t="str">
            <v>https://www.smwcentral.net/?a=details&amp;id=40504&amp;p=section</v>
          </cell>
          <cell r="J324" t="str">
            <v>https://dl.smwcentral.net/40504/CR2.zip</v>
          </cell>
        </row>
        <row r="325">
          <cell r="A325" t="str">
            <v>Chaos Chronicles</v>
          </cell>
          <cell r="B325" t="str">
            <v>Chaos Chronicles</v>
          </cell>
          <cell r="C325" t="str">
            <v>PhoenixTN</v>
          </cell>
          <cell r="D325">
            <v>11</v>
          </cell>
          <cell r="E325" t="str">
            <v>Casual</v>
          </cell>
          <cell r="F325" t="str">
            <v>Standard</v>
          </cell>
          <cell r="G325">
            <v>42215</v>
          </cell>
          <cell r="H325" t="str">
            <v>9713</v>
          </cell>
          <cell r="I325" t="str">
            <v>https://www.smwcentral.net/?a=details&amp;id=9713&amp;p=section</v>
          </cell>
          <cell r="J325" t="str">
            <v>https://dl.smwcentral.net/9713/Chaos%20Chronicles%20Demo%201%20%28Fixed%29.zip</v>
          </cell>
        </row>
        <row r="326">
          <cell r="A326" t="str">
            <v>Chaos CompleXX</v>
          </cell>
          <cell r="B326" t="str">
            <v>Chaos CompleXX</v>
          </cell>
          <cell r="C326" t="str">
            <v>FPI</v>
          </cell>
          <cell r="D326">
            <v>26</v>
          </cell>
          <cell r="E326" t="str">
            <v>Intermediate</v>
          </cell>
          <cell r="F326" t="str">
            <v>Standard</v>
          </cell>
          <cell r="G326">
            <v>42037</v>
          </cell>
          <cell r="H326" t="str">
            <v>9680</v>
          </cell>
          <cell r="I326" t="str">
            <v>https://www.smwcentral.net/?a=details&amp;id=9680&amp;p=section</v>
          </cell>
          <cell r="J326" t="str">
            <v>https://dl.smwcentral.net/9680/chaoscomplexx.zip</v>
          </cell>
        </row>
        <row r="327">
          <cell r="A327" t="str">
            <v>Chaotic Realm</v>
          </cell>
          <cell r="B327" t="str">
            <v>Chaotic Realm</v>
          </cell>
          <cell r="C327" t="str">
            <v>anonimato</v>
          </cell>
          <cell r="D327">
            <v>10</v>
          </cell>
          <cell r="E327" t="str">
            <v>Intermediate</v>
          </cell>
          <cell r="F327" t="str">
            <v>Standard</v>
          </cell>
          <cell r="G327">
            <v>45314</v>
          </cell>
          <cell r="H327" t="str">
            <v>35560</v>
          </cell>
          <cell r="I327" t="str">
            <v>https://www.smwcentral.net/?a=details&amp;id=35560&amp;p=section</v>
          </cell>
          <cell r="J327" t="str">
            <v>https://dl.smwcentral.net/35560/Chaotic%20Realm%20V1.22_fixed.zip</v>
          </cell>
        </row>
        <row r="328">
          <cell r="A328" t="str">
            <v>Cheap &amp; Nasty</v>
          </cell>
          <cell r="B328" t="str">
            <v>Cheap &amp; Nasty</v>
          </cell>
          <cell r="C328" t="str">
            <v>DashGamer</v>
          </cell>
          <cell r="D328">
            <v>4</v>
          </cell>
          <cell r="E328" t="str">
            <v>Expert</v>
          </cell>
          <cell r="F328" t="str">
            <v>Kaizo</v>
          </cell>
          <cell r="G328">
            <v>45111</v>
          </cell>
          <cell r="H328" t="str">
            <v>34198</v>
          </cell>
          <cell r="I328" t="str">
            <v>https://www.smwcentral.net/?a=details&amp;id=34198&amp;p=section</v>
          </cell>
          <cell r="J328" t="str">
            <v>https://dl.smwcentral.net/34198/CheapNasty.zip</v>
          </cell>
        </row>
        <row r="329">
          <cell r="A329" t="str">
            <v>Cheep Cheep Challenge</v>
          </cell>
          <cell r="B329" t="str">
            <v>Cheep Cheep Challenge</v>
          </cell>
          <cell r="C329" t="str">
            <v>zacmario</v>
          </cell>
          <cell r="D329">
            <v>0</v>
          </cell>
          <cell r="E329" t="str">
            <v>Intermediate</v>
          </cell>
          <cell r="F329" t="str">
            <v>Standard</v>
          </cell>
          <cell r="G329">
            <v>42718</v>
          </cell>
          <cell r="H329" t="str">
            <v>14735</v>
          </cell>
          <cell r="I329" t="str">
            <v>https://www.smwcentral.net/?a=details&amp;id=14735&amp;p=section</v>
          </cell>
          <cell r="J329" t="str">
            <v>https://dl.smwcentral.net/14735/Cheepfix.zip</v>
          </cell>
        </row>
        <row r="330">
          <cell r="A330" t="str">
            <v>Cheese Island</v>
          </cell>
          <cell r="B330" t="str">
            <v>Cheese Island</v>
          </cell>
          <cell r="C330" t="str">
            <v>cardboardknoxmonkey</v>
          </cell>
          <cell r="D330">
            <v>8</v>
          </cell>
          <cell r="E330" t="str">
            <v>Newcomer</v>
          </cell>
          <cell r="F330" t="str">
            <v>Standard</v>
          </cell>
          <cell r="G330">
            <v>44614</v>
          </cell>
          <cell r="H330" t="str">
            <v>29819</v>
          </cell>
          <cell r="I330" t="str">
            <v>https://www.smwcentral.net/?a=details&amp;id=29819&amp;p=section</v>
          </cell>
          <cell r="J330" t="str">
            <v>https://dl.smwcentral.net/29819/Cheese%20Island.zip</v>
          </cell>
        </row>
        <row r="331">
          <cell r="A331" t="str">
            <v>CHI</v>
          </cell>
          <cell r="B331" t="str">
            <v>CHI</v>
          </cell>
          <cell r="C331" t="str">
            <v>MorrieTheMagpie</v>
          </cell>
          <cell r="D331">
            <v>11</v>
          </cell>
          <cell r="E331" t="str">
            <v>Advanced</v>
          </cell>
          <cell r="F331" t="str">
            <v>Kaizo</v>
          </cell>
          <cell r="G331">
            <v>44685</v>
          </cell>
          <cell r="H331" t="str">
            <v>30753</v>
          </cell>
          <cell r="I331" t="str">
            <v>https://www.smwcentral.net/?a=details&amp;id=30753&amp;p=section</v>
          </cell>
          <cell r="J331" t="str">
            <v>https://dl.smwcentral.net/30753/CHIV1.1.zip</v>
          </cell>
        </row>
        <row r="332">
          <cell r="A332" t="str">
            <v>Chicanery</v>
          </cell>
          <cell r="B332" t="str">
            <v>Chicanery</v>
          </cell>
          <cell r="C332" t="str">
            <v>Buflen, Nirv</v>
          </cell>
          <cell r="D332">
            <v>17</v>
          </cell>
          <cell r="E332" t="str">
            <v>Expert</v>
          </cell>
          <cell r="F332" t="str">
            <v>Kaizo</v>
          </cell>
          <cell r="G332">
            <v>45040</v>
          </cell>
          <cell r="H332" t="str">
            <v>33810</v>
          </cell>
          <cell r="I332" t="str">
            <v>https://www.smwcentral.net/?a=details&amp;id=33810&amp;p=section</v>
          </cell>
          <cell r="J332" t="str">
            <v>https://dl.smwcentral.net/33810/Chicanery.zip</v>
          </cell>
        </row>
        <row r="333">
          <cell r="A333" t="str">
            <v>Chicanery Beginner Edition</v>
          </cell>
          <cell r="B333" t="str">
            <v>Chicanery Beginner Edition</v>
          </cell>
          <cell r="C333" t="str">
            <v>Buflen</v>
          </cell>
          <cell r="D333">
            <v>23</v>
          </cell>
          <cell r="E333" t="str">
            <v>Intermediate</v>
          </cell>
          <cell r="F333" t="str">
            <v>Kaizo</v>
          </cell>
          <cell r="G333">
            <v>45477</v>
          </cell>
          <cell r="H333" t="str">
            <v>38058</v>
          </cell>
          <cell r="I333" t="str">
            <v>https://www.smwcentral.net/?a=details&amp;id=38058&amp;p=section</v>
          </cell>
          <cell r="J333" t="str">
            <v>https://dl.smwcentral.net/38058/Chicanery%20Beginner%20Edition%201.0.zip</v>
          </cell>
        </row>
        <row r="334">
          <cell r="A334" t="str">
            <v>Chirality</v>
          </cell>
          <cell r="B334" t="str">
            <v>Chirality</v>
          </cell>
          <cell r="C334" t="str">
            <v>LightAligns</v>
          </cell>
          <cell r="D334">
            <v>10</v>
          </cell>
          <cell r="E334" t="str">
            <v>Advanced</v>
          </cell>
          <cell r="F334" t="str">
            <v>Kaizo</v>
          </cell>
          <cell r="G334">
            <v>45613</v>
          </cell>
          <cell r="H334" t="str">
            <v>38787</v>
          </cell>
          <cell r="I334" t="str">
            <v>https://www.smwcentral.net/?a=details&amp;id=38787&amp;p=section</v>
          </cell>
          <cell r="J334" t="str">
            <v>https://dl.smwcentral.net/38787/Chirality.zip</v>
          </cell>
        </row>
        <row r="335">
          <cell r="A335" t="str">
            <v>Choco COLLAB - MaSeHiHa 2</v>
          </cell>
          <cell r="B335" t="str">
            <v>Choco COLLAB - MaSeHiHa 2</v>
          </cell>
          <cell r="C335" t="str">
            <v>neidoodle</v>
          </cell>
          <cell r="D335">
            <v>12</v>
          </cell>
          <cell r="E335" t="str">
            <v>Newcomer</v>
          </cell>
          <cell r="F335" t="str">
            <v>Standard</v>
          </cell>
          <cell r="G335">
            <v>42132</v>
          </cell>
          <cell r="H335" t="str">
            <v>11289</v>
          </cell>
          <cell r="I335" t="str">
            <v>https://www.smwcentral.net/?a=details&amp;id=11289&amp;p=section</v>
          </cell>
          <cell r="J335" t="str">
            <v>https://dl.smwcentral.net/11289/ChocollabMase2.zip</v>
          </cell>
        </row>
        <row r="336">
          <cell r="A336" t="str">
            <v>Chocolate Flavour!</v>
          </cell>
          <cell r="B336" t="str">
            <v>Chocolate Flavour!</v>
          </cell>
          <cell r="C336" t="str">
            <v>JDC</v>
          </cell>
          <cell r="D336">
            <v>1</v>
          </cell>
          <cell r="E336" t="str">
            <v>Casual</v>
          </cell>
          <cell r="F336" t="str">
            <v>Standard</v>
          </cell>
          <cell r="G336">
            <v>42003</v>
          </cell>
          <cell r="H336" t="str">
            <v>10151</v>
          </cell>
          <cell r="I336" t="str">
            <v>https://www.smwcentral.net/?a=details&amp;id=10151&amp;p=section</v>
          </cell>
          <cell r="J336" t="str">
            <v>https://dl.smwcentral.net/10151/ChocolateFlavour.zip</v>
          </cell>
        </row>
        <row r="337">
          <cell r="A337" t="str">
            <v>Chocolate Sunday</v>
          </cell>
          <cell r="B337" t="str">
            <v>Chocolate Sunday</v>
          </cell>
          <cell r="C337" t="str">
            <v>snomangaming</v>
          </cell>
          <cell r="D337">
            <v>19</v>
          </cell>
          <cell r="E337" t="str">
            <v>Expert</v>
          </cell>
          <cell r="F337" t="str">
            <v>Kaizo</v>
          </cell>
          <cell r="G337">
            <v>44523</v>
          </cell>
          <cell r="H337" t="str">
            <v>28862</v>
          </cell>
          <cell r="I337" t="str">
            <v>https://www.smwcentral.net/?a=details&amp;id=28862&amp;p=section</v>
          </cell>
          <cell r="J337" t="str">
            <v>https://dl.smwcentral.net/28862/Chocolate%20Sunday%201.2.zip</v>
          </cell>
        </row>
        <row r="338">
          <cell r="A338" t="str">
            <v>Choconilla Kaizo Island</v>
          </cell>
          <cell r="B338" t="str">
            <v>Choconilla Kaizo Island</v>
          </cell>
          <cell r="C338" t="str">
            <v>Azula16</v>
          </cell>
          <cell r="D338">
            <v>13</v>
          </cell>
          <cell r="E338" t="str">
            <v>Expert</v>
          </cell>
          <cell r="F338" t="str">
            <v>Kaizo</v>
          </cell>
          <cell r="G338">
            <v>44722</v>
          </cell>
          <cell r="H338" t="str">
            <v>31080</v>
          </cell>
          <cell r="I338" t="str">
            <v>https://www.smwcentral.net/?a=details&amp;id=31080&amp;p=section</v>
          </cell>
          <cell r="J338" t="str">
            <v>https://dl.smwcentral.net/31080/Choconilla%20Kaizo%20Island%20v1.2.zip</v>
          </cell>
        </row>
        <row r="339">
          <cell r="A339" t="str">
            <v>Chomp's Coin Hunt</v>
          </cell>
          <cell r="B339" t="str">
            <v>Chomp's Coin Hunt</v>
          </cell>
          <cell r="C339" t="str">
            <v>Matt, Mr. MS</v>
          </cell>
          <cell r="D339">
            <v>5</v>
          </cell>
          <cell r="E339" t="str">
            <v>Intermediate</v>
          </cell>
          <cell r="F339" t="str">
            <v>Standard, Kaizo</v>
          </cell>
          <cell r="G339">
            <v>44383</v>
          </cell>
          <cell r="H339" t="str">
            <v>27385</v>
          </cell>
          <cell r="I339" t="str">
            <v>https://www.smwcentral.net/?a=details&amp;id=27385&amp;p=section</v>
          </cell>
          <cell r="J339" t="str">
            <v>https://dl.smwcentral.net/27385/Chomp%27s%20Coin%20Hunt.zip</v>
          </cell>
        </row>
        <row r="340">
          <cell r="A340" t="str">
            <v>Chopped N' Screwed</v>
          </cell>
          <cell r="B340" t="str">
            <v>Chopped N' Screwed</v>
          </cell>
          <cell r="C340" t="str">
            <v>deported</v>
          </cell>
          <cell r="D340">
            <v>8</v>
          </cell>
          <cell r="E340" t="str">
            <v>Master</v>
          </cell>
          <cell r="F340" t="str">
            <v>Kaizo</v>
          </cell>
          <cell r="G340">
            <v>45452</v>
          </cell>
          <cell r="H340" t="str">
            <v>37901</v>
          </cell>
          <cell r="I340" t="str">
            <v>https://www.smwcentral.net/?a=details&amp;id=37901&amp;p=section</v>
          </cell>
          <cell r="J340" t="str">
            <v>https://dl.smwcentral.net/37901/Chopped.zip</v>
          </cell>
        </row>
        <row r="341">
          <cell r="A341" t="str">
            <v>Christmas Balls</v>
          </cell>
          <cell r="B341" t="str">
            <v>Christmas Balls</v>
          </cell>
          <cell r="C341" t="str">
            <v>levelengine</v>
          </cell>
          <cell r="D341">
            <v>12</v>
          </cell>
          <cell r="E341" t="str">
            <v>Intermediate</v>
          </cell>
          <cell r="F341" t="str">
            <v>Standard</v>
          </cell>
          <cell r="G341">
            <v>42380</v>
          </cell>
          <cell r="H341" t="str">
            <v>13028</v>
          </cell>
          <cell r="I341" t="str">
            <v>https://www.smwcentral.net/?a=details&amp;id=13028&amp;p=section</v>
          </cell>
          <cell r="J341" t="str">
            <v>https://dl.smwcentral.net/13028/Christmas%20Balls%20%28Hack%2016%29.zip</v>
          </cell>
        </row>
        <row r="342">
          <cell r="A342" t="str">
            <v>Christmas Hack</v>
          </cell>
          <cell r="B342" t="str">
            <v>Christmas Hack</v>
          </cell>
          <cell r="C342" t="str">
            <v>Golden Yoshi</v>
          </cell>
          <cell r="D342">
            <v>6</v>
          </cell>
          <cell r="E342" t="str">
            <v>Intermediate</v>
          </cell>
          <cell r="F342" t="str">
            <v>Standard</v>
          </cell>
          <cell r="G342">
            <v>45534</v>
          </cell>
          <cell r="H342" t="str">
            <v>38345</v>
          </cell>
          <cell r="I342" t="str">
            <v>https://www.smwcentral.net/?a=details&amp;id=38345&amp;p=section</v>
          </cell>
          <cell r="J342" t="str">
            <v>https://dl.smwcentral.net/38345/ChristmasHack.zip</v>
          </cell>
        </row>
        <row r="343">
          <cell r="A343" t="str">
            <v>Christmas Island</v>
          </cell>
          <cell r="B343" t="str">
            <v>Christmas Island</v>
          </cell>
          <cell r="C343" t="str">
            <v>Segment1Zone2</v>
          </cell>
          <cell r="D343">
            <v>4</v>
          </cell>
          <cell r="E343" t="str">
            <v>Intermediate</v>
          </cell>
          <cell r="F343" t="str">
            <v>Standard</v>
          </cell>
          <cell r="G343">
            <v>45627</v>
          </cell>
          <cell r="H343" t="str">
            <v>38847</v>
          </cell>
          <cell r="I343" t="str">
            <v>https://www.smwcentral.net/?a=details&amp;id=38847&amp;p=section</v>
          </cell>
          <cell r="J343" t="str">
            <v>https://dl.smwcentral.net/38847/Christmas%20Island%20v2.zip</v>
          </cell>
        </row>
        <row r="344">
          <cell r="A344" t="str">
            <v>Christmas Island 2</v>
          </cell>
          <cell r="B344" t="str">
            <v>Christmas Island 2</v>
          </cell>
          <cell r="C344" t="str">
            <v>Segment1Zone2</v>
          </cell>
          <cell r="D344">
            <v>8</v>
          </cell>
          <cell r="E344" t="str">
            <v>Casual</v>
          </cell>
          <cell r="F344" t="str">
            <v>Standard</v>
          </cell>
          <cell r="G344">
            <v>45565</v>
          </cell>
          <cell r="H344" t="str">
            <v>38522</v>
          </cell>
          <cell r="I344" t="str">
            <v>https://www.smwcentral.net/?a=details&amp;id=38522&amp;p=section</v>
          </cell>
          <cell r="J344" t="str">
            <v>https://dl.smwcentral.net/38522/Christmas%20Island%202%20v1.1.zip</v>
          </cell>
        </row>
        <row r="345">
          <cell r="A345" t="str">
            <v>Christmas Puzzle</v>
          </cell>
          <cell r="B345" t="str">
            <v>Christmas Puzzle</v>
          </cell>
          <cell r="C345" t="str">
            <v>TheOrangeToad</v>
          </cell>
          <cell r="D345">
            <v>27</v>
          </cell>
          <cell r="E345" t="str">
            <v>Intermediate</v>
          </cell>
          <cell r="F345" t="str">
            <v>Standard</v>
          </cell>
          <cell r="G345">
            <v>42733</v>
          </cell>
          <cell r="H345" t="str">
            <v>14831</v>
          </cell>
          <cell r="I345" t="str">
            <v>https://www.smwcentral.net/?a=details&amp;id=14831&amp;p=section</v>
          </cell>
          <cell r="J345" t="str">
            <v>https://dl.smwcentral.net/14831/CP.zip</v>
          </cell>
        </row>
        <row r="346">
          <cell r="A346" t="str">
            <v>Chronoclasm</v>
          </cell>
          <cell r="B346" t="str">
            <v>Chronoclasm</v>
          </cell>
          <cell r="C346" t="str">
            <v>LightAligns, Saela</v>
          </cell>
          <cell r="D346">
            <v>0</v>
          </cell>
          <cell r="E346" t="str">
            <v>Expert</v>
          </cell>
          <cell r="F346" t="str">
            <v>Kaizo</v>
          </cell>
          <cell r="G346">
            <v>45747</v>
          </cell>
          <cell r="H346" t="str">
            <v>39652</v>
          </cell>
          <cell r="I346" t="str">
            <v>https://www.smwcentral.net/?a=details&amp;id=39652&amp;p=section</v>
          </cell>
          <cell r="J346" t="str">
            <v>https://dl.smwcentral.net/39652/Chronoclasm.zip</v>
          </cell>
        </row>
        <row r="347">
          <cell r="A347" t="str">
            <v>Chrysalis</v>
          </cell>
          <cell r="B347" t="str">
            <v>Chrysalis</v>
          </cell>
          <cell r="C347" t="str">
            <v>random_box</v>
          </cell>
          <cell r="D347">
            <v>9</v>
          </cell>
          <cell r="E347" t="str">
            <v>Grandmaster</v>
          </cell>
          <cell r="F347" t="str">
            <v>Kaizo</v>
          </cell>
          <cell r="G347">
            <v>45781</v>
          </cell>
          <cell r="H347" t="str">
            <v>39655</v>
          </cell>
          <cell r="I347" t="str">
            <v>https://www.smwcentral.net/?a=details&amp;id=39655&amp;p=section</v>
          </cell>
          <cell r="J347" t="str">
            <v>https://dl.smwcentral.net/39655/Chrysalis.zip</v>
          </cell>
        </row>
        <row r="348">
          <cell r="A348" t="str">
            <v>Chuck Must Die</v>
          </cell>
          <cell r="B348" t="str">
            <v>Chuck Must Die</v>
          </cell>
          <cell r="C348" t="str">
            <v>Flavvless</v>
          </cell>
          <cell r="D348">
            <v>22</v>
          </cell>
          <cell r="E348" t="str">
            <v>Expert</v>
          </cell>
          <cell r="F348" t="str">
            <v>Kaizo</v>
          </cell>
          <cell r="G348">
            <v>45608</v>
          </cell>
          <cell r="H348" t="str">
            <v>38758</v>
          </cell>
          <cell r="I348" t="str">
            <v>https://www.smwcentral.net/?a=details&amp;id=38758&amp;p=section</v>
          </cell>
          <cell r="J348" t="str">
            <v>https://dl.smwcentral.net/38758/Chuck%20Must%20Die.zip</v>
          </cell>
        </row>
        <row r="349">
          <cell r="A349" t="str">
            <v>Cinnamon Hills</v>
          </cell>
          <cell r="B349" t="str">
            <v>Cinnamon Hills</v>
          </cell>
          <cell r="C349" t="str">
            <v>AlanJacobs</v>
          </cell>
          <cell r="D349">
            <v>15</v>
          </cell>
          <cell r="E349" t="str">
            <v>Casual</v>
          </cell>
          <cell r="F349" t="str">
            <v>Standard</v>
          </cell>
          <cell r="G349">
            <v>41569</v>
          </cell>
          <cell r="H349" t="str">
            <v>5546</v>
          </cell>
          <cell r="I349" t="str">
            <v>https://www.smwcentral.net/?a=details&amp;id=5546&amp;p=section</v>
          </cell>
          <cell r="J349" t="str">
            <v>https://dl.smwcentral.net/5546/Cinnamon%20Hills.zip</v>
          </cell>
        </row>
        <row r="350">
          <cell r="A350" t="str">
            <v>Classic Mario</v>
          </cell>
          <cell r="B350" t="str">
            <v>Classic Mario</v>
          </cell>
          <cell r="C350" t="str">
            <v>Xgen_Product</v>
          </cell>
          <cell r="D350">
            <v>7</v>
          </cell>
          <cell r="E350" t="str">
            <v>Casual</v>
          </cell>
          <cell r="F350" t="str">
            <v>Standard</v>
          </cell>
          <cell r="G350">
            <v>43167</v>
          </cell>
          <cell r="H350" t="str">
            <v>17198</v>
          </cell>
          <cell r="I350" t="str">
            <v>https://www.smwcentral.net/?a=details&amp;id=17198&amp;p=section</v>
          </cell>
          <cell r="J350" t="str">
            <v>https://dl.smwcentral.net/17198/Classic%20Mario%20Demo%202.zip</v>
          </cell>
        </row>
        <row r="351">
          <cell r="A351" t="str">
            <v>Classic Mario World 2: The Great Alliance</v>
          </cell>
          <cell r="B351" t="str">
            <v>Classic Mario World 2: The Great Alliance</v>
          </cell>
          <cell r="C351" t="str">
            <v>bandicoot</v>
          </cell>
          <cell r="D351">
            <v>120</v>
          </cell>
          <cell r="E351" t="str">
            <v>Intermediate</v>
          </cell>
          <cell r="F351" t="str">
            <v>Standard</v>
          </cell>
          <cell r="G351">
            <v>43571</v>
          </cell>
          <cell r="H351" t="str">
            <v>19575</v>
          </cell>
          <cell r="I351" t="str">
            <v>https://www.smwcentral.net/?a=details&amp;id=19575&amp;p=section</v>
          </cell>
          <cell r="J351" t="str">
            <v>https://dl.smwcentral.net/19575/CMW2_fixed.zip</v>
          </cell>
        </row>
        <row r="352">
          <cell r="A352" t="str">
            <v>Classic Mario World 3: The Finale</v>
          </cell>
          <cell r="B352" t="str">
            <v>Classic Mario World 3: The Finale</v>
          </cell>
          <cell r="C352" t="str">
            <v>bandicoot</v>
          </cell>
          <cell r="D352">
            <v>120</v>
          </cell>
          <cell r="E352" t="str">
            <v>Intermediate</v>
          </cell>
          <cell r="F352" t="str">
            <v>Standard</v>
          </cell>
          <cell r="G352">
            <v>43995</v>
          </cell>
          <cell r="H352" t="str">
            <v>22988</v>
          </cell>
          <cell r="I352" t="str">
            <v>https://www.smwcentral.net/?a=details&amp;id=22988&amp;p=section</v>
          </cell>
          <cell r="J352" t="str">
            <v>https://dl.smwcentral.net/22988/CMW3_The_Finale_Update.zip</v>
          </cell>
        </row>
        <row r="353">
          <cell r="A353" t="str">
            <v>Classic Mario World: The Magical Crystals</v>
          </cell>
          <cell r="B353" t="str">
            <v>Classic Mario World: The Magical Crystals</v>
          </cell>
          <cell r="C353" t="str">
            <v>bandicoot</v>
          </cell>
          <cell r="D353">
            <v>113</v>
          </cell>
          <cell r="E353" t="str">
            <v>Intermediate</v>
          </cell>
          <cell r="F353" t="str">
            <v>Standard</v>
          </cell>
          <cell r="G353">
            <v>43615</v>
          </cell>
          <cell r="H353" t="str">
            <v>19817</v>
          </cell>
          <cell r="I353" t="str">
            <v>https://www.smwcentral.net/?a=details&amp;id=19817&amp;p=section</v>
          </cell>
          <cell r="J353" t="str">
            <v>https://dl.smwcentral.net/19817/CMW1%2005-08-2019.zip</v>
          </cell>
        </row>
        <row r="354">
          <cell r="A354" t="str">
            <v>Classic's Super Mario Brothers</v>
          </cell>
          <cell r="B354" t="str">
            <v>Classic's Super Mario Brothers</v>
          </cell>
          <cell r="C354" t="str">
            <v>Lunartoad</v>
          </cell>
          <cell r="D354">
            <v>32</v>
          </cell>
          <cell r="E354" t="str">
            <v>Newcomer</v>
          </cell>
          <cell r="F354" t="str">
            <v>Standard</v>
          </cell>
          <cell r="G354">
            <v>42108</v>
          </cell>
          <cell r="H354" t="str">
            <v>9726</v>
          </cell>
          <cell r="I354" t="str">
            <v>https://www.smwcentral.net/?a=details&amp;id=9726&amp;p=section</v>
          </cell>
          <cell r="J354" t="str">
            <v>https://dl.smwcentral.net/9726/ClassicSMB%20IPS.zip</v>
          </cell>
        </row>
        <row r="355">
          <cell r="A355" t="str">
            <v>Claustrophobia</v>
          </cell>
          <cell r="B355" t="str">
            <v>Claustrophobia</v>
          </cell>
          <cell r="C355" t="str">
            <v>NaroGugul</v>
          </cell>
          <cell r="D355">
            <v>96</v>
          </cell>
          <cell r="E355" t="str">
            <v>Expert</v>
          </cell>
          <cell r="F355" t="str">
            <v>Kaizo</v>
          </cell>
          <cell r="G355">
            <v>43263</v>
          </cell>
          <cell r="H355" t="str">
            <v>17620</v>
          </cell>
          <cell r="I355" t="str">
            <v>https://www.smwcentral.net/?a=details&amp;id=17620&amp;p=section</v>
          </cell>
          <cell r="J355" t="str">
            <v>https://dl.smwcentral.net/17620/Claustrophobia%201.2.1.zip</v>
          </cell>
        </row>
        <row r="356">
          <cell r="A356" t="str">
            <v>Climb The Tower</v>
          </cell>
          <cell r="B356" t="str">
            <v>Climb The Tower</v>
          </cell>
          <cell r="C356" t="str">
            <v>Sweetdude</v>
          </cell>
          <cell r="D356">
            <v>9</v>
          </cell>
          <cell r="E356" t="str">
            <v>Intermediate</v>
          </cell>
          <cell r="F356" t="str">
            <v>Kaizo</v>
          </cell>
          <cell r="G356">
            <v>43558</v>
          </cell>
          <cell r="H356" t="str">
            <v>19550</v>
          </cell>
          <cell r="I356" t="str">
            <v>https://www.smwcentral.net/?a=details&amp;id=19550&amp;p=section</v>
          </cell>
          <cell r="J356" t="str">
            <v>https://dl.smwcentral.net/19550/Let%27s%20Climb.zip</v>
          </cell>
        </row>
        <row r="357">
          <cell r="A357" t="str">
            <v>Coffee &amp; TV</v>
          </cell>
          <cell r="B357" t="str">
            <v>Coffee &amp; TV</v>
          </cell>
          <cell r="C357" t="str">
            <v>GiraffeKiller</v>
          </cell>
          <cell r="D357">
            <v>11</v>
          </cell>
          <cell r="E357" t="str">
            <v>Advanced</v>
          </cell>
          <cell r="F357" t="str">
            <v>Kaizo</v>
          </cell>
          <cell r="G357">
            <v>44822</v>
          </cell>
          <cell r="H357" t="str">
            <v>32102</v>
          </cell>
          <cell r="I357" t="str">
            <v>https://www.smwcentral.net/?a=details&amp;id=32102&amp;p=section</v>
          </cell>
          <cell r="J357" t="str">
            <v>https://dl.smwcentral.net/32102/Coffee%20And%20TV%201.1.zip</v>
          </cell>
        </row>
        <row r="358">
          <cell r="A358" t="str">
            <v>Coldsweat and Tears</v>
          </cell>
          <cell r="B358" t="str">
            <v>Coldsweat and Tears</v>
          </cell>
          <cell r="C358" t="str">
            <v>Blaagon</v>
          </cell>
          <cell r="D358">
            <v>10</v>
          </cell>
          <cell r="E358" t="str">
            <v>Master</v>
          </cell>
          <cell r="F358" t="str">
            <v>Kaizo</v>
          </cell>
          <cell r="G358">
            <v>44952</v>
          </cell>
          <cell r="H358" t="str">
            <v>32999</v>
          </cell>
          <cell r="I358" t="str">
            <v>https://www.smwcentral.net/?a=details&amp;id=32999&amp;p=section</v>
          </cell>
          <cell r="J358" t="str">
            <v>https://dl.smwcentral.net/32999/ColdsweatandTears.zip</v>
          </cell>
        </row>
        <row r="359">
          <cell r="A359" t="str">
            <v>COLLAB</v>
          </cell>
          <cell r="B359" t="str">
            <v>COLLAB</v>
          </cell>
          <cell r="C359" t="str">
            <v>Daizo Dee Von, neidoodle</v>
          </cell>
          <cell r="D359">
            <v>11</v>
          </cell>
          <cell r="E359" t="str">
            <v>Casual</v>
          </cell>
          <cell r="F359" t="str">
            <v>Standard</v>
          </cell>
          <cell r="G359">
            <v>41856</v>
          </cell>
          <cell r="H359" t="str">
            <v>6970</v>
          </cell>
          <cell r="I359" t="str">
            <v>https://www.smwcentral.net/?a=details&amp;id=6970&amp;p=section</v>
          </cell>
          <cell r="J359" t="str">
            <v>https://dl.smwcentral.net/6970/COLLAB%20%28Update%21%29.zip</v>
          </cell>
        </row>
        <row r="360">
          <cell r="A360" t="str">
            <v>Collection</v>
          </cell>
          <cell r="B360" t="str">
            <v>Collection</v>
          </cell>
          <cell r="C360" t="str">
            <v>ZMann</v>
          </cell>
          <cell r="D360">
            <v>15</v>
          </cell>
          <cell r="E360" t="str">
            <v>Casual</v>
          </cell>
          <cell r="F360" t="str">
            <v>Standard</v>
          </cell>
          <cell r="G360">
            <v>41614</v>
          </cell>
          <cell r="H360" t="str">
            <v>5963</v>
          </cell>
          <cell r="I360" t="str">
            <v>https://www.smwcentral.net/?a=details&amp;id=5963&amp;p=section</v>
          </cell>
          <cell r="J360" t="str">
            <v>https://dl.smwcentral.net/5963/Collection.zip</v>
          </cell>
        </row>
        <row r="361">
          <cell r="A361" t="str">
            <v>ColonThree</v>
          </cell>
          <cell r="B361" t="str">
            <v>ColonThree</v>
          </cell>
          <cell r="C361" t="str">
            <v>HoorayForJay, ShadowDragon121</v>
          </cell>
          <cell r="D361">
            <v>2</v>
          </cell>
          <cell r="E361" t="str">
            <v>Master</v>
          </cell>
          <cell r="F361" t="str">
            <v>Tool-Assisted, Pit</v>
          </cell>
          <cell r="G361">
            <v>42753</v>
          </cell>
          <cell r="H361" t="str">
            <v>14967</v>
          </cell>
          <cell r="I361" t="str">
            <v>https://www.smwcentral.net/?a=details&amp;id=14967&amp;p=section</v>
          </cell>
          <cell r="J361" t="str">
            <v>https://dl.smwcentral.net/14967/ColonThree.zip</v>
          </cell>
        </row>
        <row r="362">
          <cell r="A362" t="str">
            <v>COLORS [SMWC #6095]</v>
          </cell>
          <cell r="B362" t="str">
            <v>COLORS</v>
          </cell>
          <cell r="C362" t="str">
            <v>MolSno</v>
          </cell>
          <cell r="D362">
            <v>5</v>
          </cell>
          <cell r="E362" t="str">
            <v>Intermediate</v>
          </cell>
          <cell r="F362" t="str">
            <v>Standard</v>
          </cell>
          <cell r="G362">
            <v>41644</v>
          </cell>
          <cell r="H362" t="str">
            <v>6095</v>
          </cell>
          <cell r="I362" t="str">
            <v>https://www.smwcentral.net/?a=details&amp;id=6095&amp;p=section</v>
          </cell>
          <cell r="J362" t="str">
            <v>https://dl.smwcentral.net/6095/COLORS.zip</v>
          </cell>
        </row>
        <row r="363">
          <cell r="A363" t="str">
            <v>Colors [SMWC #28250]</v>
          </cell>
          <cell r="B363" t="str">
            <v>Colors</v>
          </cell>
          <cell r="C363" t="str">
            <v>simplyawful</v>
          </cell>
          <cell r="D363">
            <v>22</v>
          </cell>
          <cell r="E363" t="str">
            <v>Master</v>
          </cell>
          <cell r="F363" t="str">
            <v>Kaizo</v>
          </cell>
          <cell r="G363">
            <v>44449</v>
          </cell>
          <cell r="H363" t="str">
            <v>28250</v>
          </cell>
          <cell r="I363" t="str">
            <v>https://www.smwcentral.net/?a=details&amp;id=28250&amp;p=section</v>
          </cell>
          <cell r="J363" t="str">
            <v>https://dl.smwcentral.net/28250/Colors_1.1.zip</v>
          </cell>
        </row>
        <row r="364">
          <cell r="A364" t="str">
            <v>COLORS 2</v>
          </cell>
          <cell r="B364" t="str">
            <v>COLORS 2</v>
          </cell>
          <cell r="C364" t="str">
            <v>MolSno</v>
          </cell>
          <cell r="D364">
            <v>8</v>
          </cell>
          <cell r="E364" t="str">
            <v>Intermediate</v>
          </cell>
          <cell r="F364" t="str">
            <v>Standard</v>
          </cell>
          <cell r="G364">
            <v>42334</v>
          </cell>
          <cell r="H364" t="str">
            <v>12725</v>
          </cell>
          <cell r="I364" t="str">
            <v>https://www.smwcentral.net/?a=details&amp;id=12725&amp;p=section</v>
          </cell>
          <cell r="J364" t="str">
            <v>https://dl.smwcentral.net/12725/COLORS%202.zip</v>
          </cell>
        </row>
        <row r="365">
          <cell r="A365" t="str">
            <v>Colossus</v>
          </cell>
          <cell r="B365" t="str">
            <v>Colossus</v>
          </cell>
          <cell r="C365" t="str">
            <v>levelengine</v>
          </cell>
          <cell r="D365">
            <v>95</v>
          </cell>
          <cell r="E365" t="str">
            <v>Master</v>
          </cell>
          <cell r="F365" t="str">
            <v>Standard</v>
          </cell>
          <cell r="G365">
            <v>42211</v>
          </cell>
          <cell r="H365" t="str">
            <v>11776</v>
          </cell>
          <cell r="I365" t="str">
            <v>https://www.smwcentral.net/?a=details&amp;id=11776&amp;p=section</v>
          </cell>
          <cell r="J365" t="str">
            <v>https://dl.smwcentral.net/11776/Colossus%20final%203.zip</v>
          </cell>
        </row>
        <row r="366">
          <cell r="A366" t="str">
            <v>Combo Breaker</v>
          </cell>
          <cell r="B366" t="str">
            <v>Combo Breaker</v>
          </cell>
          <cell r="C366" t="str">
            <v>Sokobansolver</v>
          </cell>
          <cell r="D366">
            <v>18</v>
          </cell>
          <cell r="E366" t="str">
            <v>Casual</v>
          </cell>
          <cell r="F366" t="str">
            <v>Standard</v>
          </cell>
          <cell r="G366">
            <v>42288</v>
          </cell>
          <cell r="H366" t="str">
            <v>10248</v>
          </cell>
          <cell r="I366" t="str">
            <v>https://www.smwcentral.net/?a=details&amp;id=10248&amp;p=section</v>
          </cell>
          <cell r="J366" t="str">
            <v>https://dl.smwcentral.net/10248/Combo_Breaker_demo.zip</v>
          </cell>
        </row>
        <row r="367">
          <cell r="A367" t="str">
            <v>Combo Killer: Ultra Alpha Turbo HD Remix, Arcade Edition</v>
          </cell>
          <cell r="B367" t="str">
            <v>Combo Killer: Ultra Alpha Turbo HD Remix, Arcade Edition</v>
          </cell>
          <cell r="C367" t="str">
            <v>Doownayr89</v>
          </cell>
          <cell r="D367">
            <v>36</v>
          </cell>
          <cell r="E367" t="str">
            <v>Intermediate</v>
          </cell>
          <cell r="F367" t="str">
            <v>Kaizo, Tool-Assisted</v>
          </cell>
          <cell r="G367">
            <v>42654</v>
          </cell>
          <cell r="H367" t="str">
            <v>14289</v>
          </cell>
          <cell r="I367" t="str">
            <v>https://www.smwcentral.net/?a=details&amp;id=14289&amp;p=section</v>
          </cell>
          <cell r="J367" t="str">
            <v>https://dl.smwcentral.net/14289/Combo%20Killer%20Ultra%20Alpha%20Turbo%20HD%20Remix%2C%20Arcade%20Edition.zip</v>
          </cell>
        </row>
        <row r="368">
          <cell r="A368" t="str">
            <v>Comfort Zone</v>
          </cell>
          <cell r="B368" t="str">
            <v>Comfort Zone</v>
          </cell>
          <cell r="C368" t="str">
            <v>orka-bln</v>
          </cell>
          <cell r="D368">
            <v>18</v>
          </cell>
          <cell r="E368" t="str">
            <v>Expert</v>
          </cell>
          <cell r="F368" t="str">
            <v>Kaizo</v>
          </cell>
          <cell r="G368">
            <v>44156</v>
          </cell>
          <cell r="H368" t="str">
            <v>25095</v>
          </cell>
          <cell r="I368" t="str">
            <v>https://www.smwcentral.net/?a=details&amp;id=25095&amp;p=section</v>
          </cell>
          <cell r="J368" t="str">
            <v>https://dl.smwcentral.net/25095/Comfy1.2.zip</v>
          </cell>
        </row>
        <row r="369">
          <cell r="A369" t="str">
            <v>Commuter</v>
          </cell>
          <cell r="B369" t="str">
            <v>Commuter</v>
          </cell>
          <cell r="C369" t="str">
            <v>megaBC333</v>
          </cell>
          <cell r="D369">
            <v>13</v>
          </cell>
          <cell r="E369" t="str">
            <v>Advanced</v>
          </cell>
          <cell r="F369" t="str">
            <v>Kaizo</v>
          </cell>
          <cell r="G369">
            <v>45262</v>
          </cell>
          <cell r="H369" t="str">
            <v>35616</v>
          </cell>
          <cell r="I369" t="str">
            <v>https://www.smwcentral.net/?a=details&amp;id=35616&amp;p=section</v>
          </cell>
          <cell r="J369" t="str">
            <v>https://dl.smwcentral.net/35616/Commuter_V1.zip</v>
          </cell>
        </row>
        <row r="370">
          <cell r="A370" t="str">
            <v>Contest Maniac</v>
          </cell>
          <cell r="B370" t="str">
            <v>Contest Maniac</v>
          </cell>
          <cell r="C370" t="str">
            <v>RussianMan</v>
          </cell>
          <cell r="D370">
            <v>4</v>
          </cell>
          <cell r="E370" t="str">
            <v>Casual</v>
          </cell>
          <cell r="F370" t="str">
            <v>Standard</v>
          </cell>
          <cell r="G370">
            <v>43035</v>
          </cell>
          <cell r="H370" t="str">
            <v>16466</v>
          </cell>
          <cell r="I370" t="str">
            <v>https://www.smwcentral.net/?a=details&amp;id=16466&amp;p=section</v>
          </cell>
          <cell r="J370" t="str">
            <v>https://dl.smwcentral.net/16466/Contest%20Maniac.zip</v>
          </cell>
        </row>
        <row r="371">
          <cell r="A371" t="str">
            <v>Cool (Speedrun!)</v>
          </cell>
          <cell r="B371" t="str">
            <v>Cool (Speedrun!)</v>
          </cell>
          <cell r="C371" t="str">
            <v>Koll5</v>
          </cell>
          <cell r="D371">
            <v>8</v>
          </cell>
          <cell r="E371" t="str">
            <v>Intermediate</v>
          </cell>
          <cell r="F371" t="str">
            <v>Standard</v>
          </cell>
          <cell r="G371">
            <v>44724</v>
          </cell>
          <cell r="H371" t="str">
            <v>31137</v>
          </cell>
          <cell r="I371" t="str">
            <v>https://www.smwcentral.net/?a=details&amp;id=31137&amp;p=section</v>
          </cell>
          <cell r="J371" t="str">
            <v>https://dl.smwcentral.net/31137/Cool.zip</v>
          </cell>
        </row>
        <row r="372">
          <cell r="A372" t="str">
            <v>Cool or Cruel Stage 12 - Tubular</v>
          </cell>
          <cell r="B372" t="str">
            <v>Cool or Cruel Stage 12 - Tubular</v>
          </cell>
          <cell r="C372" t="str">
            <v>worldpeace</v>
          </cell>
          <cell r="D372">
            <v>1</v>
          </cell>
          <cell r="E372" t="str">
            <v>Advanced</v>
          </cell>
          <cell r="F372" t="str">
            <v>Kaizo, Tool-Assisted</v>
          </cell>
          <cell r="G372">
            <v>41710</v>
          </cell>
          <cell r="H372" t="str">
            <v>6085</v>
          </cell>
          <cell r="I372" t="str">
            <v>https://www.smwcentral.net/?a=details&amp;id=6085&amp;p=section</v>
          </cell>
          <cell r="J372" t="str">
            <v>https://dl.smwcentral.net/6085/tubular.zip</v>
          </cell>
        </row>
        <row r="373">
          <cell r="A373" t="str">
            <v>Cool Zone</v>
          </cell>
          <cell r="B373" t="str">
            <v>Cool Zone</v>
          </cell>
          <cell r="C373" t="str">
            <v>FridayFables</v>
          </cell>
          <cell r="D373">
            <v>16</v>
          </cell>
          <cell r="E373" t="str">
            <v>Advanced</v>
          </cell>
          <cell r="F373" t="str">
            <v>Kaizo</v>
          </cell>
          <cell r="G373">
            <v>43424</v>
          </cell>
          <cell r="H373" t="str">
            <v>18476</v>
          </cell>
          <cell r="I373" t="str">
            <v>https://www.smwcentral.net/?a=details&amp;id=18476&amp;p=section</v>
          </cell>
          <cell r="J373" t="str">
            <v>https://dl.smwcentral.net/18476/CoolZone.zip</v>
          </cell>
        </row>
        <row r="374">
          <cell r="A374" t="str">
            <v>Copy and Paste</v>
          </cell>
          <cell r="B374" t="str">
            <v>Copy and Paste</v>
          </cell>
          <cell r="C374" t="str">
            <v>NewPointless</v>
          </cell>
          <cell r="D374">
            <v>4</v>
          </cell>
          <cell r="E374" t="str">
            <v>Expert</v>
          </cell>
          <cell r="F374" t="str">
            <v>Kaizo</v>
          </cell>
          <cell r="G374">
            <v>45230</v>
          </cell>
          <cell r="H374" t="str">
            <v>35348</v>
          </cell>
          <cell r="I374" t="str">
            <v>https://www.smwcentral.net/?a=details&amp;id=35348&amp;p=section</v>
          </cell>
          <cell r="J374" t="str">
            <v>https://dl.smwcentral.net/35348/CopyAndPaste1_1.zip</v>
          </cell>
        </row>
        <row r="375">
          <cell r="A375" t="str">
            <v>Coriolis</v>
          </cell>
          <cell r="B375" t="str">
            <v>Coriolis</v>
          </cell>
          <cell r="C375" t="str">
            <v>D_O_M</v>
          </cell>
          <cell r="D375">
            <v>23</v>
          </cell>
          <cell r="E375" t="str">
            <v>Expert</v>
          </cell>
          <cell r="F375" t="str">
            <v>Kaizo</v>
          </cell>
          <cell r="G375">
            <v>46219</v>
          </cell>
          <cell r="H375" t="str">
            <v>42700</v>
          </cell>
          <cell r="I375" t="str">
            <v>https://www.smwcentral.net/?a=details&amp;id=42700&amp;p=section</v>
          </cell>
          <cell r="J375" t="str">
            <v>https://dl.smwcentral.net/42700/Coriolis.zip</v>
          </cell>
        </row>
        <row r="376">
          <cell r="A376" t="str">
            <v>Cornucopia of Kaizo</v>
          </cell>
          <cell r="B376" t="str">
            <v>Cornucopia of Kaizo</v>
          </cell>
          <cell r="C376" t="str">
            <v>CoozieShawn</v>
          </cell>
          <cell r="D376">
            <v>27</v>
          </cell>
          <cell r="E376" t="str">
            <v>Advanced</v>
          </cell>
          <cell r="F376" t="str">
            <v>Kaizo</v>
          </cell>
          <cell r="G376">
            <v>44413</v>
          </cell>
          <cell r="H376" t="str">
            <v>27923</v>
          </cell>
          <cell r="I376" t="str">
            <v>https://www.smwcentral.net/?a=details&amp;id=27923&amp;p=section</v>
          </cell>
          <cell r="J376" t="str">
            <v>https://dl.smwcentral.net/27923/Cornucopia_of_Kaizo.zip</v>
          </cell>
        </row>
        <row r="377">
          <cell r="A377" t="str">
            <v>Cosmic Expedition</v>
          </cell>
          <cell r="B377" t="str">
            <v>Cosmic Expedition</v>
          </cell>
          <cell r="C377" t="str">
            <v>GrenudoGames</v>
          </cell>
          <cell r="D377">
            <v>45</v>
          </cell>
          <cell r="E377" t="str">
            <v>Expert</v>
          </cell>
          <cell r="F377" t="str">
            <v>Kaizo</v>
          </cell>
          <cell r="G377">
            <v>45836</v>
          </cell>
          <cell r="H377" t="str">
            <v>39939</v>
          </cell>
          <cell r="I377" t="str">
            <v>https://www.smwcentral.net/?a=details&amp;id=39939&amp;p=section</v>
          </cell>
          <cell r="J377" t="str">
            <v>https://dl.smwcentral.net/39939/Cosmic%20Expedition%201.2.zip</v>
          </cell>
        </row>
        <row r="378">
          <cell r="A378" t="str">
            <v>CowaBunga</v>
          </cell>
          <cell r="B378" t="str">
            <v>CowaBunga</v>
          </cell>
          <cell r="C378" t="str">
            <v>Connnnair</v>
          </cell>
          <cell r="D378">
            <v>23</v>
          </cell>
          <cell r="E378" t="str">
            <v>Expert</v>
          </cell>
          <cell r="F378" t="str">
            <v>Kaizo</v>
          </cell>
          <cell r="G378">
            <v>45484</v>
          </cell>
          <cell r="H378" t="str">
            <v>38046</v>
          </cell>
          <cell r="I378" t="str">
            <v>https://www.smwcentral.net/?a=details&amp;id=38046&amp;p=section</v>
          </cell>
          <cell r="J378" t="str">
            <v>https://dl.smwcentral.net/38046/CowaBunga1.1.zip</v>
          </cell>
        </row>
        <row r="379">
          <cell r="A379" t="str">
            <v>Crab Shells</v>
          </cell>
          <cell r="B379" t="str">
            <v>Crab Shells</v>
          </cell>
          <cell r="C379" t="str">
            <v>Jaozin712</v>
          </cell>
          <cell r="D379">
            <v>14</v>
          </cell>
          <cell r="E379" t="str">
            <v>Expert</v>
          </cell>
          <cell r="F379" t="str">
            <v>Kaizo</v>
          </cell>
          <cell r="G379">
            <v>45587</v>
          </cell>
          <cell r="H379" t="str">
            <v>38657</v>
          </cell>
          <cell r="I379" t="str">
            <v>https://www.smwcentral.net/?a=details&amp;id=38657&amp;p=section</v>
          </cell>
          <cell r="J379" t="str">
            <v>https://dl.smwcentral.net/38657/Crab_Shells.zip</v>
          </cell>
        </row>
        <row r="380">
          <cell r="A380" t="str">
            <v>Crash Bandicoot and the Retro Dimension</v>
          </cell>
          <cell r="B380" t="str">
            <v>Crash Bandicoot and the Retro Dimension</v>
          </cell>
          <cell r="C380" t="str">
            <v>bandicoot</v>
          </cell>
          <cell r="D380">
            <v>102</v>
          </cell>
          <cell r="E380" t="str">
            <v>Intermediate</v>
          </cell>
          <cell r="F380" t="str">
            <v>Standard</v>
          </cell>
          <cell r="G380">
            <v>46204</v>
          </cell>
          <cell r="H380" t="str">
            <v>42500</v>
          </cell>
          <cell r="I380" t="str">
            <v>https://www.smwcentral.net/?a=details&amp;id=42500&amp;p=section</v>
          </cell>
          <cell r="J380" t="str">
            <v>https://dl.smwcentral.net/42500/Crash%20Bandicoot%20and%20the%20Retro%20Dimension%20Enhanced.zip</v>
          </cell>
        </row>
        <row r="381">
          <cell r="A381" t="str">
            <v>Crash Bandicoot and the Retro Dimension 2 - The Crystal Hunt</v>
          </cell>
          <cell r="B381" t="str">
            <v>Crash Bandicoot and the Retro Dimension 2 - The Crystal Hunt</v>
          </cell>
          <cell r="C381" t="str">
            <v>bandicoot</v>
          </cell>
          <cell r="D381">
            <v>120</v>
          </cell>
          <cell r="E381" t="str">
            <v>Intermediate</v>
          </cell>
          <cell r="F381" t="str">
            <v>Standard</v>
          </cell>
          <cell r="G381">
            <v>46215</v>
          </cell>
          <cell r="H381" t="str">
            <v>42541</v>
          </cell>
          <cell r="I381" t="str">
            <v>https://www.smwcentral.net/?a=details&amp;id=42541&amp;p=section</v>
          </cell>
          <cell r="J381" t="str">
            <v>https://dl.smwcentral.net/42541/Crash%20Bandicoot%20and%20The%20Retro%20Dimension%202%20-%20The%20Crystal%20Hunt.zip</v>
          </cell>
        </row>
        <row r="382">
          <cell r="A382" t="str">
            <v>Critter Quest</v>
          </cell>
          <cell r="B382" t="str">
            <v>Critter Quest</v>
          </cell>
          <cell r="C382" t="str">
            <v>JakesBRjust</v>
          </cell>
          <cell r="D382">
            <v>10</v>
          </cell>
          <cell r="E382" t="str">
            <v>Advanced</v>
          </cell>
          <cell r="F382" t="str">
            <v>Kaizo</v>
          </cell>
          <cell r="G382">
            <v>45867</v>
          </cell>
          <cell r="H382" t="str">
            <v>40194</v>
          </cell>
          <cell r="I382" t="str">
            <v>https://www.smwcentral.net/?a=details&amp;id=40194&amp;p=section</v>
          </cell>
          <cell r="J382" t="str">
            <v>https://dl.smwcentral.net/40194/Critter%20Quest%20v1.1.zip</v>
          </cell>
        </row>
        <row r="383">
          <cell r="A383" t="str">
            <v>Critter Quest Jr</v>
          </cell>
          <cell r="B383" t="str">
            <v>Critter Quest Jr</v>
          </cell>
          <cell r="C383" t="str">
            <v>JakesBRjust</v>
          </cell>
          <cell r="D383">
            <v>14</v>
          </cell>
          <cell r="E383" t="str">
            <v>Advanced</v>
          </cell>
          <cell r="F383" t="str">
            <v>Kaizo</v>
          </cell>
          <cell r="G383">
            <v>46007</v>
          </cell>
          <cell r="H383" t="str">
            <v>41278</v>
          </cell>
          <cell r="I383" t="str">
            <v>https://www.smwcentral.net/?a=details&amp;id=41278&amp;p=section</v>
          </cell>
          <cell r="J383" t="str">
            <v>https://dl.smwcentral.net/41278/Critter%20Quest%20Jr.zip</v>
          </cell>
        </row>
        <row r="384">
          <cell r="A384" t="str">
            <v>CroNos Trigger</v>
          </cell>
          <cell r="B384" t="str">
            <v>CroNos Trigger</v>
          </cell>
          <cell r="C384" t="str">
            <v>Justepic</v>
          </cell>
          <cell r="D384">
            <v>15</v>
          </cell>
          <cell r="E384" t="str">
            <v>Expert</v>
          </cell>
          <cell r="F384" t="str">
            <v>Kaizo</v>
          </cell>
          <cell r="G384">
            <v>45120</v>
          </cell>
          <cell r="H384" t="str">
            <v>33950</v>
          </cell>
          <cell r="I384" t="str">
            <v>https://www.smwcentral.net/?a=details&amp;id=33950&amp;p=section</v>
          </cell>
          <cell r="J384" t="str">
            <v>https://dl.smwcentral.net/33950/Cronos%20Trigger%20V2.zip</v>
          </cell>
        </row>
        <row r="385">
          <cell r="A385" t="str">
            <v>Crossfire</v>
          </cell>
          <cell r="B385" t="str">
            <v>Crossfire</v>
          </cell>
          <cell r="C385" t="str">
            <v>NeptuneNeon</v>
          </cell>
          <cell r="D385">
            <v>22</v>
          </cell>
          <cell r="E385" t="str">
            <v>Expert</v>
          </cell>
          <cell r="F385" t="str">
            <v>Kaizo</v>
          </cell>
          <cell r="G385">
            <v>44378</v>
          </cell>
          <cell r="H385" t="str">
            <v>27238</v>
          </cell>
          <cell r="I385" t="str">
            <v>https://www.smwcentral.net/?a=details&amp;id=27238&amp;p=section</v>
          </cell>
          <cell r="J385" t="str">
            <v>https://dl.smwcentral.net/27238/crossfire_v1.2.zip</v>
          </cell>
        </row>
        <row r="386">
          <cell r="A386" t="str">
            <v>Cruisy</v>
          </cell>
          <cell r="B386" t="str">
            <v>Cruisy</v>
          </cell>
          <cell r="C386" t="str">
            <v>Lush_50</v>
          </cell>
          <cell r="D386">
            <v>11</v>
          </cell>
          <cell r="E386" t="str">
            <v>Advanced</v>
          </cell>
          <cell r="F386" t="str">
            <v>Kaizo</v>
          </cell>
          <cell r="G386">
            <v>44861</v>
          </cell>
          <cell r="H386" t="str">
            <v>32446</v>
          </cell>
          <cell r="I386" t="str">
            <v>https://www.smwcentral.net/?a=details&amp;id=32446&amp;p=section</v>
          </cell>
          <cell r="J386" t="str">
            <v>https://dl.smwcentral.net/32446/Cruisy%20v1.1.zip</v>
          </cell>
        </row>
        <row r="387">
          <cell r="A387" t="str">
            <v>Cube´s Kaizo World</v>
          </cell>
          <cell r="B387" t="str">
            <v>Cube´s Kaizo World</v>
          </cell>
          <cell r="C387" t="str">
            <v>Cube</v>
          </cell>
          <cell r="D387">
            <v>8</v>
          </cell>
          <cell r="E387" t="str">
            <v>Expert</v>
          </cell>
          <cell r="F387" t="str">
            <v>Kaizo</v>
          </cell>
          <cell r="G387">
            <v>44330</v>
          </cell>
          <cell r="H387" t="str">
            <v>26998</v>
          </cell>
          <cell r="I387" t="str">
            <v>https://www.smwcentral.net/?a=details&amp;id=26998&amp;p=section</v>
          </cell>
          <cell r="J387" t="str">
            <v>https://dl.smwcentral.net/26998/Cubes%20Kaizo%20World1.1.zip</v>
          </cell>
        </row>
        <row r="388">
          <cell r="A388" t="str">
            <v>Cube´s Kaizo World 2</v>
          </cell>
          <cell r="B388" t="str">
            <v>Cube´s Kaizo World 2</v>
          </cell>
          <cell r="C388" t="str">
            <v>Cube</v>
          </cell>
          <cell r="D388">
            <v>9</v>
          </cell>
          <cell r="E388" t="str">
            <v>Expert</v>
          </cell>
          <cell r="F388" t="str">
            <v>Kaizo</v>
          </cell>
          <cell r="G388">
            <v>44373</v>
          </cell>
          <cell r="H388" t="str">
            <v>27355</v>
          </cell>
          <cell r="I388" t="str">
            <v>https://www.smwcentral.net/?a=details&amp;id=27355&amp;p=section</v>
          </cell>
          <cell r="J388" t="str">
            <v>https://dl.smwcentral.net/27355/Cubes%20Kaizo%20World%202.zip</v>
          </cell>
        </row>
        <row r="389">
          <cell r="A389" t="str">
            <v>Cube´s Kaizo World 3</v>
          </cell>
          <cell r="B389" t="str">
            <v>Cube´s Kaizo World 3</v>
          </cell>
          <cell r="C389" t="str">
            <v>Cube</v>
          </cell>
          <cell r="D389">
            <v>12</v>
          </cell>
          <cell r="E389" t="str">
            <v>Expert</v>
          </cell>
          <cell r="F389" t="str">
            <v>Kaizo</v>
          </cell>
          <cell r="G389">
            <v>44724</v>
          </cell>
          <cell r="H389" t="str">
            <v>31127</v>
          </cell>
          <cell r="I389" t="str">
            <v>https://www.smwcentral.net/?a=details&amp;id=31127&amp;p=section</v>
          </cell>
          <cell r="J389" t="str">
            <v>https://dl.smwcentral.net/31127/Cubes%20Kaizo%20World%203%20v1.2.zip</v>
          </cell>
        </row>
        <row r="390">
          <cell r="A390" t="str">
            <v>Cube´s Kaizo World 4</v>
          </cell>
          <cell r="B390" t="str">
            <v>Cube´s Kaizo World 4</v>
          </cell>
          <cell r="C390" t="str">
            <v>Cube</v>
          </cell>
          <cell r="D390">
            <v>13</v>
          </cell>
          <cell r="E390" t="str">
            <v>Expert</v>
          </cell>
          <cell r="F390" t="str">
            <v>Kaizo</v>
          </cell>
          <cell r="G390">
            <v>45150</v>
          </cell>
          <cell r="H390" t="str">
            <v>34784</v>
          </cell>
          <cell r="I390" t="str">
            <v>https://www.smwcentral.net/?a=details&amp;id=34784&amp;p=section</v>
          </cell>
          <cell r="J390" t="str">
            <v>https://dl.smwcentral.net/34784/CubesKaizoWorld4_1.1.zip</v>
          </cell>
        </row>
        <row r="391">
          <cell r="A391" t="str">
            <v>Cube´s Kaizo World 5</v>
          </cell>
          <cell r="B391" t="str">
            <v>Cube´s Kaizo World 5</v>
          </cell>
          <cell r="C391" t="str">
            <v>Cube</v>
          </cell>
          <cell r="D391">
            <v>23</v>
          </cell>
          <cell r="E391" t="str">
            <v>Master</v>
          </cell>
          <cell r="F391" t="str">
            <v>Kaizo</v>
          </cell>
          <cell r="G391">
            <v>45522</v>
          </cell>
          <cell r="H391" t="str">
            <v>38168</v>
          </cell>
          <cell r="I391" t="str">
            <v>https://www.smwcentral.net/?a=details&amp;id=38168&amp;p=section</v>
          </cell>
          <cell r="J391" t="str">
            <v>https://dl.smwcentral.net/38168/CubesKaizoWorld5%201.1.zip</v>
          </cell>
        </row>
        <row r="392">
          <cell r="A392" t="str">
            <v>Cute as Shell</v>
          </cell>
          <cell r="B392" t="str">
            <v>Cute as Shell</v>
          </cell>
          <cell r="C392" t="str">
            <v>slopcore</v>
          </cell>
          <cell r="D392">
            <v>10</v>
          </cell>
          <cell r="E392" t="str">
            <v>Advanced</v>
          </cell>
          <cell r="F392" t="str">
            <v>Kaizo</v>
          </cell>
          <cell r="G392">
            <v>45567</v>
          </cell>
          <cell r="H392" t="str">
            <v>38571</v>
          </cell>
          <cell r="I392" t="str">
            <v>https://www.smwcentral.net/?a=details&amp;id=38571&amp;p=section</v>
          </cell>
          <cell r="J392" t="str">
            <v>https://dl.smwcentral.net/38571/CuteAsShell1.2.zip</v>
          </cell>
        </row>
        <row r="393">
          <cell r="A393" t="str">
            <v>Cute Kaizo World</v>
          </cell>
          <cell r="B393" t="str">
            <v>Cute Kaizo World</v>
          </cell>
          <cell r="C393" t="str">
            <v>slopcore</v>
          </cell>
          <cell r="D393">
            <v>14</v>
          </cell>
          <cell r="E393" t="str">
            <v>Advanced</v>
          </cell>
          <cell r="F393" t="str">
            <v>Kaizo</v>
          </cell>
          <cell r="G393">
            <v>44249</v>
          </cell>
          <cell r="H393" t="str">
            <v>26252</v>
          </cell>
          <cell r="I393" t="str">
            <v>https://www.smwcentral.net/?a=details&amp;id=26252&amp;p=section</v>
          </cell>
          <cell r="J393" t="str">
            <v>https://dl.smwcentral.net/26252/CuteKaizoWorldv1.1.zip</v>
          </cell>
        </row>
        <row r="394">
          <cell r="A394" t="str">
            <v>Cuter Kaizo World</v>
          </cell>
          <cell r="B394" t="str">
            <v>Cuter Kaizo World</v>
          </cell>
          <cell r="C394" t="str">
            <v>slopcore</v>
          </cell>
          <cell r="D394">
            <v>15</v>
          </cell>
          <cell r="E394" t="str">
            <v>Advanced</v>
          </cell>
          <cell r="F394" t="str">
            <v>Kaizo</v>
          </cell>
          <cell r="G394">
            <v>44698</v>
          </cell>
          <cell r="H394" t="str">
            <v>30915</v>
          </cell>
          <cell r="I394" t="str">
            <v>https://www.smwcentral.net/?a=details&amp;id=30915&amp;p=section</v>
          </cell>
          <cell r="J394" t="str">
            <v>https://dl.smwcentral.net/30915/CuterKaizo.zip</v>
          </cell>
        </row>
        <row r="395">
          <cell r="A395" t="str">
            <v>Cygnus</v>
          </cell>
          <cell r="B395" t="str">
            <v>Cygnus</v>
          </cell>
          <cell r="C395" t="str">
            <v>oyok</v>
          </cell>
          <cell r="D395">
            <v>10</v>
          </cell>
          <cell r="E395" t="str">
            <v>Expert</v>
          </cell>
          <cell r="F395" t="str">
            <v>Kaizo</v>
          </cell>
          <cell r="G395">
            <v>45914</v>
          </cell>
          <cell r="H395" t="str">
            <v>40612</v>
          </cell>
          <cell r="I395" t="str">
            <v>https://www.smwcentral.net/?a=details&amp;id=40612&amp;p=section</v>
          </cell>
          <cell r="J395" t="str">
            <v>https://dl.smwcentral.net/40612/cygnus.zip</v>
          </cell>
        </row>
        <row r="396">
          <cell r="A396" t="str">
            <v>D.O.L.L.S.</v>
          </cell>
          <cell r="B396" t="str">
            <v>D.O.L.L.S.</v>
          </cell>
          <cell r="C396" t="str">
            <v>Jordan</v>
          </cell>
          <cell r="D396">
            <v>0</v>
          </cell>
          <cell r="E396" t="str">
            <v>Intermediate</v>
          </cell>
          <cell r="F396" t="str">
            <v>Standard</v>
          </cell>
          <cell r="G396">
            <v>45747</v>
          </cell>
          <cell r="H396" t="str">
            <v>39486</v>
          </cell>
          <cell r="I396" t="str">
            <v>https://www.smwcentral.net/?a=details&amp;id=39486&amp;p=section</v>
          </cell>
          <cell r="J396" t="str">
            <v>https://dl.smwcentral.net/39486/DOLLS.zip</v>
          </cell>
        </row>
        <row r="397">
          <cell r="A397" t="str">
            <v>DADDY</v>
          </cell>
          <cell r="B397" t="str">
            <v>DADDY</v>
          </cell>
          <cell r="C397" t="str">
            <v>Ludachrizzle</v>
          </cell>
          <cell r="D397">
            <v>9</v>
          </cell>
          <cell r="E397" t="str">
            <v>Expert</v>
          </cell>
          <cell r="F397" t="str">
            <v>Kaizo</v>
          </cell>
          <cell r="G397">
            <v>44879</v>
          </cell>
          <cell r="H397" t="str">
            <v>32552</v>
          </cell>
          <cell r="I397" t="str">
            <v>https://www.smwcentral.net/?a=details&amp;id=32552&amp;p=section</v>
          </cell>
          <cell r="J397" t="str">
            <v>https://dl.smwcentral.net/32552/Daddy_v1.2.zip</v>
          </cell>
        </row>
        <row r="398">
          <cell r="A398" t="str">
            <v>Daemon Land</v>
          </cell>
          <cell r="B398" t="str">
            <v>Daemon Land</v>
          </cell>
          <cell r="C398" t="str">
            <v>51690</v>
          </cell>
          <cell r="D398">
            <v>8</v>
          </cell>
          <cell r="E398" t="str">
            <v>Master</v>
          </cell>
          <cell r="F398" t="str">
            <v>Kaizo</v>
          </cell>
          <cell r="G398">
            <v>44729</v>
          </cell>
          <cell r="H398" t="str">
            <v>31117</v>
          </cell>
          <cell r="I398" t="str">
            <v>https://www.smwcentral.net/?a=details&amp;id=31117&amp;p=section</v>
          </cell>
          <cell r="J398" t="str">
            <v>https://dl.smwcentral.net/31117/daemon%20land%201.2.zip</v>
          </cell>
        </row>
        <row r="399">
          <cell r="A399" t="str">
            <v>Daemon Land 2</v>
          </cell>
          <cell r="B399" t="str">
            <v>Daemon Land 2</v>
          </cell>
          <cell r="C399" t="str">
            <v>51690</v>
          </cell>
          <cell r="D399">
            <v>10</v>
          </cell>
          <cell r="E399" t="str">
            <v>Master</v>
          </cell>
          <cell r="F399" t="str">
            <v>Kaizo</v>
          </cell>
          <cell r="G399">
            <v>44529</v>
          </cell>
          <cell r="H399" t="str">
            <v>28678</v>
          </cell>
          <cell r="I399" t="str">
            <v>https://www.smwcentral.net/?a=details&amp;id=28678&amp;p=section</v>
          </cell>
          <cell r="J399" t="str">
            <v>https://dl.smwcentral.net/28678/daemon%20land%202.zip</v>
          </cell>
        </row>
        <row r="400">
          <cell r="A400" t="str">
            <v>Daemon Land 3</v>
          </cell>
          <cell r="B400" t="str">
            <v>Daemon Land 3</v>
          </cell>
          <cell r="C400" t="str">
            <v>51690</v>
          </cell>
          <cell r="D400">
            <v>8</v>
          </cell>
          <cell r="E400" t="str">
            <v>Master</v>
          </cell>
          <cell r="F400" t="str">
            <v>Kaizo</v>
          </cell>
          <cell r="G400">
            <v>44832</v>
          </cell>
          <cell r="H400" t="str">
            <v>32105</v>
          </cell>
          <cell r="I400" t="str">
            <v>https://www.smwcentral.net/?a=details&amp;id=32105&amp;p=section</v>
          </cell>
          <cell r="J400" t="str">
            <v>https://dl.smwcentral.net/32105/daemon%20land%203.zip</v>
          </cell>
        </row>
        <row r="401">
          <cell r="A401" t="str">
            <v>Daisy's Crazy Adventure</v>
          </cell>
          <cell r="B401" t="str">
            <v>Daisy's Crazy Adventure</v>
          </cell>
          <cell r="C401" t="str">
            <v>BlueSheep123</v>
          </cell>
          <cell r="D401">
            <v>17</v>
          </cell>
          <cell r="E401" t="str">
            <v>Intermediate</v>
          </cell>
          <cell r="F401" t="str">
            <v>Standard</v>
          </cell>
          <cell r="G401">
            <v>45494</v>
          </cell>
          <cell r="H401" t="str">
            <v>38109</v>
          </cell>
          <cell r="I401" t="str">
            <v>https://www.smwcentral.net/?a=details&amp;id=38109&amp;p=section</v>
          </cell>
          <cell r="J401" t="str">
            <v>https://dl.smwcentral.net/38109/Daisy%27s_Crazy_Adventure_1.1.0.zip</v>
          </cell>
        </row>
        <row r="402">
          <cell r="A402" t="str">
            <v>Dancer to a Discordant System</v>
          </cell>
          <cell r="B402" t="str">
            <v>Dancer to a Discordant System</v>
          </cell>
          <cell r="C402" t="str">
            <v>slopcore</v>
          </cell>
          <cell r="D402">
            <v>22</v>
          </cell>
          <cell r="E402" t="str">
            <v>Expert</v>
          </cell>
          <cell r="F402" t="str">
            <v>Kaizo</v>
          </cell>
          <cell r="G402">
            <v>44154</v>
          </cell>
          <cell r="H402" t="str">
            <v>25165</v>
          </cell>
          <cell r="I402" t="str">
            <v>https://www.smwcentral.net/?a=details&amp;id=25165&amp;p=section</v>
          </cell>
          <cell r="J402" t="str">
            <v>https://dl.smwcentral.net/25165/Dancer.zip</v>
          </cell>
        </row>
        <row r="403">
          <cell r="A403" t="str">
            <v>Danmaku Mario World</v>
          </cell>
          <cell r="B403" t="str">
            <v>Danmaku Mario World</v>
          </cell>
          <cell r="C403" t="str">
            <v>NikSik1</v>
          </cell>
          <cell r="D403">
            <v>0</v>
          </cell>
          <cell r="E403" t="str">
            <v>Intermediate</v>
          </cell>
          <cell r="F403" t="str">
            <v>Standard</v>
          </cell>
          <cell r="G403">
            <v>44635</v>
          </cell>
          <cell r="H403" t="str">
            <v>29831</v>
          </cell>
          <cell r="I403" t="str">
            <v>https://www.smwcentral.net/?a=details&amp;id=29831&amp;p=section</v>
          </cell>
          <cell r="J403" t="str">
            <v>https://dl.smwcentral.net/29831/Danmaku%20Mario%20World.zip</v>
          </cell>
        </row>
        <row r="404">
          <cell r="A404" t="str">
            <v>Dark Shelly World</v>
          </cell>
          <cell r="B404" t="str">
            <v>Dark Shelly World</v>
          </cell>
          <cell r="C404" t="str">
            <v>redkiller</v>
          </cell>
          <cell r="D404">
            <v>0</v>
          </cell>
          <cell r="E404" t="str">
            <v>Master</v>
          </cell>
          <cell r="F404" t="str">
            <v>Kaizo</v>
          </cell>
          <cell r="G404">
            <v>44480</v>
          </cell>
          <cell r="H404" t="str">
            <v>28537</v>
          </cell>
          <cell r="I404" t="str">
            <v>https://www.smwcentral.net/?a=details&amp;id=28537&amp;p=section</v>
          </cell>
          <cell r="J404" t="str">
            <v>https://dl.smwcentral.net/28537/Dark%20Shelly%20World.zip</v>
          </cell>
        </row>
        <row r="405">
          <cell r="A405" t="str">
            <v>Darkside 2</v>
          </cell>
          <cell r="B405" t="str">
            <v>Darkside 2</v>
          </cell>
          <cell r="C405" t="str">
            <v>Insanit</v>
          </cell>
          <cell r="D405">
            <v>8</v>
          </cell>
          <cell r="E405" t="str">
            <v>Expert</v>
          </cell>
          <cell r="F405" t="str">
            <v>Kaizo</v>
          </cell>
          <cell r="G405">
            <v>45781</v>
          </cell>
          <cell r="H405" t="str">
            <v>39786</v>
          </cell>
          <cell r="I405" t="str">
            <v>https://www.smwcentral.net/?a=details&amp;id=39786&amp;p=section</v>
          </cell>
          <cell r="J405" t="str">
            <v>https://dl.smwcentral.net/39786/Darkside%202.41.zip</v>
          </cell>
        </row>
        <row r="406">
          <cell r="A406" t="str">
            <v>Darkstar</v>
          </cell>
          <cell r="B406" t="str">
            <v>Darkstar</v>
          </cell>
          <cell r="C406" t="str">
            <v>MDBattleFrog</v>
          </cell>
          <cell r="D406">
            <v>18</v>
          </cell>
          <cell r="E406" t="str">
            <v>Master</v>
          </cell>
          <cell r="F406" t="str">
            <v>Kaizo</v>
          </cell>
          <cell r="G406">
            <v>43849</v>
          </cell>
          <cell r="H406" t="str">
            <v>21730</v>
          </cell>
          <cell r="I406" t="str">
            <v>https://www.smwcentral.net/?a=details&amp;id=21730&amp;p=section</v>
          </cell>
          <cell r="J406" t="str">
            <v>https://dl.smwcentral.net/21730/DarkstarV1.11.zip</v>
          </cell>
        </row>
        <row r="407">
          <cell r="A407" t="str">
            <v>Day at the races</v>
          </cell>
          <cell r="B407" t="str">
            <v>Day at the races</v>
          </cell>
          <cell r="C407" t="str">
            <v>Lush_50</v>
          </cell>
          <cell r="D407">
            <v>1</v>
          </cell>
          <cell r="E407" t="str">
            <v>Intermediate</v>
          </cell>
          <cell r="F407" t="str">
            <v>Kaizo</v>
          </cell>
          <cell r="G407">
            <v>44885</v>
          </cell>
          <cell r="H407" t="str">
            <v>32591</v>
          </cell>
          <cell r="I407" t="str">
            <v>https://www.smwcentral.net/?a=details&amp;id=32591&amp;p=section</v>
          </cell>
          <cell r="J407" t="str">
            <v>https://dl.smwcentral.net/32591/Day%20at%20the%20races%20v1.zip</v>
          </cell>
        </row>
        <row r="408">
          <cell r="A408" t="str">
            <v>Day At The Turkey Races</v>
          </cell>
          <cell r="B408" t="str">
            <v>Day At The Turkey Races</v>
          </cell>
          <cell r="C408" t="str">
            <v>Fryinb</v>
          </cell>
          <cell r="D408">
            <v>12</v>
          </cell>
          <cell r="E408" t="str">
            <v>Expert</v>
          </cell>
          <cell r="F408" t="str">
            <v>Kaizo</v>
          </cell>
          <cell r="G408">
            <v>45021</v>
          </cell>
          <cell r="H408" t="str">
            <v>33684</v>
          </cell>
          <cell r="I408" t="str">
            <v>https://www.smwcentral.net/?a=details&amp;id=33684&amp;p=section</v>
          </cell>
          <cell r="J408" t="str">
            <v>https://dl.smwcentral.net/33684/Turkey.zip</v>
          </cell>
        </row>
        <row r="409">
          <cell r="A409" t="str">
            <v>Day In The Life</v>
          </cell>
          <cell r="B409" t="str">
            <v>Day In The Life</v>
          </cell>
          <cell r="C409" t="str">
            <v>Darkanine</v>
          </cell>
          <cell r="D409">
            <v>10</v>
          </cell>
          <cell r="E409" t="str">
            <v>Expert</v>
          </cell>
          <cell r="F409" t="str">
            <v>Kaizo</v>
          </cell>
          <cell r="G409">
            <v>44561</v>
          </cell>
          <cell r="H409" t="str">
            <v>29121</v>
          </cell>
          <cell r="I409" t="str">
            <v>https://www.smwcentral.net/?a=details&amp;id=29121&amp;p=section</v>
          </cell>
          <cell r="J409" t="str">
            <v>https://dl.smwcentral.net/29121/DayInTheLife.zip</v>
          </cell>
        </row>
        <row r="410">
          <cell r="A410" t="str">
            <v>Day of the Muncher</v>
          </cell>
          <cell r="B410" t="str">
            <v>Day of the Muncher</v>
          </cell>
          <cell r="C410" t="str">
            <v>Dark Prince, Knucklesfan</v>
          </cell>
          <cell r="D410">
            <v>4</v>
          </cell>
          <cell r="E410" t="str">
            <v>Casual</v>
          </cell>
          <cell r="F410" t="str">
            <v>Standard</v>
          </cell>
          <cell r="G410">
            <v>44007</v>
          </cell>
          <cell r="H410" t="str">
            <v>23431</v>
          </cell>
          <cell r="I410" t="str">
            <v>https://www.smwcentral.net/?a=details&amp;id=23431&amp;p=section</v>
          </cell>
          <cell r="J410" t="str">
            <v>https://dl.smwcentral.net/23431/DayOfTheMuncher.zip</v>
          </cell>
        </row>
        <row r="411">
          <cell r="A411" t="str">
            <v>Daymaker: Release From Doomsday</v>
          </cell>
          <cell r="B411" t="str">
            <v>Daymaker: Release From Doomsday</v>
          </cell>
          <cell r="C411" t="str">
            <v>Plasma303</v>
          </cell>
          <cell r="D411">
            <v>89</v>
          </cell>
          <cell r="E411" t="str">
            <v>Casual</v>
          </cell>
          <cell r="F411" t="str">
            <v>Standard</v>
          </cell>
          <cell r="G411">
            <v>45638</v>
          </cell>
          <cell r="H411" t="str">
            <v>38884</v>
          </cell>
          <cell r="I411" t="str">
            <v>https://www.smwcentral.net/?a=details&amp;id=38884&amp;p=section</v>
          </cell>
          <cell r="J411" t="str">
            <v>https://dl.smwcentral.net/38884/drfdv1-4-1u.zip</v>
          </cell>
        </row>
        <row r="412">
          <cell r="A412" t="str">
            <v>Dead Man's Quest - Vagabond to Phantlore Island</v>
          </cell>
          <cell r="B412" t="str">
            <v>Dead Man's Quest - Vagabond to Phantlore Island</v>
          </cell>
          <cell r="C412" t="str">
            <v>Vamperumbra</v>
          </cell>
          <cell r="D412">
            <v>18</v>
          </cell>
          <cell r="E412" t="str">
            <v>Intermediate</v>
          </cell>
          <cell r="F412" t="str">
            <v>Standard</v>
          </cell>
          <cell r="G412">
            <v>42615</v>
          </cell>
          <cell r="H412" t="str">
            <v>14329</v>
          </cell>
          <cell r="I412" t="str">
            <v>https://www.smwcentral.net/?a=details&amp;id=14329&amp;p=section</v>
          </cell>
          <cell r="J412" t="str">
            <v>https://dl.smwcentral.net/14329/DMQ.zip</v>
          </cell>
        </row>
        <row r="413">
          <cell r="A413" t="str">
            <v>Dead-Man Mario World</v>
          </cell>
          <cell r="B413" t="str">
            <v>Dead-Man Mario World</v>
          </cell>
          <cell r="C413" t="str">
            <v>Uncle Dumbass, gamed9x</v>
          </cell>
          <cell r="D413">
            <v>7</v>
          </cell>
          <cell r="E413" t="str">
            <v>Casual</v>
          </cell>
          <cell r="F413" t="str">
            <v>Standard</v>
          </cell>
          <cell r="G413">
            <v>42134</v>
          </cell>
          <cell r="H413" t="str">
            <v>11304</v>
          </cell>
          <cell r="I413" t="str">
            <v>https://www.smwcentral.net/?a=details&amp;id=11304&amp;p=section</v>
          </cell>
          <cell r="J413" t="str">
            <v>https://dl.smwcentral.net/11304/deadman_mario.zip</v>
          </cell>
        </row>
        <row r="414">
          <cell r="A414" t="str">
            <v>Dearly Detested</v>
          </cell>
          <cell r="B414" t="str">
            <v>Dearly Detested</v>
          </cell>
          <cell r="C414" t="str">
            <v>Lazy</v>
          </cell>
          <cell r="D414">
            <v>0</v>
          </cell>
          <cell r="E414" t="str">
            <v>Master</v>
          </cell>
          <cell r="F414" t="str">
            <v>Kaizo</v>
          </cell>
          <cell r="G414">
            <v>46072</v>
          </cell>
          <cell r="H414" t="str">
            <v>41540</v>
          </cell>
          <cell r="I414" t="str">
            <v>https://www.smwcentral.net/?a=details&amp;id=41540&amp;p=section</v>
          </cell>
          <cell r="J414" t="str">
            <v>https://dl.smwcentral.net/41540/Dearly%20Detested.zip</v>
          </cell>
        </row>
        <row r="415">
          <cell r="A415" t="str">
            <v>Death of a Plumber</v>
          </cell>
          <cell r="B415" t="str">
            <v>Death of a Plumber</v>
          </cell>
          <cell r="C415" t="str">
            <v>cur</v>
          </cell>
          <cell r="D415">
            <v>23</v>
          </cell>
          <cell r="E415" t="str">
            <v>Expert</v>
          </cell>
          <cell r="F415" t="str">
            <v>Kaizo</v>
          </cell>
          <cell r="G415">
            <v>44349</v>
          </cell>
          <cell r="H415" t="str">
            <v>27165</v>
          </cell>
          <cell r="I415" t="str">
            <v>https://www.smwcentral.net/?a=details&amp;id=27165&amp;p=section</v>
          </cell>
          <cell r="J415" t="str">
            <v>https://dl.smwcentral.net/27165/Death%20of%20a%20Plumber%201.2.zip</v>
          </cell>
        </row>
        <row r="416">
          <cell r="A416" t="str">
            <v>Death Zone</v>
          </cell>
          <cell r="B416" t="str">
            <v>Death Zone</v>
          </cell>
          <cell r="C416" t="str">
            <v>turbofa</v>
          </cell>
          <cell r="D416">
            <v>11</v>
          </cell>
          <cell r="E416" t="str">
            <v>Advanced</v>
          </cell>
          <cell r="F416" t="str">
            <v>Kaizo, Tool-Assisted</v>
          </cell>
          <cell r="G416">
            <v>42873</v>
          </cell>
          <cell r="H416" t="str">
            <v>15505</v>
          </cell>
          <cell r="I416" t="str">
            <v>https://www.smwcentral.net/?a=details&amp;id=15505&amp;p=section</v>
          </cell>
          <cell r="J416" t="str">
            <v>https://dl.smwcentral.net/15505/DeathZone.zip</v>
          </cell>
        </row>
        <row r="417">
          <cell r="A417" t="str">
            <v>Deathshredder</v>
          </cell>
          <cell r="B417" t="str">
            <v>Deathshredder</v>
          </cell>
          <cell r="C417" t="str">
            <v>Reese</v>
          </cell>
          <cell r="D417">
            <v>1</v>
          </cell>
          <cell r="E417" t="str">
            <v>Expert</v>
          </cell>
          <cell r="F417" t="str">
            <v>Kaizo</v>
          </cell>
          <cell r="G417">
            <v>45595</v>
          </cell>
          <cell r="H417" t="str">
            <v>38714</v>
          </cell>
          <cell r="I417" t="str">
            <v>https://www.smwcentral.net/?a=details&amp;id=38714&amp;p=section</v>
          </cell>
          <cell r="J417" t="str">
            <v>https://dl.smwcentral.net/38714/Deathshredder.zip</v>
          </cell>
        </row>
        <row r="418">
          <cell r="A418" t="str">
            <v>DeClock Mario World Remastered</v>
          </cell>
          <cell r="B418" t="str">
            <v>DeClock Mario World Remastered</v>
          </cell>
          <cell r="C418" t="str">
            <v>Sammmoo</v>
          </cell>
          <cell r="D418">
            <v>20</v>
          </cell>
          <cell r="E418" t="str">
            <v>Expert</v>
          </cell>
          <cell r="F418" t="str">
            <v>Kaizo</v>
          </cell>
          <cell r="G418">
            <v>44033</v>
          </cell>
          <cell r="H418" t="str">
            <v>23833</v>
          </cell>
          <cell r="I418" t="str">
            <v>https://www.smwcentral.net/?a=details&amp;id=23833&amp;p=section</v>
          </cell>
          <cell r="J418" t="str">
            <v>https://dl.smwcentral.net/23833/DeClock%20Mario%20World%20Remastered%201.1.zip</v>
          </cell>
        </row>
        <row r="419">
          <cell r="A419" t="str">
            <v>Deep In The Island</v>
          </cell>
          <cell r="B419" t="str">
            <v>Deep In The Island</v>
          </cell>
          <cell r="C419" t="str">
            <v>dashlet</v>
          </cell>
          <cell r="D419">
            <v>7</v>
          </cell>
          <cell r="E419" t="str">
            <v>Intermediate</v>
          </cell>
          <cell r="F419" t="str">
            <v>Standard</v>
          </cell>
          <cell r="G419">
            <v>44779</v>
          </cell>
          <cell r="H419" t="str">
            <v>31559</v>
          </cell>
          <cell r="I419" t="str">
            <v>https://www.smwcentral.net/?a=details&amp;id=31559&amp;p=section</v>
          </cell>
          <cell r="J419" t="str">
            <v>https://dl.smwcentral.net/31559/Deep%20In%20The%20Island%20%28Ver%201.1%29.zip</v>
          </cell>
        </row>
        <row r="420">
          <cell r="A420" t="str">
            <v>DeepDreamWorld</v>
          </cell>
          <cell r="B420" t="str">
            <v>DeepDreamWorld</v>
          </cell>
          <cell r="C420" t="str">
            <v>Dobosco</v>
          </cell>
          <cell r="D420">
            <v>22</v>
          </cell>
          <cell r="E420" t="str">
            <v>Advanced</v>
          </cell>
          <cell r="F420" t="str">
            <v>Kaizo</v>
          </cell>
          <cell r="G420">
            <v>43879</v>
          </cell>
          <cell r="H420" t="str">
            <v>22110</v>
          </cell>
          <cell r="I420" t="str">
            <v>https://www.smwcentral.net/?a=details&amp;id=22110&amp;p=section</v>
          </cell>
          <cell r="J420" t="str">
            <v>https://dl.smwcentral.net/22110/DeepDreamWorld.zip</v>
          </cell>
        </row>
        <row r="421">
          <cell r="A421" t="str">
            <v>DEEZ shells</v>
          </cell>
          <cell r="B421" t="str">
            <v>DEEZ shells</v>
          </cell>
          <cell r="C421" t="str">
            <v>Firstnamebutt</v>
          </cell>
          <cell r="D421">
            <v>17</v>
          </cell>
          <cell r="E421" t="str">
            <v>Expert</v>
          </cell>
          <cell r="F421" t="str">
            <v>Kaizo</v>
          </cell>
          <cell r="G421">
            <v>45076</v>
          </cell>
          <cell r="H421" t="str">
            <v>34025</v>
          </cell>
          <cell r="I421" t="str">
            <v>https://www.smwcentral.net/?a=details&amp;id=34025&amp;p=section</v>
          </cell>
          <cell r="J421" t="str">
            <v>https://dl.smwcentral.net/34025/DEEZ%20shells.zip</v>
          </cell>
        </row>
        <row r="422">
          <cell r="A422" t="str">
            <v>Deja Vu</v>
          </cell>
          <cell r="B422" t="str">
            <v>Deja Vu</v>
          </cell>
          <cell r="C422" t="str">
            <v>Razberry</v>
          </cell>
          <cell r="D422">
            <v>10</v>
          </cell>
          <cell r="E422" t="str">
            <v>Expert</v>
          </cell>
          <cell r="F422" t="str">
            <v>Kaizo</v>
          </cell>
          <cell r="G422">
            <v>44817</v>
          </cell>
          <cell r="H422" t="str">
            <v>32023</v>
          </cell>
          <cell r="I422" t="str">
            <v>https://www.smwcentral.net/?a=details&amp;id=32023&amp;p=section</v>
          </cell>
          <cell r="J422" t="str">
            <v>https://dl.smwcentral.net/32023/Deja%20Vu%201.3.zip</v>
          </cell>
        </row>
        <row r="423">
          <cell r="A423" t="str">
            <v>Delirious Mario</v>
          </cell>
          <cell r="B423" t="str">
            <v>Delirious Mario</v>
          </cell>
          <cell r="C423" t="str">
            <v>ageVerrly</v>
          </cell>
          <cell r="D423">
            <v>5</v>
          </cell>
          <cell r="E423" t="str">
            <v>Master</v>
          </cell>
          <cell r="F423" t="str">
            <v>Kaizo</v>
          </cell>
          <cell r="G423">
            <v>44304</v>
          </cell>
          <cell r="H423" t="str">
            <v>26493</v>
          </cell>
          <cell r="I423" t="str">
            <v>https://www.smwcentral.net/?a=details&amp;id=26493&amp;p=section</v>
          </cell>
          <cell r="J423" t="str">
            <v>https://dl.smwcentral.net/26493/delirious.zip</v>
          </cell>
        </row>
        <row r="424">
          <cell r="A424" t="str">
            <v>Delirium</v>
          </cell>
          <cell r="B424" t="str">
            <v>Delirium</v>
          </cell>
          <cell r="C424" t="str">
            <v>LightAligns</v>
          </cell>
          <cell r="D424">
            <v>9</v>
          </cell>
          <cell r="E424" t="str">
            <v>Expert</v>
          </cell>
          <cell r="F424" t="str">
            <v>Kaizo</v>
          </cell>
          <cell r="G424">
            <v>46081</v>
          </cell>
          <cell r="H424" t="str">
            <v>41773</v>
          </cell>
          <cell r="I424" t="str">
            <v>https://www.smwcentral.net/?a=details&amp;id=41773&amp;p=section</v>
          </cell>
          <cell r="J424" t="str">
            <v>https://dl.smwcentral.net/41773/Delirium.zip</v>
          </cell>
        </row>
        <row r="425">
          <cell r="A425" t="str">
            <v>Demonsul's Fortress</v>
          </cell>
          <cell r="B425" t="str">
            <v>Demonsul's Fortress</v>
          </cell>
          <cell r="C425" t="str">
            <v>Demonsul</v>
          </cell>
          <cell r="D425">
            <v>1</v>
          </cell>
          <cell r="E425" t="str">
            <v>Intermediate</v>
          </cell>
          <cell r="F425" t="str">
            <v>Standard</v>
          </cell>
          <cell r="G425">
            <v>42161</v>
          </cell>
          <cell r="H425" t="str">
            <v>9950</v>
          </cell>
          <cell r="I425" t="str">
            <v>https://www.smwcentral.net/?a=details&amp;id=9950&amp;p=section</v>
          </cell>
          <cell r="J425" t="str">
            <v>https://dl.smwcentral.net/9950/DemonsulsFortressDemo2W.zip</v>
          </cell>
        </row>
        <row r="426">
          <cell r="A426" t="str">
            <v>Denali's Tail</v>
          </cell>
          <cell r="B426" t="str">
            <v>Denali's Tail</v>
          </cell>
          <cell r="C426" t="str">
            <v>Atomic-Citrus</v>
          </cell>
          <cell r="D426">
            <v>10</v>
          </cell>
          <cell r="E426" t="str">
            <v>Expert</v>
          </cell>
          <cell r="F426" t="str">
            <v>Standard, Kaizo</v>
          </cell>
          <cell r="G426">
            <v>43817</v>
          </cell>
          <cell r="H426" t="str">
            <v>21639</v>
          </cell>
          <cell r="I426" t="str">
            <v>https://www.smwcentral.net/?a=details&amp;id=21639&amp;p=section</v>
          </cell>
          <cell r="J426" t="str">
            <v>https://dl.smwcentral.net/21639/Denali%27s%20Tail.zip</v>
          </cell>
        </row>
        <row r="427">
          <cell r="A427" t="str">
            <v>Desert Traveling</v>
          </cell>
          <cell r="B427" t="str">
            <v>Desert Traveling</v>
          </cell>
          <cell r="C427" t="str">
            <v>2362</v>
          </cell>
          <cell r="D427">
            <v>1</v>
          </cell>
          <cell r="E427" t="str">
            <v>Newcomer</v>
          </cell>
          <cell r="F427" t="str">
            <v>Standard</v>
          </cell>
          <cell r="G427">
            <v>42339</v>
          </cell>
          <cell r="H427" t="str">
            <v>10541</v>
          </cell>
          <cell r="I427" t="str">
            <v>https://www.smwcentral.net/?a=details&amp;id=10541&amp;p=section</v>
          </cell>
          <cell r="J427" t="str">
            <v>https://dl.smwcentral.net/10541/DesertTraveling.zip</v>
          </cell>
        </row>
        <row r="428">
          <cell r="A428" t="str">
            <v>Devil's Asylum</v>
          </cell>
          <cell r="B428" t="str">
            <v>Devil's Asylum</v>
          </cell>
          <cell r="C428" t="str">
            <v>TheMorganah</v>
          </cell>
          <cell r="D428">
            <v>2</v>
          </cell>
          <cell r="E428" t="str">
            <v>Intermediate</v>
          </cell>
          <cell r="F428" t="str">
            <v>Standard</v>
          </cell>
          <cell r="G428">
            <v>45957</v>
          </cell>
          <cell r="H428" t="str">
            <v>40873</v>
          </cell>
          <cell r="I428" t="str">
            <v>https://www.smwcentral.net/?a=details&amp;id=40873&amp;p=section</v>
          </cell>
          <cell r="J428" t="str">
            <v>https://dl.smwcentral.net/40873/%5B2021%5D%20Devil%27s%20Asylum%20DEMO.zip</v>
          </cell>
        </row>
        <row r="429">
          <cell r="A429" t="str">
            <v>Diffidence</v>
          </cell>
          <cell r="B429" t="str">
            <v>Diffidence</v>
          </cell>
          <cell r="C429" t="str">
            <v>Firstnamebutt</v>
          </cell>
          <cell r="D429">
            <v>20</v>
          </cell>
          <cell r="E429" t="str">
            <v>Expert</v>
          </cell>
          <cell r="F429" t="str">
            <v>Kaizo</v>
          </cell>
          <cell r="G429">
            <v>45463</v>
          </cell>
          <cell r="H429" t="str">
            <v>37981</v>
          </cell>
          <cell r="I429" t="str">
            <v>https://www.smwcentral.net/?a=details&amp;id=37981&amp;p=section</v>
          </cell>
          <cell r="J429" t="str">
            <v>https://dl.smwcentral.net/37981/Diffidence.zip</v>
          </cell>
        </row>
        <row r="430">
          <cell r="A430" t="str">
            <v>Digital Rage World</v>
          </cell>
          <cell r="B430" t="str">
            <v>Digital Rage World</v>
          </cell>
          <cell r="C430" t="str">
            <v>MarioFan1337</v>
          </cell>
          <cell r="D430">
            <v>15</v>
          </cell>
          <cell r="E430" t="str">
            <v>Advanced</v>
          </cell>
          <cell r="F430" t="str">
            <v>Kaizo</v>
          </cell>
          <cell r="G430">
            <v>45635</v>
          </cell>
          <cell r="H430" t="str">
            <v>38888</v>
          </cell>
          <cell r="I430" t="str">
            <v>https://www.smwcentral.net/?a=details&amp;id=38888&amp;p=section</v>
          </cell>
          <cell r="J430" t="str">
            <v>https://dl.smwcentral.net/38888/Digital_Rage_World.zip</v>
          </cell>
        </row>
        <row r="431">
          <cell r="A431" t="str">
            <v>Dim Spirits: In-Blood - Complete Edition</v>
          </cell>
          <cell r="B431" t="str">
            <v>Dim Spirits: In-Blood - Complete Edition</v>
          </cell>
          <cell r="C431" t="str">
            <v>blackhart</v>
          </cell>
          <cell r="D431">
            <v>5</v>
          </cell>
          <cell r="E431" t="str">
            <v>Expert</v>
          </cell>
          <cell r="F431" t="str">
            <v>Kaizo</v>
          </cell>
          <cell r="G431">
            <v>44536</v>
          </cell>
          <cell r="H431" t="str">
            <v>28925</v>
          </cell>
          <cell r="I431" t="str">
            <v>https://www.smwcentral.net/?a=details&amp;id=28925&amp;p=section</v>
          </cell>
          <cell r="J431" t="str">
            <v>https://dl.smwcentral.net/28925/Dim%20Spirits.zip</v>
          </cell>
        </row>
        <row r="432">
          <cell r="A432" t="str">
            <v>DINGS</v>
          </cell>
          <cell r="B432" t="str">
            <v>DINGS</v>
          </cell>
          <cell r="C432" t="str">
            <v>neidoodle</v>
          </cell>
          <cell r="D432">
            <v>3</v>
          </cell>
          <cell r="E432" t="str">
            <v>Casual</v>
          </cell>
          <cell r="F432" t="str">
            <v>Standard</v>
          </cell>
          <cell r="G432">
            <v>42270</v>
          </cell>
          <cell r="H432" t="str">
            <v>12147</v>
          </cell>
          <cell r="I432" t="str">
            <v>https://www.smwcentral.net/?a=details&amp;id=12147&amp;p=section</v>
          </cell>
          <cell r="J432" t="str">
            <v>https://dl.smwcentral.net/12147/DINGS.zip</v>
          </cell>
        </row>
        <row r="433">
          <cell r="A433" t="str">
            <v>Dininho World</v>
          </cell>
          <cell r="B433" t="str">
            <v>Dininho World</v>
          </cell>
          <cell r="C433" t="str">
            <v>MIRANHA</v>
          </cell>
          <cell r="D433">
            <v>9</v>
          </cell>
          <cell r="E433" t="str">
            <v>Expert</v>
          </cell>
          <cell r="F433" t="str">
            <v>Kaizo</v>
          </cell>
          <cell r="G433">
            <v>43860</v>
          </cell>
          <cell r="H433" t="str">
            <v>22036</v>
          </cell>
          <cell r="I433" t="str">
            <v>https://www.smwcentral.net/?a=details&amp;id=22036&amp;p=section</v>
          </cell>
          <cell r="J433" t="str">
            <v>https://dl.smwcentral.net/22036/dininhoworld.zip</v>
          </cell>
        </row>
        <row r="434">
          <cell r="A434" t="str">
            <v>Dinomar: Adventure of a SMWCentral User</v>
          </cell>
          <cell r="B434" t="str">
            <v>Dinomar: Adventure of a SMWCentral User</v>
          </cell>
          <cell r="C434" t="str">
            <v>Saturn the Donkey</v>
          </cell>
          <cell r="D434">
            <v>20</v>
          </cell>
          <cell r="E434" t="str">
            <v>Casual</v>
          </cell>
          <cell r="F434" t="str">
            <v>Standard</v>
          </cell>
          <cell r="G434">
            <v>42276</v>
          </cell>
          <cell r="H434" t="str">
            <v>10087</v>
          </cell>
          <cell r="I434" t="str">
            <v>https://www.smwcentral.net/?a=details&amp;id=10087&amp;p=section</v>
          </cell>
          <cell r="J434" t="str">
            <v>https://dl.smwcentral.net/10087/Dinomar.zip</v>
          </cell>
        </row>
        <row r="435">
          <cell r="A435" t="str">
            <v>Disk Defrag</v>
          </cell>
          <cell r="B435" t="str">
            <v>Disk Defrag</v>
          </cell>
          <cell r="C435" t="str">
            <v>levelengine</v>
          </cell>
          <cell r="D435">
            <v>12</v>
          </cell>
          <cell r="E435" t="str">
            <v>Advanced</v>
          </cell>
          <cell r="F435" t="str">
            <v>Standard</v>
          </cell>
          <cell r="G435">
            <v>44317</v>
          </cell>
          <cell r="H435" t="str">
            <v>25772</v>
          </cell>
          <cell r="I435" t="str">
            <v>https://www.smwcentral.net/?a=details&amp;id=25772&amp;p=section</v>
          </cell>
          <cell r="J435" t="str">
            <v>https://dl.smwcentral.net/25772/DiskDefrag.zip</v>
          </cell>
        </row>
        <row r="436">
          <cell r="A436" t="str">
            <v>Do The Mario</v>
          </cell>
          <cell r="B436" t="str">
            <v>Do The Mario</v>
          </cell>
          <cell r="C436" t="str">
            <v>Tob</v>
          </cell>
          <cell r="D436">
            <v>8</v>
          </cell>
          <cell r="E436" t="str">
            <v>Intermediate</v>
          </cell>
          <cell r="F436" t="str">
            <v>Standard</v>
          </cell>
          <cell r="G436">
            <v>42694</v>
          </cell>
          <cell r="H436" t="str">
            <v>14675</v>
          </cell>
          <cell r="I436" t="str">
            <v>https://www.smwcentral.net/?a=details&amp;id=14675&amp;p=section</v>
          </cell>
          <cell r="J436" t="str">
            <v>https://dl.smwcentral.net/14675/Do%20The%20Mario%20Demo%201.2.2.1.zip</v>
          </cell>
        </row>
        <row r="437">
          <cell r="A437" t="str">
            <v>domenyX Christmas</v>
          </cell>
          <cell r="B437" t="str">
            <v>domenyX Christmas</v>
          </cell>
          <cell r="C437" t="str">
            <v>LucasMegaStriker, domenyX</v>
          </cell>
          <cell r="D437">
            <v>8</v>
          </cell>
          <cell r="E437" t="str">
            <v>Casual</v>
          </cell>
          <cell r="F437" t="str">
            <v>Standard</v>
          </cell>
          <cell r="G437">
            <v>43827</v>
          </cell>
          <cell r="H437" t="str">
            <v>21689</v>
          </cell>
          <cell r="I437" t="str">
            <v>https://www.smwcentral.net/?a=details&amp;id=21689&amp;p=section</v>
          </cell>
          <cell r="J437" t="str">
            <v>https://dl.smwcentral.net/21689/domenyXChristmas.zip</v>
          </cell>
        </row>
        <row r="438">
          <cell r="A438" t="str">
            <v>domenyX Generations</v>
          </cell>
          <cell r="B438" t="str">
            <v>domenyX Generations</v>
          </cell>
          <cell r="C438" t="str">
            <v>LucasMegaStriker</v>
          </cell>
          <cell r="D438">
            <v>30</v>
          </cell>
          <cell r="E438" t="str">
            <v>Intermediate</v>
          </cell>
          <cell r="F438" t="str">
            <v>Standard</v>
          </cell>
          <cell r="G438">
            <v>44617</v>
          </cell>
          <cell r="H438" t="str">
            <v>29956</v>
          </cell>
          <cell r="I438" t="str">
            <v>https://www.smwcentral.net/?a=details&amp;id=29956&amp;p=section</v>
          </cell>
          <cell r="J438" t="str">
            <v>https://dl.smwcentral.net/29956/domenyXGenerations.zip</v>
          </cell>
        </row>
        <row r="439">
          <cell r="A439" t="str">
            <v>domenyX vs Coronavirus</v>
          </cell>
          <cell r="B439" t="str">
            <v>domenyX vs Coronavirus</v>
          </cell>
          <cell r="C439" t="str">
            <v>LucasMegaStriker</v>
          </cell>
          <cell r="D439">
            <v>21</v>
          </cell>
          <cell r="E439" t="str">
            <v>Intermediate</v>
          </cell>
          <cell r="F439" t="str">
            <v>Standard</v>
          </cell>
          <cell r="G439">
            <v>43949</v>
          </cell>
          <cell r="H439" t="str">
            <v>22814</v>
          </cell>
          <cell r="I439" t="str">
            <v>https://www.smwcentral.net/?a=details&amp;id=22814&amp;p=section</v>
          </cell>
          <cell r="J439" t="str">
            <v>https://dl.smwcentral.net/22814/domenyXvsCorona.zip</v>
          </cell>
        </row>
        <row r="440">
          <cell r="A440" t="str">
            <v>domenyX: Trouble in Paradise</v>
          </cell>
          <cell r="B440" t="str">
            <v>domenyX: Trouble in Paradise</v>
          </cell>
          <cell r="C440" t="str">
            <v>LucasMegaStriker, Mpereira</v>
          </cell>
          <cell r="D440">
            <v>12</v>
          </cell>
          <cell r="E440" t="str">
            <v>Intermediate</v>
          </cell>
          <cell r="F440" t="str">
            <v>Standard</v>
          </cell>
          <cell r="G440">
            <v>44414</v>
          </cell>
          <cell r="H440" t="str">
            <v>27847</v>
          </cell>
          <cell r="I440" t="str">
            <v>https://www.smwcentral.net/?a=details&amp;id=27847&amp;p=section</v>
          </cell>
          <cell r="J440" t="str">
            <v>https://dl.smwcentral.net/27847/domenyX_Paradise.zip</v>
          </cell>
        </row>
        <row r="441">
          <cell r="A441" t="str">
            <v>Don't Dig Down</v>
          </cell>
          <cell r="B441" t="str">
            <v>Don't Dig Down</v>
          </cell>
          <cell r="C441" t="str">
            <v>TheGremlin</v>
          </cell>
          <cell r="D441">
            <v>2</v>
          </cell>
          <cell r="E441" t="str">
            <v>Intermediate</v>
          </cell>
          <cell r="F441" t="str">
            <v>Standard, Kaizo</v>
          </cell>
          <cell r="G441">
            <v>45174</v>
          </cell>
          <cell r="H441" t="str">
            <v>34952</v>
          </cell>
          <cell r="I441" t="str">
            <v>https://www.smwcentral.net/?a=details&amp;id=34952&amp;p=section</v>
          </cell>
          <cell r="J441" t="str">
            <v>https://dl.smwcentral.net/34952/DontDigDown%20v7.zip</v>
          </cell>
        </row>
        <row r="442">
          <cell r="A442" t="str">
            <v>Don't Panic</v>
          </cell>
          <cell r="B442" t="str">
            <v>Don't Panic</v>
          </cell>
          <cell r="C442" t="str">
            <v>Nicoke42</v>
          </cell>
          <cell r="D442">
            <v>11</v>
          </cell>
          <cell r="E442" t="str">
            <v>Expert</v>
          </cell>
          <cell r="F442" t="str">
            <v>Kaizo</v>
          </cell>
          <cell r="G442">
            <v>44252</v>
          </cell>
          <cell r="H442" t="str">
            <v>26179</v>
          </cell>
          <cell r="I442" t="str">
            <v>https://www.smwcentral.net/?a=details&amp;id=26179&amp;p=section</v>
          </cell>
          <cell r="J442" t="str">
            <v>https://dl.smwcentral.net/26179/DontPanic.zip</v>
          </cell>
        </row>
        <row r="443">
          <cell r="A443" t="str">
            <v>Don't Spare the Horses</v>
          </cell>
          <cell r="B443" t="str">
            <v>Don't Spare the Horses</v>
          </cell>
          <cell r="C443" t="str">
            <v>Morsel</v>
          </cell>
          <cell r="D443">
            <v>8</v>
          </cell>
          <cell r="E443" t="str">
            <v>Master</v>
          </cell>
          <cell r="F443" t="str">
            <v>Kaizo</v>
          </cell>
          <cell r="G443">
            <v>44420</v>
          </cell>
          <cell r="H443" t="str">
            <v>27833</v>
          </cell>
          <cell r="I443" t="str">
            <v>https://www.smwcentral.net/?a=details&amp;id=27833&amp;p=section</v>
          </cell>
          <cell r="J443" t="str">
            <v>https://dl.smwcentral.net/27833/horses1.2.zip</v>
          </cell>
        </row>
        <row r="444">
          <cell r="A444" t="str">
            <v>Dongs! The Hack</v>
          </cell>
          <cell r="B444" t="str">
            <v>Dongs! The Hack</v>
          </cell>
          <cell r="C444" t="str">
            <v>The Kins</v>
          </cell>
          <cell r="D444">
            <v>5</v>
          </cell>
          <cell r="E444" t="str">
            <v>Newcomer</v>
          </cell>
          <cell r="F444" t="str">
            <v>Standard</v>
          </cell>
          <cell r="G444">
            <v>41462</v>
          </cell>
          <cell r="H444" t="str">
            <v>5224</v>
          </cell>
          <cell r="I444" t="str">
            <v>https://www.smwcentral.net/?a=details&amp;id=5224&amp;p=section</v>
          </cell>
          <cell r="J444" t="str">
            <v>https://dl.smwcentral.net/5224/dongs.zip</v>
          </cell>
        </row>
        <row r="445">
          <cell r="A445" t="str">
            <v>Donkey Kong 2: The Rise of Jumpman!</v>
          </cell>
          <cell r="B445" t="str">
            <v>Donkey Kong 2: The Rise of Jumpman!</v>
          </cell>
          <cell r="C445" t="str">
            <v>Big Brawler</v>
          </cell>
          <cell r="D445">
            <v>4</v>
          </cell>
          <cell r="E445" t="str">
            <v>Intermediate</v>
          </cell>
          <cell r="F445" t="str">
            <v>Standard</v>
          </cell>
          <cell r="G445">
            <v>42933</v>
          </cell>
          <cell r="H445" t="str">
            <v>15853</v>
          </cell>
          <cell r="I445" t="str">
            <v>https://www.smwcentral.net/?a=details&amp;id=15853&amp;p=section</v>
          </cell>
          <cell r="J445" t="str">
            <v>https://dl.smwcentral.net/15853/DK2%20-%20The%20Rise%20of%20Jumpman.zip</v>
          </cell>
        </row>
        <row r="446">
          <cell r="A446" t="str">
            <v>Donkey Kong 3: Another Rise!</v>
          </cell>
          <cell r="B446" t="str">
            <v>Donkey Kong 3: Another Rise!</v>
          </cell>
          <cell r="C446" t="str">
            <v>Big Brawler</v>
          </cell>
          <cell r="D446">
            <v>4</v>
          </cell>
          <cell r="E446" t="str">
            <v>Intermediate</v>
          </cell>
          <cell r="F446" t="str">
            <v>Standard</v>
          </cell>
          <cell r="G446">
            <v>43305</v>
          </cell>
          <cell r="H446" t="str">
            <v>17934</v>
          </cell>
          <cell r="I446" t="str">
            <v>https://www.smwcentral.net/?a=details&amp;id=17934&amp;p=section</v>
          </cell>
          <cell r="J446" t="str">
            <v>https://dl.smwcentral.net/17934/Donkey%20Kong%203%20Another%20Rise%21%20Ver1.3.zip</v>
          </cell>
        </row>
        <row r="447">
          <cell r="A447" t="str">
            <v>Donkey Kong 4: Rise and Repeat</v>
          </cell>
          <cell r="B447" t="str">
            <v>Donkey Kong 4: Rise and Repeat</v>
          </cell>
          <cell r="C447" t="str">
            <v>Big Brawler</v>
          </cell>
          <cell r="D447">
            <v>4</v>
          </cell>
          <cell r="E447" t="str">
            <v>Intermediate</v>
          </cell>
          <cell r="F447" t="str">
            <v>Standard</v>
          </cell>
          <cell r="G447">
            <v>45710</v>
          </cell>
          <cell r="H447" t="str">
            <v>39212</v>
          </cell>
          <cell r="I447" t="str">
            <v>https://www.smwcentral.net/?a=details&amp;id=39212&amp;p=section</v>
          </cell>
          <cell r="J447" t="str">
            <v>https://dl.smwcentral.net/39212/DK4%20Rise%20and%20Repeat.zip</v>
          </cell>
        </row>
        <row r="448">
          <cell r="A448" t="str">
            <v>Doodlebob's Revenge</v>
          </cell>
          <cell r="B448" t="str">
            <v>Doodlebob's Revenge</v>
          </cell>
          <cell r="C448" t="str">
            <v>Boosius</v>
          </cell>
          <cell r="D448">
            <v>1</v>
          </cell>
          <cell r="E448" t="str">
            <v>Intermediate</v>
          </cell>
          <cell r="F448" t="str">
            <v>Standard</v>
          </cell>
          <cell r="G448">
            <v>44362</v>
          </cell>
          <cell r="H448" t="str">
            <v>27143</v>
          </cell>
          <cell r="I448" t="str">
            <v>https://www.smwcentral.net/?a=details&amp;id=27143&amp;p=section</v>
          </cell>
          <cell r="J448" t="str">
            <v>https://dl.smwcentral.net/27143/doodlebob%27s%20revenge.zip</v>
          </cell>
        </row>
        <row r="449">
          <cell r="A449" t="str">
            <v>Doomscroll</v>
          </cell>
          <cell r="B449" t="str">
            <v>Doomscroll</v>
          </cell>
          <cell r="C449" t="str">
            <v>VLSkoot</v>
          </cell>
          <cell r="D449">
            <v>19</v>
          </cell>
          <cell r="E449" t="str">
            <v>Expert</v>
          </cell>
          <cell r="F449" t="str">
            <v>Kaizo</v>
          </cell>
          <cell r="G449">
            <v>46046</v>
          </cell>
          <cell r="H449" t="str">
            <v>41481</v>
          </cell>
          <cell r="I449" t="str">
            <v>https://www.smwcentral.net/?a=details&amp;id=41481&amp;p=section</v>
          </cell>
          <cell r="J449" t="str">
            <v>https://dl.smwcentral.net/41481/Doomscroll.zip</v>
          </cell>
        </row>
        <row r="450">
          <cell r="A450" t="str">
            <v>Dooooors</v>
          </cell>
          <cell r="B450" t="str">
            <v>Dooooors</v>
          </cell>
          <cell r="C450" t="str">
            <v>Stairkase</v>
          </cell>
          <cell r="D450">
            <v>21</v>
          </cell>
          <cell r="E450" t="str">
            <v>Advanced</v>
          </cell>
          <cell r="F450" t="str">
            <v>Kaizo</v>
          </cell>
          <cell r="G450">
            <v>43658</v>
          </cell>
          <cell r="H450" t="str">
            <v>20577</v>
          </cell>
          <cell r="I450" t="str">
            <v>https://www.smwcentral.net/?a=details&amp;id=20577&amp;p=section</v>
          </cell>
          <cell r="J450" t="str">
            <v>https://dl.smwcentral.net/20577/Dooooors.zip</v>
          </cell>
        </row>
        <row r="451">
          <cell r="A451" t="str">
            <v>Doopliss Revenge</v>
          </cell>
          <cell r="B451" t="str">
            <v>Doopliss Revenge</v>
          </cell>
          <cell r="C451" t="str">
            <v>kirbydavy</v>
          </cell>
          <cell r="D451">
            <v>4</v>
          </cell>
          <cell r="E451" t="str">
            <v>Casual</v>
          </cell>
          <cell r="F451" t="str">
            <v>Standard</v>
          </cell>
          <cell r="G451">
            <v>42108</v>
          </cell>
          <cell r="H451" t="str">
            <v>9655</v>
          </cell>
          <cell r="I451" t="str">
            <v>https://www.smwcentral.net/?a=details&amp;id=9655&amp;p=section</v>
          </cell>
          <cell r="J451" t="str">
            <v>https://dl.smwcentral.net/9655/Doopliss%20Revenge.zip</v>
          </cell>
        </row>
        <row r="452">
          <cell r="A452" t="str">
            <v>Doro Chill</v>
          </cell>
          <cell r="B452" t="str">
            <v>Doro Chill</v>
          </cell>
          <cell r="C452" t="str">
            <v>xLyfu</v>
          </cell>
          <cell r="D452">
            <v>17</v>
          </cell>
          <cell r="E452" t="str">
            <v>Intermediate</v>
          </cell>
          <cell r="F452" t="str">
            <v>Kaizo</v>
          </cell>
          <cell r="G452">
            <v>45349</v>
          </cell>
          <cell r="H452" t="str">
            <v>37065</v>
          </cell>
          <cell r="I452" t="str">
            <v>https://www.smwcentral.net/?a=details&amp;id=37065&amp;p=section</v>
          </cell>
          <cell r="J452" t="str">
            <v>https://dl.smwcentral.net/37065/Doro%20Chill.zip</v>
          </cell>
        </row>
        <row r="453">
          <cell r="A453" t="str">
            <v>Doro Kaizo</v>
          </cell>
          <cell r="B453" t="str">
            <v>Doro Kaizo</v>
          </cell>
          <cell r="C453" t="str">
            <v>Lyfah</v>
          </cell>
          <cell r="D453">
            <v>20</v>
          </cell>
          <cell r="E453" t="str">
            <v>Expert</v>
          </cell>
          <cell r="F453" t="str">
            <v>Kaizo</v>
          </cell>
          <cell r="G453">
            <v>44937</v>
          </cell>
          <cell r="H453" t="str">
            <v>32883</v>
          </cell>
          <cell r="I453" t="str">
            <v>https://www.smwcentral.net/?a=details&amp;id=32883&amp;p=section</v>
          </cell>
          <cell r="J453" t="str">
            <v>https://dl.smwcentral.net/32883/Doro%20Kaizo.zip</v>
          </cell>
        </row>
        <row r="454">
          <cell r="A454" t="str">
            <v>Double Jump Man</v>
          </cell>
          <cell r="B454" t="str">
            <v>Double Jump Man</v>
          </cell>
          <cell r="C454" t="str">
            <v>Morsel</v>
          </cell>
          <cell r="D454">
            <v>16</v>
          </cell>
          <cell r="E454" t="str">
            <v>Master</v>
          </cell>
          <cell r="F454" t="str">
            <v>Kaizo</v>
          </cell>
          <cell r="G454">
            <v>44218</v>
          </cell>
          <cell r="H454" t="str">
            <v>26004</v>
          </cell>
          <cell r="I454" t="str">
            <v>https://www.smwcentral.net/?a=details&amp;id=26004&amp;p=section</v>
          </cell>
          <cell r="J454" t="str">
            <v>https://dl.smwcentral.net/26004/double.zip</v>
          </cell>
        </row>
        <row r="455">
          <cell r="A455" t="str">
            <v>Dr. Mario World Redrawn</v>
          </cell>
          <cell r="B455" t="str">
            <v>Dr. Mario World Redrawn</v>
          </cell>
          <cell r="C455" t="str">
            <v>B.B.Link</v>
          </cell>
          <cell r="D455">
            <v>60</v>
          </cell>
          <cell r="E455" t="str">
            <v>Casual</v>
          </cell>
          <cell r="F455" t="str">
            <v>Standard</v>
          </cell>
          <cell r="G455">
            <v>41673</v>
          </cell>
          <cell r="H455" t="str">
            <v>6255</v>
          </cell>
          <cell r="I455" t="str">
            <v>https://www.smwcentral.net/?a=details&amp;id=6255&amp;p=section</v>
          </cell>
          <cell r="J455" t="str">
            <v>https://dl.smwcentral.net/6255/Dr.%20Mario%20World%20Redrawn%20SMWC.zip</v>
          </cell>
        </row>
        <row r="456">
          <cell r="A456" t="str">
            <v>Dreadshredder</v>
          </cell>
          <cell r="B456" t="str">
            <v>Dreadshredder</v>
          </cell>
          <cell r="C456" t="str">
            <v>Reese</v>
          </cell>
          <cell r="D456">
            <v>5</v>
          </cell>
          <cell r="E456" t="str">
            <v>Master</v>
          </cell>
          <cell r="F456" t="str">
            <v>Kaizo</v>
          </cell>
          <cell r="G456">
            <v>45613</v>
          </cell>
          <cell r="H456" t="str">
            <v>38795</v>
          </cell>
          <cell r="I456" t="str">
            <v>https://www.smwcentral.net/?a=details&amp;id=38795&amp;p=section</v>
          </cell>
          <cell r="J456" t="str">
            <v>https://dl.smwcentral.net/38795/Dreadshredder%20v1.01.zip</v>
          </cell>
        </row>
        <row r="457">
          <cell r="A457" t="str">
            <v>Dream Collider</v>
          </cell>
          <cell r="B457" t="str">
            <v>Dream Collider</v>
          </cell>
          <cell r="C457" t="str">
            <v>VLSkoot</v>
          </cell>
          <cell r="D457">
            <v>0</v>
          </cell>
          <cell r="E457" t="str">
            <v>Expert</v>
          </cell>
          <cell r="F457" t="str">
            <v>Kaizo</v>
          </cell>
          <cell r="G457">
            <v>44963</v>
          </cell>
          <cell r="H457" t="str">
            <v>33031</v>
          </cell>
          <cell r="I457" t="str">
            <v>https://www.smwcentral.net/?a=details&amp;id=33031&amp;p=section</v>
          </cell>
          <cell r="J457" t="str">
            <v>https://dl.smwcentral.net/33031/Dream%20Collider.zip</v>
          </cell>
        </row>
        <row r="458">
          <cell r="A458" t="str">
            <v>Dream Eater</v>
          </cell>
          <cell r="B458" t="str">
            <v>Dream Eater</v>
          </cell>
          <cell r="C458" t="str">
            <v>Sleppy</v>
          </cell>
          <cell r="D458">
            <v>11</v>
          </cell>
          <cell r="E458" t="str">
            <v>Expert</v>
          </cell>
          <cell r="F458" t="str">
            <v>Kaizo</v>
          </cell>
          <cell r="G458">
            <v>46105</v>
          </cell>
          <cell r="H458" t="str">
            <v>42023</v>
          </cell>
          <cell r="I458" t="str">
            <v>https://www.smwcentral.net/?a=details&amp;id=42023&amp;p=section</v>
          </cell>
          <cell r="J458" t="str">
            <v>https://dl.smwcentral.net/42023/Dream%20Eater.zip</v>
          </cell>
        </row>
        <row r="459">
          <cell r="A459" t="str">
            <v>Dreams</v>
          </cell>
          <cell r="B459" t="str">
            <v>Dreams</v>
          </cell>
          <cell r="C459" t="str">
            <v>Panicdream1</v>
          </cell>
          <cell r="D459">
            <v>15</v>
          </cell>
          <cell r="E459" t="str">
            <v>Advanced</v>
          </cell>
          <cell r="F459" t="str">
            <v>Kaizo</v>
          </cell>
          <cell r="G459">
            <v>44522</v>
          </cell>
          <cell r="H459" t="str">
            <v>28857</v>
          </cell>
          <cell r="I459" t="str">
            <v>https://www.smwcentral.net/?a=details&amp;id=28857&amp;p=section</v>
          </cell>
          <cell r="J459" t="str">
            <v>https://dl.smwcentral.net/28857/Dreams.zip</v>
          </cell>
        </row>
        <row r="460">
          <cell r="A460" t="str">
            <v>Dreza Demo 1st Public Release</v>
          </cell>
          <cell r="B460" t="str">
            <v>Dreza Demo 1st Public Release</v>
          </cell>
          <cell r="C460" t="str">
            <v>ADAMEI5TER</v>
          </cell>
          <cell r="D460">
            <v>5</v>
          </cell>
          <cell r="E460" t="str">
            <v>Expert</v>
          </cell>
          <cell r="F460" t="str">
            <v>Kaizo</v>
          </cell>
          <cell r="G460">
            <v>45931</v>
          </cell>
          <cell r="H460" t="str">
            <v>40261</v>
          </cell>
          <cell r="I460" t="str">
            <v>https://www.smwcentral.net/?a=details&amp;id=40261&amp;p=section</v>
          </cell>
          <cell r="J460" t="str">
            <v>https://dl.smwcentral.net/40261/drezademo.zip</v>
          </cell>
        </row>
        <row r="461">
          <cell r="A461" t="str">
            <v>Drive the Desert Bus</v>
          </cell>
          <cell r="B461" t="str">
            <v>Drive the Desert Bus</v>
          </cell>
          <cell r="C461" t="str">
            <v>HuFlungDu</v>
          </cell>
          <cell r="D461">
            <v>2</v>
          </cell>
          <cell r="E461" t="str">
            <v>Intermediate</v>
          </cell>
          <cell r="F461" t="str">
            <v>Standard</v>
          </cell>
          <cell r="G461">
            <v>42003</v>
          </cell>
          <cell r="H461" t="str">
            <v>9978</v>
          </cell>
          <cell r="I461" t="str">
            <v>https://www.smwcentral.net/?a=details&amp;id=9978&amp;p=section</v>
          </cell>
          <cell r="J461" t="str">
            <v>https://dl.smwcentral.net/9978/DriveTheDesertBus.zip</v>
          </cell>
        </row>
        <row r="462">
          <cell r="A462" t="str">
            <v>Drkrdnk World</v>
          </cell>
          <cell r="B462" t="str">
            <v>Drkrdnk World</v>
          </cell>
          <cell r="C462" t="str">
            <v>Desert</v>
          </cell>
          <cell r="D462">
            <v>25</v>
          </cell>
          <cell r="E462" t="str">
            <v>Advanced</v>
          </cell>
          <cell r="F462" t="str">
            <v>Kaizo</v>
          </cell>
          <cell r="G462">
            <v>44417</v>
          </cell>
          <cell r="H462" t="str">
            <v>27931</v>
          </cell>
          <cell r="I462" t="str">
            <v>https://www.smwcentral.net/?a=details&amp;id=27931&amp;p=section</v>
          </cell>
          <cell r="J462" t="str">
            <v>https://dl.smwcentral.net/27931/Drkrdnk%20World.zip</v>
          </cell>
        </row>
        <row r="463">
          <cell r="A463" t="str">
            <v>Duck Island</v>
          </cell>
          <cell r="B463" t="str">
            <v>Duck Island</v>
          </cell>
          <cell r="C463" t="str">
            <v>decentduck</v>
          </cell>
          <cell r="D463">
            <v>4</v>
          </cell>
          <cell r="E463" t="str">
            <v>Advanced</v>
          </cell>
          <cell r="F463" t="str">
            <v>Kaizo</v>
          </cell>
          <cell r="G463">
            <v>43534</v>
          </cell>
          <cell r="H463" t="str">
            <v>19263</v>
          </cell>
          <cell r="I463" t="str">
            <v>https://www.smwcentral.net/?a=details&amp;id=19263&amp;p=section</v>
          </cell>
          <cell r="J463" t="str">
            <v>https://dl.smwcentral.net/19263/Duck%20Island.zip</v>
          </cell>
        </row>
        <row r="464">
          <cell r="A464" t="str">
            <v>Duck Season</v>
          </cell>
          <cell r="B464" t="str">
            <v>Duck Season</v>
          </cell>
          <cell r="C464" t="str">
            <v>2dareduck</v>
          </cell>
          <cell r="D464">
            <v>11</v>
          </cell>
          <cell r="E464" t="str">
            <v>Master</v>
          </cell>
          <cell r="F464" t="str">
            <v>Kaizo</v>
          </cell>
          <cell r="G464">
            <v>42124</v>
          </cell>
          <cell r="H464" t="str">
            <v>10895</v>
          </cell>
          <cell r="I464" t="str">
            <v>https://www.smwcentral.net/?a=details&amp;id=10895&amp;p=section</v>
          </cell>
          <cell r="J464" t="str">
            <v>https://dl.smwcentral.net/10895/Duck%20Season.zip</v>
          </cell>
        </row>
        <row r="465">
          <cell r="A465" t="str">
            <v>dumb</v>
          </cell>
          <cell r="B465" t="str">
            <v>dumb</v>
          </cell>
          <cell r="C465" t="str">
            <v>OEO6</v>
          </cell>
          <cell r="D465">
            <v>38</v>
          </cell>
          <cell r="E465" t="str">
            <v>Advanced</v>
          </cell>
          <cell r="F465" t="str">
            <v>Standard</v>
          </cell>
          <cell r="G465">
            <v>43892</v>
          </cell>
          <cell r="H465" t="str">
            <v>22132</v>
          </cell>
          <cell r="I465" t="str">
            <v>https://www.smwcentral.net/?a=details&amp;id=22132&amp;p=section</v>
          </cell>
          <cell r="J465" t="str">
            <v>https://dl.smwcentral.net/22132/dumb.zip</v>
          </cell>
        </row>
        <row r="466">
          <cell r="A466" t="str">
            <v>Dusty Shells</v>
          </cell>
          <cell r="B466" t="str">
            <v>Dusty Shells</v>
          </cell>
          <cell r="C466" t="str">
            <v>BielDusty</v>
          </cell>
          <cell r="D466">
            <v>10</v>
          </cell>
          <cell r="E466" t="str">
            <v>Master</v>
          </cell>
          <cell r="F466" t="str">
            <v>Kaizo</v>
          </cell>
          <cell r="G466">
            <v>45967</v>
          </cell>
          <cell r="H466" t="str">
            <v>40965</v>
          </cell>
          <cell r="I466" t="str">
            <v>https://www.smwcentral.net/?a=details&amp;id=40965&amp;p=section</v>
          </cell>
          <cell r="J466" t="str">
            <v>https://dl.smwcentral.net/40965/Dusty%20Shells.zip</v>
          </cell>
        </row>
        <row r="467">
          <cell r="A467" t="str">
            <v>Dynamic Mario</v>
          </cell>
          <cell r="B467" t="str">
            <v>Dynamic Mario</v>
          </cell>
          <cell r="C467" t="str">
            <v>Maw</v>
          </cell>
          <cell r="D467">
            <v>10</v>
          </cell>
          <cell r="E467" t="str">
            <v>Advanced</v>
          </cell>
          <cell r="F467" t="str">
            <v>Kaizo</v>
          </cell>
          <cell r="G467">
            <v>44677</v>
          </cell>
          <cell r="H467" t="str">
            <v>30589</v>
          </cell>
          <cell r="I467" t="str">
            <v>https://www.smwcentral.net/?a=details&amp;id=30589&amp;p=section</v>
          </cell>
          <cell r="J467" t="str">
            <v>https://dl.smwcentral.net/30589/Dynamic%20Mario1.1.zip</v>
          </cell>
        </row>
        <row r="468">
          <cell r="A468" t="str">
            <v>Dynasty's Choconilla Seasons Hack</v>
          </cell>
          <cell r="B468" t="str">
            <v>Dynasty's Choconilla Seasons Hack</v>
          </cell>
          <cell r="C468" t="str">
            <v>DynastyLobster</v>
          </cell>
          <cell r="D468">
            <v>4</v>
          </cell>
          <cell r="E468" t="str">
            <v>Casual</v>
          </cell>
          <cell r="F468" t="str">
            <v>Standard</v>
          </cell>
          <cell r="G468">
            <v>44493</v>
          </cell>
          <cell r="H468" t="str">
            <v>28586</v>
          </cell>
          <cell r="I468" t="str">
            <v>https://www.smwcentral.net/?a=details&amp;id=28586&amp;p=section</v>
          </cell>
          <cell r="J468" t="str">
            <v>https://dl.smwcentral.net/28586/dynasty_vanilla_hack_1.zip</v>
          </cell>
        </row>
        <row r="469">
          <cell r="A469" t="str">
            <v>Dysphoria</v>
          </cell>
          <cell r="B469" t="str">
            <v>Dysphoria</v>
          </cell>
          <cell r="C469" t="str">
            <v>shovda</v>
          </cell>
          <cell r="D469">
            <v>7</v>
          </cell>
          <cell r="E469" t="str">
            <v>Expert</v>
          </cell>
          <cell r="F469" t="str">
            <v>Kaizo</v>
          </cell>
          <cell r="G469">
            <v>45144</v>
          </cell>
          <cell r="H469" t="str">
            <v>34492</v>
          </cell>
          <cell r="I469" t="str">
            <v>https://www.smwcentral.net/?a=details&amp;id=34492&amp;p=section</v>
          </cell>
          <cell r="J469" t="str">
            <v>https://dl.smwcentral.net/34492/Dysphoria.zip</v>
          </cell>
        </row>
        <row r="470">
          <cell r="A470" t="str">
            <v>Easy One Screen Puzzle</v>
          </cell>
          <cell r="B470" t="str">
            <v>Easy One Screen Puzzle</v>
          </cell>
          <cell r="C470" t="str">
            <v>Magikey</v>
          </cell>
          <cell r="D470">
            <v>1</v>
          </cell>
          <cell r="E470" t="str">
            <v>Master</v>
          </cell>
          <cell r="F470" t="str">
            <v>Tool-Assisted, Pit</v>
          </cell>
          <cell r="G470">
            <v>44087</v>
          </cell>
          <cell r="H470" t="str">
            <v>24535</v>
          </cell>
          <cell r="I470" t="str">
            <v>https://www.smwcentral.net/?a=details&amp;id=24535&amp;p=section</v>
          </cell>
          <cell r="J470" t="str">
            <v>https://dl.smwcentral.net/24535/EasyOneScreenPuzzle.zip</v>
          </cell>
        </row>
        <row r="471">
          <cell r="A471" t="str">
            <v>Easy Two Screen Puzzle</v>
          </cell>
          <cell r="B471" t="str">
            <v>Easy Two Screen Puzzle</v>
          </cell>
          <cell r="C471" t="str">
            <v>Magikey</v>
          </cell>
          <cell r="D471">
            <v>3</v>
          </cell>
          <cell r="E471" t="str">
            <v>Grandmaster</v>
          </cell>
          <cell r="F471" t="str">
            <v>Tool-Assisted, Pit</v>
          </cell>
          <cell r="G471">
            <v>45816</v>
          </cell>
          <cell r="H471" t="str">
            <v>39699</v>
          </cell>
          <cell r="I471" t="str">
            <v>https://www.smwcentral.net/?a=details&amp;id=39699&amp;p=section</v>
          </cell>
          <cell r="J471" t="str">
            <v>https://dl.smwcentral.net/39699/EasyTwoScreenPuzzle.zip</v>
          </cell>
        </row>
        <row r="472">
          <cell r="A472" t="str">
            <v>Easyland</v>
          </cell>
          <cell r="B472" t="str">
            <v>Easyland</v>
          </cell>
          <cell r="C472" t="str">
            <v>RicardoDeMelo</v>
          </cell>
          <cell r="D472">
            <v>14</v>
          </cell>
          <cell r="E472" t="str">
            <v>Intermediate</v>
          </cell>
          <cell r="F472" t="str">
            <v>Kaizo</v>
          </cell>
          <cell r="G472">
            <v>45386</v>
          </cell>
          <cell r="H472" t="str">
            <v>37583</v>
          </cell>
          <cell r="I472" t="str">
            <v>https://www.smwcentral.net/?a=details&amp;id=37583&amp;p=section</v>
          </cell>
          <cell r="J472" t="str">
            <v>https://dl.smwcentral.net/37583/Easyland.zip</v>
          </cell>
        </row>
        <row r="473">
          <cell r="A473" t="str">
            <v>Easyland 2</v>
          </cell>
          <cell r="B473" t="str">
            <v>Easyland 2</v>
          </cell>
          <cell r="C473" t="str">
            <v>RicardoDeMelo</v>
          </cell>
          <cell r="D473">
            <v>16</v>
          </cell>
          <cell r="E473" t="str">
            <v>Intermediate</v>
          </cell>
          <cell r="F473" t="str">
            <v>Kaizo</v>
          </cell>
          <cell r="G473">
            <v>45572</v>
          </cell>
          <cell r="H473" t="str">
            <v>38528</v>
          </cell>
          <cell r="I473" t="str">
            <v>https://www.smwcentral.net/?a=details&amp;id=38528&amp;p=section</v>
          </cell>
          <cell r="J473" t="str">
            <v>https://dl.smwcentral.net/38528/Easyland%202.zip</v>
          </cell>
        </row>
        <row r="474">
          <cell r="A474" t="str">
            <v>Easyland 3</v>
          </cell>
          <cell r="B474" t="str">
            <v>Easyland 3</v>
          </cell>
          <cell r="C474" t="str">
            <v>RicardoDeMelo</v>
          </cell>
          <cell r="D474">
            <v>19</v>
          </cell>
          <cell r="E474" t="str">
            <v>Advanced</v>
          </cell>
          <cell r="F474" t="str">
            <v>Kaizo</v>
          </cell>
          <cell r="G474">
            <v>45996</v>
          </cell>
          <cell r="H474" t="str">
            <v>41159</v>
          </cell>
          <cell r="I474" t="str">
            <v>https://www.smwcentral.net/?a=details&amp;id=41159&amp;p=section</v>
          </cell>
          <cell r="J474" t="str">
            <v>https://dl.smwcentral.net/41159/Easyland%203.zip</v>
          </cell>
        </row>
        <row r="475">
          <cell r="A475" t="str">
            <v>echoestopia</v>
          </cell>
          <cell r="B475" t="str">
            <v>echoestopia</v>
          </cell>
          <cell r="C475" t="str">
            <v>elwawa</v>
          </cell>
          <cell r="D475">
            <v>0</v>
          </cell>
          <cell r="E475" t="str">
            <v>Intermediate</v>
          </cell>
          <cell r="F475" t="str">
            <v>Kaizo</v>
          </cell>
          <cell r="G475">
            <v>46093</v>
          </cell>
          <cell r="H475" t="str">
            <v>41895</v>
          </cell>
          <cell r="I475" t="str">
            <v>https://www.smwcentral.net/?a=details&amp;id=41895&amp;p=section</v>
          </cell>
          <cell r="J475" t="str">
            <v>https://dl.smwcentral.net/41895/echoesto%20topia.zip</v>
          </cell>
        </row>
        <row r="476">
          <cell r="A476" t="str">
            <v>Eclectic Shell</v>
          </cell>
          <cell r="B476" t="str">
            <v>Eclectic Shell</v>
          </cell>
          <cell r="C476" t="str">
            <v>Firstnamebutt</v>
          </cell>
          <cell r="D476">
            <v>12</v>
          </cell>
          <cell r="E476" t="str">
            <v>Intermediate</v>
          </cell>
          <cell r="F476" t="str">
            <v>Kaizo</v>
          </cell>
          <cell r="G476">
            <v>45394</v>
          </cell>
          <cell r="H476" t="str">
            <v>37611</v>
          </cell>
          <cell r="I476" t="str">
            <v>https://www.smwcentral.net/?a=details&amp;id=37611&amp;p=section</v>
          </cell>
          <cell r="J476" t="str">
            <v>https://dl.smwcentral.net/37611/EclecticShellv2.zip</v>
          </cell>
        </row>
        <row r="477">
          <cell r="A477" t="str">
            <v>EF Land</v>
          </cell>
          <cell r="B477" t="str">
            <v>EF Land</v>
          </cell>
          <cell r="C477" t="str">
            <v>Electrofire</v>
          </cell>
          <cell r="D477">
            <v>6</v>
          </cell>
          <cell r="E477" t="str">
            <v>Newcomer</v>
          </cell>
          <cell r="F477" t="str">
            <v>Standard</v>
          </cell>
          <cell r="G477">
            <v>42093</v>
          </cell>
          <cell r="H477" t="str">
            <v>9784</v>
          </cell>
          <cell r="I477" t="str">
            <v>https://www.smwcentral.net/?a=details&amp;id=9784&amp;p=section</v>
          </cell>
          <cell r="J477" t="str">
            <v>https://dl.smwcentral.net/9784/EF_Land.zip</v>
          </cell>
        </row>
        <row r="478">
          <cell r="A478" t="str">
            <v>Effortworld</v>
          </cell>
          <cell r="B478" t="str">
            <v>Effortworld</v>
          </cell>
          <cell r="C478" t="str">
            <v>JUMP Team</v>
          </cell>
          <cell r="D478">
            <v>57</v>
          </cell>
          <cell r="E478" t="str">
            <v>Expert</v>
          </cell>
          <cell r="F478" t="str">
            <v>Standard</v>
          </cell>
          <cell r="G478">
            <v>45151</v>
          </cell>
          <cell r="H478" t="str">
            <v>34383</v>
          </cell>
          <cell r="I478" t="str">
            <v>https://www.smwcentral.net/?a=details&amp;id=34383&amp;p=section</v>
          </cell>
          <cell r="J478" t="str">
            <v>https://dl.smwcentral.net/34383/effortworld.zip</v>
          </cell>
        </row>
        <row r="479">
          <cell r="A479" t="str">
            <v>EGO WORLD</v>
          </cell>
          <cell r="B479" t="str">
            <v>EGO WORLD</v>
          </cell>
          <cell r="C479" t="str">
            <v>mmmdoggy</v>
          </cell>
          <cell r="D479">
            <v>10</v>
          </cell>
          <cell r="E479" t="str">
            <v>Advanced</v>
          </cell>
          <cell r="F479" t="str">
            <v>Kaizo</v>
          </cell>
          <cell r="G479">
            <v>45534</v>
          </cell>
          <cell r="H479" t="str">
            <v>38298</v>
          </cell>
          <cell r="I479" t="str">
            <v>https://www.smwcentral.net/?a=details&amp;id=38298&amp;p=section</v>
          </cell>
          <cell r="J479" t="str">
            <v>https://dl.smwcentral.net/38298/EGO%20WORLD.zip</v>
          </cell>
        </row>
        <row r="480">
          <cell r="A480" t="str">
            <v>Eh</v>
          </cell>
          <cell r="B480" t="str">
            <v>Eh</v>
          </cell>
          <cell r="C480" t="str">
            <v>RussianMan</v>
          </cell>
          <cell r="D480">
            <v>8</v>
          </cell>
          <cell r="E480" t="str">
            <v>Expert</v>
          </cell>
          <cell r="F480" t="str">
            <v>Kaizo</v>
          </cell>
          <cell r="G480">
            <v>45883</v>
          </cell>
          <cell r="H480" t="str">
            <v>40018</v>
          </cell>
          <cell r="I480" t="str">
            <v>https://www.smwcentral.net/?a=details&amp;id=40018&amp;p=section</v>
          </cell>
          <cell r="J480" t="str">
            <v>https://dl.smwcentral.net/40018/Eh%20v1.2.zip</v>
          </cell>
        </row>
        <row r="481">
          <cell r="A481" t="str">
            <v>Eidolon</v>
          </cell>
          <cell r="B481" t="str">
            <v>Eidolon</v>
          </cell>
          <cell r="C481" t="str">
            <v>ageVerrly</v>
          </cell>
          <cell r="D481">
            <v>50</v>
          </cell>
          <cell r="E481" t="str">
            <v>Master</v>
          </cell>
          <cell r="F481" t="str">
            <v>Standard, Kaizo</v>
          </cell>
          <cell r="G481">
            <v>45457</v>
          </cell>
          <cell r="H481" t="str">
            <v>35343</v>
          </cell>
          <cell r="I481" t="str">
            <v>https://www.smwcentral.net/?a=details&amp;id=35343&amp;p=section</v>
          </cell>
          <cell r="J481" t="str">
            <v>https://dl.smwcentral.net/35343/hack.zip</v>
          </cell>
        </row>
        <row r="482">
          <cell r="A482" t="str">
            <v>Eikro: The Children of Darloum</v>
          </cell>
          <cell r="B482" t="str">
            <v>Eikro: The Children of Darloum</v>
          </cell>
          <cell r="C482" t="str">
            <v>Jordan</v>
          </cell>
          <cell r="D482">
            <v>19</v>
          </cell>
          <cell r="E482" t="str">
            <v>Expert</v>
          </cell>
          <cell r="F482" t="str">
            <v>Kaizo</v>
          </cell>
          <cell r="G482">
            <v>44940</v>
          </cell>
          <cell r="H482" t="str">
            <v>32913</v>
          </cell>
          <cell r="I482" t="str">
            <v>https://www.smwcentral.net/?a=details&amp;id=32913&amp;p=section</v>
          </cell>
          <cell r="J482" t="str">
            <v>https://dl.smwcentral.net/32913/Eikro%20-%20The%20Children%20of%20Darloum.zip</v>
          </cell>
        </row>
        <row r="483">
          <cell r="A483" t="str">
            <v>El Dorado</v>
          </cell>
          <cell r="B483" t="str">
            <v>El Dorado</v>
          </cell>
          <cell r="C483" t="str">
            <v>mmBeefStew</v>
          </cell>
          <cell r="D483">
            <v>11</v>
          </cell>
          <cell r="E483" t="str">
            <v>Expert</v>
          </cell>
          <cell r="F483" t="str">
            <v>Kaizo</v>
          </cell>
          <cell r="G483">
            <v>44291</v>
          </cell>
          <cell r="H483" t="str">
            <v>26644</v>
          </cell>
          <cell r="I483" t="str">
            <v>https://www.smwcentral.net/?a=details&amp;id=26644&amp;p=section</v>
          </cell>
          <cell r="J483" t="str">
            <v>https://dl.smwcentral.net/26644/El%20Dorado.zip</v>
          </cell>
        </row>
        <row r="484">
          <cell r="A484" t="str">
            <v>Electra</v>
          </cell>
          <cell r="B484" t="str">
            <v>Electra</v>
          </cell>
          <cell r="C484" t="str">
            <v>WeegeeBen</v>
          </cell>
          <cell r="D484">
            <v>8</v>
          </cell>
          <cell r="E484" t="str">
            <v>Casual</v>
          </cell>
          <cell r="F484" t="str">
            <v>Standard</v>
          </cell>
          <cell r="G484">
            <v>41856</v>
          </cell>
          <cell r="H484" t="str">
            <v>6983</v>
          </cell>
          <cell r="I484" t="str">
            <v>https://www.smwcentral.net/?a=details&amp;id=6983&amp;p=section</v>
          </cell>
          <cell r="J484" t="str">
            <v>https://dl.smwcentral.net/6983/Electra%20Demo%20C3.zip</v>
          </cell>
        </row>
        <row r="485">
          <cell r="A485" t="str">
            <v>Elephants and Snakes and Crocodiles</v>
          </cell>
          <cell r="B485" t="str">
            <v>Elephants and Snakes and Crocodiles</v>
          </cell>
          <cell r="C485" t="str">
            <v>Morsel</v>
          </cell>
          <cell r="D485">
            <v>13</v>
          </cell>
          <cell r="E485" t="str">
            <v>Master</v>
          </cell>
          <cell r="F485" t="str">
            <v>Kaizo</v>
          </cell>
          <cell r="G485">
            <v>43538</v>
          </cell>
          <cell r="H485" t="str">
            <v>19167</v>
          </cell>
          <cell r="I485" t="str">
            <v>https://www.smwcentral.net/?a=details&amp;id=19167&amp;p=section</v>
          </cell>
          <cell r="J485" t="str">
            <v>https://dl.smwcentral.net/19167/snakes1.05.zip</v>
          </cell>
        </row>
        <row r="486">
          <cell r="A486" t="str">
            <v>Elysium Shells</v>
          </cell>
          <cell r="B486" t="str">
            <v>Elysium Shells</v>
          </cell>
          <cell r="C486" t="str">
            <v>Eryck</v>
          </cell>
          <cell r="D486">
            <v>11</v>
          </cell>
          <cell r="E486" t="str">
            <v>Expert</v>
          </cell>
          <cell r="F486" t="str">
            <v>Kaizo</v>
          </cell>
          <cell r="G486">
            <v>44694</v>
          </cell>
          <cell r="H486" t="str">
            <v>30888</v>
          </cell>
          <cell r="I486" t="str">
            <v>https://www.smwcentral.net/?a=details&amp;id=30888&amp;p=section</v>
          </cell>
          <cell r="J486" t="str">
            <v>https://dl.smwcentral.net/30888/Elysium%20Shells%20v2.0.zip</v>
          </cell>
        </row>
        <row r="487">
          <cell r="A487" t="str">
            <v>Empyrean</v>
          </cell>
          <cell r="B487" t="str">
            <v>Empyrean</v>
          </cell>
          <cell r="C487" t="str">
            <v>swissy</v>
          </cell>
          <cell r="D487">
            <v>12</v>
          </cell>
          <cell r="E487" t="str">
            <v>Expert</v>
          </cell>
          <cell r="F487" t="str">
            <v>Kaizo</v>
          </cell>
          <cell r="G487">
            <v>44462</v>
          </cell>
          <cell r="H487" t="str">
            <v>28338</v>
          </cell>
          <cell r="I487" t="str">
            <v>https://www.smwcentral.net/?a=details&amp;id=28338&amp;p=section</v>
          </cell>
          <cell r="J487" t="str">
            <v>https://dl.smwcentral.net/28338/Empyrean_v1.0.zip</v>
          </cell>
        </row>
        <row r="488">
          <cell r="A488" t="str">
            <v>Endeavor</v>
          </cell>
          <cell r="B488" t="str">
            <v>Endeavor</v>
          </cell>
          <cell r="C488" t="str">
            <v>NixKillsMyths</v>
          </cell>
          <cell r="D488">
            <v>12</v>
          </cell>
          <cell r="E488" t="str">
            <v>Expert</v>
          </cell>
          <cell r="F488" t="str">
            <v>Kaizo</v>
          </cell>
          <cell r="G488">
            <v>44913</v>
          </cell>
          <cell r="H488" t="str">
            <v>32749</v>
          </cell>
          <cell r="I488" t="str">
            <v>https://www.smwcentral.net/?a=details&amp;id=32749&amp;p=section</v>
          </cell>
          <cell r="J488" t="str">
            <v>https://dl.smwcentral.net/32749/Endeavor%20%281.0%29.zip</v>
          </cell>
        </row>
        <row r="489">
          <cell r="A489" t="str">
            <v>Enter the Gizzverse</v>
          </cell>
          <cell r="B489" t="str">
            <v>Enter the Gizzverse</v>
          </cell>
          <cell r="C489" t="str">
            <v>kaigem</v>
          </cell>
          <cell r="D489">
            <v>9</v>
          </cell>
          <cell r="E489" t="str">
            <v>Expert</v>
          </cell>
          <cell r="F489" t="str">
            <v>Kaizo</v>
          </cell>
          <cell r="G489">
            <v>45337</v>
          </cell>
          <cell r="H489" t="str">
            <v>36871</v>
          </cell>
          <cell r="I489" t="str">
            <v>https://www.smwcentral.net/?a=details&amp;id=36871&amp;p=section</v>
          </cell>
          <cell r="J489" t="str">
            <v>https://dl.smwcentral.net/36871/Enter%20the%20Gizzverse.zip</v>
          </cell>
        </row>
        <row r="490">
          <cell r="A490" t="str">
            <v>Enter the Void</v>
          </cell>
          <cell r="B490" t="str">
            <v>Enter the Void</v>
          </cell>
          <cell r="C490" t="str">
            <v>Saela</v>
          </cell>
          <cell r="D490">
            <v>10</v>
          </cell>
          <cell r="E490" t="str">
            <v>Expert</v>
          </cell>
          <cell r="F490" t="str">
            <v>Kaizo</v>
          </cell>
          <cell r="G490">
            <v>44602</v>
          </cell>
          <cell r="H490" t="str">
            <v>29699</v>
          </cell>
          <cell r="I490" t="str">
            <v>https://www.smwcentral.net/?a=details&amp;id=29699&amp;p=section</v>
          </cell>
          <cell r="J490" t="str">
            <v>https://dl.smwcentral.net/29699/Enter%20the%20Void.zip</v>
          </cell>
        </row>
        <row r="491">
          <cell r="A491" t="str">
            <v>Entropy</v>
          </cell>
          <cell r="B491" t="str">
            <v>Entropy</v>
          </cell>
          <cell r="C491" t="str">
            <v>drkrdnk</v>
          </cell>
          <cell r="D491">
            <v>16</v>
          </cell>
          <cell r="E491" t="str">
            <v>Expert</v>
          </cell>
          <cell r="F491" t="str">
            <v>Kaizo</v>
          </cell>
          <cell r="G491">
            <v>45143</v>
          </cell>
          <cell r="H491" t="str">
            <v>34714</v>
          </cell>
          <cell r="I491" t="str">
            <v>https://www.smwcentral.net/?a=details&amp;id=34714&amp;p=section</v>
          </cell>
          <cell r="J491" t="str">
            <v>https://dl.smwcentral.net/34714/entropy_v101.zip</v>
          </cell>
        </row>
        <row r="492">
          <cell r="A492" t="str">
            <v>EP</v>
          </cell>
          <cell r="B492" t="str">
            <v>EP</v>
          </cell>
          <cell r="C492" t="str">
            <v>Egadd</v>
          </cell>
          <cell r="D492">
            <v>7</v>
          </cell>
          <cell r="E492" t="str">
            <v>Casual</v>
          </cell>
          <cell r="F492" t="str">
            <v>Standard</v>
          </cell>
          <cell r="G492">
            <v>41667</v>
          </cell>
          <cell r="H492" t="str">
            <v>6208</v>
          </cell>
          <cell r="I492" t="str">
            <v>https://www.smwcentral.net/?a=details&amp;id=6208&amp;p=section</v>
          </cell>
          <cell r="J492" t="str">
            <v>https://dl.smwcentral.net/6208/EP.zip</v>
          </cell>
        </row>
        <row r="493">
          <cell r="A493" t="str">
            <v>Epic Gamer World</v>
          </cell>
          <cell r="B493" t="str">
            <v>Epic Gamer World</v>
          </cell>
          <cell r="C493" t="str">
            <v>Yetibucca</v>
          </cell>
          <cell r="D493">
            <v>8</v>
          </cell>
          <cell r="E493" t="str">
            <v>Expert</v>
          </cell>
          <cell r="F493" t="str">
            <v>Kaizo</v>
          </cell>
          <cell r="G493">
            <v>43999</v>
          </cell>
          <cell r="H493" t="str">
            <v>23363</v>
          </cell>
          <cell r="I493" t="str">
            <v>https://www.smwcentral.net/?a=details&amp;id=23363&amp;p=section</v>
          </cell>
          <cell r="J493" t="str">
            <v>https://dl.smwcentral.net/23363/EGW%20V1.1.zip</v>
          </cell>
        </row>
        <row r="494">
          <cell r="A494" t="str">
            <v>Epiphany</v>
          </cell>
          <cell r="B494" t="str">
            <v>Epiphany</v>
          </cell>
          <cell r="C494" t="str">
            <v>Saela</v>
          </cell>
          <cell r="D494">
            <v>21</v>
          </cell>
          <cell r="E494" t="str">
            <v>Expert</v>
          </cell>
          <cell r="F494" t="str">
            <v>Kaizo</v>
          </cell>
          <cell r="G494">
            <v>45654</v>
          </cell>
          <cell r="H494" t="str">
            <v>38966</v>
          </cell>
          <cell r="I494" t="str">
            <v>https://www.smwcentral.net/?a=details&amp;id=38966&amp;p=section</v>
          </cell>
          <cell r="J494" t="str">
            <v>https://dl.smwcentral.net/38966/Epiphany.zip</v>
          </cell>
        </row>
        <row r="495">
          <cell r="A495" t="str">
            <v>Eroi del passato</v>
          </cell>
          <cell r="B495" t="str">
            <v>Eroi del passato</v>
          </cell>
          <cell r="C495" t="str">
            <v>bluesaint</v>
          </cell>
          <cell r="D495">
            <v>8</v>
          </cell>
          <cell r="E495" t="str">
            <v>Expert</v>
          </cell>
          <cell r="F495" t="str">
            <v>Kaizo</v>
          </cell>
          <cell r="G495">
            <v>43789</v>
          </cell>
          <cell r="H495" t="str">
            <v>21512</v>
          </cell>
          <cell r="I495" t="str">
            <v>https://www.smwcentral.net/?a=details&amp;id=21512&amp;p=section</v>
          </cell>
          <cell r="J495" t="str">
            <v>https://dl.smwcentral.net/21512/eroi%20del%20passato.zip</v>
          </cell>
        </row>
        <row r="496">
          <cell r="A496" t="str">
            <v>Escape from Kudzu Planet</v>
          </cell>
          <cell r="B496" t="str">
            <v>Escape from Kudzu Planet</v>
          </cell>
          <cell r="C496" t="str">
            <v>JudithPrietht</v>
          </cell>
          <cell r="D496">
            <v>13</v>
          </cell>
          <cell r="E496" t="str">
            <v>Advanced</v>
          </cell>
          <cell r="F496" t="str">
            <v>Kaizo</v>
          </cell>
          <cell r="G496">
            <v>45126</v>
          </cell>
          <cell r="H496" t="str">
            <v>34176</v>
          </cell>
          <cell r="I496" t="str">
            <v>https://www.smwcentral.net/?a=details&amp;id=34176&amp;p=section</v>
          </cell>
          <cell r="J496" t="str">
            <v>https://dl.smwcentral.net/34176/Escape%20from%20Kudzu%20Planet%201.1.zip</v>
          </cell>
        </row>
        <row r="497">
          <cell r="A497" t="str">
            <v>ESCAPE FROM LA PLUME</v>
          </cell>
          <cell r="B497" t="str">
            <v>ESCAPE FROM LA PLUME</v>
          </cell>
          <cell r="C497" t="str">
            <v>bonjoursauce, uriel2k3</v>
          </cell>
          <cell r="D497">
            <v>9</v>
          </cell>
          <cell r="E497" t="str">
            <v>Advanced</v>
          </cell>
          <cell r="F497" t="str">
            <v>Kaizo</v>
          </cell>
          <cell r="G497">
            <v>46071</v>
          </cell>
          <cell r="H497" t="str">
            <v>41609</v>
          </cell>
          <cell r="I497" t="str">
            <v>https://www.smwcentral.net/?a=details&amp;id=41609&amp;p=section</v>
          </cell>
          <cell r="J497" t="str">
            <v>https://dl.smwcentral.net/41609/Escape%20from%20La%20Plume.zip</v>
          </cell>
        </row>
        <row r="498">
          <cell r="A498" t="str">
            <v>Eternal Mario World</v>
          </cell>
          <cell r="B498" t="str">
            <v>Eternal Mario World</v>
          </cell>
          <cell r="C498" t="str">
            <v>Aguni_</v>
          </cell>
          <cell r="D498">
            <v>4</v>
          </cell>
          <cell r="E498" t="str">
            <v>Expert</v>
          </cell>
          <cell r="F498" t="str">
            <v>Kaizo</v>
          </cell>
          <cell r="G498">
            <v>42950</v>
          </cell>
          <cell r="H498" t="str">
            <v>15985</v>
          </cell>
          <cell r="I498" t="str">
            <v>https://www.smwcentral.net/?a=details&amp;id=15985&amp;p=section</v>
          </cell>
          <cell r="J498" t="str">
            <v>https://dl.smwcentral.net/15985/Eternal%20Mario%20World.zip</v>
          </cell>
        </row>
        <row r="499">
          <cell r="A499" t="str">
            <v>Eternal Nightfall</v>
          </cell>
          <cell r="B499" t="str">
            <v>Eternal Nightfall</v>
          </cell>
          <cell r="C499" t="str">
            <v>superwiidude</v>
          </cell>
          <cell r="D499">
            <v>5</v>
          </cell>
          <cell r="E499" t="str">
            <v>Casual</v>
          </cell>
          <cell r="F499" t="str">
            <v>Standard</v>
          </cell>
          <cell r="G499">
            <v>42657</v>
          </cell>
          <cell r="H499" t="str">
            <v>14533</v>
          </cell>
          <cell r="I499" t="str">
            <v>https://www.smwcentral.net/?a=details&amp;id=14533&amp;p=section</v>
          </cell>
          <cell r="J499" t="str">
            <v>https://dl.smwcentral.net/14533/eternal%20nightfall.zip</v>
          </cell>
        </row>
        <row r="500">
          <cell r="A500" t="str">
            <v>Eudaimonia</v>
          </cell>
          <cell r="B500" t="str">
            <v>Eudaimonia</v>
          </cell>
          <cell r="C500" t="str">
            <v>NerDose</v>
          </cell>
          <cell r="D500">
            <v>10</v>
          </cell>
          <cell r="E500" t="str">
            <v>Expert</v>
          </cell>
          <cell r="F500" t="str">
            <v>Kaizo</v>
          </cell>
          <cell r="G500">
            <v>44755</v>
          </cell>
          <cell r="H500" t="str">
            <v>31318</v>
          </cell>
          <cell r="I500" t="str">
            <v>https://www.smwcentral.net/?a=details&amp;id=31318&amp;p=section</v>
          </cell>
          <cell r="J500" t="str">
            <v>https://dl.smwcentral.net/31318/Eudaimonia.zip</v>
          </cell>
        </row>
        <row r="501">
          <cell r="A501" t="str">
            <v>Euphoria Isle</v>
          </cell>
          <cell r="B501" t="str">
            <v>Euphoria Isle</v>
          </cell>
          <cell r="C501" t="str">
            <v>Caracc, Crispy, NoelYoshi, Spud Alpha, SyStemkraSh, Zildjian</v>
          </cell>
          <cell r="D501">
            <v>12</v>
          </cell>
          <cell r="E501" t="str">
            <v>Casual</v>
          </cell>
          <cell r="F501" t="str">
            <v>Standard</v>
          </cell>
          <cell r="G501">
            <v>41535</v>
          </cell>
          <cell r="H501" t="str">
            <v>5499</v>
          </cell>
          <cell r="I501" t="str">
            <v>https://www.smwcentral.net/?a=details&amp;id=5499&amp;p=section</v>
          </cell>
          <cell r="J501" t="str">
            <v>https://dl.smwcentral.net/5499/Euphoria%20Isle.zip</v>
          </cell>
        </row>
        <row r="502">
          <cell r="A502" t="str">
            <v>EVERY LEVEL IGGY!</v>
          </cell>
          <cell r="B502" t="str">
            <v>EVERY LEVEL IGGY!</v>
          </cell>
          <cell r="C502" t="str">
            <v>Nimono</v>
          </cell>
          <cell r="D502">
            <v>7</v>
          </cell>
          <cell r="E502" t="str">
            <v>Casual</v>
          </cell>
          <cell r="F502" t="str">
            <v>Standard</v>
          </cell>
          <cell r="G502">
            <v>42058</v>
          </cell>
          <cell r="H502" t="str">
            <v>9734</v>
          </cell>
          <cell r="I502" t="str">
            <v>https://www.smwcentral.net/?a=details&amp;id=9734&amp;p=section</v>
          </cell>
          <cell r="J502" t="str">
            <v>https://dl.smwcentral.net/9734/EVERY%20LEVEL%20IGGY%21.zip</v>
          </cell>
        </row>
        <row r="503">
          <cell r="A503" t="str">
            <v>EVERY LEVEL LEMMY!</v>
          </cell>
          <cell r="B503" t="str">
            <v>EVERY LEVEL LEMMY!</v>
          </cell>
          <cell r="C503" t="str">
            <v>mario and luigi</v>
          </cell>
          <cell r="D503">
            <v>10</v>
          </cell>
          <cell r="E503" t="str">
            <v>Casual</v>
          </cell>
          <cell r="F503" t="str">
            <v>Standard</v>
          </cell>
          <cell r="G503">
            <v>41885</v>
          </cell>
          <cell r="H503" t="str">
            <v>9038</v>
          </cell>
          <cell r="I503" t="str">
            <v>https://www.smwcentral.net/?a=details&amp;id=9038&amp;p=section</v>
          </cell>
          <cell r="J503" t="str">
            <v>https://dl.smwcentral.net/9038/every%20level%20lemmy%20-%20version%203.zip</v>
          </cell>
        </row>
        <row r="504">
          <cell r="A504" t="str">
            <v>EVERY LEVEL LUDWIG!</v>
          </cell>
          <cell r="B504" t="str">
            <v>EVERY LEVEL LUDWIG!</v>
          </cell>
          <cell r="C504" t="str">
            <v>Green Jerry</v>
          </cell>
          <cell r="D504">
            <v>9</v>
          </cell>
          <cell r="E504" t="str">
            <v>Intermediate</v>
          </cell>
          <cell r="F504" t="str">
            <v>Standard</v>
          </cell>
          <cell r="G504">
            <v>45004</v>
          </cell>
          <cell r="H504" t="str">
            <v>33233</v>
          </cell>
          <cell r="I504" t="str">
            <v>https://www.smwcentral.net/?a=details&amp;id=33233&amp;p=section</v>
          </cell>
          <cell r="J504" t="str">
            <v>https://dl.smwcentral.net/33233/EVERY%20LEVEL%20LUDWIG%21%20%28V1.0.2%29.zip</v>
          </cell>
        </row>
        <row r="505">
          <cell r="A505" t="str">
            <v>EVERY LEVEL MORTON!</v>
          </cell>
          <cell r="B505" t="str">
            <v>EVERY LEVEL MORTON!</v>
          </cell>
          <cell r="C505" t="str">
            <v>Nimono</v>
          </cell>
          <cell r="D505">
            <v>9</v>
          </cell>
          <cell r="E505" t="str">
            <v>Casual</v>
          </cell>
          <cell r="F505" t="str">
            <v>Standard</v>
          </cell>
          <cell r="G505">
            <v>42233</v>
          </cell>
          <cell r="H505" t="str">
            <v>9911</v>
          </cell>
          <cell r="I505" t="str">
            <v>https://www.smwcentral.net/?a=details&amp;id=9911&amp;p=section</v>
          </cell>
          <cell r="J505" t="str">
            <v>https://dl.smwcentral.net/9911/EVERY%20LEVEL%20MORTON%21.zip</v>
          </cell>
        </row>
        <row r="506">
          <cell r="A506" t="str">
            <v>Everyone's Gone</v>
          </cell>
          <cell r="B506" t="str">
            <v>Everyone's Gone</v>
          </cell>
          <cell r="C506" t="str">
            <v>GamesInTweed</v>
          </cell>
          <cell r="D506">
            <v>3</v>
          </cell>
          <cell r="E506" t="str">
            <v>Casual</v>
          </cell>
          <cell r="F506" t="str">
            <v>Standard, Puzzle</v>
          </cell>
          <cell r="G506">
            <v>45958</v>
          </cell>
          <cell r="H506" t="str">
            <v>40892</v>
          </cell>
          <cell r="I506" t="str">
            <v>https://www.smwcentral.net/?a=details&amp;id=40892&amp;p=section</v>
          </cell>
          <cell r="J506" t="str">
            <v>https://dl.smwcentral.net/40892/Everyone%27s%20Gone%20v1.1.zip</v>
          </cell>
        </row>
        <row r="507">
          <cell r="A507" t="str">
            <v>Everything Is Not All Right</v>
          </cell>
          <cell r="B507" t="str">
            <v>Everything Is Not All Right</v>
          </cell>
          <cell r="C507" t="str">
            <v>Jordan</v>
          </cell>
          <cell r="D507">
            <v>11</v>
          </cell>
          <cell r="E507" t="str">
            <v>Advanced</v>
          </cell>
          <cell r="F507" t="str">
            <v>Kaizo</v>
          </cell>
          <cell r="G507">
            <v>44763</v>
          </cell>
          <cell r="H507" t="str">
            <v>31571</v>
          </cell>
          <cell r="I507" t="str">
            <v>https://www.smwcentral.net/?a=details&amp;id=31571&amp;p=section</v>
          </cell>
          <cell r="J507" t="str">
            <v>https://dl.smwcentral.net/31571/Everything%20Is%20Not%20All%20Right.zip</v>
          </cell>
        </row>
        <row r="508">
          <cell r="A508" t="str">
            <v>Evil Conquest</v>
          </cell>
          <cell r="B508" t="str">
            <v>Evil Conquest</v>
          </cell>
          <cell r="C508" t="str">
            <v>Darkdlp02, Luks</v>
          </cell>
          <cell r="D508">
            <v>63</v>
          </cell>
          <cell r="E508" t="str">
            <v>Expert</v>
          </cell>
          <cell r="F508" t="str">
            <v>Standard</v>
          </cell>
          <cell r="G508">
            <v>42230</v>
          </cell>
          <cell r="H508" t="str">
            <v>11946</v>
          </cell>
          <cell r="I508" t="str">
            <v>https://www.smwcentral.net/?a=details&amp;id=11946&amp;p=section</v>
          </cell>
          <cell r="J508" t="str">
            <v>https://dl.smwcentral.net/11946/Evil%20Conquest%20Release%201.9.zip</v>
          </cell>
        </row>
        <row r="509">
          <cell r="A509" t="str">
            <v>Evil Doopu World</v>
          </cell>
          <cell r="B509" t="str">
            <v>Evil Doopu World</v>
          </cell>
          <cell r="C509" t="str">
            <v>EvilAdmiralKivi</v>
          </cell>
          <cell r="D509">
            <v>6</v>
          </cell>
          <cell r="E509" t="str">
            <v>Expert</v>
          </cell>
          <cell r="F509" t="str">
            <v>Kaizo</v>
          </cell>
          <cell r="G509">
            <v>44861</v>
          </cell>
          <cell r="H509" t="str">
            <v>32358</v>
          </cell>
          <cell r="I509" t="str">
            <v>https://www.smwcentral.net/?a=details&amp;id=32358&amp;p=section</v>
          </cell>
          <cell r="J509" t="str">
            <v>https://dl.smwcentral.net/32358/EvilDoopuWorld_v1.0.0.zip</v>
          </cell>
        </row>
        <row r="510">
          <cell r="A510" t="str">
            <v>Evil Doopu World 2</v>
          </cell>
          <cell r="B510" t="str">
            <v>Evil Doopu World 2</v>
          </cell>
          <cell r="C510" t="str">
            <v>EvilAdmiralKivi</v>
          </cell>
          <cell r="D510">
            <v>7</v>
          </cell>
          <cell r="E510" t="str">
            <v>Master</v>
          </cell>
          <cell r="F510" t="str">
            <v>Kaizo</v>
          </cell>
          <cell r="G510">
            <v>45389</v>
          </cell>
          <cell r="H510" t="str">
            <v>37571</v>
          </cell>
          <cell r="I510" t="str">
            <v>https://www.smwcentral.net/?a=details&amp;id=37571&amp;p=section</v>
          </cell>
          <cell r="J510" t="str">
            <v>https://dl.smwcentral.net/37571/evil-doopu-world-2_v1.0.6.zip</v>
          </cell>
        </row>
        <row r="511">
          <cell r="A511" t="str">
            <v>Evolve or Die</v>
          </cell>
          <cell r="B511" t="str">
            <v>Evolve or Die</v>
          </cell>
          <cell r="C511" t="str">
            <v>MarsAmPear</v>
          </cell>
          <cell r="D511">
            <v>3</v>
          </cell>
          <cell r="E511" t="str">
            <v>Advanced</v>
          </cell>
          <cell r="F511" t="str">
            <v>Standard, Kaizo</v>
          </cell>
          <cell r="G511">
            <v>45915</v>
          </cell>
          <cell r="H511" t="str">
            <v>40635</v>
          </cell>
          <cell r="I511" t="str">
            <v>https://www.smwcentral.net/?a=details&amp;id=40635&amp;p=section</v>
          </cell>
          <cell r="J511" t="str">
            <v>https://dl.smwcentral.net/40635/Evolve%20or%20Die.zip</v>
          </cell>
        </row>
        <row r="512">
          <cell r="A512" t="str">
            <v>EVW</v>
          </cell>
          <cell r="B512" t="str">
            <v>EVW</v>
          </cell>
          <cell r="C512" t="str">
            <v>Snifit</v>
          </cell>
          <cell r="D512">
            <v>15</v>
          </cell>
          <cell r="E512" t="str">
            <v>Intermediate</v>
          </cell>
          <cell r="F512" t="str">
            <v>Standard</v>
          </cell>
          <cell r="G512">
            <v>42225</v>
          </cell>
          <cell r="H512" t="str">
            <v>10001</v>
          </cell>
          <cell r="I512" t="str">
            <v>https://www.smwcentral.net/?a=details&amp;id=10001&amp;p=section</v>
          </cell>
          <cell r="J512" t="str">
            <v>https://dl.smwcentral.net/10001/EVW_Updated.zip</v>
          </cell>
        </row>
        <row r="513">
          <cell r="A513" t="str">
            <v>Exodius</v>
          </cell>
          <cell r="B513" t="str">
            <v>Exodius</v>
          </cell>
          <cell r="C513" t="str">
            <v>Nint</v>
          </cell>
          <cell r="D513">
            <v>21</v>
          </cell>
          <cell r="E513" t="str">
            <v>Expert</v>
          </cell>
          <cell r="F513" t="str">
            <v>Kaizo</v>
          </cell>
          <cell r="G513">
            <v>43830</v>
          </cell>
          <cell r="H513" t="str">
            <v>21563</v>
          </cell>
          <cell r="I513" t="str">
            <v>https://www.smwcentral.net/?a=details&amp;id=21563&amp;p=section</v>
          </cell>
          <cell r="J513" t="str">
            <v>https://dl.smwcentral.net/21563/Exodius%201.1.zip</v>
          </cell>
        </row>
        <row r="514">
          <cell r="A514" t="str">
            <v>Exshellsior</v>
          </cell>
          <cell r="B514" t="str">
            <v>Exshellsior</v>
          </cell>
          <cell r="C514" t="str">
            <v>xLyfu</v>
          </cell>
          <cell r="D514">
            <v>9</v>
          </cell>
          <cell r="E514" t="str">
            <v>Expert</v>
          </cell>
          <cell r="F514" t="str">
            <v>Kaizo</v>
          </cell>
          <cell r="G514">
            <v>46014</v>
          </cell>
          <cell r="H514" t="str">
            <v>41309</v>
          </cell>
          <cell r="I514" t="str">
            <v>https://www.smwcentral.net/?a=details&amp;id=41309&amp;p=section</v>
          </cell>
          <cell r="J514" t="str">
            <v>https://dl.smwcentral.net/41309/Exshellsior.zip</v>
          </cell>
        </row>
        <row r="515">
          <cell r="A515" t="str">
            <v>Extended Interactions</v>
          </cell>
          <cell r="B515" t="str">
            <v>Extended Interactions</v>
          </cell>
          <cell r="C515" t="str">
            <v>GbreezeSunset</v>
          </cell>
          <cell r="D515">
            <v>24</v>
          </cell>
          <cell r="E515" t="str">
            <v>Expert</v>
          </cell>
          <cell r="F515" t="str">
            <v>Kaizo</v>
          </cell>
          <cell r="G515">
            <v>45713</v>
          </cell>
          <cell r="H515" t="str">
            <v>39342</v>
          </cell>
          <cell r="I515" t="str">
            <v>https://www.smwcentral.net/?a=details&amp;id=39342&amp;p=section</v>
          </cell>
          <cell r="J515" t="str">
            <v>https://dl.smwcentral.net/39342/Extended%20Interactions%20V1.1.1.zip</v>
          </cell>
        </row>
        <row r="516">
          <cell r="A516" t="str">
            <v>Extinction Rebellion</v>
          </cell>
          <cell r="B516" t="str">
            <v>Extinction Rebellion</v>
          </cell>
          <cell r="C516" t="str">
            <v>xamen81x</v>
          </cell>
          <cell r="D516">
            <v>10</v>
          </cell>
          <cell r="E516" t="str">
            <v>Advanced</v>
          </cell>
          <cell r="F516" t="str">
            <v>Kaizo</v>
          </cell>
          <cell r="G516">
            <v>44439</v>
          </cell>
          <cell r="H516" t="str">
            <v>28119</v>
          </cell>
          <cell r="I516" t="str">
            <v>https://www.smwcentral.net/?a=details&amp;id=28119&amp;p=section</v>
          </cell>
          <cell r="J516" t="str">
            <v>https://dl.smwcentral.net/28119/WinRAR-ZIP-Archiv%20%28neu%29.zip</v>
          </cell>
        </row>
        <row r="517">
          <cell r="A517" t="str">
            <v>Extreme One-Screen Puzzle</v>
          </cell>
          <cell r="B517" t="str">
            <v>Extreme One-Screen Puzzle</v>
          </cell>
          <cell r="C517" t="str">
            <v>7 up</v>
          </cell>
          <cell r="D517">
            <v>1</v>
          </cell>
          <cell r="E517" t="str">
            <v>Advanced</v>
          </cell>
          <cell r="F517" t="str">
            <v>Kaizo, Tool-Assisted</v>
          </cell>
          <cell r="G517">
            <v>43290</v>
          </cell>
          <cell r="H517" t="str">
            <v>17732</v>
          </cell>
          <cell r="I517" t="str">
            <v>https://www.smwcentral.net/?a=details&amp;id=17732&amp;p=section</v>
          </cell>
          <cell r="J517" t="str">
            <v>https://dl.smwcentral.net/17732/Extreme_One_Screen_Puzzle_V1.4.zip</v>
          </cell>
        </row>
        <row r="518">
          <cell r="A518" t="str">
            <v>EY JUICE</v>
          </cell>
          <cell r="B518" t="str">
            <v>EY JUICE</v>
          </cell>
          <cell r="C518" t="str">
            <v>goosedajuice</v>
          </cell>
          <cell r="D518">
            <v>29</v>
          </cell>
          <cell r="E518" t="str">
            <v>Advanced</v>
          </cell>
          <cell r="F518" t="str">
            <v>Kaizo</v>
          </cell>
          <cell r="G518">
            <v>44016</v>
          </cell>
          <cell r="H518" t="str">
            <v>23330</v>
          </cell>
          <cell r="I518" t="str">
            <v>https://www.smwcentral.net/?a=details&amp;id=23330&amp;p=section</v>
          </cell>
          <cell r="J518" t="str">
            <v>https://dl.smwcentral.net/23330/EY_JUICEv1.2.zip</v>
          </cell>
        </row>
        <row r="519">
          <cell r="A519" t="str">
            <v>Eyeless: Director's Cut + Original</v>
          </cell>
          <cell r="B519" t="str">
            <v>Eyeless: Director's Cut + Original</v>
          </cell>
          <cell r="C519" t="str">
            <v>lolyoshi</v>
          </cell>
          <cell r="D519">
            <v>5</v>
          </cell>
          <cell r="E519" t="str">
            <v>Casual</v>
          </cell>
          <cell r="F519" t="str">
            <v>Standard</v>
          </cell>
          <cell r="G519">
            <v>42658</v>
          </cell>
          <cell r="H519" t="str">
            <v>14531</v>
          </cell>
          <cell r="I519" t="str">
            <v>https://www.smwcentral.net/?a=details&amp;id=14531&amp;p=section</v>
          </cell>
          <cell r="J519" t="str">
            <v>https://dl.smwcentral.net/14531/Eyeless.zip</v>
          </cell>
        </row>
        <row r="520">
          <cell r="A520" t="str">
            <v>EZ Kaizo</v>
          </cell>
          <cell r="B520" t="str">
            <v>EZ Kaizo</v>
          </cell>
          <cell r="C520" t="str">
            <v>blueribbonhighlife</v>
          </cell>
          <cell r="D520">
            <v>15</v>
          </cell>
          <cell r="E520" t="str">
            <v>Intermediate</v>
          </cell>
          <cell r="F520" t="str">
            <v>Kaizo</v>
          </cell>
          <cell r="G520">
            <v>44510</v>
          </cell>
          <cell r="H520" t="str">
            <v>28771</v>
          </cell>
          <cell r="I520" t="str">
            <v>https://www.smwcentral.net/?a=details&amp;id=28771&amp;p=section</v>
          </cell>
          <cell r="J520" t="str">
            <v>https://dl.smwcentral.net/28771/EZ%20Kaizo%201.0.zip</v>
          </cell>
        </row>
        <row r="521">
          <cell r="A521" t="str">
            <v>F-Mario: Galaxy Cup</v>
          </cell>
          <cell r="B521" t="str">
            <v>F-Mario: Galaxy Cup</v>
          </cell>
          <cell r="C521" t="str">
            <v>X-King</v>
          </cell>
          <cell r="D521">
            <v>12</v>
          </cell>
          <cell r="E521" t="str">
            <v>Intermediate</v>
          </cell>
          <cell r="F521" t="str">
            <v>Standard</v>
          </cell>
          <cell r="G521">
            <v>42104</v>
          </cell>
          <cell r="H521" t="str">
            <v>9724</v>
          </cell>
          <cell r="I521" t="str">
            <v>https://www.smwcentral.net/?a=details&amp;id=9724&amp;p=section</v>
          </cell>
          <cell r="J521" t="str">
            <v>https://dl.smwcentral.net/9724/F-Mario.zip</v>
          </cell>
        </row>
        <row r="522">
          <cell r="A522" t="str">
            <v>Facedesk!</v>
          </cell>
          <cell r="B522" t="str">
            <v>Facedesk!</v>
          </cell>
          <cell r="C522" t="str">
            <v>Katerpie</v>
          </cell>
          <cell r="D522">
            <v>9</v>
          </cell>
          <cell r="E522" t="str">
            <v>Advanced</v>
          </cell>
          <cell r="F522" t="str">
            <v>Kaizo, Tool-Assisted</v>
          </cell>
          <cell r="G522">
            <v>43514</v>
          </cell>
          <cell r="H522" t="str">
            <v>18823</v>
          </cell>
          <cell r="I522" t="str">
            <v>https://www.smwcentral.net/?a=details&amp;id=18823&amp;p=section</v>
          </cell>
          <cell r="J522" t="str">
            <v>https://dl.smwcentral.net/18823/Facedesk.zip</v>
          </cell>
        </row>
        <row r="523">
          <cell r="A523" t="str">
            <v>Fail World</v>
          </cell>
          <cell r="B523" t="str">
            <v>Fail World</v>
          </cell>
          <cell r="C523" t="str">
            <v>Fyre150, Goon Nation</v>
          </cell>
          <cell r="D523">
            <v>27</v>
          </cell>
          <cell r="E523" t="str">
            <v>Master</v>
          </cell>
          <cell r="F523" t="str">
            <v>Kaizo</v>
          </cell>
          <cell r="G523">
            <v>44916</v>
          </cell>
          <cell r="H523" t="str">
            <v>32733</v>
          </cell>
          <cell r="I523" t="str">
            <v>https://www.smwcentral.net/?a=details&amp;id=32733&amp;p=section</v>
          </cell>
          <cell r="J523" t="str">
            <v>https://dl.smwcentral.net/32733/FailWorld.zip</v>
          </cell>
        </row>
        <row r="524">
          <cell r="A524" t="str">
            <v>Fall Guys World</v>
          </cell>
          <cell r="B524" t="str">
            <v>Fall Guys World</v>
          </cell>
          <cell r="C524" t="str">
            <v>LucasMegaStriker</v>
          </cell>
          <cell r="D524">
            <v>19</v>
          </cell>
          <cell r="E524" t="str">
            <v>Intermediate</v>
          </cell>
          <cell r="F524" t="str">
            <v>Standard</v>
          </cell>
          <cell r="G524">
            <v>44120</v>
          </cell>
          <cell r="H524" t="str">
            <v>24854</v>
          </cell>
          <cell r="I524" t="str">
            <v>https://www.smwcentral.net/?a=details&amp;id=24854&amp;p=section</v>
          </cell>
          <cell r="J524" t="str">
            <v>https://dl.smwcentral.net/24854/FallGuysWorld.zip</v>
          </cell>
        </row>
        <row r="525">
          <cell r="A525" t="str">
            <v>Fantasia</v>
          </cell>
          <cell r="B525" t="str">
            <v>Fantasia</v>
          </cell>
          <cell r="C525" t="str">
            <v>Jukeboxi_</v>
          </cell>
          <cell r="D525">
            <v>21</v>
          </cell>
          <cell r="E525" t="str">
            <v>Master</v>
          </cell>
          <cell r="F525" t="str">
            <v>Kaizo</v>
          </cell>
          <cell r="G525">
            <v>45447</v>
          </cell>
          <cell r="H525" t="str">
            <v>37848</v>
          </cell>
          <cell r="I525" t="str">
            <v>https://www.smwcentral.net/?a=details&amp;id=37848&amp;p=section</v>
          </cell>
          <cell r="J525" t="str">
            <v>https://dl.smwcentral.net/37848/Fantasia.zip</v>
          </cell>
        </row>
        <row r="526">
          <cell r="A526" t="str">
            <v>Far a day, near dismay</v>
          </cell>
          <cell r="B526" t="str">
            <v>Far a day, near dismay</v>
          </cell>
          <cell r="C526" t="str">
            <v>cozyduck</v>
          </cell>
          <cell r="D526">
            <v>10</v>
          </cell>
          <cell r="E526" t="str">
            <v>Master</v>
          </cell>
          <cell r="F526" t="str">
            <v>Kaizo</v>
          </cell>
          <cell r="G526">
            <v>45071</v>
          </cell>
          <cell r="H526" t="str">
            <v>33932</v>
          </cell>
          <cell r="I526" t="str">
            <v>https://www.smwcentral.net/?a=details&amp;id=33932&amp;p=section</v>
          </cell>
          <cell r="J526" t="str">
            <v>https://dl.smwcentral.net/33932/faraday.zip</v>
          </cell>
        </row>
        <row r="527">
          <cell r="A527" t="str">
            <v>Fast Food Kaizo</v>
          </cell>
          <cell r="B527" t="str">
            <v>Fast Food Kaizo</v>
          </cell>
          <cell r="C527" t="str">
            <v>gui</v>
          </cell>
          <cell r="D527">
            <v>5</v>
          </cell>
          <cell r="E527" t="str">
            <v>Expert</v>
          </cell>
          <cell r="F527" t="str">
            <v>Kaizo</v>
          </cell>
          <cell r="G527">
            <v>44398</v>
          </cell>
          <cell r="H527" t="str">
            <v>27706</v>
          </cell>
          <cell r="I527" t="str">
            <v>https://www.smwcentral.net/?a=details&amp;id=27706&amp;p=section</v>
          </cell>
          <cell r="J527" t="str">
            <v>https://dl.smwcentral.net/27706/fastfoodkaizov1.1.zip</v>
          </cell>
        </row>
        <row r="528">
          <cell r="A528" t="str">
            <v>Father's Gift</v>
          </cell>
          <cell r="B528" t="str">
            <v>Father's Gift</v>
          </cell>
          <cell r="C528" t="str">
            <v>fanfan21</v>
          </cell>
          <cell r="D528">
            <v>24</v>
          </cell>
          <cell r="E528" t="str">
            <v>Intermediate</v>
          </cell>
          <cell r="F528" t="str">
            <v>Kaizo</v>
          </cell>
          <cell r="G528">
            <v>45664</v>
          </cell>
          <cell r="H528" t="str">
            <v>38986</v>
          </cell>
          <cell r="I528" t="str">
            <v>https://www.smwcentral.net/?a=details&amp;id=38986&amp;p=section</v>
          </cell>
          <cell r="J528" t="str">
            <v>https://dl.smwcentral.net/38986/Hack%20for%20Father.zip</v>
          </cell>
        </row>
        <row r="529">
          <cell r="A529" t="str">
            <v>Fedora</v>
          </cell>
          <cell r="B529" t="str">
            <v>Fedora</v>
          </cell>
          <cell r="C529" t="str">
            <v>AFH</v>
          </cell>
          <cell r="D529">
            <v>1</v>
          </cell>
          <cell r="E529" t="str">
            <v>Expert</v>
          </cell>
          <cell r="F529" t="str">
            <v>Kaizo</v>
          </cell>
          <cell r="G529">
            <v>44302</v>
          </cell>
          <cell r="H529" t="str">
            <v>26571</v>
          </cell>
          <cell r="I529" t="str">
            <v>https://www.smwcentral.net/?a=details&amp;id=26571&amp;p=section</v>
          </cell>
          <cell r="J529" t="str">
            <v>https://dl.smwcentral.net/26571/fedora.zip</v>
          </cell>
        </row>
        <row r="530">
          <cell r="A530" t="str">
            <v>Feginner</v>
          </cell>
          <cell r="B530" t="str">
            <v>Feginner</v>
          </cell>
          <cell r="C530" t="str">
            <v>CroNo486, mikeeeeee83</v>
          </cell>
          <cell r="D530">
            <v>11</v>
          </cell>
          <cell r="E530" t="str">
            <v>Advanced</v>
          </cell>
          <cell r="F530" t="str">
            <v>Kaizo</v>
          </cell>
          <cell r="G530">
            <v>45244</v>
          </cell>
          <cell r="H530" t="str">
            <v>35429</v>
          </cell>
          <cell r="I530" t="str">
            <v>https://www.smwcentral.net/?a=details&amp;id=35429&amp;p=section</v>
          </cell>
          <cell r="J530" t="str">
            <v>https://dl.smwcentral.net/35429/Feginner_v1.2.zip</v>
          </cell>
        </row>
        <row r="531">
          <cell r="A531" t="str">
            <v>Final Fantasy: Super Moogle World</v>
          </cell>
          <cell r="B531" t="str">
            <v>Final Fantasy: Super Moogle World</v>
          </cell>
          <cell r="C531" t="str">
            <v>Furdabip</v>
          </cell>
          <cell r="D531">
            <v>60</v>
          </cell>
          <cell r="E531" t="str">
            <v>Casual</v>
          </cell>
          <cell r="F531" t="str">
            <v>Standard</v>
          </cell>
          <cell r="G531">
            <v>42217</v>
          </cell>
          <cell r="H531" t="str">
            <v>9807</v>
          </cell>
          <cell r="I531" t="str">
            <v>https://www.smwcentral.net/?a=details&amp;id=9807&amp;p=section</v>
          </cell>
          <cell r="J531" t="str">
            <v>https://dl.smwcentral.net/9807/FF-SMW.zip</v>
          </cell>
        </row>
        <row r="532">
          <cell r="A532" t="str">
            <v>Fire and Ice</v>
          </cell>
          <cell r="B532" t="str">
            <v>Fire and Ice</v>
          </cell>
          <cell r="C532" t="str">
            <v>mason</v>
          </cell>
          <cell r="D532">
            <v>19</v>
          </cell>
          <cell r="E532" t="str">
            <v>Master</v>
          </cell>
          <cell r="F532" t="str">
            <v>Kaizo</v>
          </cell>
          <cell r="G532">
            <v>44320</v>
          </cell>
          <cell r="H532" t="str">
            <v>26828</v>
          </cell>
          <cell r="I532" t="str">
            <v>https://www.smwcentral.net/?a=details&amp;id=26828&amp;p=section</v>
          </cell>
          <cell r="J532" t="str">
            <v>https://dl.smwcentral.net/26828/fireandice.zip</v>
          </cell>
        </row>
        <row r="533">
          <cell r="A533" t="str">
            <v>First Foray</v>
          </cell>
          <cell r="B533" t="str">
            <v>First Foray</v>
          </cell>
          <cell r="C533" t="str">
            <v>15925</v>
          </cell>
          <cell r="D533">
            <v>5</v>
          </cell>
          <cell r="E533" t="str">
            <v>Casual</v>
          </cell>
          <cell r="F533" t="str">
            <v>Standard</v>
          </cell>
          <cell r="G533">
            <v>43470</v>
          </cell>
          <cell r="H533" t="str">
            <v>18831</v>
          </cell>
          <cell r="I533" t="str">
            <v>https://www.smwcentral.net/?a=details&amp;id=18831&amp;p=section</v>
          </cell>
          <cell r="J533" t="str">
            <v>https://dl.smwcentral.net/18831/First%20Foray%20C3%20Demo%20v1.1.zip</v>
          </cell>
        </row>
        <row r="534">
          <cell r="A534" t="str">
            <v>First Step Forward</v>
          </cell>
          <cell r="B534" t="str">
            <v>First Step Forward</v>
          </cell>
          <cell r="C534" t="str">
            <v>LightAligns, Saela</v>
          </cell>
          <cell r="D534">
            <v>11</v>
          </cell>
          <cell r="E534" t="str">
            <v>Advanced</v>
          </cell>
          <cell r="F534" t="str">
            <v>Kaizo</v>
          </cell>
          <cell r="G534">
            <v>45603</v>
          </cell>
          <cell r="H534" t="str">
            <v>38728</v>
          </cell>
          <cell r="I534" t="str">
            <v>https://www.smwcentral.net/?a=details&amp;id=38728&amp;p=section</v>
          </cell>
          <cell r="J534" t="str">
            <v>https://dl.smwcentral.net/38728/First%20Step%20Forward.zip</v>
          </cell>
        </row>
        <row r="535">
          <cell r="A535" t="str">
            <v>Fishing Season 2</v>
          </cell>
          <cell r="B535" t="str">
            <v>Fishing Season 2</v>
          </cell>
          <cell r="C535" t="str">
            <v>MellyMellouange</v>
          </cell>
          <cell r="D535">
            <v>14</v>
          </cell>
          <cell r="E535" t="str">
            <v>Casual</v>
          </cell>
          <cell r="F535" t="str">
            <v>Standard</v>
          </cell>
          <cell r="G535">
            <v>42914</v>
          </cell>
          <cell r="H535" t="str">
            <v>15713</v>
          </cell>
          <cell r="I535" t="str">
            <v>https://www.smwcentral.net/?a=details&amp;id=15713&amp;p=section</v>
          </cell>
          <cell r="J535" t="str">
            <v>https://dl.smwcentral.net/15713/Fishing_Season_2.zip</v>
          </cell>
        </row>
        <row r="536">
          <cell r="A536" t="str">
            <v>Flip The Switch</v>
          </cell>
          <cell r="B536" t="str">
            <v>Flip The Switch</v>
          </cell>
          <cell r="C536" t="str">
            <v>ThirdWall</v>
          </cell>
          <cell r="D536">
            <v>7</v>
          </cell>
          <cell r="E536" t="str">
            <v>Master</v>
          </cell>
          <cell r="F536" t="str">
            <v>Kaizo</v>
          </cell>
          <cell r="G536">
            <v>44460</v>
          </cell>
          <cell r="H536" t="str">
            <v>28341</v>
          </cell>
          <cell r="I536" t="str">
            <v>https://www.smwcentral.net/?a=details&amp;id=28341&amp;p=section</v>
          </cell>
          <cell r="J536" t="str">
            <v>https://dl.smwcentral.net/28341/Flip%20The%20Switch.bps.zip</v>
          </cell>
        </row>
        <row r="537">
          <cell r="A537" t="str">
            <v>FLOATING MUNCHERS SERIES?</v>
          </cell>
          <cell r="B537" t="str">
            <v>FLOATING MUNCHERS SERIES?</v>
          </cell>
          <cell r="C537" t="str">
            <v>Alcaro, Koopster</v>
          </cell>
          <cell r="D537">
            <v>2</v>
          </cell>
          <cell r="E537" t="str">
            <v>Advanced</v>
          </cell>
          <cell r="F537" t="str">
            <v>Standard</v>
          </cell>
          <cell r="G537">
            <v>42519</v>
          </cell>
          <cell r="H537" t="str">
            <v>13745</v>
          </cell>
          <cell r="I537" t="str">
            <v>https://www.smwcentral.net/?a=details&amp;id=13745&amp;p=section</v>
          </cell>
          <cell r="J537" t="str">
            <v>https://dl.smwcentral.net/13745/FLOATING%20MUNCHERS.zip</v>
          </cell>
        </row>
        <row r="538">
          <cell r="A538" t="str">
            <v>FloMcNasty World</v>
          </cell>
          <cell r="B538" t="str">
            <v>FloMcNasty World</v>
          </cell>
          <cell r="C538" t="str">
            <v>AiSnake</v>
          </cell>
          <cell r="D538">
            <v>11</v>
          </cell>
          <cell r="E538" t="str">
            <v>Advanced</v>
          </cell>
          <cell r="F538" t="str">
            <v>Kaizo</v>
          </cell>
          <cell r="G538">
            <v>45153</v>
          </cell>
          <cell r="H538" t="str">
            <v>34838</v>
          </cell>
          <cell r="I538" t="str">
            <v>https://www.smwcentral.net/?a=details&amp;id=34838&amp;p=section</v>
          </cell>
          <cell r="J538" t="str">
            <v>https://dl.smwcentral.net/34838/FloMcNastyWorld%20v1.1.bps.zip</v>
          </cell>
        </row>
        <row r="539">
          <cell r="A539" t="str">
            <v>Fly Me To The Stars</v>
          </cell>
          <cell r="B539" t="str">
            <v>Fly Me To The Stars</v>
          </cell>
          <cell r="C539" t="str">
            <v>CarlSagan42</v>
          </cell>
          <cell r="D539">
            <v>6</v>
          </cell>
          <cell r="E539" t="str">
            <v>Master</v>
          </cell>
          <cell r="F539" t="str">
            <v>Kaizo</v>
          </cell>
          <cell r="G539">
            <v>43468</v>
          </cell>
          <cell r="H539" t="str">
            <v>18791</v>
          </cell>
          <cell r="I539" t="str">
            <v>https://www.smwcentral.net/?a=details&amp;id=18791&amp;p=section</v>
          </cell>
          <cell r="J539" t="str">
            <v>https://dl.smwcentral.net/18791/Fly%20Me%20To%20The%20Stars.zip</v>
          </cell>
        </row>
        <row r="540">
          <cell r="A540" t="str">
            <v>Flying With Style</v>
          </cell>
          <cell r="B540" t="str">
            <v>Flying With Style</v>
          </cell>
          <cell r="C540" t="str">
            <v>DJLocks, LouisDoucet, MassPunishment, gui, mason</v>
          </cell>
          <cell r="D540">
            <v>7</v>
          </cell>
          <cell r="E540" t="str">
            <v>Master</v>
          </cell>
          <cell r="F540" t="str">
            <v>Kaizo</v>
          </cell>
          <cell r="G540">
            <v>44587</v>
          </cell>
          <cell r="H540" t="str">
            <v>29600</v>
          </cell>
          <cell r="I540" t="str">
            <v>https://www.smwcentral.net/?a=details&amp;id=29600&amp;p=section</v>
          </cell>
          <cell r="J540" t="str">
            <v>https://dl.smwcentral.net/29600/FWS.zip</v>
          </cell>
        </row>
        <row r="541">
          <cell r="A541" t="str">
            <v>For Dan</v>
          </cell>
          <cell r="B541" t="str">
            <v>For Dan</v>
          </cell>
          <cell r="C541" t="str">
            <v>GrumpyWalrus</v>
          </cell>
          <cell r="D541">
            <v>25</v>
          </cell>
          <cell r="E541" t="str">
            <v>Advanced</v>
          </cell>
          <cell r="F541" t="str">
            <v>Kaizo</v>
          </cell>
          <cell r="G541">
            <v>44687</v>
          </cell>
          <cell r="H541" t="str">
            <v>30756</v>
          </cell>
          <cell r="I541" t="str">
            <v>https://www.smwcentral.net/?a=details&amp;id=30756&amp;p=section</v>
          </cell>
          <cell r="J541" t="str">
            <v>https://dl.smwcentral.net/30756/For%20Dan%20v2.zip</v>
          </cell>
        </row>
        <row r="542">
          <cell r="A542" t="str">
            <v>Forer - Barnum</v>
          </cell>
          <cell r="B542" t="str">
            <v>Forer - Barnum</v>
          </cell>
          <cell r="C542" t="str">
            <v>OEO6</v>
          </cell>
          <cell r="D542">
            <v>13</v>
          </cell>
          <cell r="E542" t="str">
            <v>Expert</v>
          </cell>
          <cell r="F542" t="str">
            <v>Kaizo</v>
          </cell>
          <cell r="G542">
            <v>45166</v>
          </cell>
          <cell r="H542" t="str">
            <v>34953</v>
          </cell>
          <cell r="I542" t="str">
            <v>https://www.smwcentral.net/?a=details&amp;id=34953&amp;p=section</v>
          </cell>
          <cell r="J542" t="str">
            <v>https://dl.smwcentral.net/34953/Forer%20-%20Barnum%20v1.40.zip</v>
          </cell>
        </row>
        <row r="543">
          <cell r="A543" t="str">
            <v>forest of illusion 4</v>
          </cell>
          <cell r="B543" t="str">
            <v>forest of illusion 4</v>
          </cell>
          <cell r="C543" t="str">
            <v>ageVerrly</v>
          </cell>
          <cell r="D543">
            <v>0</v>
          </cell>
          <cell r="E543" t="str">
            <v>Master</v>
          </cell>
          <cell r="F543" t="str">
            <v>Kaizo</v>
          </cell>
          <cell r="G543">
            <v>44581</v>
          </cell>
          <cell r="H543" t="str">
            <v>28842</v>
          </cell>
          <cell r="I543" t="str">
            <v>https://www.smwcentral.net/?a=details&amp;id=28842&amp;p=section</v>
          </cell>
          <cell r="J543" t="str">
            <v>https://dl.smwcentral.net/28842/foi4V1.1.zip</v>
          </cell>
        </row>
        <row r="544">
          <cell r="A544" t="str">
            <v>Forever</v>
          </cell>
          <cell r="B544" t="str">
            <v>Forever</v>
          </cell>
          <cell r="C544" t="str">
            <v>Lush_50</v>
          </cell>
          <cell r="D544">
            <v>11</v>
          </cell>
          <cell r="E544" t="str">
            <v>Advanced</v>
          </cell>
          <cell r="F544" t="str">
            <v>Kaizo</v>
          </cell>
          <cell r="G544">
            <v>44921</v>
          </cell>
          <cell r="H544" t="str">
            <v>32790</v>
          </cell>
          <cell r="I544" t="str">
            <v>https://www.smwcentral.net/?a=details&amp;id=32790&amp;p=section</v>
          </cell>
          <cell r="J544" t="str">
            <v>https://dl.smwcentral.net/32790/Forever%20v1.1a.zip</v>
          </cell>
        </row>
        <row r="545">
          <cell r="A545" t="str">
            <v>Forgotten Town</v>
          </cell>
          <cell r="B545" t="str">
            <v>Forgotten Town</v>
          </cell>
          <cell r="C545" t="str">
            <v>NattCaat</v>
          </cell>
          <cell r="D545">
            <v>9</v>
          </cell>
          <cell r="E545" t="str">
            <v>Intermediate</v>
          </cell>
          <cell r="F545" t="str">
            <v>Standard</v>
          </cell>
          <cell r="G545">
            <v>44436</v>
          </cell>
          <cell r="H545" t="str">
            <v>28063</v>
          </cell>
          <cell r="I545" t="str">
            <v>https://www.smwcentral.net/?a=details&amp;id=28063&amp;p=section</v>
          </cell>
          <cell r="J545" t="str">
            <v>https://dl.smwcentral.net/28063/Forgotten-Town.zip</v>
          </cell>
        </row>
        <row r="546">
          <cell r="A546" t="str">
            <v>ForgottenWorld</v>
          </cell>
          <cell r="B546" t="str">
            <v>ForgottenWorld</v>
          </cell>
          <cell r="C546" t="str">
            <v>Hannes37</v>
          </cell>
          <cell r="D546">
            <v>10</v>
          </cell>
          <cell r="E546" t="str">
            <v>Advanced</v>
          </cell>
          <cell r="F546" t="str">
            <v>Kaizo</v>
          </cell>
          <cell r="G546">
            <v>43950</v>
          </cell>
          <cell r="H546" t="str">
            <v>22753</v>
          </cell>
          <cell r="I546" t="str">
            <v>https://www.smwcentral.net/?a=details&amp;id=22753&amp;p=section</v>
          </cell>
          <cell r="J546" t="str">
            <v>https://dl.smwcentral.net/22753/ForgottenWorld.zip</v>
          </cell>
        </row>
        <row r="547">
          <cell r="A547" t="str">
            <v>Foxx BGG World - KSD Edition</v>
          </cell>
          <cell r="B547" t="str">
            <v>Foxx BGG World - KSD Edition</v>
          </cell>
          <cell r="C547" t="str">
            <v>thefoxx87</v>
          </cell>
          <cell r="D547">
            <v>17</v>
          </cell>
          <cell r="E547" t="str">
            <v>Advanced</v>
          </cell>
          <cell r="F547" t="str">
            <v>Kaizo</v>
          </cell>
          <cell r="G547">
            <v>45531</v>
          </cell>
          <cell r="H547" t="str">
            <v>38315</v>
          </cell>
          <cell r="I547" t="str">
            <v>https://www.smwcentral.net/?a=details&amp;id=38315&amp;p=section</v>
          </cell>
          <cell r="J547" t="str">
            <v>https://dl.smwcentral.net/38315/Foxx%20BGG%20World%20KSD%20Edition.zip</v>
          </cell>
        </row>
        <row r="548">
          <cell r="A548" t="str">
            <v>Foxx BGN World</v>
          </cell>
          <cell r="B548" t="str">
            <v>Foxx BGN World</v>
          </cell>
          <cell r="C548" t="str">
            <v>thefoxx87</v>
          </cell>
          <cell r="D548">
            <v>17</v>
          </cell>
          <cell r="E548" t="str">
            <v>Intermediate</v>
          </cell>
          <cell r="F548" t="str">
            <v>Kaizo</v>
          </cell>
          <cell r="G548">
            <v>45531</v>
          </cell>
          <cell r="H548" t="str">
            <v>38316</v>
          </cell>
          <cell r="I548" t="str">
            <v>https://www.smwcentral.net/?a=details&amp;id=38316&amp;p=section</v>
          </cell>
          <cell r="J548" t="str">
            <v>https://dl.smwcentral.net/38316/Foxx%20BGN%20World.zip</v>
          </cell>
        </row>
        <row r="549">
          <cell r="A549" t="str">
            <v>Fragaria 🍓</v>
          </cell>
          <cell r="B549" t="str">
            <v>Fragaria 🍓</v>
          </cell>
          <cell r="C549" t="str">
            <v>neidoodle</v>
          </cell>
          <cell r="D549">
            <v>15</v>
          </cell>
          <cell r="E549" t="str">
            <v>Advanced</v>
          </cell>
          <cell r="F549" t="str">
            <v>Kaizo</v>
          </cell>
          <cell r="G549">
            <v>45716</v>
          </cell>
          <cell r="H549" t="str">
            <v>39475</v>
          </cell>
          <cell r="I549" t="str">
            <v>https://www.smwcentral.net/?a=details&amp;id=39475&amp;p=section</v>
          </cell>
          <cell r="J549" t="str">
            <v>https://dl.smwcentral.net/39475/Fragaria%20V1.2.zip</v>
          </cell>
        </row>
        <row r="550">
          <cell r="A550" t="str">
            <v>Freak City</v>
          </cell>
          <cell r="B550" t="str">
            <v>Freak City</v>
          </cell>
          <cell r="C550" t="str">
            <v>Boosius</v>
          </cell>
          <cell r="D550">
            <v>92</v>
          </cell>
          <cell r="E550" t="str">
            <v>Advanced</v>
          </cell>
          <cell r="F550" t="str">
            <v>Standard</v>
          </cell>
          <cell r="G550">
            <v>46104</v>
          </cell>
          <cell r="H550" t="str">
            <v>41980</v>
          </cell>
          <cell r="I550" t="str">
            <v>https://www.smwcentral.net/?a=details&amp;id=41980&amp;p=section</v>
          </cell>
          <cell r="J550" t="str">
            <v>https://dl.smwcentral.net/41980/Freak%20City.zip</v>
          </cell>
        </row>
        <row r="551">
          <cell r="A551" t="str">
            <v>Free Luigi</v>
          </cell>
          <cell r="B551" t="str">
            <v>Free Luigi</v>
          </cell>
          <cell r="C551" t="str">
            <v>MarsAmPear</v>
          </cell>
          <cell r="D551">
            <v>9</v>
          </cell>
          <cell r="E551" t="str">
            <v>Intermediate</v>
          </cell>
          <cell r="F551" t="str">
            <v>Standard, Kaizo</v>
          </cell>
          <cell r="G551">
            <v>45780</v>
          </cell>
          <cell r="H551" t="str">
            <v>39759</v>
          </cell>
          <cell r="I551" t="str">
            <v>https://www.smwcentral.net/?a=details&amp;id=39759&amp;p=section</v>
          </cell>
          <cell r="J551" t="str">
            <v>https://dl.smwcentral.net/39759/Free%20Luigi.zip</v>
          </cell>
        </row>
        <row r="552">
          <cell r="A552" t="str">
            <v>Free Verse For Sara</v>
          </cell>
          <cell r="B552" t="str">
            <v>Free Verse For Sara</v>
          </cell>
          <cell r="C552" t="str">
            <v>flips_bad</v>
          </cell>
          <cell r="D552">
            <v>1</v>
          </cell>
          <cell r="E552" t="str">
            <v>Master</v>
          </cell>
          <cell r="F552" t="str">
            <v>Kaizo</v>
          </cell>
          <cell r="G552">
            <v>45299</v>
          </cell>
          <cell r="H552" t="str">
            <v>35861</v>
          </cell>
          <cell r="I552" t="str">
            <v>https://www.smwcentral.net/?a=details&amp;id=35861&amp;p=section</v>
          </cell>
          <cell r="J552" t="str">
            <v>https://dl.smwcentral.net/35861/Free%20Verse%20For%20Sara.zip</v>
          </cell>
        </row>
        <row r="553">
          <cell r="A553" t="str">
            <v>French Fries &amp; French Toast</v>
          </cell>
          <cell r="B553" t="str">
            <v>French Fries &amp; French Toast</v>
          </cell>
          <cell r="C553" t="str">
            <v>Fyre150</v>
          </cell>
          <cell r="D553">
            <v>15</v>
          </cell>
          <cell r="E553" t="str">
            <v>Expert</v>
          </cell>
          <cell r="F553" t="str">
            <v>Kaizo</v>
          </cell>
          <cell r="G553">
            <v>44795</v>
          </cell>
          <cell r="H553" t="str">
            <v>31830</v>
          </cell>
          <cell r="I553" t="str">
            <v>https://www.smwcentral.net/?a=details&amp;id=31830&amp;p=section</v>
          </cell>
          <cell r="J553" t="str">
            <v>https://dl.smwcentral.net/31830/Fries%26Toast~.zip</v>
          </cell>
        </row>
        <row r="554">
          <cell r="A554" t="str">
            <v>French SMW Hacking Contest 2008</v>
          </cell>
          <cell r="B554" t="str">
            <v>French SMW Hacking Contest 2008</v>
          </cell>
          <cell r="C554" t="str">
            <v>Lexator, Lunartoad, SLBros., Sylvain, Yocha, bulle34500, yogui</v>
          </cell>
          <cell r="D554">
            <v>11</v>
          </cell>
          <cell r="E554" t="str">
            <v>Casual</v>
          </cell>
          <cell r="F554" t="str">
            <v>Standard</v>
          </cell>
          <cell r="G554">
            <v>42093</v>
          </cell>
          <cell r="H554" t="str">
            <v>9819</v>
          </cell>
          <cell r="I554" t="str">
            <v>https://www.smwcentral.net/?a=details&amp;id=9819&amp;p=section</v>
          </cell>
          <cell r="J554" t="str">
            <v>https://dl.smwcentral.net/9819/SMW%20concours%202008.zip</v>
          </cell>
        </row>
        <row r="555">
          <cell r="A555" t="str">
            <v>Fresh Hops</v>
          </cell>
          <cell r="B555" t="str">
            <v>Fresh Hops</v>
          </cell>
          <cell r="C555" t="str">
            <v>MorrieTheMagpie</v>
          </cell>
          <cell r="D555">
            <v>14</v>
          </cell>
          <cell r="E555" t="str">
            <v>Advanced</v>
          </cell>
          <cell r="F555" t="str">
            <v>Kaizo</v>
          </cell>
          <cell r="G555">
            <v>45448</v>
          </cell>
          <cell r="H555" t="str">
            <v>37897</v>
          </cell>
          <cell r="I555" t="str">
            <v>https://www.smwcentral.net/?a=details&amp;id=37897&amp;p=section</v>
          </cell>
          <cell r="J555" t="str">
            <v>https://dl.smwcentral.net/37897/Fresh%20Hops%20v1.1.zip</v>
          </cell>
        </row>
        <row r="556">
          <cell r="A556" t="str">
            <v>Fresh Hops 2</v>
          </cell>
          <cell r="B556" t="str">
            <v>Fresh Hops 2</v>
          </cell>
          <cell r="C556" t="str">
            <v>MorrieTheMagpie</v>
          </cell>
          <cell r="D556">
            <v>36</v>
          </cell>
          <cell r="E556" t="str">
            <v>Expert</v>
          </cell>
          <cell r="F556" t="str">
            <v>Kaizo</v>
          </cell>
          <cell r="G556">
            <v>46050</v>
          </cell>
          <cell r="H556" t="str">
            <v>41460</v>
          </cell>
          <cell r="I556" t="str">
            <v>https://www.smwcentral.net/?a=details&amp;id=41460&amp;p=section</v>
          </cell>
          <cell r="J556" t="str">
            <v>https://dl.smwcentral.net/41460/Fresh%20Hops%202.zip</v>
          </cell>
        </row>
        <row r="557">
          <cell r="A557" t="str">
            <v>Friday Mario World</v>
          </cell>
          <cell r="B557" t="str">
            <v>Friday Mario World</v>
          </cell>
          <cell r="C557" t="str">
            <v>strizer86</v>
          </cell>
          <cell r="D557">
            <v>11</v>
          </cell>
          <cell r="E557" t="str">
            <v>Expert</v>
          </cell>
          <cell r="F557" t="str">
            <v>Kaizo</v>
          </cell>
          <cell r="G557">
            <v>43892</v>
          </cell>
          <cell r="H557" t="str">
            <v>22299</v>
          </cell>
          <cell r="I557" t="str">
            <v>https://www.smwcentral.net/?a=details&amp;id=22299&amp;p=section</v>
          </cell>
          <cell r="J557" t="str">
            <v>https://dl.smwcentral.net/22299/FridayMarioWorld_v1.22.zip</v>
          </cell>
        </row>
        <row r="558">
          <cell r="A558" t="str">
            <v>From Heaven To Hell</v>
          </cell>
          <cell r="B558" t="str">
            <v>From Heaven To Hell</v>
          </cell>
          <cell r="C558" t="str">
            <v>HousemeisterHD, Inflagrandy</v>
          </cell>
          <cell r="D558">
            <v>14</v>
          </cell>
          <cell r="E558" t="str">
            <v>Expert</v>
          </cell>
          <cell r="F558" t="str">
            <v>Kaizo</v>
          </cell>
          <cell r="G558">
            <v>45898</v>
          </cell>
          <cell r="H558" t="str">
            <v>40494</v>
          </cell>
          <cell r="I558" t="str">
            <v>https://www.smwcentral.net/?a=details&amp;id=40494&amp;p=section</v>
          </cell>
          <cell r="J558" t="str">
            <v>https://dl.smwcentral.net/40494/From_Heaven_To_Hell.zip</v>
          </cell>
        </row>
        <row r="559">
          <cell r="A559" t="str">
            <v>From World to World</v>
          </cell>
          <cell r="B559" t="str">
            <v>From World to World</v>
          </cell>
          <cell r="C559" t="str">
            <v>Paperdomo101</v>
          </cell>
          <cell r="D559">
            <v>5</v>
          </cell>
          <cell r="E559" t="str">
            <v>Casual</v>
          </cell>
          <cell r="F559" t="str">
            <v>Standard</v>
          </cell>
          <cell r="G559">
            <v>42441</v>
          </cell>
          <cell r="H559" t="str">
            <v>13445</v>
          </cell>
          <cell r="I559" t="str">
            <v>https://www.smwcentral.net/?a=details&amp;id=13445&amp;p=section</v>
          </cell>
          <cell r="J559" t="str">
            <v>https://dl.smwcentral.net/13445/FWTW_Demo_1.ips.zip</v>
          </cell>
        </row>
        <row r="560">
          <cell r="A560" t="str">
            <v>Fulfill the Dream</v>
          </cell>
          <cell r="B560" t="str">
            <v>Fulfill the Dream</v>
          </cell>
          <cell r="C560" t="str">
            <v>Abstract</v>
          </cell>
          <cell r="D560">
            <v>22</v>
          </cell>
          <cell r="E560" t="str">
            <v>Expert</v>
          </cell>
          <cell r="F560" t="str">
            <v>Kaizo</v>
          </cell>
          <cell r="G560">
            <v>45450</v>
          </cell>
          <cell r="H560" t="str">
            <v>37900</v>
          </cell>
          <cell r="I560" t="str">
            <v>https://www.smwcentral.net/?a=details&amp;id=37900&amp;p=section</v>
          </cell>
          <cell r="J560" t="str">
            <v>https://dl.smwcentral.net/37900/FulfillTheDream.zip</v>
          </cell>
        </row>
        <row r="561">
          <cell r="A561" t="str">
            <v>Full Bloom</v>
          </cell>
          <cell r="B561" t="str">
            <v>Full Bloom</v>
          </cell>
          <cell r="C561" t="str">
            <v>Chondontore</v>
          </cell>
          <cell r="D561">
            <v>13</v>
          </cell>
          <cell r="E561" t="str">
            <v>Advanced</v>
          </cell>
          <cell r="F561" t="str">
            <v>Kaizo</v>
          </cell>
          <cell r="G561">
            <v>44388</v>
          </cell>
          <cell r="H561" t="str">
            <v>27569</v>
          </cell>
          <cell r="I561" t="str">
            <v>https://www.smwcentral.net/?a=details&amp;id=27569&amp;p=section</v>
          </cell>
          <cell r="J561" t="str">
            <v>https://dl.smwcentral.net/27569/Full%20Bloom%201.1.zip</v>
          </cell>
        </row>
        <row r="562">
          <cell r="A562" t="str">
            <v>Future Elliotto World</v>
          </cell>
          <cell r="B562" t="str">
            <v>Future Elliotto World</v>
          </cell>
          <cell r="C562" t="str">
            <v>Cliff_Spab</v>
          </cell>
          <cell r="D562">
            <v>19</v>
          </cell>
          <cell r="E562" t="str">
            <v>Expert</v>
          </cell>
          <cell r="F562" t="str">
            <v>Kaizo</v>
          </cell>
          <cell r="G562">
            <v>45539</v>
          </cell>
          <cell r="H562" t="str">
            <v>38371</v>
          </cell>
          <cell r="I562" t="str">
            <v>https://www.smwcentral.net/?a=details&amp;id=38371&amp;p=section</v>
          </cell>
          <cell r="J562" t="str">
            <v>https://dl.smwcentral.net/38371/FEW%20090124.zip</v>
          </cell>
        </row>
        <row r="563">
          <cell r="A563" t="str">
            <v>G-FazO</v>
          </cell>
          <cell r="B563" t="str">
            <v>G-FazO</v>
          </cell>
          <cell r="C563" t="str">
            <v>Kazefbr</v>
          </cell>
          <cell r="D563">
            <v>7</v>
          </cell>
          <cell r="E563" t="str">
            <v>Expert</v>
          </cell>
          <cell r="F563" t="str">
            <v>Kaizo</v>
          </cell>
          <cell r="G563">
            <v>44363</v>
          </cell>
          <cell r="H563" t="str">
            <v>27158</v>
          </cell>
          <cell r="I563" t="str">
            <v>https://www.smwcentral.net/?a=details&amp;id=27158&amp;p=section</v>
          </cell>
          <cell r="J563" t="str">
            <v>https://dl.smwcentral.net/27158/G-Fazo%202.0.zip</v>
          </cell>
        </row>
        <row r="564">
          <cell r="A564" t="str">
            <v>GADZOOKS</v>
          </cell>
          <cell r="B564" t="str">
            <v>GADZOOKS</v>
          </cell>
          <cell r="C564" t="str">
            <v>1mslakingoff</v>
          </cell>
          <cell r="D564">
            <v>30</v>
          </cell>
          <cell r="E564" t="str">
            <v>Expert</v>
          </cell>
          <cell r="F564" t="str">
            <v>Kaizo</v>
          </cell>
          <cell r="G564">
            <v>45984</v>
          </cell>
          <cell r="H564" t="str">
            <v>41041</v>
          </cell>
          <cell r="I564" t="str">
            <v>https://www.smwcentral.net/?a=details&amp;id=41041&amp;p=section</v>
          </cell>
          <cell r="J564" t="str">
            <v>https://dl.smwcentral.net/41041/GADZOOKS.zip</v>
          </cell>
        </row>
        <row r="565">
          <cell r="A565" t="str">
            <v>Gaia</v>
          </cell>
          <cell r="B565" t="str">
            <v>Gaia</v>
          </cell>
          <cell r="C565" t="str">
            <v>Edidoo</v>
          </cell>
          <cell r="D565">
            <v>23</v>
          </cell>
          <cell r="E565" t="str">
            <v>Advanced</v>
          </cell>
          <cell r="F565" t="str">
            <v>Kaizo</v>
          </cell>
          <cell r="G565">
            <v>44133</v>
          </cell>
          <cell r="H565" t="str">
            <v>24981</v>
          </cell>
          <cell r="I565" t="str">
            <v>https://www.smwcentral.net/?a=details&amp;id=24981&amp;p=section</v>
          </cell>
          <cell r="J565" t="str">
            <v>https://dl.smwcentral.net/24981/Gaia%20v1.2.zip</v>
          </cell>
        </row>
        <row r="566">
          <cell r="A566" t="str">
            <v>Gaijin Mario</v>
          </cell>
          <cell r="B566" t="str">
            <v>Gaijin Mario</v>
          </cell>
          <cell r="C566" t="str">
            <v>Morsel</v>
          </cell>
          <cell r="D566">
            <v>8</v>
          </cell>
          <cell r="E566" t="str">
            <v>Master</v>
          </cell>
          <cell r="F566" t="str">
            <v>Kaizo</v>
          </cell>
          <cell r="G566">
            <v>43348</v>
          </cell>
          <cell r="H566" t="str">
            <v>18101</v>
          </cell>
          <cell r="I566" t="str">
            <v>https://www.smwcentral.net/?a=details&amp;id=18101&amp;p=section</v>
          </cell>
          <cell r="J566" t="str">
            <v>https://dl.smwcentral.net/18101/gaijin1.02.zip</v>
          </cell>
        </row>
        <row r="567">
          <cell r="A567" t="str">
            <v>Gambit</v>
          </cell>
          <cell r="B567" t="str">
            <v>Gambit</v>
          </cell>
          <cell r="C567" t="str">
            <v>Serge</v>
          </cell>
          <cell r="D567">
            <v>21</v>
          </cell>
          <cell r="E567" t="str">
            <v>Expert</v>
          </cell>
          <cell r="F567" t="str">
            <v>Kaizo</v>
          </cell>
          <cell r="G567">
            <v>44923</v>
          </cell>
          <cell r="H567" t="str">
            <v>32819</v>
          </cell>
          <cell r="I567" t="str">
            <v>https://www.smwcentral.net/?a=details&amp;id=32819&amp;p=section</v>
          </cell>
          <cell r="J567" t="str">
            <v>https://dl.smwcentral.net/32819/Gambit.zip</v>
          </cell>
        </row>
        <row r="568">
          <cell r="A568" t="str">
            <v>Gambol</v>
          </cell>
          <cell r="B568" t="str">
            <v>Gambol</v>
          </cell>
          <cell r="C568" t="str">
            <v>JezJitzu</v>
          </cell>
          <cell r="D568">
            <v>11</v>
          </cell>
          <cell r="E568" t="str">
            <v>Advanced</v>
          </cell>
          <cell r="F568" t="str">
            <v>Kaizo</v>
          </cell>
          <cell r="G568">
            <v>44964</v>
          </cell>
          <cell r="H568" t="str">
            <v>33054</v>
          </cell>
          <cell r="I568" t="str">
            <v>https://www.smwcentral.net/?a=details&amp;id=33054&amp;p=section</v>
          </cell>
          <cell r="J568" t="str">
            <v>https://dl.smwcentral.net/33054/Gambol_v1.1_.zip</v>
          </cell>
        </row>
        <row r="569">
          <cell r="A569" t="str">
            <v>Gambol 2</v>
          </cell>
          <cell r="B569" t="str">
            <v>Gambol 2</v>
          </cell>
          <cell r="C569" t="str">
            <v>JezJitzu</v>
          </cell>
          <cell r="D569">
            <v>18</v>
          </cell>
          <cell r="E569" t="str">
            <v>Expert</v>
          </cell>
          <cell r="F569" t="str">
            <v>Kaizo</v>
          </cell>
          <cell r="G569">
            <v>45398</v>
          </cell>
          <cell r="H569" t="str">
            <v>37652</v>
          </cell>
          <cell r="I569" t="str">
            <v>https://www.smwcentral.net/?a=details&amp;id=37652&amp;p=section</v>
          </cell>
          <cell r="J569" t="str">
            <v>https://dl.smwcentral.net/37652/Gambol_2_v1.1.zip</v>
          </cell>
        </row>
        <row r="570">
          <cell r="A570" t="str">
            <v>game.bps</v>
          </cell>
          <cell r="B570" t="str">
            <v>game.bps</v>
          </cell>
          <cell r="C570" t="str">
            <v>Wakana</v>
          </cell>
          <cell r="D570">
            <v>0</v>
          </cell>
          <cell r="E570" t="str">
            <v>Advanced</v>
          </cell>
          <cell r="F570" t="str">
            <v>Standard</v>
          </cell>
          <cell r="G570">
            <v>42686</v>
          </cell>
          <cell r="H570" t="str">
            <v>14607</v>
          </cell>
          <cell r="I570" t="str">
            <v>https://www.smwcentral.net/?a=details&amp;id=14607&amp;p=section</v>
          </cell>
          <cell r="J570" t="str">
            <v>https://dl.smwcentral.net/14607/game.zip</v>
          </cell>
        </row>
        <row r="571">
          <cell r="A571" t="str">
            <v>Gameboy Bros. 3!</v>
          </cell>
          <cell r="B571" t="str">
            <v>Gameboy Bros. 3!</v>
          </cell>
          <cell r="C571" t="str">
            <v>gameboyjeremy</v>
          </cell>
          <cell r="D571">
            <v>7</v>
          </cell>
          <cell r="E571" t="str">
            <v>Intermediate</v>
          </cell>
          <cell r="F571" t="str">
            <v>Standard</v>
          </cell>
          <cell r="G571">
            <v>42426</v>
          </cell>
          <cell r="H571" t="str">
            <v>13313</v>
          </cell>
          <cell r="I571" t="str">
            <v>https://www.smwcentral.net/?a=details&amp;id=13313&amp;p=section</v>
          </cell>
          <cell r="J571" t="str">
            <v>https://dl.smwcentral.net/13313/GBB3.zip</v>
          </cell>
        </row>
        <row r="572">
          <cell r="A572" t="str">
            <v>Ganja World</v>
          </cell>
          <cell r="B572" t="str">
            <v>Ganja World</v>
          </cell>
          <cell r="C572" t="str">
            <v>Yoshioshi59_</v>
          </cell>
          <cell r="D572">
            <v>0</v>
          </cell>
          <cell r="E572" t="str">
            <v>Expert</v>
          </cell>
          <cell r="F572" t="str">
            <v>Kaizo</v>
          </cell>
          <cell r="G572">
            <v>45161</v>
          </cell>
          <cell r="H572" t="str">
            <v>34928</v>
          </cell>
          <cell r="I572" t="str">
            <v>https://www.smwcentral.net/?a=details&amp;id=34928&amp;p=section</v>
          </cell>
          <cell r="J572" t="str">
            <v>https://dl.smwcentral.net/34928/GanjaWorld.zip</v>
          </cell>
        </row>
        <row r="573">
          <cell r="A573" t="str">
            <v>GARLIC</v>
          </cell>
          <cell r="B573" t="str">
            <v>GARLIC</v>
          </cell>
          <cell r="C573" t="str">
            <v>Aguni_</v>
          </cell>
          <cell r="D573">
            <v>12</v>
          </cell>
          <cell r="E573" t="str">
            <v>Master</v>
          </cell>
          <cell r="F573" t="str">
            <v>Kaizo</v>
          </cell>
          <cell r="G573">
            <v>44013</v>
          </cell>
          <cell r="H573" t="str">
            <v>23229</v>
          </cell>
          <cell r="I573" t="str">
            <v>https://www.smwcentral.net/?a=details&amp;id=23229&amp;p=section</v>
          </cell>
          <cell r="J573" t="str">
            <v>https://dl.smwcentral.net/23229/Garlic%201.1.zip</v>
          </cell>
        </row>
        <row r="574">
          <cell r="A574" t="str">
            <v>Gas Pack</v>
          </cell>
          <cell r="B574" t="str">
            <v>Gas Pack</v>
          </cell>
          <cell r="C574" t="str">
            <v>Firstnamebutt</v>
          </cell>
          <cell r="D574">
            <v>0</v>
          </cell>
          <cell r="E574" t="str">
            <v>Advanced</v>
          </cell>
          <cell r="F574" t="str">
            <v>Kaizo</v>
          </cell>
          <cell r="G574">
            <v>45662</v>
          </cell>
          <cell r="H574" t="str">
            <v>38992</v>
          </cell>
          <cell r="I574" t="str">
            <v>https://www.smwcentral.net/?a=details&amp;id=38992&amp;p=section</v>
          </cell>
          <cell r="J574" t="str">
            <v>https://dl.smwcentral.net/38992/GasPackV1.zip</v>
          </cell>
        </row>
        <row r="575">
          <cell r="A575" t="str">
            <v>Gauntlet</v>
          </cell>
          <cell r="B575" t="str">
            <v>Gauntlet</v>
          </cell>
          <cell r="C575" t="str">
            <v>Easy Difficulty</v>
          </cell>
          <cell r="D575">
            <v>7</v>
          </cell>
          <cell r="E575" t="str">
            <v>Intermediate</v>
          </cell>
          <cell r="F575" t="str">
            <v>Standard</v>
          </cell>
          <cell r="G575">
            <v>45020</v>
          </cell>
          <cell r="H575" t="str">
            <v>33615</v>
          </cell>
          <cell r="I575" t="str">
            <v>https://www.smwcentral.net/?a=details&amp;id=33615&amp;p=section</v>
          </cell>
          <cell r="J575" t="str">
            <v>https://dl.smwcentral.net/33615/Gauntlet.zip</v>
          </cell>
        </row>
        <row r="576">
          <cell r="A576" t="str">
            <v>Gauntlet 2</v>
          </cell>
          <cell r="B576" t="str">
            <v>Gauntlet 2</v>
          </cell>
          <cell r="C576" t="str">
            <v>Easy Difficulty</v>
          </cell>
          <cell r="D576">
            <v>7</v>
          </cell>
          <cell r="E576" t="str">
            <v>Intermediate</v>
          </cell>
          <cell r="F576" t="str">
            <v>Standard</v>
          </cell>
          <cell r="G576">
            <v>45076</v>
          </cell>
          <cell r="H576" t="str">
            <v>33990</v>
          </cell>
          <cell r="I576" t="str">
            <v>https://www.smwcentral.net/?a=details&amp;id=33990&amp;p=section</v>
          </cell>
          <cell r="J576" t="str">
            <v>https://dl.smwcentral.net/33990/Gauntlet%202.zip</v>
          </cell>
        </row>
        <row r="577">
          <cell r="A577" t="str">
            <v>Gemstones</v>
          </cell>
          <cell r="B577" t="str">
            <v>Gemstones</v>
          </cell>
          <cell r="C577" t="str">
            <v>flips_bad</v>
          </cell>
          <cell r="D577">
            <v>2</v>
          </cell>
          <cell r="E577" t="str">
            <v>Grandmaster</v>
          </cell>
          <cell r="F577" t="str">
            <v>Kaizo</v>
          </cell>
          <cell r="G577">
            <v>45637</v>
          </cell>
          <cell r="H577" t="str">
            <v>38899</v>
          </cell>
          <cell r="I577" t="str">
            <v>https://www.smwcentral.net/?a=details&amp;id=38899&amp;p=section</v>
          </cell>
          <cell r="J577" t="str">
            <v>https://dl.smwcentral.net/38899/gemstones.zip</v>
          </cell>
        </row>
        <row r="578">
          <cell r="A578" t="str">
            <v>Get Busy Jumping Or Get Busy Dying</v>
          </cell>
          <cell r="B578" t="str">
            <v>Get Busy Jumping Or Get Busy Dying</v>
          </cell>
          <cell r="C578" t="str">
            <v>FalseCircus</v>
          </cell>
          <cell r="D578">
            <v>12</v>
          </cell>
          <cell r="E578" t="str">
            <v>Expert</v>
          </cell>
          <cell r="F578" t="str">
            <v>Kaizo</v>
          </cell>
          <cell r="G578">
            <v>44721</v>
          </cell>
          <cell r="H578" t="str">
            <v>30995</v>
          </cell>
          <cell r="I578" t="str">
            <v>https://www.smwcentral.net/?a=details&amp;id=30995&amp;p=section</v>
          </cell>
          <cell r="J578" t="str">
            <v>https://dl.smwcentral.net/30995/Get%20Busy%20Jumping%20Or%20Get%20Busy%20Dying.zip</v>
          </cell>
        </row>
        <row r="579">
          <cell r="A579" t="str">
            <v>Get On Up!</v>
          </cell>
          <cell r="B579" t="str">
            <v>Get On Up!</v>
          </cell>
          <cell r="C579" t="str">
            <v>MorrieTheMagpie</v>
          </cell>
          <cell r="D579">
            <v>19</v>
          </cell>
          <cell r="E579" t="str">
            <v>Expert</v>
          </cell>
          <cell r="F579" t="str">
            <v>Kaizo</v>
          </cell>
          <cell r="G579">
            <v>44942</v>
          </cell>
          <cell r="H579" t="str">
            <v>32925</v>
          </cell>
          <cell r="I579" t="str">
            <v>https://www.smwcentral.net/?a=details&amp;id=32925&amp;p=section</v>
          </cell>
          <cell r="J579" t="str">
            <v>https://dl.smwcentral.net/32925/Get%20On%20Up%21%201.3.zip</v>
          </cell>
        </row>
        <row r="580">
          <cell r="A580" t="str">
            <v>Get Rich Quick</v>
          </cell>
          <cell r="B580" t="str">
            <v>Get Rich Quick</v>
          </cell>
          <cell r="C580" t="str">
            <v>Selicre</v>
          </cell>
          <cell r="D580">
            <v>32</v>
          </cell>
          <cell r="E580" t="str">
            <v>Advanced</v>
          </cell>
          <cell r="F580" t="str">
            <v>Standard, Kaizo</v>
          </cell>
          <cell r="G580">
            <v>45797</v>
          </cell>
          <cell r="H580" t="str">
            <v>39837</v>
          </cell>
          <cell r="I580" t="str">
            <v>https://www.smwcentral.net/?a=details&amp;id=39837&amp;p=section</v>
          </cell>
          <cell r="J580" t="str">
            <v>https://dl.smwcentral.net/39837/get-rich-quick.zip</v>
          </cell>
        </row>
        <row r="581">
          <cell r="A581" t="str">
            <v>Giggle world</v>
          </cell>
          <cell r="B581" t="str">
            <v>Giggle world</v>
          </cell>
          <cell r="C581" t="str">
            <v>PphoenixX</v>
          </cell>
          <cell r="D581">
            <v>27</v>
          </cell>
          <cell r="E581" t="str">
            <v>Intermediate</v>
          </cell>
          <cell r="F581" t="str">
            <v>Standard</v>
          </cell>
          <cell r="G581">
            <v>42807</v>
          </cell>
          <cell r="H581" t="str">
            <v>15302</v>
          </cell>
          <cell r="I581" t="str">
            <v>https://www.smwcentral.net/?a=details&amp;id=15302&amp;p=section</v>
          </cell>
          <cell r="J581" t="str">
            <v>https://dl.smwcentral.net/15302/Giggle%20world%20%28demo%203%29.zip</v>
          </cell>
        </row>
        <row r="582">
          <cell r="A582" t="str">
            <v>Glow</v>
          </cell>
          <cell r="B582" t="str">
            <v>Glow</v>
          </cell>
          <cell r="C582" t="str">
            <v>Idunno</v>
          </cell>
          <cell r="D582">
            <v>28</v>
          </cell>
          <cell r="E582" t="str">
            <v>Advanced</v>
          </cell>
          <cell r="F582" t="str">
            <v>Standard</v>
          </cell>
          <cell r="G582">
            <v>45895</v>
          </cell>
          <cell r="H582" t="str">
            <v>40458</v>
          </cell>
          <cell r="I582" t="str">
            <v>https://www.smwcentral.net/?a=details&amp;id=40458&amp;p=section</v>
          </cell>
          <cell r="J582" t="str">
            <v>https://dl.smwcentral.net/40458/Glow.zip</v>
          </cell>
        </row>
        <row r="583">
          <cell r="A583" t="str">
            <v>God do Shell</v>
          </cell>
          <cell r="B583" t="str">
            <v>God do Shell</v>
          </cell>
          <cell r="C583" t="str">
            <v>Deivid Borba</v>
          </cell>
          <cell r="D583">
            <v>11</v>
          </cell>
          <cell r="E583" t="str">
            <v>Expert</v>
          </cell>
          <cell r="F583" t="str">
            <v>Kaizo</v>
          </cell>
          <cell r="G583">
            <v>44198</v>
          </cell>
          <cell r="H583" t="str">
            <v>25591</v>
          </cell>
          <cell r="I583" t="str">
            <v>https://www.smwcentral.net/?a=details&amp;id=25591&amp;p=section</v>
          </cell>
          <cell r="J583" t="str">
            <v>https://dl.smwcentral.net/25591/God%20do%20Shell%20v1.3.zip</v>
          </cell>
        </row>
        <row r="584">
          <cell r="A584" t="str">
            <v>Goku86</v>
          </cell>
          <cell r="B584" t="str">
            <v>Goku86</v>
          </cell>
          <cell r="C584" t="str">
            <v>Phyll</v>
          </cell>
          <cell r="D584">
            <v>20</v>
          </cell>
          <cell r="E584" t="str">
            <v>Expert</v>
          </cell>
          <cell r="F584" t="str">
            <v>Kaizo</v>
          </cell>
          <cell r="G584">
            <v>44311</v>
          </cell>
          <cell r="H584" t="str">
            <v>26791</v>
          </cell>
          <cell r="I584" t="str">
            <v>https://www.smwcentral.net/?a=details&amp;id=26791&amp;p=section</v>
          </cell>
          <cell r="J584" t="str">
            <v>https://dl.smwcentral.net/26791/Goku86.zip</v>
          </cell>
        </row>
        <row r="585">
          <cell r="A585" t="str">
            <v>GOMBA and stuff</v>
          </cell>
          <cell r="B585" t="str">
            <v>GOMBA and stuff</v>
          </cell>
          <cell r="C585" t="str">
            <v>mason</v>
          </cell>
          <cell r="D585">
            <v>14</v>
          </cell>
          <cell r="E585" t="str">
            <v>Grandmaster</v>
          </cell>
          <cell r="F585" t="str">
            <v>Kaizo</v>
          </cell>
          <cell r="G585">
            <v>45723</v>
          </cell>
          <cell r="H585" t="str">
            <v>39080</v>
          </cell>
          <cell r="I585" t="str">
            <v>https://www.smwcentral.net/?a=details&amp;id=39080&amp;p=section</v>
          </cell>
          <cell r="J585" t="str">
            <v>https://dl.smwcentral.net/39080/gomba.zip</v>
          </cell>
        </row>
        <row r="586">
          <cell r="A586" t="str">
            <v>good old days</v>
          </cell>
          <cell r="B586" t="str">
            <v>good old days</v>
          </cell>
          <cell r="C586" t="str">
            <v>OEO6</v>
          </cell>
          <cell r="D586">
            <v>10</v>
          </cell>
          <cell r="E586" t="str">
            <v>Advanced</v>
          </cell>
          <cell r="F586" t="str">
            <v>Standard</v>
          </cell>
          <cell r="G586">
            <v>44831</v>
          </cell>
          <cell r="H586" t="str">
            <v>32216</v>
          </cell>
          <cell r="I586" t="str">
            <v>https://www.smwcentral.net/?a=details&amp;id=32216&amp;p=section</v>
          </cell>
          <cell r="J586" t="str">
            <v>https://dl.smwcentral.net/32216/good%20old%20days%20v1.10.zip</v>
          </cell>
        </row>
        <row r="587">
          <cell r="A587" t="str">
            <v>good old days 2</v>
          </cell>
          <cell r="B587" t="str">
            <v>good old days 2</v>
          </cell>
          <cell r="C587" t="str">
            <v>OEO6</v>
          </cell>
          <cell r="D587">
            <v>9</v>
          </cell>
          <cell r="E587" t="str">
            <v>Advanced</v>
          </cell>
          <cell r="F587" t="str">
            <v>Standard</v>
          </cell>
          <cell r="G587">
            <v>44982</v>
          </cell>
          <cell r="H587" t="str">
            <v>33276</v>
          </cell>
          <cell r="I587" t="str">
            <v>https://www.smwcentral.net/?a=details&amp;id=33276&amp;p=section</v>
          </cell>
          <cell r="J587" t="str">
            <v>https://dl.smwcentral.net/33276/good%20old%20days%202.zip</v>
          </cell>
        </row>
        <row r="588">
          <cell r="A588" t="str">
            <v>good old days 3</v>
          </cell>
          <cell r="B588" t="str">
            <v>good old days 3</v>
          </cell>
          <cell r="C588" t="str">
            <v>OEO6</v>
          </cell>
          <cell r="D588">
            <v>19</v>
          </cell>
          <cell r="E588" t="str">
            <v>Expert</v>
          </cell>
          <cell r="F588" t="str">
            <v>Standard, Kaizo</v>
          </cell>
          <cell r="G588">
            <v>45141</v>
          </cell>
          <cell r="H588" t="str">
            <v>34422</v>
          </cell>
          <cell r="I588" t="str">
            <v>https://www.smwcentral.net/?a=details&amp;id=34422&amp;p=section</v>
          </cell>
          <cell r="J588" t="str">
            <v>https://dl.smwcentral.net/34422/good%20old%20days%203%20v1.40.zip</v>
          </cell>
        </row>
        <row r="589">
          <cell r="A589" t="str">
            <v>good old days 4</v>
          </cell>
          <cell r="B589" t="str">
            <v>good old days 4</v>
          </cell>
          <cell r="C589" t="str">
            <v>OEO6</v>
          </cell>
          <cell r="D589">
            <v>42</v>
          </cell>
          <cell r="E589" t="str">
            <v>Expert</v>
          </cell>
          <cell r="F589" t="str">
            <v>Standard, Kaizo</v>
          </cell>
          <cell r="G589">
            <v>45607</v>
          </cell>
          <cell r="H589" t="str">
            <v>38711</v>
          </cell>
          <cell r="I589" t="str">
            <v>https://www.smwcentral.net/?a=details&amp;id=38711&amp;p=section</v>
          </cell>
          <cell r="J589" t="str">
            <v>https://dl.smwcentral.net/38711/good%20old%20days%204.00.zip</v>
          </cell>
        </row>
        <row r="590">
          <cell r="A590" t="str">
            <v>good old days: recycle bin</v>
          </cell>
          <cell r="B590" t="str">
            <v>good old days: recycle bin</v>
          </cell>
          <cell r="C590" t="str">
            <v>OEO6</v>
          </cell>
          <cell r="D590">
            <v>18</v>
          </cell>
          <cell r="E590" t="str">
            <v>Advanced</v>
          </cell>
          <cell r="F590" t="str">
            <v>Standard</v>
          </cell>
          <cell r="G590">
            <v>45939</v>
          </cell>
          <cell r="H590" t="str">
            <v>40683</v>
          </cell>
          <cell r="I590" t="str">
            <v>https://www.smwcentral.net/?a=details&amp;id=40683&amp;p=section</v>
          </cell>
          <cell r="J590" t="str">
            <v>https://dl.smwcentral.net/40683/good%20old%20days%20-%20recycle%20bin%20v1.11.zip</v>
          </cell>
        </row>
        <row r="591">
          <cell r="A591" t="str">
            <v>Good Question!</v>
          </cell>
          <cell r="B591" t="str">
            <v>Good Question!</v>
          </cell>
          <cell r="C591" t="str">
            <v>MercuryPenny</v>
          </cell>
          <cell r="D591">
            <v>6</v>
          </cell>
          <cell r="E591" t="str">
            <v>Intermediate</v>
          </cell>
          <cell r="F591" t="str">
            <v>Standard</v>
          </cell>
          <cell r="G591">
            <v>41781</v>
          </cell>
          <cell r="H591" t="str">
            <v>6548</v>
          </cell>
          <cell r="I591" t="str">
            <v>https://www.smwcentral.net/?a=details&amp;id=6548&amp;p=section</v>
          </cell>
          <cell r="J591" t="str">
            <v>https://dl.smwcentral.net/6548/Good%20Question%21.zip</v>
          </cell>
        </row>
        <row r="592">
          <cell r="A592" t="str">
            <v>Goombario's World</v>
          </cell>
          <cell r="B592" t="str">
            <v>Goombario's World</v>
          </cell>
          <cell r="C592" t="str">
            <v>Cellcen</v>
          </cell>
          <cell r="D592">
            <v>8</v>
          </cell>
          <cell r="E592" t="str">
            <v>Newcomer</v>
          </cell>
          <cell r="F592" t="str">
            <v>Standard</v>
          </cell>
          <cell r="G592">
            <v>41479</v>
          </cell>
          <cell r="H592" t="str">
            <v>5002</v>
          </cell>
          <cell r="I592" t="str">
            <v>https://www.smwcentral.net/?a=details&amp;id=5002&amp;p=section</v>
          </cell>
          <cell r="J592" t="str">
            <v>https://dl.smwcentral.net/5002/Goombario%27s%20World.zip</v>
          </cell>
        </row>
        <row r="593">
          <cell r="A593" t="str">
            <v>Goukie's Palace</v>
          </cell>
          <cell r="B593" t="str">
            <v>Goukie's Palace</v>
          </cell>
          <cell r="C593" t="str">
            <v>Wieus96</v>
          </cell>
          <cell r="D593">
            <v>1</v>
          </cell>
          <cell r="E593" t="str">
            <v>Intermediate</v>
          </cell>
          <cell r="F593" t="str">
            <v>Kaizo, Tool-Assisted</v>
          </cell>
          <cell r="G593">
            <v>43054</v>
          </cell>
          <cell r="H593" t="str">
            <v>16406</v>
          </cell>
          <cell r="I593" t="str">
            <v>https://www.smwcentral.net/?a=details&amp;id=16406&amp;p=section</v>
          </cell>
          <cell r="J593" t="str">
            <v>https://dl.smwcentral.net/16406/GP%20v1.1.zip</v>
          </cell>
        </row>
        <row r="594">
          <cell r="A594" t="str">
            <v>Grand Poo World</v>
          </cell>
          <cell r="B594" t="str">
            <v>Grand Poo World</v>
          </cell>
          <cell r="C594" t="str">
            <v>Barbarian</v>
          </cell>
          <cell r="D594">
            <v>21</v>
          </cell>
          <cell r="E594" t="str">
            <v>Master</v>
          </cell>
          <cell r="F594" t="str">
            <v>Kaizo</v>
          </cell>
          <cell r="G594">
            <v>43198</v>
          </cell>
          <cell r="H594" t="str">
            <v>17289</v>
          </cell>
          <cell r="I594" t="str">
            <v>https://www.smwcentral.net/?a=details&amp;id=17289&amp;p=section</v>
          </cell>
          <cell r="J594" t="str">
            <v>https://dl.smwcentral.net/17289/GPW1.2.zip</v>
          </cell>
        </row>
        <row r="595">
          <cell r="A595" t="str">
            <v>Grand Poo World 2</v>
          </cell>
          <cell r="B595" t="str">
            <v>Grand Poo World 2</v>
          </cell>
          <cell r="C595" t="str">
            <v>Barbarian</v>
          </cell>
          <cell r="D595">
            <v>23</v>
          </cell>
          <cell r="E595" t="str">
            <v>Master</v>
          </cell>
          <cell r="F595" t="str">
            <v>Kaizo</v>
          </cell>
          <cell r="G595">
            <v>43559</v>
          </cell>
          <cell r="H595" t="str">
            <v>19541</v>
          </cell>
          <cell r="I595" t="str">
            <v>https://www.smwcentral.net/?a=details&amp;id=19541&amp;p=section</v>
          </cell>
          <cell r="J595" t="str">
            <v>https://dl.smwcentral.net/19541/Grand%20Poo%20World%202%201.1.zip</v>
          </cell>
        </row>
        <row r="596">
          <cell r="A596" t="str">
            <v>Grand Poo World 3</v>
          </cell>
          <cell r="B596" t="str">
            <v>Grand Poo World 3</v>
          </cell>
          <cell r="C596" t="str">
            <v>Barbarian</v>
          </cell>
          <cell r="D596">
            <v>41</v>
          </cell>
          <cell r="E596" t="str">
            <v>Unranked</v>
          </cell>
          <cell r="F596" t="str">
            <v>Kaizo</v>
          </cell>
          <cell r="G596">
            <v>45247</v>
          </cell>
          <cell r="H596" t="str">
            <v>N/A</v>
          </cell>
          <cell r="I596" t="str">
            <v>https://www.smwcentral.net/?p=files&amp;u=32572</v>
          </cell>
          <cell r="J596" t="str">
            <v>https://bin.smwcentral.net/u/32572/Grand_Poo_World_3.bps</v>
          </cell>
        </row>
        <row r="597">
          <cell r="A597" t="str">
            <v>Grand Troll World 1</v>
          </cell>
          <cell r="B597" t="str">
            <v>Grand Troll World 1</v>
          </cell>
          <cell r="C597" t="str">
            <v>MoghedienNinek</v>
          </cell>
          <cell r="D597">
            <v>6</v>
          </cell>
          <cell r="E597" t="str">
            <v>Intermediate</v>
          </cell>
          <cell r="F597" t="str">
            <v>Kaizo</v>
          </cell>
          <cell r="G597">
            <v>44044</v>
          </cell>
          <cell r="H597" t="str">
            <v>22880</v>
          </cell>
          <cell r="I597" t="str">
            <v>https://www.smwcentral.net/?a=details&amp;id=22880&amp;p=section</v>
          </cell>
          <cell r="J597" t="str">
            <v>https://dl.smwcentral.net/22880/Grand%20Troll%20World%201.zip</v>
          </cell>
        </row>
        <row r="598">
          <cell r="A598" t="str">
            <v>GrandChaos' Mario World</v>
          </cell>
          <cell r="B598" t="str">
            <v>GrandChaos' Mario World</v>
          </cell>
          <cell r="C598" t="str">
            <v>HarvettFox96</v>
          </cell>
          <cell r="D598">
            <v>13</v>
          </cell>
          <cell r="E598" t="str">
            <v>Newcomer</v>
          </cell>
          <cell r="F598" t="str">
            <v>Standard</v>
          </cell>
          <cell r="G598">
            <v>41626</v>
          </cell>
          <cell r="H598" t="str">
            <v>5981</v>
          </cell>
          <cell r="I598" t="str">
            <v>https://www.smwcentral.net/?a=details&amp;id=5981&amp;p=section</v>
          </cell>
          <cell r="J598" t="str">
            <v>https://dl.smwcentral.net/5981/GrandChaos%27%20Mario%20World%20%28v0.25%20Alpha%20-%20Demo%202%29.zip</v>
          </cell>
        </row>
        <row r="599">
          <cell r="A599" t="str">
            <v>Gratitude</v>
          </cell>
          <cell r="B599" t="str">
            <v>Gratitude</v>
          </cell>
          <cell r="C599" t="str">
            <v>Fransen86</v>
          </cell>
          <cell r="D599">
            <v>16</v>
          </cell>
          <cell r="E599" t="str">
            <v>Expert</v>
          </cell>
          <cell r="F599" t="str">
            <v>Kaizo</v>
          </cell>
          <cell r="G599">
            <v>45741</v>
          </cell>
          <cell r="H599" t="str">
            <v>39587</v>
          </cell>
          <cell r="I599" t="str">
            <v>https://www.smwcentral.net/?a=details&amp;id=39587&amp;p=section</v>
          </cell>
          <cell r="J599" t="str">
            <v>https://dl.smwcentral.net/39587/Gratitude%201_1.zip</v>
          </cell>
        </row>
        <row r="600">
          <cell r="A600" t="str">
            <v>Green Cavern</v>
          </cell>
          <cell r="B600" t="str">
            <v>Green Cavern</v>
          </cell>
          <cell r="C600" t="str">
            <v>TheBiob</v>
          </cell>
          <cell r="D600">
            <v>3</v>
          </cell>
          <cell r="E600" t="str">
            <v>Grandmaster</v>
          </cell>
          <cell r="F600" t="str">
            <v>Kaizo, Tool-Assisted</v>
          </cell>
          <cell r="G600">
            <v>45386</v>
          </cell>
          <cell r="H600" t="str">
            <v>37071</v>
          </cell>
          <cell r="I600" t="str">
            <v>https://www.smwcentral.net/?a=details&amp;id=37071&amp;p=section</v>
          </cell>
          <cell r="J600" t="str">
            <v>https://dl.smwcentral.net/37071/Green%20Cavern-yoshi_1.0.zip</v>
          </cell>
        </row>
        <row r="601">
          <cell r="A601" t="str">
            <v>Gregor's New Super Mario World</v>
          </cell>
          <cell r="B601" t="str">
            <v>Gregor's New Super Mario World</v>
          </cell>
          <cell r="C601" t="str">
            <v>Gregor</v>
          </cell>
          <cell r="D601">
            <v>15</v>
          </cell>
          <cell r="E601" t="str">
            <v>Casual</v>
          </cell>
          <cell r="F601" t="str">
            <v>Standard</v>
          </cell>
          <cell r="G601">
            <v>42010</v>
          </cell>
          <cell r="H601" t="str">
            <v>10342</v>
          </cell>
          <cell r="I601" t="str">
            <v>https://www.smwcentral.net/?a=details&amp;id=10342&amp;p=section</v>
          </cell>
          <cell r="J601" t="str">
            <v>https://dl.smwcentral.net/10342/nsmw%20d2.zip</v>
          </cell>
        </row>
        <row r="602">
          <cell r="A602" t="str">
            <v>Grenudo Planet 3</v>
          </cell>
          <cell r="B602" t="str">
            <v>Grenudo Planet 3</v>
          </cell>
          <cell r="C602" t="str">
            <v>elwawa</v>
          </cell>
          <cell r="D602">
            <v>21</v>
          </cell>
          <cell r="E602" t="str">
            <v>Advanced</v>
          </cell>
          <cell r="F602" t="str">
            <v>Kaizo</v>
          </cell>
          <cell r="G602">
            <v>46035</v>
          </cell>
          <cell r="H602" t="str">
            <v>41387</v>
          </cell>
          <cell r="I602" t="str">
            <v>https://www.smwcentral.net/?a=details&amp;id=41387&amp;p=section</v>
          </cell>
          <cell r="J602" t="str">
            <v>https://dl.smwcentral.net/41387/grenudo.zip</v>
          </cell>
        </row>
        <row r="603">
          <cell r="A603" t="str">
            <v>Grey Eminence</v>
          </cell>
          <cell r="B603" t="str">
            <v>Grey Eminence</v>
          </cell>
          <cell r="C603" t="str">
            <v>kebabchilla</v>
          </cell>
          <cell r="D603">
            <v>34</v>
          </cell>
          <cell r="E603" t="str">
            <v>Advanced</v>
          </cell>
          <cell r="F603" t="str">
            <v>Standard</v>
          </cell>
          <cell r="G603">
            <v>44082</v>
          </cell>
          <cell r="H603" t="str">
            <v>24481</v>
          </cell>
          <cell r="I603" t="str">
            <v>https://www.smwcentral.net/?a=details&amp;id=24481&amp;p=section</v>
          </cell>
          <cell r="J603" t="str">
            <v>https://dl.smwcentral.net/24481/greyeminence.zip</v>
          </cell>
        </row>
        <row r="604">
          <cell r="A604" t="str">
            <v>Greñudo planet2 Lucas´s revenge</v>
          </cell>
          <cell r="B604" t="str">
            <v>Greñudo planet2 Lucas´s revenge</v>
          </cell>
          <cell r="C604" t="str">
            <v>magianegra21</v>
          </cell>
          <cell r="D604">
            <v>15</v>
          </cell>
          <cell r="E604" t="str">
            <v>Expert</v>
          </cell>
          <cell r="F604" t="str">
            <v>Kaizo</v>
          </cell>
          <cell r="G604">
            <v>45117</v>
          </cell>
          <cell r="H604" t="str">
            <v>34307</v>
          </cell>
          <cell r="I604" t="str">
            <v>https://www.smwcentral.net/?a=details&amp;id=34307&amp;p=section</v>
          </cell>
          <cell r="J604" t="str">
            <v>https://dl.smwcentral.net/34307/grenudo%20planet%202.zip</v>
          </cell>
        </row>
        <row r="605">
          <cell r="A605" t="str">
            <v>GREÑUDOS PLANET</v>
          </cell>
          <cell r="B605" t="str">
            <v>GREÑUDOS PLANET</v>
          </cell>
          <cell r="C605" t="str">
            <v>alvinluis</v>
          </cell>
          <cell r="D605">
            <v>10</v>
          </cell>
          <cell r="E605" t="str">
            <v>Advanced</v>
          </cell>
          <cell r="F605" t="str">
            <v>Kaizo</v>
          </cell>
          <cell r="G605">
            <v>44843</v>
          </cell>
          <cell r="H605" t="str">
            <v>32301</v>
          </cell>
          <cell r="I605" t="str">
            <v>https://www.smwcentral.net/?a=details&amp;id=32301&amp;p=section</v>
          </cell>
          <cell r="J605" t="str">
            <v>https://dl.smwcentral.net/32301/gre%C3%B1udos%20planet.zip</v>
          </cell>
        </row>
        <row r="606">
          <cell r="A606" t="str">
            <v>Griffy World</v>
          </cell>
          <cell r="B606" t="str">
            <v>Griffy World</v>
          </cell>
          <cell r="C606" t="str">
            <v>Remalis</v>
          </cell>
          <cell r="D606">
            <v>19</v>
          </cell>
          <cell r="E606" t="str">
            <v>Expert</v>
          </cell>
          <cell r="F606" t="str">
            <v>Kaizo</v>
          </cell>
          <cell r="G606">
            <v>44711</v>
          </cell>
          <cell r="H606" t="str">
            <v>30987</v>
          </cell>
          <cell r="I606" t="str">
            <v>https://www.smwcentral.net/?a=details&amp;id=30987&amp;p=section</v>
          </cell>
          <cell r="J606" t="str">
            <v>https://dl.smwcentral.net/30987/GriffyWorld_v1.12.zip</v>
          </cell>
        </row>
        <row r="607">
          <cell r="A607" t="str">
            <v>Groovy</v>
          </cell>
          <cell r="B607" t="str">
            <v>Groovy</v>
          </cell>
          <cell r="C607" t="str">
            <v>Lush_50</v>
          </cell>
          <cell r="D607">
            <v>1</v>
          </cell>
          <cell r="E607" t="str">
            <v>Advanced</v>
          </cell>
          <cell r="F607" t="str">
            <v>Kaizo</v>
          </cell>
          <cell r="G607">
            <v>44543</v>
          </cell>
          <cell r="H607" t="str">
            <v>28970</v>
          </cell>
          <cell r="I607" t="str">
            <v>https://www.smwcentral.net/?a=details&amp;id=28970&amp;p=section</v>
          </cell>
          <cell r="J607" t="str">
            <v>https://dl.smwcentral.net/28970/Groovy%20%20v1.1.zip</v>
          </cell>
        </row>
        <row r="608">
          <cell r="A608" t="str">
            <v>Gynura</v>
          </cell>
          <cell r="B608" t="str">
            <v>Gynura</v>
          </cell>
          <cell r="C608" t="str">
            <v>neidoodle</v>
          </cell>
          <cell r="D608">
            <v>16</v>
          </cell>
          <cell r="E608" t="str">
            <v>Advanced</v>
          </cell>
          <cell r="F608" t="str">
            <v>Kaizo</v>
          </cell>
          <cell r="G608">
            <v>45791</v>
          </cell>
          <cell r="H608" t="str">
            <v>39832</v>
          </cell>
          <cell r="I608" t="str">
            <v>https://www.smwcentral.net/?a=details&amp;id=39832&amp;p=section</v>
          </cell>
          <cell r="J608" t="str">
            <v>https://dl.smwcentral.net/39832/Gynura.zip</v>
          </cell>
        </row>
        <row r="609">
          <cell r="A609" t="str">
            <v>H&amp;SB2 - Twilight Gem:  Hunter's Quest</v>
          </cell>
          <cell r="B609" t="str">
            <v>H&amp;SB2 - Twilight Gem:  Hunter's Quest</v>
          </cell>
          <cell r="C609" t="str">
            <v>amhunter</v>
          </cell>
          <cell r="D609">
            <v>43</v>
          </cell>
          <cell r="E609" t="str">
            <v>Intermediate</v>
          </cell>
          <cell r="F609" t="str">
            <v>Standard</v>
          </cell>
          <cell r="G609">
            <v>42297</v>
          </cell>
          <cell r="H609" t="str">
            <v>10226</v>
          </cell>
          <cell r="I609" t="str">
            <v>https://www.smwcentral.net/?a=details&amp;id=10226&amp;p=section</v>
          </cell>
          <cell r="J609" t="str">
            <v>https://dl.smwcentral.net/10226/Hunter%27s_Quest_Demo2.zip</v>
          </cell>
        </row>
        <row r="610">
          <cell r="A610" t="str">
            <v>H&amp;SB2 - Twilight Gem: Scorpion's Hunt</v>
          </cell>
          <cell r="B610" t="str">
            <v>H&amp;SB2 - Twilight Gem: Scorpion's Hunt</v>
          </cell>
          <cell r="C610" t="str">
            <v>Skewer</v>
          </cell>
          <cell r="D610">
            <v>53</v>
          </cell>
          <cell r="E610" t="str">
            <v>Intermediate</v>
          </cell>
          <cell r="F610" t="str">
            <v>Standard</v>
          </cell>
          <cell r="G610">
            <v>42291</v>
          </cell>
          <cell r="H610" t="str">
            <v>10236</v>
          </cell>
          <cell r="I610" t="str">
            <v>https://www.smwcentral.net/?a=details&amp;id=10236&amp;p=section</v>
          </cell>
          <cell r="J610" t="str">
            <v>https://dl.smwcentral.net/10236/Twilight%20Demo%202%20%283%29.zip</v>
          </cell>
        </row>
        <row r="611">
          <cell r="A611" t="str">
            <v>Hack</v>
          </cell>
          <cell r="B611" t="str">
            <v>Hack</v>
          </cell>
          <cell r="C611" t="str">
            <v>Golden Yoshi</v>
          </cell>
          <cell r="D611">
            <v>9</v>
          </cell>
          <cell r="E611" t="str">
            <v>Casual</v>
          </cell>
          <cell r="F611" t="str">
            <v>Standard</v>
          </cell>
          <cell r="G611">
            <v>41539</v>
          </cell>
          <cell r="H611" t="str">
            <v>5428</v>
          </cell>
          <cell r="I611" t="str">
            <v>https://www.smwcentral.net/?a=details&amp;id=5428&amp;p=section</v>
          </cell>
          <cell r="J611" t="str">
            <v>https://dl.smwcentral.net/5428/Hack.zip</v>
          </cell>
        </row>
        <row r="612">
          <cell r="A612" t="str">
            <v>Hack -1</v>
          </cell>
          <cell r="B612" t="str">
            <v>Hack -1</v>
          </cell>
          <cell r="C612" t="str">
            <v>Golden Yoshi</v>
          </cell>
          <cell r="D612">
            <v>9</v>
          </cell>
          <cell r="E612" t="str">
            <v>Intermediate</v>
          </cell>
          <cell r="F612" t="str">
            <v>Standard</v>
          </cell>
          <cell r="G612">
            <v>44215</v>
          </cell>
          <cell r="H612" t="str">
            <v>25869</v>
          </cell>
          <cell r="I612" t="str">
            <v>https://www.smwcentral.net/?a=details&amp;id=25869&amp;p=section</v>
          </cell>
          <cell r="J612" t="str">
            <v>https://dl.smwcentral.net/25869/Hack%20-1.zip</v>
          </cell>
        </row>
        <row r="613">
          <cell r="A613" t="str">
            <v>Hack -1 2</v>
          </cell>
          <cell r="B613" t="str">
            <v>Hack -1 2</v>
          </cell>
          <cell r="C613" t="str">
            <v>Golden Yoshi</v>
          </cell>
          <cell r="D613">
            <v>7</v>
          </cell>
          <cell r="E613" t="str">
            <v>Casual</v>
          </cell>
          <cell r="F613" t="str">
            <v>Standard</v>
          </cell>
          <cell r="G613">
            <v>45295</v>
          </cell>
          <cell r="H613" t="str">
            <v>35730</v>
          </cell>
          <cell r="I613" t="str">
            <v>https://www.smwcentral.net/?a=details&amp;id=35730&amp;p=section</v>
          </cell>
          <cell r="J613" t="str">
            <v>https://dl.smwcentral.net/35730/HackNegative12.zip</v>
          </cell>
        </row>
        <row r="614">
          <cell r="A614" t="str">
            <v>Hack 0</v>
          </cell>
          <cell r="B614" t="str">
            <v>Hack 0</v>
          </cell>
          <cell r="C614" t="str">
            <v>Golden Yoshi</v>
          </cell>
          <cell r="D614">
            <v>7</v>
          </cell>
          <cell r="E614" t="str">
            <v>Advanced</v>
          </cell>
          <cell r="F614" t="str">
            <v>Standard</v>
          </cell>
          <cell r="G614">
            <v>44148</v>
          </cell>
          <cell r="H614" t="str">
            <v>24991</v>
          </cell>
          <cell r="I614" t="str">
            <v>https://www.smwcentral.net/?a=details&amp;id=24991&amp;p=section</v>
          </cell>
          <cell r="J614" t="str">
            <v>https://dl.smwcentral.net/24991/Hack%200.zip</v>
          </cell>
        </row>
        <row r="615">
          <cell r="A615" t="str">
            <v>Hack 0 2</v>
          </cell>
          <cell r="B615" t="str">
            <v>Hack 0 2</v>
          </cell>
          <cell r="C615" t="str">
            <v>Golden Yoshi</v>
          </cell>
          <cell r="D615">
            <v>5</v>
          </cell>
          <cell r="E615" t="str">
            <v>Intermediate</v>
          </cell>
          <cell r="F615" t="str">
            <v>Standard</v>
          </cell>
          <cell r="G615">
            <v>45608</v>
          </cell>
          <cell r="H615" t="str">
            <v>38745</v>
          </cell>
          <cell r="I615" t="str">
            <v>https://www.smwcentral.net/?a=details&amp;id=38745&amp;p=section</v>
          </cell>
          <cell r="J615" t="str">
            <v>https://dl.smwcentral.net/38745/Hack%200%202%20v1.1.zip</v>
          </cell>
        </row>
        <row r="616">
          <cell r="A616" t="str">
            <v>Hack 0 3</v>
          </cell>
          <cell r="B616" t="str">
            <v>Hack 0 3</v>
          </cell>
          <cell r="C616" t="str">
            <v>Golden Yoshi</v>
          </cell>
          <cell r="D616">
            <v>12</v>
          </cell>
          <cell r="E616" t="str">
            <v>Intermediate</v>
          </cell>
          <cell r="F616" t="str">
            <v>Standard</v>
          </cell>
          <cell r="G616">
            <v>45834</v>
          </cell>
          <cell r="H616" t="str">
            <v>40017</v>
          </cell>
          <cell r="I616" t="str">
            <v>https://www.smwcentral.net/?a=details&amp;id=40017&amp;p=section</v>
          </cell>
          <cell r="J616" t="str">
            <v>https://dl.smwcentral.net/40017/Hack03Releasev1.1.zip</v>
          </cell>
        </row>
        <row r="617">
          <cell r="A617" t="str">
            <v>Hack 1 2</v>
          </cell>
          <cell r="B617" t="str">
            <v>Hack 1 2</v>
          </cell>
          <cell r="C617" t="str">
            <v>Golden Yoshi</v>
          </cell>
          <cell r="D617">
            <v>10</v>
          </cell>
          <cell r="E617" t="str">
            <v>Intermediate</v>
          </cell>
          <cell r="F617" t="str">
            <v>Standard</v>
          </cell>
          <cell r="G617">
            <v>44185</v>
          </cell>
          <cell r="H617" t="str">
            <v>25268</v>
          </cell>
          <cell r="I617" t="str">
            <v>https://www.smwcentral.net/?a=details&amp;id=25268&amp;p=section</v>
          </cell>
          <cell r="J617" t="str">
            <v>https://dl.smwcentral.net/25268/Hack%201%202.zip</v>
          </cell>
        </row>
        <row r="618">
          <cell r="A618" t="str">
            <v>Hack 1 2 2</v>
          </cell>
          <cell r="B618" t="str">
            <v>Hack 1 2 2</v>
          </cell>
          <cell r="C618" t="str">
            <v>Golden Yoshi</v>
          </cell>
          <cell r="D618">
            <v>10</v>
          </cell>
          <cell r="E618" t="str">
            <v>Intermediate</v>
          </cell>
          <cell r="F618" t="str">
            <v>Standard</v>
          </cell>
          <cell r="G618">
            <v>44169</v>
          </cell>
          <cell r="H618" t="str">
            <v>25269</v>
          </cell>
          <cell r="I618" t="str">
            <v>https://www.smwcentral.net/?a=details&amp;id=25269&amp;p=section</v>
          </cell>
          <cell r="J618" t="str">
            <v>https://dl.smwcentral.net/25269/Hack%201%202%202.zip</v>
          </cell>
        </row>
        <row r="619">
          <cell r="A619" t="str">
            <v>Hack 1 2 3</v>
          </cell>
          <cell r="B619" t="str">
            <v>Hack 1 2 3</v>
          </cell>
          <cell r="C619" t="str">
            <v>Golden Yoshi</v>
          </cell>
          <cell r="D619">
            <v>10</v>
          </cell>
          <cell r="E619" t="str">
            <v>Intermediate</v>
          </cell>
          <cell r="F619" t="str">
            <v>Standard</v>
          </cell>
          <cell r="G619">
            <v>44279</v>
          </cell>
          <cell r="H619" t="str">
            <v>26367</v>
          </cell>
          <cell r="I619" t="str">
            <v>https://www.smwcentral.net/?a=details&amp;id=26367&amp;p=section</v>
          </cell>
          <cell r="J619" t="str">
            <v>https://dl.smwcentral.net/26367/Hack%201%202%203.zip</v>
          </cell>
        </row>
        <row r="620">
          <cell r="A620" t="str">
            <v>Hack 2</v>
          </cell>
          <cell r="B620" t="str">
            <v>Hack 2</v>
          </cell>
          <cell r="C620" t="str">
            <v>Golden Yoshi</v>
          </cell>
          <cell r="D620">
            <v>20</v>
          </cell>
          <cell r="E620" t="str">
            <v>Intermediate</v>
          </cell>
          <cell r="F620" t="str">
            <v>Standard</v>
          </cell>
          <cell r="G620">
            <v>41627</v>
          </cell>
          <cell r="H620" t="str">
            <v>5987</v>
          </cell>
          <cell r="I620" t="str">
            <v>https://www.smwcentral.net/?a=details&amp;id=5987&amp;p=section</v>
          </cell>
          <cell r="J620" t="str">
            <v>https://dl.smwcentral.net/5987/Hack%202.zip</v>
          </cell>
        </row>
        <row r="621">
          <cell r="A621" t="str">
            <v>Hack 25</v>
          </cell>
          <cell r="B621" t="str">
            <v>Hack 25</v>
          </cell>
          <cell r="C621" t="str">
            <v>Golden Yoshi</v>
          </cell>
          <cell r="D621">
            <v>6</v>
          </cell>
          <cell r="E621" t="str">
            <v>Intermediate</v>
          </cell>
          <cell r="F621" t="str">
            <v>Standard</v>
          </cell>
          <cell r="G621">
            <v>46143</v>
          </cell>
          <cell r="H621" t="str">
            <v>42289</v>
          </cell>
          <cell r="I621" t="str">
            <v>https://www.smwcentral.net/?a=details&amp;id=42289&amp;p=section</v>
          </cell>
          <cell r="J621" t="str">
            <v>https://dl.smwcentral.net/42289/Hack%2025.zip</v>
          </cell>
        </row>
        <row r="622">
          <cell r="A622" t="str">
            <v>Hack 3</v>
          </cell>
          <cell r="B622" t="str">
            <v>Hack 3</v>
          </cell>
          <cell r="C622" t="str">
            <v>Golden Yoshi</v>
          </cell>
          <cell r="D622">
            <v>15</v>
          </cell>
          <cell r="E622" t="str">
            <v>Casual</v>
          </cell>
          <cell r="F622" t="str">
            <v>Standard</v>
          </cell>
          <cell r="G622">
            <v>42178</v>
          </cell>
          <cell r="H622" t="str">
            <v>11495</v>
          </cell>
          <cell r="I622" t="str">
            <v>https://www.smwcentral.net/?a=details&amp;id=11495&amp;p=section</v>
          </cell>
          <cell r="J622" t="str">
            <v>https://dl.smwcentral.net/11495/Hack%203%20Release.zip</v>
          </cell>
        </row>
        <row r="623">
          <cell r="A623" t="str">
            <v>Hack 4</v>
          </cell>
          <cell r="B623" t="str">
            <v>Hack 4</v>
          </cell>
          <cell r="C623" t="str">
            <v>Golden Yoshi</v>
          </cell>
          <cell r="D623">
            <v>11</v>
          </cell>
          <cell r="E623" t="str">
            <v>Casual</v>
          </cell>
          <cell r="F623" t="str">
            <v>Standard</v>
          </cell>
          <cell r="G623">
            <v>42952</v>
          </cell>
          <cell r="H623" t="str">
            <v>15993</v>
          </cell>
          <cell r="I623" t="str">
            <v>https://www.smwcentral.net/?a=details&amp;id=15993&amp;p=section</v>
          </cell>
          <cell r="J623" t="str">
            <v>https://dl.smwcentral.net/15993/Hack%204.zip</v>
          </cell>
        </row>
        <row r="624">
          <cell r="A624" t="str">
            <v>Hack 5</v>
          </cell>
          <cell r="B624" t="str">
            <v>Hack 5</v>
          </cell>
          <cell r="C624" t="str">
            <v>Golden Yoshi</v>
          </cell>
          <cell r="D624">
            <v>14</v>
          </cell>
          <cell r="E624" t="str">
            <v>Casual</v>
          </cell>
          <cell r="F624" t="str">
            <v>Standard</v>
          </cell>
          <cell r="G624">
            <v>43561</v>
          </cell>
          <cell r="H624" t="str">
            <v>19588</v>
          </cell>
          <cell r="I624" t="str">
            <v>https://www.smwcentral.net/?a=details&amp;id=19588&amp;p=section</v>
          </cell>
          <cell r="J624" t="str">
            <v>https://dl.smwcentral.net/19588/Hack%205.zip</v>
          </cell>
        </row>
        <row r="625">
          <cell r="A625" t="str">
            <v>Hack 6</v>
          </cell>
          <cell r="B625" t="str">
            <v>Hack 6</v>
          </cell>
          <cell r="C625" t="str">
            <v>Golden Yoshi</v>
          </cell>
          <cell r="D625">
            <v>11</v>
          </cell>
          <cell r="E625" t="str">
            <v>Intermediate</v>
          </cell>
          <cell r="F625" t="str">
            <v>Standard</v>
          </cell>
          <cell r="G625">
            <v>44170</v>
          </cell>
          <cell r="H625" t="str">
            <v>25350</v>
          </cell>
          <cell r="I625" t="str">
            <v>https://www.smwcentral.net/?a=details&amp;id=25350&amp;p=section</v>
          </cell>
          <cell r="J625" t="str">
            <v>https://dl.smwcentral.net/25350/Hack%206.zip</v>
          </cell>
        </row>
        <row r="626">
          <cell r="A626" t="str">
            <v>Hack 7</v>
          </cell>
          <cell r="B626" t="str">
            <v>Hack 7</v>
          </cell>
          <cell r="C626" t="str">
            <v>Golden Yoshi</v>
          </cell>
          <cell r="D626">
            <v>10</v>
          </cell>
          <cell r="E626" t="str">
            <v>Intermediate</v>
          </cell>
          <cell r="F626" t="str">
            <v>Standard</v>
          </cell>
          <cell r="G626">
            <v>45386</v>
          </cell>
          <cell r="H626" t="str">
            <v>37570</v>
          </cell>
          <cell r="I626" t="str">
            <v>https://www.smwcentral.net/?a=details&amp;id=37570&amp;p=section</v>
          </cell>
          <cell r="J626" t="str">
            <v>https://dl.smwcentral.net/37570/Hack%207.zip</v>
          </cell>
        </row>
        <row r="627">
          <cell r="A627" t="str">
            <v>Hack 8</v>
          </cell>
          <cell r="B627" t="str">
            <v>Hack 8</v>
          </cell>
          <cell r="C627" t="str">
            <v>Golden Yoshi</v>
          </cell>
          <cell r="D627">
            <v>10</v>
          </cell>
          <cell r="E627" t="str">
            <v>Intermediate</v>
          </cell>
          <cell r="F627" t="str">
            <v>Standard</v>
          </cell>
          <cell r="G627">
            <v>45917</v>
          </cell>
          <cell r="H627" t="str">
            <v>40619</v>
          </cell>
          <cell r="I627" t="str">
            <v>https://www.smwcentral.net/?a=details&amp;id=40619&amp;p=section</v>
          </cell>
          <cell r="J627" t="str">
            <v>https://dl.smwcentral.net/40619/Hack8Release.zip</v>
          </cell>
        </row>
        <row r="628">
          <cell r="A628" t="str">
            <v>Hack for a dying culture</v>
          </cell>
          <cell r="B628" t="str">
            <v>Hack for a dying culture</v>
          </cell>
          <cell r="C628" t="str">
            <v>Anonymous</v>
          </cell>
          <cell r="D628">
            <v>7</v>
          </cell>
          <cell r="E628" t="str">
            <v>Master</v>
          </cell>
          <cell r="F628" t="str">
            <v>Kaizo</v>
          </cell>
          <cell r="G628">
            <v>44187</v>
          </cell>
          <cell r="H628" t="str">
            <v>25061</v>
          </cell>
          <cell r="I628" t="str">
            <v>https://www.smwcentral.net/?a=details&amp;id=25061&amp;p=section</v>
          </cell>
          <cell r="J628" t="str">
            <v>https://dl.smwcentral.net/25061/hfadc.zip</v>
          </cell>
        </row>
        <row r="629">
          <cell r="A629" t="str">
            <v>Hack: Greatest Hits</v>
          </cell>
          <cell r="B629" t="str">
            <v>Hack: Greatest Hits</v>
          </cell>
          <cell r="C629" t="str">
            <v>Golden Yoshi</v>
          </cell>
          <cell r="D629">
            <v>27</v>
          </cell>
          <cell r="E629" t="str">
            <v>Intermediate</v>
          </cell>
          <cell r="F629" t="str">
            <v>Standard, Kaizo</v>
          </cell>
          <cell r="G629">
            <v>45732</v>
          </cell>
          <cell r="H629" t="str">
            <v>39521</v>
          </cell>
          <cell r="I629" t="str">
            <v>https://www.smwcentral.net/?a=details&amp;id=39521&amp;p=section</v>
          </cell>
          <cell r="J629" t="str">
            <v>https://dl.smwcentral.net/39521/HackGreatestHitsReleasev1.2.zip</v>
          </cell>
        </row>
        <row r="630">
          <cell r="A630" t="str">
            <v>Hack: Greatest Hits Xtreme!</v>
          </cell>
          <cell r="B630" t="str">
            <v>Hack: Greatest Hits Xtreme!</v>
          </cell>
          <cell r="C630" t="str">
            <v>Golden Yoshi</v>
          </cell>
          <cell r="D630">
            <v>20</v>
          </cell>
          <cell r="E630" t="str">
            <v>Intermediate</v>
          </cell>
          <cell r="F630" t="str">
            <v>Kaizo</v>
          </cell>
          <cell r="G630">
            <v>45739</v>
          </cell>
          <cell r="H630" t="str">
            <v>39600</v>
          </cell>
          <cell r="I630" t="str">
            <v>https://www.smwcentral.net/?a=details&amp;id=39600&amp;p=section</v>
          </cell>
          <cell r="J630" t="str">
            <v>https://dl.smwcentral.net/39600/HackGHXRelease.zip</v>
          </cell>
        </row>
        <row r="631">
          <cell r="A631" t="str">
            <v>Hackers Dreams : Going Too Far</v>
          </cell>
          <cell r="B631" t="str">
            <v>Hackers Dreams : Going Too Far</v>
          </cell>
          <cell r="C631" t="str">
            <v>anonymousbl00dlust</v>
          </cell>
          <cell r="D631">
            <v>1</v>
          </cell>
          <cell r="E631" t="str">
            <v>Master</v>
          </cell>
          <cell r="F631" t="str">
            <v>Kaizo</v>
          </cell>
          <cell r="G631">
            <v>42938</v>
          </cell>
          <cell r="H631" t="str">
            <v>15918</v>
          </cell>
          <cell r="I631" t="str">
            <v>https://www.smwcentral.net/?a=details&amp;id=15918&amp;p=section</v>
          </cell>
          <cell r="J631" t="str">
            <v>https://dl.smwcentral.net/15918/GoingTooFar.zip</v>
          </cell>
        </row>
        <row r="632">
          <cell r="A632" t="str">
            <v>Hackers Dreams : Pipe Dream</v>
          </cell>
          <cell r="B632" t="str">
            <v>Hackers Dreams : Pipe Dream</v>
          </cell>
          <cell r="C632" t="str">
            <v>anonymousbl00dlust</v>
          </cell>
          <cell r="D632">
            <v>1</v>
          </cell>
          <cell r="E632" t="str">
            <v>Master</v>
          </cell>
          <cell r="F632" t="str">
            <v>Kaizo</v>
          </cell>
          <cell r="G632">
            <v>43287</v>
          </cell>
          <cell r="H632" t="str">
            <v>17741</v>
          </cell>
          <cell r="I632" t="str">
            <v>https://www.smwcentral.net/?a=details&amp;id=17741&amp;p=section</v>
          </cell>
          <cell r="J632" t="str">
            <v>https://dl.smwcentral.net/17741/Hackers%20Dreams%20Pipe%20Dream.zip</v>
          </cell>
        </row>
        <row r="633">
          <cell r="A633" t="str">
            <v>Hage World</v>
          </cell>
          <cell r="B633" t="str">
            <v>Hage World</v>
          </cell>
          <cell r="C633" t="str">
            <v>bald_ridge</v>
          </cell>
          <cell r="D633">
            <v>13</v>
          </cell>
          <cell r="E633" t="str">
            <v>Expert</v>
          </cell>
          <cell r="F633" t="str">
            <v>Kaizo</v>
          </cell>
          <cell r="G633">
            <v>45760</v>
          </cell>
          <cell r="H633" t="str">
            <v>39722</v>
          </cell>
          <cell r="I633" t="str">
            <v>https://www.smwcentral.net/?a=details&amp;id=39722&amp;p=section</v>
          </cell>
          <cell r="J633" t="str">
            <v>https://dl.smwcentral.net/39722/Hage%20World.zip</v>
          </cell>
        </row>
        <row r="634">
          <cell r="A634" t="str">
            <v>Hage World 2</v>
          </cell>
          <cell r="B634" t="str">
            <v>Hage World 2</v>
          </cell>
          <cell r="C634" t="str">
            <v>bald_ridge</v>
          </cell>
          <cell r="D634">
            <v>23</v>
          </cell>
          <cell r="E634" t="str">
            <v>Expert</v>
          </cell>
          <cell r="F634" t="str">
            <v>Kaizo</v>
          </cell>
          <cell r="G634">
            <v>46087</v>
          </cell>
          <cell r="H634" t="str">
            <v>41815</v>
          </cell>
          <cell r="I634" t="str">
            <v>https://www.smwcentral.net/?a=details&amp;id=41815&amp;p=section</v>
          </cell>
          <cell r="J634" t="str">
            <v>https://dl.smwcentral.net/41815/Hage%20World%202.zip</v>
          </cell>
        </row>
        <row r="635">
          <cell r="A635" t="str">
            <v>Hakurankai Mario</v>
          </cell>
          <cell r="B635" t="str">
            <v>Hakurankai Mario</v>
          </cell>
          <cell r="C635" t="str">
            <v>CoinBandit, Kiki-mewmew</v>
          </cell>
          <cell r="D635">
            <v>5</v>
          </cell>
          <cell r="E635" t="str">
            <v>Casual</v>
          </cell>
          <cell r="F635" t="str">
            <v>Standard</v>
          </cell>
          <cell r="G635">
            <v>42213</v>
          </cell>
          <cell r="H635" t="str">
            <v>9859</v>
          </cell>
          <cell r="I635" t="str">
            <v>https://www.smwcentral.net/?a=details&amp;id=9859&amp;p=section</v>
          </cell>
          <cell r="J635" t="str">
            <v>https://dl.smwcentral.net/9859/HAKURANKAI%20DEMO.zip</v>
          </cell>
        </row>
        <row r="636">
          <cell r="A636" t="str">
            <v>Hallowed Ground</v>
          </cell>
          <cell r="B636" t="str">
            <v>Hallowed Ground</v>
          </cell>
          <cell r="C636" t="str">
            <v>nanec</v>
          </cell>
          <cell r="D636">
            <v>14</v>
          </cell>
          <cell r="E636" t="str">
            <v>Expert</v>
          </cell>
          <cell r="F636" t="str">
            <v>Kaizo</v>
          </cell>
          <cell r="G636">
            <v>44606</v>
          </cell>
          <cell r="H636" t="str">
            <v>29667</v>
          </cell>
          <cell r="I636" t="str">
            <v>https://www.smwcentral.net/?a=details&amp;id=29667&amp;p=section</v>
          </cell>
          <cell r="J636" t="str">
            <v>https://dl.smwcentral.net/29667/HGnanec.zip</v>
          </cell>
        </row>
        <row r="637">
          <cell r="A637" t="str">
            <v>Halloween Hack</v>
          </cell>
          <cell r="B637" t="str">
            <v>Halloween Hack</v>
          </cell>
          <cell r="C637" t="str">
            <v>Golden Yoshi</v>
          </cell>
          <cell r="D637">
            <v>7</v>
          </cell>
          <cell r="E637" t="str">
            <v>Intermediate</v>
          </cell>
          <cell r="F637" t="str">
            <v>Standard</v>
          </cell>
          <cell r="G637">
            <v>45825</v>
          </cell>
          <cell r="H637" t="str">
            <v>39974</v>
          </cell>
          <cell r="I637" t="str">
            <v>https://www.smwcentral.net/?a=details&amp;id=39974&amp;p=section</v>
          </cell>
          <cell r="J637" t="str">
            <v>https://dl.smwcentral.net/39974/Halloween%20Hack.zip</v>
          </cell>
        </row>
        <row r="638">
          <cell r="A638" t="str">
            <v>Halloween in the Mushroom Kingdom</v>
          </cell>
          <cell r="B638" t="str">
            <v>Halloween in the Mushroom Kingdom</v>
          </cell>
          <cell r="C638" t="str">
            <v>AuraDee</v>
          </cell>
          <cell r="D638">
            <v>3</v>
          </cell>
          <cell r="E638" t="str">
            <v>Casual</v>
          </cell>
          <cell r="F638" t="str">
            <v>Standard</v>
          </cell>
          <cell r="G638">
            <v>43871</v>
          </cell>
          <cell r="H638" t="str">
            <v>22080</v>
          </cell>
          <cell r="I638" t="str">
            <v>https://www.smwcentral.net/?a=details&amp;id=22080&amp;p=section</v>
          </cell>
          <cell r="J638" t="str">
            <v>https://dl.smwcentral.net/22080/HITMK%20%28Music%20Fixed%29.zip</v>
          </cell>
        </row>
        <row r="639">
          <cell r="A639" t="str">
            <v>Halloween Islands</v>
          </cell>
          <cell r="B639" t="str">
            <v>Halloween Islands</v>
          </cell>
          <cell r="C639" t="str">
            <v>grisu</v>
          </cell>
          <cell r="D639">
            <v>8</v>
          </cell>
          <cell r="E639" t="str">
            <v>Intermediate</v>
          </cell>
          <cell r="F639" t="str">
            <v>Kaizo</v>
          </cell>
          <cell r="G639">
            <v>44489</v>
          </cell>
          <cell r="H639" t="str">
            <v>28590</v>
          </cell>
          <cell r="I639" t="str">
            <v>https://www.smwcentral.net/?a=details&amp;id=28590&amp;p=section</v>
          </cell>
          <cell r="J639" t="str">
            <v>https://dl.smwcentral.net/28590/Halloween%20Islands.zip</v>
          </cell>
        </row>
        <row r="640">
          <cell r="A640" t="str">
            <v>Halloween Kaizo World</v>
          </cell>
          <cell r="B640" t="str">
            <v>Halloween Kaizo World</v>
          </cell>
          <cell r="C640" t="str">
            <v>Green Jerry</v>
          </cell>
          <cell r="D640">
            <v>5</v>
          </cell>
          <cell r="E640" t="str">
            <v>Advanced</v>
          </cell>
          <cell r="F640" t="str">
            <v>Kaizo</v>
          </cell>
          <cell r="G640">
            <v>46173</v>
          </cell>
          <cell r="H640" t="str">
            <v>42450</v>
          </cell>
          <cell r="I640" t="str">
            <v>https://www.smwcentral.net/?a=details&amp;id=42450&amp;p=section</v>
          </cell>
          <cell r="J640" t="str">
            <v>https://dl.smwcentral.net/42450/Halloween%20Kaizo%20World%20v1.2.zip</v>
          </cell>
        </row>
        <row r="641">
          <cell r="A641" t="str">
            <v>Halo 14 - Definitive Edition</v>
          </cell>
          <cell r="B641" t="str">
            <v>Halo 14 - Definitive Edition</v>
          </cell>
          <cell r="C641" t="str">
            <v>LightAligns, Saela</v>
          </cell>
          <cell r="D641">
            <v>23</v>
          </cell>
          <cell r="E641" t="str">
            <v>Expert</v>
          </cell>
          <cell r="F641" t="str">
            <v>Kaizo</v>
          </cell>
          <cell r="G641">
            <v>46062</v>
          </cell>
          <cell r="H641" t="str">
            <v>41546</v>
          </cell>
          <cell r="I641" t="str">
            <v>https://www.smwcentral.net/?a=details&amp;id=41546&amp;p=section</v>
          </cell>
          <cell r="J641" t="str">
            <v>https://dl.smwcentral.net/41546/Halo%2014%20-%20Definitive%20Edition.zip</v>
          </cell>
        </row>
        <row r="642">
          <cell r="A642" t="str">
            <v>Halo 14 - Side A</v>
          </cell>
          <cell r="B642" t="str">
            <v>Halo 14 - Side A</v>
          </cell>
          <cell r="C642" t="str">
            <v>LightAligns, Saela</v>
          </cell>
          <cell r="D642">
            <v>12</v>
          </cell>
          <cell r="E642" t="str">
            <v>Expert</v>
          </cell>
          <cell r="F642" t="str">
            <v>Kaizo</v>
          </cell>
          <cell r="G642">
            <v>44832</v>
          </cell>
          <cell r="H642" t="str">
            <v>32170</v>
          </cell>
          <cell r="I642" t="str">
            <v>https://www.smwcentral.net/?a=details&amp;id=32170&amp;p=section</v>
          </cell>
          <cell r="J642" t="str">
            <v>https://dl.smwcentral.net/32170/Halo%2014%20Side%20A.zip</v>
          </cell>
        </row>
        <row r="643">
          <cell r="A643" t="str">
            <v>Halo 14 - Side B</v>
          </cell>
          <cell r="B643" t="str">
            <v>Halo 14 - Side B</v>
          </cell>
          <cell r="C643" t="str">
            <v>LightAligns, Saela</v>
          </cell>
          <cell r="D643">
            <v>11</v>
          </cell>
          <cell r="E643" t="str">
            <v>Expert</v>
          </cell>
          <cell r="F643" t="str">
            <v>Kaizo</v>
          </cell>
          <cell r="G643">
            <v>44916</v>
          </cell>
          <cell r="H643" t="str">
            <v>32774</v>
          </cell>
          <cell r="I643" t="str">
            <v>https://www.smwcentral.net/?a=details&amp;id=32774&amp;p=section</v>
          </cell>
          <cell r="J643" t="str">
            <v>https://dl.smwcentral.net/32774/Halo%2014%20Side%20B.zip</v>
          </cell>
        </row>
        <row r="644">
          <cell r="A644" t="str">
            <v>Hammer Time</v>
          </cell>
          <cell r="B644" t="str">
            <v>Hammer Time</v>
          </cell>
          <cell r="C644" t="str">
            <v>xDropTheHammer</v>
          </cell>
          <cell r="D644">
            <v>23</v>
          </cell>
          <cell r="E644" t="str">
            <v>Advanced</v>
          </cell>
          <cell r="F644" t="str">
            <v>Kaizo</v>
          </cell>
          <cell r="G644">
            <v>44942</v>
          </cell>
          <cell r="H644" t="str">
            <v>32937</v>
          </cell>
          <cell r="I644" t="str">
            <v>https://www.smwcentral.net/?a=details&amp;id=32937&amp;p=section</v>
          </cell>
          <cell r="J644" t="str">
            <v>https://dl.smwcentral.net/32937/HammerTime%20V1.5.zip</v>
          </cell>
        </row>
        <row r="645">
          <cell r="A645" t="str">
            <v>Hangin With Mr. Koopa</v>
          </cell>
          <cell r="B645" t="str">
            <v>Hangin With Mr. Koopa</v>
          </cell>
          <cell r="C645" t="str">
            <v>Miscalc</v>
          </cell>
          <cell r="D645">
            <v>10</v>
          </cell>
          <cell r="E645" t="str">
            <v>Advanced</v>
          </cell>
          <cell r="F645" t="str">
            <v>Kaizo</v>
          </cell>
          <cell r="G645">
            <v>44092</v>
          </cell>
          <cell r="H645" t="str">
            <v>24257</v>
          </cell>
          <cell r="I645" t="str">
            <v>https://www.smwcentral.net/?a=details&amp;id=24257&amp;p=section</v>
          </cell>
          <cell r="J645" t="str">
            <v>https://dl.smwcentral.net/24257/Hangin_With_Mr_Koopa_1.1.zip</v>
          </cell>
        </row>
        <row r="646">
          <cell r="A646" t="str">
            <v>Hangin With Mr. Koopa 2: All Vanilla No Filla</v>
          </cell>
          <cell r="B646" t="str">
            <v>Hangin With Mr. Koopa 2: All Vanilla No Filla</v>
          </cell>
          <cell r="C646" t="str">
            <v>Miscalc</v>
          </cell>
          <cell r="D646">
            <v>9</v>
          </cell>
          <cell r="E646" t="str">
            <v>Advanced</v>
          </cell>
          <cell r="F646" t="str">
            <v>Kaizo</v>
          </cell>
          <cell r="G646">
            <v>44757</v>
          </cell>
          <cell r="H646" t="str">
            <v>31460</v>
          </cell>
          <cell r="I646" t="str">
            <v>https://www.smwcentral.net/?a=details&amp;id=31460&amp;p=section</v>
          </cell>
          <cell r="J646" t="str">
            <v>https://dl.smwcentral.net/31460/hangin-with-mr-koopa-2.zip</v>
          </cell>
        </row>
        <row r="647">
          <cell r="A647" t="str">
            <v>Hardcore Mario</v>
          </cell>
          <cell r="B647" t="str">
            <v>Hardcore Mario</v>
          </cell>
          <cell r="C647" t="str">
            <v>51690</v>
          </cell>
          <cell r="D647">
            <v>5</v>
          </cell>
          <cell r="E647" t="str">
            <v>Grandmaster</v>
          </cell>
          <cell r="F647" t="str">
            <v>Kaizo</v>
          </cell>
          <cell r="G647">
            <v>44904</v>
          </cell>
          <cell r="H647" t="str">
            <v>32655</v>
          </cell>
          <cell r="I647" t="str">
            <v>https://www.smwcentral.net/?a=details&amp;id=32655&amp;p=section</v>
          </cell>
          <cell r="J647" t="str">
            <v>https://dl.smwcentral.net/32655/Hardcore_Mario.zip</v>
          </cell>
        </row>
        <row r="648">
          <cell r="A648" t="str">
            <v>Harmful</v>
          </cell>
          <cell r="B648" t="str">
            <v>Harmful</v>
          </cell>
          <cell r="C648" t="str">
            <v>LiamBLOL</v>
          </cell>
          <cell r="D648">
            <v>17</v>
          </cell>
          <cell r="E648" t="str">
            <v>Master</v>
          </cell>
          <cell r="F648" t="str">
            <v>Kaizo</v>
          </cell>
          <cell r="G648">
            <v>45012</v>
          </cell>
          <cell r="H648" t="str">
            <v>33450</v>
          </cell>
          <cell r="I648" t="str">
            <v>https://www.smwcentral.net/?a=details&amp;id=33450&amp;p=section</v>
          </cell>
          <cell r="J648" t="str">
            <v>https://dl.smwcentral.net/33450/Harmful.zip</v>
          </cell>
        </row>
        <row r="649">
          <cell r="A649" t="str">
            <v>Hazuka World</v>
          </cell>
          <cell r="B649" t="str">
            <v>Hazuka World</v>
          </cell>
          <cell r="C649" t="str">
            <v>Foxy McCloud</v>
          </cell>
          <cell r="D649">
            <v>5</v>
          </cell>
          <cell r="E649" t="str">
            <v>Advanced</v>
          </cell>
          <cell r="F649" t="str">
            <v>Kaizo</v>
          </cell>
          <cell r="G649">
            <v>43950</v>
          </cell>
          <cell r="H649" t="str">
            <v>22581</v>
          </cell>
          <cell r="I649" t="str">
            <v>https://www.smwcentral.net/?a=details&amp;id=22581&amp;p=section</v>
          </cell>
          <cell r="J649" t="str">
            <v>https://dl.smwcentral.net/22581/HazukaWorld1.55.zip</v>
          </cell>
        </row>
        <row r="650">
          <cell r="A650" t="str">
            <v>Heat Wave</v>
          </cell>
          <cell r="B650" t="str">
            <v>Heat Wave</v>
          </cell>
          <cell r="C650" t="str">
            <v>will___</v>
          </cell>
          <cell r="D650">
            <v>19</v>
          </cell>
          <cell r="E650" t="str">
            <v>Advanced</v>
          </cell>
          <cell r="F650" t="str">
            <v>Kaizo</v>
          </cell>
          <cell r="G650">
            <v>46029</v>
          </cell>
          <cell r="H650" t="str">
            <v>41380</v>
          </cell>
          <cell r="I650" t="str">
            <v>https://www.smwcentral.net/?a=details&amp;id=41380&amp;p=section</v>
          </cell>
          <cell r="J650" t="str">
            <v>https://dl.smwcentral.net/41380/HeatWave.zip</v>
          </cell>
        </row>
        <row r="651">
          <cell r="A651" t="str">
            <v>Heavenly Host</v>
          </cell>
          <cell r="B651" t="str">
            <v>Heavenly Host</v>
          </cell>
          <cell r="C651" t="str">
            <v>Lush_50</v>
          </cell>
          <cell r="D651">
            <v>0</v>
          </cell>
          <cell r="E651" t="str">
            <v>Advanced</v>
          </cell>
          <cell r="F651" t="str">
            <v>Kaizo</v>
          </cell>
          <cell r="G651">
            <v>44409</v>
          </cell>
          <cell r="H651" t="str">
            <v>27872</v>
          </cell>
          <cell r="I651" t="str">
            <v>https://www.smwcentral.net/?a=details&amp;id=27872&amp;p=section</v>
          </cell>
          <cell r="J651" t="str">
            <v>https://dl.smwcentral.net/27872/Heavenly_Host_V1.1.zip</v>
          </cell>
        </row>
        <row r="652">
          <cell r="A652" t="str">
            <v>Heavenly host 2 : Master class</v>
          </cell>
          <cell r="B652" t="str">
            <v>Heavenly host 2 : Master class</v>
          </cell>
          <cell r="C652" t="str">
            <v>Lush_50</v>
          </cell>
          <cell r="D652">
            <v>0</v>
          </cell>
          <cell r="E652" t="str">
            <v>Advanced</v>
          </cell>
          <cell r="F652" t="str">
            <v>Kaizo</v>
          </cell>
          <cell r="G652">
            <v>44460</v>
          </cell>
          <cell r="H652" t="str">
            <v>28326</v>
          </cell>
          <cell r="I652" t="str">
            <v>https://www.smwcentral.net/?a=details&amp;id=28326&amp;p=section</v>
          </cell>
          <cell r="J652" t="str">
            <v>https://dl.smwcentral.net/28326/Heavenly%20host%20II%20v1.1.zip</v>
          </cell>
        </row>
        <row r="653">
          <cell r="A653" t="str">
            <v>Heavenly host 3 : Forever faithful</v>
          </cell>
          <cell r="B653" t="str">
            <v>Heavenly host 3 : Forever faithful</v>
          </cell>
          <cell r="C653" t="str">
            <v>Lush_50</v>
          </cell>
          <cell r="D653">
            <v>0</v>
          </cell>
          <cell r="E653" t="str">
            <v>Advanced</v>
          </cell>
          <cell r="F653" t="str">
            <v>Kaizo</v>
          </cell>
          <cell r="G653">
            <v>44463</v>
          </cell>
          <cell r="H653" t="str">
            <v>28394</v>
          </cell>
          <cell r="I653" t="str">
            <v>https://www.smwcentral.net/?a=details&amp;id=28394&amp;p=section</v>
          </cell>
          <cell r="J653" t="str">
            <v>https://dl.smwcentral.net/28394/Heavenly%20host%203%20v1.1.zip</v>
          </cell>
        </row>
        <row r="654">
          <cell r="A654" t="str">
            <v>Heckin' Spoop World</v>
          </cell>
          <cell r="B654" t="str">
            <v>Heckin' Spoop World</v>
          </cell>
          <cell r="C654" t="str">
            <v>Koopenstein</v>
          </cell>
          <cell r="D654">
            <v>13</v>
          </cell>
          <cell r="E654" t="str">
            <v>Advanced</v>
          </cell>
          <cell r="F654" t="str">
            <v>Standard</v>
          </cell>
          <cell r="G654">
            <v>45944</v>
          </cell>
          <cell r="H654" t="str">
            <v>40743</v>
          </cell>
          <cell r="I654" t="str">
            <v>https://www.smwcentral.net/?a=details&amp;id=40743&amp;p=section</v>
          </cell>
          <cell r="J654" t="str">
            <v>https://dl.smwcentral.net/40743/Heckin%20Spoop%20World%20v1.3.zip</v>
          </cell>
        </row>
        <row r="655">
          <cell r="A655" t="str">
            <v>Hell Wizardry: functional overworld edition</v>
          </cell>
          <cell r="B655" t="str">
            <v>Hell Wizardry: functional overworld edition</v>
          </cell>
          <cell r="C655" t="str">
            <v>ageVerrly</v>
          </cell>
          <cell r="D655">
            <v>16</v>
          </cell>
          <cell r="E655" t="str">
            <v>Expert</v>
          </cell>
          <cell r="F655" t="str">
            <v>Kaizo</v>
          </cell>
          <cell r="G655">
            <v>44110</v>
          </cell>
          <cell r="H655" t="str">
            <v>24549</v>
          </cell>
          <cell r="I655" t="str">
            <v>https://www.smwcentral.net/?a=details&amp;id=24549&amp;p=section</v>
          </cell>
          <cell r="J655" t="str">
            <v>https://dl.smwcentral.net/24549/HellWizardry1.4.zip</v>
          </cell>
        </row>
        <row r="656">
          <cell r="A656" t="str">
            <v>Hertz Donut</v>
          </cell>
          <cell r="B656" t="str">
            <v>Hertz Donut</v>
          </cell>
          <cell r="C656" t="str">
            <v>Sokobansolver</v>
          </cell>
          <cell r="D656">
            <v>16</v>
          </cell>
          <cell r="E656" t="str">
            <v>Intermediate</v>
          </cell>
          <cell r="F656" t="str">
            <v>Kaizo, Tool-Assisted</v>
          </cell>
          <cell r="G656">
            <v>41724</v>
          </cell>
          <cell r="H656" t="str">
            <v>6069</v>
          </cell>
          <cell r="I656" t="str">
            <v>https://www.smwcentral.net/?a=details&amp;id=6069&amp;p=section</v>
          </cell>
          <cell r="J656" t="str">
            <v>https://dl.smwcentral.net/6069/Hertz%20Donut.zip</v>
          </cell>
        </row>
        <row r="657">
          <cell r="A657" t="str">
            <v>Hi!</v>
          </cell>
          <cell r="B657" t="str">
            <v>Hi!</v>
          </cell>
          <cell r="C657" t="str">
            <v>3dsalmon</v>
          </cell>
          <cell r="D657">
            <v>14</v>
          </cell>
          <cell r="E657" t="str">
            <v>Master</v>
          </cell>
          <cell r="F657" t="str">
            <v>Kaizo</v>
          </cell>
          <cell r="G657">
            <v>45970</v>
          </cell>
          <cell r="H657" t="str">
            <v>40840</v>
          </cell>
          <cell r="I657" t="str">
            <v>https://www.smwcentral.net/?a=details&amp;id=40840&amp;p=section</v>
          </cell>
          <cell r="J657" t="str">
            <v>https://dl.smwcentral.net/40840/Hi%21%20v1.1.zip</v>
          </cell>
        </row>
        <row r="658">
          <cell r="A658" t="str">
            <v>Hidden Dream in the Deep Time</v>
          </cell>
          <cell r="B658" t="str">
            <v>Hidden Dream in the Deep Time</v>
          </cell>
          <cell r="C658" t="str">
            <v>GbreezeSunset</v>
          </cell>
          <cell r="D658">
            <v>12</v>
          </cell>
          <cell r="E658" t="str">
            <v>Expert</v>
          </cell>
          <cell r="F658" t="str">
            <v>Kaizo</v>
          </cell>
          <cell r="G658">
            <v>46130</v>
          </cell>
          <cell r="H658" t="str">
            <v>42212</v>
          </cell>
          <cell r="I658" t="str">
            <v>https://www.smwcentral.net/?a=details&amp;id=42212&amp;p=section</v>
          </cell>
          <cell r="J658" t="str">
            <v>https://dl.smwcentral.net/42212/Hidden%20Dream%20in%20the%20Deep%20Time%20%28v1.1%29.zip</v>
          </cell>
        </row>
        <row r="659">
          <cell r="A659" t="str">
            <v>Home</v>
          </cell>
          <cell r="B659" t="str">
            <v>Home</v>
          </cell>
          <cell r="C659" t="str">
            <v>Lush_50</v>
          </cell>
          <cell r="D659">
            <v>6</v>
          </cell>
          <cell r="E659" t="str">
            <v>Expert</v>
          </cell>
          <cell r="F659" t="str">
            <v>Kaizo</v>
          </cell>
          <cell r="G659">
            <v>45634</v>
          </cell>
          <cell r="H659" t="str">
            <v>38890</v>
          </cell>
          <cell r="I659" t="str">
            <v>https://www.smwcentral.net/?a=details&amp;id=38890&amp;p=section</v>
          </cell>
          <cell r="J659" t="str">
            <v>https://dl.smwcentral.net/38890/Home%20v1.0%20Lush_50.zip</v>
          </cell>
        </row>
        <row r="660">
          <cell r="A660" t="str">
            <v>Hope's Wind</v>
          </cell>
          <cell r="B660" t="str">
            <v>Hope's Wind</v>
          </cell>
          <cell r="C660" t="str">
            <v>Nint</v>
          </cell>
          <cell r="D660">
            <v>13</v>
          </cell>
          <cell r="E660" t="str">
            <v>Advanced</v>
          </cell>
          <cell r="F660" t="str">
            <v>Kaizo</v>
          </cell>
          <cell r="G660">
            <v>43876</v>
          </cell>
          <cell r="H660" t="str">
            <v>22131</v>
          </cell>
          <cell r="I660" t="str">
            <v>https://www.smwcentral.net/?a=details&amp;id=22131&amp;p=section</v>
          </cell>
          <cell r="J660" t="str">
            <v>https://dl.smwcentral.net/22131/Hope%27s%20Wind.zip</v>
          </cell>
        </row>
        <row r="661">
          <cell r="A661" t="str">
            <v>Hops' Great Adventure</v>
          </cell>
          <cell r="B661" t="str">
            <v>Hops' Great Adventure</v>
          </cell>
          <cell r="C661" t="str">
            <v>bucketofwetsocks</v>
          </cell>
          <cell r="D661">
            <v>11</v>
          </cell>
          <cell r="E661" t="str">
            <v>Master</v>
          </cell>
          <cell r="F661" t="str">
            <v>Kaizo</v>
          </cell>
          <cell r="G661">
            <v>44663</v>
          </cell>
          <cell r="H661" t="str">
            <v>30172</v>
          </cell>
          <cell r="I661" t="str">
            <v>https://www.smwcentral.net/?a=details&amp;id=30172&amp;p=section</v>
          </cell>
          <cell r="J661" t="str">
            <v>https://dl.smwcentral.net/30172/hops.r.2.0.bps.zip</v>
          </cell>
        </row>
        <row r="662">
          <cell r="A662" t="str">
            <v>Horrifying Mario World</v>
          </cell>
          <cell r="B662" t="str">
            <v>Horrifying Mario World</v>
          </cell>
          <cell r="C662" t="str">
            <v>GbreezeSunset</v>
          </cell>
          <cell r="D662">
            <v>20</v>
          </cell>
          <cell r="E662" t="str">
            <v>Intermediate</v>
          </cell>
          <cell r="F662" t="str">
            <v>Kaizo, Tool-Assisted</v>
          </cell>
          <cell r="G662">
            <v>41956</v>
          </cell>
          <cell r="H662" t="str">
            <v>9273</v>
          </cell>
          <cell r="I662" t="str">
            <v>https://www.smwcentral.net/?a=details&amp;id=9273&amp;p=section</v>
          </cell>
          <cell r="J662" t="str">
            <v>https://dl.smwcentral.net/9273/Horrifying%20Mario%20World.zip</v>
          </cell>
        </row>
        <row r="663">
          <cell r="A663" t="str">
            <v>HotHead Heights</v>
          </cell>
          <cell r="B663" t="str">
            <v>HotHead Heights</v>
          </cell>
          <cell r="C663" t="str">
            <v>BlooberryPi</v>
          </cell>
          <cell r="D663">
            <v>7</v>
          </cell>
          <cell r="E663" t="str">
            <v>Advanced</v>
          </cell>
          <cell r="F663" t="str">
            <v>Kaizo</v>
          </cell>
          <cell r="G663">
            <v>43551</v>
          </cell>
          <cell r="H663" t="str">
            <v>19402</v>
          </cell>
          <cell r="I663" t="str">
            <v>https://www.smwcentral.net/?a=details&amp;id=19402&amp;p=section</v>
          </cell>
          <cell r="J663" t="str">
            <v>https://dl.smwcentral.net/19402/HotHead%20Heights.zip</v>
          </cell>
        </row>
        <row r="664">
          <cell r="A664" t="str">
            <v>Hourglass Twist</v>
          </cell>
          <cell r="B664" t="str">
            <v>Hourglass Twist</v>
          </cell>
          <cell r="C664" t="str">
            <v>Alex</v>
          </cell>
          <cell r="D664">
            <v>13</v>
          </cell>
          <cell r="E664" t="str">
            <v>Master</v>
          </cell>
          <cell r="F664" t="str">
            <v>Kaizo, Puzzle</v>
          </cell>
          <cell r="G664">
            <v>44484</v>
          </cell>
          <cell r="H664" t="str">
            <v>28538</v>
          </cell>
          <cell r="I664" t="str">
            <v>https://www.smwcentral.net/?a=details&amp;id=28538&amp;p=section</v>
          </cell>
          <cell r="J664" t="str">
            <v>https://dl.smwcentral.net/28538/Hourglass%20Twist.zip</v>
          </cell>
        </row>
        <row r="665">
          <cell r="A665" t="str">
            <v>House of King Boo</v>
          </cell>
          <cell r="B665" t="str">
            <v>House of King Boo</v>
          </cell>
          <cell r="C665" t="str">
            <v>Parahax</v>
          </cell>
          <cell r="D665">
            <v>1</v>
          </cell>
          <cell r="E665" t="str">
            <v>Expert</v>
          </cell>
          <cell r="F665" t="str">
            <v>Kaizo</v>
          </cell>
          <cell r="G665">
            <v>44503</v>
          </cell>
          <cell r="H665" t="str">
            <v>28688</v>
          </cell>
          <cell r="I665" t="str">
            <v>https://www.smwcentral.net/?a=details&amp;id=28688&amp;p=section</v>
          </cell>
          <cell r="J665" t="str">
            <v>https://dl.smwcentral.net/28688/House%20of%20King%20Boo%201.06.zip</v>
          </cell>
        </row>
        <row r="666">
          <cell r="A666" t="str">
            <v>How I Learned to Stop Worrying and Love the Bob-omb</v>
          </cell>
          <cell r="B666" t="str">
            <v>How I Learned to Stop Worrying and Love the Bob-omb</v>
          </cell>
          <cell r="C666" t="str">
            <v>Zildjian</v>
          </cell>
          <cell r="D666">
            <v>5</v>
          </cell>
          <cell r="E666" t="str">
            <v>Casual</v>
          </cell>
          <cell r="F666" t="str">
            <v>Standard</v>
          </cell>
          <cell r="G666">
            <v>42218</v>
          </cell>
          <cell r="H666" t="str">
            <v>9956</v>
          </cell>
          <cell r="I666" t="str">
            <v>https://www.smwcentral.net/?a=details&amp;id=9956&amp;p=section</v>
          </cell>
          <cell r="J666" t="str">
            <v>https://dl.smwcentral.net/9956/HILTSWALTB.zip</v>
          </cell>
        </row>
        <row r="667">
          <cell r="A667" t="str">
            <v>how long do snails sleep (vanilla)</v>
          </cell>
          <cell r="B667" t="str">
            <v>how long do snails sleep (vanilla)</v>
          </cell>
          <cell r="C667" t="str">
            <v>Somebody for sure</v>
          </cell>
          <cell r="D667">
            <v>0</v>
          </cell>
          <cell r="E667" t="str">
            <v>Advanced</v>
          </cell>
          <cell r="F667" t="str">
            <v>Kaizo</v>
          </cell>
          <cell r="G667">
            <v>45426</v>
          </cell>
          <cell r="H667" t="str">
            <v>37692</v>
          </cell>
          <cell r="I667" t="str">
            <v>https://www.smwcentral.net/?a=details&amp;id=37692&amp;p=section</v>
          </cell>
          <cell r="J667" t="str">
            <v>https://dl.smwcentral.net/37692/how%20long%20do%20snails%20sleep%20%28vanilla%2C%20finalhopefully%29.zip</v>
          </cell>
        </row>
        <row r="668">
          <cell r="A668" t="str">
            <v>How NOT to Kaizo</v>
          </cell>
          <cell r="B668" t="str">
            <v>How NOT to Kaizo</v>
          </cell>
          <cell r="C668" t="str">
            <v>Skirdus</v>
          </cell>
          <cell r="D668">
            <v>8</v>
          </cell>
          <cell r="E668" t="str">
            <v>Intermediate</v>
          </cell>
          <cell r="F668" t="str">
            <v>Kaizo, Tool-Assisted</v>
          </cell>
          <cell r="G668">
            <v>43833</v>
          </cell>
          <cell r="H668" t="str">
            <v>21700</v>
          </cell>
          <cell r="I668" t="str">
            <v>https://www.smwcentral.net/?a=details&amp;id=21700&amp;p=section</v>
          </cell>
          <cell r="J668" t="str">
            <v>https://dl.smwcentral.net/21700/How%20NOT%20to%20Kaizo.zip</v>
          </cell>
        </row>
        <row r="669">
          <cell r="A669" t="str">
            <v>Hummer Super Mario World</v>
          </cell>
          <cell r="B669" t="str">
            <v>Hummer Super Mario World</v>
          </cell>
          <cell r="C669" t="str">
            <v>King Mayro</v>
          </cell>
          <cell r="D669">
            <v>28</v>
          </cell>
          <cell r="E669" t="str">
            <v>Casual</v>
          </cell>
          <cell r="F669" t="str">
            <v>Standard</v>
          </cell>
          <cell r="G669">
            <v>44836</v>
          </cell>
          <cell r="H669" t="str">
            <v>32158</v>
          </cell>
          <cell r="I669" t="str">
            <v>https://www.smwcentral.net/?a=details&amp;id=32158&amp;p=section</v>
          </cell>
          <cell r="J669" t="str">
            <v>https://dl.smwcentral.net/32158/HummerSMW%20VER7.8.zip</v>
          </cell>
        </row>
        <row r="670">
          <cell r="A670" t="str">
            <v>Hunter &amp; SCORPION's Bet Saga - SCORPION's Ravage</v>
          </cell>
          <cell r="B670" t="str">
            <v>Hunter &amp; SCORPION's Bet Saga - SCORPION's Ravage</v>
          </cell>
          <cell r="C670" t="str">
            <v>Skewer</v>
          </cell>
          <cell r="D670">
            <v>62</v>
          </cell>
          <cell r="E670" t="str">
            <v>Intermediate</v>
          </cell>
          <cell r="F670" t="str">
            <v>Standard</v>
          </cell>
          <cell r="G670">
            <v>42245</v>
          </cell>
          <cell r="H670" t="str">
            <v>9965</v>
          </cell>
          <cell r="I670" t="str">
            <v>https://www.smwcentral.net/?a=details&amp;id=9965&amp;p=section</v>
          </cell>
          <cell r="J670" t="str">
            <v>https://dl.smwcentral.net/9965/H%26SB-SCORPION%27sRavage%20FULL.zip</v>
          </cell>
        </row>
        <row r="671">
          <cell r="A671" t="str">
            <v>Hunter and Scorpion's Bet ReVised - Hunter's Path</v>
          </cell>
          <cell r="B671" t="str">
            <v>Hunter and Scorpion's Bet ReVised - Hunter's Path</v>
          </cell>
          <cell r="C671" t="str">
            <v>amhunter</v>
          </cell>
          <cell r="D671">
            <v>27</v>
          </cell>
          <cell r="E671" t="str">
            <v>Intermediate</v>
          </cell>
          <cell r="F671" t="str">
            <v>Standard</v>
          </cell>
          <cell r="G671">
            <v>42618</v>
          </cell>
          <cell r="H671" t="str">
            <v>14166</v>
          </cell>
          <cell r="I671" t="str">
            <v>https://www.smwcentral.net/?a=details&amp;id=14166&amp;p=section</v>
          </cell>
          <cell r="J671" t="str">
            <v>https://dl.smwcentral.net/14166/HunterPath_V1_1.zip</v>
          </cell>
        </row>
        <row r="672">
          <cell r="A672" t="str">
            <v>Hydro</v>
          </cell>
          <cell r="B672" t="str">
            <v>Hydro</v>
          </cell>
          <cell r="C672" t="str">
            <v>Edidoo</v>
          </cell>
          <cell r="D672">
            <v>17</v>
          </cell>
          <cell r="E672" t="str">
            <v>Expert</v>
          </cell>
          <cell r="F672" t="str">
            <v>Kaizo</v>
          </cell>
          <cell r="G672">
            <v>44445</v>
          </cell>
          <cell r="H672" t="str">
            <v>28174</v>
          </cell>
          <cell r="I672" t="str">
            <v>https://www.smwcentral.net/?a=details&amp;id=28174&amp;p=section</v>
          </cell>
          <cell r="J672" t="str">
            <v>https://dl.smwcentral.net/28174/Hydro.zip</v>
          </cell>
        </row>
        <row r="673">
          <cell r="A673" t="str">
            <v>Hyper Hentai Hotties</v>
          </cell>
          <cell r="B673" t="str">
            <v>Hyper Hentai Hotties</v>
          </cell>
          <cell r="C673" t="str">
            <v>scrimpy</v>
          </cell>
          <cell r="D673">
            <v>7</v>
          </cell>
          <cell r="E673" t="str">
            <v>Casual</v>
          </cell>
          <cell r="F673" t="str">
            <v>Standard</v>
          </cell>
          <cell r="G673">
            <v>42215</v>
          </cell>
          <cell r="H673" t="str">
            <v>9952</v>
          </cell>
          <cell r="I673" t="str">
            <v>https://www.smwcentral.net/?a=details&amp;id=9952&amp;p=section</v>
          </cell>
          <cell r="J673" t="str">
            <v>https://dl.smwcentral.net/9952/Hyper%20Hentai%20Hotties.zip</v>
          </cell>
        </row>
        <row r="674">
          <cell r="A674" t="str">
            <v>Hyperexcitability</v>
          </cell>
          <cell r="B674" t="str">
            <v>Hyperexcitability</v>
          </cell>
          <cell r="C674" t="str">
            <v>AFH</v>
          </cell>
          <cell r="D674">
            <v>1</v>
          </cell>
          <cell r="E674" t="str">
            <v>Master</v>
          </cell>
          <cell r="F674" t="str">
            <v>Kaizo</v>
          </cell>
          <cell r="G674">
            <v>41976</v>
          </cell>
          <cell r="H674" t="str">
            <v>9489</v>
          </cell>
          <cell r="I674" t="str">
            <v>https://www.smwcentral.net/?a=details&amp;id=9489&amp;p=section</v>
          </cell>
          <cell r="J674" t="str">
            <v>https://dl.smwcentral.net/9489/Hyperexcitability%201%20Level%20demo.zip</v>
          </cell>
        </row>
        <row r="675">
          <cell r="A675" t="str">
            <v>HYPERION</v>
          </cell>
          <cell r="B675" t="str">
            <v>HYPERION</v>
          </cell>
          <cell r="C675" t="str">
            <v>AmperSam</v>
          </cell>
          <cell r="D675">
            <v>28</v>
          </cell>
          <cell r="E675" t="str">
            <v>Advanced</v>
          </cell>
          <cell r="F675" t="str">
            <v>Kaizo</v>
          </cell>
          <cell r="G675">
            <v>44642</v>
          </cell>
          <cell r="H675" t="str">
            <v>30143</v>
          </cell>
          <cell r="I675" t="str">
            <v>https://www.smwcentral.net/?a=details&amp;id=30143&amp;p=section</v>
          </cell>
          <cell r="J675" t="str">
            <v>https://dl.smwcentral.net/30143/HYPERION_2.0.1.zip</v>
          </cell>
        </row>
        <row r="676">
          <cell r="A676" t="str">
            <v>Hypnagogia</v>
          </cell>
          <cell r="B676" t="str">
            <v>Hypnagogia</v>
          </cell>
          <cell r="C676" t="str">
            <v>Blaagon</v>
          </cell>
          <cell r="D676">
            <v>3</v>
          </cell>
          <cell r="E676" t="str">
            <v>Master</v>
          </cell>
          <cell r="F676" t="str">
            <v>Kaizo</v>
          </cell>
          <cell r="G676">
            <v>45671</v>
          </cell>
          <cell r="H676" t="str">
            <v>39041</v>
          </cell>
          <cell r="I676" t="str">
            <v>https://www.smwcentral.net/?a=details&amp;id=39041&amp;p=section</v>
          </cell>
          <cell r="J676" t="str">
            <v>https://dl.smwcentral.net/39041/hypnagogia.zip</v>
          </cell>
        </row>
        <row r="677">
          <cell r="A677" t="str">
            <v>HYSTERIA</v>
          </cell>
          <cell r="B677" t="str">
            <v>HYSTERIA</v>
          </cell>
          <cell r="C677" t="str">
            <v>magianegra21</v>
          </cell>
          <cell r="D677">
            <v>14</v>
          </cell>
          <cell r="E677" t="str">
            <v>Advanced</v>
          </cell>
          <cell r="F677" t="str">
            <v>Kaizo</v>
          </cell>
          <cell r="G677">
            <v>45246</v>
          </cell>
          <cell r="H677" t="str">
            <v>35470</v>
          </cell>
          <cell r="I677" t="str">
            <v>https://www.smwcentral.net/?a=details&amp;id=35470&amp;p=section</v>
          </cell>
          <cell r="J677" t="str">
            <v>https://dl.smwcentral.net/35470/HYSTERIA.zip</v>
          </cell>
        </row>
        <row r="678">
          <cell r="A678" t="str">
            <v>Häschen [hɛʃn̩]</v>
          </cell>
          <cell r="B678" t="str">
            <v>Häschen [hɛʃn̩]</v>
          </cell>
          <cell r="C678" t="str">
            <v>Darkdlp02, EliteBellic, FazeMeisterMauch, Luks, Mauls, Reggiamoto, Stinky</v>
          </cell>
          <cell r="D678">
            <v>28</v>
          </cell>
          <cell r="E678" t="str">
            <v>Intermediate</v>
          </cell>
          <cell r="F678" t="str">
            <v>Standard</v>
          </cell>
          <cell r="G678">
            <v>45334</v>
          </cell>
          <cell r="H678" t="str">
            <v>36778</v>
          </cell>
          <cell r="I678" t="str">
            <v>https://www.smwcentral.net/?a=details&amp;id=36778&amp;p=section</v>
          </cell>
          <cell r="J678" t="str">
            <v>https://dl.smwcentral.net/36778/haeschen1.1.zip</v>
          </cell>
        </row>
        <row r="679">
          <cell r="A679" t="str">
            <v>I Come In Peace</v>
          </cell>
          <cell r="B679" t="str">
            <v>I Come In Peace</v>
          </cell>
          <cell r="C679" t="str">
            <v>levelengine</v>
          </cell>
          <cell r="D679">
            <v>22</v>
          </cell>
          <cell r="E679" t="str">
            <v>Casual</v>
          </cell>
          <cell r="F679" t="str">
            <v>Standard</v>
          </cell>
          <cell r="G679">
            <v>42384</v>
          </cell>
          <cell r="H679" t="str">
            <v>12916</v>
          </cell>
          <cell r="I679" t="str">
            <v>https://www.smwcentral.net/?a=details&amp;id=12916&amp;p=section</v>
          </cell>
          <cell r="J679" t="str">
            <v>https://dl.smwcentral.net/12916/I%20Come%20In%20Peace.zip</v>
          </cell>
        </row>
        <row r="680">
          <cell r="A680" t="str">
            <v>I HATE YOU</v>
          </cell>
          <cell r="B680" t="str">
            <v>I HATE YOU</v>
          </cell>
          <cell r="C680" t="str">
            <v>Ersanio</v>
          </cell>
          <cell r="D680">
            <v>2</v>
          </cell>
          <cell r="E680" t="str">
            <v>Newcomer</v>
          </cell>
          <cell r="F680" t="str">
            <v>Standard</v>
          </cell>
          <cell r="G680">
            <v>42560</v>
          </cell>
          <cell r="H680" t="str">
            <v>13943</v>
          </cell>
          <cell r="I680" t="str">
            <v>https://www.smwcentral.net/?a=details&amp;id=13943&amp;p=section</v>
          </cell>
          <cell r="J680" t="str">
            <v>https://dl.smwcentral.net/13943/I%20HATE%20YOU.zip</v>
          </cell>
        </row>
        <row r="681">
          <cell r="A681" t="str">
            <v>I Wanna Be The ROM Hack: Prototype</v>
          </cell>
          <cell r="B681" t="str">
            <v>I Wanna Be The ROM Hack: Prototype</v>
          </cell>
          <cell r="C681" t="str">
            <v>Stivi</v>
          </cell>
          <cell r="D681">
            <v>1</v>
          </cell>
          <cell r="E681" t="str">
            <v>Advanced</v>
          </cell>
          <cell r="F681" t="str">
            <v>Standard, Kaizo</v>
          </cell>
          <cell r="G681">
            <v>45544</v>
          </cell>
          <cell r="H681" t="str">
            <v>38270</v>
          </cell>
          <cell r="I681" t="str">
            <v>https://www.smwcentral.net/?a=details&amp;id=38270&amp;p=section</v>
          </cell>
          <cell r="J681" t="str">
            <v>https://dl.smwcentral.net/38270/IWBTRH%20Prototype%20v1.01.zip</v>
          </cell>
        </row>
        <row r="682">
          <cell r="A682" t="str">
            <v>Icarus</v>
          </cell>
          <cell r="B682" t="str">
            <v>Icarus</v>
          </cell>
          <cell r="C682" t="str">
            <v>CircleFriendo</v>
          </cell>
          <cell r="D682">
            <v>8</v>
          </cell>
          <cell r="E682" t="str">
            <v>Expert</v>
          </cell>
          <cell r="F682" t="str">
            <v>Kaizo</v>
          </cell>
          <cell r="G682">
            <v>45446</v>
          </cell>
          <cell r="H682" t="str">
            <v>37866</v>
          </cell>
          <cell r="I682" t="str">
            <v>https://www.smwcentral.net/?a=details&amp;id=37866&amp;p=section</v>
          </cell>
          <cell r="J682" t="str">
            <v>https://dl.smwcentral.net/37866/Icarus.zip</v>
          </cell>
        </row>
        <row r="683">
          <cell r="A683" t="str">
            <v>Ides of March</v>
          </cell>
          <cell r="B683" t="str">
            <v>Ides of March</v>
          </cell>
          <cell r="C683" t="str">
            <v>shaoshao</v>
          </cell>
          <cell r="D683">
            <v>20</v>
          </cell>
          <cell r="E683" t="str">
            <v>Expert</v>
          </cell>
          <cell r="F683" t="str">
            <v>Kaizo</v>
          </cell>
          <cell r="G683">
            <v>44317</v>
          </cell>
          <cell r="H683" t="str">
            <v>26890</v>
          </cell>
          <cell r="I683" t="str">
            <v>https://www.smwcentral.net/?a=details&amp;id=26890&amp;p=section</v>
          </cell>
          <cell r="J683" t="str">
            <v>https://dl.smwcentral.net/26890/ides_of_march1.1.zip</v>
          </cell>
        </row>
        <row r="684">
          <cell r="A684" t="str">
            <v>Ides of March 2: Dogs of War</v>
          </cell>
          <cell r="B684" t="str">
            <v>Ides of March 2: Dogs of War</v>
          </cell>
          <cell r="C684" t="str">
            <v>shaoshao</v>
          </cell>
          <cell r="D684">
            <v>21</v>
          </cell>
          <cell r="E684" t="str">
            <v>Expert</v>
          </cell>
          <cell r="F684" t="str">
            <v>Kaizo</v>
          </cell>
          <cell r="G684">
            <v>46114</v>
          </cell>
          <cell r="H684" t="str">
            <v>42072</v>
          </cell>
          <cell r="I684" t="str">
            <v>https://www.smwcentral.net/?a=details&amp;id=42072&amp;p=section</v>
          </cell>
          <cell r="J684" t="str">
            <v>https://dl.smwcentral.net/42072/dogs_of_war.zip</v>
          </cell>
        </row>
        <row r="685">
          <cell r="A685" t="str">
            <v>Ieo</v>
          </cell>
          <cell r="B685" t="str">
            <v>Ieo</v>
          </cell>
          <cell r="C685" t="str">
            <v>Delta</v>
          </cell>
          <cell r="D685">
            <v>9</v>
          </cell>
          <cell r="E685" t="str">
            <v>Casual</v>
          </cell>
          <cell r="F685" t="str">
            <v>Standard</v>
          </cell>
          <cell r="G685">
            <v>41452</v>
          </cell>
          <cell r="H685" t="str">
            <v>5539</v>
          </cell>
          <cell r="I685" t="str">
            <v>https://www.smwcentral.net/?a=details&amp;id=5539&amp;p=section</v>
          </cell>
          <cell r="J685" t="str">
            <v>https://dl.smwcentral.net/5539/Ieo.zip</v>
          </cell>
        </row>
        <row r="686">
          <cell r="A686" t="str">
            <v>Iggy's Island</v>
          </cell>
          <cell r="B686" t="str">
            <v>Iggy's Island</v>
          </cell>
          <cell r="C686" t="str">
            <v>surfiin' bird</v>
          </cell>
          <cell r="D686">
            <v>6</v>
          </cell>
          <cell r="E686" t="str">
            <v>Newcomer</v>
          </cell>
          <cell r="F686" t="str">
            <v>Standard</v>
          </cell>
          <cell r="G686">
            <v>42228</v>
          </cell>
          <cell r="H686" t="str">
            <v>9860</v>
          </cell>
          <cell r="I686" t="str">
            <v>https://www.smwcentral.net/?a=details&amp;id=9860&amp;p=section</v>
          </cell>
          <cell r="J686" t="str">
            <v>https://dl.smwcentral.net/9860/Iggy%27s%20Island%20%28fixed%29.zip</v>
          </cell>
        </row>
        <row r="687">
          <cell r="A687" t="str">
            <v>Il Maniero Spettrale (Halloween 2018 Version)</v>
          </cell>
          <cell r="B687" t="str">
            <v>Il Maniero Spettrale (Halloween 2018 Version)</v>
          </cell>
          <cell r="C687" t="str">
            <v>Duraner Hawkeye, RednGreen, Stormkyleis</v>
          </cell>
          <cell r="D687">
            <v>1</v>
          </cell>
          <cell r="E687" t="str">
            <v>Casual</v>
          </cell>
          <cell r="F687" t="str">
            <v>Standard</v>
          </cell>
          <cell r="G687">
            <v>43409</v>
          </cell>
          <cell r="H687" t="str">
            <v>18391</v>
          </cell>
          <cell r="I687" t="str">
            <v>https://www.smwcentral.net/?a=details&amp;id=18391&amp;p=section</v>
          </cell>
          <cell r="J687" t="str">
            <v>https://dl.smwcentral.net/18391/Il%20Maniero%20Spettrale.zip</v>
          </cell>
        </row>
        <row r="688">
          <cell r="A688" t="str">
            <v>Illuminati</v>
          </cell>
          <cell r="B688" t="str">
            <v>Illuminati</v>
          </cell>
          <cell r="C688" t="str">
            <v>bulti</v>
          </cell>
          <cell r="D688">
            <v>6</v>
          </cell>
          <cell r="E688" t="str">
            <v>Expert</v>
          </cell>
          <cell r="F688" t="str">
            <v>Kaizo</v>
          </cell>
          <cell r="G688">
            <v>45747</v>
          </cell>
          <cell r="H688" t="str">
            <v>39650</v>
          </cell>
          <cell r="I688" t="str">
            <v>https://www.smwcentral.net/?a=details&amp;id=39650&amp;p=section</v>
          </cell>
          <cell r="J688" t="str">
            <v>https://dl.smwcentral.net/39650/Illuminati.zip</v>
          </cell>
        </row>
        <row r="689">
          <cell r="A689" t="str">
            <v>Ilusiyellow?</v>
          </cell>
          <cell r="B689" t="str">
            <v>Ilusiyellow?</v>
          </cell>
          <cell r="C689" t="str">
            <v>Leo137</v>
          </cell>
          <cell r="D689">
            <v>1</v>
          </cell>
          <cell r="E689" t="str">
            <v>Casual</v>
          </cell>
          <cell r="F689" t="str">
            <v>Standard</v>
          </cell>
          <cell r="G689">
            <v>42166</v>
          </cell>
          <cell r="H689" t="str">
            <v>11386</v>
          </cell>
          <cell r="I689" t="str">
            <v>https://www.smwcentral.net/?a=details&amp;id=11386&amp;p=section</v>
          </cell>
          <cell r="J689" t="str">
            <v>https://dl.smwcentral.net/11386/ilusiyellow.zip</v>
          </cell>
        </row>
        <row r="690">
          <cell r="A690" t="str">
            <v>Immitis</v>
          </cell>
          <cell r="B690" t="str">
            <v>Immitis</v>
          </cell>
          <cell r="C690" t="str">
            <v>Pikush_</v>
          </cell>
          <cell r="D690">
            <v>6</v>
          </cell>
          <cell r="E690" t="str">
            <v>Expert</v>
          </cell>
          <cell r="F690" t="str">
            <v>Kaizo</v>
          </cell>
          <cell r="G690">
            <v>44664</v>
          </cell>
          <cell r="H690" t="str">
            <v>30330</v>
          </cell>
          <cell r="I690" t="str">
            <v>https://www.smwcentral.net/?a=details&amp;id=30330&amp;p=section</v>
          </cell>
          <cell r="J690" t="str">
            <v>https://dl.smwcentral.net/30330/Immitis.zip</v>
          </cell>
        </row>
        <row r="691">
          <cell r="A691" t="str">
            <v>In A Random Adventure</v>
          </cell>
          <cell r="B691" t="str">
            <v>In A Random Adventure</v>
          </cell>
          <cell r="C691" t="str">
            <v>Mr. MS</v>
          </cell>
          <cell r="D691">
            <v>6</v>
          </cell>
          <cell r="E691" t="str">
            <v>Casual</v>
          </cell>
          <cell r="F691" t="str">
            <v>Standard</v>
          </cell>
          <cell r="G691">
            <v>44554</v>
          </cell>
          <cell r="H691" t="str">
            <v>29046</v>
          </cell>
          <cell r="I691" t="str">
            <v>https://www.smwcentral.net/?a=details&amp;id=29046&amp;p=section</v>
          </cell>
          <cell r="J691" t="str">
            <v>https://dl.smwcentral.net/29046/In%20A%20Random%20Adventure.zip</v>
          </cell>
        </row>
        <row r="692">
          <cell r="A692" t="str">
            <v>In Absentia of Knowing</v>
          </cell>
          <cell r="B692" t="str">
            <v>In Absentia of Knowing</v>
          </cell>
          <cell r="C692" t="str">
            <v>NixKillsMyths</v>
          </cell>
          <cell r="D692">
            <v>1</v>
          </cell>
          <cell r="E692" t="str">
            <v>Grandmaster</v>
          </cell>
          <cell r="F692" t="str">
            <v>Kaizo</v>
          </cell>
          <cell r="G692">
            <v>45679</v>
          </cell>
          <cell r="H692" t="str">
            <v>38900</v>
          </cell>
          <cell r="I692" t="str">
            <v>https://www.smwcentral.net/?a=details&amp;id=38900&amp;p=section</v>
          </cell>
          <cell r="J692" t="str">
            <v>https://dl.smwcentral.net/38900/In%20Absentia%20of%20Knowing%20%281.0%29.zip</v>
          </cell>
        </row>
        <row r="693">
          <cell r="A693" t="str">
            <v>In Memoriam Hack Pack</v>
          </cell>
          <cell r="B693" t="str">
            <v>In Memoriam Hack Pack</v>
          </cell>
          <cell r="C693" t="str">
            <v>Spud Alpha</v>
          </cell>
          <cell r="D693">
            <v>11</v>
          </cell>
          <cell r="E693" t="str">
            <v>Casual</v>
          </cell>
          <cell r="F693" t="str">
            <v>Standard</v>
          </cell>
          <cell r="G693">
            <v>42221</v>
          </cell>
          <cell r="H693" t="str">
            <v>10167</v>
          </cell>
          <cell r="I693" t="str">
            <v>https://www.smwcentral.net/?a=details&amp;id=10167&amp;p=section</v>
          </cell>
          <cell r="J693" t="str">
            <v>https://dl.smwcentral.net/10167/In%20Memoriam%20Hack%20Pack.zip</v>
          </cell>
        </row>
        <row r="694">
          <cell r="A694" t="str">
            <v>In the Pocket</v>
          </cell>
          <cell r="B694" t="str">
            <v>In the Pocket</v>
          </cell>
          <cell r="C694" t="str">
            <v>Overcrow03</v>
          </cell>
          <cell r="D694">
            <v>25</v>
          </cell>
          <cell r="E694" t="str">
            <v>Expert</v>
          </cell>
          <cell r="F694" t="str">
            <v>Kaizo</v>
          </cell>
          <cell r="G694">
            <v>45147</v>
          </cell>
          <cell r="H694" t="str">
            <v>34720</v>
          </cell>
          <cell r="I694" t="str">
            <v>https://www.smwcentral.net/?a=details&amp;id=34720&amp;p=section</v>
          </cell>
          <cell r="J694" t="str">
            <v>https://dl.smwcentral.net/34720/In%20the%20Pocket%201.01.zip</v>
          </cell>
        </row>
        <row r="695">
          <cell r="A695" t="str">
            <v>In Triplicate</v>
          </cell>
          <cell r="B695" t="str">
            <v>In Triplicate</v>
          </cell>
          <cell r="C695" t="str">
            <v>ponypowerboi</v>
          </cell>
          <cell r="D695">
            <v>10</v>
          </cell>
          <cell r="E695" t="str">
            <v>Expert</v>
          </cell>
          <cell r="F695" t="str">
            <v>Kaizo</v>
          </cell>
          <cell r="G695">
            <v>45785</v>
          </cell>
          <cell r="H695" t="str">
            <v>39816</v>
          </cell>
          <cell r="I695" t="str">
            <v>https://www.smwcentral.net/?a=details&amp;id=39816&amp;p=section</v>
          </cell>
          <cell r="J695" t="str">
            <v>https://dl.smwcentral.net/39816/InTriplicate.zip</v>
          </cell>
        </row>
        <row r="696">
          <cell r="A696" t="str">
            <v>Inane Mario World</v>
          </cell>
          <cell r="B696" t="str">
            <v>Inane Mario World</v>
          </cell>
          <cell r="C696" t="str">
            <v>ageVerrly</v>
          </cell>
          <cell r="D696">
            <v>19</v>
          </cell>
          <cell r="E696" t="str">
            <v>Master</v>
          </cell>
          <cell r="F696" t="str">
            <v>Kaizo</v>
          </cell>
          <cell r="G696">
            <v>44252</v>
          </cell>
          <cell r="H696" t="str">
            <v>26202</v>
          </cell>
          <cell r="I696" t="str">
            <v>https://www.smwcentral.net/?a=details&amp;id=26202&amp;p=section</v>
          </cell>
          <cell r="J696" t="str">
            <v>https://dl.smwcentral.net/26202/inane.zip</v>
          </cell>
        </row>
        <row r="697">
          <cell r="A697" t="str">
            <v>Inappropriate Jetski 19</v>
          </cell>
          <cell r="B697" t="str">
            <v>Inappropriate Jetski 19</v>
          </cell>
          <cell r="C697" t="str">
            <v>Multibella</v>
          </cell>
          <cell r="D697">
            <v>12</v>
          </cell>
          <cell r="E697" t="str">
            <v>Casual</v>
          </cell>
          <cell r="F697" t="str">
            <v>Standard</v>
          </cell>
          <cell r="G697">
            <v>42308</v>
          </cell>
          <cell r="H697" t="str">
            <v>9759</v>
          </cell>
          <cell r="I697" t="str">
            <v>https://www.smwcentral.net/?a=details&amp;id=9759&amp;p=section</v>
          </cell>
          <cell r="J697" t="str">
            <v>https://dl.smwcentral.net/9759/Jetskifullv1.0.zip</v>
          </cell>
        </row>
        <row r="698">
          <cell r="A698" t="str">
            <v>INCEPTION</v>
          </cell>
          <cell r="B698" t="str">
            <v>INCEPTION</v>
          </cell>
          <cell r="C698" t="str">
            <v>Dr.Moe</v>
          </cell>
          <cell r="D698">
            <v>17</v>
          </cell>
          <cell r="E698" t="str">
            <v>Master</v>
          </cell>
          <cell r="F698" t="str">
            <v>Kaizo</v>
          </cell>
          <cell r="G698">
            <v>44588</v>
          </cell>
          <cell r="H698" t="str">
            <v>29540</v>
          </cell>
          <cell r="I698" t="str">
            <v>https://www.smwcentral.net/?a=details&amp;id=29540&amp;p=section</v>
          </cell>
          <cell r="J698" t="str">
            <v>https://dl.smwcentral.net/29540/INCEPTION%20v1.2.zip</v>
          </cell>
        </row>
        <row r="699">
          <cell r="A699" t="str">
            <v>INCEPTION II</v>
          </cell>
          <cell r="B699" t="str">
            <v>INCEPTION II</v>
          </cell>
          <cell r="C699" t="str">
            <v>Dr.Moe</v>
          </cell>
          <cell r="D699">
            <v>20</v>
          </cell>
          <cell r="E699" t="str">
            <v>Master</v>
          </cell>
          <cell r="F699" t="str">
            <v>Kaizo</v>
          </cell>
          <cell r="G699">
            <v>45384</v>
          </cell>
          <cell r="H699" t="str">
            <v>36666</v>
          </cell>
          <cell r="I699" t="str">
            <v>https://www.smwcentral.net/?a=details&amp;id=36666&amp;p=section</v>
          </cell>
          <cell r="J699" t="str">
            <v>https://dl.smwcentral.net/36666/INCEPTION2.zip</v>
          </cell>
        </row>
        <row r="700">
          <cell r="A700" t="str">
            <v>Incredibous Shells</v>
          </cell>
          <cell r="B700" t="str">
            <v>Incredibous Shells</v>
          </cell>
          <cell r="C700" t="str">
            <v>arantes</v>
          </cell>
          <cell r="D700">
            <v>15</v>
          </cell>
          <cell r="E700" t="str">
            <v>Master</v>
          </cell>
          <cell r="F700" t="str">
            <v>Kaizo</v>
          </cell>
          <cell r="G700">
            <v>45240</v>
          </cell>
          <cell r="H700" t="str">
            <v>35054</v>
          </cell>
          <cell r="I700" t="str">
            <v>https://www.smwcentral.net/?a=details&amp;id=35054&amp;p=section</v>
          </cell>
          <cell r="J700" t="str">
            <v>https://dl.smwcentral.net/35054/Incredibous%20Shells%20v1.4.zip</v>
          </cell>
        </row>
        <row r="701">
          <cell r="A701" t="str">
            <v>Incredibous Shells 2</v>
          </cell>
          <cell r="B701" t="str">
            <v>Incredibous Shells 2</v>
          </cell>
          <cell r="C701" t="str">
            <v>arantes</v>
          </cell>
          <cell r="D701">
            <v>12</v>
          </cell>
          <cell r="E701" t="str">
            <v>Master</v>
          </cell>
          <cell r="F701" t="str">
            <v>Kaizo</v>
          </cell>
          <cell r="G701">
            <v>45938</v>
          </cell>
          <cell r="H701" t="str">
            <v>40565</v>
          </cell>
          <cell r="I701" t="str">
            <v>https://www.smwcentral.net/?a=details&amp;id=40565&amp;p=section</v>
          </cell>
          <cell r="J701" t="str">
            <v>https://dl.smwcentral.net/40565/Incredibous%20Shells%202.zip</v>
          </cell>
        </row>
        <row r="702">
          <cell r="A702" t="str">
            <v>Inert Aeronaut</v>
          </cell>
          <cell r="B702" t="str">
            <v>Inert Aeronaut</v>
          </cell>
          <cell r="C702" t="str">
            <v>drkrdnk</v>
          </cell>
          <cell r="D702">
            <v>11</v>
          </cell>
          <cell r="E702" t="str">
            <v>Expert</v>
          </cell>
          <cell r="F702" t="str">
            <v>Kaizo</v>
          </cell>
          <cell r="G702">
            <v>45446</v>
          </cell>
          <cell r="H702" t="str">
            <v>37867</v>
          </cell>
          <cell r="I702" t="str">
            <v>https://www.smwcentral.net/?a=details&amp;id=37867&amp;p=section</v>
          </cell>
          <cell r="J702" t="str">
            <v>https://dl.smwcentral.net/37867/inert%20aeronaut%20v1.1.zip</v>
          </cell>
        </row>
        <row r="703">
          <cell r="A703" t="str">
            <v>INFERNVM</v>
          </cell>
          <cell r="B703" t="str">
            <v>INFERNVM</v>
          </cell>
          <cell r="C703" t="str">
            <v>Sariel</v>
          </cell>
          <cell r="D703">
            <v>69</v>
          </cell>
          <cell r="E703" t="str">
            <v>Expert</v>
          </cell>
          <cell r="F703" t="str">
            <v>Kaizo</v>
          </cell>
          <cell r="G703">
            <v>45315</v>
          </cell>
          <cell r="H703" t="str">
            <v>35610</v>
          </cell>
          <cell r="I703" t="str">
            <v>https://www.smwcentral.net/?a=details&amp;id=35610&amp;p=section</v>
          </cell>
          <cell r="J703" t="str">
            <v>https://dl.smwcentral.net/35610/INFERNVM_v1.02.zip</v>
          </cell>
        </row>
        <row r="704">
          <cell r="A704" t="str">
            <v>Infinity Edge</v>
          </cell>
          <cell r="B704" t="str">
            <v>Infinity Edge</v>
          </cell>
          <cell r="C704" t="str">
            <v>levelengine</v>
          </cell>
          <cell r="D704">
            <v>32</v>
          </cell>
          <cell r="E704" t="str">
            <v>Intermediate</v>
          </cell>
          <cell r="F704" t="str">
            <v>Standard</v>
          </cell>
          <cell r="G704">
            <v>41700</v>
          </cell>
          <cell r="H704" t="str">
            <v>6302</v>
          </cell>
          <cell r="I704" t="str">
            <v>https://www.smwcentral.net/?a=details&amp;id=6302&amp;p=section</v>
          </cell>
          <cell r="J704" t="str">
            <v>https://dl.smwcentral.net/6302/Infinity%20Edge%20%282nd%20Edition%29.zip</v>
          </cell>
        </row>
        <row r="705">
          <cell r="A705" t="str">
            <v>Initiation</v>
          </cell>
          <cell r="B705" t="str">
            <v>Initiation</v>
          </cell>
          <cell r="C705" t="str">
            <v>Rudi_Schrausch</v>
          </cell>
          <cell r="D705">
            <v>15</v>
          </cell>
          <cell r="E705" t="str">
            <v>Advanced</v>
          </cell>
          <cell r="F705" t="str">
            <v>Kaizo</v>
          </cell>
          <cell r="G705">
            <v>44684</v>
          </cell>
          <cell r="H705" t="str">
            <v>30663</v>
          </cell>
          <cell r="I705" t="str">
            <v>https://www.smwcentral.net/?a=details&amp;id=30663&amp;p=section</v>
          </cell>
          <cell r="J705" t="str">
            <v>https://dl.smwcentral.net/30663/Initiation.zip</v>
          </cell>
        </row>
        <row r="706">
          <cell r="A706" t="str">
            <v>Initiation 2 Da_Queest</v>
          </cell>
          <cell r="B706" t="str">
            <v>Initiation 2 Da_Queest</v>
          </cell>
          <cell r="C706" t="str">
            <v>Rudi_Schrausch</v>
          </cell>
          <cell r="D706">
            <v>27</v>
          </cell>
          <cell r="E706" t="str">
            <v>Expert</v>
          </cell>
          <cell r="F706" t="str">
            <v>Kaizo</v>
          </cell>
          <cell r="G706">
            <v>45527</v>
          </cell>
          <cell r="H706" t="str">
            <v>38124</v>
          </cell>
          <cell r="I706" t="str">
            <v>https://www.smwcentral.net/?a=details&amp;id=38124&amp;p=section</v>
          </cell>
          <cell r="J706" t="str">
            <v>https://dl.smwcentral.net/38124/Initiation%202.zip</v>
          </cell>
        </row>
        <row r="707">
          <cell r="A707" t="str">
            <v>Insert Coin</v>
          </cell>
          <cell r="B707" t="str">
            <v>Insert Coin</v>
          </cell>
          <cell r="C707" t="str">
            <v>Zildjian, noon</v>
          </cell>
          <cell r="D707">
            <v>1</v>
          </cell>
          <cell r="E707" t="str">
            <v>Casual</v>
          </cell>
          <cell r="F707" t="str">
            <v>Standard</v>
          </cell>
          <cell r="G707">
            <v>44212</v>
          </cell>
          <cell r="H707" t="str">
            <v>25878</v>
          </cell>
          <cell r="I707" t="str">
            <v>https://www.smwcentral.net/?a=details&amp;id=25878&amp;p=section</v>
          </cell>
          <cell r="J707" t="str">
            <v>https://dl.smwcentral.net/25878/Insert%20Coin.zip</v>
          </cell>
        </row>
        <row r="708">
          <cell r="A708" t="str">
            <v>INSOMNIA</v>
          </cell>
          <cell r="B708" t="str">
            <v>INSOMNIA</v>
          </cell>
          <cell r="C708" t="str">
            <v>Dr.Moe</v>
          </cell>
          <cell r="D708">
            <v>17</v>
          </cell>
          <cell r="E708" t="str">
            <v>Expert</v>
          </cell>
          <cell r="F708" t="str">
            <v>Kaizo</v>
          </cell>
          <cell r="G708">
            <v>44273</v>
          </cell>
          <cell r="H708" t="str">
            <v>26184</v>
          </cell>
          <cell r="I708" t="str">
            <v>https://www.smwcentral.net/?a=details&amp;id=26184&amp;p=section</v>
          </cell>
          <cell r="J708" t="str">
            <v>https://dl.smwcentral.net/26184/INSOMNIA1.1.zip</v>
          </cell>
        </row>
        <row r="709">
          <cell r="A709" t="str">
            <v>Insouciant Mario</v>
          </cell>
          <cell r="B709" t="str">
            <v>Insouciant Mario</v>
          </cell>
          <cell r="C709" t="str">
            <v>gui</v>
          </cell>
          <cell r="D709">
            <v>8</v>
          </cell>
          <cell r="E709" t="str">
            <v>Master</v>
          </cell>
          <cell r="F709" t="str">
            <v>Kaizo</v>
          </cell>
          <cell r="G709">
            <v>44802</v>
          </cell>
          <cell r="H709" t="str">
            <v>31864</v>
          </cell>
          <cell r="I709" t="str">
            <v>https://www.smwcentral.net/?a=details&amp;id=31864&amp;p=section</v>
          </cell>
          <cell r="J709" t="str">
            <v>https://dl.smwcentral.net/31864/InsouciantMario1.2.zip</v>
          </cell>
        </row>
        <row r="710">
          <cell r="A710" t="str">
            <v>Interesting Kaizo World</v>
          </cell>
          <cell r="B710" t="str">
            <v>Interesting Kaizo World</v>
          </cell>
          <cell r="C710" t="str">
            <v>Yagami</v>
          </cell>
          <cell r="D710">
            <v>22</v>
          </cell>
          <cell r="E710" t="str">
            <v>Expert</v>
          </cell>
          <cell r="F710" t="str">
            <v>Kaizo</v>
          </cell>
          <cell r="G710">
            <v>43970</v>
          </cell>
          <cell r="H710" t="str">
            <v>22907</v>
          </cell>
          <cell r="I710" t="str">
            <v>https://www.smwcentral.net/?a=details&amp;id=22907&amp;p=section</v>
          </cell>
          <cell r="J710" t="str">
            <v>https://dl.smwcentral.net/22907/Interesting.zip</v>
          </cell>
        </row>
        <row r="711">
          <cell r="A711" t="str">
            <v>Intershellar</v>
          </cell>
          <cell r="B711" t="str">
            <v>Intershellar</v>
          </cell>
          <cell r="C711" t="str">
            <v>Dolph1n</v>
          </cell>
          <cell r="D711">
            <v>15</v>
          </cell>
          <cell r="E711" t="str">
            <v>Expert</v>
          </cell>
          <cell r="F711" t="str">
            <v>Kaizo</v>
          </cell>
          <cell r="G711">
            <v>44438</v>
          </cell>
          <cell r="H711" t="str">
            <v>28130</v>
          </cell>
          <cell r="I711" t="str">
            <v>https://www.smwcentral.net/?a=details&amp;id=28130&amp;p=section</v>
          </cell>
          <cell r="J711" t="str">
            <v>https://dl.smwcentral.net/28130/Intershellar.zip</v>
          </cell>
        </row>
        <row r="712">
          <cell r="A712" t="str">
            <v>Intrigue of Kittens</v>
          </cell>
          <cell r="B712" t="str">
            <v>Intrigue of Kittens</v>
          </cell>
          <cell r="C712" t="str">
            <v>JonnyManjiro</v>
          </cell>
          <cell r="D712">
            <v>5</v>
          </cell>
          <cell r="E712" t="str">
            <v>Advanced</v>
          </cell>
          <cell r="F712" t="str">
            <v>Kaizo</v>
          </cell>
          <cell r="G712">
            <v>44329</v>
          </cell>
          <cell r="H712" t="str">
            <v>26955</v>
          </cell>
          <cell r="I712" t="str">
            <v>https://www.smwcentral.net/?a=details&amp;id=26955&amp;p=section</v>
          </cell>
          <cell r="J712" t="str">
            <v>https://dl.smwcentral.net/26955/Intrigue%20of%20Kittens%201.1.zip</v>
          </cell>
        </row>
        <row r="713">
          <cell r="A713" t="str">
            <v>Invictus</v>
          </cell>
          <cell r="B713" t="str">
            <v>Invictus</v>
          </cell>
          <cell r="C713" t="str">
            <v>juzcook</v>
          </cell>
          <cell r="D713">
            <v>22</v>
          </cell>
          <cell r="E713" t="str">
            <v>Expert</v>
          </cell>
          <cell r="F713" t="str">
            <v>Kaizo</v>
          </cell>
          <cell r="G713">
            <v>43376</v>
          </cell>
          <cell r="H713" t="str">
            <v>18238</v>
          </cell>
          <cell r="I713" t="str">
            <v>https://www.smwcentral.net/?a=details&amp;id=18238&amp;p=section</v>
          </cell>
          <cell r="J713" t="str">
            <v>https://dl.smwcentral.net/18238/Invictus%201.0.zip</v>
          </cell>
        </row>
        <row r="714">
          <cell r="A714" t="str">
            <v>Iridium</v>
          </cell>
          <cell r="B714" t="str">
            <v>Iridium</v>
          </cell>
          <cell r="C714" t="str">
            <v>1mslakingoff</v>
          </cell>
          <cell r="D714">
            <v>17</v>
          </cell>
          <cell r="E714" t="str">
            <v>Expert</v>
          </cell>
          <cell r="F714" t="str">
            <v>Kaizo</v>
          </cell>
          <cell r="G714">
            <v>46153</v>
          </cell>
          <cell r="H714" t="str">
            <v>42315</v>
          </cell>
          <cell r="I714" t="str">
            <v>https://www.smwcentral.net/?a=details&amp;id=42315&amp;p=section</v>
          </cell>
          <cell r="J714" t="str">
            <v>https://dl.smwcentral.net/42315/Iridium.zip</v>
          </cell>
        </row>
        <row r="715">
          <cell r="A715" t="str">
            <v>It's another hack with Mario in it! Yay!</v>
          </cell>
          <cell r="B715" t="str">
            <v>It's another hack with Mario in it! Yay!</v>
          </cell>
          <cell r="C715" t="str">
            <v>Burst Man</v>
          </cell>
          <cell r="D715">
            <v>41</v>
          </cell>
          <cell r="E715" t="str">
            <v>Casual</v>
          </cell>
          <cell r="F715" t="str">
            <v>Standard</v>
          </cell>
          <cell r="G715">
            <v>45806</v>
          </cell>
          <cell r="H715" t="str">
            <v>39904</v>
          </cell>
          <cell r="I715" t="str">
            <v>https://www.smwcentral.net/?a=details&amp;id=39904&amp;p=section</v>
          </cell>
          <cell r="J715" t="str">
            <v>https://dl.smwcentral.net/39904/IahwMiiY%20Demo%20v0.2.2.zip</v>
          </cell>
        </row>
        <row r="716">
          <cell r="A716" t="str">
            <v>Item Abuse</v>
          </cell>
          <cell r="B716" t="str">
            <v>Item Abuse</v>
          </cell>
          <cell r="C716" t="str">
            <v>PangaeaPanga</v>
          </cell>
          <cell r="D716">
            <v>1</v>
          </cell>
          <cell r="E716" t="str">
            <v>Expert</v>
          </cell>
          <cell r="F716" t="str">
            <v>Tool-Assisted, Pit</v>
          </cell>
          <cell r="G716">
            <v>42141</v>
          </cell>
          <cell r="H716" t="str">
            <v>11342</v>
          </cell>
          <cell r="I716" t="str">
            <v>https://www.smwcentral.net/?a=details&amp;id=11342&amp;p=section</v>
          </cell>
          <cell r="J716" t="str">
            <v>https://dl.smwcentral.net/11342/Item%20Abuse%20v1.7.zip</v>
          </cell>
        </row>
        <row r="717">
          <cell r="A717" t="str">
            <v>Item Abuse 3</v>
          </cell>
          <cell r="B717" t="str">
            <v>Item Abuse 3</v>
          </cell>
          <cell r="C717" t="str">
            <v>PangaeaPanga</v>
          </cell>
          <cell r="D717">
            <v>1</v>
          </cell>
          <cell r="E717" t="str">
            <v>Grandmaster</v>
          </cell>
          <cell r="F717" t="str">
            <v>Tool-Assisted, Pit</v>
          </cell>
          <cell r="G717">
            <v>42080</v>
          </cell>
          <cell r="H717" t="str">
            <v>10907</v>
          </cell>
          <cell r="I717" t="str">
            <v>https://www.smwcentral.net/?a=details&amp;id=10907&amp;p=section</v>
          </cell>
          <cell r="J717" t="str">
            <v>https://dl.smwcentral.net/10907/Item%20Abuse%203%20v1.0.zip</v>
          </cell>
        </row>
        <row r="718">
          <cell r="A718" t="str">
            <v>ITS EEZ WORLD</v>
          </cell>
          <cell r="B718" t="str">
            <v>ITS EEZ WORLD</v>
          </cell>
          <cell r="C718" t="str">
            <v>Yagami</v>
          </cell>
          <cell r="D718">
            <v>14</v>
          </cell>
          <cell r="E718" t="str">
            <v>Expert</v>
          </cell>
          <cell r="F718" t="str">
            <v>Kaizo</v>
          </cell>
          <cell r="G718">
            <v>44334</v>
          </cell>
          <cell r="H718" t="str">
            <v>26898</v>
          </cell>
          <cell r="I718" t="str">
            <v>https://www.smwcentral.net/?a=details&amp;id=26898&amp;p=section</v>
          </cell>
          <cell r="J718" t="str">
            <v>https://dl.smwcentral.net/26898/its%20eez.zip</v>
          </cell>
        </row>
        <row r="719">
          <cell r="A719" t="str">
            <v>IUDICIUM TRIBUNALIS</v>
          </cell>
          <cell r="B719" t="str">
            <v>IUDICIUM TRIBUNALIS</v>
          </cell>
          <cell r="C719" t="str">
            <v>Sariel</v>
          </cell>
          <cell r="D719">
            <v>10</v>
          </cell>
          <cell r="E719" t="str">
            <v>Advanced</v>
          </cell>
          <cell r="F719" t="str">
            <v>Kaizo, Tool-Assisted</v>
          </cell>
          <cell r="G719">
            <v>42999</v>
          </cell>
          <cell r="H719" t="str">
            <v>15956</v>
          </cell>
          <cell r="I719" t="str">
            <v>https://www.smwcentral.net/?a=details&amp;id=15956&amp;p=section</v>
          </cell>
          <cell r="J719" t="str">
            <v>https://dl.smwcentral.net/15956/SMW%20HACK%20IUDICIUM%20TRIBUNALIS%20ver%202.25%20by%20user%3DID28020.zip</v>
          </cell>
        </row>
        <row r="720">
          <cell r="A720" t="str">
            <v>Ja, tack!</v>
          </cell>
          <cell r="B720" t="str">
            <v>Ja, tack!</v>
          </cell>
          <cell r="C720" t="str">
            <v>strong</v>
          </cell>
          <cell r="D720">
            <v>8</v>
          </cell>
          <cell r="E720" t="str">
            <v>Expert</v>
          </cell>
          <cell r="F720" t="str">
            <v>Kaizo</v>
          </cell>
          <cell r="G720">
            <v>45397</v>
          </cell>
          <cell r="H720" t="str">
            <v>37641</v>
          </cell>
          <cell r="I720" t="str">
            <v>https://www.smwcentral.net/?a=details&amp;id=37641&amp;p=section</v>
          </cell>
          <cell r="J720" t="str">
            <v>https://dl.smwcentral.net/37641/ja_tack_v1.1.zip</v>
          </cell>
        </row>
        <row r="721">
          <cell r="A721" t="str">
            <v>Jam</v>
          </cell>
          <cell r="B721" t="str">
            <v>Jam</v>
          </cell>
          <cell r="C721" t="str">
            <v>PopCorn181</v>
          </cell>
          <cell r="D721">
            <v>14</v>
          </cell>
          <cell r="E721" t="str">
            <v>Master</v>
          </cell>
          <cell r="F721" t="str">
            <v>Kaizo</v>
          </cell>
          <cell r="G721">
            <v>46180</v>
          </cell>
          <cell r="H721" t="str">
            <v>42402</v>
          </cell>
          <cell r="I721" t="str">
            <v>https://www.smwcentral.net/?a=details&amp;id=42402&amp;p=section</v>
          </cell>
          <cell r="J721" t="str">
            <v>https://dl.smwcentral.net/42402/JamV120.zip</v>
          </cell>
        </row>
        <row r="722">
          <cell r="A722" t="str">
            <v>JDCGames Collab</v>
          </cell>
          <cell r="B722" t="str">
            <v>JDCGames Collab</v>
          </cell>
          <cell r="C722" t="str">
            <v>JDCGames</v>
          </cell>
          <cell r="D722">
            <v>43</v>
          </cell>
          <cell r="E722" t="str">
            <v>Intermediate</v>
          </cell>
          <cell r="F722" t="str">
            <v>Standard</v>
          </cell>
          <cell r="G722">
            <v>42255</v>
          </cell>
          <cell r="H722" t="str">
            <v>10285</v>
          </cell>
          <cell r="I722" t="str">
            <v>https://www.smwcentral.net/?a=details&amp;id=10285&amp;p=section</v>
          </cell>
          <cell r="J722" t="str">
            <v>https://dl.smwcentral.net/10285/JDCGames%20Collaboration.zip</v>
          </cell>
        </row>
        <row r="723">
          <cell r="A723" t="str">
            <v>Jeitor Land: The Lost Lasagna</v>
          </cell>
          <cell r="B723" t="str">
            <v>Jeitor Land: The Lost Lasagna</v>
          </cell>
          <cell r="C723" t="str">
            <v>Hectorpn13</v>
          </cell>
          <cell r="D723">
            <v>35</v>
          </cell>
          <cell r="E723" t="str">
            <v>Casual</v>
          </cell>
          <cell r="F723" t="str">
            <v>Standard</v>
          </cell>
          <cell r="G723">
            <v>45411</v>
          </cell>
          <cell r="H723" t="str">
            <v>37712</v>
          </cell>
          <cell r="I723" t="str">
            <v>https://www.smwcentral.net/?a=details&amp;id=37712&amp;p=section</v>
          </cell>
          <cell r="J723" t="str">
            <v>https://dl.smwcentral.net/37712/Lost%20Lasagna%20DEMO%202.zip</v>
          </cell>
        </row>
        <row r="724">
          <cell r="A724" t="str">
            <v>Jerry's Autowalking Adventure to Rescue His Cheese</v>
          </cell>
          <cell r="B724" t="str">
            <v>Jerry's Autowalking Adventure to Rescue His Cheese</v>
          </cell>
          <cell r="C724" t="str">
            <v>Green Jerry</v>
          </cell>
          <cell r="D724">
            <v>7</v>
          </cell>
          <cell r="E724" t="str">
            <v>Expert</v>
          </cell>
          <cell r="F724" t="str">
            <v>Kaizo</v>
          </cell>
          <cell r="G724">
            <v>45258</v>
          </cell>
          <cell r="H724" t="str">
            <v>35558</v>
          </cell>
          <cell r="I724" t="str">
            <v>https://www.smwcentral.net/?a=details&amp;id=35558&amp;p=section</v>
          </cell>
          <cell r="J724" t="str">
            <v>https://dl.smwcentral.net/35558/Jerry%27s%20Autowalking%20Adventure%20to%20Rescue%20his%20Cheese%20%28V1.0.1%29.zip</v>
          </cell>
        </row>
        <row r="725">
          <cell r="A725" t="str">
            <v>Jerry's Vacation</v>
          </cell>
          <cell r="B725" t="str">
            <v>Jerry's Vacation</v>
          </cell>
          <cell r="C725" t="str">
            <v>Lunar Rico</v>
          </cell>
          <cell r="D725">
            <v>18</v>
          </cell>
          <cell r="E725" t="str">
            <v>Casual</v>
          </cell>
          <cell r="F725" t="str">
            <v>Standard</v>
          </cell>
          <cell r="G725">
            <v>42281</v>
          </cell>
          <cell r="H725" t="str">
            <v>10006</v>
          </cell>
          <cell r="I725" t="str">
            <v>https://www.smwcentral.net/?a=details&amp;id=10006&amp;p=section</v>
          </cell>
          <cell r="J725" t="str">
            <v>https://dl.smwcentral.net/10006/Jerry%27s%20Vacation.zip</v>
          </cell>
        </row>
        <row r="726">
          <cell r="A726" t="str">
            <v>Jigoku Mario World 2</v>
          </cell>
          <cell r="B726" t="str">
            <v>Jigoku Mario World 2</v>
          </cell>
          <cell r="C726" t="str">
            <v>Nowieso</v>
          </cell>
          <cell r="D726">
            <v>17</v>
          </cell>
          <cell r="E726" t="str">
            <v>Master</v>
          </cell>
          <cell r="F726" t="str">
            <v>Kaizo</v>
          </cell>
          <cell r="G726">
            <v>44067</v>
          </cell>
          <cell r="H726" t="str">
            <v>24222</v>
          </cell>
          <cell r="I726" t="str">
            <v>https://www.smwcentral.net/?a=details&amp;id=24222&amp;p=section</v>
          </cell>
          <cell r="J726" t="str">
            <v>https://dl.smwcentral.net/24222/Jigoku%20Mario%20World%202.zip</v>
          </cell>
        </row>
        <row r="727">
          <cell r="A727" t="str">
            <v>Jigoku Mario World 3</v>
          </cell>
          <cell r="B727" t="str">
            <v>Jigoku Mario World 3</v>
          </cell>
          <cell r="C727" t="str">
            <v>Nowieso</v>
          </cell>
          <cell r="D727">
            <v>25</v>
          </cell>
          <cell r="E727" t="str">
            <v>Grandmaster</v>
          </cell>
          <cell r="F727" t="str">
            <v>Kaizo</v>
          </cell>
          <cell r="G727">
            <v>45653</v>
          </cell>
          <cell r="H727" t="str">
            <v>38765</v>
          </cell>
          <cell r="I727" t="str">
            <v>https://www.smwcentral.net/?a=details&amp;id=38765&amp;p=section</v>
          </cell>
          <cell r="J727" t="str">
            <v>https://dl.smwcentral.net/38765/Jigoku%20Mario%20World%203.zip</v>
          </cell>
        </row>
        <row r="728">
          <cell r="A728" t="str">
            <v>Jigoku Mario World Remastered</v>
          </cell>
          <cell r="B728" t="str">
            <v>Jigoku Mario World Remastered</v>
          </cell>
          <cell r="C728" t="str">
            <v>Nowieso</v>
          </cell>
          <cell r="D728">
            <v>24</v>
          </cell>
          <cell r="E728" t="str">
            <v>Expert</v>
          </cell>
          <cell r="F728" t="str">
            <v>Kaizo</v>
          </cell>
          <cell r="G728">
            <v>43679</v>
          </cell>
          <cell r="H728" t="str">
            <v>20730</v>
          </cell>
          <cell r="I728" t="str">
            <v>https://www.smwcentral.net/?a=details&amp;id=20730&amp;p=section</v>
          </cell>
          <cell r="J728" t="str">
            <v>https://dl.smwcentral.net/20730/Jigoku%20Mario%20World%20Remastered.zip</v>
          </cell>
        </row>
        <row r="729">
          <cell r="A729" t="str">
            <v>Jigsaw's Test</v>
          </cell>
          <cell r="B729" t="str">
            <v>Jigsaw's Test</v>
          </cell>
          <cell r="C729" t="str">
            <v>CaseP, Foursword4</v>
          </cell>
          <cell r="D729">
            <v>11</v>
          </cell>
          <cell r="E729" t="str">
            <v>Casual</v>
          </cell>
          <cell r="F729" t="str">
            <v>Standard</v>
          </cell>
          <cell r="G729">
            <v>41451</v>
          </cell>
          <cell r="H729" t="str">
            <v>4962</v>
          </cell>
          <cell r="I729" t="str">
            <v>https://www.smwcentral.net/?a=details&amp;id=4962&amp;p=section</v>
          </cell>
          <cell r="J729" t="str">
            <v>https://dl.smwcentral.net/4962/Jigsaw%27s%20Test.zip</v>
          </cell>
        </row>
        <row r="730">
          <cell r="A730" t="str">
            <v>Jin'Rokh's Adventure</v>
          </cell>
          <cell r="B730" t="str">
            <v>Jin'Rokh's Adventure</v>
          </cell>
          <cell r="C730" t="str">
            <v>JinRokhZenobi</v>
          </cell>
          <cell r="D730">
            <v>20</v>
          </cell>
          <cell r="E730" t="str">
            <v>Advanced</v>
          </cell>
          <cell r="F730" t="str">
            <v>Kaizo</v>
          </cell>
          <cell r="G730">
            <v>45604</v>
          </cell>
          <cell r="H730" t="str">
            <v>38753</v>
          </cell>
          <cell r="I730" t="str">
            <v>https://www.smwcentral.net/?a=details&amp;id=38753&amp;p=section</v>
          </cell>
          <cell r="J730" t="str">
            <v>https://dl.smwcentral.net/38753/JinRokhsAdventure.zip</v>
          </cell>
        </row>
        <row r="731">
          <cell r="A731" t="str">
            <v>JISH</v>
          </cell>
          <cell r="B731" t="str">
            <v>JISH</v>
          </cell>
          <cell r="C731" t="str">
            <v>1mslakingoff</v>
          </cell>
          <cell r="D731">
            <v>62</v>
          </cell>
          <cell r="E731" t="str">
            <v>Intermediate</v>
          </cell>
          <cell r="F731" t="str">
            <v>Kaizo</v>
          </cell>
          <cell r="G731">
            <v>45767</v>
          </cell>
          <cell r="H731" t="str">
            <v>39726</v>
          </cell>
          <cell r="I731" t="str">
            <v>https://www.smwcentral.net/?a=details&amp;id=39726&amp;p=section</v>
          </cell>
          <cell r="J731" t="str">
            <v>https://dl.smwcentral.net/39726/JISH.zip</v>
          </cell>
        </row>
        <row r="732">
          <cell r="A732" t="str">
            <v>Joe Biden for the PS2: Re-Elected</v>
          </cell>
          <cell r="B732" t="str">
            <v>Joe Biden for the PS2: Re-Elected</v>
          </cell>
          <cell r="C732" t="str">
            <v>SubliminalSiren</v>
          </cell>
          <cell r="D732">
            <v>5</v>
          </cell>
          <cell r="E732" t="str">
            <v>Advanced</v>
          </cell>
          <cell r="F732" t="str">
            <v>Kaizo</v>
          </cell>
          <cell r="G732">
            <v>45680</v>
          </cell>
          <cell r="H732" t="str">
            <v>39093</v>
          </cell>
          <cell r="I732" t="str">
            <v>https://www.smwcentral.net/?a=details&amp;id=39093&amp;p=section</v>
          </cell>
          <cell r="J732" t="str">
            <v>https://dl.smwcentral.net/39093/25690-SMW-JoeBidenPS2.zip</v>
          </cell>
        </row>
        <row r="733">
          <cell r="A733" t="str">
            <v>Joeey's Level Collection</v>
          </cell>
          <cell r="B733" t="str">
            <v>Joeey's Level Collection</v>
          </cell>
          <cell r="C733" t="str">
            <v>Joeey</v>
          </cell>
          <cell r="D733">
            <v>6</v>
          </cell>
          <cell r="E733" t="str">
            <v>Casual</v>
          </cell>
          <cell r="F733" t="str">
            <v>Standard</v>
          </cell>
          <cell r="G733">
            <v>45020</v>
          </cell>
          <cell r="H733" t="str">
            <v>33622</v>
          </cell>
          <cell r="I733" t="str">
            <v>https://www.smwcentral.net/?a=details&amp;id=33622&amp;p=section</v>
          </cell>
          <cell r="J733" t="str">
            <v>https://dl.smwcentral.net/33622/Joeey%27s%20Level%20Collection%20-%20Demo%204.zip</v>
          </cell>
        </row>
        <row r="734">
          <cell r="A734" t="str">
            <v>John's Unfunny World - Phase 1</v>
          </cell>
          <cell r="B734" t="str">
            <v>John's Unfunny World - Phase 1</v>
          </cell>
          <cell r="C734" t="str">
            <v>ThePolionMaster</v>
          </cell>
          <cell r="D734">
            <v>4</v>
          </cell>
          <cell r="E734" t="str">
            <v>Intermediate</v>
          </cell>
          <cell r="F734" t="str">
            <v>Standard</v>
          </cell>
          <cell r="G734">
            <v>45095</v>
          </cell>
          <cell r="H734" t="str">
            <v>34098</v>
          </cell>
          <cell r="I734" t="str">
            <v>https://www.smwcentral.net/?a=details&amp;id=34098&amp;p=section</v>
          </cell>
          <cell r="J734" t="str">
            <v>https://dl.smwcentral.net/34098/John%27s%20Unfunny%20World%20-%20Phase%201.zip</v>
          </cell>
        </row>
        <row r="735">
          <cell r="A735" t="str">
            <v>JokerShellOk</v>
          </cell>
          <cell r="B735" t="str">
            <v>JokerShellOk</v>
          </cell>
          <cell r="C735" t="str">
            <v>Nowieso</v>
          </cell>
          <cell r="D735">
            <v>15</v>
          </cell>
          <cell r="E735" t="str">
            <v>Grandmaster</v>
          </cell>
          <cell r="F735" t="str">
            <v>Kaizo</v>
          </cell>
          <cell r="G735">
            <v>45998</v>
          </cell>
          <cell r="H735" t="str">
            <v>41192</v>
          </cell>
          <cell r="I735" t="str">
            <v>https://www.smwcentral.net/?a=details&amp;id=41192&amp;p=section</v>
          </cell>
          <cell r="J735" t="str">
            <v>https://dl.smwcentral.net/41192/JokerShellOk.zip</v>
          </cell>
        </row>
        <row r="736">
          <cell r="A736" t="str">
            <v>Jono Hack</v>
          </cell>
          <cell r="B736" t="str">
            <v>Jono Hack</v>
          </cell>
          <cell r="C736" t="str">
            <v>JonoFeio1</v>
          </cell>
          <cell r="D736">
            <v>4</v>
          </cell>
          <cell r="E736" t="str">
            <v>Intermediate</v>
          </cell>
          <cell r="F736" t="str">
            <v>Standard</v>
          </cell>
          <cell r="G736">
            <v>45616</v>
          </cell>
          <cell r="H736" t="str">
            <v>38785</v>
          </cell>
          <cell r="I736" t="str">
            <v>https://www.smwcentral.net/?a=details&amp;id=38785&amp;p=section</v>
          </cell>
          <cell r="J736" t="str">
            <v>https://dl.smwcentral.net/38785/Jono%20Hack%201.0.0.zip</v>
          </cell>
        </row>
        <row r="737">
          <cell r="A737" t="str">
            <v>Jouhou</v>
          </cell>
          <cell r="B737" t="str">
            <v>Jouhou</v>
          </cell>
          <cell r="C737" t="str">
            <v>LightAligns</v>
          </cell>
          <cell r="D737">
            <v>7</v>
          </cell>
          <cell r="E737" t="str">
            <v>Advanced</v>
          </cell>
          <cell r="F737" t="str">
            <v>Kaizo</v>
          </cell>
          <cell r="G737">
            <v>44655</v>
          </cell>
          <cell r="H737" t="str">
            <v>30147</v>
          </cell>
          <cell r="I737" t="str">
            <v>https://www.smwcentral.net/?a=details&amp;id=30147&amp;p=section</v>
          </cell>
          <cell r="J737" t="str">
            <v>https://dl.smwcentral.net/30147/Jouhou.zip</v>
          </cell>
        </row>
        <row r="738">
          <cell r="A738" t="str">
            <v>Journey To Peak</v>
          </cell>
          <cell r="B738" t="str">
            <v>Journey To Peak</v>
          </cell>
          <cell r="C738" t="str">
            <v>Silver Wind</v>
          </cell>
          <cell r="D738">
            <v>8</v>
          </cell>
          <cell r="E738" t="str">
            <v>Expert</v>
          </cell>
          <cell r="F738" t="str">
            <v>Kaizo</v>
          </cell>
          <cell r="G738">
            <v>45587</v>
          </cell>
          <cell r="H738" t="str">
            <v>38474</v>
          </cell>
          <cell r="I738" t="str">
            <v>https://www.smwcentral.net/?a=details&amp;id=38474&amp;p=section</v>
          </cell>
          <cell r="J738" t="str">
            <v>https://dl.smwcentral.net/38474/Journey%20to%20peak.zip</v>
          </cell>
        </row>
        <row r="739">
          <cell r="A739" t="str">
            <v>JTTMK 3 - Mario and Moonlight's Quest</v>
          </cell>
          <cell r="B739" t="str">
            <v>JTTMK 3 - Mario and Moonlight's Quest</v>
          </cell>
          <cell r="C739" t="str">
            <v>Sayuri</v>
          </cell>
          <cell r="D739">
            <v>35</v>
          </cell>
          <cell r="E739" t="str">
            <v>Casual</v>
          </cell>
          <cell r="F739" t="str">
            <v>Standard</v>
          </cell>
          <cell r="G739">
            <v>43675</v>
          </cell>
          <cell r="H739" t="str">
            <v>20758</v>
          </cell>
          <cell r="I739" t="str">
            <v>https://www.smwcentral.net/?a=details&amp;id=20758&amp;p=section</v>
          </cell>
          <cell r="J739" t="str">
            <v>https://dl.smwcentral.net/20758/JTTMK%203%20v2.0.zip</v>
          </cell>
        </row>
        <row r="740">
          <cell r="A740" t="str">
            <v>JUMP</v>
          </cell>
          <cell r="B740" t="str">
            <v>JUMP</v>
          </cell>
          <cell r="C740" t="str">
            <v>JUMP Team, worldpeace</v>
          </cell>
          <cell r="D740">
            <v>125</v>
          </cell>
          <cell r="E740" t="str">
            <v>Expert</v>
          </cell>
          <cell r="F740" t="str">
            <v>Standard</v>
          </cell>
          <cell r="G740">
            <v>42684</v>
          </cell>
          <cell r="H740" t="str">
            <v>14495</v>
          </cell>
          <cell r="I740" t="str">
            <v>https://www.smwcentral.net/?a=details&amp;id=14495&amp;p=section</v>
          </cell>
          <cell r="J740" t="str">
            <v>https://dl.smwcentral.net/14495/JUMP%20ver1.04.zip</v>
          </cell>
        </row>
        <row r="741">
          <cell r="A741" t="str">
            <v>Jumping Over It with Super Mario</v>
          </cell>
          <cell r="B741" t="str">
            <v>Jumping Over It with Super Mario</v>
          </cell>
          <cell r="C741" t="str">
            <v>TheGremlin</v>
          </cell>
          <cell r="D741">
            <v>3</v>
          </cell>
          <cell r="E741" t="str">
            <v>Expert</v>
          </cell>
          <cell r="F741" t="str">
            <v>Kaizo</v>
          </cell>
          <cell r="G741">
            <v>45618</v>
          </cell>
          <cell r="H741" t="str">
            <v>38777</v>
          </cell>
          <cell r="I741" t="str">
            <v>https://www.smwcentral.net/?a=details&amp;id=38777&amp;p=section</v>
          </cell>
          <cell r="J741" t="str">
            <v>https://dl.smwcentral.net/38777/Jumping%20Over%20It%20With%20Super%20Mario%20v.1.0.zip</v>
          </cell>
        </row>
        <row r="742">
          <cell r="A742" t="str">
            <v>Jumpman Returns</v>
          </cell>
          <cell r="B742" t="str">
            <v>Jumpman Returns</v>
          </cell>
          <cell r="C742" t="str">
            <v>Big Brawler</v>
          </cell>
          <cell r="D742">
            <v>4</v>
          </cell>
          <cell r="E742" t="str">
            <v>Intermediate</v>
          </cell>
          <cell r="F742" t="str">
            <v>Standard</v>
          </cell>
          <cell r="G742">
            <v>42530</v>
          </cell>
          <cell r="H742" t="str">
            <v>13781</v>
          </cell>
          <cell r="I742" t="str">
            <v>https://www.smwcentral.net/?a=details&amp;id=13781&amp;p=section</v>
          </cell>
          <cell r="J742" t="str">
            <v>https://dl.smwcentral.net/13781/Jumpman%20Returns.zip</v>
          </cell>
        </row>
        <row r="743">
          <cell r="A743" t="str">
            <v>Jumps Rhymes and Life</v>
          </cell>
          <cell r="B743" t="str">
            <v>Jumps Rhymes and Life</v>
          </cell>
          <cell r="C743" t="str">
            <v>Abstract</v>
          </cell>
          <cell r="D743">
            <v>25</v>
          </cell>
          <cell r="E743" t="str">
            <v>Master</v>
          </cell>
          <cell r="F743" t="str">
            <v>Kaizo</v>
          </cell>
          <cell r="G743">
            <v>46215</v>
          </cell>
          <cell r="H743" t="str">
            <v>42470</v>
          </cell>
          <cell r="I743" t="str">
            <v>https://www.smwcentral.net/?a=details&amp;id=42470&amp;p=section</v>
          </cell>
          <cell r="J743" t="str">
            <v>https://dl.smwcentral.net/42470/JumpsRhymesLife.zip</v>
          </cell>
        </row>
        <row r="744">
          <cell r="A744" t="str">
            <v>Jumpscare</v>
          </cell>
          <cell r="B744" t="str">
            <v>Jumpscare</v>
          </cell>
          <cell r="C744" t="str">
            <v>Gasterus155</v>
          </cell>
          <cell r="D744">
            <v>12</v>
          </cell>
          <cell r="E744" t="str">
            <v>Master</v>
          </cell>
          <cell r="F744" t="str">
            <v>Kaizo</v>
          </cell>
          <cell r="G744">
            <v>46222</v>
          </cell>
          <cell r="H744" t="str">
            <v>41515</v>
          </cell>
          <cell r="I744" t="str">
            <v>https://www.smwcentral.net/?a=details&amp;id=41515&amp;p=section</v>
          </cell>
          <cell r="J744" t="str">
            <v>https://dl.smwcentral.net/41515/Jumpsc.zip</v>
          </cell>
        </row>
        <row r="745">
          <cell r="A745" t="str">
            <v>JUMP½</v>
          </cell>
          <cell r="B745" t="str">
            <v>JUMP½</v>
          </cell>
          <cell r="C745" t="str">
            <v>JUMP Team, Lazy, Sixcorby, lolyoshi</v>
          </cell>
          <cell r="D745">
            <v>130</v>
          </cell>
          <cell r="E745" t="str">
            <v>Advanced</v>
          </cell>
          <cell r="F745" t="str">
            <v>Standard</v>
          </cell>
          <cell r="G745">
            <v>43578</v>
          </cell>
          <cell r="H745" t="str">
            <v>19720</v>
          </cell>
          <cell r="I745" t="str">
            <v>https://www.smwcentral.net/?a=details&amp;id=19720&amp;p=section</v>
          </cell>
          <cell r="J745" t="str">
            <v>https://dl.smwcentral.net/19720/JUMPhalf_ver1.01.zip</v>
          </cell>
        </row>
        <row r="746">
          <cell r="A746" t="str">
            <v>Just a Normal Quest</v>
          </cell>
          <cell r="B746" t="str">
            <v>Just a Normal Quest</v>
          </cell>
          <cell r="C746" t="str">
            <v>that1bigbossyouhate</v>
          </cell>
          <cell r="D746">
            <v>17</v>
          </cell>
          <cell r="E746" t="str">
            <v>Intermediate</v>
          </cell>
          <cell r="F746" t="str">
            <v>Standard</v>
          </cell>
          <cell r="G746">
            <v>44434</v>
          </cell>
          <cell r="H746" t="str">
            <v>28084</v>
          </cell>
          <cell r="I746" t="str">
            <v>https://www.smwcentral.net/?a=details&amp;id=28084&amp;p=section</v>
          </cell>
          <cell r="J746" t="str">
            <v>https://dl.smwcentral.net/28084/janq%201.6%20%28fixed%29.zip</v>
          </cell>
        </row>
        <row r="747">
          <cell r="A747" t="str">
            <v>Just a Pure Vanilla Super Mario World Hack</v>
          </cell>
          <cell r="B747" t="str">
            <v>Just a Pure Vanilla Super Mario World Hack</v>
          </cell>
          <cell r="C747" t="str">
            <v>DrAnas</v>
          </cell>
          <cell r="D747">
            <v>8</v>
          </cell>
          <cell r="E747" t="str">
            <v>Casual</v>
          </cell>
          <cell r="F747" t="str">
            <v>Standard</v>
          </cell>
          <cell r="G747">
            <v>42896</v>
          </cell>
          <cell r="H747" t="str">
            <v>15656</v>
          </cell>
          <cell r="I747" t="str">
            <v>https://www.smwcentral.net/?a=details&amp;id=15656&amp;p=section</v>
          </cell>
          <cell r="J747" t="str">
            <v>https://dl.smwcentral.net/15656/JAPSMWH.zip</v>
          </cell>
        </row>
        <row r="748">
          <cell r="A748" t="str">
            <v>Just Another Bad Kaizo Hack</v>
          </cell>
          <cell r="B748" t="str">
            <v>Just Another Bad Kaizo Hack</v>
          </cell>
          <cell r="C748" t="str">
            <v>Phobic</v>
          </cell>
          <cell r="D748">
            <v>11</v>
          </cell>
          <cell r="E748" t="str">
            <v>Master</v>
          </cell>
          <cell r="F748" t="str">
            <v>Kaizo</v>
          </cell>
          <cell r="G748">
            <v>44376</v>
          </cell>
          <cell r="H748" t="str">
            <v>27318</v>
          </cell>
          <cell r="I748" t="str">
            <v>https://www.smwcentral.net/?a=details&amp;id=27318&amp;p=section</v>
          </cell>
          <cell r="J748" t="str">
            <v>https://dl.smwcentral.net/27318/Just%20Another%20Bad%20Kaizo%20Hack.zip</v>
          </cell>
        </row>
        <row r="749">
          <cell r="A749" t="str">
            <v>Just Another Mario Hack</v>
          </cell>
          <cell r="B749" t="str">
            <v>Just Another Mario Hack</v>
          </cell>
          <cell r="C749" t="str">
            <v>Juggling Joker</v>
          </cell>
          <cell r="D749">
            <v>7</v>
          </cell>
          <cell r="E749" t="str">
            <v>Intermediate</v>
          </cell>
          <cell r="F749" t="str">
            <v>Standard</v>
          </cell>
          <cell r="G749">
            <v>42217</v>
          </cell>
          <cell r="H749" t="str">
            <v>9843</v>
          </cell>
          <cell r="I749" t="str">
            <v>https://www.smwcentral.net/?a=details&amp;id=9843&amp;p=section</v>
          </cell>
          <cell r="J749" t="str">
            <v>https://dl.smwcentral.net/9843/Just%20Another%20Mario%20Hack.zip</v>
          </cell>
        </row>
        <row r="750">
          <cell r="A750" t="str">
            <v>Just Another Shell Hack</v>
          </cell>
          <cell r="B750" t="str">
            <v>Just Another Shell Hack</v>
          </cell>
          <cell r="C750" t="str">
            <v>ageVerrly</v>
          </cell>
          <cell r="D750">
            <v>10</v>
          </cell>
          <cell r="E750" t="str">
            <v>Master</v>
          </cell>
          <cell r="F750" t="str">
            <v>Kaizo</v>
          </cell>
          <cell r="G750">
            <v>44768</v>
          </cell>
          <cell r="H750" t="str">
            <v>31396</v>
          </cell>
          <cell r="I750" t="str">
            <v>https://www.smwcentral.net/?a=details&amp;id=31396&amp;p=section</v>
          </cell>
          <cell r="J750" t="str">
            <v>https://dl.smwcentral.net/31396/shell.zip</v>
          </cell>
        </row>
        <row r="751">
          <cell r="A751" t="str">
            <v>Just Another SMW Hack</v>
          </cell>
          <cell r="B751" t="str">
            <v>Just Another SMW Hack</v>
          </cell>
          <cell r="C751" t="str">
            <v>TenPoundHammer</v>
          </cell>
          <cell r="D751">
            <v>11</v>
          </cell>
          <cell r="E751" t="str">
            <v>Casual</v>
          </cell>
          <cell r="F751" t="str">
            <v>Standard</v>
          </cell>
          <cell r="G751">
            <v>41645</v>
          </cell>
          <cell r="H751" t="str">
            <v>6050</v>
          </cell>
          <cell r="I751" t="str">
            <v>https://www.smwcentral.net/?a=details&amp;id=6050&amp;p=section</v>
          </cell>
          <cell r="J751" t="str">
            <v>https://dl.smwcentral.net/6050/hack%202%20patch.zip</v>
          </cell>
        </row>
        <row r="752">
          <cell r="A752" t="str">
            <v>Just Blob</v>
          </cell>
          <cell r="B752" t="str">
            <v>Just Blob</v>
          </cell>
          <cell r="C752" t="str">
            <v>TheDutchLuigi</v>
          </cell>
          <cell r="D752">
            <v>6</v>
          </cell>
          <cell r="E752" t="str">
            <v>Newcomer</v>
          </cell>
          <cell r="F752" t="str">
            <v>Standard</v>
          </cell>
          <cell r="G752">
            <v>41525</v>
          </cell>
          <cell r="H752" t="str">
            <v>5492</v>
          </cell>
          <cell r="I752" t="str">
            <v>https://www.smwcentral.net/?a=details&amp;id=5492&amp;p=section</v>
          </cell>
          <cell r="J752" t="str">
            <v>https://dl.smwcentral.net/5492/Just%20Blob.zip</v>
          </cell>
        </row>
        <row r="753">
          <cell r="A753" t="str">
            <v>just like amy; exactly like amy</v>
          </cell>
          <cell r="B753" t="str">
            <v>just like amy; exactly like amy</v>
          </cell>
          <cell r="C753" t="str">
            <v>Sayuri</v>
          </cell>
          <cell r="D753">
            <v>12</v>
          </cell>
          <cell r="E753" t="str">
            <v>Master</v>
          </cell>
          <cell r="F753" t="str">
            <v>Standard, Kaizo</v>
          </cell>
          <cell r="G753">
            <v>46074</v>
          </cell>
          <cell r="H753" t="str">
            <v>41451</v>
          </cell>
          <cell r="I753" t="str">
            <v>https://www.smwcentral.net/?a=details&amp;id=41451&amp;p=section</v>
          </cell>
          <cell r="J753" t="str">
            <v>https://dl.smwcentral.net/41451/just%20like%20amy%3B%20exactly%20like%20amy%20%28v1.01%29.zip</v>
          </cell>
        </row>
        <row r="754">
          <cell r="A754" t="str">
            <v>Just Thanks</v>
          </cell>
          <cell r="B754" t="str">
            <v>Just Thanks</v>
          </cell>
          <cell r="C754" t="str">
            <v>TheMURAmatsu</v>
          </cell>
          <cell r="D754">
            <v>6</v>
          </cell>
          <cell r="E754" t="str">
            <v>Advanced</v>
          </cell>
          <cell r="F754" t="str">
            <v>Kaizo</v>
          </cell>
          <cell r="G754">
            <v>45057</v>
          </cell>
          <cell r="H754" t="str">
            <v>33880</v>
          </cell>
          <cell r="I754" t="str">
            <v>https://www.smwcentral.net/?a=details&amp;id=33880&amp;p=section</v>
          </cell>
          <cell r="J754" t="str">
            <v>https://dl.smwcentral.net/33880/SMW-JustThanks.zip</v>
          </cell>
        </row>
        <row r="755">
          <cell r="A755" t="str">
            <v>Justice for Mario</v>
          </cell>
          <cell r="B755" t="str">
            <v>Justice for Mario</v>
          </cell>
          <cell r="C755" t="str">
            <v>Centipede</v>
          </cell>
          <cell r="D755">
            <v>99</v>
          </cell>
          <cell r="E755" t="str">
            <v>Intermediate</v>
          </cell>
          <cell r="F755" t="str">
            <v>Standard</v>
          </cell>
          <cell r="G755">
            <v>44331</v>
          </cell>
          <cell r="H755" t="str">
            <v>26449</v>
          </cell>
          <cell r="I755" t="str">
            <v>https://www.smwcentral.net/?a=details&amp;id=26449&amp;p=section</v>
          </cell>
          <cell r="J755" t="str">
            <v>https://dl.smwcentral.net/26449/Justice%20for%20Mario.zip</v>
          </cell>
        </row>
        <row r="756">
          <cell r="A756" t="str">
            <v>K-16 - Story of Steel</v>
          </cell>
          <cell r="B756" t="str">
            <v>K-16 - Story of Steel</v>
          </cell>
          <cell r="C756" t="str">
            <v>Eevee</v>
          </cell>
          <cell r="D756">
            <v>25</v>
          </cell>
          <cell r="E756" t="str">
            <v>Intermediate</v>
          </cell>
          <cell r="F756" t="str">
            <v>Standard</v>
          </cell>
          <cell r="G756">
            <v>42014</v>
          </cell>
          <cell r="H756" t="str">
            <v>10495</v>
          </cell>
          <cell r="I756" t="str">
            <v>https://www.smwcentral.net/?a=details&amp;id=10495&amp;p=section</v>
          </cell>
          <cell r="J756" t="str">
            <v>https://dl.smwcentral.net/10495/v1.3.zip</v>
          </cell>
        </row>
        <row r="757">
          <cell r="A757" t="str">
            <v>Kaeru's Unnamed Hack</v>
          </cell>
          <cell r="B757" t="str">
            <v>Kaeru's Unnamed Hack</v>
          </cell>
          <cell r="C757" t="str">
            <v>Kaeru</v>
          </cell>
          <cell r="D757">
            <v>11</v>
          </cell>
          <cell r="E757" t="str">
            <v>Casual</v>
          </cell>
          <cell r="F757" t="str">
            <v>Standard</v>
          </cell>
          <cell r="G757">
            <v>42322</v>
          </cell>
          <cell r="H757" t="str">
            <v>9739</v>
          </cell>
          <cell r="I757" t="str">
            <v>https://www.smwcentral.net/?a=details&amp;id=9739&amp;p=section</v>
          </cell>
          <cell r="J757" t="str">
            <v>https://dl.smwcentral.net/9739/Unnamed.zip</v>
          </cell>
        </row>
        <row r="758">
          <cell r="A758" t="str">
            <v>Kaiden, where's your head at??</v>
          </cell>
          <cell r="B758" t="str">
            <v>Kaiden, where's your head at??</v>
          </cell>
          <cell r="C758" t="str">
            <v>Donut</v>
          </cell>
          <cell r="D758">
            <v>3</v>
          </cell>
          <cell r="E758" t="str">
            <v>Intermediate</v>
          </cell>
          <cell r="F758" t="str">
            <v>Standard</v>
          </cell>
          <cell r="G758">
            <v>44557</v>
          </cell>
          <cell r="H758" t="str">
            <v>28910</v>
          </cell>
          <cell r="I758" t="str">
            <v>https://www.smwcentral.net/?a=details&amp;id=28910&amp;p=section</v>
          </cell>
          <cell r="J758" t="str">
            <v>https://dl.smwcentral.net/28910/kaiden.zip</v>
          </cell>
        </row>
        <row r="759">
          <cell r="A759" t="str">
            <v>Kaiketsoy Mario</v>
          </cell>
          <cell r="B759" t="str">
            <v>Kaiketsoy Mario</v>
          </cell>
          <cell r="C759" t="str">
            <v>Bammcreeper</v>
          </cell>
          <cell r="D759">
            <v>1</v>
          </cell>
          <cell r="E759" t="str">
            <v>Expert</v>
          </cell>
          <cell r="F759" t="str">
            <v>Kaizo</v>
          </cell>
          <cell r="G759">
            <v>41724</v>
          </cell>
          <cell r="H759" t="str">
            <v>6283</v>
          </cell>
          <cell r="I759" t="str">
            <v>https://www.smwcentral.net/?a=details&amp;id=6283&amp;p=section</v>
          </cell>
          <cell r="J759" t="str">
            <v>https://dl.smwcentral.net/6283/kaiketsoy.zip</v>
          </cell>
        </row>
        <row r="760">
          <cell r="A760" t="str">
            <v>Kain's Quest</v>
          </cell>
          <cell r="B760" t="str">
            <v>Kain's Quest</v>
          </cell>
          <cell r="C760" t="str">
            <v>Atma</v>
          </cell>
          <cell r="D760">
            <v>13</v>
          </cell>
          <cell r="E760" t="str">
            <v>Intermediate</v>
          </cell>
          <cell r="F760" t="str">
            <v>Standard</v>
          </cell>
          <cell r="G760">
            <v>42059</v>
          </cell>
          <cell r="H760" t="str">
            <v>9899</v>
          </cell>
          <cell r="I760" t="str">
            <v>https://www.smwcentral.net/?a=details&amp;id=9899&amp;p=section</v>
          </cell>
          <cell r="J760" t="str">
            <v>https://dl.smwcentral.net/9899/Kain%27s%20Quest1.1.zip</v>
          </cell>
        </row>
        <row r="761">
          <cell r="A761" t="str">
            <v>Kaitenzushi</v>
          </cell>
          <cell r="B761" t="str">
            <v>Kaitenzushi</v>
          </cell>
          <cell r="C761" t="str">
            <v>JeepySol</v>
          </cell>
          <cell r="D761">
            <v>10</v>
          </cell>
          <cell r="E761" t="str">
            <v>Expert</v>
          </cell>
          <cell r="F761" t="str">
            <v>Kaizo</v>
          </cell>
          <cell r="G761">
            <v>45799</v>
          </cell>
          <cell r="H761" t="str">
            <v>39746</v>
          </cell>
          <cell r="I761" t="str">
            <v>https://www.smwcentral.net/?a=details&amp;id=39746&amp;p=section</v>
          </cell>
          <cell r="J761" t="str">
            <v>https://dl.smwcentral.net/39746/Kaitenzushi%20v1_1.zip</v>
          </cell>
        </row>
        <row r="762">
          <cell r="A762" t="str">
            <v>Kaizo</v>
          </cell>
          <cell r="B762" t="str">
            <v>Kaizo</v>
          </cell>
          <cell r="C762" t="str">
            <v>Anonymous</v>
          </cell>
          <cell r="D762">
            <v>5</v>
          </cell>
          <cell r="E762" t="str">
            <v>Master</v>
          </cell>
          <cell r="F762" t="str">
            <v>Kaizo</v>
          </cell>
          <cell r="G762">
            <v>45523</v>
          </cell>
          <cell r="H762" t="str">
            <v>38232</v>
          </cell>
          <cell r="I762" t="str">
            <v>https://www.smwcentral.net/?a=details&amp;id=38232&amp;p=section</v>
          </cell>
          <cell r="J762" t="str">
            <v>https://dl.smwcentral.net/38232/Kaizo.zip</v>
          </cell>
        </row>
        <row r="763">
          <cell r="A763" t="str">
            <v>Kaizo 2: The Kaizening</v>
          </cell>
          <cell r="B763" t="str">
            <v>Kaizo 2: The Kaizening</v>
          </cell>
          <cell r="C763" t="str">
            <v>Anonymous</v>
          </cell>
          <cell r="D763">
            <v>5</v>
          </cell>
          <cell r="E763" t="str">
            <v>Master</v>
          </cell>
          <cell r="F763" t="str">
            <v>Kaizo</v>
          </cell>
          <cell r="G763">
            <v>45561</v>
          </cell>
          <cell r="H763" t="str">
            <v>38419</v>
          </cell>
          <cell r="I763" t="str">
            <v>https://www.smwcentral.net/?a=details&amp;id=38419&amp;p=section</v>
          </cell>
          <cell r="J763" t="str">
            <v>https://dl.smwcentral.net/38419/Kaizo%202%20The%20Kaizening.zip</v>
          </cell>
        </row>
        <row r="764">
          <cell r="A764" t="str">
            <v>Kaizo 3 Styled Hack</v>
          </cell>
          <cell r="B764" t="str">
            <v>Kaizo 3 Styled Hack</v>
          </cell>
          <cell r="C764" t="str">
            <v>Picayune</v>
          </cell>
          <cell r="D764">
            <v>10</v>
          </cell>
          <cell r="E764" t="str">
            <v>Master</v>
          </cell>
          <cell r="F764" t="str">
            <v>Kaizo</v>
          </cell>
          <cell r="G764">
            <v>44523</v>
          </cell>
          <cell r="H764" t="str">
            <v>28577</v>
          </cell>
          <cell r="I764" t="str">
            <v>https://www.smwcentral.net/?a=details&amp;id=28577&amp;p=section</v>
          </cell>
          <cell r="J764" t="str">
            <v>https://dl.smwcentral.net/28577/K3SH.zip</v>
          </cell>
        </row>
        <row r="765">
          <cell r="A765" t="str">
            <v>kaizo beats to run quick to - vol. 3</v>
          </cell>
          <cell r="B765" t="str">
            <v>kaizo beats to run quick to - vol. 3</v>
          </cell>
          <cell r="C765" t="str">
            <v>Alex, Blaagon, Fyre150, Hiro-sofT, HmWhyNot, LightAligns, Saela, Spirits, YMM, dansalvato, dtothefourth, margot, shaoshao, snoruntpyro</v>
          </cell>
          <cell r="D765">
            <v>8</v>
          </cell>
          <cell r="E765" t="str">
            <v>Expert</v>
          </cell>
          <cell r="F765" t="str">
            <v>Kaizo</v>
          </cell>
          <cell r="G765">
            <v>45550</v>
          </cell>
          <cell r="H765" t="str">
            <v>38472</v>
          </cell>
          <cell r="I765" t="str">
            <v>https://www.smwcentral.net/?a=details&amp;id=38472&amp;p=section</v>
          </cell>
          <cell r="J765" t="str">
            <v>https://dl.smwcentral.net/38472/Kaizo%20Beats%20vol%203.zip</v>
          </cell>
        </row>
        <row r="766">
          <cell r="A766" t="str">
            <v>Kaizo Breeze</v>
          </cell>
          <cell r="B766" t="str">
            <v>Kaizo Breeze</v>
          </cell>
          <cell r="C766" t="str">
            <v>BielDusty, naBerada</v>
          </cell>
          <cell r="D766">
            <v>12</v>
          </cell>
          <cell r="E766" t="str">
            <v>Casual</v>
          </cell>
          <cell r="F766" t="str">
            <v>Kaizo</v>
          </cell>
          <cell r="G766">
            <v>46222</v>
          </cell>
          <cell r="H766" t="str">
            <v>42670</v>
          </cell>
          <cell r="I766" t="str">
            <v>https://www.smwcentral.net/?a=details&amp;id=42670&amp;p=section</v>
          </cell>
          <cell r="J766" t="str">
            <v>https://dl.smwcentral.net/42670/KaizoBreezev1.1.zip</v>
          </cell>
        </row>
        <row r="767">
          <cell r="A767" t="str">
            <v>Kaizo Consistency</v>
          </cell>
          <cell r="B767" t="str">
            <v>Kaizo Consistency</v>
          </cell>
          <cell r="C767" t="str">
            <v>35TCB77</v>
          </cell>
          <cell r="D767">
            <v>36</v>
          </cell>
          <cell r="E767" t="str">
            <v>Intermediate</v>
          </cell>
          <cell r="F767" t="str">
            <v>Kaizo</v>
          </cell>
          <cell r="G767">
            <v>45777</v>
          </cell>
          <cell r="H767" t="str">
            <v>39791</v>
          </cell>
          <cell r="I767" t="str">
            <v>https://www.smwcentral.net/?a=details&amp;id=39791&amp;p=section</v>
          </cell>
          <cell r="J767" t="str">
            <v>https://dl.smwcentral.net/39791/KCDV.zip</v>
          </cell>
        </row>
        <row r="768">
          <cell r="A768" t="str">
            <v>Kaizo Crisis</v>
          </cell>
          <cell r="B768" t="str">
            <v>Kaizo Crisis</v>
          </cell>
          <cell r="C768" t="str">
            <v>Mithrillionaire</v>
          </cell>
          <cell r="D768">
            <v>5</v>
          </cell>
          <cell r="E768" t="str">
            <v>Master</v>
          </cell>
          <cell r="F768" t="str">
            <v>Kaizo</v>
          </cell>
          <cell r="G768">
            <v>44777</v>
          </cell>
          <cell r="H768" t="str">
            <v>31756</v>
          </cell>
          <cell r="I768" t="str">
            <v>https://www.smwcentral.net/?a=details&amp;id=31756&amp;p=section</v>
          </cell>
          <cell r="J768" t="str">
            <v>https://dl.smwcentral.net/31756/KaizoCrisis.zip</v>
          </cell>
        </row>
        <row r="769">
          <cell r="A769" t="str">
            <v>Kaizo Crisis 2</v>
          </cell>
          <cell r="B769" t="str">
            <v>Kaizo Crisis 2</v>
          </cell>
          <cell r="C769" t="str">
            <v>Mithrillionaire</v>
          </cell>
          <cell r="D769">
            <v>7</v>
          </cell>
          <cell r="E769" t="str">
            <v>Expert</v>
          </cell>
          <cell r="F769" t="str">
            <v>Kaizo</v>
          </cell>
          <cell r="G769">
            <v>45600</v>
          </cell>
          <cell r="H769" t="str">
            <v>38727</v>
          </cell>
          <cell r="I769" t="str">
            <v>https://www.smwcentral.net/?a=details&amp;id=38727&amp;p=section</v>
          </cell>
          <cell r="J769" t="str">
            <v>https://dl.smwcentral.net/38727/Kaizo%20Crisis%202.zip</v>
          </cell>
        </row>
        <row r="770">
          <cell r="A770" t="str">
            <v>Kaizo Dreamland</v>
          </cell>
          <cell r="B770" t="str">
            <v>Kaizo Dreamland</v>
          </cell>
          <cell r="C770" t="str">
            <v>RecToR_24</v>
          </cell>
          <cell r="D770">
            <v>4</v>
          </cell>
          <cell r="E770" t="str">
            <v>Expert</v>
          </cell>
          <cell r="F770" t="str">
            <v>Kaizo</v>
          </cell>
          <cell r="G770">
            <v>44221</v>
          </cell>
          <cell r="H770" t="str">
            <v>26043</v>
          </cell>
          <cell r="I770" t="str">
            <v>https://www.smwcentral.net/?a=details&amp;id=26043&amp;p=section</v>
          </cell>
          <cell r="J770" t="str">
            <v>https://dl.smwcentral.net/26043/KaizoDreamland.zip</v>
          </cell>
        </row>
        <row r="771">
          <cell r="A771" t="str">
            <v>Kaizo Island</v>
          </cell>
          <cell r="B771" t="str">
            <v>Kaizo Island</v>
          </cell>
          <cell r="C771" t="str">
            <v>BrickSMW</v>
          </cell>
          <cell r="D771">
            <v>12</v>
          </cell>
          <cell r="E771" t="str">
            <v>Expert</v>
          </cell>
          <cell r="F771" t="str">
            <v>Kaizo</v>
          </cell>
          <cell r="G771">
            <v>43775</v>
          </cell>
          <cell r="H771" t="str">
            <v>21425</v>
          </cell>
          <cell r="I771" t="str">
            <v>https://www.smwcentral.net/?a=details&amp;id=21425&amp;p=section</v>
          </cell>
          <cell r="J771" t="str">
            <v>https://dl.smwcentral.net/21425/Kaizo%20Island.zip</v>
          </cell>
        </row>
        <row r="772">
          <cell r="A772" t="str">
            <v>Kaizo Kidz</v>
          </cell>
          <cell r="B772" t="str">
            <v>Kaizo Kidz</v>
          </cell>
          <cell r="C772" t="str">
            <v>wulv257</v>
          </cell>
          <cell r="D772">
            <v>10</v>
          </cell>
          <cell r="E772" t="str">
            <v>Intermediate</v>
          </cell>
          <cell r="F772" t="str">
            <v>Kaizo</v>
          </cell>
          <cell r="G772">
            <v>44679</v>
          </cell>
          <cell r="H772" t="str">
            <v>30642</v>
          </cell>
          <cell r="I772" t="str">
            <v>https://www.smwcentral.net/?a=details&amp;id=30642&amp;p=section</v>
          </cell>
          <cell r="J772" t="str">
            <v>https://dl.smwcentral.net/30642/Kaizo%20Kidz%20V1.2.zip</v>
          </cell>
        </row>
        <row r="773">
          <cell r="A773" t="str">
            <v>Kaizo Kong Country</v>
          </cell>
          <cell r="B773" t="str">
            <v>Kaizo Kong Country</v>
          </cell>
          <cell r="C773" t="str">
            <v>oneframejames</v>
          </cell>
          <cell r="D773">
            <v>10</v>
          </cell>
          <cell r="E773" t="str">
            <v>Intermediate</v>
          </cell>
          <cell r="F773" t="str">
            <v>Kaizo</v>
          </cell>
          <cell r="G773">
            <v>44108</v>
          </cell>
          <cell r="H773" t="str">
            <v>24760</v>
          </cell>
          <cell r="I773" t="str">
            <v>https://www.smwcentral.net/?a=details&amp;id=24760&amp;p=section</v>
          </cell>
          <cell r="J773" t="str">
            <v>https://dl.smwcentral.net/24760/Kaizo%20Kong%20Country%20v1.0.bps.zip</v>
          </cell>
        </row>
        <row r="774">
          <cell r="A774" t="str">
            <v>Kaizo Marathon</v>
          </cell>
          <cell r="B774" t="str">
            <v>Kaizo Marathon</v>
          </cell>
          <cell r="C774" t="str">
            <v>NewPointless</v>
          </cell>
          <cell r="D774">
            <v>1</v>
          </cell>
          <cell r="E774" t="str">
            <v>Expert</v>
          </cell>
          <cell r="F774" t="str">
            <v>Kaizo</v>
          </cell>
          <cell r="G774">
            <v>44973</v>
          </cell>
          <cell r="H774" t="str">
            <v>33210</v>
          </cell>
          <cell r="I774" t="str">
            <v>https://www.smwcentral.net/?a=details&amp;id=33210&amp;p=section</v>
          </cell>
          <cell r="J774" t="str">
            <v>https://dl.smwcentral.net/33210/KaizoMarathon1_1.zip</v>
          </cell>
        </row>
        <row r="775">
          <cell r="A775" t="str">
            <v>Kaizo Mario World</v>
          </cell>
          <cell r="B775" t="str">
            <v>Kaizo Mario World</v>
          </cell>
          <cell r="C775" t="str">
            <v>T. Takemoto</v>
          </cell>
          <cell r="D775">
            <v>11</v>
          </cell>
          <cell r="E775" t="str">
            <v>Expert</v>
          </cell>
          <cell r="F775" t="str">
            <v>Kaizo</v>
          </cell>
          <cell r="G775">
            <v>42965</v>
          </cell>
          <cell r="H775" t="str">
            <v>16059</v>
          </cell>
          <cell r="I775" t="str">
            <v>https://www.smwcentral.net/?a=details&amp;id=16059&amp;p=section</v>
          </cell>
          <cell r="J775" t="str">
            <v>https://dl.smwcentral.net/16059/Kaizo%20Mario%20World.zip</v>
          </cell>
        </row>
        <row r="776">
          <cell r="A776" t="str">
            <v>Kaizo Mario World 2</v>
          </cell>
          <cell r="B776" t="str">
            <v>Kaizo Mario World 2</v>
          </cell>
          <cell r="C776" t="str">
            <v>T. Takemoto</v>
          </cell>
          <cell r="D776">
            <v>9</v>
          </cell>
          <cell r="E776" t="str">
            <v>Master</v>
          </cell>
          <cell r="F776" t="str">
            <v>Kaizo</v>
          </cell>
          <cell r="G776">
            <v>42965</v>
          </cell>
          <cell r="H776" t="str">
            <v>16058</v>
          </cell>
          <cell r="I776" t="str">
            <v>https://www.smwcentral.net/?a=details&amp;id=16058&amp;p=section</v>
          </cell>
          <cell r="J776" t="str">
            <v>https://dl.smwcentral.net/16058/Kaizo%20Mario%20World%202.zip</v>
          </cell>
        </row>
        <row r="777">
          <cell r="A777" t="str">
            <v>Kaizo Mario World 3</v>
          </cell>
          <cell r="B777" t="str">
            <v>Kaizo Mario World 3</v>
          </cell>
          <cell r="C777" t="str">
            <v>T. Takemoto</v>
          </cell>
          <cell r="D777">
            <v>12</v>
          </cell>
          <cell r="E777" t="str">
            <v>Grandmaster</v>
          </cell>
          <cell r="F777" t="str">
            <v>Kaizo</v>
          </cell>
          <cell r="G777">
            <v>42965</v>
          </cell>
          <cell r="H777" t="str">
            <v>16060</v>
          </cell>
          <cell r="I777" t="str">
            <v>https://www.smwcentral.net/?a=details&amp;id=16060&amp;p=section</v>
          </cell>
          <cell r="J777" t="str">
            <v>https://dl.smwcentral.net/16060/Kaizo%20Mario%20World%203.zip</v>
          </cell>
        </row>
        <row r="778">
          <cell r="A778" t="str">
            <v>Kaizo no Notam</v>
          </cell>
          <cell r="B778" t="str">
            <v>Kaizo no Notam</v>
          </cell>
          <cell r="C778" t="str">
            <v>cozyduck</v>
          </cell>
          <cell r="D778">
            <v>10</v>
          </cell>
          <cell r="E778" t="str">
            <v>Master</v>
          </cell>
          <cell r="F778" t="str">
            <v>Kaizo</v>
          </cell>
          <cell r="G778">
            <v>46094</v>
          </cell>
          <cell r="H778" t="str">
            <v>41561</v>
          </cell>
          <cell r="I778" t="str">
            <v>https://www.smwcentral.net/?a=details&amp;id=41561&amp;p=section</v>
          </cell>
          <cell r="J778" t="str">
            <v>https://dl.smwcentral.net/41561/Notam.zip</v>
          </cell>
        </row>
        <row r="779">
          <cell r="A779" t="str">
            <v>Kaizo no Yume</v>
          </cell>
          <cell r="B779" t="str">
            <v>Kaizo no Yume</v>
          </cell>
          <cell r="C779" t="str">
            <v>duders</v>
          </cell>
          <cell r="D779">
            <v>22</v>
          </cell>
          <cell r="E779" t="str">
            <v>Expert</v>
          </cell>
          <cell r="F779" t="str">
            <v>Kaizo</v>
          </cell>
          <cell r="G779">
            <v>43569</v>
          </cell>
          <cell r="H779" t="str">
            <v>19584</v>
          </cell>
          <cell r="I779" t="str">
            <v>https://www.smwcentral.net/?a=details&amp;id=19584&amp;p=section</v>
          </cell>
          <cell r="J779" t="str">
            <v>https://dl.smwcentral.net/19584/Kaizo%20no%20Yume%20v1.05.zip</v>
          </cell>
        </row>
        <row r="780">
          <cell r="A780" t="str">
            <v>Kamek and the Shroobs</v>
          </cell>
          <cell r="B780" t="str">
            <v>Kamek and the Shroobs</v>
          </cell>
          <cell r="C780" t="str">
            <v>1339</v>
          </cell>
          <cell r="D780">
            <v>25</v>
          </cell>
          <cell r="E780" t="str">
            <v>Casual</v>
          </cell>
          <cell r="F780" t="str">
            <v>Standard</v>
          </cell>
          <cell r="G780">
            <v>42239</v>
          </cell>
          <cell r="H780" t="str">
            <v>9918</v>
          </cell>
          <cell r="I780" t="str">
            <v>https://www.smwcentral.net/?a=details&amp;id=9918&amp;p=section</v>
          </cell>
          <cell r="J780" t="str">
            <v>https://dl.smwcentral.net/9918/kamek.zip</v>
          </cell>
        </row>
        <row r="781">
          <cell r="A781" t="str">
            <v>Kamek's Island</v>
          </cell>
          <cell r="B781" t="str">
            <v>Kamek's Island</v>
          </cell>
          <cell r="C781" t="str">
            <v>Gamma V</v>
          </cell>
          <cell r="D781">
            <v>82</v>
          </cell>
          <cell r="E781" t="str">
            <v>Casual</v>
          </cell>
          <cell r="F781" t="str">
            <v>Standard</v>
          </cell>
          <cell r="G781">
            <v>42284</v>
          </cell>
          <cell r="H781" t="str">
            <v>12161</v>
          </cell>
          <cell r="I781" t="str">
            <v>https://www.smwcentral.net/?a=details&amp;id=12161&amp;p=section</v>
          </cell>
          <cell r="J781" t="str">
            <v>https://dl.smwcentral.net/12161/Kamek%27s%20Island%201.7.zip</v>
          </cell>
        </row>
        <row r="782">
          <cell r="A782" t="str">
            <v>Kamek's Revenge</v>
          </cell>
          <cell r="B782" t="str">
            <v>Kamek's Revenge</v>
          </cell>
          <cell r="C782" t="str">
            <v>PorygonPOW</v>
          </cell>
          <cell r="D782">
            <v>10</v>
          </cell>
          <cell r="E782" t="str">
            <v>Casual</v>
          </cell>
          <cell r="F782" t="str">
            <v>Standard</v>
          </cell>
          <cell r="G782">
            <v>42349</v>
          </cell>
          <cell r="H782" t="str">
            <v>12812</v>
          </cell>
          <cell r="I782" t="str">
            <v>https://www.smwcentral.net/?a=details&amp;id=12812&amp;p=section</v>
          </cell>
          <cell r="J782" t="str">
            <v>https://dl.smwcentral.net/12812/Kamek%27s%20Revenge.zip</v>
          </cell>
        </row>
        <row r="783">
          <cell r="A783" t="str">
            <v>Kamikaze</v>
          </cell>
          <cell r="B783" t="str">
            <v>Kamikaze</v>
          </cell>
          <cell r="C783" t="str">
            <v>obiet</v>
          </cell>
          <cell r="D783">
            <v>28</v>
          </cell>
          <cell r="E783" t="str">
            <v>Advanced</v>
          </cell>
          <cell r="F783" t="str">
            <v>Kaizo</v>
          </cell>
          <cell r="G783">
            <v>45233</v>
          </cell>
          <cell r="H783" t="str">
            <v>35278</v>
          </cell>
          <cell r="I783" t="str">
            <v>https://www.smwcentral.net/?a=details&amp;id=35278&amp;p=section</v>
          </cell>
          <cell r="J783" t="str">
            <v>https://dl.smwcentral.net/35278/kamikaze.zip</v>
          </cell>
        </row>
        <row r="784">
          <cell r="A784" t="str">
            <v>Kaos Islands</v>
          </cell>
          <cell r="B784" t="str">
            <v>Kaos Islands</v>
          </cell>
          <cell r="C784" t="str">
            <v>xIque</v>
          </cell>
          <cell r="D784">
            <v>42</v>
          </cell>
          <cell r="E784" t="str">
            <v>Intermediate</v>
          </cell>
          <cell r="F784" t="str">
            <v>Standard</v>
          </cell>
          <cell r="G784">
            <v>41517</v>
          </cell>
          <cell r="H784" t="str">
            <v>4959</v>
          </cell>
          <cell r="I784" t="str">
            <v>https://www.smwcentral.net/?a=details&amp;id=4959&amp;p=section</v>
          </cell>
          <cell r="J784" t="str">
            <v>https://dl.smwcentral.net/4959/Kaos%20Islands.zip</v>
          </cell>
        </row>
        <row r="785">
          <cell r="A785" t="str">
            <v>Karma</v>
          </cell>
          <cell r="B785" t="str">
            <v>Karma</v>
          </cell>
          <cell r="C785" t="str">
            <v>Saela</v>
          </cell>
          <cell r="D785">
            <v>13</v>
          </cell>
          <cell r="E785" t="str">
            <v>Expert</v>
          </cell>
          <cell r="F785" t="str">
            <v>Kaizo</v>
          </cell>
          <cell r="G785">
            <v>46123</v>
          </cell>
          <cell r="H785" t="str">
            <v>42143</v>
          </cell>
          <cell r="I785" t="str">
            <v>https://www.smwcentral.net/?a=details&amp;id=42143&amp;p=section</v>
          </cell>
          <cell r="J785" t="str">
            <v>https://dl.smwcentral.net/42143/Karma.zip</v>
          </cell>
        </row>
        <row r="786">
          <cell r="A786" t="str">
            <v>Karoshi Mario</v>
          </cell>
          <cell r="B786" t="str">
            <v>Karoshi Mario</v>
          </cell>
          <cell r="C786" t="str">
            <v>HuFlungDu</v>
          </cell>
          <cell r="D786">
            <v>35</v>
          </cell>
          <cell r="E786" t="str">
            <v>Casual</v>
          </cell>
          <cell r="F786" t="str">
            <v>Standard</v>
          </cell>
          <cell r="G786">
            <v>42057</v>
          </cell>
          <cell r="H786" t="str">
            <v>9980</v>
          </cell>
          <cell r="I786" t="str">
            <v>https://www.smwcentral.net/?a=details&amp;id=9980&amp;p=section</v>
          </cell>
          <cell r="J786" t="str">
            <v>https://dl.smwcentral.net/9980/KaroshiMario.zip</v>
          </cell>
        </row>
        <row r="787">
          <cell r="A787" t="str">
            <v>KawaMarioWorld</v>
          </cell>
          <cell r="B787" t="str">
            <v>KawaMarioWorld</v>
          </cell>
          <cell r="C787" t="str">
            <v>ram.heroe</v>
          </cell>
          <cell r="D787">
            <v>13</v>
          </cell>
          <cell r="E787" t="str">
            <v>Expert</v>
          </cell>
          <cell r="F787" t="str">
            <v>Kaizo</v>
          </cell>
          <cell r="G787">
            <v>44022</v>
          </cell>
          <cell r="H787" t="str">
            <v>23041</v>
          </cell>
          <cell r="I787" t="str">
            <v>https://www.smwcentral.net/?a=details&amp;id=23041&amp;p=section</v>
          </cell>
          <cell r="J787" t="str">
            <v>https://dl.smwcentral.net/23041/KawaMarioWorld.zip</v>
          </cell>
        </row>
        <row r="788">
          <cell r="A788" t="str">
            <v>Kazue World</v>
          </cell>
          <cell r="B788" t="str">
            <v>Kazue World</v>
          </cell>
          <cell r="C788" t="str">
            <v>RicardoDeMelo</v>
          </cell>
          <cell r="D788">
            <v>12</v>
          </cell>
          <cell r="E788" t="str">
            <v>Advanced</v>
          </cell>
          <cell r="F788" t="str">
            <v>Kaizo</v>
          </cell>
          <cell r="G788">
            <v>44925</v>
          </cell>
          <cell r="H788" t="str">
            <v>32837</v>
          </cell>
          <cell r="I788" t="str">
            <v>https://www.smwcentral.net/?a=details&amp;id=32837&amp;p=section</v>
          </cell>
          <cell r="J788" t="str">
            <v>https://dl.smwcentral.net/32837/Kazue%20World.zip</v>
          </cell>
        </row>
        <row r="789">
          <cell r="A789" t="str">
            <v>Kazue World 2</v>
          </cell>
          <cell r="B789" t="str">
            <v>Kazue World 2</v>
          </cell>
          <cell r="C789" t="str">
            <v>Eryck, RicardoDeMelo</v>
          </cell>
          <cell r="D789">
            <v>15</v>
          </cell>
          <cell r="E789" t="str">
            <v>Expert</v>
          </cell>
          <cell r="F789" t="str">
            <v>Kaizo</v>
          </cell>
          <cell r="G789">
            <v>45335</v>
          </cell>
          <cell r="H789" t="str">
            <v>36844</v>
          </cell>
          <cell r="I789" t="str">
            <v>https://www.smwcentral.net/?a=details&amp;id=36844&amp;p=section</v>
          </cell>
          <cell r="J789" t="str">
            <v>https://dl.smwcentral.net/36844/Kazue%20World%202.zip</v>
          </cell>
        </row>
        <row r="790">
          <cell r="A790" t="str">
            <v>Kekcroc DASH!</v>
          </cell>
          <cell r="B790" t="str">
            <v>Kekcroc DASH!</v>
          </cell>
          <cell r="C790" t="str">
            <v>Knucklesfan</v>
          </cell>
          <cell r="D790">
            <v>5</v>
          </cell>
          <cell r="E790" t="str">
            <v>Advanced</v>
          </cell>
          <cell r="F790" t="str">
            <v>Standard</v>
          </cell>
          <cell r="G790">
            <v>43800</v>
          </cell>
          <cell r="H790" t="str">
            <v>21546</v>
          </cell>
          <cell r="I790" t="str">
            <v>https://www.smwcentral.net/?a=details&amp;id=21546&amp;p=section</v>
          </cell>
          <cell r="J790" t="str">
            <v>https://dl.smwcentral.net/21546/patch.zip</v>
          </cell>
        </row>
        <row r="791">
          <cell r="A791" t="str">
            <v>Keratin Valley</v>
          </cell>
          <cell r="B791" t="str">
            <v>Keratin Valley</v>
          </cell>
          <cell r="C791" t="str">
            <v>revolug</v>
          </cell>
          <cell r="D791">
            <v>4</v>
          </cell>
          <cell r="E791" t="str">
            <v>Grandmaster</v>
          </cell>
          <cell r="F791" t="str">
            <v>Kaizo</v>
          </cell>
          <cell r="G791">
            <v>45551</v>
          </cell>
          <cell r="H791" t="str">
            <v>38338</v>
          </cell>
          <cell r="I791" t="str">
            <v>https://www.smwcentral.net/?a=details&amp;id=38338&amp;p=section</v>
          </cell>
          <cell r="J791" t="str">
            <v>https://dl.smwcentral.net/38338/Keratin%20Valley%201.3.zip</v>
          </cell>
        </row>
        <row r="792">
          <cell r="A792" t="str">
            <v>Ketchup Adventure</v>
          </cell>
          <cell r="B792" t="str">
            <v>Ketchup Adventure</v>
          </cell>
          <cell r="C792" t="str">
            <v>mockingod</v>
          </cell>
          <cell r="D792">
            <v>1</v>
          </cell>
          <cell r="E792" t="str">
            <v>Casual</v>
          </cell>
          <cell r="F792" t="str">
            <v>Standard</v>
          </cell>
          <cell r="G792">
            <v>42003</v>
          </cell>
          <cell r="H792" t="str">
            <v>10113</v>
          </cell>
          <cell r="I792" t="str">
            <v>https://www.smwcentral.net/?a=details&amp;id=10113&amp;p=section</v>
          </cell>
          <cell r="J792" t="str">
            <v>https://dl.smwcentral.net/10113/KetchupAdventure.zip</v>
          </cell>
        </row>
        <row r="793">
          <cell r="A793" t="str">
            <v>Kibeth Takes a Walk</v>
          </cell>
          <cell r="B793" t="str">
            <v>Kibeth Takes a Walk</v>
          </cell>
          <cell r="C793" t="str">
            <v>bsolt</v>
          </cell>
          <cell r="D793">
            <v>11</v>
          </cell>
          <cell r="E793" t="str">
            <v>Advanced</v>
          </cell>
          <cell r="F793" t="str">
            <v>Kaizo</v>
          </cell>
          <cell r="G793">
            <v>44214</v>
          </cell>
          <cell r="H793" t="str">
            <v>25929</v>
          </cell>
          <cell r="I793" t="str">
            <v>https://www.smwcentral.net/?a=details&amp;id=25929&amp;p=section</v>
          </cell>
          <cell r="J793" t="str">
            <v>https://dl.smwcentral.net/25929/KTaW.zip</v>
          </cell>
        </row>
        <row r="794">
          <cell r="A794" t="str">
            <v>Kid Adventure</v>
          </cell>
          <cell r="B794" t="str">
            <v>Kid Adventure</v>
          </cell>
          <cell r="C794" t="str">
            <v>Lunartoad</v>
          </cell>
          <cell r="D794">
            <v>6</v>
          </cell>
          <cell r="E794" t="str">
            <v>Intermediate</v>
          </cell>
          <cell r="F794" t="str">
            <v>Standard</v>
          </cell>
          <cell r="G794">
            <v>42176</v>
          </cell>
          <cell r="H794" t="str">
            <v>9755</v>
          </cell>
          <cell r="I794" t="str">
            <v>https://www.smwcentral.net/?a=details&amp;id=9755&amp;p=section</v>
          </cell>
          <cell r="J794" t="str">
            <v>https://dl.smwcentral.net/9755/Kid%20Adventure%20%28English%20version%29.zip</v>
          </cell>
        </row>
        <row r="795">
          <cell r="A795" t="str">
            <v>Kid Adventure 2: Biza Strikes Back</v>
          </cell>
          <cell r="B795" t="str">
            <v>Kid Adventure 2: Biza Strikes Back</v>
          </cell>
          <cell r="C795" t="str">
            <v>Lunartoad</v>
          </cell>
          <cell r="D795">
            <v>6</v>
          </cell>
          <cell r="E795" t="str">
            <v>Casual</v>
          </cell>
          <cell r="F795" t="str">
            <v>Standard</v>
          </cell>
          <cell r="G795">
            <v>41566</v>
          </cell>
          <cell r="H795" t="str">
            <v>5184</v>
          </cell>
          <cell r="I795" t="str">
            <v>https://www.smwcentral.net/?a=details&amp;id=5184&amp;p=section</v>
          </cell>
          <cell r="J795" t="str">
            <v>https://dl.smwcentral.net/5184/Kid%20Adventure%202%20%28English%29.zip</v>
          </cell>
        </row>
        <row r="796">
          <cell r="A796" t="str">
            <v>Kid Adventure 3: The Will of Sakito</v>
          </cell>
          <cell r="B796" t="str">
            <v>Kid Adventure 3: The Will of Sakito</v>
          </cell>
          <cell r="C796" t="str">
            <v>Lunartoad</v>
          </cell>
          <cell r="D796">
            <v>32</v>
          </cell>
          <cell r="E796" t="str">
            <v>Casual</v>
          </cell>
          <cell r="F796" t="str">
            <v>Standard</v>
          </cell>
          <cell r="G796">
            <v>42176</v>
          </cell>
          <cell r="H796" t="str">
            <v>9862</v>
          </cell>
          <cell r="I796" t="str">
            <v>https://www.smwcentral.net/?a=details&amp;id=9862&amp;p=section</v>
          </cell>
          <cell r="J796" t="str">
            <v>https://dl.smwcentral.net/9862/Kid%20Adventure%203%20%28English%20version%29.zip</v>
          </cell>
        </row>
        <row r="797">
          <cell r="A797" t="str">
            <v>Kid Adventure 4: Kid Xtreme</v>
          </cell>
          <cell r="B797" t="str">
            <v>Kid Adventure 4: Kid Xtreme</v>
          </cell>
          <cell r="C797" t="str">
            <v>Lunartoad</v>
          </cell>
          <cell r="D797">
            <v>13</v>
          </cell>
          <cell r="E797" t="str">
            <v>Intermediate</v>
          </cell>
          <cell r="F797" t="str">
            <v>Standard</v>
          </cell>
          <cell r="G797">
            <v>42176</v>
          </cell>
          <cell r="H797" t="str">
            <v>10114</v>
          </cell>
          <cell r="I797" t="str">
            <v>https://www.smwcentral.net/?a=details&amp;id=10114&amp;p=section</v>
          </cell>
          <cell r="J797" t="str">
            <v>https://dl.smwcentral.net/10114/Kax.zip</v>
          </cell>
        </row>
        <row r="798">
          <cell r="A798" t="str">
            <v>Kid Adventure 5: Amazing Kid</v>
          </cell>
          <cell r="B798" t="str">
            <v>Kid Adventure 5: Amazing Kid</v>
          </cell>
          <cell r="C798" t="str">
            <v>Lunartoad</v>
          </cell>
          <cell r="D798">
            <v>11</v>
          </cell>
          <cell r="E798" t="str">
            <v>Newcomer</v>
          </cell>
          <cell r="F798" t="str">
            <v>Standard</v>
          </cell>
          <cell r="G798">
            <v>41557</v>
          </cell>
          <cell r="H798" t="str">
            <v>5604</v>
          </cell>
          <cell r="I798" t="str">
            <v>https://www.smwcentral.net/?a=details&amp;id=5604&amp;p=section</v>
          </cell>
          <cell r="J798" t="str">
            <v>https://dl.smwcentral.net/5604/Amazing%20Kid%20demo1.zip</v>
          </cell>
        </row>
        <row r="799">
          <cell r="A799" t="str">
            <v>Kill Luigi</v>
          </cell>
          <cell r="B799" t="str">
            <v>Kill Luigi</v>
          </cell>
          <cell r="C799" t="str">
            <v>Overcomon7</v>
          </cell>
          <cell r="D799">
            <v>27</v>
          </cell>
          <cell r="E799" t="str">
            <v>Expert</v>
          </cell>
          <cell r="F799" t="str">
            <v>Kaizo</v>
          </cell>
          <cell r="G799">
            <v>44291</v>
          </cell>
          <cell r="H799" t="str">
            <v>26517</v>
          </cell>
          <cell r="I799" t="str">
            <v>https://www.smwcentral.net/?a=details&amp;id=26517&amp;p=section</v>
          </cell>
          <cell r="J799" t="str">
            <v>https://dl.smwcentral.net/26517/KillLuigi1.0.zip</v>
          </cell>
        </row>
        <row r="800">
          <cell r="A800" t="str">
            <v>Kings Of Kuso</v>
          </cell>
          <cell r="B800" t="str">
            <v>Kings Of Kuso</v>
          </cell>
          <cell r="C800" t="str">
            <v>kurtistrydiz</v>
          </cell>
          <cell r="D800">
            <v>25</v>
          </cell>
          <cell r="E800" t="str">
            <v>Grandmaster</v>
          </cell>
          <cell r="F800" t="str">
            <v>Kaizo</v>
          </cell>
          <cell r="G800">
            <v>44956</v>
          </cell>
          <cell r="H800" t="str">
            <v>33016</v>
          </cell>
          <cell r="I800" t="str">
            <v>https://www.smwcentral.net/?a=details&amp;id=33016&amp;p=section</v>
          </cell>
          <cell r="J800" t="str">
            <v>https://dl.smwcentral.net/33016/KOK.zip</v>
          </cell>
        </row>
        <row r="801">
          <cell r="A801" t="str">
            <v>Kink's Awakening</v>
          </cell>
          <cell r="B801" t="str">
            <v>Kink's Awakening</v>
          </cell>
          <cell r="C801" t="str">
            <v>41681</v>
          </cell>
          <cell r="D801">
            <v>10</v>
          </cell>
          <cell r="E801" t="str">
            <v>Expert</v>
          </cell>
          <cell r="F801" t="str">
            <v>Kaizo</v>
          </cell>
          <cell r="G801">
            <v>44361</v>
          </cell>
          <cell r="H801" t="str">
            <v>27275</v>
          </cell>
          <cell r="I801" t="str">
            <v>https://www.smwcentral.net/?a=details&amp;id=27275&amp;p=section</v>
          </cell>
          <cell r="J801" t="str">
            <v>https://dl.smwcentral.net/27275/KinksAwakening.zip</v>
          </cell>
        </row>
        <row r="802">
          <cell r="A802" t="str">
            <v>Knuckles Saves Christmas</v>
          </cell>
          <cell r="B802" t="str">
            <v>Knuckles Saves Christmas</v>
          </cell>
          <cell r="C802" t="str">
            <v>sholmes</v>
          </cell>
          <cell r="D802">
            <v>16</v>
          </cell>
          <cell r="E802" t="str">
            <v>Advanced</v>
          </cell>
          <cell r="F802" t="str">
            <v>Standard</v>
          </cell>
          <cell r="G802">
            <v>45730</v>
          </cell>
          <cell r="H802" t="str">
            <v>39426</v>
          </cell>
          <cell r="I802" t="str">
            <v>https://www.smwcentral.net/?a=details&amp;id=39426&amp;p=section</v>
          </cell>
          <cell r="J802" t="str">
            <v>https://dl.smwcentral.net/39426/Knuckles%20V2.zip</v>
          </cell>
        </row>
        <row r="803">
          <cell r="A803" t="str">
            <v>Kogarashi Mario World</v>
          </cell>
          <cell r="B803" t="str">
            <v>Kogarashi Mario World</v>
          </cell>
          <cell r="C803" t="str">
            <v>HLXY</v>
          </cell>
          <cell r="D803">
            <v>29</v>
          </cell>
          <cell r="E803" t="str">
            <v>Expert</v>
          </cell>
          <cell r="F803" t="str">
            <v>Kaizo</v>
          </cell>
          <cell r="G803">
            <v>43446</v>
          </cell>
          <cell r="H803" t="str">
            <v>18523</v>
          </cell>
          <cell r="I803" t="str">
            <v>https://www.smwcentral.net/?a=details&amp;id=18523&amp;p=section</v>
          </cell>
          <cell r="J803" t="str">
            <v>https://dl.smwcentral.net/18523/Kogarashi%20Mario%20World.zip</v>
          </cell>
        </row>
        <row r="804">
          <cell r="A804" t="str">
            <v>Konk World</v>
          </cell>
          <cell r="B804" t="str">
            <v>Konk World</v>
          </cell>
          <cell r="C804" t="str">
            <v>TheMURAmatsu</v>
          </cell>
          <cell r="D804">
            <v>9</v>
          </cell>
          <cell r="E804" t="str">
            <v>Expert</v>
          </cell>
          <cell r="F804" t="str">
            <v>Kaizo</v>
          </cell>
          <cell r="G804">
            <v>44007</v>
          </cell>
          <cell r="H804" t="str">
            <v>23425</v>
          </cell>
          <cell r="I804" t="str">
            <v>https://www.smwcentral.net/?a=details&amp;id=23425&amp;p=section</v>
          </cell>
          <cell r="J804" t="str">
            <v>https://dl.smwcentral.net/23425/KonkWorld.zip</v>
          </cell>
        </row>
        <row r="805">
          <cell r="A805" t="str">
            <v>Koopa Castle: The Escape</v>
          </cell>
          <cell r="B805" t="str">
            <v>Koopa Castle: The Escape</v>
          </cell>
          <cell r="C805" t="str">
            <v>Cobaltergeist</v>
          </cell>
          <cell r="D805">
            <v>19</v>
          </cell>
          <cell r="E805" t="str">
            <v>Casual</v>
          </cell>
          <cell r="F805" t="str">
            <v>Standard</v>
          </cell>
          <cell r="G805">
            <v>42238</v>
          </cell>
          <cell r="H805" t="str">
            <v>9903</v>
          </cell>
          <cell r="I805" t="str">
            <v>https://www.smwcentral.net/?a=details&amp;id=9903&amp;p=section</v>
          </cell>
          <cell r="J805" t="str">
            <v>https://dl.smwcentral.net/9903/Koopa%20Castle%20Demo%201.zip</v>
          </cell>
        </row>
        <row r="806">
          <cell r="A806" t="str">
            <v>Koopa Hopper's Delight</v>
          </cell>
          <cell r="B806" t="str">
            <v>Koopa Hopper's Delight</v>
          </cell>
          <cell r="C806" t="str">
            <v>gabesoranges</v>
          </cell>
          <cell r="D806">
            <v>13</v>
          </cell>
          <cell r="E806" t="str">
            <v>Advanced</v>
          </cell>
          <cell r="F806" t="str">
            <v>Kaizo</v>
          </cell>
          <cell r="G806">
            <v>45849</v>
          </cell>
          <cell r="H806" t="str">
            <v>40054</v>
          </cell>
          <cell r="I806" t="str">
            <v>https://www.smwcentral.net/?a=details&amp;id=40054&amp;p=section</v>
          </cell>
          <cell r="J806" t="str">
            <v>https://dl.smwcentral.net/40054/Koopa%20Hoppers%20Delight%201.1.zip</v>
          </cell>
        </row>
        <row r="807">
          <cell r="A807" t="str">
            <v>Korosu Mario World</v>
          </cell>
          <cell r="B807" t="str">
            <v>Korosu Mario World</v>
          </cell>
          <cell r="C807" t="str">
            <v>ChrisG___</v>
          </cell>
          <cell r="D807">
            <v>17</v>
          </cell>
          <cell r="E807" t="str">
            <v>Advanced</v>
          </cell>
          <cell r="F807" t="str">
            <v>Kaizo</v>
          </cell>
          <cell r="G807">
            <v>42784</v>
          </cell>
          <cell r="H807" t="str">
            <v>15195</v>
          </cell>
          <cell r="I807" t="str">
            <v>https://www.smwcentral.net/?a=details&amp;id=15195&amp;p=section</v>
          </cell>
          <cell r="J807" t="str">
            <v>https://dl.smwcentral.net/15195/Korosu%20Mario%20World%201.4.zip</v>
          </cell>
        </row>
        <row r="808">
          <cell r="A808" t="str">
            <v>Korosu Mario World 2</v>
          </cell>
          <cell r="B808" t="str">
            <v>Korosu Mario World 2</v>
          </cell>
          <cell r="C808" t="str">
            <v>ChrisG___</v>
          </cell>
          <cell r="D808">
            <v>21</v>
          </cell>
          <cell r="E808" t="str">
            <v>Expert</v>
          </cell>
          <cell r="F808" t="str">
            <v>Kaizo</v>
          </cell>
          <cell r="G808">
            <v>43368</v>
          </cell>
          <cell r="H808" t="str">
            <v>18203</v>
          </cell>
          <cell r="I808" t="str">
            <v>https://www.smwcentral.net/?a=details&amp;id=18203&amp;p=section</v>
          </cell>
          <cell r="J808" t="str">
            <v>https://dl.smwcentral.net/18203/Korosu%20Mario%20World%202.41.zip</v>
          </cell>
        </row>
        <row r="809">
          <cell r="A809" t="str">
            <v>KR World</v>
          </cell>
          <cell r="B809" t="str">
            <v>KR World</v>
          </cell>
          <cell r="C809" t="str">
            <v>Kaique Jesus, RenanSV</v>
          </cell>
          <cell r="D809">
            <v>9</v>
          </cell>
          <cell r="E809" t="str">
            <v>Advanced</v>
          </cell>
          <cell r="F809" t="str">
            <v>Kaizo</v>
          </cell>
          <cell r="G809">
            <v>45031</v>
          </cell>
          <cell r="H809" t="str">
            <v>33726</v>
          </cell>
          <cell r="I809" t="str">
            <v>https://www.smwcentral.net/?a=details&amp;id=33726&amp;p=section</v>
          </cell>
          <cell r="J809" t="str">
            <v>https://dl.smwcentral.net/33726/KR%20World.zip</v>
          </cell>
        </row>
        <row r="810">
          <cell r="A810" t="str">
            <v>Krabs Test</v>
          </cell>
          <cell r="B810" t="str">
            <v>Krabs Test</v>
          </cell>
          <cell r="C810" t="str">
            <v>Atomic-Citrus</v>
          </cell>
          <cell r="D810">
            <v>6</v>
          </cell>
          <cell r="E810" t="str">
            <v>Expert</v>
          </cell>
          <cell r="F810" t="str">
            <v>Kaizo</v>
          </cell>
          <cell r="G810">
            <v>43797</v>
          </cell>
          <cell r="H810" t="str">
            <v>21542</v>
          </cell>
          <cell r="I810" t="str">
            <v>https://www.smwcentral.net/?a=details&amp;id=21542&amp;p=section</v>
          </cell>
          <cell r="J810" t="str">
            <v>https://dl.smwcentral.net/21542/SPONGEBOB%20ME%20BOY.zip</v>
          </cell>
        </row>
        <row r="811">
          <cell r="A811" t="str">
            <v>Krack The Hack</v>
          </cell>
          <cell r="B811" t="str">
            <v>Krack The Hack</v>
          </cell>
          <cell r="C811" t="str">
            <v>Daizo Dee Von, Mellonpizza</v>
          </cell>
          <cell r="D811">
            <v>14</v>
          </cell>
          <cell r="E811" t="str">
            <v>Intermediate</v>
          </cell>
          <cell r="F811" t="str">
            <v>Standard</v>
          </cell>
          <cell r="G811">
            <v>43705</v>
          </cell>
          <cell r="H811" t="str">
            <v>20900</v>
          </cell>
          <cell r="I811" t="str">
            <v>https://www.smwcentral.net/?a=details&amp;id=20900&amp;p=section</v>
          </cell>
          <cell r="J811" t="str">
            <v>https://dl.smwcentral.net/20900/Krack%20The%20Hack.zip</v>
          </cell>
        </row>
        <row r="812">
          <cell r="A812" t="str">
            <v>Krack's Kafe: Because They Kicked Me Out!</v>
          </cell>
          <cell r="B812" t="str">
            <v>Krack's Kafe: Because They Kicked Me Out!</v>
          </cell>
          <cell r="C812" t="str">
            <v>ChaseNScooter, Daizo Dee Von, EvilGuy0613, Jamie, amhunter</v>
          </cell>
          <cell r="D812">
            <v>1</v>
          </cell>
          <cell r="E812" t="str">
            <v>Advanced</v>
          </cell>
          <cell r="F812" t="str">
            <v>Standard</v>
          </cell>
          <cell r="G812">
            <v>44781</v>
          </cell>
          <cell r="H812" t="str">
            <v>31405</v>
          </cell>
          <cell r="I812" t="str">
            <v>https://www.smwcentral.net/?a=details&amp;id=31405&amp;p=section</v>
          </cell>
          <cell r="J812" t="str">
            <v>https://dl.smwcentral.net/31405/Krack%27s%20Kafe%20-%20Because%20They%20Kicked%20Me%20Out%21%20v1.0.2d.zip</v>
          </cell>
        </row>
        <row r="813">
          <cell r="A813" t="str">
            <v>Krefeld Kaizo Relay Race 2025</v>
          </cell>
          <cell r="B813" t="str">
            <v>Krefeld Kaizo Relay Race 2025</v>
          </cell>
          <cell r="C813" t="str">
            <v>JinRokhZenobi, Justepic, Saphros, Spedinja, neidoodle</v>
          </cell>
          <cell r="D813">
            <v>5</v>
          </cell>
          <cell r="E813" t="str">
            <v>Expert</v>
          </cell>
          <cell r="F813" t="str">
            <v>Kaizo</v>
          </cell>
          <cell r="G813">
            <v>45788</v>
          </cell>
          <cell r="H813" t="str">
            <v>39813</v>
          </cell>
          <cell r="I813" t="str">
            <v>https://www.smwcentral.net/?a=details&amp;id=39813&amp;p=section</v>
          </cell>
          <cell r="J813" t="str">
            <v>https://dl.smwcentral.net/39813/KrefeldKaizoRelayRace2025.zip</v>
          </cell>
        </row>
        <row r="814">
          <cell r="A814" t="str">
            <v>Kris' Adventure</v>
          </cell>
          <cell r="B814" t="str">
            <v>Kris' Adventure</v>
          </cell>
          <cell r="C814" t="str">
            <v>Martin9172</v>
          </cell>
          <cell r="D814">
            <v>6</v>
          </cell>
          <cell r="E814" t="str">
            <v>Newcomer</v>
          </cell>
          <cell r="F814" t="str">
            <v>Standard</v>
          </cell>
          <cell r="G814">
            <v>42285</v>
          </cell>
          <cell r="H814" t="str">
            <v>10066</v>
          </cell>
          <cell r="I814" t="str">
            <v>https://www.smwcentral.net/?a=details&amp;id=10066&amp;p=section</v>
          </cell>
          <cell r="J814" t="str">
            <v>https://dl.smwcentral.net/10066/Kris%27%20Adventure.zip</v>
          </cell>
        </row>
        <row r="815">
          <cell r="A815" t="str">
            <v>Kruela Mario</v>
          </cell>
          <cell r="B815" t="str">
            <v>Kruela Mario</v>
          </cell>
          <cell r="C815" t="str">
            <v>xHF01x</v>
          </cell>
          <cell r="D815">
            <v>29</v>
          </cell>
          <cell r="E815" t="str">
            <v>Expert</v>
          </cell>
          <cell r="F815" t="str">
            <v>Kaizo, Tool-Assisted</v>
          </cell>
          <cell r="G815">
            <v>42939</v>
          </cell>
          <cell r="H815" t="str">
            <v>15921</v>
          </cell>
          <cell r="I815" t="str">
            <v>https://www.smwcentral.net/?a=details&amp;id=15921&amp;p=section</v>
          </cell>
          <cell r="J815" t="str">
            <v>https://dl.smwcentral.net/15921/Kruela%20Mario.zip</v>
          </cell>
        </row>
        <row r="816">
          <cell r="A816" t="str">
            <v>Kruela Mario 2</v>
          </cell>
          <cell r="B816" t="str">
            <v>Kruela Mario 2</v>
          </cell>
          <cell r="C816" t="str">
            <v>xHF01x</v>
          </cell>
          <cell r="D816">
            <v>29</v>
          </cell>
          <cell r="E816" t="str">
            <v>Master</v>
          </cell>
          <cell r="F816" t="str">
            <v>Kaizo, Tool-Assisted</v>
          </cell>
          <cell r="G816">
            <v>44106</v>
          </cell>
          <cell r="H816" t="str">
            <v>24477</v>
          </cell>
          <cell r="I816" t="str">
            <v>https://www.smwcentral.net/?a=details&amp;id=24477&amp;p=section</v>
          </cell>
          <cell r="J816" t="str">
            <v>https://dl.smwcentral.net/24477/Kruela%20Mario%202%20v1.2.zip</v>
          </cell>
        </row>
        <row r="817">
          <cell r="A817" t="str">
            <v>Kumikyoku</v>
          </cell>
          <cell r="B817" t="str">
            <v>Kumikyoku</v>
          </cell>
          <cell r="C817" t="str">
            <v>Nico Nico Douga, Shimo</v>
          </cell>
          <cell r="D817">
            <v>4</v>
          </cell>
          <cell r="E817" t="str">
            <v>Newcomer</v>
          </cell>
          <cell r="F817" t="str">
            <v>Standard</v>
          </cell>
          <cell r="G817">
            <v>41814</v>
          </cell>
          <cell r="H817" t="str">
            <v>6757</v>
          </cell>
          <cell r="I817" t="str">
            <v>https://www.smwcentral.net/?a=details&amp;id=6757&amp;p=section</v>
          </cell>
          <cell r="J817" t="str">
            <v>https://dl.smwcentral.net/6757/kumikyoku.zip</v>
          </cell>
        </row>
        <row r="818">
          <cell r="A818" t="str">
            <v>Kuribo_Shoe the Adventure</v>
          </cell>
          <cell r="B818" t="str">
            <v>Kuribo_Shoe the Adventure</v>
          </cell>
          <cell r="C818" t="str">
            <v>Zildjian</v>
          </cell>
          <cell r="D818">
            <v>5</v>
          </cell>
          <cell r="E818" t="str">
            <v>Casual</v>
          </cell>
          <cell r="F818" t="str">
            <v>Standard</v>
          </cell>
          <cell r="G818">
            <v>42217</v>
          </cell>
          <cell r="H818" t="str">
            <v>9969</v>
          </cell>
          <cell r="I818" t="str">
            <v>https://www.smwcentral.net/?a=details&amp;id=9969&amp;p=section</v>
          </cell>
          <cell r="J818" t="str">
            <v>https://dl.smwcentral.net/9969/K_STA.zip</v>
          </cell>
        </row>
        <row r="819">
          <cell r="A819" t="str">
            <v>Kurisu Mario World</v>
          </cell>
          <cell r="B819" t="str">
            <v>Kurisu Mario World</v>
          </cell>
          <cell r="C819" t="str">
            <v>Freakin_HA, HmWhyNot, NeXuS15, ThirdWall, juzcook, microwave_brothr, white_moth</v>
          </cell>
          <cell r="D819">
            <v>16</v>
          </cell>
          <cell r="E819" t="str">
            <v>Expert</v>
          </cell>
          <cell r="F819" t="str">
            <v>Kaizo</v>
          </cell>
          <cell r="G819">
            <v>44103</v>
          </cell>
          <cell r="H819" t="str">
            <v>24719</v>
          </cell>
          <cell r="I819" t="str">
            <v>https://www.smwcentral.net/?a=details&amp;id=24719&amp;p=section</v>
          </cell>
          <cell r="J819" t="str">
            <v>https://dl.smwcentral.net/24719/KurisuMarioWorld.zip</v>
          </cell>
        </row>
        <row r="820">
          <cell r="A820" t="str">
            <v>Kuso Ecstasy</v>
          </cell>
          <cell r="B820" t="str">
            <v>Kuso Ecstasy</v>
          </cell>
          <cell r="C820" t="str">
            <v>NewPointless</v>
          </cell>
          <cell r="D820">
            <v>65</v>
          </cell>
          <cell r="E820" t="str">
            <v>Expert</v>
          </cell>
          <cell r="F820" t="str">
            <v>Standard, Kaizo</v>
          </cell>
          <cell r="G820">
            <v>44248</v>
          </cell>
          <cell r="H820" t="str">
            <v>26237</v>
          </cell>
          <cell r="I820" t="str">
            <v>https://www.smwcentral.net/?a=details&amp;id=26237&amp;p=section</v>
          </cell>
          <cell r="J820" t="str">
            <v>https://dl.smwcentral.net/26237/KusoEcstasy1_1.zip</v>
          </cell>
        </row>
        <row r="821">
          <cell r="A821" t="str">
            <v>Kuuwote's Level Pack #1</v>
          </cell>
          <cell r="B821" t="str">
            <v>Kuuwote's Level Pack #1</v>
          </cell>
          <cell r="C821" t="str">
            <v>Kuuwote</v>
          </cell>
          <cell r="D821">
            <v>3</v>
          </cell>
          <cell r="E821" t="str">
            <v>Newcomer</v>
          </cell>
          <cell r="F821" t="str">
            <v>Standard</v>
          </cell>
          <cell r="G821">
            <v>45162</v>
          </cell>
          <cell r="H821" t="str">
            <v>34900</v>
          </cell>
          <cell r="I821" t="str">
            <v>https://www.smwcentral.net/?a=details&amp;id=34900&amp;p=section</v>
          </cell>
          <cell r="J821" t="str">
            <v>https://dl.smwcentral.net/34900/Kuuwote%27s%20Level%20Pack%20%231.zip</v>
          </cell>
        </row>
        <row r="822">
          <cell r="A822" t="str">
            <v>Kuuwote's Level Pack #2</v>
          </cell>
          <cell r="B822" t="str">
            <v>Kuuwote's Level Pack #2</v>
          </cell>
          <cell r="C822" t="str">
            <v>Kuuwote</v>
          </cell>
          <cell r="D822">
            <v>13</v>
          </cell>
          <cell r="E822" t="str">
            <v>Casual</v>
          </cell>
          <cell r="F822" t="str">
            <v>Standard</v>
          </cell>
          <cell r="G822">
            <v>45210</v>
          </cell>
          <cell r="H822" t="str">
            <v>35061</v>
          </cell>
          <cell r="I822" t="str">
            <v>https://www.smwcentral.net/?a=details&amp;id=35061&amp;p=section</v>
          </cell>
          <cell r="J822" t="str">
            <v>https://dl.smwcentral.net/35061/Kuuwote%27s%20Level%20Pack%20%232%20%28fixed%29.zip</v>
          </cell>
        </row>
        <row r="823">
          <cell r="A823" t="str">
            <v>Kuzo Heaven</v>
          </cell>
          <cell r="B823" t="str">
            <v>Kuzo Heaven</v>
          </cell>
          <cell r="C823" t="str">
            <v>jirok1</v>
          </cell>
          <cell r="D823">
            <v>9</v>
          </cell>
          <cell r="E823" t="str">
            <v>Advanced</v>
          </cell>
          <cell r="F823" t="str">
            <v>Kaizo</v>
          </cell>
          <cell r="G823">
            <v>45831</v>
          </cell>
          <cell r="H823" t="str">
            <v>39988</v>
          </cell>
          <cell r="I823" t="str">
            <v>https://www.smwcentral.net/?a=details&amp;id=39988&amp;p=section</v>
          </cell>
          <cell r="J823" t="str">
            <v>https://dl.smwcentral.net/39988/KuzoHeaven1_3.zip</v>
          </cell>
        </row>
        <row r="824">
          <cell r="A824" t="str">
            <v>L I M B O</v>
          </cell>
          <cell r="B824" t="str">
            <v>L I M B O</v>
          </cell>
          <cell r="C824" t="str">
            <v>GRIMMKIN</v>
          </cell>
          <cell r="D824">
            <v>8</v>
          </cell>
          <cell r="E824" t="str">
            <v>Master</v>
          </cell>
          <cell r="F824" t="str">
            <v>Kaizo</v>
          </cell>
          <cell r="G824">
            <v>45416</v>
          </cell>
          <cell r="H824" t="str">
            <v>37671</v>
          </cell>
          <cell r="I824" t="str">
            <v>https://www.smwcentral.net/?a=details&amp;id=37671&amp;p=section</v>
          </cell>
          <cell r="J824" t="str">
            <v>https://dl.smwcentral.net/37671/LIMBO%20v3.25.zip</v>
          </cell>
        </row>
        <row r="825">
          <cell r="A825" t="str">
            <v>L4good Island</v>
          </cell>
          <cell r="B825" t="str">
            <v>L4good Island</v>
          </cell>
          <cell r="C825" t="str">
            <v>L4good</v>
          </cell>
          <cell r="D825">
            <v>6</v>
          </cell>
          <cell r="E825" t="str">
            <v>Newcomer</v>
          </cell>
          <cell r="F825" t="str">
            <v>Standard</v>
          </cell>
          <cell r="G825">
            <v>42841</v>
          </cell>
          <cell r="H825" t="str">
            <v>15476</v>
          </cell>
          <cell r="I825" t="str">
            <v>https://www.smwcentral.net/?a=details&amp;id=15476&amp;p=section</v>
          </cell>
          <cell r="J825" t="str">
            <v>https://dl.smwcentral.net/15476/L4good%20island.zip</v>
          </cell>
        </row>
        <row r="826">
          <cell r="A826" t="str">
            <v>La Connaisseuse de Kaizo</v>
          </cell>
          <cell r="B826" t="str">
            <v>La Connaisseuse de Kaizo</v>
          </cell>
          <cell r="C826" t="str">
            <v>Rudi_Schrausch</v>
          </cell>
          <cell r="D826">
            <v>9</v>
          </cell>
          <cell r="E826" t="str">
            <v>Expert</v>
          </cell>
          <cell r="F826" t="str">
            <v>Kaizo</v>
          </cell>
          <cell r="G826">
            <v>46176</v>
          </cell>
          <cell r="H826" t="str">
            <v>42458</v>
          </cell>
          <cell r="I826" t="str">
            <v>https://www.smwcentral.net/?a=details&amp;id=42458&amp;p=section</v>
          </cell>
          <cell r="J826" t="str">
            <v>https://dl.smwcentral.net/42458/La%20Connaisseuse%20de%20Kaizo.zip</v>
          </cell>
        </row>
        <row r="827">
          <cell r="A827" t="str">
            <v>La Mansion De Benja</v>
          </cell>
          <cell r="B827" t="str">
            <v>La Mansion De Benja</v>
          </cell>
          <cell r="C827" t="str">
            <v>Fyre150, Kaizo Literature Club</v>
          </cell>
          <cell r="D827">
            <v>6</v>
          </cell>
          <cell r="E827" t="str">
            <v>Expert</v>
          </cell>
          <cell r="F827" t="str">
            <v>Kaizo</v>
          </cell>
          <cell r="G827">
            <v>45121</v>
          </cell>
          <cell r="H827" t="str">
            <v>34374</v>
          </cell>
          <cell r="I827" t="str">
            <v>https://www.smwcentral.net/?a=details&amp;id=34374&amp;p=section</v>
          </cell>
          <cell r="J827" t="str">
            <v>https://dl.smwcentral.net/34374/LaMansionDeBenja.zip</v>
          </cell>
        </row>
        <row r="828">
          <cell r="A828" t="str">
            <v>Labyrinth Of Shadows</v>
          </cell>
          <cell r="B828" t="str">
            <v>Labyrinth Of Shadows</v>
          </cell>
          <cell r="C828" t="str">
            <v>Pizzagamer9791</v>
          </cell>
          <cell r="D828">
            <v>5</v>
          </cell>
          <cell r="E828" t="str">
            <v>Master</v>
          </cell>
          <cell r="F828" t="str">
            <v>Kaizo</v>
          </cell>
          <cell r="G828">
            <v>45606</v>
          </cell>
          <cell r="H828" t="str">
            <v>38747</v>
          </cell>
          <cell r="I828" t="str">
            <v>https://www.smwcentral.net/?a=details&amp;id=38747&amp;p=section</v>
          </cell>
          <cell r="J828" t="str">
            <v>https://dl.smwcentral.net/38747/Labyrinth%20of%20shadows.zip</v>
          </cell>
        </row>
        <row r="829">
          <cell r="A829" t="str">
            <v>Lack Of Control</v>
          </cell>
          <cell r="B829" t="str">
            <v>Lack Of Control</v>
          </cell>
          <cell r="C829" t="str">
            <v>TheBiob</v>
          </cell>
          <cell r="D829">
            <v>1</v>
          </cell>
          <cell r="E829" t="str">
            <v>Master</v>
          </cell>
          <cell r="F829" t="str">
            <v>Kaizo</v>
          </cell>
          <cell r="G829">
            <v>45408</v>
          </cell>
          <cell r="H829" t="str">
            <v>37629</v>
          </cell>
          <cell r="I829" t="str">
            <v>https://www.smwcentral.net/?a=details&amp;id=37629&amp;p=section</v>
          </cell>
          <cell r="J829" t="str">
            <v>https://dl.smwcentral.net/37629/LackOfControl.zip</v>
          </cell>
        </row>
        <row r="830">
          <cell r="A830" t="str">
            <v>Lakitu's Great Adventure</v>
          </cell>
          <cell r="B830" t="str">
            <v>Lakitu's Great Adventure</v>
          </cell>
          <cell r="C830" t="str">
            <v>Gamet2004</v>
          </cell>
          <cell r="D830">
            <v>24</v>
          </cell>
          <cell r="E830" t="str">
            <v>Casual</v>
          </cell>
          <cell r="F830" t="str">
            <v>Standard</v>
          </cell>
          <cell r="G830">
            <v>45704</v>
          </cell>
          <cell r="H830" t="str">
            <v>39020</v>
          </cell>
          <cell r="I830" t="str">
            <v>https://www.smwcentral.net/?a=details&amp;id=39020&amp;p=section</v>
          </cell>
          <cell r="J830" t="str">
            <v>https://dl.smwcentral.net/39020/LakituIHopeThisIsTheFinalUpdate.zip</v>
          </cell>
        </row>
        <row r="831">
          <cell r="A831" t="str">
            <v>Lakitu's Great Adventure 2</v>
          </cell>
          <cell r="B831" t="str">
            <v>Lakitu's Great Adventure 2</v>
          </cell>
          <cell r="C831" t="str">
            <v>Gamet2004</v>
          </cell>
          <cell r="D831">
            <v>12</v>
          </cell>
          <cell r="E831" t="str">
            <v>Intermediate</v>
          </cell>
          <cell r="F831" t="str">
            <v>Standard</v>
          </cell>
          <cell r="G831">
            <v>44833</v>
          </cell>
          <cell r="H831" t="str">
            <v>32220</v>
          </cell>
          <cell r="I831" t="str">
            <v>https://www.smwcentral.net/?a=details&amp;id=32220&amp;p=section</v>
          </cell>
          <cell r="J831" t="str">
            <v>https://dl.smwcentral.net/32220/LAKITU2bps.zip</v>
          </cell>
        </row>
        <row r="832">
          <cell r="A832" t="str">
            <v>Law &amp; Order: Mushroom Kingdom Unit - Pilot Episode - Tragic Fox "Tails" (Director's Cut)</v>
          </cell>
          <cell r="B832" t="str">
            <v>Law &amp; Order: Mushroom Kingdom Unit - Pilot Episode - Tragic Fox "Tails" (Director's Cut)</v>
          </cell>
          <cell r="C832" t="str">
            <v>ChaseNScooter, Daizo Dee Von, EvilGuy0613, Jamie</v>
          </cell>
          <cell r="D832">
            <v>1</v>
          </cell>
          <cell r="E832" t="str">
            <v>Casual</v>
          </cell>
          <cell r="F832" t="str">
            <v>Standard</v>
          </cell>
          <cell r="G832">
            <v>45567</v>
          </cell>
          <cell r="H832" t="str">
            <v>38323</v>
          </cell>
          <cell r="I832" t="str">
            <v>https://www.smwcentral.net/?a=details&amp;id=38323&amp;p=section</v>
          </cell>
          <cell r="J832" t="str">
            <v>https://dl.smwcentral.net/38323/Law%20%26%20Order%20Mushroom%20Kingdom%20Unit%20Pilot%20-%20Director%27s%20Cut%20%28v1.0.2%29.zip</v>
          </cell>
        </row>
        <row r="833">
          <cell r="A833" t="str">
            <v>Le avventure di Mario 1</v>
          </cell>
          <cell r="B833" t="str">
            <v>Le avventure di Mario 1</v>
          </cell>
          <cell r="C833" t="str">
            <v>Wakana</v>
          </cell>
          <cell r="D833">
            <v>91</v>
          </cell>
          <cell r="E833" t="str">
            <v>Intermediate</v>
          </cell>
          <cell r="F833" t="str">
            <v>Standard</v>
          </cell>
          <cell r="G833">
            <v>44583</v>
          </cell>
          <cell r="H833" t="str">
            <v>29091</v>
          </cell>
          <cell r="I833" t="str">
            <v>https://www.smwcentral.net/?a=details&amp;id=29091&amp;p=section</v>
          </cell>
          <cell r="J833" t="str">
            <v>https://dl.smwcentral.net/29091/Le%20Avventure%20di%20Mario%201%20-%20Fixed.zip</v>
          </cell>
        </row>
        <row r="834">
          <cell r="A834" t="str">
            <v>Le Avventure di Mario 3</v>
          </cell>
          <cell r="B834" t="str">
            <v>Le Avventure di Mario 3</v>
          </cell>
          <cell r="C834" t="str">
            <v>Wakana</v>
          </cell>
          <cell r="D834">
            <v>59</v>
          </cell>
          <cell r="E834" t="str">
            <v>Intermediate</v>
          </cell>
          <cell r="F834" t="str">
            <v>Standard</v>
          </cell>
          <cell r="G834">
            <v>44543</v>
          </cell>
          <cell r="H834" t="str">
            <v>28942</v>
          </cell>
          <cell r="I834" t="str">
            <v>https://www.smwcentral.net/?a=details&amp;id=28942&amp;p=section</v>
          </cell>
          <cell r="J834" t="str">
            <v>https://dl.smwcentral.net/28942/LADM3.zip</v>
          </cell>
        </row>
        <row r="835">
          <cell r="A835" t="str">
            <v>Le Connaisseur de Kaizo</v>
          </cell>
          <cell r="B835" t="str">
            <v>Le Connaisseur de Kaizo</v>
          </cell>
          <cell r="C835" t="str">
            <v>Rudi_Schrausch</v>
          </cell>
          <cell r="D835">
            <v>8</v>
          </cell>
          <cell r="E835" t="str">
            <v>Advanced</v>
          </cell>
          <cell r="F835" t="str">
            <v>Kaizo</v>
          </cell>
          <cell r="G835">
            <v>45699</v>
          </cell>
          <cell r="H835" t="str">
            <v>39182</v>
          </cell>
          <cell r="I835" t="str">
            <v>https://www.smwcentral.net/?a=details&amp;id=39182&amp;p=section</v>
          </cell>
          <cell r="J835" t="str">
            <v>https://dl.smwcentral.net/39182/Le%20Connaisseur%20de%20Kaizo%20ver1_1.zip</v>
          </cell>
        </row>
        <row r="836">
          <cell r="A836" t="str">
            <v>Le Gole World</v>
          </cell>
          <cell r="B836" t="str">
            <v>Le Gole World</v>
          </cell>
          <cell r="C836" t="str">
            <v>redkiller</v>
          </cell>
          <cell r="D836">
            <v>6</v>
          </cell>
          <cell r="E836" t="str">
            <v>Master</v>
          </cell>
          <cell r="F836" t="str">
            <v>Kaizo</v>
          </cell>
          <cell r="G836">
            <v>44633</v>
          </cell>
          <cell r="H836" t="str">
            <v>30098</v>
          </cell>
          <cell r="I836" t="str">
            <v>https://www.smwcentral.net/?a=details&amp;id=30098&amp;p=section</v>
          </cell>
          <cell r="J836" t="str">
            <v>https://dl.smwcentral.net/30098/le-gole.zip</v>
          </cell>
        </row>
        <row r="837">
          <cell r="A837" t="str">
            <v>Le plume</v>
          </cell>
          <cell r="B837" t="str">
            <v>Le plume</v>
          </cell>
          <cell r="C837" t="str">
            <v>FiveFactor, bonjoursauce, drkrdnk</v>
          </cell>
          <cell r="D837">
            <v>12</v>
          </cell>
          <cell r="E837" t="str">
            <v>Expert</v>
          </cell>
          <cell r="F837" t="str">
            <v>Kaizo</v>
          </cell>
          <cell r="G837">
            <v>45866</v>
          </cell>
          <cell r="H837" t="str">
            <v>40131</v>
          </cell>
          <cell r="I837" t="str">
            <v>https://www.smwcentral.net/?a=details&amp;id=40131&amp;p=section</v>
          </cell>
          <cell r="J837" t="str">
            <v>https://dl.smwcentral.net/40131/le_plume_1-1.zip</v>
          </cell>
        </row>
        <row r="838">
          <cell r="A838" t="str">
            <v>Learn 2 Kaizo</v>
          </cell>
          <cell r="B838" t="str">
            <v>Learn 2 Kaizo</v>
          </cell>
          <cell r="C838" t="str">
            <v>NeXuS15</v>
          </cell>
          <cell r="D838">
            <v>68</v>
          </cell>
          <cell r="E838" t="str">
            <v>Advanced</v>
          </cell>
          <cell r="F838" t="str">
            <v>Kaizo</v>
          </cell>
          <cell r="G838">
            <v>46159</v>
          </cell>
          <cell r="H838" t="str">
            <v>42361</v>
          </cell>
          <cell r="I838" t="str">
            <v>https://www.smwcentral.net/?a=details&amp;id=42361&amp;p=section</v>
          </cell>
          <cell r="J838" t="str">
            <v>https://dl.smwcentral.net/42361/Learn2Kaizo%20v1.1.zip</v>
          </cell>
        </row>
        <row r="839">
          <cell r="A839" t="str">
            <v>Learn To Shell Jump</v>
          </cell>
          <cell r="B839" t="str">
            <v>Learn To Shell Jump</v>
          </cell>
          <cell r="C839" t="str">
            <v>Pottsie</v>
          </cell>
          <cell r="D839">
            <v>5</v>
          </cell>
          <cell r="E839" t="str">
            <v>Intermediate</v>
          </cell>
          <cell r="F839" t="str">
            <v>Kaizo</v>
          </cell>
          <cell r="G839">
            <v>45833</v>
          </cell>
          <cell r="H839" t="str">
            <v>40002</v>
          </cell>
          <cell r="I839" t="str">
            <v>https://www.smwcentral.net/?a=details&amp;id=40002&amp;p=section</v>
          </cell>
          <cell r="J839" t="str">
            <v>https://dl.smwcentral.net/40002/Learn%20To%20Shell%20Jump.zip</v>
          </cell>
        </row>
        <row r="840">
          <cell r="A840" t="str">
            <v>Learning to Fly</v>
          </cell>
          <cell r="B840" t="str">
            <v>Learning to Fly</v>
          </cell>
          <cell r="C840" t="str">
            <v>DJLocks, NewPointless</v>
          </cell>
          <cell r="D840">
            <v>64</v>
          </cell>
          <cell r="E840" t="str">
            <v>Expert</v>
          </cell>
          <cell r="F840" t="str">
            <v>Kaizo</v>
          </cell>
          <cell r="G840">
            <v>45600</v>
          </cell>
          <cell r="H840" t="str">
            <v>38653</v>
          </cell>
          <cell r="I840" t="str">
            <v>https://www.smwcentral.net/?a=details&amp;id=38653&amp;p=section</v>
          </cell>
          <cell r="J840" t="str">
            <v>https://dl.smwcentral.net/38653/LearningToFly2_0.zip</v>
          </cell>
        </row>
        <row r="841">
          <cell r="A841" t="str">
            <v>Legend of the Rift, Volume 1: Venus</v>
          </cell>
          <cell r="B841" t="str">
            <v>Legend of the Rift, Volume 1: Venus</v>
          </cell>
          <cell r="C841" t="str">
            <v>Foursword4</v>
          </cell>
          <cell r="D841">
            <v>16</v>
          </cell>
          <cell r="E841" t="str">
            <v>Casual</v>
          </cell>
          <cell r="F841" t="str">
            <v>Standard</v>
          </cell>
          <cell r="G841">
            <v>41560</v>
          </cell>
          <cell r="H841" t="str">
            <v>5451</v>
          </cell>
          <cell r="I841" t="str">
            <v>https://www.smwcentral.net/?a=details&amp;id=5451&amp;p=section</v>
          </cell>
          <cell r="J841" t="str">
            <v>https://dl.smwcentral.net/5451/LOTR%20Venus.zip</v>
          </cell>
        </row>
        <row r="842">
          <cell r="A842" t="str">
            <v>Legends of Mario</v>
          </cell>
          <cell r="B842" t="str">
            <v>Legends of Mario</v>
          </cell>
          <cell r="C842" t="str">
            <v>ChrisG___, HmWhyNot, Mega, NeXuS15, SomeBroYouDontKnow, Tubbaluvin</v>
          </cell>
          <cell r="D842">
            <v>25</v>
          </cell>
          <cell r="E842" t="str">
            <v>Advanced</v>
          </cell>
          <cell r="F842" t="str">
            <v>Kaizo</v>
          </cell>
          <cell r="G842">
            <v>43131</v>
          </cell>
          <cell r="H842" t="str">
            <v>17046</v>
          </cell>
          <cell r="I842" t="str">
            <v>https://www.smwcentral.net/?a=details&amp;id=17046&amp;p=section</v>
          </cell>
          <cell r="J842" t="str">
            <v>https://dl.smwcentral.net/17046/LegendsOfMario_v1.2.zip</v>
          </cell>
        </row>
        <row r="843">
          <cell r="A843" t="str">
            <v>Legends of the Hidden Thwimple</v>
          </cell>
          <cell r="B843" t="str">
            <v>Legends of the Hidden Thwimple</v>
          </cell>
          <cell r="C843" t="str">
            <v>BeeKaay, Christina Hendricks, FerpyMcFrosting, GbreezeSunset, MiracleWater, Romhack Races, TheBourgyman, YMM, dtothefourth, margot, sio-kedelic</v>
          </cell>
          <cell r="D843">
            <v>7</v>
          </cell>
          <cell r="E843" t="str">
            <v>Expert</v>
          </cell>
          <cell r="F843" t="str">
            <v>Kaizo</v>
          </cell>
          <cell r="G843">
            <v>44753</v>
          </cell>
          <cell r="H843" t="str">
            <v>31391</v>
          </cell>
          <cell r="I843" t="str">
            <v>https://www.smwcentral.net/?a=details&amp;id=31391&amp;p=section</v>
          </cell>
          <cell r="J843" t="str">
            <v>https://dl.smwcentral.net/31391/Hidden%20Thwimple%201.1.zip</v>
          </cell>
        </row>
        <row r="844">
          <cell r="A844" t="str">
            <v>Lemmy's Wrath</v>
          </cell>
          <cell r="B844" t="str">
            <v>Lemmy's Wrath</v>
          </cell>
          <cell r="C844" t="str">
            <v>Blue Leaf</v>
          </cell>
          <cell r="D844">
            <v>47</v>
          </cell>
          <cell r="E844" t="str">
            <v>Advanced</v>
          </cell>
          <cell r="F844" t="str">
            <v>Standard</v>
          </cell>
          <cell r="G844">
            <v>41823</v>
          </cell>
          <cell r="H844" t="str">
            <v>6828</v>
          </cell>
          <cell r="I844" t="str">
            <v>https://www.smwcentral.net/?a=details&amp;id=6828&amp;p=section</v>
          </cell>
          <cell r="J844" t="str">
            <v>https://dl.smwcentral.net/6828/Lemmy%27s%20Htarw%20v1_1.zip</v>
          </cell>
        </row>
        <row r="845">
          <cell r="A845" t="str">
            <v>Lesbian Vampire Killer World 5000</v>
          </cell>
          <cell r="B845" t="str">
            <v>Lesbian Vampire Killer World 5000</v>
          </cell>
          <cell r="C845" t="str">
            <v>Robju</v>
          </cell>
          <cell r="D845">
            <v>7</v>
          </cell>
          <cell r="E845" t="str">
            <v>Intermediate</v>
          </cell>
          <cell r="F845" t="str">
            <v>Standard</v>
          </cell>
          <cell r="G845">
            <v>43977</v>
          </cell>
          <cell r="H845" t="str">
            <v>23089</v>
          </cell>
          <cell r="I845" t="str">
            <v>https://www.smwcentral.net/?a=details&amp;id=23089&amp;p=section</v>
          </cell>
          <cell r="J845" t="str">
            <v>https://dl.smwcentral.net/23089/LesbianVampireKillerWorld5000.zip</v>
          </cell>
        </row>
        <row r="846">
          <cell r="A846" t="str">
            <v>Lessness World</v>
          </cell>
          <cell r="B846" t="str">
            <v>Lessness World</v>
          </cell>
          <cell r="C846" t="str">
            <v>Alex</v>
          </cell>
          <cell r="D846">
            <v>27</v>
          </cell>
          <cell r="E846" t="str">
            <v>Expert</v>
          </cell>
          <cell r="F846" t="str">
            <v>Kaizo</v>
          </cell>
          <cell r="G846">
            <v>43971</v>
          </cell>
          <cell r="H846" t="str">
            <v>22972</v>
          </cell>
          <cell r="I846" t="str">
            <v>https://www.smwcentral.net/?a=details&amp;id=22972&amp;p=section</v>
          </cell>
          <cell r="J846" t="str">
            <v>https://dl.smwcentral.net/22972/LW%201.2.zip</v>
          </cell>
        </row>
        <row r="847">
          <cell r="A847" t="str">
            <v>Lessness World 2</v>
          </cell>
          <cell r="B847" t="str">
            <v>Lessness World 2</v>
          </cell>
          <cell r="C847" t="str">
            <v>Alex</v>
          </cell>
          <cell r="D847">
            <v>34</v>
          </cell>
          <cell r="E847" t="str">
            <v>Master</v>
          </cell>
          <cell r="F847" t="str">
            <v>Kaizo</v>
          </cell>
          <cell r="G847">
            <v>44853</v>
          </cell>
          <cell r="H847" t="str">
            <v>31338</v>
          </cell>
          <cell r="I847" t="str">
            <v>https://www.smwcentral.net/?a=details&amp;id=31338&amp;p=section</v>
          </cell>
          <cell r="J847" t="str">
            <v>https://dl.smwcentral.net/31338/Lessness_World_2.zip</v>
          </cell>
        </row>
        <row r="848">
          <cell r="A848" t="str">
            <v>Let's A Go!</v>
          </cell>
          <cell r="B848" t="str">
            <v>Let's A Go!</v>
          </cell>
          <cell r="C848" t="str">
            <v>ThirdWall</v>
          </cell>
          <cell r="D848">
            <v>34</v>
          </cell>
          <cell r="E848" t="str">
            <v>Master</v>
          </cell>
          <cell r="F848" t="str">
            <v>Kaizo</v>
          </cell>
          <cell r="G848">
            <v>46196</v>
          </cell>
          <cell r="H848" t="str">
            <v>42544</v>
          </cell>
          <cell r="I848" t="str">
            <v>https://www.smwcentral.net/?a=details&amp;id=42544&amp;p=section</v>
          </cell>
          <cell r="J848" t="str">
            <v>https://dl.smwcentral.net/42544/LAG.zip</v>
          </cell>
        </row>
        <row r="849">
          <cell r="A849" t="str">
            <v>Let's Give Up</v>
          </cell>
          <cell r="B849" t="str">
            <v>Let's Give Up</v>
          </cell>
          <cell r="C849" t="str">
            <v>BeeKaay</v>
          </cell>
          <cell r="D849">
            <v>8</v>
          </cell>
          <cell r="E849" t="str">
            <v>Master</v>
          </cell>
          <cell r="F849" t="str">
            <v>Kaizo</v>
          </cell>
          <cell r="G849">
            <v>44102</v>
          </cell>
          <cell r="H849" t="str">
            <v>24702</v>
          </cell>
          <cell r="I849" t="str">
            <v>https://www.smwcentral.net/?a=details&amp;id=24702&amp;p=section</v>
          </cell>
          <cell r="J849" t="str">
            <v>https://dl.smwcentral.net/24702/Let%27s%20Give%20Up.zip</v>
          </cell>
        </row>
        <row r="850">
          <cell r="A850" t="str">
            <v>Level - 2023 Remaster</v>
          </cell>
          <cell r="B850" t="str">
            <v>Level - 2023 Remaster</v>
          </cell>
          <cell r="C850" t="str">
            <v>TheBiob</v>
          </cell>
          <cell r="D850">
            <v>1</v>
          </cell>
          <cell r="E850" t="str">
            <v>Master</v>
          </cell>
          <cell r="F850" t="str">
            <v>Kaizo, Tool-Assisted</v>
          </cell>
          <cell r="G850">
            <v>45406</v>
          </cell>
          <cell r="H850" t="str">
            <v>37073</v>
          </cell>
          <cell r="I850" t="str">
            <v>https://www.smwcentral.net/?a=details&amp;id=37073&amp;p=section</v>
          </cell>
          <cell r="J850" t="str">
            <v>https://dl.smwcentral.net/37073/A%20glitch%20puzzle%20level%20-%202023%20Remaster.zip</v>
          </cell>
        </row>
        <row r="851">
          <cell r="A851" t="str">
            <v>Levels</v>
          </cell>
          <cell r="B851" t="str">
            <v>Levels</v>
          </cell>
          <cell r="C851" t="str">
            <v>Cwole23</v>
          </cell>
          <cell r="D851">
            <v>15</v>
          </cell>
          <cell r="E851" t="str">
            <v>Newcomer</v>
          </cell>
          <cell r="F851" t="str">
            <v>Standard</v>
          </cell>
          <cell r="G851">
            <v>46055</v>
          </cell>
          <cell r="H851" t="str">
            <v>41477</v>
          </cell>
          <cell r="I851" t="str">
            <v>https://www.smwcentral.net/?a=details&amp;id=41477&amp;p=section</v>
          </cell>
          <cell r="J851" t="str">
            <v>https://dl.smwcentral.net/41477/LevelsV2real.zip</v>
          </cell>
        </row>
        <row r="852">
          <cell r="A852" t="str">
            <v>Lewd Mario</v>
          </cell>
          <cell r="B852" t="str">
            <v>Lewd Mario</v>
          </cell>
          <cell r="C852" t="str">
            <v>edidari</v>
          </cell>
          <cell r="D852">
            <v>8</v>
          </cell>
          <cell r="E852" t="str">
            <v>Advanced</v>
          </cell>
          <cell r="F852" t="str">
            <v>Standard</v>
          </cell>
          <cell r="G852">
            <v>43940</v>
          </cell>
          <cell r="H852" t="str">
            <v>22418</v>
          </cell>
          <cell r="I852" t="str">
            <v>https://www.smwcentral.net/?a=details&amp;id=22418&amp;p=section</v>
          </cell>
          <cell r="J852" t="str">
            <v>https://dl.smwcentral.net/22418/Lewd%20Mario.zip</v>
          </cell>
        </row>
        <row r="853">
          <cell r="A853" t="str">
            <v>Life Of Glitches</v>
          </cell>
          <cell r="B853" t="str">
            <v>Life Of Glitches</v>
          </cell>
          <cell r="C853" t="str">
            <v>ShadowDragon121</v>
          </cell>
          <cell r="D853">
            <v>1</v>
          </cell>
          <cell r="E853" t="str">
            <v>Advanced</v>
          </cell>
          <cell r="F853" t="str">
            <v>Kaizo, Tool-Assisted</v>
          </cell>
          <cell r="G853">
            <v>41817</v>
          </cell>
          <cell r="H853" t="str">
            <v>6468</v>
          </cell>
          <cell r="I853" t="str">
            <v>https://www.smwcentral.net/?a=details&amp;id=6468&amp;p=section</v>
          </cell>
          <cell r="J853" t="str">
            <v>https://dl.smwcentral.net/6468/Life%20Of%20Glitches.zip</v>
          </cell>
        </row>
        <row r="854">
          <cell r="A854" t="str">
            <v>Lightning Crashes</v>
          </cell>
          <cell r="B854" t="str">
            <v>Lightning Crashes</v>
          </cell>
          <cell r="C854" t="str">
            <v>Multibella</v>
          </cell>
          <cell r="D854">
            <v>51</v>
          </cell>
          <cell r="E854" t="str">
            <v>Casual</v>
          </cell>
          <cell r="F854" t="str">
            <v>Standard</v>
          </cell>
          <cell r="G854">
            <v>42315</v>
          </cell>
          <cell r="H854" t="str">
            <v>9936</v>
          </cell>
          <cell r="I854" t="str">
            <v>https://www.smwcentral.net/?a=details&amp;id=9936&amp;p=section</v>
          </cell>
          <cell r="J854" t="str">
            <v>https://dl.smwcentral.net/9936/Lightning%20Crashes%201.2.zip</v>
          </cell>
        </row>
        <row r="855">
          <cell r="A855" t="str">
            <v>Lil Mallow World</v>
          </cell>
          <cell r="B855" t="str">
            <v>Lil Mallow World</v>
          </cell>
          <cell r="C855" t="str">
            <v>FridayFables, Romhack Races Team</v>
          </cell>
          <cell r="D855">
            <v>4</v>
          </cell>
          <cell r="E855" t="str">
            <v>Intermediate</v>
          </cell>
          <cell r="F855" t="str">
            <v>Kaizo</v>
          </cell>
          <cell r="G855">
            <v>43486</v>
          </cell>
          <cell r="H855" t="str">
            <v>18835</v>
          </cell>
          <cell r="I855" t="str">
            <v>https://www.smwcentral.net/?a=details&amp;id=18835&amp;p=section</v>
          </cell>
          <cell r="J855" t="str">
            <v>https://dl.smwcentral.net/18835/LilMallowWorld.zip</v>
          </cell>
        </row>
        <row r="856">
          <cell r="A856" t="str">
            <v>Link's Adventure</v>
          </cell>
          <cell r="B856" t="str">
            <v>Link's Adventure</v>
          </cell>
          <cell r="C856" t="str">
            <v>General Ike</v>
          </cell>
          <cell r="D856">
            <v>10</v>
          </cell>
          <cell r="E856" t="str">
            <v>Newcomer</v>
          </cell>
          <cell r="F856" t="str">
            <v>Standard</v>
          </cell>
          <cell r="G856">
            <v>42039</v>
          </cell>
          <cell r="H856" t="str">
            <v>9754</v>
          </cell>
          <cell r="I856" t="str">
            <v>https://www.smwcentral.net/?a=details&amp;id=9754&amp;p=section</v>
          </cell>
          <cell r="J856" t="str">
            <v>https://dl.smwcentral.net/9754/Link%27s%20Adventure%20Demo%202.zip</v>
          </cell>
        </row>
        <row r="857">
          <cell r="A857" t="str">
            <v>Linnaea</v>
          </cell>
          <cell r="B857" t="str">
            <v>Linnaea</v>
          </cell>
          <cell r="C857" t="str">
            <v>neidoodle</v>
          </cell>
          <cell r="D857">
            <v>15</v>
          </cell>
          <cell r="E857" t="str">
            <v>Advanced</v>
          </cell>
          <cell r="F857" t="str">
            <v>Kaizo</v>
          </cell>
          <cell r="G857">
            <v>44966</v>
          </cell>
          <cell r="H857" t="str">
            <v>33042</v>
          </cell>
          <cell r="I857" t="str">
            <v>https://www.smwcentral.net/?a=details&amp;id=33042&amp;p=section</v>
          </cell>
          <cell r="J857" t="str">
            <v>https://dl.smwcentral.net/33042/Linnaea.zip</v>
          </cell>
        </row>
        <row r="858">
          <cell r="A858" t="str">
            <v>Liquid Metal</v>
          </cell>
          <cell r="B858" t="str">
            <v>Liquid Metal</v>
          </cell>
          <cell r="C858" t="str">
            <v>deported</v>
          </cell>
          <cell r="D858">
            <v>9</v>
          </cell>
          <cell r="E858" t="str">
            <v>Expert</v>
          </cell>
          <cell r="F858" t="str">
            <v>Kaizo</v>
          </cell>
          <cell r="G858">
            <v>45550</v>
          </cell>
          <cell r="H858" t="str">
            <v>38428</v>
          </cell>
          <cell r="I858" t="str">
            <v>https://www.smwcentral.net/?a=details&amp;id=38428&amp;p=section</v>
          </cell>
          <cell r="J858" t="str">
            <v>https://dl.smwcentral.net/38428/LiquidMetal2.0.zip</v>
          </cell>
        </row>
        <row r="859">
          <cell r="A859" t="str">
            <v>Literally just a bonus room</v>
          </cell>
          <cell r="B859" t="str">
            <v>Literally just a bonus room</v>
          </cell>
          <cell r="C859" t="str">
            <v>Magikey</v>
          </cell>
          <cell r="D859">
            <v>1</v>
          </cell>
          <cell r="E859" t="str">
            <v>Master</v>
          </cell>
          <cell r="F859" t="str">
            <v>Tool-Assisted, Pit</v>
          </cell>
          <cell r="G859">
            <v>44127</v>
          </cell>
          <cell r="H859" t="str">
            <v>24758</v>
          </cell>
          <cell r="I859" t="str">
            <v>https://www.smwcentral.net/?a=details&amp;id=24758&amp;p=section</v>
          </cell>
          <cell r="J859" t="str">
            <v>https://dl.smwcentral.net/24758/bonusroom.zip</v>
          </cell>
        </row>
        <row r="860">
          <cell r="A860" t="str">
            <v>Little Mario World</v>
          </cell>
          <cell r="B860" t="str">
            <v>Little Mario World</v>
          </cell>
          <cell r="C860" t="str">
            <v>OctaviusPepper</v>
          </cell>
          <cell r="D860">
            <v>23</v>
          </cell>
          <cell r="E860" t="str">
            <v>Advanced</v>
          </cell>
          <cell r="F860" t="str">
            <v>Kaizo</v>
          </cell>
          <cell r="G860">
            <v>44104</v>
          </cell>
          <cell r="H860" t="str">
            <v>24705</v>
          </cell>
          <cell r="I860" t="str">
            <v>https://www.smwcentral.net/?a=details&amp;id=24705&amp;p=section</v>
          </cell>
          <cell r="J860" t="str">
            <v>https://dl.smwcentral.net/24705/LittleMarioWorld.zip</v>
          </cell>
        </row>
        <row r="861">
          <cell r="A861" t="str">
            <v>Long Road to Ruin</v>
          </cell>
          <cell r="B861" t="str">
            <v>Long Road to Ruin</v>
          </cell>
          <cell r="C861" t="str">
            <v>xhsdf</v>
          </cell>
          <cell r="D861">
            <v>1</v>
          </cell>
          <cell r="E861" t="str">
            <v>Grandmaster</v>
          </cell>
          <cell r="F861" t="str">
            <v>Kaizo</v>
          </cell>
          <cell r="G861">
            <v>45403</v>
          </cell>
          <cell r="H861" t="str">
            <v>37666</v>
          </cell>
          <cell r="I861" t="str">
            <v>https://www.smwcentral.net/?a=details&amp;id=37666&amp;p=section</v>
          </cell>
          <cell r="J861" t="str">
            <v>https://dl.smwcentral.net/37666/Long%20Road%20to%20Ruin%201.1.zip</v>
          </cell>
        </row>
        <row r="862">
          <cell r="A862" t="str">
            <v>Lord Pickle World</v>
          </cell>
          <cell r="B862" t="str">
            <v>Lord Pickle World</v>
          </cell>
          <cell r="C862" t="str">
            <v>MarkAlarm</v>
          </cell>
          <cell r="D862">
            <v>23</v>
          </cell>
          <cell r="E862" t="str">
            <v>Expert</v>
          </cell>
          <cell r="F862" t="str">
            <v>Kaizo</v>
          </cell>
          <cell r="G862">
            <v>43300</v>
          </cell>
          <cell r="H862" t="str">
            <v>17903</v>
          </cell>
          <cell r="I862" t="str">
            <v>https://www.smwcentral.net/?a=details&amp;id=17903&amp;p=section</v>
          </cell>
          <cell r="J862" t="str">
            <v>https://dl.smwcentral.net/17903/Lord%20Pickle%20World%20v1.3.zip</v>
          </cell>
        </row>
        <row r="863">
          <cell r="A863" t="str">
            <v>Lost and Found</v>
          </cell>
          <cell r="B863" t="str">
            <v>Lost and Found</v>
          </cell>
          <cell r="C863" t="str">
            <v>Icon of Sin</v>
          </cell>
          <cell r="D863">
            <v>16</v>
          </cell>
          <cell r="E863" t="str">
            <v>Newcomer</v>
          </cell>
          <cell r="F863" t="str">
            <v>Standard</v>
          </cell>
          <cell r="G863">
            <v>42243</v>
          </cell>
          <cell r="H863" t="str">
            <v>9916</v>
          </cell>
          <cell r="I863" t="str">
            <v>https://www.smwcentral.net/?a=details&amp;id=9916&amp;p=section</v>
          </cell>
          <cell r="J863" t="str">
            <v>https://dl.smwcentral.net/9916/Lost%20and%20Found%20Full%20version.zip</v>
          </cell>
        </row>
        <row r="864">
          <cell r="A864" t="str">
            <v>Lost Dimension</v>
          </cell>
          <cell r="B864" t="str">
            <v>Lost Dimension</v>
          </cell>
          <cell r="C864" t="str">
            <v>PercentN</v>
          </cell>
          <cell r="D864">
            <v>13</v>
          </cell>
          <cell r="E864" t="str">
            <v>Newcomer</v>
          </cell>
          <cell r="F864" t="str">
            <v>Standard</v>
          </cell>
          <cell r="G864">
            <v>42233</v>
          </cell>
          <cell r="H864" t="str">
            <v>9874</v>
          </cell>
          <cell r="I864" t="str">
            <v>https://www.smwcentral.net/?a=details&amp;id=9874&amp;p=section</v>
          </cell>
          <cell r="J864" t="str">
            <v>https://dl.smwcentral.net/9874/Lost%20Dimension.zip</v>
          </cell>
        </row>
        <row r="865">
          <cell r="A865" t="str">
            <v>Lost in Puzzle Land</v>
          </cell>
          <cell r="B865" t="str">
            <v>Lost in Puzzle Land</v>
          </cell>
          <cell r="C865" t="str">
            <v>S.R.H.</v>
          </cell>
          <cell r="D865">
            <v>9</v>
          </cell>
          <cell r="E865" t="str">
            <v>Casual</v>
          </cell>
          <cell r="F865" t="str">
            <v>Standard</v>
          </cell>
          <cell r="G865">
            <v>41694</v>
          </cell>
          <cell r="H865" t="str">
            <v>6310</v>
          </cell>
          <cell r="I865" t="str">
            <v>https://www.smwcentral.net/?a=details&amp;id=6310&amp;p=section</v>
          </cell>
          <cell r="J865" t="str">
            <v>https://dl.smwcentral.net/6310/PW2.4.zip</v>
          </cell>
        </row>
        <row r="866">
          <cell r="A866" t="str">
            <v>Lost in the Forest</v>
          </cell>
          <cell r="B866" t="str">
            <v>Lost in the Forest</v>
          </cell>
          <cell r="C866" t="str">
            <v>Sockbat Replica</v>
          </cell>
          <cell r="D866">
            <v>111</v>
          </cell>
          <cell r="E866" t="str">
            <v>Intermediate</v>
          </cell>
          <cell r="F866" t="str">
            <v>Standard</v>
          </cell>
          <cell r="G866">
            <v>43316</v>
          </cell>
          <cell r="H866" t="str">
            <v>17968</v>
          </cell>
          <cell r="I866" t="str">
            <v>https://www.smwcentral.net/?a=details&amp;id=17968&amp;p=section</v>
          </cell>
          <cell r="J866" t="str">
            <v>https://dl.smwcentral.net/17968/Lost%20in%20the%20Forest.zip</v>
          </cell>
        </row>
        <row r="867">
          <cell r="A867" t="str">
            <v>Lost In Yoshi Island Remix</v>
          </cell>
          <cell r="B867" t="str">
            <v>Lost In Yoshi Island Remix</v>
          </cell>
          <cell r="C867" t="str">
            <v>goomba</v>
          </cell>
          <cell r="D867">
            <v>5</v>
          </cell>
          <cell r="E867" t="str">
            <v>Newcomer</v>
          </cell>
          <cell r="F867" t="str">
            <v>Standard</v>
          </cell>
          <cell r="G867">
            <v>42238</v>
          </cell>
          <cell r="H867" t="str">
            <v>9890</v>
          </cell>
          <cell r="I867" t="str">
            <v>https://www.smwcentral.net/?a=details&amp;id=9890&amp;p=section</v>
          </cell>
          <cell r="J867" t="str">
            <v>https://dl.smwcentral.net/9890/lost%20in%20yoshi%27s%20island%20remix.zip</v>
          </cell>
        </row>
        <row r="868">
          <cell r="A868" t="str">
            <v>Lost Mario Bros.</v>
          </cell>
          <cell r="B868" t="str">
            <v>Lost Mario Bros.</v>
          </cell>
          <cell r="C868" t="str">
            <v>Le Comte Niark</v>
          </cell>
          <cell r="D868">
            <v>21</v>
          </cell>
          <cell r="E868" t="str">
            <v>Casual</v>
          </cell>
          <cell r="F868" t="str">
            <v>Standard</v>
          </cell>
          <cell r="G868">
            <v>41837</v>
          </cell>
          <cell r="H868" t="str">
            <v>7005</v>
          </cell>
          <cell r="I868" t="str">
            <v>https://www.smwcentral.net/?a=details&amp;id=7005&amp;p=section</v>
          </cell>
          <cell r="J868" t="str">
            <v>https://dl.smwcentral.net/7005/Lost%20Mario%20Bros.%20-%20Demo%202.1.zip</v>
          </cell>
        </row>
        <row r="869">
          <cell r="A869" t="str">
            <v>Lost On The Islands</v>
          </cell>
          <cell r="B869" t="str">
            <v>Lost On The Islands</v>
          </cell>
          <cell r="C869" t="str">
            <v>therealSWK</v>
          </cell>
          <cell r="D869">
            <v>3</v>
          </cell>
          <cell r="E869" t="str">
            <v>Newcomer</v>
          </cell>
          <cell r="F869" t="str">
            <v>Standard</v>
          </cell>
          <cell r="G869">
            <v>42163</v>
          </cell>
          <cell r="H869" t="str">
            <v>10057</v>
          </cell>
          <cell r="I869" t="str">
            <v>https://www.smwcentral.net/?a=details&amp;id=10057&amp;p=section</v>
          </cell>
          <cell r="J869" t="str">
            <v>https://dl.smwcentral.net/10057/Lost%20on%20the%20Islands%20Demo%20V1.1.zip</v>
          </cell>
        </row>
        <row r="870">
          <cell r="A870" t="str">
            <v>Lost Paths</v>
          </cell>
          <cell r="B870" t="str">
            <v>Lost Paths</v>
          </cell>
          <cell r="C870" t="str">
            <v>Chuycraft</v>
          </cell>
          <cell r="D870">
            <v>80</v>
          </cell>
          <cell r="E870" t="str">
            <v>Advanced</v>
          </cell>
          <cell r="F870" t="str">
            <v>Standard</v>
          </cell>
          <cell r="G870">
            <v>46048</v>
          </cell>
          <cell r="H870" t="str">
            <v>41461</v>
          </cell>
          <cell r="I870" t="str">
            <v>https://www.smwcentral.net/?a=details&amp;id=41461&amp;p=section</v>
          </cell>
          <cell r="J870" t="str">
            <v>https://dl.smwcentral.net/41461/Lost%20Paths%20V1.2.1.zip</v>
          </cell>
        </row>
        <row r="871">
          <cell r="A871" t="str">
            <v>Lost Places</v>
          </cell>
          <cell r="B871" t="str">
            <v>Lost Places</v>
          </cell>
          <cell r="C871" t="str">
            <v>Schlafkopf</v>
          </cell>
          <cell r="D871">
            <v>6</v>
          </cell>
          <cell r="E871" t="str">
            <v>Expert</v>
          </cell>
          <cell r="F871" t="str">
            <v>Kaizo</v>
          </cell>
          <cell r="G871">
            <v>44308</v>
          </cell>
          <cell r="H871" t="str">
            <v>26771</v>
          </cell>
          <cell r="I871" t="str">
            <v>https://www.smwcentral.net/?a=details&amp;id=26771&amp;p=section</v>
          </cell>
          <cell r="J871" t="str">
            <v>https://dl.smwcentral.net/26771/Lost%20Places%20Demo.zip</v>
          </cell>
        </row>
        <row r="872">
          <cell r="A872" t="str">
            <v>Lost Wayfarers- The Escapade back to Mushroom Kingdom</v>
          </cell>
          <cell r="B872" t="str">
            <v>Lost Wayfarers- The Escapade back to Mushroom Kingdom</v>
          </cell>
          <cell r="C872" t="str">
            <v>Vamperumbra</v>
          </cell>
          <cell r="D872">
            <v>47</v>
          </cell>
          <cell r="E872" t="str">
            <v>Intermediate</v>
          </cell>
          <cell r="F872" t="str">
            <v>Standard</v>
          </cell>
          <cell r="G872">
            <v>42902</v>
          </cell>
          <cell r="H872" t="str">
            <v>15632</v>
          </cell>
          <cell r="I872" t="str">
            <v>https://www.smwcentral.net/?a=details&amp;id=15632&amp;p=section</v>
          </cell>
          <cell r="J872" t="str">
            <v>https://dl.smwcentral.net/15632/LW.zip</v>
          </cell>
        </row>
        <row r="873">
          <cell r="A873" t="str">
            <v>Love Letter</v>
          </cell>
          <cell r="B873" t="str">
            <v>Love Letter</v>
          </cell>
          <cell r="C873" t="str">
            <v>Lush_50</v>
          </cell>
          <cell r="D873">
            <v>18</v>
          </cell>
          <cell r="E873" t="str">
            <v>Intermediate</v>
          </cell>
          <cell r="F873" t="str">
            <v>Kaizo</v>
          </cell>
          <cell r="G873">
            <v>45847</v>
          </cell>
          <cell r="H873" t="str">
            <v>40069</v>
          </cell>
          <cell r="I873" t="str">
            <v>https://www.smwcentral.net/?a=details&amp;id=40069&amp;p=section</v>
          </cell>
          <cell r="J873" t="str">
            <v>https://dl.smwcentral.net/40069/Love%20Letter.zip</v>
          </cell>
        </row>
        <row r="874">
          <cell r="A874" t="str">
            <v>Love Yourself</v>
          </cell>
          <cell r="B874" t="str">
            <v>Love Yourself</v>
          </cell>
          <cell r="C874" t="str">
            <v>Chondontore</v>
          </cell>
          <cell r="D874">
            <v>17</v>
          </cell>
          <cell r="E874" t="str">
            <v>Intermediate</v>
          </cell>
          <cell r="F874" t="str">
            <v>Kaizo</v>
          </cell>
          <cell r="G874">
            <v>44690</v>
          </cell>
          <cell r="H874" t="str">
            <v>30864</v>
          </cell>
          <cell r="I874" t="str">
            <v>https://www.smwcentral.net/?a=details&amp;id=30864&amp;p=section</v>
          </cell>
          <cell r="J874" t="str">
            <v>https://dl.smwcentral.net/30864/Love%20Yourself%201.0.zip</v>
          </cell>
        </row>
        <row r="875">
          <cell r="A875" t="str">
            <v>Lucky</v>
          </cell>
          <cell r="B875" t="str">
            <v>Lucky</v>
          </cell>
          <cell r="C875" t="str">
            <v>Lush_50</v>
          </cell>
          <cell r="D875">
            <v>6</v>
          </cell>
          <cell r="E875" t="str">
            <v>Advanced</v>
          </cell>
          <cell r="F875" t="str">
            <v>Kaizo</v>
          </cell>
          <cell r="G875">
            <v>44869</v>
          </cell>
          <cell r="H875" t="str">
            <v>32513</v>
          </cell>
          <cell r="I875" t="str">
            <v>https://www.smwcentral.net/?a=details&amp;id=32513&amp;p=section</v>
          </cell>
          <cell r="J875" t="str">
            <v>https://dl.smwcentral.net/32513/Lucky%20V1.0A.zip</v>
          </cell>
        </row>
        <row r="876">
          <cell r="A876" t="str">
            <v>Luigi and the Final Year</v>
          </cell>
          <cell r="B876" t="str">
            <v>Luigi and the Final Year</v>
          </cell>
          <cell r="C876" t="str">
            <v>karen13505</v>
          </cell>
          <cell r="D876">
            <v>56</v>
          </cell>
          <cell r="E876" t="str">
            <v>Intermediate</v>
          </cell>
          <cell r="F876" t="str">
            <v>Standard</v>
          </cell>
          <cell r="G876">
            <v>43844</v>
          </cell>
          <cell r="H876" t="str">
            <v>21746</v>
          </cell>
          <cell r="I876" t="str">
            <v>https://www.smwcentral.net/?a=details&amp;id=21746&amp;p=section</v>
          </cell>
          <cell r="J876" t="str">
            <v>https://dl.smwcentral.net/21746/Luigi%20and%20the%20Final%20Year.zip</v>
          </cell>
        </row>
        <row r="877">
          <cell r="A877" t="str">
            <v>Luigi and the Happy Hillside</v>
          </cell>
          <cell r="B877" t="str">
            <v>Luigi and the Happy Hillside</v>
          </cell>
          <cell r="C877" t="str">
            <v>Apple Boy</v>
          </cell>
          <cell r="D877">
            <v>5</v>
          </cell>
          <cell r="E877" t="str">
            <v>Newcomer</v>
          </cell>
          <cell r="F877" t="str">
            <v>Standard</v>
          </cell>
          <cell r="G877">
            <v>44730</v>
          </cell>
          <cell r="H877" t="str">
            <v>31167</v>
          </cell>
          <cell r="I877" t="str">
            <v>https://www.smwcentral.net/?a=details&amp;id=31167&amp;p=section</v>
          </cell>
          <cell r="J877" t="str">
            <v>https://dl.smwcentral.net/31167/HappyHillside.zip</v>
          </cell>
        </row>
        <row r="878">
          <cell r="A878" t="str">
            <v>Luigi and the Island of Mystery</v>
          </cell>
          <cell r="B878" t="str">
            <v>Luigi and the Island of Mystery</v>
          </cell>
          <cell r="C878" t="str">
            <v>superwiidude</v>
          </cell>
          <cell r="D878">
            <v>93</v>
          </cell>
          <cell r="E878" t="str">
            <v>Casual</v>
          </cell>
          <cell r="F878" t="str">
            <v>Standard</v>
          </cell>
          <cell r="G878">
            <v>42727</v>
          </cell>
          <cell r="H878" t="str">
            <v>14809</v>
          </cell>
          <cell r="I878" t="str">
            <v>https://www.smwcentral.net/?a=details&amp;id=14809&amp;p=section</v>
          </cell>
          <cell r="J878" t="str">
            <v>https://dl.smwcentral.net/14809/Luigi%20and%20the%20island%20of%20mystery.zip</v>
          </cell>
        </row>
        <row r="879">
          <cell r="A879" t="str">
            <v>Luigi and the Mysterious Portals</v>
          </cell>
          <cell r="B879" t="str">
            <v>Luigi and the Mysterious Portals</v>
          </cell>
          <cell r="C879" t="str">
            <v>imamelia</v>
          </cell>
          <cell r="D879">
            <v>10</v>
          </cell>
          <cell r="E879" t="str">
            <v>Casual</v>
          </cell>
          <cell r="F879" t="str">
            <v>Standard</v>
          </cell>
          <cell r="G879">
            <v>45704</v>
          </cell>
          <cell r="H879" t="str">
            <v>39174</v>
          </cell>
          <cell r="I879" t="str">
            <v>https://www.smwcentral.net/?a=details&amp;id=39174&amp;p=section</v>
          </cell>
          <cell r="J879" t="str">
            <v>https://dl.smwcentral.net/39174/Luigi%20and%20the%20Mysterious%20Portals.zip</v>
          </cell>
        </row>
        <row r="880">
          <cell r="A880" t="str">
            <v>Luigi in: The Rescue of Daisy</v>
          </cell>
          <cell r="B880" t="str">
            <v>Luigi in: The Rescue of Daisy</v>
          </cell>
          <cell r="C880" t="str">
            <v>Retired Man</v>
          </cell>
          <cell r="D880">
            <v>8</v>
          </cell>
          <cell r="E880" t="str">
            <v>Newcomer</v>
          </cell>
          <cell r="F880" t="str">
            <v>Standard</v>
          </cell>
          <cell r="G880">
            <v>42271</v>
          </cell>
          <cell r="H880" t="str">
            <v>10073</v>
          </cell>
          <cell r="I880" t="str">
            <v>https://www.smwcentral.net/?a=details&amp;id=10073&amp;p=section</v>
          </cell>
          <cell r="J880" t="str">
            <v>https://dl.smwcentral.net/10073/Luigi%20demo%201.zip</v>
          </cell>
        </row>
        <row r="881">
          <cell r="A881" t="str">
            <v>Luigi Kaizo King</v>
          </cell>
          <cell r="B881" t="str">
            <v>Luigi Kaizo King</v>
          </cell>
          <cell r="C881" t="str">
            <v>Yagami</v>
          </cell>
          <cell r="D881">
            <v>13</v>
          </cell>
          <cell r="E881" t="str">
            <v>Expert</v>
          </cell>
          <cell r="F881" t="str">
            <v>Kaizo</v>
          </cell>
          <cell r="G881">
            <v>43692</v>
          </cell>
          <cell r="H881" t="str">
            <v>20906</v>
          </cell>
          <cell r="I881" t="str">
            <v>https://www.smwcentral.net/?a=details&amp;id=20906&amp;p=section</v>
          </cell>
          <cell r="J881" t="str">
            <v>https://dl.smwcentral.net/20906/LKK.zip</v>
          </cell>
        </row>
        <row r="882">
          <cell r="A882" t="str">
            <v>Luigi lost in Telinc's World</v>
          </cell>
          <cell r="B882" t="str">
            <v>Luigi lost in Telinc's World</v>
          </cell>
          <cell r="C882" t="str">
            <v>Telinc1</v>
          </cell>
          <cell r="D882">
            <v>10</v>
          </cell>
          <cell r="E882" t="str">
            <v>Newcomer</v>
          </cell>
          <cell r="F882" t="str">
            <v>Standard</v>
          </cell>
          <cell r="G882">
            <v>42312</v>
          </cell>
          <cell r="H882" t="str">
            <v>10212</v>
          </cell>
          <cell r="I882" t="str">
            <v>https://www.smwcentral.net/?a=details&amp;id=10212&amp;p=section</v>
          </cell>
          <cell r="J882" t="str">
            <v>https://dl.smwcentral.net/10212/Luigi%20lost%20in%20Telinc%27s%20World%20-%20Demo%201.5.zip</v>
          </cell>
        </row>
        <row r="883">
          <cell r="A883" t="str">
            <v>Luigi Stardust Adventure</v>
          </cell>
          <cell r="B883" t="str">
            <v>Luigi Stardust Adventure</v>
          </cell>
          <cell r="C883" t="str">
            <v>Zavok</v>
          </cell>
          <cell r="D883">
            <v>65</v>
          </cell>
          <cell r="E883" t="str">
            <v>Intermediate</v>
          </cell>
          <cell r="F883" t="str">
            <v>Standard</v>
          </cell>
          <cell r="G883">
            <v>44222</v>
          </cell>
          <cell r="H883" t="str">
            <v>25705</v>
          </cell>
          <cell r="I883" t="str">
            <v>https://www.smwcentral.net/?a=details&amp;id=25705&amp;p=section</v>
          </cell>
          <cell r="J883" t="str">
            <v>https://dl.smwcentral.net/25705/Luigi%20Stardust%20Adventure.zip</v>
          </cell>
        </row>
        <row r="884">
          <cell r="A884" t="str">
            <v>Luigi's Adventure 3: Overseas Edition</v>
          </cell>
          <cell r="B884" t="str">
            <v>Luigi's Adventure 3: Overseas Edition</v>
          </cell>
          <cell r="C884" t="str">
            <v>Anikiti</v>
          </cell>
          <cell r="D884">
            <v>97</v>
          </cell>
          <cell r="E884" t="str">
            <v>Expert</v>
          </cell>
          <cell r="F884" t="str">
            <v>Standard</v>
          </cell>
          <cell r="G884">
            <v>44392</v>
          </cell>
          <cell r="H884" t="str">
            <v>27348</v>
          </cell>
          <cell r="I884" t="str">
            <v>https://www.smwcentral.net/?a=details&amp;id=27348&amp;p=section</v>
          </cell>
          <cell r="J884" t="str">
            <v>https://dl.smwcentral.net/27348/ladv3_ose_v10.zip</v>
          </cell>
        </row>
        <row r="885">
          <cell r="A885" t="str">
            <v>Luigi's Adventure 4: The Revival of Tortoise Empire</v>
          </cell>
          <cell r="B885" t="str">
            <v>Luigi's Adventure 4: The Revival of Tortoise Empire</v>
          </cell>
          <cell r="C885" t="str">
            <v>Anikiti</v>
          </cell>
          <cell r="D885">
            <v>30</v>
          </cell>
          <cell r="E885" t="str">
            <v>Casual</v>
          </cell>
          <cell r="F885" t="str">
            <v>Standard</v>
          </cell>
          <cell r="G885">
            <v>41497</v>
          </cell>
          <cell r="H885" t="str">
            <v>5127</v>
          </cell>
          <cell r="I885" t="str">
            <v>https://www.smwcentral.net/?a=details&amp;id=5127&amp;p=section</v>
          </cell>
          <cell r="J885" t="str">
            <v>https://dl.smwcentral.net/5127/ladv4_rev0422.zip</v>
          </cell>
        </row>
        <row r="886">
          <cell r="A886" t="str">
            <v>Luigi's Adventure OSE</v>
          </cell>
          <cell r="B886" t="str">
            <v>Luigi's Adventure OSE</v>
          </cell>
          <cell r="C886" t="str">
            <v>Anikiti</v>
          </cell>
          <cell r="D886">
            <v>87</v>
          </cell>
          <cell r="E886" t="str">
            <v>Advanced</v>
          </cell>
          <cell r="F886" t="str">
            <v>Standard</v>
          </cell>
          <cell r="G886">
            <v>45219</v>
          </cell>
          <cell r="H886" t="str">
            <v>34399</v>
          </cell>
          <cell r="I886" t="str">
            <v>https://www.smwcentral.net/?a=details&amp;id=34399&amp;p=section</v>
          </cell>
          <cell r="J886" t="str">
            <v>https://dl.smwcentral.net/34399/ladv_ose_v131.zip</v>
          </cell>
        </row>
        <row r="887">
          <cell r="A887" t="str">
            <v>Luigi's Adventure OSE - The Lost Levels</v>
          </cell>
          <cell r="B887" t="str">
            <v>Luigi's Adventure OSE - The Lost Levels</v>
          </cell>
          <cell r="C887" t="str">
            <v>Anikiti</v>
          </cell>
          <cell r="D887">
            <v>9</v>
          </cell>
          <cell r="E887" t="str">
            <v>Master</v>
          </cell>
          <cell r="F887" t="str">
            <v>Standard</v>
          </cell>
          <cell r="G887">
            <v>44392</v>
          </cell>
          <cell r="H887" t="str">
            <v>27196</v>
          </cell>
          <cell r="I887" t="str">
            <v>https://www.smwcentral.net/?a=details&amp;id=27196&amp;p=section</v>
          </cell>
          <cell r="J887" t="str">
            <v>https://dl.smwcentral.net/27196/Luigi%27s%20Adventure%20OSE%20-%20The%20Lost%20Levels%20-%20Fixed.zip</v>
          </cell>
        </row>
        <row r="888">
          <cell r="A888" t="str">
            <v>Luigi's Decision</v>
          </cell>
          <cell r="B888" t="str">
            <v>Luigi's Decision</v>
          </cell>
          <cell r="C888" t="str">
            <v>Thundahack</v>
          </cell>
          <cell r="D888">
            <v>7</v>
          </cell>
          <cell r="E888" t="str">
            <v>Casual</v>
          </cell>
          <cell r="F888" t="str">
            <v>Standard</v>
          </cell>
          <cell r="G888">
            <v>41509</v>
          </cell>
          <cell r="H888" t="str">
            <v>5180</v>
          </cell>
          <cell r="I888" t="str">
            <v>https://www.smwcentral.net/?a=details&amp;id=5180&amp;p=section</v>
          </cell>
          <cell r="J888" t="str">
            <v>https://dl.smwcentral.net/5180/Luigi%27s%20Decision.zip</v>
          </cell>
        </row>
        <row r="889">
          <cell r="A889" t="str">
            <v>Luigi's First Adventure</v>
          </cell>
          <cell r="B889" t="str">
            <v>Luigi's First Adventure</v>
          </cell>
          <cell r="C889" t="str">
            <v>Yoshi987</v>
          </cell>
          <cell r="D889">
            <v>6</v>
          </cell>
          <cell r="E889" t="str">
            <v>Casual</v>
          </cell>
          <cell r="F889" t="str">
            <v>Standard</v>
          </cell>
          <cell r="G889">
            <v>42267</v>
          </cell>
          <cell r="H889" t="str">
            <v>10000</v>
          </cell>
          <cell r="I889" t="str">
            <v>https://www.smwcentral.net/?a=details&amp;id=10000&amp;p=section</v>
          </cell>
          <cell r="J889" t="str">
            <v>https://dl.smwcentral.net/10000/Luigi%27s%20First%20Adventure%20%28Demo%29.zip</v>
          </cell>
        </row>
        <row r="890">
          <cell r="A890" t="str">
            <v>Luigi's Heated Journey</v>
          </cell>
          <cell r="B890" t="str">
            <v>Luigi's Heated Journey</v>
          </cell>
          <cell r="C890" t="str">
            <v>KennyJ</v>
          </cell>
          <cell r="D890">
            <v>15</v>
          </cell>
          <cell r="E890" t="str">
            <v>Newcomer</v>
          </cell>
          <cell r="F890" t="str">
            <v>Standard</v>
          </cell>
          <cell r="G890">
            <v>42291</v>
          </cell>
          <cell r="H890" t="str">
            <v>10101</v>
          </cell>
          <cell r="I890" t="str">
            <v>https://www.smwcentral.net/?a=details&amp;id=10101&amp;p=section</v>
          </cell>
          <cell r="J890" t="str">
            <v>https://dl.smwcentral.net/10101/LHJ.zip</v>
          </cell>
        </row>
        <row r="891">
          <cell r="A891" t="str">
            <v>Luigi's Lost Levels</v>
          </cell>
          <cell r="B891" t="str">
            <v>Luigi's Lost Levels</v>
          </cell>
          <cell r="C891" t="str">
            <v>Romano338</v>
          </cell>
          <cell r="D891">
            <v>4</v>
          </cell>
          <cell r="E891" t="str">
            <v>Expert</v>
          </cell>
          <cell r="F891" t="str">
            <v>Kaizo</v>
          </cell>
          <cell r="G891">
            <v>43065</v>
          </cell>
          <cell r="H891" t="str">
            <v>16689</v>
          </cell>
          <cell r="I891" t="str">
            <v>https://www.smwcentral.net/?a=details&amp;id=16689&amp;p=section</v>
          </cell>
          <cell r="J891" t="str">
            <v>https://dl.smwcentral.net/16689/Luigi%27s%20Lost%20Levels.zip</v>
          </cell>
        </row>
        <row r="892">
          <cell r="A892" t="str">
            <v>Luigi's Lost Levels 2 - Back With A Revenge</v>
          </cell>
          <cell r="B892" t="str">
            <v>Luigi's Lost Levels 2 - Back With A Revenge</v>
          </cell>
          <cell r="C892" t="str">
            <v>Romano338</v>
          </cell>
          <cell r="D892">
            <v>9</v>
          </cell>
          <cell r="E892" t="str">
            <v>Expert</v>
          </cell>
          <cell r="F892" t="str">
            <v>Kaizo</v>
          </cell>
          <cell r="G892">
            <v>44833</v>
          </cell>
          <cell r="H892" t="str">
            <v>32187</v>
          </cell>
          <cell r="I892" t="str">
            <v>https://www.smwcentral.net/?a=details&amp;id=32187&amp;p=section</v>
          </cell>
          <cell r="J892" t="str">
            <v>https://dl.smwcentral.net/32187/Luigi%27s%20Lost%20Levels%202%20-%20Back%20With%20A%20Revenge.zip</v>
          </cell>
        </row>
        <row r="893">
          <cell r="A893" t="str">
            <v>Luigi's Lost Levels 3 - Electrik Boogaloo</v>
          </cell>
          <cell r="B893" t="str">
            <v>Luigi's Lost Levels 3 - Electrik Boogaloo</v>
          </cell>
          <cell r="C893" t="str">
            <v>Romano338</v>
          </cell>
          <cell r="D893">
            <v>8</v>
          </cell>
          <cell r="E893" t="str">
            <v>Expert</v>
          </cell>
          <cell r="F893" t="str">
            <v>Kaizo</v>
          </cell>
          <cell r="G893">
            <v>44850</v>
          </cell>
          <cell r="H893" t="str">
            <v>32235</v>
          </cell>
          <cell r="I893" t="str">
            <v>https://www.smwcentral.net/?a=details&amp;id=32235&amp;p=section</v>
          </cell>
          <cell r="J893" t="str">
            <v>https://dl.smwcentral.net/32235/Luigi%27s%20Lost%20Levels%203%20-%20Electrik%20Boogaloo.zip</v>
          </cell>
        </row>
        <row r="894">
          <cell r="A894" t="str">
            <v>Luigi's Misadventures - Tsux Namine's factor</v>
          </cell>
          <cell r="B894" t="str">
            <v>Luigi's Misadventures - Tsux Namine's factor</v>
          </cell>
          <cell r="C894" t="str">
            <v>Roberto zampari</v>
          </cell>
          <cell r="D894">
            <v>108</v>
          </cell>
          <cell r="E894" t="str">
            <v>Casual</v>
          </cell>
          <cell r="F894" t="str">
            <v>Standard</v>
          </cell>
          <cell r="G894">
            <v>42924</v>
          </cell>
          <cell r="H894" t="str">
            <v>15802</v>
          </cell>
          <cell r="I894" t="str">
            <v>https://www.smwcentral.net/?a=details&amp;id=15802&amp;p=section</v>
          </cell>
          <cell r="J894" t="str">
            <v>https://dl.smwcentral.net/15802/Luigimisadventures.zip</v>
          </cell>
        </row>
        <row r="895">
          <cell r="A895" t="str">
            <v>Luigi's Misadventures 2 - Leviathan's Mania</v>
          </cell>
          <cell r="B895" t="str">
            <v>Luigi's Misadventures 2 - Leviathan's Mania</v>
          </cell>
          <cell r="C895" t="str">
            <v>Roberto zampari</v>
          </cell>
          <cell r="D895">
            <v>103</v>
          </cell>
          <cell r="E895" t="str">
            <v>Intermediate</v>
          </cell>
          <cell r="F895" t="str">
            <v>Standard</v>
          </cell>
          <cell r="G895">
            <v>43281</v>
          </cell>
          <cell r="H895" t="str">
            <v>17632</v>
          </cell>
          <cell r="I895" t="str">
            <v>https://www.smwcentral.net/?a=details&amp;id=17632&amp;p=section</v>
          </cell>
          <cell r="J895" t="str">
            <v>https://dl.smwcentral.net/17632/luigimiss2full2A.zip</v>
          </cell>
        </row>
        <row r="896">
          <cell r="A896" t="str">
            <v>Luigi's Misadventures 3 - Recipe for a disaster</v>
          </cell>
          <cell r="B896" t="str">
            <v>Luigi's Misadventures 3 - Recipe for a disaster</v>
          </cell>
          <cell r="C896" t="str">
            <v>Roberto zampari</v>
          </cell>
          <cell r="D896">
            <v>108</v>
          </cell>
          <cell r="E896" t="str">
            <v>Intermediate</v>
          </cell>
          <cell r="F896" t="str">
            <v>Standard</v>
          </cell>
          <cell r="G896">
            <v>43882</v>
          </cell>
          <cell r="H896" t="str">
            <v>21799</v>
          </cell>
          <cell r="I896" t="str">
            <v>https://www.smwcentral.net/?a=details&amp;id=21799&amp;p=section</v>
          </cell>
          <cell r="J896" t="str">
            <v>https://dl.smwcentral.net/21799/Luigimiss3full1A.zip</v>
          </cell>
        </row>
        <row r="897">
          <cell r="A897" t="str">
            <v>Luigi's Misadventures 4 - Galactic Kids Next Door</v>
          </cell>
          <cell r="B897" t="str">
            <v>Luigi's Misadventures 4 - Galactic Kids Next Door</v>
          </cell>
          <cell r="C897" t="str">
            <v>Roberto zampari</v>
          </cell>
          <cell r="D897">
            <v>105</v>
          </cell>
          <cell r="E897" t="str">
            <v>Intermediate</v>
          </cell>
          <cell r="F897" t="str">
            <v>Standard</v>
          </cell>
          <cell r="G897">
            <v>44760</v>
          </cell>
          <cell r="H897" t="str">
            <v>31321</v>
          </cell>
          <cell r="I897" t="str">
            <v>https://www.smwcentral.net/?a=details&amp;id=31321&amp;p=section</v>
          </cell>
          <cell r="J897" t="str">
            <v>https://dl.smwcentral.net/31321/Luigimiss4_U3.zip</v>
          </cell>
        </row>
        <row r="898">
          <cell r="A898" t="str">
            <v>Luigi's Misadventures 5 - Rougenia Merald's challenge</v>
          </cell>
          <cell r="B898" t="str">
            <v>Luigi's Misadventures 5 - Rougenia Merald's challenge</v>
          </cell>
          <cell r="C898" t="str">
            <v>Roberto zampari</v>
          </cell>
          <cell r="D898">
            <v>112</v>
          </cell>
          <cell r="E898" t="str">
            <v>Intermediate</v>
          </cell>
          <cell r="F898" t="str">
            <v>Standard</v>
          </cell>
          <cell r="G898">
            <v>45222</v>
          </cell>
          <cell r="H898" t="str">
            <v>35320</v>
          </cell>
          <cell r="I898" t="str">
            <v>https://www.smwcentral.net/?a=details&amp;id=35320&amp;p=section</v>
          </cell>
          <cell r="J898" t="str">
            <v>https://dl.smwcentral.net/35320/Luigimiss5full04A.zip</v>
          </cell>
        </row>
        <row r="899">
          <cell r="A899" t="str">
            <v>Luigi's Misadventures 6 - Bambulua</v>
          </cell>
          <cell r="B899" t="str">
            <v>Luigi's Misadventures 6 - Bambulua</v>
          </cell>
          <cell r="C899" t="str">
            <v>Roberto zampari</v>
          </cell>
          <cell r="D899">
            <v>103</v>
          </cell>
          <cell r="E899" t="str">
            <v>Intermediate</v>
          </cell>
          <cell r="F899" t="str">
            <v>Standard</v>
          </cell>
          <cell r="G899">
            <v>45739</v>
          </cell>
          <cell r="H899" t="str">
            <v>39177</v>
          </cell>
          <cell r="I899" t="str">
            <v>https://www.smwcentral.net/?a=details&amp;id=39177&amp;p=section</v>
          </cell>
          <cell r="J899" t="str">
            <v>https://dl.smwcentral.net/39177/Luigimiss6-F04a.zip</v>
          </cell>
        </row>
        <row r="900">
          <cell r="A900" t="str">
            <v>Luigi's New Quest</v>
          </cell>
          <cell r="B900" t="str">
            <v>Luigi's New Quest</v>
          </cell>
          <cell r="C900" t="str">
            <v>Mr. MS, edgar</v>
          </cell>
          <cell r="D900">
            <v>18</v>
          </cell>
          <cell r="E900" t="str">
            <v>Intermediate</v>
          </cell>
          <cell r="F900" t="str">
            <v>Standard</v>
          </cell>
          <cell r="G900">
            <v>45349</v>
          </cell>
          <cell r="H900" t="str">
            <v>37057</v>
          </cell>
          <cell r="I900" t="str">
            <v>https://www.smwcentral.net/?a=details&amp;id=37057&amp;p=section</v>
          </cell>
          <cell r="J900" t="str">
            <v>https://dl.smwcentral.net/37057/LuigisNewQuest.zip</v>
          </cell>
        </row>
        <row r="901">
          <cell r="A901" t="str">
            <v>Luigi's Revenge!</v>
          </cell>
          <cell r="B901" t="str">
            <v>Luigi's Revenge!</v>
          </cell>
          <cell r="C901" t="str">
            <v>Kaisaan</v>
          </cell>
          <cell r="D901">
            <v>7</v>
          </cell>
          <cell r="E901" t="str">
            <v>Casual</v>
          </cell>
          <cell r="F901" t="str">
            <v>Standard</v>
          </cell>
          <cell r="G901">
            <v>42503</v>
          </cell>
          <cell r="H901" t="str">
            <v>13613</v>
          </cell>
          <cell r="I901" t="str">
            <v>https://www.smwcentral.net/?a=details&amp;id=13613&amp;p=section</v>
          </cell>
          <cell r="J901" t="str">
            <v>https://dl.smwcentral.net/13613/Luigi%27s%20Revenge%21.zip</v>
          </cell>
        </row>
        <row r="902">
          <cell r="A902" t="str">
            <v>Luigi's Super Adventure - C3 Demo</v>
          </cell>
          <cell r="B902" t="str">
            <v>Luigi's Super Adventure - C3 Demo</v>
          </cell>
          <cell r="C902" t="str">
            <v>Dispace</v>
          </cell>
          <cell r="D902">
            <v>12</v>
          </cell>
          <cell r="E902" t="str">
            <v>Casual</v>
          </cell>
          <cell r="F902" t="str">
            <v>Standard</v>
          </cell>
          <cell r="G902">
            <v>44021</v>
          </cell>
          <cell r="H902" t="str">
            <v>23606</v>
          </cell>
          <cell r="I902" t="str">
            <v>https://www.smwcentral.net/?a=details&amp;id=23606&amp;p=section</v>
          </cell>
          <cell r="J902" t="str">
            <v>https://dl.smwcentral.net/23606/luigi_super_adventure_c3_demo_v1.02.zip</v>
          </cell>
        </row>
        <row r="903">
          <cell r="A903" t="str">
            <v>Luigi's Superstar Search</v>
          </cell>
          <cell r="B903" t="str">
            <v>Luigi's Superstar Search</v>
          </cell>
          <cell r="C903" t="str">
            <v>Delmaru</v>
          </cell>
          <cell r="D903">
            <v>11</v>
          </cell>
          <cell r="E903" t="str">
            <v>Newcomer</v>
          </cell>
          <cell r="F903" t="str">
            <v>Standard</v>
          </cell>
          <cell r="G903">
            <v>42224</v>
          </cell>
          <cell r="H903" t="str">
            <v>9912</v>
          </cell>
          <cell r="I903" t="str">
            <v>https://www.smwcentral.net/?a=details&amp;id=9912&amp;p=section</v>
          </cell>
          <cell r="J903" t="str">
            <v>https://dl.smwcentral.net/9912/LSSDemo1.1.zip</v>
          </cell>
        </row>
        <row r="904">
          <cell r="A904" t="str">
            <v>Luigis Story</v>
          </cell>
          <cell r="B904" t="str">
            <v>Luigis Story</v>
          </cell>
          <cell r="C904" t="str">
            <v>PaperMario94</v>
          </cell>
          <cell r="D904">
            <v>50</v>
          </cell>
          <cell r="E904" t="str">
            <v>Casual</v>
          </cell>
          <cell r="F904" t="str">
            <v>Standard</v>
          </cell>
          <cell r="G904">
            <v>42298</v>
          </cell>
          <cell r="H904" t="str">
            <v>10190</v>
          </cell>
          <cell r="I904" t="str">
            <v>https://www.smwcentral.net/?a=details&amp;id=10190&amp;p=section</v>
          </cell>
          <cell r="J904" t="str">
            <v>https://dl.smwcentral.net/10190/Luigis%20Story.zip</v>
          </cell>
        </row>
        <row r="905">
          <cell r="A905" t="str">
            <v>Luminescent</v>
          </cell>
          <cell r="B905" t="str">
            <v>Luminescent</v>
          </cell>
          <cell r="C905" t="str">
            <v>TheBourgyman</v>
          </cell>
          <cell r="D905">
            <v>16</v>
          </cell>
          <cell r="E905" t="str">
            <v>Expert</v>
          </cell>
          <cell r="F905" t="str">
            <v>Kaizo</v>
          </cell>
          <cell r="G905">
            <v>44539</v>
          </cell>
          <cell r="H905" t="str">
            <v>28951</v>
          </cell>
          <cell r="I905" t="str">
            <v>https://www.smwcentral.net/?a=details&amp;id=28951&amp;p=section</v>
          </cell>
          <cell r="J905" t="str">
            <v>https://dl.smwcentral.net/28951/Luminescent%20v1.02.zip</v>
          </cell>
        </row>
        <row r="906">
          <cell r="A906" t="str">
            <v>Lunar Legends</v>
          </cell>
          <cell r="B906" t="str">
            <v>Lunar Legends</v>
          </cell>
          <cell r="C906" t="str">
            <v>Chromite</v>
          </cell>
          <cell r="D906">
            <v>27</v>
          </cell>
          <cell r="E906" t="str">
            <v>Casual</v>
          </cell>
          <cell r="F906" t="str">
            <v>Standard</v>
          </cell>
          <cell r="G906">
            <v>41762</v>
          </cell>
          <cell r="H906" t="str">
            <v>6498</v>
          </cell>
          <cell r="I906" t="str">
            <v>https://www.smwcentral.net/?a=details&amp;id=6498&amp;p=section</v>
          </cell>
          <cell r="J906" t="str">
            <v>https://dl.smwcentral.net/6498/LL%20-%20C3%20Demo.zip</v>
          </cell>
        </row>
        <row r="907">
          <cell r="A907" t="str">
            <v>Lunar Legends: The Search</v>
          </cell>
          <cell r="B907" t="str">
            <v>Lunar Legends: The Search</v>
          </cell>
          <cell r="C907" t="str">
            <v>Chromite</v>
          </cell>
          <cell r="D907">
            <v>4</v>
          </cell>
          <cell r="E907" t="str">
            <v>Newcomer</v>
          </cell>
          <cell r="F907" t="str">
            <v>Standard</v>
          </cell>
          <cell r="G907">
            <v>41528</v>
          </cell>
          <cell r="H907" t="str">
            <v>5572</v>
          </cell>
          <cell r="I907" t="str">
            <v>https://www.smwcentral.net/?a=details&amp;id=5572&amp;p=section</v>
          </cell>
          <cell r="J907" t="str">
            <v>https://dl.smwcentral.net/5572/Lunar%20Legends%2C%20The%20Search%20-%20C3%20Demo.zip</v>
          </cell>
        </row>
        <row r="908">
          <cell r="A908" t="str">
            <v>Lunar Magic 1.0 Adventures</v>
          </cell>
          <cell r="B908" t="str">
            <v>Lunar Magic 1.0 Adventures</v>
          </cell>
          <cell r="C908" t="str">
            <v>Carld923, Gartore, Maxodex, Pinci, StanTheMackiar, VashVaati, anonimzwx</v>
          </cell>
          <cell r="D908">
            <v>7</v>
          </cell>
          <cell r="E908" t="str">
            <v>Casual</v>
          </cell>
          <cell r="F908" t="str">
            <v>Standard</v>
          </cell>
          <cell r="G908">
            <v>42205</v>
          </cell>
          <cell r="H908" t="str">
            <v>11760</v>
          </cell>
          <cell r="I908" t="str">
            <v>https://www.smwcentral.net/?a=details&amp;id=11760&amp;p=section</v>
          </cell>
          <cell r="J908" t="str">
            <v>https://dl.smwcentral.net/11760/LM%201.0%20Adventures%20v1.1.zip</v>
          </cell>
        </row>
        <row r="909">
          <cell r="A909" t="str">
            <v>LunchBreak</v>
          </cell>
          <cell r="B909" t="str">
            <v>LunchBreak</v>
          </cell>
          <cell r="C909" t="str">
            <v>ToxicRave</v>
          </cell>
          <cell r="D909">
            <v>10</v>
          </cell>
          <cell r="E909" t="str">
            <v>Intermediate</v>
          </cell>
          <cell r="F909" t="str">
            <v>Standard</v>
          </cell>
          <cell r="G909">
            <v>42163</v>
          </cell>
          <cell r="H909" t="str">
            <v>9818</v>
          </cell>
          <cell r="I909" t="str">
            <v>https://www.smwcentral.net/?a=details&amp;id=9818&amp;p=section</v>
          </cell>
          <cell r="J909" t="str">
            <v>https://dl.smwcentral.net/9818/LunchBreakDemo.zip</v>
          </cell>
        </row>
        <row r="910">
          <cell r="A910" t="str">
            <v>Lurn 2 Shell</v>
          </cell>
          <cell r="B910" t="str">
            <v>Lurn 2 Shell</v>
          </cell>
          <cell r="C910" t="str">
            <v>Wolfguy423</v>
          </cell>
          <cell r="D910">
            <v>59</v>
          </cell>
          <cell r="E910" t="str">
            <v>Advanced</v>
          </cell>
          <cell r="F910" t="str">
            <v>Kaizo</v>
          </cell>
          <cell r="G910">
            <v>45011</v>
          </cell>
          <cell r="H910" t="str">
            <v>33600</v>
          </cell>
          <cell r="I910" t="str">
            <v>https://www.smwcentral.net/?a=details&amp;id=33600&amp;p=section</v>
          </cell>
          <cell r="J910" t="str">
            <v>https://dl.smwcentral.net/33600/Lurn2Shell.zip</v>
          </cell>
        </row>
        <row r="911">
          <cell r="A911" t="str">
            <v>Lydian Mario World</v>
          </cell>
          <cell r="B911" t="str">
            <v>Lydian Mario World</v>
          </cell>
          <cell r="C911" t="str">
            <v>Jonah</v>
          </cell>
          <cell r="D911">
            <v>20</v>
          </cell>
          <cell r="E911" t="str">
            <v>Master</v>
          </cell>
          <cell r="F911" t="str">
            <v>Kaizo</v>
          </cell>
          <cell r="G911">
            <v>44634</v>
          </cell>
          <cell r="H911" t="str">
            <v>30107</v>
          </cell>
          <cell r="I911" t="str">
            <v>https://www.smwcentral.net/?a=details&amp;id=30107&amp;p=section</v>
          </cell>
          <cell r="J911" t="str">
            <v>https://dl.smwcentral.net/30107/Lydian%20Mario%20World.zip</v>
          </cell>
        </row>
        <row r="912">
          <cell r="A912" t="str">
            <v>Mad with Kaizo Power</v>
          </cell>
          <cell r="B912" t="str">
            <v>Mad with Kaizo Power</v>
          </cell>
          <cell r="C912" t="str">
            <v>NewPointless</v>
          </cell>
          <cell r="D912">
            <v>21</v>
          </cell>
          <cell r="E912" t="str">
            <v>Expert</v>
          </cell>
          <cell r="F912" t="str">
            <v>Kaizo</v>
          </cell>
          <cell r="G912">
            <v>44072</v>
          </cell>
          <cell r="H912" t="str">
            <v>24419</v>
          </cell>
          <cell r="I912" t="str">
            <v>https://www.smwcentral.net/?a=details&amp;id=24419&amp;p=section</v>
          </cell>
          <cell r="J912" t="str">
            <v>https://dl.smwcentral.net/24419/MadWithKaizoPower1_1.zip</v>
          </cell>
        </row>
        <row r="913">
          <cell r="A913" t="str">
            <v>Made of Fantasy</v>
          </cell>
          <cell r="B913" t="str">
            <v>Made of Fantasy</v>
          </cell>
          <cell r="C913" t="str">
            <v>Saphros</v>
          </cell>
          <cell r="D913">
            <v>16</v>
          </cell>
          <cell r="E913" t="str">
            <v>Advanced</v>
          </cell>
          <cell r="F913" t="str">
            <v>Kaizo</v>
          </cell>
          <cell r="G913">
            <v>45791</v>
          </cell>
          <cell r="H913" t="str">
            <v>39844</v>
          </cell>
          <cell r="I913" t="str">
            <v>https://www.smwcentral.net/?a=details&amp;id=39844&amp;p=section</v>
          </cell>
          <cell r="J913" t="str">
            <v>https://dl.smwcentral.net/39844/Made%20of%20Fantasy%20v1.1.1.zip</v>
          </cell>
        </row>
        <row r="914">
          <cell r="A914" t="str">
            <v>Magiopolis</v>
          </cell>
          <cell r="B914" t="str">
            <v>Magiopolis</v>
          </cell>
          <cell r="C914" t="str">
            <v>Mpereira</v>
          </cell>
          <cell r="D914">
            <v>70</v>
          </cell>
          <cell r="E914" t="str">
            <v>Intermediate</v>
          </cell>
          <cell r="F914" t="str">
            <v>Standard</v>
          </cell>
          <cell r="G914">
            <v>44497</v>
          </cell>
          <cell r="H914" t="str">
            <v>28580</v>
          </cell>
          <cell r="I914" t="str">
            <v>https://www.smwcentral.net/?a=details&amp;id=28580&amp;p=section</v>
          </cell>
          <cell r="J914" t="str">
            <v>https://dl.smwcentral.net/28580/Magiopolis.zip</v>
          </cell>
        </row>
        <row r="915">
          <cell r="A915" t="str">
            <v>Mahogen</v>
          </cell>
          <cell r="B915" t="str">
            <v>Mahogen</v>
          </cell>
          <cell r="C915" t="str">
            <v>marleymm</v>
          </cell>
          <cell r="D915">
            <v>17</v>
          </cell>
          <cell r="E915" t="str">
            <v>Advanced</v>
          </cell>
          <cell r="F915" t="str">
            <v>Kaizo</v>
          </cell>
          <cell r="G915">
            <v>44278</v>
          </cell>
          <cell r="H915" t="str">
            <v>26519</v>
          </cell>
          <cell r="I915" t="str">
            <v>https://www.smwcentral.net/?a=details&amp;id=26519&amp;p=section</v>
          </cell>
          <cell r="J915" t="str">
            <v>https://dl.smwcentral.net/26519/Mahogen.zip</v>
          </cell>
        </row>
        <row r="916">
          <cell r="A916" t="str">
            <v>mancorsa</v>
          </cell>
          <cell r="B916" t="str">
            <v>mancorsa</v>
          </cell>
          <cell r="C916" t="str">
            <v>Steven Atauchi, alvinwawa</v>
          </cell>
          <cell r="D916">
            <v>13</v>
          </cell>
          <cell r="E916" t="str">
            <v>Advanced</v>
          </cell>
          <cell r="F916" t="str">
            <v>Kaizo</v>
          </cell>
          <cell r="G916">
            <v>45479</v>
          </cell>
          <cell r="H916" t="str">
            <v>38063</v>
          </cell>
          <cell r="I916" t="str">
            <v>https://www.smwcentral.net/?a=details&amp;id=38063&amp;p=section</v>
          </cell>
          <cell r="J916" t="str">
            <v>https://dl.smwcentral.net/38063/mancorsa.zip</v>
          </cell>
        </row>
        <row r="917">
          <cell r="A917" t="str">
            <v>Maple Island</v>
          </cell>
          <cell r="B917" t="str">
            <v>Maple Island</v>
          </cell>
          <cell r="C917" t="str">
            <v>Jungche</v>
          </cell>
          <cell r="D917">
            <v>8</v>
          </cell>
          <cell r="E917" t="str">
            <v>Newcomer</v>
          </cell>
          <cell r="F917" t="str">
            <v>Standard</v>
          </cell>
          <cell r="G917">
            <v>42279</v>
          </cell>
          <cell r="H917" t="str">
            <v>9889</v>
          </cell>
          <cell r="I917" t="str">
            <v>https://www.smwcentral.net/?a=details&amp;id=9889&amp;p=section</v>
          </cell>
          <cell r="J917" t="str">
            <v>https://dl.smwcentral.net/9889/Maple%20Island%20DEMO.zip</v>
          </cell>
        </row>
        <row r="918">
          <cell r="A918" t="str">
            <v>MARIO [SMWC #6416]</v>
          </cell>
          <cell r="B918" t="str">
            <v>MARIO</v>
          </cell>
          <cell r="C918" t="str">
            <v>Adam, M A R I O</v>
          </cell>
          <cell r="D918">
            <v>7</v>
          </cell>
          <cell r="E918" t="str">
            <v>Newcomer</v>
          </cell>
          <cell r="F918" t="str">
            <v>Standard</v>
          </cell>
          <cell r="G918">
            <v>41714</v>
          </cell>
          <cell r="H918" t="str">
            <v>6416</v>
          </cell>
          <cell r="I918" t="str">
            <v>https://www.smwcentral.net/?a=details&amp;id=6416&amp;p=section</v>
          </cell>
          <cell r="J918" t="str">
            <v>https://dl.smwcentral.net/6416/MARIO.zip</v>
          </cell>
        </row>
        <row r="919">
          <cell r="A919" t="str">
            <v>Mario [SMWC #9891]</v>
          </cell>
          <cell r="B919" t="str">
            <v>Mario</v>
          </cell>
          <cell r="C919" t="str">
            <v>UmbreonRomReviews</v>
          </cell>
          <cell r="D919">
            <v>5</v>
          </cell>
          <cell r="E919" t="str">
            <v>Newcomer</v>
          </cell>
          <cell r="F919" t="str">
            <v>Standard</v>
          </cell>
          <cell r="G919">
            <v>42237</v>
          </cell>
          <cell r="H919" t="str">
            <v>9891</v>
          </cell>
          <cell r="I919" t="str">
            <v>https://www.smwcentral.net/?a=details&amp;id=9891&amp;p=section</v>
          </cell>
          <cell r="J919" t="str">
            <v>https://dl.smwcentral.net/9891/Mario.zip</v>
          </cell>
        </row>
        <row r="920">
          <cell r="A920" t="str">
            <v>Mario &amp; Friends in: Volcanic Panic</v>
          </cell>
          <cell r="B920" t="str">
            <v>Mario &amp; Friends in: Volcanic Panic</v>
          </cell>
          <cell r="C920" t="str">
            <v>CircleFriendo, HamOfJustice, sio-kedelic</v>
          </cell>
          <cell r="D920">
            <v>21</v>
          </cell>
          <cell r="E920" t="str">
            <v>Casual</v>
          </cell>
          <cell r="F920" t="str">
            <v>Standard</v>
          </cell>
          <cell r="G920">
            <v>45648</v>
          </cell>
          <cell r="H920" t="str">
            <v>38927</v>
          </cell>
          <cell r="I920" t="str">
            <v>https://www.smwcentral.net/?a=details&amp;id=38927&amp;p=section</v>
          </cell>
          <cell r="J920" t="str">
            <v>https://dl.smwcentral.net/38927/marioandfriends2.zip</v>
          </cell>
        </row>
        <row r="921">
          <cell r="A921" t="str">
            <v>Mario &amp; La Sphère de Toad 2</v>
          </cell>
          <cell r="B921" t="str">
            <v>Mario &amp; La Sphère de Toad 2</v>
          </cell>
          <cell r="C921" t="str">
            <v>Aurel509</v>
          </cell>
          <cell r="D921">
            <v>26</v>
          </cell>
          <cell r="E921" t="str">
            <v>Casual</v>
          </cell>
          <cell r="F921" t="str">
            <v>Standard</v>
          </cell>
          <cell r="G921">
            <v>41821</v>
          </cell>
          <cell r="H921" t="str">
            <v>6809</v>
          </cell>
          <cell r="I921" t="str">
            <v>https://www.smwcentral.net/?a=details&amp;id=6809&amp;p=section</v>
          </cell>
          <cell r="J921" t="str">
            <v>https://dl.smwcentral.net/6809/Mario%20%26%20la%20sph%C3%A8re%20de%20Toad%20Demo%202%20%28%20V.0.6%29%20Fixed%20%20bugs%20%282%29.zip</v>
          </cell>
        </row>
        <row r="922">
          <cell r="A922" t="str">
            <v>Mario &amp; Luigi - Mecha Koopa Mayhem</v>
          </cell>
          <cell r="B922" t="str">
            <v>Mario &amp; Luigi - Mecha Koopa Mayhem</v>
          </cell>
          <cell r="C922" t="str">
            <v>Kitikuchan, Kusamochi, This Eye o' Mine</v>
          </cell>
          <cell r="D922">
            <v>7</v>
          </cell>
          <cell r="E922" t="str">
            <v>Casual</v>
          </cell>
          <cell r="F922" t="str">
            <v>Standard</v>
          </cell>
          <cell r="G922">
            <v>44676</v>
          </cell>
          <cell r="H922" t="str">
            <v>29716</v>
          </cell>
          <cell r="I922" t="str">
            <v>https://www.smwcentral.net/?a=details&amp;id=29716&amp;p=section</v>
          </cell>
          <cell r="J922" t="str">
            <v>https://dl.smwcentral.net/29716/Mecha_Koopa_Mayhem_v1.21.zip</v>
          </cell>
        </row>
        <row r="923">
          <cell r="A923" t="str">
            <v>Mario &amp; Luigi DOS Remake</v>
          </cell>
          <cell r="B923" t="str">
            <v>Mario &amp; Luigi DOS Remake</v>
          </cell>
          <cell r="C923" t="str">
            <v>Superjustinbros</v>
          </cell>
          <cell r="D923">
            <v>6</v>
          </cell>
          <cell r="E923" t="str">
            <v>Newcomer</v>
          </cell>
          <cell r="F923" t="str">
            <v>Standard</v>
          </cell>
          <cell r="G923">
            <v>42108</v>
          </cell>
          <cell r="H923" t="str">
            <v>10092</v>
          </cell>
          <cell r="I923" t="str">
            <v>https://www.smwcentral.net/?a=details&amp;id=10092&amp;p=section</v>
          </cell>
          <cell r="J923" t="str">
            <v>https://dl.smwcentral.net/10092/Mario%20%26%20Luigi%20DOSv2.ips.zip</v>
          </cell>
        </row>
        <row r="924">
          <cell r="A924" t="str">
            <v>Mario &amp; Luigi: Adventures</v>
          </cell>
          <cell r="B924" t="str">
            <v>Mario &amp; Luigi: Adventures</v>
          </cell>
          <cell r="C924" t="str">
            <v>Marioman</v>
          </cell>
          <cell r="D924">
            <v>5</v>
          </cell>
          <cell r="E924" t="str">
            <v>Newcomer</v>
          </cell>
          <cell r="F924" t="str">
            <v>Standard</v>
          </cell>
          <cell r="G924">
            <v>42229</v>
          </cell>
          <cell r="H924" t="str">
            <v>9856</v>
          </cell>
          <cell r="I924" t="str">
            <v>https://www.smwcentral.net/?a=details&amp;id=9856&amp;p=section</v>
          </cell>
          <cell r="J924" t="str">
            <v>https://dl.smwcentral.net/9856/M%26L%20Adventures.zip</v>
          </cell>
        </row>
        <row r="925">
          <cell r="A925" t="str">
            <v>Mario &amp; Luigi: Kola Kingdom Quest</v>
          </cell>
          <cell r="B925" t="str">
            <v>Mario &amp; Luigi: Kola Kingdom Quest</v>
          </cell>
          <cell r="C925" t="str">
            <v>Gamma V</v>
          </cell>
          <cell r="D925">
            <v>86</v>
          </cell>
          <cell r="E925" t="str">
            <v>Casual</v>
          </cell>
          <cell r="F925" t="str">
            <v>Standard</v>
          </cell>
          <cell r="G925">
            <v>42939</v>
          </cell>
          <cell r="H925" t="str">
            <v>15940</v>
          </cell>
          <cell r="I925" t="str">
            <v>https://www.smwcentral.net/?a=details&amp;id=15940&amp;p=section</v>
          </cell>
          <cell r="J925" t="str">
            <v>https://dl.smwcentral.net/15940/KKQFixedIntros.zip</v>
          </cell>
        </row>
        <row r="926">
          <cell r="A926" t="str">
            <v>Mario &amp; Luigi: Power Blast</v>
          </cell>
          <cell r="B926" t="str">
            <v>Mario &amp; Luigi: Power Blast</v>
          </cell>
          <cell r="C926" t="str">
            <v>FridayFables</v>
          </cell>
          <cell r="D926">
            <v>16</v>
          </cell>
          <cell r="E926" t="str">
            <v>Intermediate</v>
          </cell>
          <cell r="F926" t="str">
            <v>Standard</v>
          </cell>
          <cell r="G926">
            <v>43373</v>
          </cell>
          <cell r="H926" t="str">
            <v>18162</v>
          </cell>
          <cell r="I926" t="str">
            <v>https://www.smwcentral.net/?a=details&amp;id=18162&amp;p=section</v>
          </cell>
          <cell r="J926" t="str">
            <v>https://dl.smwcentral.net/18162/MarioLuigiPowerBlastDemo.zip</v>
          </cell>
        </row>
        <row r="927">
          <cell r="A927" t="str">
            <v>Mario &amp; Luigi: Starlight Island Adventure</v>
          </cell>
          <cell r="B927" t="str">
            <v>Mario &amp; Luigi: Starlight Island Adventure</v>
          </cell>
          <cell r="C927" t="str">
            <v>Gamma V</v>
          </cell>
          <cell r="D927">
            <v>44</v>
          </cell>
          <cell r="E927" t="str">
            <v>Casual</v>
          </cell>
          <cell r="F927" t="str">
            <v>Standard</v>
          </cell>
          <cell r="G927">
            <v>42334</v>
          </cell>
          <cell r="H927" t="str">
            <v>12162</v>
          </cell>
          <cell r="I927" t="str">
            <v>https://www.smwcentral.net/?a=details&amp;id=12162&amp;p=section</v>
          </cell>
          <cell r="J927" t="str">
            <v>https://dl.smwcentral.net/12162/Starlight%20Island%20Adventure.zip</v>
          </cell>
        </row>
        <row r="928">
          <cell r="A928" t="str">
            <v>Mario &amp; Waluigi: In Search of Luigi</v>
          </cell>
          <cell r="B928" t="str">
            <v>Mario &amp; Waluigi: In Search of Luigi</v>
          </cell>
          <cell r="C928" t="str">
            <v>Arinsu</v>
          </cell>
          <cell r="D928">
            <v>28</v>
          </cell>
          <cell r="E928" t="str">
            <v>Casual</v>
          </cell>
          <cell r="F928" t="str">
            <v>Standard</v>
          </cell>
          <cell r="G928">
            <v>42217</v>
          </cell>
          <cell r="H928" t="str">
            <v>11900</v>
          </cell>
          <cell r="I928" t="str">
            <v>https://www.smwcentral.net/?a=details&amp;id=11900&amp;p=section</v>
          </cell>
          <cell r="J928" t="str">
            <v>https://dl.smwcentral.net/11900/M%26W%20-%20ISoL.zip</v>
          </cell>
        </row>
        <row r="929">
          <cell r="A929" t="str">
            <v>Mario - Crazy Adventures 1: Lost in Subcoony World</v>
          </cell>
          <cell r="B929" t="str">
            <v>Mario - Crazy Adventures 1: Lost in Subcoony World</v>
          </cell>
          <cell r="C929" t="str">
            <v>Major Flare</v>
          </cell>
          <cell r="D929">
            <v>8</v>
          </cell>
          <cell r="E929" t="str">
            <v>Newcomer</v>
          </cell>
          <cell r="F929" t="str">
            <v>Standard</v>
          </cell>
          <cell r="G929">
            <v>41528</v>
          </cell>
          <cell r="H929" t="str">
            <v>5276</v>
          </cell>
          <cell r="I929" t="str">
            <v>https://www.smwcentral.net/?a=details&amp;id=5276&amp;p=section</v>
          </cell>
          <cell r="J929" t="str">
            <v>https://dl.smwcentral.net/5276/Crazy%20adventure%20demo%201.zip</v>
          </cell>
        </row>
        <row r="930">
          <cell r="A930" t="str">
            <v>Mario - The Currently Unnamed Hack</v>
          </cell>
          <cell r="B930" t="str">
            <v>Mario - The Currently Unnamed Hack</v>
          </cell>
          <cell r="C930" t="str">
            <v>Halzyn</v>
          </cell>
          <cell r="D930">
            <v>6</v>
          </cell>
          <cell r="E930" t="str">
            <v>Intermediate</v>
          </cell>
          <cell r="F930" t="str">
            <v>Standard</v>
          </cell>
          <cell r="G930">
            <v>42217</v>
          </cell>
          <cell r="H930" t="str">
            <v>9837</v>
          </cell>
          <cell r="I930" t="str">
            <v>https://www.smwcentral.net/?a=details&amp;id=9837&amp;p=section</v>
          </cell>
          <cell r="J930" t="str">
            <v>https://dl.smwcentral.net/9837/mario%20-%20tcuh.zip</v>
          </cell>
        </row>
        <row r="931">
          <cell r="A931" t="str">
            <v>Mario - The Mystical Gem</v>
          </cell>
          <cell r="B931" t="str">
            <v>Mario - The Mystical Gem</v>
          </cell>
          <cell r="C931" t="str">
            <v>Mr. MS</v>
          </cell>
          <cell r="D931">
            <v>35</v>
          </cell>
          <cell r="E931" t="str">
            <v>Casual</v>
          </cell>
          <cell r="F931" t="str">
            <v>Standard</v>
          </cell>
          <cell r="G931">
            <v>45349</v>
          </cell>
          <cell r="H931" t="str">
            <v>36967</v>
          </cell>
          <cell r="I931" t="str">
            <v>https://www.smwcentral.net/?a=details&amp;id=36967&amp;p=section</v>
          </cell>
          <cell r="J931" t="str">
            <v>https://dl.smwcentral.net/36967/MTMGR1_8.zip</v>
          </cell>
        </row>
        <row r="932">
          <cell r="A932" t="str">
            <v>Mario and Friends in: The Ghost's Gallery</v>
          </cell>
          <cell r="B932" t="str">
            <v>Mario and Friends in: The Ghost's Gallery</v>
          </cell>
          <cell r="C932" t="str">
            <v>CircleFriendo, HamOfJustice, sio-kedelic</v>
          </cell>
          <cell r="D932">
            <v>1</v>
          </cell>
          <cell r="E932" t="str">
            <v>Casual</v>
          </cell>
          <cell r="F932" t="str">
            <v>Standard</v>
          </cell>
          <cell r="G932">
            <v>44565</v>
          </cell>
          <cell r="H932" t="str">
            <v>29048</v>
          </cell>
          <cell r="I932" t="str">
            <v>https://www.smwcentral.net/?a=details&amp;id=29048&amp;p=section</v>
          </cell>
          <cell r="J932" t="str">
            <v>https://dl.smwcentral.net/29048/marioandfriends.zip</v>
          </cell>
        </row>
        <row r="933">
          <cell r="A933" t="str">
            <v>Mario and Luigi Go to White Castle</v>
          </cell>
          <cell r="B933" t="str">
            <v>Mario and Luigi Go to White Castle</v>
          </cell>
          <cell r="C933" t="str">
            <v>Scrambles_</v>
          </cell>
          <cell r="D933">
            <v>1</v>
          </cell>
          <cell r="E933" t="str">
            <v>Advanced</v>
          </cell>
          <cell r="F933" t="str">
            <v>Kaizo</v>
          </cell>
          <cell r="G933">
            <v>44492</v>
          </cell>
          <cell r="H933" t="str">
            <v>28604</v>
          </cell>
          <cell r="I933" t="str">
            <v>https://www.smwcentral.net/?a=details&amp;id=28604&amp;p=section</v>
          </cell>
          <cell r="J933" t="str">
            <v>https://dl.smwcentral.net/28604/White%20Castle.zip</v>
          </cell>
        </row>
        <row r="934">
          <cell r="A934" t="str">
            <v>Mario and Luigi in an Unknown Island [SMWC #23496]</v>
          </cell>
          <cell r="B934" t="str">
            <v>Mario and Luigi in an Unknown Island</v>
          </cell>
          <cell r="C934" t="str">
            <v>MirrorReflect</v>
          </cell>
          <cell r="D934">
            <v>12</v>
          </cell>
          <cell r="E934" t="str">
            <v>Casual</v>
          </cell>
          <cell r="F934" t="str">
            <v>Standard</v>
          </cell>
          <cell r="G934">
            <v>44012</v>
          </cell>
          <cell r="H934" t="str">
            <v>23496</v>
          </cell>
          <cell r="I934" t="str">
            <v>https://www.smwcentral.net/?a=details&amp;id=23496&amp;p=section</v>
          </cell>
          <cell r="J934" t="str">
            <v>https://dl.smwcentral.net/23496/Mario%20and%20Luigi%20in%20an%20Unknown%20Island.zip</v>
          </cell>
        </row>
        <row r="935">
          <cell r="A935" t="str">
            <v>Mario and Luigi in an Unknown Island [SMWC #34207]</v>
          </cell>
          <cell r="B935" t="str">
            <v>Mario and Luigi in an Unknown Island</v>
          </cell>
          <cell r="C935" t="str">
            <v>MirrorReflect</v>
          </cell>
          <cell r="D935">
            <v>33</v>
          </cell>
          <cell r="E935" t="str">
            <v>Casual</v>
          </cell>
          <cell r="F935" t="str">
            <v>Standard</v>
          </cell>
          <cell r="G935">
            <v>45109</v>
          </cell>
          <cell r="H935" t="str">
            <v>34207</v>
          </cell>
          <cell r="I935" t="str">
            <v>https://www.smwcentral.net/?a=details&amp;id=34207&amp;p=section</v>
          </cell>
          <cell r="J935" t="str">
            <v>https://dl.smwcentral.net/34207/Mario%20and%20Luigi%20in%20an%20Unknown%20Island.zip</v>
          </cell>
        </row>
        <row r="936">
          <cell r="A936" t="str">
            <v>Mario and Luigi in an Unknown Island [SMWC #40092]</v>
          </cell>
          <cell r="B936" t="str">
            <v>Mario and Luigi in an Unknown Island</v>
          </cell>
          <cell r="C936" t="str">
            <v>MirrorReflect</v>
          </cell>
          <cell r="D936">
            <v>40</v>
          </cell>
          <cell r="E936" t="str">
            <v>Intermediate</v>
          </cell>
          <cell r="F936" t="str">
            <v>Standard</v>
          </cell>
          <cell r="G936">
            <v>45851</v>
          </cell>
          <cell r="H936" t="str">
            <v>40092</v>
          </cell>
          <cell r="I936" t="str">
            <v>https://www.smwcentral.net/?a=details&amp;id=40092&amp;p=section</v>
          </cell>
          <cell r="J936" t="str">
            <v>https://dl.smwcentral.net/40092/M%26L%20UI.zip</v>
          </cell>
        </row>
        <row r="937">
          <cell r="A937" t="str">
            <v>Mario and luigi MEGA Adventure 1</v>
          </cell>
          <cell r="B937" t="str">
            <v>Mario and luigi MEGA Adventure 1</v>
          </cell>
          <cell r="C937" t="str">
            <v>Master mario 27</v>
          </cell>
          <cell r="D937">
            <v>6</v>
          </cell>
          <cell r="E937" t="str">
            <v>Casual</v>
          </cell>
          <cell r="F937" t="str">
            <v>Standard</v>
          </cell>
          <cell r="G937">
            <v>42338</v>
          </cell>
          <cell r="H937" t="str">
            <v>10137</v>
          </cell>
          <cell r="I937" t="str">
            <v>https://www.smwcentral.net/?a=details&amp;id=10137&amp;p=section</v>
          </cell>
          <cell r="J937" t="str">
            <v>https://dl.smwcentral.net/10137/Mario%20and%20Luigi%20MEGA%20Adventure%201%20Demo%202.0.zip</v>
          </cell>
        </row>
        <row r="938">
          <cell r="A938" t="str">
            <v>Mario And Luigi: Super Berry World</v>
          </cell>
          <cell r="B938" t="str">
            <v>Mario And Luigi: Super Berry World</v>
          </cell>
          <cell r="C938" t="str">
            <v>LeonDragonCat, ViralTyphlosion</v>
          </cell>
          <cell r="D938">
            <v>8</v>
          </cell>
          <cell r="E938" t="str">
            <v>Casual</v>
          </cell>
          <cell r="F938" t="str">
            <v>Standard</v>
          </cell>
          <cell r="G938">
            <v>42872</v>
          </cell>
          <cell r="H938" t="str">
            <v>15571</v>
          </cell>
          <cell r="I938" t="str">
            <v>https://www.smwcentral.net/?a=details&amp;id=15571&amp;p=section</v>
          </cell>
          <cell r="J938" t="str">
            <v>https://dl.smwcentral.net/15571/Mario%20and%20Luigi%20Super%20Berry%20World%20First%20Demo.zip</v>
          </cell>
        </row>
        <row r="939">
          <cell r="A939" t="str">
            <v>Mario and The 5 Golden Eggs</v>
          </cell>
          <cell r="B939" t="str">
            <v>Mario and The 5 Golden Eggs</v>
          </cell>
          <cell r="C939" t="str">
            <v>Zildjian</v>
          </cell>
          <cell r="D939">
            <v>6</v>
          </cell>
          <cell r="E939" t="str">
            <v>Casual</v>
          </cell>
          <cell r="F939" t="str">
            <v>Standard</v>
          </cell>
          <cell r="G939">
            <v>42214</v>
          </cell>
          <cell r="H939" t="str">
            <v>10098</v>
          </cell>
          <cell r="I939" t="str">
            <v>https://www.smwcentral.net/?a=details&amp;id=10098&amp;p=section</v>
          </cell>
          <cell r="J939" t="str">
            <v>https://dl.smwcentral.net/10098/Mario%20and%20the%205%20Golden%20Eggs.zip</v>
          </cell>
        </row>
        <row r="940">
          <cell r="A940" t="str">
            <v>Mario and the Cursed Coins</v>
          </cell>
          <cell r="B940" t="str">
            <v>Mario and the Cursed Coins</v>
          </cell>
          <cell r="C940" t="str">
            <v>RedboneBit</v>
          </cell>
          <cell r="D940">
            <v>3</v>
          </cell>
          <cell r="E940" t="str">
            <v>Casual</v>
          </cell>
          <cell r="F940" t="str">
            <v>Standard</v>
          </cell>
          <cell r="G940">
            <v>42153</v>
          </cell>
          <cell r="H940" t="str">
            <v>9913</v>
          </cell>
          <cell r="I940" t="str">
            <v>https://www.smwcentral.net/?a=details&amp;id=9913&amp;p=section</v>
          </cell>
          <cell r="J940" t="str">
            <v>https://dl.smwcentral.net/9913/CursedCoinsSampler.zip</v>
          </cell>
        </row>
        <row r="941">
          <cell r="A941" t="str">
            <v>Mario And The Diamond Moon</v>
          </cell>
          <cell r="B941" t="str">
            <v>Mario And The Diamond Moon</v>
          </cell>
          <cell r="C941" t="str">
            <v>Enan63</v>
          </cell>
          <cell r="D941">
            <v>8</v>
          </cell>
          <cell r="E941" t="str">
            <v>Intermediate</v>
          </cell>
          <cell r="F941" t="str">
            <v>Standard</v>
          </cell>
          <cell r="G941">
            <v>45725</v>
          </cell>
          <cell r="H941" t="str">
            <v>39488</v>
          </cell>
          <cell r="I941" t="str">
            <v>https://www.smwcentral.net/?a=details&amp;id=39488&amp;p=section</v>
          </cell>
          <cell r="J941" t="str">
            <v>https://dl.smwcentral.net/39488/Mario%27s%20And%20The%20Diamond%20Moon.zip</v>
          </cell>
        </row>
        <row r="942">
          <cell r="A942" t="str">
            <v>Mario and the Forgotten Flower</v>
          </cell>
          <cell r="B942" t="str">
            <v>Mario and the Forgotten Flower</v>
          </cell>
          <cell r="C942" t="str">
            <v>Kh2playa</v>
          </cell>
          <cell r="D942">
            <v>5</v>
          </cell>
          <cell r="E942" t="str">
            <v>Casual</v>
          </cell>
          <cell r="F942" t="str">
            <v>Standard</v>
          </cell>
          <cell r="G942">
            <v>42236</v>
          </cell>
          <cell r="H942" t="str">
            <v>9846</v>
          </cell>
          <cell r="I942" t="str">
            <v>https://www.smwcentral.net/?a=details&amp;id=9846&amp;p=section</v>
          </cell>
          <cell r="J942" t="str">
            <v>https://dl.smwcentral.net/9846/Mario%20forgotten%20flower.zip</v>
          </cell>
        </row>
        <row r="943">
          <cell r="A943" t="str">
            <v>Mario And The Golden Star</v>
          </cell>
          <cell r="B943" t="str">
            <v>Mario And The Golden Star</v>
          </cell>
          <cell r="C943" t="str">
            <v>Enan63</v>
          </cell>
          <cell r="D943">
            <v>7</v>
          </cell>
          <cell r="E943" t="str">
            <v>Intermediate</v>
          </cell>
          <cell r="F943" t="str">
            <v>Standard</v>
          </cell>
          <cell r="G943">
            <v>46075</v>
          </cell>
          <cell r="H943" t="str">
            <v>41605</v>
          </cell>
          <cell r="I943" t="str">
            <v>https://www.smwcentral.net/?a=details&amp;id=41605&amp;p=section</v>
          </cell>
          <cell r="J943" t="str">
            <v>https://dl.smwcentral.net/41605/Mario%20And%20The%20Golden%20Star.zip</v>
          </cell>
        </row>
        <row r="944">
          <cell r="A944" t="str">
            <v>Mario and the Haunted Forest 2: Kamek's Return</v>
          </cell>
          <cell r="B944" t="str">
            <v>Mario and the Haunted Forest 2: Kamek's Return</v>
          </cell>
          <cell r="C944" t="str">
            <v>Mr.GameAndWatch</v>
          </cell>
          <cell r="D944">
            <v>11</v>
          </cell>
          <cell r="E944" t="str">
            <v>Newcomer</v>
          </cell>
          <cell r="F944" t="str">
            <v>Standard</v>
          </cell>
          <cell r="G944">
            <v>42091</v>
          </cell>
          <cell r="H944" t="str">
            <v>9802</v>
          </cell>
          <cell r="I944" t="str">
            <v>https://www.smwcentral.net/?a=details&amp;id=9802&amp;p=section</v>
          </cell>
          <cell r="J944" t="str">
            <v>https://dl.smwcentral.net/9802/MATHF%20DEMO%201.1.zip</v>
          </cell>
        </row>
        <row r="945">
          <cell r="A945" t="str">
            <v>Mario and the Kaizo Trials</v>
          </cell>
          <cell r="B945" t="str">
            <v>Mario and the Kaizo Trials</v>
          </cell>
          <cell r="C945" t="str">
            <v>PedroHrodrigues</v>
          </cell>
          <cell r="D945">
            <v>18</v>
          </cell>
          <cell r="E945" t="str">
            <v>Advanced</v>
          </cell>
          <cell r="F945" t="str">
            <v>Kaizo</v>
          </cell>
          <cell r="G945">
            <v>43957</v>
          </cell>
          <cell r="H945" t="str">
            <v>22897</v>
          </cell>
          <cell r="I945" t="str">
            <v>https://www.smwcentral.net/?a=details&amp;id=22897&amp;p=section</v>
          </cell>
          <cell r="J945" t="str">
            <v>https://dl.smwcentral.net/22897/MarioAndTheKaizoTrials.zip</v>
          </cell>
        </row>
        <row r="946">
          <cell r="A946" t="str">
            <v>Mario and the Magic Switches</v>
          </cell>
          <cell r="B946" t="str">
            <v>Mario and the Magic Switches</v>
          </cell>
          <cell r="C946" t="str">
            <v>yoshiapplecachetitos</v>
          </cell>
          <cell r="D946">
            <v>8</v>
          </cell>
          <cell r="E946" t="str">
            <v>Casual</v>
          </cell>
          <cell r="F946" t="str">
            <v>Standard</v>
          </cell>
          <cell r="G946">
            <v>42315</v>
          </cell>
          <cell r="H946" t="str">
            <v>10179</v>
          </cell>
          <cell r="I946" t="str">
            <v>https://www.smwcentral.net/?a=details&amp;id=10179&amp;p=section</v>
          </cell>
          <cell r="J946" t="str">
            <v>https://dl.smwcentral.net/10179/Mario%20and%20the%20Magic%20Switches%20v1.2.zip</v>
          </cell>
        </row>
        <row r="947">
          <cell r="A947" t="str">
            <v>Mario and the Mushroom of Power</v>
          </cell>
          <cell r="B947" t="str">
            <v>Mario and the Mushroom of Power</v>
          </cell>
          <cell r="C947" t="str">
            <v>SafeDesire</v>
          </cell>
          <cell r="D947">
            <v>12</v>
          </cell>
          <cell r="E947" t="str">
            <v>Casual</v>
          </cell>
          <cell r="F947" t="str">
            <v>Standard</v>
          </cell>
          <cell r="G947">
            <v>42224</v>
          </cell>
          <cell r="H947" t="str">
            <v>9851</v>
          </cell>
          <cell r="I947" t="str">
            <v>https://www.smwcentral.net/?a=details&amp;id=9851&amp;p=section</v>
          </cell>
          <cell r="J947" t="str">
            <v>https://dl.smwcentral.net/9851/Mario%20and%20The%20Mushroom%20of%20Power.zip</v>
          </cell>
        </row>
        <row r="948">
          <cell r="A948" t="str">
            <v>Mario and the Mysterious Robot</v>
          </cell>
          <cell r="B948" t="str">
            <v>Mario and the Mysterious Robot</v>
          </cell>
          <cell r="C948" t="str">
            <v>Firebar</v>
          </cell>
          <cell r="D948">
            <v>10</v>
          </cell>
          <cell r="E948" t="str">
            <v>Casual</v>
          </cell>
          <cell r="F948" t="str">
            <v>Standard</v>
          </cell>
          <cell r="G948">
            <v>41569</v>
          </cell>
          <cell r="H948" t="str">
            <v>5113</v>
          </cell>
          <cell r="I948" t="str">
            <v>https://www.smwcentral.net/?a=details&amp;id=5113&amp;p=section</v>
          </cell>
          <cell r="J948" t="str">
            <v>https://dl.smwcentral.net/5113/MATMR%20hack.zip</v>
          </cell>
        </row>
        <row r="949">
          <cell r="A949" t="str">
            <v>Mario and the Parallel World</v>
          </cell>
          <cell r="B949" t="str">
            <v>Mario and the Parallel World</v>
          </cell>
          <cell r="C949" t="str">
            <v>mamlazizou</v>
          </cell>
          <cell r="D949">
            <v>7</v>
          </cell>
          <cell r="E949" t="str">
            <v>Casual</v>
          </cell>
          <cell r="F949" t="str">
            <v>Standard</v>
          </cell>
          <cell r="G949">
            <v>41998</v>
          </cell>
          <cell r="H949" t="str">
            <v>9618</v>
          </cell>
          <cell r="I949" t="str">
            <v>https://www.smwcentral.net/?a=details&amp;id=9618&amp;p=section</v>
          </cell>
          <cell r="J949" t="str">
            <v>https://dl.smwcentral.net/9618/Mario%20and%20the%20parallel%20world%20%5B%20FR%20%5D.zip</v>
          </cell>
        </row>
        <row r="950">
          <cell r="A950" t="str">
            <v>Mario and the Passage of Perils</v>
          </cell>
          <cell r="B950" t="str">
            <v>Mario and the Passage of Perils</v>
          </cell>
          <cell r="C950" t="str">
            <v>Crystal King</v>
          </cell>
          <cell r="D950">
            <v>4</v>
          </cell>
          <cell r="E950" t="str">
            <v>Intermediate</v>
          </cell>
          <cell r="F950" t="str">
            <v>Standard</v>
          </cell>
          <cell r="G950">
            <v>42163</v>
          </cell>
          <cell r="H950" t="str">
            <v>9917</v>
          </cell>
          <cell r="I950" t="str">
            <v>https://www.smwcentral.net/?a=details&amp;id=9917&amp;p=section</v>
          </cell>
          <cell r="J950" t="str">
            <v>https://dl.smwcentral.net/9917/PoP.zip</v>
          </cell>
        </row>
        <row r="951">
          <cell r="A951" t="str">
            <v>Mario and the Pipe of Challenges</v>
          </cell>
          <cell r="B951" t="str">
            <v>Mario and the Pipe of Challenges</v>
          </cell>
          <cell r="C951" t="str">
            <v>LuigiPikachu</v>
          </cell>
          <cell r="D951">
            <v>6</v>
          </cell>
          <cell r="E951" t="str">
            <v>Newcomer</v>
          </cell>
          <cell r="F951" t="str">
            <v>Standard</v>
          </cell>
          <cell r="G951">
            <v>42264</v>
          </cell>
          <cell r="H951" t="str">
            <v>9968</v>
          </cell>
          <cell r="I951" t="str">
            <v>https://www.smwcentral.net/?a=details&amp;id=9968&amp;p=section</v>
          </cell>
          <cell r="J951" t="str">
            <v>https://dl.smwcentral.net/9968/Mario%20and%20the%20pipe%20of%20challenges.zip</v>
          </cell>
        </row>
        <row r="952">
          <cell r="A952" t="str">
            <v>Mario and the Sphere of Toad - Reloaded</v>
          </cell>
          <cell r="B952" t="str">
            <v>Mario and the Sphere of Toad - Reloaded</v>
          </cell>
          <cell r="C952" t="str">
            <v>Aurel509</v>
          </cell>
          <cell r="D952">
            <v>7</v>
          </cell>
          <cell r="E952" t="str">
            <v>Casual</v>
          </cell>
          <cell r="F952" t="str">
            <v>Standard</v>
          </cell>
          <cell r="G952">
            <v>43435</v>
          </cell>
          <cell r="H952" t="str">
            <v>18437</v>
          </cell>
          <cell r="I952" t="str">
            <v>https://www.smwcentral.net/?a=details&amp;id=18437&amp;p=section</v>
          </cell>
          <cell r="J952" t="str">
            <v>https://dl.smwcentral.net/18437/MLSDT2R.zip</v>
          </cell>
        </row>
        <row r="953">
          <cell r="A953" t="str">
            <v>Mario and the Stolen Yoshi-Egg</v>
          </cell>
          <cell r="B953" t="str">
            <v>Mario and the Stolen Yoshi-Egg</v>
          </cell>
          <cell r="C953" t="str">
            <v>Humingbird96</v>
          </cell>
          <cell r="D953">
            <v>5</v>
          </cell>
          <cell r="E953" t="str">
            <v>Intermediate</v>
          </cell>
          <cell r="F953" t="str">
            <v>Standard</v>
          </cell>
          <cell r="G953">
            <v>42208</v>
          </cell>
          <cell r="H953" t="str">
            <v>9810</v>
          </cell>
          <cell r="I953" t="str">
            <v>https://www.smwcentral.net/?a=details&amp;id=9810&amp;p=section</v>
          </cell>
          <cell r="J953" t="str">
            <v>https://dl.smwcentral.net/9810/Mario%20and%20the%20stolen%20Yoshi%20egg.zip</v>
          </cell>
        </row>
        <row r="954">
          <cell r="A954" t="str">
            <v>Mario and the Thwomp</v>
          </cell>
          <cell r="B954" t="str">
            <v>Mario and the Thwomp</v>
          </cell>
          <cell r="C954" t="str">
            <v>Master S</v>
          </cell>
          <cell r="D954">
            <v>3</v>
          </cell>
          <cell r="E954" t="str">
            <v>Casual</v>
          </cell>
          <cell r="F954" t="str">
            <v>Standard</v>
          </cell>
          <cell r="G954">
            <v>42135</v>
          </cell>
          <cell r="H954" t="str">
            <v>9941</v>
          </cell>
          <cell r="I954" t="str">
            <v>https://www.smwcentral.net/?a=details&amp;id=9941&amp;p=section</v>
          </cell>
          <cell r="J954" t="str">
            <v>https://dl.smwcentral.net/9941/MATT%20Beta%20Demo.zip</v>
          </cell>
        </row>
        <row r="955">
          <cell r="A955" t="str">
            <v>Mario at the Kasranova Levels</v>
          </cell>
          <cell r="B955" t="str">
            <v>Mario at the Kasranova Levels</v>
          </cell>
          <cell r="C955" t="str">
            <v>OEO6</v>
          </cell>
          <cell r="D955">
            <v>8</v>
          </cell>
          <cell r="E955" t="str">
            <v>Casual</v>
          </cell>
          <cell r="F955" t="str">
            <v>Standard</v>
          </cell>
          <cell r="G955">
            <v>43548</v>
          </cell>
          <cell r="H955" t="str">
            <v>19357</v>
          </cell>
          <cell r="I955" t="str">
            <v>https://www.smwcentral.net/?a=details&amp;id=19357&amp;p=section</v>
          </cell>
          <cell r="J955" t="str">
            <v>https://dl.smwcentral.net/19357/Mario%20at%20the%20Kasranova%20Levels.zip</v>
          </cell>
        </row>
        <row r="956">
          <cell r="A956" t="str">
            <v>Mario at the Kasranova Levels 2: Imgelemden Hallice</v>
          </cell>
          <cell r="B956" t="str">
            <v>Mario at the Kasranova Levels 2: Imgelemden Hallice</v>
          </cell>
          <cell r="C956" t="str">
            <v>OEO6</v>
          </cell>
          <cell r="D956">
            <v>32</v>
          </cell>
          <cell r="E956" t="str">
            <v>Casual</v>
          </cell>
          <cell r="F956" t="str">
            <v>Standard</v>
          </cell>
          <cell r="G956">
            <v>43747</v>
          </cell>
          <cell r="H956" t="str">
            <v>21232</v>
          </cell>
          <cell r="I956" t="str">
            <v>https://www.smwcentral.net/?a=details&amp;id=21232&amp;p=section</v>
          </cell>
          <cell r="J956" t="str">
            <v>https://dl.smwcentral.net/21232/mario%20at%20the%20kasranova%20levels%202%20-%20imgelemden%20hallice.zip</v>
          </cell>
        </row>
        <row r="957">
          <cell r="A957" t="str">
            <v>Mario Bros Adventure Land</v>
          </cell>
          <cell r="B957" t="str">
            <v>Mario Bros Adventure Land</v>
          </cell>
          <cell r="C957" t="str">
            <v>Wind Fish</v>
          </cell>
          <cell r="D957">
            <v>7</v>
          </cell>
          <cell r="E957" t="str">
            <v>Casual</v>
          </cell>
          <cell r="F957" t="str">
            <v>Standard</v>
          </cell>
          <cell r="G957">
            <v>42338</v>
          </cell>
          <cell r="H957" t="str">
            <v>10206</v>
          </cell>
          <cell r="I957" t="str">
            <v>https://www.smwcentral.net/?a=details&amp;id=10206&amp;p=section</v>
          </cell>
          <cell r="J957" t="str">
            <v>https://dl.smwcentral.net/10206/MBAL_demo1.zip</v>
          </cell>
        </row>
        <row r="958">
          <cell r="A958" t="str">
            <v>Mario Brother World</v>
          </cell>
          <cell r="B958" t="str">
            <v>Mario Brother World</v>
          </cell>
          <cell r="C958" t="str">
            <v>Keypas</v>
          </cell>
          <cell r="D958">
            <v>17</v>
          </cell>
          <cell r="E958" t="str">
            <v>Casual</v>
          </cell>
          <cell r="F958" t="str">
            <v>Standard</v>
          </cell>
          <cell r="G958">
            <v>42252</v>
          </cell>
          <cell r="H958" t="str">
            <v>9971</v>
          </cell>
          <cell r="I958" t="str">
            <v>https://www.smwcentral.net/?a=details&amp;id=9971&amp;p=section</v>
          </cell>
          <cell r="J958" t="str">
            <v>https://dl.smwcentral.net/9971/MBW%20demo.zip</v>
          </cell>
        </row>
        <row r="959">
          <cell r="A959" t="str">
            <v>Mario Brother World 2</v>
          </cell>
          <cell r="B959" t="str">
            <v>Mario Brother World 2</v>
          </cell>
          <cell r="C959" t="str">
            <v>Keypas</v>
          </cell>
          <cell r="D959">
            <v>6</v>
          </cell>
          <cell r="E959" t="str">
            <v>Newcomer</v>
          </cell>
          <cell r="F959" t="str">
            <v>Standard</v>
          </cell>
          <cell r="G959">
            <v>42293</v>
          </cell>
          <cell r="H959" t="str">
            <v>10122</v>
          </cell>
          <cell r="I959" t="str">
            <v>https://www.smwcentral.net/?a=details&amp;id=10122&amp;p=section</v>
          </cell>
          <cell r="J959" t="str">
            <v>https://dl.smwcentral.net/10122/MBW2.zip</v>
          </cell>
        </row>
        <row r="960">
          <cell r="A960" t="str">
            <v>Mario Brothers Adventures</v>
          </cell>
          <cell r="B960" t="str">
            <v>Mario Brothers Adventures</v>
          </cell>
          <cell r="C960" t="str">
            <v>nintendofreck</v>
          </cell>
          <cell r="D960">
            <v>60</v>
          </cell>
          <cell r="E960" t="str">
            <v>Newcomer</v>
          </cell>
          <cell r="F960" t="str">
            <v>Standard</v>
          </cell>
          <cell r="G960">
            <v>42286</v>
          </cell>
          <cell r="H960" t="str">
            <v>10069</v>
          </cell>
          <cell r="I960" t="str">
            <v>https://www.smwcentral.net/?a=details&amp;id=10069&amp;p=section</v>
          </cell>
          <cell r="J960" t="str">
            <v>https://dl.smwcentral.net/10069/MBAV02.zip</v>
          </cell>
        </row>
        <row r="961">
          <cell r="A961" t="str">
            <v>Mario Curse Hunter</v>
          </cell>
          <cell r="B961" t="str">
            <v>Mario Curse Hunter</v>
          </cell>
          <cell r="C961" t="str">
            <v>TheGremlin</v>
          </cell>
          <cell r="D961">
            <v>11</v>
          </cell>
          <cell r="E961" t="str">
            <v>Intermediate</v>
          </cell>
          <cell r="F961" t="str">
            <v>Standard</v>
          </cell>
          <cell r="G961">
            <v>42231</v>
          </cell>
          <cell r="H961" t="str">
            <v>9852</v>
          </cell>
          <cell r="I961" t="str">
            <v>https://www.smwcentral.net/?a=details&amp;id=9852&amp;p=section</v>
          </cell>
          <cell r="J961" t="str">
            <v>https://dl.smwcentral.net/9852/Mario%20Curse%20Hunter%20Demo%201.5.zip</v>
          </cell>
        </row>
        <row r="962">
          <cell r="A962" t="str">
            <v>Mario Destroys the World</v>
          </cell>
          <cell r="B962" t="str">
            <v>Mario Destroys the World</v>
          </cell>
          <cell r="C962" t="str">
            <v>NobbyBop</v>
          </cell>
          <cell r="D962">
            <v>3</v>
          </cell>
          <cell r="E962" t="str">
            <v>Advanced</v>
          </cell>
          <cell r="F962" t="str">
            <v>Kaizo</v>
          </cell>
          <cell r="G962">
            <v>44584</v>
          </cell>
          <cell r="H962" t="str">
            <v>29559</v>
          </cell>
          <cell r="I962" t="str">
            <v>https://www.smwcentral.net/?a=details&amp;id=29559&amp;p=section</v>
          </cell>
          <cell r="J962" t="str">
            <v>https://dl.smwcentral.net/29559/Mario%20Destroys%20the%20World.zip</v>
          </cell>
        </row>
        <row r="963">
          <cell r="A963" t="str">
            <v>MARIO EN BUSCA DE LA MASTER EMERALD (DEMO WORLD 2)</v>
          </cell>
          <cell r="B963" t="str">
            <v>MARIO EN BUSCA DE LA MASTER EMERALD (DEMO WORLD 2)</v>
          </cell>
          <cell r="C963" t="str">
            <v>Reynner's</v>
          </cell>
          <cell r="D963">
            <v>12</v>
          </cell>
          <cell r="E963" t="str">
            <v>Casual</v>
          </cell>
          <cell r="F963" t="str">
            <v>Standard</v>
          </cell>
          <cell r="G963">
            <v>46035</v>
          </cell>
          <cell r="H963" t="str">
            <v>41397</v>
          </cell>
          <cell r="I963" t="str">
            <v>https://www.smwcentral.net/?a=details&amp;id=41397&amp;p=section</v>
          </cell>
          <cell r="J963" t="str">
            <v>https://dl.smwcentral.net/41397/MARIO.zip</v>
          </cell>
        </row>
        <row r="964">
          <cell r="A964" t="str">
            <v>Mario Explores the Sewers</v>
          </cell>
          <cell r="B964" t="str">
            <v>Mario Explores the Sewers</v>
          </cell>
          <cell r="C964" t="str">
            <v>Snifit</v>
          </cell>
          <cell r="D964">
            <v>7</v>
          </cell>
          <cell r="E964" t="str">
            <v>Intermediate</v>
          </cell>
          <cell r="F964" t="str">
            <v>Standard</v>
          </cell>
          <cell r="G964">
            <v>42003</v>
          </cell>
          <cell r="H964" t="str">
            <v>10018</v>
          </cell>
          <cell r="I964" t="str">
            <v>https://www.smwcentral.net/?a=details&amp;id=10018&amp;p=section</v>
          </cell>
          <cell r="J964" t="str">
            <v>https://dl.smwcentral.net/10018/MES.zip</v>
          </cell>
        </row>
        <row r="965">
          <cell r="A965" t="str">
            <v>Mario Frenzy</v>
          </cell>
          <cell r="B965" t="str">
            <v>Mario Frenzy</v>
          </cell>
          <cell r="C965" t="str">
            <v>RedToonLink</v>
          </cell>
          <cell r="D965">
            <v>16</v>
          </cell>
          <cell r="E965" t="str">
            <v>Intermediate</v>
          </cell>
          <cell r="F965" t="str">
            <v>Standard</v>
          </cell>
          <cell r="G965">
            <v>42255</v>
          </cell>
          <cell r="H965" t="str">
            <v>9764</v>
          </cell>
          <cell r="I965" t="str">
            <v>https://www.smwcentral.net/?a=details&amp;id=9764&amp;p=section</v>
          </cell>
          <cell r="J965" t="str">
            <v>https://dl.smwcentral.net/9764/MFDemoC3.zip</v>
          </cell>
        </row>
        <row r="966">
          <cell r="A966" t="str">
            <v>Mario Gives Up</v>
          </cell>
          <cell r="B966" t="str">
            <v>Mario Gives Up</v>
          </cell>
          <cell r="C966" t="str">
            <v>cyphermur9t</v>
          </cell>
          <cell r="D966">
            <v>86</v>
          </cell>
          <cell r="E966" t="str">
            <v>Intermediate</v>
          </cell>
          <cell r="F966" t="str">
            <v>Standard</v>
          </cell>
          <cell r="G966">
            <v>44255</v>
          </cell>
          <cell r="H966" t="str">
            <v>25573</v>
          </cell>
          <cell r="I966" t="str">
            <v>https://www.smwcentral.net/?a=details&amp;id=25573&amp;p=section</v>
          </cell>
          <cell r="J966" t="str">
            <v>https://dl.smwcentral.net/25573/Mario%20Gives%20Up.zip</v>
          </cell>
        </row>
        <row r="967">
          <cell r="A967" t="str">
            <v>Mario Gives Up 2</v>
          </cell>
          <cell r="B967" t="str">
            <v>Mario Gives Up 2</v>
          </cell>
          <cell r="C967" t="str">
            <v>cyphermur9t</v>
          </cell>
          <cell r="D967">
            <v>95</v>
          </cell>
          <cell r="E967" t="str">
            <v>Intermediate</v>
          </cell>
          <cell r="F967" t="str">
            <v>Standard</v>
          </cell>
          <cell r="G967">
            <v>44395</v>
          </cell>
          <cell r="H967" t="str">
            <v>26935</v>
          </cell>
          <cell r="I967" t="str">
            <v>https://www.smwcentral.net/?a=details&amp;id=26935&amp;p=section</v>
          </cell>
          <cell r="J967" t="str">
            <v>https://dl.smwcentral.net/26935/Mario%20Gives%20Up%202.zip</v>
          </cell>
        </row>
        <row r="968">
          <cell r="A968" t="str">
            <v>Mario Gives Up 3</v>
          </cell>
          <cell r="B968" t="str">
            <v>Mario Gives Up 3</v>
          </cell>
          <cell r="C968" t="str">
            <v>cyphermur9t</v>
          </cell>
          <cell r="D968">
            <v>95</v>
          </cell>
          <cell r="E968" t="str">
            <v>Intermediate</v>
          </cell>
          <cell r="F968" t="str">
            <v>Standard</v>
          </cell>
          <cell r="G968">
            <v>42349</v>
          </cell>
          <cell r="H968" t="str">
            <v>12826</v>
          </cell>
          <cell r="I968" t="str">
            <v>https://www.smwcentral.net/?a=details&amp;id=12826&amp;p=section</v>
          </cell>
          <cell r="J968" t="str">
            <v>https://dl.smwcentral.net/12826/MGU3.zip</v>
          </cell>
        </row>
        <row r="969">
          <cell r="A969" t="str">
            <v>Mario goes on an adventure for apparently no reason</v>
          </cell>
          <cell r="B969" t="str">
            <v>Mario goes on an adventure for apparently no reason</v>
          </cell>
          <cell r="C969" t="str">
            <v>Alfombra de madera</v>
          </cell>
          <cell r="D969">
            <v>18</v>
          </cell>
          <cell r="E969" t="str">
            <v>Casual</v>
          </cell>
          <cell r="F969" t="str">
            <v>Standard</v>
          </cell>
          <cell r="G969">
            <v>45848</v>
          </cell>
          <cell r="H969" t="str">
            <v>40065</v>
          </cell>
          <cell r="I969" t="str">
            <v>https://www.smwcentral.net/?a=details&amp;id=40065&amp;p=section</v>
          </cell>
          <cell r="J969" t="str">
            <v>https://dl.smwcentral.net/40065/MGOAAFANR%20demo%201.51.zip</v>
          </cell>
        </row>
        <row r="970">
          <cell r="A970" t="str">
            <v>Mario goes to a castle to pay his taxes</v>
          </cell>
          <cell r="B970" t="str">
            <v>Mario goes to a castle to pay his taxes</v>
          </cell>
          <cell r="C970" t="str">
            <v>Young Boi</v>
          </cell>
          <cell r="D970">
            <v>5</v>
          </cell>
          <cell r="E970" t="str">
            <v>Casual</v>
          </cell>
          <cell r="F970" t="str">
            <v>Standard</v>
          </cell>
          <cell r="G970">
            <v>43454</v>
          </cell>
          <cell r="H970" t="str">
            <v>18681</v>
          </cell>
          <cell r="I970" t="str">
            <v>https://www.smwcentral.net/?a=details&amp;id=18681&amp;p=section</v>
          </cell>
          <cell r="J970" t="str">
            <v>https://dl.smwcentral.net/18681/Pay%20your%20taxes%20kids.zip</v>
          </cell>
        </row>
        <row r="971">
          <cell r="A971" t="str">
            <v>Mario Goes to Brazil</v>
          </cell>
          <cell r="B971" t="str">
            <v>Mario Goes to Brazil</v>
          </cell>
          <cell r="C971" t="str">
            <v>MarcosMoutta</v>
          </cell>
          <cell r="D971">
            <v>11</v>
          </cell>
          <cell r="E971" t="str">
            <v>Advanced</v>
          </cell>
          <cell r="F971" t="str">
            <v>Standard</v>
          </cell>
          <cell r="G971">
            <v>44891</v>
          </cell>
          <cell r="H971" t="str">
            <v>32554</v>
          </cell>
          <cell r="I971" t="str">
            <v>https://www.smwcentral.net/?a=details&amp;id=32554&amp;p=section</v>
          </cell>
          <cell r="J971" t="str">
            <v>https://dl.smwcentral.net/32554/MGtB.zip</v>
          </cell>
        </row>
        <row r="972">
          <cell r="A972" t="str">
            <v>Mario goes to the Adventure Park</v>
          </cell>
          <cell r="B972" t="str">
            <v>Mario goes to the Adventure Park</v>
          </cell>
          <cell r="C972" t="str">
            <v>Saibot1997</v>
          </cell>
          <cell r="D972">
            <v>5</v>
          </cell>
          <cell r="E972" t="str">
            <v>Casual</v>
          </cell>
          <cell r="F972" t="str">
            <v>Standard</v>
          </cell>
          <cell r="G972">
            <v>42255</v>
          </cell>
          <cell r="H972" t="str">
            <v>10282</v>
          </cell>
          <cell r="I972" t="str">
            <v>https://www.smwcentral.net/?a=details&amp;id=10282&amp;p=section</v>
          </cell>
          <cell r="J972" t="str">
            <v>https://dl.smwcentral.net/10282/Mario%20goes%20to%20the%20Adventure%20Park.zip</v>
          </cell>
        </row>
        <row r="973">
          <cell r="A973" t="str">
            <v>Mario Goes To The Store</v>
          </cell>
          <cell r="B973" t="str">
            <v>Mario Goes To The Store</v>
          </cell>
          <cell r="C973" t="str">
            <v>eltiolavara9</v>
          </cell>
          <cell r="D973">
            <v>56</v>
          </cell>
          <cell r="E973" t="str">
            <v>Intermediate</v>
          </cell>
          <cell r="F973" t="str">
            <v>Standard</v>
          </cell>
          <cell r="G973">
            <v>45828</v>
          </cell>
          <cell r="H973" t="str">
            <v>39995</v>
          </cell>
          <cell r="I973" t="str">
            <v>https://www.smwcentral.net/?a=details&amp;id=39995&amp;p=section</v>
          </cell>
          <cell r="J973" t="str">
            <v>https://dl.smwcentral.net/39995/mario%20goes%20to%20the%20store.zip</v>
          </cell>
        </row>
        <row r="974">
          <cell r="A974" t="str">
            <v>Mario goes to Wendy's</v>
          </cell>
          <cell r="B974" t="str">
            <v>Mario goes to Wendy's</v>
          </cell>
          <cell r="C974" t="str">
            <v>autumnfrog</v>
          </cell>
          <cell r="D974">
            <v>13</v>
          </cell>
          <cell r="E974" t="str">
            <v>Casual</v>
          </cell>
          <cell r="F974" t="str">
            <v>Standard</v>
          </cell>
          <cell r="G974">
            <v>44826</v>
          </cell>
          <cell r="H974" t="str">
            <v>32143</v>
          </cell>
          <cell r="I974" t="str">
            <v>https://www.smwcentral.net/?a=details&amp;id=32143&amp;p=section</v>
          </cell>
          <cell r="J974" t="str">
            <v>https://dl.smwcentral.net/32143/mario%20goes%20to%20wendys.zip</v>
          </cell>
        </row>
        <row r="975">
          <cell r="A975" t="str">
            <v>Mario Got Bored</v>
          </cell>
          <cell r="B975" t="str">
            <v>Mario Got Bored</v>
          </cell>
          <cell r="C975" t="str">
            <v>Zarasuto</v>
          </cell>
          <cell r="D975">
            <v>10</v>
          </cell>
          <cell r="E975" t="str">
            <v>Newcomer</v>
          </cell>
          <cell r="F975" t="str">
            <v>Standard</v>
          </cell>
          <cell r="G975">
            <v>42268</v>
          </cell>
          <cell r="H975" t="str">
            <v>10075</v>
          </cell>
          <cell r="I975" t="str">
            <v>https://www.smwcentral.net/?a=details&amp;id=10075&amp;p=section</v>
          </cell>
          <cell r="J975" t="str">
            <v>https://dl.smwcentral.net/10075/Mario%20Got%20Bored.zip</v>
          </cell>
        </row>
        <row r="976">
          <cell r="A976" t="str">
            <v>Mario in a Mysterious World</v>
          </cell>
          <cell r="B976" t="str">
            <v>Mario in a Mysterious World</v>
          </cell>
          <cell r="C976" t="str">
            <v>Falconpunch</v>
          </cell>
          <cell r="D976">
            <v>6</v>
          </cell>
          <cell r="E976" t="str">
            <v>Casual</v>
          </cell>
          <cell r="F976" t="str">
            <v>Standard</v>
          </cell>
          <cell r="G976">
            <v>42314</v>
          </cell>
          <cell r="H976" t="str">
            <v>10140</v>
          </cell>
          <cell r="I976" t="str">
            <v>https://www.smwcentral.net/?a=details&amp;id=10140&amp;p=section</v>
          </cell>
          <cell r="J976" t="str">
            <v>https://dl.smwcentral.net/10140/MiaMW.zip</v>
          </cell>
        </row>
        <row r="977">
          <cell r="A977" t="str">
            <v>Mario in a Strange Adventure</v>
          </cell>
          <cell r="B977" t="str">
            <v>Mario in a Strange Adventure</v>
          </cell>
          <cell r="C977" t="str">
            <v>Fan-cristian-Yuyuko-</v>
          </cell>
          <cell r="D977">
            <v>5</v>
          </cell>
          <cell r="E977" t="str">
            <v>Casual</v>
          </cell>
          <cell r="F977" t="str">
            <v>Standard</v>
          </cell>
          <cell r="G977">
            <v>42288</v>
          </cell>
          <cell r="H977" t="str">
            <v>10141</v>
          </cell>
          <cell r="I977" t="str">
            <v>https://www.smwcentral.net/?a=details&amp;id=10141&amp;p=section</v>
          </cell>
          <cell r="J977" t="str">
            <v>https://dl.smwcentral.net/10141/mario%20in%20a%20strange%20adventure.zip</v>
          </cell>
        </row>
        <row r="978">
          <cell r="A978" t="str">
            <v>Mario in Another Land</v>
          </cell>
          <cell r="B978" t="str">
            <v>Mario in Another Land</v>
          </cell>
          <cell r="C978" t="str">
            <v>Anonymous</v>
          </cell>
          <cell r="D978">
            <v>7</v>
          </cell>
          <cell r="E978" t="str">
            <v>Newcomer</v>
          </cell>
          <cell r="F978" t="str">
            <v>Standard</v>
          </cell>
          <cell r="G978">
            <v>42482</v>
          </cell>
          <cell r="H978" t="str">
            <v>13582</v>
          </cell>
          <cell r="I978" t="str">
            <v>https://www.smwcentral.net/?a=details&amp;id=13582&amp;p=section</v>
          </cell>
          <cell r="J978" t="str">
            <v>https://dl.smwcentral.net/13582/Mario%20in%20Another%20Land.zip</v>
          </cell>
        </row>
        <row r="979">
          <cell r="A979" t="str">
            <v>Mario In Dragon Land</v>
          </cell>
          <cell r="B979" t="str">
            <v>Mario In Dragon Land</v>
          </cell>
          <cell r="C979" t="str">
            <v>BobbyBombmaster</v>
          </cell>
          <cell r="D979">
            <v>6</v>
          </cell>
          <cell r="E979" t="str">
            <v>Newcomer</v>
          </cell>
          <cell r="F979" t="str">
            <v>Standard</v>
          </cell>
          <cell r="G979">
            <v>42228</v>
          </cell>
          <cell r="H979" t="str">
            <v>9845</v>
          </cell>
          <cell r="I979" t="str">
            <v>https://www.smwcentral.net/?a=details&amp;id=9845&amp;p=section</v>
          </cell>
          <cell r="J979" t="str">
            <v>https://dl.smwcentral.net/9845/Mario%20In%20Dragon%20Land.zip</v>
          </cell>
        </row>
        <row r="980">
          <cell r="A980" t="str">
            <v>Mario in Leprechaun Island</v>
          </cell>
          <cell r="B980" t="str">
            <v>Mario in Leprechaun Island</v>
          </cell>
          <cell r="C980" t="str">
            <v>Green Jerry</v>
          </cell>
          <cell r="D980">
            <v>9</v>
          </cell>
          <cell r="E980" t="str">
            <v>Intermediate</v>
          </cell>
          <cell r="F980" t="str">
            <v>Standard</v>
          </cell>
          <cell r="G980">
            <v>43909</v>
          </cell>
          <cell r="H980" t="str">
            <v>22412</v>
          </cell>
          <cell r="I980" t="str">
            <v>https://www.smwcentral.net/?a=details&amp;id=22412&amp;p=section</v>
          </cell>
          <cell r="J980" t="str">
            <v>https://dl.smwcentral.net/22412/Mario%20in%20Leprechaun%20Island%20%28V1.0.1%29.zip</v>
          </cell>
        </row>
        <row r="981">
          <cell r="A981" t="str">
            <v>Mario In Lucid Dream</v>
          </cell>
          <cell r="B981" t="str">
            <v>Mario In Lucid Dream</v>
          </cell>
          <cell r="C981" t="str">
            <v>TS_N</v>
          </cell>
          <cell r="D981">
            <v>20</v>
          </cell>
          <cell r="E981" t="str">
            <v>Master</v>
          </cell>
          <cell r="F981" t="str">
            <v>Kaizo, Tool-Assisted</v>
          </cell>
          <cell r="G981">
            <v>45510</v>
          </cell>
          <cell r="H981" t="str">
            <v>37694</v>
          </cell>
          <cell r="I981" t="str">
            <v>https://www.smwcentral.net/?a=details&amp;id=37694&amp;p=section</v>
          </cell>
          <cell r="J981" t="str">
            <v>https://dl.smwcentral.net/37694/Mario%20In%20Lucid%20Dream.zip</v>
          </cell>
        </row>
        <row r="982">
          <cell r="A982" t="str">
            <v>Mario In Midgard</v>
          </cell>
          <cell r="B982" t="str">
            <v>Mario In Midgard</v>
          </cell>
          <cell r="C982" t="str">
            <v>anonimato</v>
          </cell>
          <cell r="D982">
            <v>85</v>
          </cell>
          <cell r="E982" t="str">
            <v>Intermediate</v>
          </cell>
          <cell r="F982" t="str">
            <v>Standard</v>
          </cell>
          <cell r="G982">
            <v>42285</v>
          </cell>
          <cell r="H982" t="str">
            <v>9720</v>
          </cell>
          <cell r="I982" t="str">
            <v>https://www.smwcentral.net/?a=details&amp;id=9720&amp;p=section</v>
          </cell>
          <cell r="J982" t="str">
            <v>https://dl.smwcentral.net/9720/Mario%20in%20midgard.zip</v>
          </cell>
        </row>
        <row r="983">
          <cell r="A983" t="str">
            <v>Mario In Mushroom Rix Land</v>
          </cell>
          <cell r="B983" t="str">
            <v>Mario In Mushroom Rix Land</v>
          </cell>
          <cell r="C983" t="str">
            <v>Enan63</v>
          </cell>
          <cell r="D983">
            <v>32</v>
          </cell>
          <cell r="E983" t="str">
            <v>Advanced</v>
          </cell>
          <cell r="F983" t="str">
            <v>Standard</v>
          </cell>
          <cell r="G983">
            <v>44102</v>
          </cell>
          <cell r="H983" t="str">
            <v>24685</v>
          </cell>
          <cell r="I983" t="str">
            <v>https://www.smwcentral.net/?a=details&amp;id=24685&amp;p=section</v>
          </cell>
          <cell r="J983" t="str">
            <v>https://dl.smwcentral.net/24685/Mario%20in%20Mushroom%20Rix%20Land.zip</v>
          </cell>
        </row>
        <row r="984">
          <cell r="A984" t="str">
            <v>Mario In Mushroom Rix Land 2 Gimmicky Island</v>
          </cell>
          <cell r="B984" t="str">
            <v>Mario In Mushroom Rix Land 2 Gimmicky Island</v>
          </cell>
          <cell r="C984" t="str">
            <v>Enan63</v>
          </cell>
          <cell r="D984">
            <v>13</v>
          </cell>
          <cell r="E984" t="str">
            <v>Intermediate</v>
          </cell>
          <cell r="F984" t="str">
            <v>Standard</v>
          </cell>
          <cell r="G984">
            <v>44193</v>
          </cell>
          <cell r="H984" t="str">
            <v>25552</v>
          </cell>
          <cell r="I984" t="str">
            <v>https://www.smwcentral.net/?a=details&amp;id=25552&amp;p=section</v>
          </cell>
          <cell r="J984" t="str">
            <v>https://dl.smwcentral.net/25552/Mario%20in%20Mushroom%20Rix%20Land%202.zip</v>
          </cell>
        </row>
        <row r="985">
          <cell r="A985" t="str">
            <v>Mario In Mushroom Rix Land 3 Master Thwomps Avenge</v>
          </cell>
          <cell r="B985" t="str">
            <v>Mario In Mushroom Rix Land 3 Master Thwomps Avenge</v>
          </cell>
          <cell r="C985" t="str">
            <v>Enan63</v>
          </cell>
          <cell r="D985">
            <v>42</v>
          </cell>
          <cell r="E985" t="str">
            <v>Advanced</v>
          </cell>
          <cell r="F985" t="str">
            <v>Standard</v>
          </cell>
          <cell r="G985">
            <v>44452</v>
          </cell>
          <cell r="H985" t="str">
            <v>28229</v>
          </cell>
          <cell r="I985" t="str">
            <v>https://www.smwcentral.net/?a=details&amp;id=28229&amp;p=section</v>
          </cell>
          <cell r="J985" t="str">
            <v>https://dl.smwcentral.net/28229/Mario%20in%20Mushroom%20Rix%20Land%203.zip</v>
          </cell>
        </row>
        <row r="986">
          <cell r="A986" t="str">
            <v>Mario In Mushroom Rix Land 4 Trip To Nano Island</v>
          </cell>
          <cell r="B986" t="str">
            <v>Mario In Mushroom Rix Land 4 Trip To Nano Island</v>
          </cell>
          <cell r="C986" t="str">
            <v>Enan63</v>
          </cell>
          <cell r="D986">
            <v>50</v>
          </cell>
          <cell r="E986" t="str">
            <v>Advanced</v>
          </cell>
          <cell r="F986" t="str">
            <v>Standard</v>
          </cell>
          <cell r="G986">
            <v>45320</v>
          </cell>
          <cell r="H986" t="str">
            <v>35757</v>
          </cell>
          <cell r="I986" t="str">
            <v>https://www.smwcentral.net/?a=details&amp;id=35757&amp;p=section</v>
          </cell>
          <cell r="J986" t="str">
            <v>https://dl.smwcentral.net/35757/MIMRL4%20Trip%20To%20Nano%20Island.zip</v>
          </cell>
        </row>
        <row r="987">
          <cell r="A987" t="str">
            <v>Mario In Mushroom Rix Land 5</v>
          </cell>
          <cell r="B987" t="str">
            <v>Mario In Mushroom Rix Land 5</v>
          </cell>
          <cell r="C987" t="str">
            <v>Enan63</v>
          </cell>
          <cell r="D987">
            <v>4</v>
          </cell>
          <cell r="E987" t="str">
            <v>Intermediate</v>
          </cell>
          <cell r="F987" t="str">
            <v>Standard</v>
          </cell>
          <cell r="G987">
            <v>45540</v>
          </cell>
          <cell r="H987" t="str">
            <v>38322</v>
          </cell>
          <cell r="I987" t="str">
            <v>https://www.smwcentral.net/?a=details&amp;id=38322&amp;p=section</v>
          </cell>
          <cell r="J987" t="str">
            <v>https://dl.smwcentral.net/38322/Mario%20In%20Mushroom%20Rix%20Land%205%20C3%20Summer%202024%20Demo%20%28Version%201.1%20Update%21%29.zip</v>
          </cell>
        </row>
        <row r="988">
          <cell r="A988" t="str">
            <v>Mario in Neb's Land</v>
          </cell>
          <cell r="B988" t="str">
            <v>Mario in Neb's Land</v>
          </cell>
          <cell r="C988" t="str">
            <v>darken</v>
          </cell>
          <cell r="D988">
            <v>5</v>
          </cell>
          <cell r="E988" t="str">
            <v>Advanced</v>
          </cell>
          <cell r="F988" t="str">
            <v>Standard</v>
          </cell>
          <cell r="G988">
            <v>42629</v>
          </cell>
          <cell r="H988" t="str">
            <v>14422</v>
          </cell>
          <cell r="I988" t="str">
            <v>https://www.smwcentral.net/?a=details&amp;id=14422&amp;p=section</v>
          </cell>
          <cell r="J988" t="str">
            <v>https://dl.smwcentral.net/14422/MNL.zip</v>
          </cell>
        </row>
        <row r="989">
          <cell r="A989" t="str">
            <v>Mario in Search of the Rest</v>
          </cell>
          <cell r="B989" t="str">
            <v>Mario in Search of the Rest</v>
          </cell>
          <cell r="C989" t="str">
            <v>MirrorReflect</v>
          </cell>
          <cell r="D989">
            <v>11</v>
          </cell>
          <cell r="E989" t="str">
            <v>Casual</v>
          </cell>
          <cell r="F989" t="str">
            <v>Standard</v>
          </cell>
          <cell r="G989">
            <v>43907</v>
          </cell>
          <cell r="H989" t="str">
            <v>22397</v>
          </cell>
          <cell r="I989" t="str">
            <v>https://www.smwcentral.net/?a=details&amp;id=22397&amp;p=section</v>
          </cell>
          <cell r="J989" t="str">
            <v>https://dl.smwcentral.net/22397/MarioInSearchOfTheRest.zip</v>
          </cell>
        </row>
        <row r="990">
          <cell r="A990" t="str">
            <v>Mario In The World Of Matik</v>
          </cell>
          <cell r="B990" t="str">
            <v>Mario In The World Of Matik</v>
          </cell>
          <cell r="C990" t="str">
            <v>Red Chameleon</v>
          </cell>
          <cell r="D990">
            <v>26</v>
          </cell>
          <cell r="E990" t="str">
            <v>Casual</v>
          </cell>
          <cell r="F990" t="str">
            <v>Standard</v>
          </cell>
          <cell r="G990">
            <v>42339</v>
          </cell>
          <cell r="H990" t="str">
            <v>9828</v>
          </cell>
          <cell r="I990" t="str">
            <v>https://www.smwcentral.net/?a=details&amp;id=9828&amp;p=section</v>
          </cell>
          <cell r="J990" t="str">
            <v>https://dl.smwcentral.net/9828/Mario%20in%20the%20World%20of%20Matik%20-%20Demo%203.zip</v>
          </cell>
        </row>
        <row r="991">
          <cell r="A991" t="str">
            <v>Mario in the Yoshis' Heartland</v>
          </cell>
          <cell r="B991" t="str">
            <v>Mario in the Yoshis' Heartland</v>
          </cell>
          <cell r="C991" t="str">
            <v>Hach</v>
          </cell>
          <cell r="D991">
            <v>8</v>
          </cell>
          <cell r="E991" t="str">
            <v>Casual</v>
          </cell>
          <cell r="F991" t="str">
            <v>Standard</v>
          </cell>
          <cell r="G991">
            <v>41450</v>
          </cell>
          <cell r="H991" t="str">
            <v>4996</v>
          </cell>
          <cell r="I991" t="str">
            <v>https://www.smwcentral.net/?a=details&amp;id=4996&amp;p=section</v>
          </cell>
          <cell r="J991" t="str">
            <v>https://dl.smwcentral.net/4996/MitYH.zip</v>
          </cell>
        </row>
        <row r="992">
          <cell r="A992" t="str">
            <v>Mario in Whatever Land</v>
          </cell>
          <cell r="B992" t="str">
            <v>Mario in Whatever Land</v>
          </cell>
          <cell r="C992" t="str">
            <v>niko</v>
          </cell>
          <cell r="D992">
            <v>8</v>
          </cell>
          <cell r="E992" t="str">
            <v>Intermediate</v>
          </cell>
          <cell r="F992" t="str">
            <v>Standard</v>
          </cell>
          <cell r="G992">
            <v>42691</v>
          </cell>
          <cell r="H992" t="str">
            <v>14633</v>
          </cell>
          <cell r="I992" t="str">
            <v>https://www.smwcentral.net/?a=details&amp;id=14633&amp;p=section</v>
          </cell>
          <cell r="J992" t="str">
            <v>https://dl.smwcentral.net/14633/Mario%20in%20Whatever%20Land%20%28V.0.11%29.zip</v>
          </cell>
        </row>
        <row r="993">
          <cell r="A993" t="str">
            <v>Mario into Megaman</v>
          </cell>
          <cell r="B993" t="str">
            <v>Mario into Megaman</v>
          </cell>
          <cell r="C993" t="str">
            <v>Jimmy, That Guy</v>
          </cell>
          <cell r="D993">
            <v>96</v>
          </cell>
          <cell r="E993" t="str">
            <v>Casual</v>
          </cell>
          <cell r="F993" t="str">
            <v>Standard</v>
          </cell>
          <cell r="G993">
            <v>42010</v>
          </cell>
          <cell r="H993" t="str">
            <v>9645</v>
          </cell>
          <cell r="I993" t="str">
            <v>https://www.smwcentral.net/?a=details&amp;id=9645&amp;p=section</v>
          </cell>
          <cell r="J993" t="str">
            <v>https://dl.smwcentral.net/9645/Mario%20Into%20Megaman%202.0.zip</v>
          </cell>
        </row>
        <row r="994">
          <cell r="A994" t="str">
            <v>Mario is looking for the Golden Pizzaland</v>
          </cell>
          <cell r="B994" t="str">
            <v>Mario is looking for the Golden Pizzaland</v>
          </cell>
          <cell r="C994" t="str">
            <v>Saibot1997</v>
          </cell>
          <cell r="D994">
            <v>52</v>
          </cell>
          <cell r="E994" t="str">
            <v>Casual</v>
          </cell>
          <cell r="F994" t="str">
            <v>Standard</v>
          </cell>
          <cell r="G994">
            <v>45351</v>
          </cell>
          <cell r="H994" t="str">
            <v>35668</v>
          </cell>
          <cell r="I994" t="str">
            <v>https://www.smwcentral.net/?a=details&amp;id=35668&amp;p=section</v>
          </cell>
          <cell r="J994" t="str">
            <v>https://dl.smwcentral.net/35668/MarioGoldenPizza.zip</v>
          </cell>
        </row>
        <row r="995">
          <cell r="A995" t="str">
            <v>Mario Is Missing 3: Mario's Wreck</v>
          </cell>
          <cell r="B995" t="str">
            <v>Mario Is Missing 3: Mario's Wreck</v>
          </cell>
          <cell r="C995" t="str">
            <v>MetalUpYourAss</v>
          </cell>
          <cell r="D995">
            <v>3</v>
          </cell>
          <cell r="E995" t="str">
            <v>Newcomer</v>
          </cell>
          <cell r="F995" t="str">
            <v>Standard</v>
          </cell>
          <cell r="G995">
            <v>42135</v>
          </cell>
          <cell r="H995" t="str">
            <v>10068</v>
          </cell>
          <cell r="I995" t="str">
            <v>https://www.smwcentral.net/?a=details&amp;id=10068&amp;p=section</v>
          </cell>
          <cell r="J995" t="str">
            <v>https://dl.smwcentral.net/10068/M%20Is%20Missing%203.zip</v>
          </cell>
        </row>
        <row r="996">
          <cell r="A996" t="str">
            <v>Mario is Missing! Done Right</v>
          </cell>
          <cell r="B996" t="str">
            <v>Mario is Missing! Done Right</v>
          </cell>
          <cell r="C996" t="str">
            <v>Gamma V</v>
          </cell>
          <cell r="D996">
            <v>90</v>
          </cell>
          <cell r="E996" t="str">
            <v>Casual</v>
          </cell>
          <cell r="F996" t="str">
            <v>Standard</v>
          </cell>
          <cell r="G996">
            <v>42939</v>
          </cell>
          <cell r="H996" t="str">
            <v>15939</v>
          </cell>
          <cell r="I996" t="str">
            <v>https://www.smwcentral.net/?a=details&amp;id=15939&amp;p=section</v>
          </cell>
          <cell r="J996" t="str">
            <v>https://dl.smwcentral.net/15939/MIMFixedIntros.zip</v>
          </cell>
        </row>
        <row r="997">
          <cell r="A997" t="str">
            <v>Mario is Missing... again</v>
          </cell>
          <cell r="B997" t="str">
            <v>Mario is Missing... again</v>
          </cell>
          <cell r="C997" t="str">
            <v>B.B.Link</v>
          </cell>
          <cell r="D997">
            <v>13</v>
          </cell>
          <cell r="E997" t="str">
            <v>Newcomer</v>
          </cell>
          <cell r="F997" t="str">
            <v>Standard</v>
          </cell>
          <cell r="G997">
            <v>42306</v>
          </cell>
          <cell r="H997" t="str">
            <v>10197</v>
          </cell>
          <cell r="I997" t="str">
            <v>https://www.smwcentral.net/?a=details&amp;id=10197&amp;p=section</v>
          </cell>
          <cell r="J997" t="str">
            <v>https://dl.smwcentral.net/10197/Alt%20Mario%20is%20Missing%202.zip</v>
          </cell>
        </row>
        <row r="998">
          <cell r="A998" t="str">
            <v>Mario is Screwed</v>
          </cell>
          <cell r="B998" t="str">
            <v>Mario is Screwed</v>
          </cell>
          <cell r="C998" t="str">
            <v>Sixcorby</v>
          </cell>
          <cell r="D998">
            <v>9</v>
          </cell>
          <cell r="E998" t="str">
            <v>Advanced</v>
          </cell>
          <cell r="F998" t="str">
            <v>Kaizo, Tool-Assisted</v>
          </cell>
          <cell r="G998">
            <v>42960</v>
          </cell>
          <cell r="H998" t="str">
            <v>15922</v>
          </cell>
          <cell r="I998" t="str">
            <v>https://www.smwcentral.net/?a=details&amp;id=15922&amp;p=section</v>
          </cell>
          <cell r="J998" t="str">
            <v>https://dl.smwcentral.net/15922/marioisscrewed.zip</v>
          </cell>
        </row>
        <row r="999">
          <cell r="A999" t="str">
            <v>Mario is Sick!</v>
          </cell>
          <cell r="B999" t="str">
            <v>Mario is Sick!</v>
          </cell>
          <cell r="C999" t="str">
            <v>Corruptendo</v>
          </cell>
          <cell r="D999">
            <v>4</v>
          </cell>
          <cell r="E999" t="str">
            <v>Newcomer</v>
          </cell>
          <cell r="F999" t="str">
            <v>Standard</v>
          </cell>
          <cell r="G999">
            <v>42125</v>
          </cell>
          <cell r="H999" t="str">
            <v>10154</v>
          </cell>
          <cell r="I999" t="str">
            <v>https://www.smwcentral.net/?a=details&amp;id=10154&amp;p=section</v>
          </cell>
          <cell r="J999" t="str">
            <v>https://dl.smwcentral.net/10154/Mario%20Is%20Sick%21%20V.6.zip</v>
          </cell>
        </row>
        <row r="1000">
          <cell r="A1000" t="str">
            <v>Mario is Stupid</v>
          </cell>
          <cell r="B1000" t="str">
            <v>Mario is Stupid</v>
          </cell>
          <cell r="C1000" t="str">
            <v>Sokobansolver</v>
          </cell>
          <cell r="D1000">
            <v>12</v>
          </cell>
          <cell r="E1000" t="str">
            <v>Grandmaster</v>
          </cell>
          <cell r="F1000" t="str">
            <v>Kaizo</v>
          </cell>
          <cell r="G1000">
            <v>42722</v>
          </cell>
          <cell r="H1000" t="str">
            <v>14712</v>
          </cell>
          <cell r="I1000" t="str">
            <v>https://www.smwcentral.net/?a=details&amp;id=14712&amp;p=section</v>
          </cell>
          <cell r="J1000" t="str">
            <v>https://dl.smwcentral.net/14712/Mario_is_Stupid.zip</v>
          </cell>
        </row>
        <row r="1001">
          <cell r="A1001" t="str">
            <v>Mario is too casual</v>
          </cell>
          <cell r="B1001" t="str">
            <v>Mario is too casual</v>
          </cell>
          <cell r="C1001" t="str">
            <v>ocked</v>
          </cell>
          <cell r="D1001">
            <v>18</v>
          </cell>
          <cell r="E1001" t="str">
            <v>Expert</v>
          </cell>
          <cell r="F1001" t="str">
            <v>Kaizo</v>
          </cell>
          <cell r="G1001">
            <v>44880</v>
          </cell>
          <cell r="H1001" t="str">
            <v>32566</v>
          </cell>
          <cell r="I1001" t="str">
            <v>https://www.smwcentral.net/?a=details&amp;id=32566&amp;p=section</v>
          </cell>
          <cell r="J1001" t="str">
            <v>https://dl.smwcentral.net/32566/v1.1.zip</v>
          </cell>
        </row>
        <row r="1002">
          <cell r="A1002" t="str">
            <v>Mario Keymanship</v>
          </cell>
          <cell r="B1002" t="str">
            <v>Mario Keymanship</v>
          </cell>
          <cell r="C1002" t="str">
            <v>ageVerrly</v>
          </cell>
          <cell r="D1002">
            <v>6</v>
          </cell>
          <cell r="E1002" t="str">
            <v>Master</v>
          </cell>
          <cell r="F1002" t="str">
            <v>Kaizo</v>
          </cell>
          <cell r="G1002">
            <v>44620</v>
          </cell>
          <cell r="H1002" t="str">
            <v>29650</v>
          </cell>
          <cell r="I1002" t="str">
            <v>https://www.smwcentral.net/?a=details&amp;id=29650&amp;p=section</v>
          </cell>
          <cell r="J1002" t="str">
            <v>https://dl.smwcentral.net/29650/keymanship.zip</v>
          </cell>
        </row>
        <row r="1003">
          <cell r="A1003" t="str">
            <v>Mario Kick World</v>
          </cell>
          <cell r="B1003" t="str">
            <v>Mario Kick World</v>
          </cell>
          <cell r="C1003" t="str">
            <v>Yagami</v>
          </cell>
          <cell r="D1003">
            <v>4</v>
          </cell>
          <cell r="E1003" t="str">
            <v>Expert</v>
          </cell>
          <cell r="F1003" t="str">
            <v>Kaizo</v>
          </cell>
          <cell r="G1003">
            <v>43459</v>
          </cell>
          <cell r="H1003" t="str">
            <v>18714</v>
          </cell>
          <cell r="I1003" t="str">
            <v>https://www.smwcentral.net/?a=details&amp;id=18714&amp;p=section</v>
          </cell>
          <cell r="J1003" t="str">
            <v>https://dl.smwcentral.net/18714/Mario%20Kick%20World%20Demo.zip</v>
          </cell>
        </row>
        <row r="1004">
          <cell r="A1004" t="str">
            <v>Mario Left the Garage Door Open Again</v>
          </cell>
          <cell r="B1004" t="str">
            <v>Mario Left the Garage Door Open Again</v>
          </cell>
          <cell r="C1004" t="str">
            <v>Lizstar</v>
          </cell>
          <cell r="D1004">
            <v>20</v>
          </cell>
          <cell r="E1004" t="str">
            <v>Expert</v>
          </cell>
          <cell r="F1004" t="str">
            <v>Kaizo</v>
          </cell>
          <cell r="G1004">
            <v>43984</v>
          </cell>
          <cell r="H1004" t="str">
            <v>23172</v>
          </cell>
          <cell r="I1004" t="str">
            <v>https://www.smwcentral.net/?a=details&amp;id=23172&amp;p=section</v>
          </cell>
          <cell r="J1004" t="str">
            <v>https://dl.smwcentral.net/23172/Mario%20Left%20The%20Garage%20Door%20Open%20Again.zip</v>
          </cell>
        </row>
        <row r="1005">
          <cell r="A1005" t="str">
            <v>Mario Lost in the Fruit Cave</v>
          </cell>
          <cell r="B1005" t="str">
            <v>Mario Lost in the Fruit Cave</v>
          </cell>
          <cell r="C1005" t="str">
            <v>mario and luigi</v>
          </cell>
          <cell r="D1005">
            <v>11</v>
          </cell>
          <cell r="E1005" t="str">
            <v>Casual</v>
          </cell>
          <cell r="F1005" t="str">
            <v>Standard</v>
          </cell>
          <cell r="G1005">
            <v>42062</v>
          </cell>
          <cell r="H1005" t="str">
            <v>10949</v>
          </cell>
          <cell r="I1005" t="str">
            <v>https://www.smwcentral.net/?a=details&amp;id=10949&amp;p=section</v>
          </cell>
          <cell r="J1005" t="str">
            <v>https://dl.smwcentral.net/10949/fruitcave.zip</v>
          </cell>
        </row>
        <row r="1006">
          <cell r="A1006" t="str">
            <v>Mario Mania [SMWC #22072]</v>
          </cell>
          <cell r="B1006" t="str">
            <v>Mario Mania</v>
          </cell>
          <cell r="C1006" t="str">
            <v>BlooberryPi</v>
          </cell>
          <cell r="D1006">
            <v>10</v>
          </cell>
          <cell r="E1006" t="str">
            <v>Expert</v>
          </cell>
          <cell r="F1006" t="str">
            <v>Kaizo</v>
          </cell>
          <cell r="G1006">
            <v>43870</v>
          </cell>
          <cell r="H1006" t="str">
            <v>22072</v>
          </cell>
          <cell r="I1006" t="str">
            <v>https://www.smwcentral.net/?a=details&amp;id=22072&amp;p=section</v>
          </cell>
          <cell r="J1006" t="str">
            <v>https://dl.smwcentral.net/22072/Mario%20Mania%201.1.zip</v>
          </cell>
        </row>
        <row r="1007">
          <cell r="A1007" t="str">
            <v>Mario Mania [SMWC #34594]</v>
          </cell>
          <cell r="B1007" t="str">
            <v>Mario Mania</v>
          </cell>
          <cell r="C1007" t="str">
            <v>Hammerer</v>
          </cell>
          <cell r="D1007">
            <v>15</v>
          </cell>
          <cell r="E1007" t="str">
            <v>Intermediate</v>
          </cell>
          <cell r="F1007" t="str">
            <v>Standard</v>
          </cell>
          <cell r="G1007">
            <v>45144</v>
          </cell>
          <cell r="H1007" t="str">
            <v>34594</v>
          </cell>
          <cell r="I1007" t="str">
            <v>https://www.smwcentral.net/?a=details&amp;id=34594&amp;p=section</v>
          </cell>
          <cell r="J1007" t="str">
            <v>https://dl.smwcentral.net/34594/M.Mania.zip</v>
          </cell>
        </row>
        <row r="1008">
          <cell r="A1008" t="str">
            <v>Mario Mario Mario</v>
          </cell>
          <cell r="B1008" t="str">
            <v>Mario Mario Mario</v>
          </cell>
          <cell r="C1008" t="str">
            <v>BlueSkye209</v>
          </cell>
          <cell r="D1008">
            <v>8</v>
          </cell>
          <cell r="E1008" t="str">
            <v>Intermediate</v>
          </cell>
          <cell r="F1008" t="str">
            <v>Standard</v>
          </cell>
          <cell r="G1008">
            <v>43383</v>
          </cell>
          <cell r="H1008" t="str">
            <v>18257</v>
          </cell>
          <cell r="I1008" t="str">
            <v>https://www.smwcentral.net/?a=details&amp;id=18257&amp;p=section</v>
          </cell>
          <cell r="J1008" t="str">
            <v>https://dl.smwcentral.net/18257/MMM%20Demo.zip</v>
          </cell>
        </row>
        <row r="1009">
          <cell r="A1009" t="str">
            <v>Mario Mario vs the Crab Army</v>
          </cell>
          <cell r="B1009" t="str">
            <v>Mario Mario vs the Crab Army</v>
          </cell>
          <cell r="C1009" t="str">
            <v>cozyduck</v>
          </cell>
          <cell r="D1009">
            <v>10</v>
          </cell>
          <cell r="E1009" t="str">
            <v>Master</v>
          </cell>
          <cell r="F1009" t="str">
            <v>Kaizo</v>
          </cell>
          <cell r="G1009">
            <v>44386</v>
          </cell>
          <cell r="H1009" t="str">
            <v>27426</v>
          </cell>
          <cell r="I1009" t="str">
            <v>https://www.smwcentral.net/?a=details&amp;id=27426&amp;p=section</v>
          </cell>
          <cell r="J1009" t="str">
            <v>https://dl.smwcentral.net/27426/crabs_v1.03.zip</v>
          </cell>
        </row>
        <row r="1010">
          <cell r="A1010" t="str">
            <v>Mario Mario's Superior Platforming Physics Challenge</v>
          </cell>
          <cell r="B1010" t="str">
            <v>Mario Mario's Superior Platforming Physics Challenge</v>
          </cell>
          <cell r="C1010" t="str">
            <v>Jamie</v>
          </cell>
          <cell r="D1010">
            <v>4</v>
          </cell>
          <cell r="E1010" t="str">
            <v>Advanced</v>
          </cell>
          <cell r="F1010" t="str">
            <v>Kaizo</v>
          </cell>
          <cell r="G1010">
            <v>45938</v>
          </cell>
          <cell r="H1010" t="str">
            <v>40735</v>
          </cell>
          <cell r="I1010" t="str">
            <v>https://www.smwcentral.net/?a=details&amp;id=40735&amp;p=section</v>
          </cell>
          <cell r="J1010" t="str">
            <v>https://dl.smwcentral.net/40735/MMSPPC.zip</v>
          </cell>
        </row>
        <row r="1011">
          <cell r="A1011" t="str">
            <v>Mario Memorandum</v>
          </cell>
          <cell r="B1011" t="str">
            <v>Mario Memorandum</v>
          </cell>
          <cell r="C1011" t="str">
            <v>Buzbee</v>
          </cell>
          <cell r="D1011">
            <v>15</v>
          </cell>
          <cell r="E1011" t="str">
            <v>Grandmaster</v>
          </cell>
          <cell r="F1011" t="str">
            <v>Kaizo</v>
          </cell>
          <cell r="G1011">
            <v>44952</v>
          </cell>
          <cell r="H1011" t="str">
            <v>32691</v>
          </cell>
          <cell r="I1011" t="str">
            <v>https://www.smwcentral.net/?a=details&amp;id=32691&amp;p=section</v>
          </cell>
          <cell r="J1011" t="str">
            <v>https://dl.smwcentral.net/32691/Mario%20Memorandum%201.1.zip</v>
          </cell>
        </row>
        <row r="1012">
          <cell r="A1012" t="str">
            <v>Mario Memorandum: New Game Plus</v>
          </cell>
          <cell r="B1012" t="str">
            <v>Mario Memorandum: New Game Plus</v>
          </cell>
          <cell r="C1012" t="str">
            <v>Buzbee</v>
          </cell>
          <cell r="D1012">
            <v>15</v>
          </cell>
          <cell r="E1012" t="str">
            <v>Expert</v>
          </cell>
          <cell r="F1012" t="str">
            <v>Kaizo</v>
          </cell>
          <cell r="G1012">
            <v>44984</v>
          </cell>
          <cell r="H1012" t="str">
            <v>33227</v>
          </cell>
          <cell r="I1012" t="str">
            <v>https://www.smwcentral.net/?a=details&amp;id=33227&amp;p=section</v>
          </cell>
          <cell r="J1012" t="str">
            <v>https://dl.smwcentral.net/33227/MMNGP%201.1.bps.zip</v>
          </cell>
        </row>
        <row r="1013">
          <cell r="A1013" t="str">
            <v>Mario Mission</v>
          </cell>
          <cell r="B1013" t="str">
            <v>Mario Mission</v>
          </cell>
          <cell r="C1013" t="str">
            <v>jstreet2000</v>
          </cell>
          <cell r="D1013">
            <v>7</v>
          </cell>
          <cell r="E1013" t="str">
            <v>Advanced</v>
          </cell>
          <cell r="F1013" t="str">
            <v>Kaizo</v>
          </cell>
          <cell r="G1013">
            <v>44243</v>
          </cell>
          <cell r="H1013" t="str">
            <v>26194</v>
          </cell>
          <cell r="I1013" t="str">
            <v>https://www.smwcentral.net/?a=details&amp;id=26194&amp;p=section</v>
          </cell>
          <cell r="J1013" t="str">
            <v>https://dl.smwcentral.net/26194/Mario%20Mission%201.0.zip</v>
          </cell>
        </row>
        <row r="1014">
          <cell r="A1014" t="str">
            <v>Mario Must Die (SMWC version)</v>
          </cell>
          <cell r="B1014" t="str">
            <v>Mario Must Die (SMWC version)</v>
          </cell>
          <cell r="C1014" t="str">
            <v>Sokobansolver</v>
          </cell>
          <cell r="D1014">
            <v>9</v>
          </cell>
          <cell r="E1014" t="str">
            <v>Advanced</v>
          </cell>
          <cell r="F1014" t="str">
            <v>Kaizo, Tool-Assisted</v>
          </cell>
          <cell r="G1014">
            <v>41917</v>
          </cell>
          <cell r="H1014" t="str">
            <v>9033</v>
          </cell>
          <cell r="I1014" t="str">
            <v>https://www.smwcentral.net/?a=details&amp;id=9033&amp;p=section</v>
          </cell>
          <cell r="J1014" t="str">
            <v>https://dl.smwcentral.net/9033/MarioMustDie.zip</v>
          </cell>
        </row>
        <row r="1015">
          <cell r="A1015" t="str">
            <v>Mario Must Die 2</v>
          </cell>
          <cell r="B1015" t="str">
            <v>Mario Must Die 2</v>
          </cell>
          <cell r="C1015" t="str">
            <v>Sokobansolver</v>
          </cell>
          <cell r="D1015">
            <v>9</v>
          </cell>
          <cell r="E1015" t="str">
            <v>Expert</v>
          </cell>
          <cell r="F1015" t="str">
            <v>Kaizo, Tool-Assisted</v>
          </cell>
          <cell r="G1015">
            <v>42557</v>
          </cell>
          <cell r="H1015" t="str">
            <v>13907</v>
          </cell>
          <cell r="I1015" t="str">
            <v>https://www.smwcentral.net/?a=details&amp;id=13907&amp;p=section</v>
          </cell>
          <cell r="J1015" t="str">
            <v>https://dl.smwcentral.net/13907/MMD2.zip</v>
          </cell>
        </row>
        <row r="1016">
          <cell r="A1016" t="str">
            <v>Mario No Kumorizora</v>
          </cell>
          <cell r="B1016" t="str">
            <v>Mario No Kumorizora</v>
          </cell>
          <cell r="C1016" t="str">
            <v>Azula16</v>
          </cell>
          <cell r="D1016">
            <v>18</v>
          </cell>
          <cell r="E1016" t="str">
            <v>Master</v>
          </cell>
          <cell r="F1016" t="str">
            <v>Kaizo</v>
          </cell>
          <cell r="G1016">
            <v>45705</v>
          </cell>
          <cell r="H1016" t="str">
            <v>39350</v>
          </cell>
          <cell r="I1016" t="str">
            <v>https://www.smwcentral.net/?a=details&amp;id=39350&amp;p=section</v>
          </cell>
          <cell r="J1016" t="str">
            <v>https://dl.smwcentral.net/39350/Kumorizora.zip</v>
          </cell>
        </row>
        <row r="1017">
          <cell r="A1017" t="str">
            <v>Mario OC</v>
          </cell>
          <cell r="B1017" t="str">
            <v>Mario OC</v>
          </cell>
          <cell r="C1017" t="str">
            <v>elieltonl</v>
          </cell>
          <cell r="D1017">
            <v>2</v>
          </cell>
          <cell r="E1017" t="str">
            <v>Intermediate</v>
          </cell>
          <cell r="F1017" t="str">
            <v>Kaizo, Tool-Assisted</v>
          </cell>
          <cell r="G1017">
            <v>44142</v>
          </cell>
          <cell r="H1017" t="str">
            <v>24890</v>
          </cell>
          <cell r="I1017" t="str">
            <v>https://www.smwcentral.net/?a=details&amp;id=24890&amp;p=section</v>
          </cell>
          <cell r="J1017" t="str">
            <v>https://dl.smwcentral.net/24890/MARIO%20OC%20ediitor.zip</v>
          </cell>
        </row>
        <row r="1018">
          <cell r="A1018" t="str">
            <v>Mario on Ice</v>
          </cell>
          <cell r="B1018" t="str">
            <v>Mario on Ice</v>
          </cell>
          <cell r="C1018" t="str">
            <v>Pureblade</v>
          </cell>
          <cell r="D1018">
            <v>6</v>
          </cell>
          <cell r="E1018" t="str">
            <v>Casual</v>
          </cell>
          <cell r="F1018" t="str">
            <v>Standard</v>
          </cell>
          <cell r="G1018">
            <v>42256</v>
          </cell>
          <cell r="H1018" t="str">
            <v>9946</v>
          </cell>
          <cell r="I1018" t="str">
            <v>https://www.smwcentral.net/?a=details&amp;id=9946&amp;p=section</v>
          </cell>
          <cell r="J1018" t="str">
            <v>https://dl.smwcentral.net/9946/Icemario.zip</v>
          </cell>
        </row>
        <row r="1019">
          <cell r="A1019" t="str">
            <v>Mario on the Moon</v>
          </cell>
          <cell r="B1019" t="str">
            <v>Mario on the Moon</v>
          </cell>
          <cell r="C1019" t="str">
            <v>Boosius</v>
          </cell>
          <cell r="D1019">
            <v>2</v>
          </cell>
          <cell r="E1019" t="str">
            <v>Advanced</v>
          </cell>
          <cell r="F1019" t="str">
            <v>Kaizo</v>
          </cell>
          <cell r="G1019">
            <v>44456</v>
          </cell>
          <cell r="H1019" t="str">
            <v>28324</v>
          </cell>
          <cell r="I1019" t="str">
            <v>https://www.smwcentral.net/?a=details&amp;id=28324&amp;p=section</v>
          </cell>
          <cell r="J1019" t="str">
            <v>https://dl.smwcentral.net/28324/Mario%20On%20The%20Moon.zip</v>
          </cell>
        </row>
        <row r="1020">
          <cell r="A1020" t="str">
            <v>Mario Quits</v>
          </cell>
          <cell r="B1020" t="str">
            <v>Mario Quits</v>
          </cell>
          <cell r="C1020" t="str">
            <v>DasFueller</v>
          </cell>
          <cell r="D1020">
            <v>17</v>
          </cell>
          <cell r="E1020" t="str">
            <v>Expert</v>
          </cell>
          <cell r="F1020" t="str">
            <v>Kaizo</v>
          </cell>
          <cell r="G1020">
            <v>44753</v>
          </cell>
          <cell r="H1020" t="str">
            <v>31372</v>
          </cell>
          <cell r="I1020" t="str">
            <v>https://www.smwcentral.net/?a=details&amp;id=31372&amp;p=section</v>
          </cell>
          <cell r="J1020" t="str">
            <v>https://dl.smwcentral.net/31372/Mario_Quits_1.0.zip</v>
          </cell>
        </row>
        <row r="1021">
          <cell r="A1021" t="str">
            <v>Mario Quits 2</v>
          </cell>
          <cell r="B1021" t="str">
            <v>Mario Quits 2</v>
          </cell>
          <cell r="C1021" t="str">
            <v>DasFueller</v>
          </cell>
          <cell r="D1021">
            <v>16</v>
          </cell>
          <cell r="E1021" t="str">
            <v>Expert</v>
          </cell>
          <cell r="F1021" t="str">
            <v>Kaizo</v>
          </cell>
          <cell r="G1021">
            <v>45991</v>
          </cell>
          <cell r="H1021" t="str">
            <v>41121</v>
          </cell>
          <cell r="I1021" t="str">
            <v>https://www.smwcentral.net/?a=details&amp;id=41121&amp;p=section</v>
          </cell>
          <cell r="J1021" t="str">
            <v>https://dl.smwcentral.net/41121/MQ2_v1_2.zip</v>
          </cell>
        </row>
        <row r="1022">
          <cell r="A1022" t="str">
            <v>Mario Rescues 4th Of July</v>
          </cell>
          <cell r="B1022" t="str">
            <v>Mario Rescues 4th Of July</v>
          </cell>
          <cell r="C1022" t="str">
            <v>El Cuh Fermin</v>
          </cell>
          <cell r="D1022">
            <v>9</v>
          </cell>
          <cell r="E1022" t="str">
            <v>Newcomer</v>
          </cell>
          <cell r="F1022" t="str">
            <v>Standard</v>
          </cell>
          <cell r="G1022">
            <v>44018</v>
          </cell>
          <cell r="H1022" t="str">
            <v>23536</v>
          </cell>
          <cell r="I1022" t="str">
            <v>https://www.smwcentral.net/?a=details&amp;id=23536&amp;p=section</v>
          </cell>
          <cell r="J1022" t="str">
            <v>https://dl.smwcentral.net/23536/Mario%20Rescues%204th%20Of%20July.zip</v>
          </cell>
        </row>
        <row r="1023">
          <cell r="A1023" t="str">
            <v>Mario Rescues Santa Claus</v>
          </cell>
          <cell r="B1023" t="str">
            <v>Mario Rescues Santa Claus</v>
          </cell>
          <cell r="C1023" t="str">
            <v>Green Jerry</v>
          </cell>
          <cell r="D1023">
            <v>33</v>
          </cell>
          <cell r="E1023" t="str">
            <v>Intermediate</v>
          </cell>
          <cell r="F1023" t="str">
            <v>Standard</v>
          </cell>
          <cell r="G1023">
            <v>44923</v>
          </cell>
          <cell r="H1023" t="str">
            <v>32809</v>
          </cell>
          <cell r="I1023" t="str">
            <v>https://www.smwcentral.net/?a=details&amp;id=32809&amp;p=section</v>
          </cell>
          <cell r="J1023" t="str">
            <v>https://dl.smwcentral.net/32809/Mario%20Rescues%20Santa%20Claus%20%28V1.0.2%29.zip</v>
          </cell>
        </row>
        <row r="1024">
          <cell r="A1024" t="str">
            <v>Mario Rescues the Golden Mushroom</v>
          </cell>
          <cell r="B1024" t="str">
            <v>Mario Rescues the Golden Mushroom</v>
          </cell>
          <cell r="C1024" t="str">
            <v>Green Jerry</v>
          </cell>
          <cell r="D1024">
            <v>42</v>
          </cell>
          <cell r="E1024" t="str">
            <v>Casual</v>
          </cell>
          <cell r="F1024" t="str">
            <v>Standard</v>
          </cell>
          <cell r="G1024">
            <v>43690</v>
          </cell>
          <cell r="H1024" t="str">
            <v>20754</v>
          </cell>
          <cell r="I1024" t="str">
            <v>https://www.smwcentral.net/?a=details&amp;id=20754&amp;p=section</v>
          </cell>
          <cell r="J1024" t="str">
            <v>https://dl.smwcentral.net/20754/Mario%20Rescues%20the%20Golden%20Mushroom%20V1.1.4.zip</v>
          </cell>
        </row>
        <row r="1025">
          <cell r="A1025" t="str">
            <v>Mario Returns To Yoshi's Island</v>
          </cell>
          <cell r="B1025" t="str">
            <v>Mario Returns To Yoshi's Island</v>
          </cell>
          <cell r="C1025" t="str">
            <v>supernova38</v>
          </cell>
          <cell r="D1025">
            <v>12</v>
          </cell>
          <cell r="E1025" t="str">
            <v>Newcomer</v>
          </cell>
          <cell r="F1025" t="str">
            <v>Standard</v>
          </cell>
          <cell r="G1025">
            <v>41626</v>
          </cell>
          <cell r="H1025" t="str">
            <v>5982</v>
          </cell>
          <cell r="I1025" t="str">
            <v>https://www.smwcentral.net/?a=details&amp;id=5982&amp;p=section</v>
          </cell>
          <cell r="J1025" t="str">
            <v>https://dl.smwcentral.net/5982/MRTYI%20demo.zip</v>
          </cell>
        </row>
        <row r="1026">
          <cell r="A1026" t="str">
            <v>Mario Saves Christmas</v>
          </cell>
          <cell r="B1026" t="str">
            <v>Mario Saves Christmas</v>
          </cell>
          <cell r="C1026" t="str">
            <v>Green Jerry</v>
          </cell>
          <cell r="D1026">
            <v>13</v>
          </cell>
          <cell r="E1026" t="str">
            <v>Casual</v>
          </cell>
          <cell r="F1026" t="str">
            <v>Standard</v>
          </cell>
          <cell r="G1026">
            <v>43823</v>
          </cell>
          <cell r="H1026" t="str">
            <v>21687</v>
          </cell>
          <cell r="I1026" t="str">
            <v>https://www.smwcentral.net/?a=details&amp;id=21687&amp;p=section</v>
          </cell>
          <cell r="J1026" t="str">
            <v>https://dl.smwcentral.net/21687/Mario%20Saves%20Christmas%20V1.2.zip</v>
          </cell>
        </row>
        <row r="1027">
          <cell r="A1027" t="str">
            <v>Mario Saves Christmas 2021</v>
          </cell>
          <cell r="B1027" t="str">
            <v>Mario Saves Christmas 2021</v>
          </cell>
          <cell r="C1027" t="str">
            <v>El Cuh Fermin</v>
          </cell>
          <cell r="D1027">
            <v>10</v>
          </cell>
          <cell r="E1027" t="str">
            <v>Intermediate</v>
          </cell>
          <cell r="F1027" t="str">
            <v>Standard</v>
          </cell>
          <cell r="G1027">
            <v>44537</v>
          </cell>
          <cell r="H1027" t="str">
            <v>28944</v>
          </cell>
          <cell r="I1027" t="str">
            <v>https://www.smwcentral.net/?a=details&amp;id=28944&amp;p=section</v>
          </cell>
          <cell r="J1027" t="str">
            <v>https://dl.smwcentral.net/28944/Mario%20Saves%20Christmas%202021.zip</v>
          </cell>
        </row>
        <row r="1028">
          <cell r="A1028" t="str">
            <v>Mario Saves Easter 2023</v>
          </cell>
          <cell r="B1028" t="str">
            <v>Mario Saves Easter 2023</v>
          </cell>
          <cell r="C1028" t="str">
            <v>El Cuh Fermin</v>
          </cell>
          <cell r="D1028">
            <v>17</v>
          </cell>
          <cell r="E1028" t="str">
            <v>Casual</v>
          </cell>
          <cell r="F1028" t="str">
            <v>Standard</v>
          </cell>
          <cell r="G1028">
            <v>45020</v>
          </cell>
          <cell r="H1028" t="str">
            <v>33669</v>
          </cell>
          <cell r="I1028" t="str">
            <v>https://www.smwcentral.net/?a=details&amp;id=33669&amp;p=section</v>
          </cell>
          <cell r="J1028" t="str">
            <v>https://dl.smwcentral.net/33669/Mario%20Saves%20Easter%202023.zip</v>
          </cell>
        </row>
        <row r="1029">
          <cell r="A1029" t="str">
            <v>Mario Saves Fermin's Birthday</v>
          </cell>
          <cell r="B1029" t="str">
            <v>Mario Saves Fermin's Birthday</v>
          </cell>
          <cell r="C1029" t="str">
            <v>El Cuh Fermin</v>
          </cell>
          <cell r="D1029">
            <v>9</v>
          </cell>
          <cell r="E1029" t="str">
            <v>Casual</v>
          </cell>
          <cell r="F1029" t="str">
            <v>Standard</v>
          </cell>
          <cell r="G1029">
            <v>44610</v>
          </cell>
          <cell r="H1029" t="str">
            <v>29823</v>
          </cell>
          <cell r="I1029" t="str">
            <v>https://www.smwcentral.net/?a=details&amp;id=29823&amp;p=section</v>
          </cell>
          <cell r="J1029" t="str">
            <v>https://dl.smwcentral.net/29823/Mario%20Saves%20Fermin%27s%20Birthday.zip</v>
          </cell>
        </row>
        <row r="1030">
          <cell r="A1030" t="str">
            <v>Mario Saves Peach Once Again</v>
          </cell>
          <cell r="B1030" t="str">
            <v>Mario Saves Peach Once Again</v>
          </cell>
          <cell r="C1030" t="str">
            <v>Lmao</v>
          </cell>
          <cell r="D1030">
            <v>16</v>
          </cell>
          <cell r="E1030" t="str">
            <v>Casual</v>
          </cell>
          <cell r="F1030" t="str">
            <v>Standard</v>
          </cell>
          <cell r="G1030">
            <v>44613</v>
          </cell>
          <cell r="H1030" t="str">
            <v>29857</v>
          </cell>
          <cell r="I1030" t="str">
            <v>https://www.smwcentral.net/?a=details&amp;id=29857&amp;p=section</v>
          </cell>
          <cell r="J1030" t="str">
            <v>https://dl.smwcentral.net/29857/MSPOA%20DEMO%20UPDATE%203.zip</v>
          </cell>
        </row>
        <row r="1031">
          <cell r="A1031" t="str">
            <v>Mario Saves Princess Peach</v>
          </cell>
          <cell r="B1031" t="str">
            <v>Mario Saves Princess Peach</v>
          </cell>
          <cell r="C1031" t="str">
            <v>El Cuh Fermin</v>
          </cell>
          <cell r="D1031">
            <v>10</v>
          </cell>
          <cell r="E1031" t="str">
            <v>Casual</v>
          </cell>
          <cell r="F1031" t="str">
            <v>Standard</v>
          </cell>
          <cell r="G1031">
            <v>44448</v>
          </cell>
          <cell r="H1031" t="str">
            <v>28253</v>
          </cell>
          <cell r="I1031" t="str">
            <v>https://www.smwcentral.net/?a=details&amp;id=28253&amp;p=section</v>
          </cell>
          <cell r="J1031" t="str">
            <v>https://dl.smwcentral.net/28253/Mario%20Saves%20Princess%20Peach.zip</v>
          </cell>
        </row>
        <row r="1032">
          <cell r="A1032" t="str">
            <v>Mario Saves Princess Toadstool 2</v>
          </cell>
          <cell r="B1032" t="str">
            <v>Mario Saves Princess Toadstool 2</v>
          </cell>
          <cell r="C1032" t="str">
            <v>El Cuh Fermin</v>
          </cell>
          <cell r="D1032">
            <v>9</v>
          </cell>
          <cell r="E1032" t="str">
            <v>Casual</v>
          </cell>
          <cell r="F1032" t="str">
            <v>Standard</v>
          </cell>
          <cell r="G1032">
            <v>44951</v>
          </cell>
          <cell r="H1032" t="str">
            <v>32992</v>
          </cell>
          <cell r="I1032" t="str">
            <v>https://www.smwcentral.net/?a=details&amp;id=32992&amp;p=section</v>
          </cell>
          <cell r="J1032" t="str">
            <v>https://dl.smwcentral.net/32992/Mario%20Saves%20Princess%20Toadstool%202.zip</v>
          </cell>
        </row>
        <row r="1033">
          <cell r="A1033" t="str">
            <v>Mario Saves Spring Break</v>
          </cell>
          <cell r="B1033" t="str">
            <v>Mario Saves Spring Break</v>
          </cell>
          <cell r="C1033" t="str">
            <v>El Cuh Fermin</v>
          </cell>
          <cell r="D1033">
            <v>9</v>
          </cell>
          <cell r="E1033" t="str">
            <v>Casual</v>
          </cell>
          <cell r="F1033" t="str">
            <v>Standard</v>
          </cell>
          <cell r="G1033">
            <v>43668</v>
          </cell>
          <cell r="H1033" t="str">
            <v>20687</v>
          </cell>
          <cell r="I1033" t="str">
            <v>https://www.smwcentral.net/?a=details&amp;id=20687&amp;p=section</v>
          </cell>
          <cell r="J1033" t="str">
            <v>https://dl.smwcentral.net/20687/Mario%20Saves%20Spring%20Break%20%28UPDATED%29.zip</v>
          </cell>
        </row>
        <row r="1034">
          <cell r="A1034" t="str">
            <v>Mario Saves Spring Break 2</v>
          </cell>
          <cell r="B1034" t="str">
            <v>Mario Saves Spring Break 2</v>
          </cell>
          <cell r="C1034" t="str">
            <v>El Cuh Fermin</v>
          </cell>
          <cell r="D1034">
            <v>9</v>
          </cell>
          <cell r="E1034" t="str">
            <v>Casual</v>
          </cell>
          <cell r="F1034" t="str">
            <v>Standard</v>
          </cell>
          <cell r="G1034">
            <v>44641</v>
          </cell>
          <cell r="H1034" t="str">
            <v>30183</v>
          </cell>
          <cell r="I1034" t="str">
            <v>https://www.smwcentral.net/?a=details&amp;id=30183&amp;p=section</v>
          </cell>
          <cell r="J1034" t="str">
            <v>https://dl.smwcentral.net/30183/Mario%20Saves%20Spring%20Break%202.zip</v>
          </cell>
        </row>
        <row r="1035">
          <cell r="A1035" t="str">
            <v>Mario Saves Summer Break 2024</v>
          </cell>
          <cell r="B1035" t="str">
            <v>Mario Saves Summer Break 2024</v>
          </cell>
          <cell r="C1035" t="str">
            <v>El Cuh Fermin</v>
          </cell>
          <cell r="D1035">
            <v>14</v>
          </cell>
          <cell r="E1035" t="str">
            <v>Intermediate</v>
          </cell>
          <cell r="F1035" t="str">
            <v>Standard</v>
          </cell>
          <cell r="G1035">
            <v>45462</v>
          </cell>
          <cell r="H1035" t="str">
            <v>37877</v>
          </cell>
          <cell r="I1035" t="str">
            <v>https://www.smwcentral.net/?a=details&amp;id=37877&amp;p=section</v>
          </cell>
          <cell r="J1035" t="str">
            <v>https://dl.smwcentral.net/37877/Mario%20Saves%20Summer%20Break%202024.zip</v>
          </cell>
        </row>
        <row r="1036">
          <cell r="A1036" t="str">
            <v>Mario Silver Land Ep I</v>
          </cell>
          <cell r="B1036" t="str">
            <v>Mario Silver Land Ep I</v>
          </cell>
          <cell r="C1036" t="str">
            <v>BlackStone187</v>
          </cell>
          <cell r="D1036">
            <v>7</v>
          </cell>
          <cell r="E1036" t="str">
            <v>Casual</v>
          </cell>
          <cell r="F1036" t="str">
            <v>Standard</v>
          </cell>
          <cell r="G1036">
            <v>42256</v>
          </cell>
          <cell r="H1036" t="str">
            <v>10256</v>
          </cell>
          <cell r="I1036" t="str">
            <v>https://www.smwcentral.net/?a=details&amp;id=10256&amp;p=section</v>
          </cell>
          <cell r="J1036" t="str">
            <v>https://dl.smwcentral.net/10256/Silver%20Land%20Ep%201%20%28Mario%20demo%29.zip</v>
          </cell>
        </row>
        <row r="1037">
          <cell r="A1037" t="str">
            <v>Mario story : Return to sweet n' sour land</v>
          </cell>
          <cell r="B1037" t="str">
            <v>Mario story : Return to sweet n' sour land</v>
          </cell>
          <cell r="C1037" t="str">
            <v>Lush_50</v>
          </cell>
          <cell r="D1037">
            <v>21</v>
          </cell>
          <cell r="E1037" t="str">
            <v>Intermediate</v>
          </cell>
          <cell r="F1037" t="str">
            <v>Kaizo</v>
          </cell>
          <cell r="G1037">
            <v>44390</v>
          </cell>
          <cell r="H1037" t="str">
            <v>27627</v>
          </cell>
          <cell r="I1037" t="str">
            <v>https://www.smwcentral.net/?a=details&amp;id=27627&amp;p=section</v>
          </cell>
          <cell r="J1037" t="str">
            <v>https://dl.smwcentral.net/27627/Mario%20story%20-%20return%20to%20SNS%20V1.1.zip</v>
          </cell>
        </row>
        <row r="1038">
          <cell r="A1038" t="str">
            <v>Mario Super R</v>
          </cell>
          <cell r="B1038" t="str">
            <v>Mario Super R</v>
          </cell>
          <cell r="C1038" t="str">
            <v>expgst</v>
          </cell>
          <cell r="D1038">
            <v>8</v>
          </cell>
          <cell r="E1038" t="str">
            <v>Advanced</v>
          </cell>
          <cell r="F1038" t="str">
            <v>Kaizo</v>
          </cell>
          <cell r="G1038">
            <v>44010</v>
          </cell>
          <cell r="H1038" t="str">
            <v>23422</v>
          </cell>
          <cell r="I1038" t="str">
            <v>https://www.smwcentral.net/?a=details&amp;id=23422&amp;p=section</v>
          </cell>
          <cell r="J1038" t="str">
            <v>https://dl.smwcentral.net/23422/Mario%20Super%20R%20V1.01.zip</v>
          </cell>
        </row>
        <row r="1039">
          <cell r="A1039" t="str">
            <v>Mario the Archaeologist</v>
          </cell>
          <cell r="B1039" t="str">
            <v>Mario the Archaeologist</v>
          </cell>
          <cell r="C1039" t="str">
            <v>MATTAN</v>
          </cell>
          <cell r="D1039">
            <v>17</v>
          </cell>
          <cell r="E1039" t="str">
            <v>Newcomer</v>
          </cell>
          <cell r="F1039" t="str">
            <v>Standard</v>
          </cell>
          <cell r="G1039">
            <v>42215</v>
          </cell>
          <cell r="H1039" t="str">
            <v>9814</v>
          </cell>
          <cell r="I1039" t="str">
            <v>https://www.smwcentral.net/?a=details&amp;id=9814&amp;p=section</v>
          </cell>
          <cell r="J1039" t="str">
            <v>https://dl.smwcentral.net/9814/MTA.zip</v>
          </cell>
        </row>
        <row r="1040">
          <cell r="A1040" t="str">
            <v>Mario to the Rescue</v>
          </cell>
          <cell r="B1040" t="str">
            <v>Mario to the Rescue</v>
          </cell>
          <cell r="C1040" t="str">
            <v>Medic</v>
          </cell>
          <cell r="D1040">
            <v>7</v>
          </cell>
          <cell r="E1040" t="str">
            <v>Casual</v>
          </cell>
          <cell r="F1040" t="str">
            <v>Standard</v>
          </cell>
          <cell r="G1040">
            <v>42062</v>
          </cell>
          <cell r="H1040" t="str">
            <v>10037</v>
          </cell>
          <cell r="I1040" t="str">
            <v>https://www.smwcentral.net/?a=details&amp;id=10037&amp;p=section</v>
          </cell>
          <cell r="J1040" t="str">
            <v>https://dl.smwcentral.net/10037/Mario%20to%20the%20rescue%21.zip</v>
          </cell>
        </row>
        <row r="1041">
          <cell r="A1041" t="str">
            <v>Mario travels around the World</v>
          </cell>
          <cell r="B1041" t="str">
            <v>Mario travels around the World</v>
          </cell>
          <cell r="C1041" t="str">
            <v>Edphonse15</v>
          </cell>
          <cell r="D1041">
            <v>7</v>
          </cell>
          <cell r="E1041" t="str">
            <v>Casual</v>
          </cell>
          <cell r="F1041" t="str">
            <v>Standard</v>
          </cell>
          <cell r="G1041">
            <v>44189</v>
          </cell>
          <cell r="H1041" t="str">
            <v>25469</v>
          </cell>
          <cell r="I1041" t="str">
            <v>https://www.smwcentral.net/?a=details&amp;id=25469&amp;p=section</v>
          </cell>
          <cell r="J1041" t="str">
            <v>https://dl.smwcentral.net/25469/Mario%20travels%20around%20the%20world%20-%20Demo.zip</v>
          </cell>
        </row>
        <row r="1042">
          <cell r="A1042" t="str">
            <v>Mario vs Sonic.exe 2</v>
          </cell>
          <cell r="B1042" t="str">
            <v>Mario vs Sonic.exe 2</v>
          </cell>
          <cell r="C1042" t="str">
            <v>TheInsanity115</v>
          </cell>
          <cell r="D1042">
            <v>21</v>
          </cell>
          <cell r="E1042" t="str">
            <v>Casual</v>
          </cell>
          <cell r="F1042" t="str">
            <v>Standard</v>
          </cell>
          <cell r="G1042">
            <v>42594</v>
          </cell>
          <cell r="H1042" t="str">
            <v>13963</v>
          </cell>
          <cell r="I1042" t="str">
            <v>https://www.smwcentral.net/?a=details&amp;id=13963&amp;p=section</v>
          </cell>
          <cell r="J1042" t="str">
            <v>https://dl.smwcentral.net/13963/Mario%20vs%20SONIC.EXE%202%20Final%20Version.zip</v>
          </cell>
        </row>
        <row r="1043">
          <cell r="A1043" t="str">
            <v>Mario VS The Police 2</v>
          </cell>
          <cell r="B1043" t="str">
            <v>Mario VS The Police 2</v>
          </cell>
          <cell r="C1043" t="str">
            <v>nnj</v>
          </cell>
          <cell r="D1043">
            <v>34</v>
          </cell>
          <cell r="E1043" t="str">
            <v>Intermediate</v>
          </cell>
          <cell r="F1043" t="str">
            <v>Standard</v>
          </cell>
          <cell r="G1043">
            <v>44159</v>
          </cell>
          <cell r="H1043" t="str">
            <v>25224</v>
          </cell>
          <cell r="I1043" t="str">
            <v>https://www.smwcentral.net/?a=details&amp;id=25224&amp;p=section</v>
          </cell>
          <cell r="J1043" t="str">
            <v>https://dl.smwcentral.net/25224/awfulhack.zip</v>
          </cell>
        </row>
        <row r="1044">
          <cell r="A1044" t="str">
            <v>Mario Vs. Big Boo</v>
          </cell>
          <cell r="B1044" t="str">
            <v>Mario Vs. Big Boo</v>
          </cell>
          <cell r="C1044" t="str">
            <v>XpheXl</v>
          </cell>
          <cell r="D1044">
            <v>6</v>
          </cell>
          <cell r="E1044" t="str">
            <v>Newcomer</v>
          </cell>
          <cell r="F1044" t="str">
            <v>Standard</v>
          </cell>
          <cell r="G1044">
            <v>42680</v>
          </cell>
          <cell r="H1044" t="str">
            <v>14571</v>
          </cell>
          <cell r="I1044" t="str">
            <v>https://www.smwcentral.net/?a=details&amp;id=14571&amp;p=section</v>
          </cell>
          <cell r="J1044" t="str">
            <v>https://dl.smwcentral.net/14571/Mario%20Vs.%20Big%20Boo%20-%20the%20ultimate%20epic%20showdown%20of%20destiny%20in%20a%20duel%20of%20life%2C%20death%20and%20bananas.zip</v>
          </cell>
        </row>
        <row r="1045">
          <cell r="A1045" t="str">
            <v>Mario vs. Bowser and Mighty No. 9</v>
          </cell>
          <cell r="B1045" t="str">
            <v>Mario vs. Bowser and Mighty No. 9</v>
          </cell>
          <cell r="C1045" t="str">
            <v>Roberto zampari</v>
          </cell>
          <cell r="D1045">
            <v>80</v>
          </cell>
          <cell r="E1045" t="str">
            <v>Casual</v>
          </cell>
          <cell r="F1045" t="str">
            <v>Standard</v>
          </cell>
          <cell r="G1045">
            <v>41806</v>
          </cell>
          <cell r="H1045" t="str">
            <v>6632</v>
          </cell>
          <cell r="I1045" t="str">
            <v>https://www.smwcentral.net/?a=details&amp;id=6632&amp;p=section</v>
          </cell>
          <cell r="J1045" t="str">
            <v>https://dl.smwcentral.net/6632/SMWMightyFull3.zip</v>
          </cell>
        </row>
        <row r="1046">
          <cell r="A1046" t="str">
            <v>Mario vs. Shyguy</v>
          </cell>
          <cell r="B1046" t="str">
            <v>Mario vs. Shyguy</v>
          </cell>
          <cell r="C1046" t="str">
            <v>chris10125</v>
          </cell>
          <cell r="D1046">
            <v>35</v>
          </cell>
          <cell r="E1046" t="str">
            <v>Casual</v>
          </cell>
          <cell r="F1046" t="str">
            <v>Standard</v>
          </cell>
          <cell r="G1046">
            <v>42207</v>
          </cell>
          <cell r="H1046" t="str">
            <v>9700</v>
          </cell>
          <cell r="I1046" t="str">
            <v>https://www.smwcentral.net/?a=details&amp;id=9700&amp;p=section</v>
          </cell>
          <cell r="J1046" t="str">
            <v>https://dl.smwcentral.net/9700/Mario_Vs_Shyguy.zip</v>
          </cell>
        </row>
        <row r="1047">
          <cell r="A1047" t="str">
            <v>Mario vs. SONIC.EXE</v>
          </cell>
          <cell r="B1047" t="str">
            <v>Mario vs. SONIC.EXE</v>
          </cell>
          <cell r="C1047" t="str">
            <v>TheInsanity115</v>
          </cell>
          <cell r="D1047">
            <v>18</v>
          </cell>
          <cell r="E1047" t="str">
            <v>Intermediate</v>
          </cell>
          <cell r="F1047" t="str">
            <v>Standard</v>
          </cell>
          <cell r="G1047">
            <v>42188</v>
          </cell>
          <cell r="H1047" t="str">
            <v>11616</v>
          </cell>
          <cell r="I1047" t="str">
            <v>https://www.smwcentral.net/?a=details&amp;id=11616&amp;p=section</v>
          </cell>
          <cell r="J1047" t="str">
            <v>https://dl.smwcentral.net/11616/Mario%20vs%20Sonic%20v6.zip</v>
          </cell>
        </row>
        <row r="1048">
          <cell r="A1048" t="str">
            <v>Mario Vs. The Deadly Alliance</v>
          </cell>
          <cell r="B1048" t="str">
            <v>Mario Vs. The Deadly Alliance</v>
          </cell>
          <cell r="C1048" t="str">
            <v>SpoodahBro</v>
          </cell>
          <cell r="D1048">
            <v>60</v>
          </cell>
          <cell r="E1048" t="str">
            <v>Advanced</v>
          </cell>
          <cell r="F1048" t="str">
            <v>Standard</v>
          </cell>
          <cell r="G1048">
            <v>44987</v>
          </cell>
          <cell r="H1048" t="str">
            <v>33308</v>
          </cell>
          <cell r="I1048" t="str">
            <v>https://www.smwcentral.net/?a=details&amp;id=33308&amp;p=section</v>
          </cell>
          <cell r="J1048" t="str">
            <v>https://dl.smwcentral.net/33308/Mario%20Vs.%20The%20Deadly%20Alliance%28V2.5%29.zip</v>
          </cell>
        </row>
        <row r="1049">
          <cell r="A1049" t="str">
            <v>Mario vs. the Magnificent 7</v>
          </cell>
          <cell r="B1049" t="str">
            <v>Mario vs. the Magnificent 7</v>
          </cell>
          <cell r="C1049" t="str">
            <v>Agent Q</v>
          </cell>
          <cell r="D1049">
            <v>3</v>
          </cell>
          <cell r="E1049" t="str">
            <v>Casual</v>
          </cell>
          <cell r="F1049" t="str">
            <v>Standard</v>
          </cell>
          <cell r="G1049">
            <v>42148</v>
          </cell>
          <cell r="H1049" t="str">
            <v>9896</v>
          </cell>
          <cell r="I1049" t="str">
            <v>https://www.smwcentral.net/?a=details&amp;id=9896&amp;p=section</v>
          </cell>
          <cell r="J1049" t="str">
            <v>https://dl.smwcentral.net/9896/DaKingDemo.zip</v>
          </cell>
        </row>
        <row r="1050">
          <cell r="A1050" t="str">
            <v>Mario Wakes Up... Expanded!</v>
          </cell>
          <cell r="B1050" t="str">
            <v>Mario Wakes Up... Expanded!</v>
          </cell>
          <cell r="C1050" t="str">
            <v>MATTAN</v>
          </cell>
          <cell r="D1050">
            <v>2</v>
          </cell>
          <cell r="E1050" t="str">
            <v>Casual</v>
          </cell>
          <cell r="F1050" t="str">
            <v>Standard</v>
          </cell>
          <cell r="G1050">
            <v>42003</v>
          </cell>
          <cell r="H1050" t="str">
            <v>9798</v>
          </cell>
          <cell r="I1050" t="str">
            <v>https://www.smwcentral.net/?a=details&amp;id=9798&amp;p=section</v>
          </cell>
          <cell r="J1050" t="str">
            <v>https://dl.smwcentral.net/9798/MWU-Ex.zip</v>
          </cell>
        </row>
        <row r="1051">
          <cell r="A1051" t="str">
            <v>Mario Wants His Lemonade</v>
          </cell>
          <cell r="B1051" t="str">
            <v>Mario Wants His Lemonade</v>
          </cell>
          <cell r="C1051" t="str">
            <v>Gamma V</v>
          </cell>
          <cell r="D1051">
            <v>9</v>
          </cell>
          <cell r="E1051" t="str">
            <v>Newcomer</v>
          </cell>
          <cell r="F1051" t="str">
            <v>Standard</v>
          </cell>
          <cell r="G1051">
            <v>41466</v>
          </cell>
          <cell r="H1051" t="str">
            <v>5596</v>
          </cell>
          <cell r="I1051" t="str">
            <v>https://www.smwcentral.net/?a=details&amp;id=5596&amp;p=section</v>
          </cell>
          <cell r="J1051" t="str">
            <v>https://dl.smwcentral.net/5596/Mario%20Wants%20His%20Lemonade.zip</v>
          </cell>
        </row>
        <row r="1052">
          <cell r="A1052" t="str">
            <v>Mario World Super Yuri's Hack</v>
          </cell>
          <cell r="B1052" t="str">
            <v>Mario World Super Yuri's Hack</v>
          </cell>
          <cell r="C1052" t="str">
            <v>Yurelvis123</v>
          </cell>
          <cell r="D1052">
            <v>16</v>
          </cell>
          <cell r="E1052" t="str">
            <v>Casual</v>
          </cell>
          <cell r="F1052" t="str">
            <v>Standard</v>
          </cell>
          <cell r="G1052">
            <v>42312</v>
          </cell>
          <cell r="H1052" t="str">
            <v>10185</v>
          </cell>
          <cell r="I1052" t="str">
            <v>https://www.smwcentral.net/?a=details&amp;id=10185&amp;p=section</v>
          </cell>
          <cell r="J1052" t="str">
            <v>https://dl.smwcentral.net/10185/Mario%20World%20Super%20Yuri%27s%20Hack%20DEMO%202.6.1.zip</v>
          </cell>
        </row>
        <row r="1053">
          <cell r="A1053" t="str">
            <v>Mario World The Mario Adventure</v>
          </cell>
          <cell r="B1053" t="str">
            <v>Mario World The Mario Adventure</v>
          </cell>
          <cell r="C1053" t="str">
            <v>rodark</v>
          </cell>
          <cell r="D1053">
            <v>10</v>
          </cell>
          <cell r="E1053" t="str">
            <v>Casual</v>
          </cell>
          <cell r="F1053" t="str">
            <v>Standard</v>
          </cell>
          <cell r="G1053">
            <v>45250</v>
          </cell>
          <cell r="H1053" t="str">
            <v>35335</v>
          </cell>
          <cell r="I1053" t="str">
            <v>https://www.smwcentral.net/?a=details&amp;id=35335&amp;p=section</v>
          </cell>
          <cell r="J1053" t="str">
            <v>https://dl.smwcentral.net/35335/Mario%20World%20the%20mario%20adventure%20demo.zip</v>
          </cell>
        </row>
        <row r="1054">
          <cell r="A1054" t="str">
            <v>Mario! A New Era</v>
          </cell>
          <cell r="B1054" t="str">
            <v>Mario! A New Era</v>
          </cell>
          <cell r="C1054" t="str">
            <v>Tahixham</v>
          </cell>
          <cell r="D1054">
            <v>5</v>
          </cell>
          <cell r="E1054" t="str">
            <v>Newcomer</v>
          </cell>
          <cell r="F1054" t="str">
            <v>Standard</v>
          </cell>
          <cell r="G1054">
            <v>42219</v>
          </cell>
          <cell r="H1054" t="str">
            <v>9897</v>
          </cell>
          <cell r="I1054" t="str">
            <v>https://www.smwcentral.net/?a=details&amp;id=9897&amp;p=section</v>
          </cell>
          <cell r="J1054" t="str">
            <v>https://dl.smwcentral.net/9897/mario%21%20nera.zip</v>
          </cell>
        </row>
        <row r="1055">
          <cell r="A1055" t="str">
            <v>Mario's 100s Challenge</v>
          </cell>
          <cell r="B1055" t="str">
            <v>Mario's 100s Challenge</v>
          </cell>
          <cell r="C1055" t="str">
            <v>JP32</v>
          </cell>
          <cell r="D1055">
            <v>88</v>
          </cell>
          <cell r="E1055" t="str">
            <v>Advanced</v>
          </cell>
          <cell r="F1055" t="str">
            <v>Standard</v>
          </cell>
          <cell r="G1055">
            <v>42433</v>
          </cell>
          <cell r="H1055" t="str">
            <v>13372</v>
          </cell>
          <cell r="I1055" t="str">
            <v>https://www.smwcentral.net/?a=details&amp;id=13372&amp;p=section</v>
          </cell>
          <cell r="J1055" t="str">
            <v>https://dl.smwcentral.net/13372/Marios%20100s%20Challenge%20FINAL%202%2C1.zip</v>
          </cell>
        </row>
        <row r="1056">
          <cell r="A1056" t="str">
            <v>Mario's 2 Ways 2 Victory</v>
          </cell>
          <cell r="B1056" t="str">
            <v>Mario's 2 Ways 2 Victory</v>
          </cell>
          <cell r="C1056" t="str">
            <v>Ckristina</v>
          </cell>
          <cell r="D1056">
            <v>85</v>
          </cell>
          <cell r="E1056" t="str">
            <v>Intermediate</v>
          </cell>
          <cell r="F1056" t="str">
            <v>Standard</v>
          </cell>
          <cell r="G1056">
            <v>41445</v>
          </cell>
          <cell r="H1056" t="str">
            <v>5583</v>
          </cell>
          <cell r="I1056" t="str">
            <v>https://www.smwcentral.net/?a=details&amp;id=5583&amp;p=section</v>
          </cell>
          <cell r="J1056" t="str">
            <v>https://dl.smwcentral.net/5583/Mario%27s%202%20Ways%202%20Victory.zip</v>
          </cell>
        </row>
        <row r="1057">
          <cell r="A1057" t="str">
            <v>Mario's Adventure</v>
          </cell>
          <cell r="B1057" t="str">
            <v>Mario's Adventure</v>
          </cell>
          <cell r="C1057" t="str">
            <v>John Freeman</v>
          </cell>
          <cell r="D1057">
            <v>8</v>
          </cell>
          <cell r="E1057" t="str">
            <v>Newcomer</v>
          </cell>
          <cell r="F1057" t="str">
            <v>Standard</v>
          </cell>
          <cell r="G1057">
            <v>42044</v>
          </cell>
          <cell r="H1057" t="str">
            <v>9785</v>
          </cell>
          <cell r="I1057" t="str">
            <v>https://www.smwcentral.net/?a=details&amp;id=9785&amp;p=section</v>
          </cell>
          <cell r="J1057" t="str">
            <v>https://dl.smwcentral.net/9785/Mario%27s%20adventure%20demo%202.zip</v>
          </cell>
        </row>
        <row r="1058">
          <cell r="A1058" t="str">
            <v>Mario's Adventure in Yoshi's Island</v>
          </cell>
          <cell r="B1058" t="str">
            <v>Mario's Adventure in Yoshi's Island</v>
          </cell>
          <cell r="C1058" t="str">
            <v>Falconpunch</v>
          </cell>
          <cell r="D1058">
            <v>5</v>
          </cell>
          <cell r="E1058" t="str">
            <v>Casual</v>
          </cell>
          <cell r="F1058" t="str">
            <v>Standard</v>
          </cell>
          <cell r="G1058">
            <v>42329</v>
          </cell>
          <cell r="H1058" t="str">
            <v>10188</v>
          </cell>
          <cell r="I1058" t="str">
            <v>https://www.smwcentral.net/?a=details&amp;id=10188&amp;p=section</v>
          </cell>
          <cell r="J1058" t="str">
            <v>https://dl.smwcentral.net/10188/Mario%27s.zip</v>
          </cell>
        </row>
        <row r="1059">
          <cell r="A1059" t="str">
            <v>Mario's Adventure on the Southern Continent</v>
          </cell>
          <cell r="B1059" t="str">
            <v>Mario's Adventure on the Southern Continent</v>
          </cell>
          <cell r="C1059" t="str">
            <v>NoodleSauce</v>
          </cell>
          <cell r="D1059">
            <v>15</v>
          </cell>
          <cell r="E1059" t="str">
            <v>Intermediate</v>
          </cell>
          <cell r="F1059" t="str">
            <v>Standard</v>
          </cell>
          <cell r="G1059">
            <v>41554</v>
          </cell>
          <cell r="H1059" t="str">
            <v>5564</v>
          </cell>
          <cell r="I1059" t="str">
            <v>https://www.smwcentral.net/?a=details&amp;id=5564&amp;p=section</v>
          </cell>
          <cell r="J1059" t="str">
            <v>https://dl.smwcentral.net/5564/Southern%20Continent.zip</v>
          </cell>
        </row>
        <row r="1060">
          <cell r="A1060" t="str">
            <v>Mario's Amazing Adventure Revitalized</v>
          </cell>
          <cell r="B1060" t="str">
            <v>Mario's Amazing Adventure Revitalized</v>
          </cell>
          <cell r="C1060" t="str">
            <v>superwiidude</v>
          </cell>
          <cell r="D1060">
            <v>105</v>
          </cell>
          <cell r="E1060" t="str">
            <v>Casual</v>
          </cell>
          <cell r="F1060" t="str">
            <v>Standard</v>
          </cell>
          <cell r="G1060">
            <v>42545</v>
          </cell>
          <cell r="H1060" t="str">
            <v>13836</v>
          </cell>
          <cell r="I1060" t="str">
            <v>https://www.smwcentral.net/?a=details&amp;id=13836&amp;p=section</v>
          </cell>
          <cell r="J1060" t="str">
            <v>https://dl.smwcentral.net/13836/Mario%27s%20amazing%20adventure.zip</v>
          </cell>
        </row>
        <row r="1061">
          <cell r="A1061" t="str">
            <v>Mario's Amazing Adventure: Extrem Edition</v>
          </cell>
          <cell r="B1061" t="str">
            <v>Mario's Amazing Adventure: Extrem Edition</v>
          </cell>
          <cell r="C1061" t="str">
            <v>superwiidude</v>
          </cell>
          <cell r="D1061">
            <v>15</v>
          </cell>
          <cell r="E1061" t="str">
            <v>Advanced</v>
          </cell>
          <cell r="F1061" t="str">
            <v>Standard</v>
          </cell>
          <cell r="G1061">
            <v>43046</v>
          </cell>
          <cell r="H1061" t="str">
            <v>16579</v>
          </cell>
          <cell r="I1061" t="str">
            <v>https://www.smwcentral.net/?a=details&amp;id=16579&amp;p=section</v>
          </cell>
          <cell r="J1061" t="str">
            <v>https://dl.smwcentral.net/16579/MAAEE.zip</v>
          </cell>
        </row>
        <row r="1062">
          <cell r="A1062" t="str">
            <v>Mario's Ascetic Adventure</v>
          </cell>
          <cell r="B1062" t="str">
            <v>Mario's Ascetic Adventure</v>
          </cell>
          <cell r="C1062" t="str">
            <v>Sokobansolver</v>
          </cell>
          <cell r="D1062">
            <v>4</v>
          </cell>
          <cell r="E1062" t="str">
            <v>Expert</v>
          </cell>
          <cell r="F1062" t="str">
            <v>Kaizo, Tool-Assisted</v>
          </cell>
          <cell r="G1062">
            <v>42190</v>
          </cell>
          <cell r="H1062" t="str">
            <v>11662</v>
          </cell>
          <cell r="I1062" t="str">
            <v>https://www.smwcentral.net/?a=details&amp;id=11662&amp;p=section</v>
          </cell>
          <cell r="J1062" t="str">
            <v>https://dl.smwcentral.net/11662/Mario%27sAsceticAdventuredemo.zip</v>
          </cell>
        </row>
        <row r="1063">
          <cell r="A1063" t="str">
            <v>Mario's Awesome Journey</v>
          </cell>
          <cell r="B1063" t="str">
            <v>Mario's Awesome Journey</v>
          </cell>
          <cell r="C1063" t="str">
            <v>niko</v>
          </cell>
          <cell r="D1063">
            <v>11</v>
          </cell>
          <cell r="E1063" t="str">
            <v>Intermediate</v>
          </cell>
          <cell r="F1063" t="str">
            <v>Standard</v>
          </cell>
          <cell r="G1063">
            <v>43002</v>
          </cell>
          <cell r="H1063" t="str">
            <v>16326</v>
          </cell>
          <cell r="I1063" t="str">
            <v>https://www.smwcentral.net/?a=details&amp;id=16326&amp;p=section</v>
          </cell>
          <cell r="J1063" t="str">
            <v>https://dl.smwcentral.net/16326/Mario%27s%20Awesome%20Journey%20Demo%202.zip</v>
          </cell>
        </row>
        <row r="1064">
          <cell r="A1064" t="str">
            <v>Mario's Bathroom Adventure</v>
          </cell>
          <cell r="B1064" t="str">
            <v>Mario's Bathroom Adventure</v>
          </cell>
          <cell r="C1064" t="str">
            <v>Noobish Noobsicle</v>
          </cell>
          <cell r="D1064">
            <v>13</v>
          </cell>
          <cell r="E1064" t="str">
            <v>Casual</v>
          </cell>
          <cell r="F1064" t="str">
            <v>Standard</v>
          </cell>
          <cell r="G1064">
            <v>42270</v>
          </cell>
          <cell r="H1064" t="str">
            <v>10034</v>
          </cell>
          <cell r="I1064" t="str">
            <v>https://www.smwcentral.net/?a=details&amp;id=10034&amp;p=section</v>
          </cell>
          <cell r="J1064" t="str">
            <v>https://dl.smwcentral.net/10034/Mario%27s%20Bathroom%20Adventure.zip</v>
          </cell>
        </row>
        <row r="1065">
          <cell r="A1065" t="str">
            <v>Mario's Bizarre Adventure</v>
          </cell>
          <cell r="B1065" t="str">
            <v>Mario's Bizarre Adventure</v>
          </cell>
          <cell r="C1065" t="str">
            <v>StayAtHomeStegosaurus</v>
          </cell>
          <cell r="D1065">
            <v>1</v>
          </cell>
          <cell r="E1065" t="str">
            <v>Expert</v>
          </cell>
          <cell r="F1065" t="str">
            <v>Kaizo</v>
          </cell>
          <cell r="G1065">
            <v>44378</v>
          </cell>
          <cell r="H1065" t="str">
            <v>26949</v>
          </cell>
          <cell r="I1065" t="str">
            <v>https://www.smwcentral.net/?a=details&amp;id=26949&amp;p=section</v>
          </cell>
          <cell r="J1065" t="str">
            <v>https://dl.smwcentral.net/26949/MariosBizarreAdventure_v1.1.zip</v>
          </cell>
        </row>
        <row r="1066">
          <cell r="A1066" t="str">
            <v>Mario's Bizarre Adventure DLC</v>
          </cell>
          <cell r="B1066" t="str">
            <v>Mario's Bizarre Adventure DLC</v>
          </cell>
          <cell r="C1066" t="str">
            <v>StayAtHomeStegosaurus</v>
          </cell>
          <cell r="D1066">
            <v>1</v>
          </cell>
          <cell r="E1066" t="str">
            <v>Master</v>
          </cell>
          <cell r="F1066" t="str">
            <v>Kaizo</v>
          </cell>
          <cell r="G1066">
            <v>44384</v>
          </cell>
          <cell r="H1066" t="str">
            <v>27388</v>
          </cell>
          <cell r="I1066" t="str">
            <v>https://www.smwcentral.net/?a=details&amp;id=27388&amp;p=section</v>
          </cell>
          <cell r="J1066" t="str">
            <v>https://dl.smwcentral.net/27388/MariosBizarreAdventureDLC.zip</v>
          </cell>
        </row>
        <row r="1067">
          <cell r="A1067" t="str">
            <v>Mario's Cookie Catastrophe</v>
          </cell>
          <cell r="B1067" t="str">
            <v>Mario's Cookie Catastrophe</v>
          </cell>
          <cell r="C1067" t="str">
            <v>millieman76</v>
          </cell>
          <cell r="D1067">
            <v>20</v>
          </cell>
          <cell r="E1067" t="str">
            <v>Casual</v>
          </cell>
          <cell r="F1067" t="str">
            <v>Standard</v>
          </cell>
          <cell r="G1067">
            <v>42312</v>
          </cell>
          <cell r="H1067" t="str">
            <v>10239</v>
          </cell>
          <cell r="I1067" t="str">
            <v>https://www.smwcentral.net/?a=details&amp;id=10239&amp;p=section</v>
          </cell>
          <cell r="J1067" t="str">
            <v>https://dl.smwcentral.net/10239/Mario%27s%20Cookie%20Catastrophe%20V1.2.zip</v>
          </cell>
        </row>
        <row r="1068">
          <cell r="A1068" t="str">
            <v>Mario's Cool Mission</v>
          </cell>
          <cell r="B1068" t="str">
            <v>Mario's Cool Mission</v>
          </cell>
          <cell r="C1068" t="str">
            <v>Woody</v>
          </cell>
          <cell r="D1068">
            <v>6</v>
          </cell>
          <cell r="E1068" t="str">
            <v>Newcomer</v>
          </cell>
          <cell r="F1068" t="str">
            <v>Standard</v>
          </cell>
          <cell r="G1068">
            <v>42229</v>
          </cell>
          <cell r="H1068" t="str">
            <v>9861</v>
          </cell>
          <cell r="I1068" t="str">
            <v>https://www.smwcentral.net/?a=details&amp;id=9861&amp;p=section</v>
          </cell>
          <cell r="J1068" t="str">
            <v>https://dl.smwcentral.net/9861/SMW%20Mario%27s%20Cool%20Mission.zip</v>
          </cell>
        </row>
        <row r="1069">
          <cell r="A1069" t="str">
            <v>Mario's Day Off</v>
          </cell>
          <cell r="B1069" t="str">
            <v>Mario's Day Off</v>
          </cell>
          <cell r="C1069" t="str">
            <v>hendog30_</v>
          </cell>
          <cell r="D1069">
            <v>19</v>
          </cell>
          <cell r="E1069" t="str">
            <v>Casual</v>
          </cell>
          <cell r="F1069" t="str">
            <v>Standard</v>
          </cell>
          <cell r="G1069">
            <v>43731</v>
          </cell>
          <cell r="H1069" t="str">
            <v>21139</v>
          </cell>
          <cell r="I1069" t="str">
            <v>https://www.smwcentral.net/?a=details&amp;id=21139&amp;p=section</v>
          </cell>
          <cell r="J1069" t="str">
            <v>https://dl.smwcentral.net/21139/MariosDayOff.zip</v>
          </cell>
        </row>
        <row r="1070">
          <cell r="A1070" t="str">
            <v>Mario's Double Trouble</v>
          </cell>
          <cell r="B1070" t="str">
            <v>Mario's Double Trouble</v>
          </cell>
          <cell r="C1070" t="str">
            <v>AlWaYsDeLiVeRz</v>
          </cell>
          <cell r="D1070">
            <v>74</v>
          </cell>
          <cell r="E1070" t="str">
            <v>Intermediate</v>
          </cell>
          <cell r="F1070" t="str">
            <v>Standard</v>
          </cell>
          <cell r="G1070">
            <v>42239</v>
          </cell>
          <cell r="H1070" t="str">
            <v>9769</v>
          </cell>
          <cell r="I1070" t="str">
            <v>https://www.smwcentral.net/?a=details&amp;id=9769&amp;p=section</v>
          </cell>
          <cell r="J1070" t="str">
            <v>https://dl.smwcentral.net/9769/Mario%27s%20Double%20Trouble.zip</v>
          </cell>
        </row>
        <row r="1071">
          <cell r="A1071" t="str">
            <v>Mario's Dying Simulator</v>
          </cell>
          <cell r="B1071" t="str">
            <v>Mario's Dying Simulator</v>
          </cell>
          <cell r="C1071" t="str">
            <v>Sokobansolver</v>
          </cell>
          <cell r="D1071">
            <v>15</v>
          </cell>
          <cell r="E1071" t="str">
            <v>Advanced</v>
          </cell>
          <cell r="F1071" t="str">
            <v>Kaizo, Tool-Assisted</v>
          </cell>
          <cell r="G1071">
            <v>45742</v>
          </cell>
          <cell r="H1071" t="str">
            <v>39635</v>
          </cell>
          <cell r="I1071" t="str">
            <v>https://www.smwcentral.net/?a=details&amp;id=39635&amp;p=section</v>
          </cell>
          <cell r="J1071" t="str">
            <v>https://dl.smwcentral.net/39635/MariosDyingSimulator.zip</v>
          </cell>
        </row>
        <row r="1072">
          <cell r="A1072" t="str">
            <v>Mario's Endless Adventure 2: Escape From Koopatraz Prison</v>
          </cell>
          <cell r="B1072" t="str">
            <v>Mario's Endless Adventure 2: Escape From Koopatraz Prison</v>
          </cell>
          <cell r="C1072" t="str">
            <v>Ddoomm10</v>
          </cell>
          <cell r="D1072">
            <v>1</v>
          </cell>
          <cell r="E1072" t="str">
            <v>Intermediate</v>
          </cell>
          <cell r="F1072" t="str">
            <v>Standard</v>
          </cell>
          <cell r="G1072">
            <v>42155</v>
          </cell>
          <cell r="H1072" t="str">
            <v>10268</v>
          </cell>
          <cell r="I1072" t="str">
            <v>https://www.smwcentral.net/?a=details&amp;id=10268&amp;p=section</v>
          </cell>
          <cell r="J1072" t="str">
            <v>https://dl.smwcentral.net/10268/MEA2.zip</v>
          </cell>
        </row>
        <row r="1073">
          <cell r="A1073" t="str">
            <v>Mario's Enigmatic Tales 1: The Betrayal</v>
          </cell>
          <cell r="B1073" t="str">
            <v>Mario's Enigmatic Tales 1: The Betrayal</v>
          </cell>
          <cell r="C1073" t="str">
            <v>Major Flare</v>
          </cell>
          <cell r="D1073">
            <v>87</v>
          </cell>
          <cell r="E1073" t="str">
            <v>Casual</v>
          </cell>
          <cell r="F1073" t="str">
            <v>Standard</v>
          </cell>
          <cell r="G1073">
            <v>42003</v>
          </cell>
          <cell r="H1073" t="str">
            <v>10300</v>
          </cell>
          <cell r="I1073" t="str">
            <v>https://www.smwcentral.net/?a=details&amp;id=10300&amp;p=section</v>
          </cell>
          <cell r="J1073" t="str">
            <v>https://dl.smwcentral.net/10300/Mario%27s%20Enigmatic%20Tales%20BETA%20Fixed.zip</v>
          </cell>
        </row>
        <row r="1074">
          <cell r="A1074" t="str">
            <v>Mario's Epic Adventure [SMWC #10132]</v>
          </cell>
          <cell r="B1074" t="str">
            <v>Mario's Epic Adventure</v>
          </cell>
          <cell r="C1074" t="str">
            <v>MolSno</v>
          </cell>
          <cell r="D1074">
            <v>21</v>
          </cell>
          <cell r="E1074" t="str">
            <v>Casual</v>
          </cell>
          <cell r="F1074" t="str">
            <v>Standard</v>
          </cell>
          <cell r="G1074">
            <v>42286</v>
          </cell>
          <cell r="H1074" t="str">
            <v>10132</v>
          </cell>
          <cell r="I1074" t="str">
            <v>https://www.smwcentral.net/?a=details&amp;id=10132&amp;p=section</v>
          </cell>
          <cell r="J1074" t="str">
            <v>https://dl.smwcentral.net/10132/Mario%27s%20Epic%20Adventure.zip</v>
          </cell>
        </row>
        <row r="1075">
          <cell r="A1075" t="str">
            <v>Mario's Epic Adventure [SMWC #36826]</v>
          </cell>
          <cell r="B1075" t="str">
            <v>Mario's Epic Adventure</v>
          </cell>
          <cell r="C1075" t="str">
            <v>niko</v>
          </cell>
          <cell r="D1075">
            <v>17</v>
          </cell>
          <cell r="E1075" t="str">
            <v>Advanced</v>
          </cell>
          <cell r="F1075" t="str">
            <v>Standard</v>
          </cell>
          <cell r="G1075">
            <v>45397</v>
          </cell>
          <cell r="H1075" t="str">
            <v>36826</v>
          </cell>
          <cell r="I1075" t="str">
            <v>https://www.smwcentral.net/?a=details&amp;id=36826&amp;p=section</v>
          </cell>
          <cell r="J1075" t="str">
            <v>https://dl.smwcentral.net/36826/Marios%20Epic%20Adventure%20Demo%202.zip</v>
          </cell>
        </row>
        <row r="1076">
          <cell r="A1076" t="str">
            <v>Mario's Evil Level</v>
          </cell>
          <cell r="B1076" t="str">
            <v>Mario's Evil Level</v>
          </cell>
          <cell r="C1076" t="str">
            <v>Mapsking</v>
          </cell>
          <cell r="D1076">
            <v>5</v>
          </cell>
          <cell r="E1076" t="str">
            <v>Intermediate</v>
          </cell>
          <cell r="F1076" t="str">
            <v>Kaizo, Tool-Assisted</v>
          </cell>
          <cell r="G1076">
            <v>45347</v>
          </cell>
          <cell r="H1076" t="str">
            <v>33315</v>
          </cell>
          <cell r="I1076" t="str">
            <v>https://www.smwcentral.net/?a=details&amp;id=33315&amp;p=section</v>
          </cell>
          <cell r="J1076" t="str">
            <v>https://dl.smwcentral.net/33315/Mario%27s%20Evil%20Level%20v1.5.zip</v>
          </cell>
        </row>
        <row r="1077">
          <cell r="A1077" t="str">
            <v>Mario's Exodus To Death</v>
          </cell>
          <cell r="B1077" t="str">
            <v>Mario's Exodus To Death</v>
          </cell>
          <cell r="C1077" t="str">
            <v>Soul2Limbo</v>
          </cell>
          <cell r="D1077">
            <v>7</v>
          </cell>
          <cell r="E1077" t="str">
            <v>Casual</v>
          </cell>
          <cell r="F1077" t="str">
            <v>Standard</v>
          </cell>
          <cell r="G1077">
            <v>41491</v>
          </cell>
          <cell r="H1077" t="str">
            <v>5261</v>
          </cell>
          <cell r="I1077" t="str">
            <v>https://www.smwcentral.net/?a=details&amp;id=5261&amp;p=section</v>
          </cell>
          <cell r="J1077" t="str">
            <v>https://dl.smwcentral.net/5261/MD.zip</v>
          </cell>
        </row>
        <row r="1078">
          <cell r="A1078" t="str">
            <v>Mario's Final Quest</v>
          </cell>
          <cell r="B1078" t="str">
            <v>Mario's Final Quest</v>
          </cell>
          <cell r="C1078" t="str">
            <v>Kyanite</v>
          </cell>
          <cell r="D1078">
            <v>8</v>
          </cell>
          <cell r="E1078" t="str">
            <v>Casual</v>
          </cell>
          <cell r="F1078" t="str">
            <v>Standard</v>
          </cell>
          <cell r="G1078">
            <v>42550</v>
          </cell>
          <cell r="H1078" t="str">
            <v>13877</v>
          </cell>
          <cell r="I1078" t="str">
            <v>https://www.smwcentral.net/?a=details&amp;id=13877&amp;p=section</v>
          </cell>
          <cell r="J1078" t="str">
            <v>https://dl.smwcentral.net/13877/MFQ%20v1.2.zip</v>
          </cell>
        </row>
        <row r="1079">
          <cell r="A1079" t="str">
            <v>Mario's First Adventure</v>
          </cell>
          <cell r="B1079" t="str">
            <v>Mario's First Adventure</v>
          </cell>
          <cell r="C1079" t="str">
            <v>Daizo Dee Von</v>
          </cell>
          <cell r="D1079">
            <v>8</v>
          </cell>
          <cell r="E1079" t="str">
            <v>Advanced</v>
          </cell>
          <cell r="F1079" t="str">
            <v>Standard</v>
          </cell>
          <cell r="G1079">
            <v>42315</v>
          </cell>
          <cell r="H1079" t="str">
            <v>10243</v>
          </cell>
          <cell r="I1079" t="str">
            <v>https://www.smwcentral.net/?a=details&amp;id=10243&amp;p=section</v>
          </cell>
          <cell r="J1079" t="str">
            <v>https://dl.smwcentral.net/10243/C3%20Demo%20of%20M1A.zip</v>
          </cell>
        </row>
        <row r="1080">
          <cell r="A1080" t="str">
            <v>Mario's Grand Adventure</v>
          </cell>
          <cell r="B1080" t="str">
            <v>Mario's Grand Adventure</v>
          </cell>
          <cell r="C1080" t="str">
            <v>Apple Boy</v>
          </cell>
          <cell r="D1080">
            <v>40</v>
          </cell>
          <cell r="E1080" t="str">
            <v>Casual</v>
          </cell>
          <cell r="F1080" t="str">
            <v>Standard</v>
          </cell>
          <cell r="G1080">
            <v>44793</v>
          </cell>
          <cell r="H1080" t="str">
            <v>31857</v>
          </cell>
          <cell r="I1080" t="str">
            <v>https://www.smwcentral.net/?a=details&amp;id=31857&amp;p=section</v>
          </cell>
          <cell r="J1080" t="str">
            <v>https://dl.smwcentral.net/31857/Mario%27s%20Grand%20Adventure.zip</v>
          </cell>
        </row>
        <row r="1081">
          <cell r="A1081" t="str">
            <v>Mario's Grand Adventure 2: Mario's World Tour</v>
          </cell>
          <cell r="B1081" t="str">
            <v>Mario's Grand Adventure 2: Mario's World Tour</v>
          </cell>
          <cell r="C1081" t="str">
            <v>Apple Boy</v>
          </cell>
          <cell r="D1081">
            <v>21</v>
          </cell>
          <cell r="E1081" t="str">
            <v>Casual</v>
          </cell>
          <cell r="F1081" t="str">
            <v>Standard</v>
          </cell>
          <cell r="G1081">
            <v>44574</v>
          </cell>
          <cell r="H1081" t="str">
            <v>28978</v>
          </cell>
          <cell r="I1081" t="str">
            <v>https://www.smwcentral.net/?a=details&amp;id=28978&amp;p=section</v>
          </cell>
          <cell r="J1081" t="str">
            <v>https://dl.smwcentral.net/28978/Mario%27s%20Grand%20Adventure%202%20Mario%27s%20World%20Tour.zip</v>
          </cell>
        </row>
        <row r="1082">
          <cell r="A1082" t="str">
            <v>Mario's Grand Adventure: Delta Island</v>
          </cell>
          <cell r="B1082" t="str">
            <v>Mario's Grand Adventure: Delta Island</v>
          </cell>
          <cell r="C1082" t="str">
            <v>Apple Boy</v>
          </cell>
          <cell r="D1082">
            <v>7</v>
          </cell>
          <cell r="E1082" t="str">
            <v>Casual</v>
          </cell>
          <cell r="F1082" t="str">
            <v>Standard</v>
          </cell>
          <cell r="G1082">
            <v>44407</v>
          </cell>
          <cell r="H1082" t="str">
            <v>27808</v>
          </cell>
          <cell r="I1082" t="str">
            <v>https://www.smwcentral.net/?a=details&amp;id=27808&amp;p=section</v>
          </cell>
          <cell r="J1082" t="str">
            <v>https://dl.smwcentral.net/27808/Mario%27s%20Grand%20Adventure%20Delta%20Island.zip</v>
          </cell>
        </row>
        <row r="1083">
          <cell r="A1083" t="str">
            <v>Mario's Grand Adventure: Omega Jungle</v>
          </cell>
          <cell r="B1083" t="str">
            <v>Mario's Grand Adventure: Omega Jungle</v>
          </cell>
          <cell r="C1083" t="str">
            <v>Apple Boy</v>
          </cell>
          <cell r="D1083">
            <v>6</v>
          </cell>
          <cell r="E1083" t="str">
            <v>Newcomer</v>
          </cell>
          <cell r="F1083" t="str">
            <v>Standard</v>
          </cell>
          <cell r="G1083">
            <v>44434</v>
          </cell>
          <cell r="H1083" t="str">
            <v>28058</v>
          </cell>
          <cell r="I1083" t="str">
            <v>https://www.smwcentral.net/?a=details&amp;id=28058&amp;p=section</v>
          </cell>
          <cell r="J1083" t="str">
            <v>https://dl.smwcentral.net/28058/Mario%27s%20Grand%20Adventure%20Omega%20Jungle.zip</v>
          </cell>
        </row>
        <row r="1084">
          <cell r="A1084" t="str">
            <v>Mario's Homeland</v>
          </cell>
          <cell r="B1084" t="str">
            <v>Mario's Homeland</v>
          </cell>
          <cell r="C1084" t="str">
            <v>Tommy15551</v>
          </cell>
          <cell r="D1084">
            <v>5</v>
          </cell>
          <cell r="E1084" t="str">
            <v>Newcomer</v>
          </cell>
          <cell r="F1084" t="str">
            <v>Standard</v>
          </cell>
          <cell r="G1084">
            <v>42255</v>
          </cell>
          <cell r="H1084" t="str">
            <v>9953</v>
          </cell>
          <cell r="I1084" t="str">
            <v>https://www.smwcentral.net/?a=details&amp;id=9953&amp;p=section</v>
          </cell>
          <cell r="J1084" t="str">
            <v>https://dl.smwcentral.net/9953/Mario%27s%20Homeland%20%28Demo1%29.zip</v>
          </cell>
        </row>
        <row r="1085">
          <cell r="A1085" t="str">
            <v>Mario's Island Exploration</v>
          </cell>
          <cell r="B1085" t="str">
            <v>Mario's Island Exploration</v>
          </cell>
          <cell r="C1085" t="str">
            <v>KennyJ</v>
          </cell>
          <cell r="D1085">
            <v>17</v>
          </cell>
          <cell r="E1085" t="str">
            <v>Intermediate</v>
          </cell>
          <cell r="F1085" t="str">
            <v>Standard</v>
          </cell>
          <cell r="G1085">
            <v>41572</v>
          </cell>
          <cell r="H1085" t="str">
            <v>5573</v>
          </cell>
          <cell r="I1085" t="str">
            <v>https://www.smwcentral.net/?a=details&amp;id=5573&amp;p=section</v>
          </cell>
          <cell r="J1085" t="str">
            <v>https://dl.smwcentral.net/5573/MIE.zip</v>
          </cell>
        </row>
        <row r="1086">
          <cell r="A1086" t="str">
            <v>Mario's Journey Through Time &amp; Space</v>
          </cell>
          <cell r="B1086" t="str">
            <v>Mario's Journey Through Time &amp; Space</v>
          </cell>
          <cell r="C1086" t="str">
            <v>Ice Man</v>
          </cell>
          <cell r="D1086">
            <v>34</v>
          </cell>
          <cell r="E1086" t="str">
            <v>Casual</v>
          </cell>
          <cell r="F1086" t="str">
            <v>Standard</v>
          </cell>
          <cell r="G1086">
            <v>41814</v>
          </cell>
          <cell r="H1086" t="str">
            <v>6505</v>
          </cell>
          <cell r="I1086" t="str">
            <v>https://www.smwcentral.net/?a=details&amp;id=6505&amp;p=section</v>
          </cell>
          <cell r="J1086" t="str">
            <v>https://dl.smwcentral.net/6505/MJTTAS%20Final.zip</v>
          </cell>
        </row>
        <row r="1087">
          <cell r="A1087" t="str">
            <v>Mario's Keytastrophe</v>
          </cell>
          <cell r="B1087" t="str">
            <v>Mario's Keytastrophe</v>
          </cell>
          <cell r="C1087" t="str">
            <v>S.N.N.</v>
          </cell>
          <cell r="D1087">
            <v>51</v>
          </cell>
          <cell r="E1087" t="str">
            <v>Casual</v>
          </cell>
          <cell r="F1087" t="str">
            <v>Standard, Puzzle</v>
          </cell>
          <cell r="G1087">
            <v>41589</v>
          </cell>
          <cell r="H1087" t="str">
            <v>5317</v>
          </cell>
          <cell r="I1087" t="str">
            <v>https://www.smwcentral.net/?a=details&amp;id=5317&amp;p=section</v>
          </cell>
          <cell r="J1087" t="str">
            <v>https://dl.smwcentral.net/5317/MKT.zip</v>
          </cell>
        </row>
        <row r="1088">
          <cell r="A1088" t="str">
            <v>Mario's Keytastrophe: Rebirth Edition</v>
          </cell>
          <cell r="B1088" t="str">
            <v>Mario's Keytastrophe: Rebirth Edition</v>
          </cell>
          <cell r="C1088" t="str">
            <v>S.N.N.</v>
          </cell>
          <cell r="D1088">
            <v>37</v>
          </cell>
          <cell r="E1088" t="str">
            <v>Casual</v>
          </cell>
          <cell r="F1088" t="str">
            <v>Standard, Puzzle</v>
          </cell>
          <cell r="G1088">
            <v>42925</v>
          </cell>
          <cell r="H1088" t="str">
            <v>15797</v>
          </cell>
          <cell r="I1088" t="str">
            <v>https://www.smwcentral.net/?a=details&amp;id=15797&amp;p=section</v>
          </cell>
          <cell r="J1088" t="str">
            <v>https://dl.smwcentral.net/15797/KTR.zip</v>
          </cell>
        </row>
        <row r="1089">
          <cell r="A1089" t="str">
            <v>Mario's Last Adventure</v>
          </cell>
          <cell r="B1089" t="str">
            <v>Mario's Last Adventure</v>
          </cell>
          <cell r="C1089" t="str">
            <v>niko</v>
          </cell>
          <cell r="D1089">
            <v>20</v>
          </cell>
          <cell r="E1089" t="str">
            <v>Intermediate</v>
          </cell>
          <cell r="F1089" t="str">
            <v>Standard</v>
          </cell>
          <cell r="G1089">
            <v>42658</v>
          </cell>
          <cell r="H1089" t="str">
            <v>14534</v>
          </cell>
          <cell r="I1089" t="str">
            <v>https://www.smwcentral.net/?a=details&amp;id=14534&amp;p=section</v>
          </cell>
          <cell r="J1089" t="str">
            <v>https://dl.smwcentral.net/14534/MLA%20Demo%201.zip</v>
          </cell>
        </row>
        <row r="1090">
          <cell r="A1090" t="str">
            <v>Mario's Long Traveling</v>
          </cell>
          <cell r="B1090" t="str">
            <v>Mario's Long Traveling</v>
          </cell>
          <cell r="C1090" t="str">
            <v>Teo17</v>
          </cell>
          <cell r="D1090">
            <v>7</v>
          </cell>
          <cell r="E1090" t="str">
            <v>Casual</v>
          </cell>
          <cell r="F1090" t="str">
            <v>Standard</v>
          </cell>
          <cell r="G1090">
            <v>41543</v>
          </cell>
          <cell r="H1090" t="str">
            <v>5435</v>
          </cell>
          <cell r="I1090" t="str">
            <v>https://www.smwcentral.net/?a=details&amp;id=5435&amp;p=section</v>
          </cell>
          <cell r="J1090" t="str">
            <v>https://dl.smwcentral.net/5435/MLT.zip</v>
          </cell>
        </row>
        <row r="1091">
          <cell r="A1091" t="str">
            <v>Mario's Lost World</v>
          </cell>
          <cell r="B1091" t="str">
            <v>Mario's Lost World</v>
          </cell>
          <cell r="C1091" t="str">
            <v>icegoom</v>
          </cell>
          <cell r="D1091">
            <v>27</v>
          </cell>
          <cell r="E1091" t="str">
            <v>Intermediate</v>
          </cell>
          <cell r="F1091" t="str">
            <v>Standard</v>
          </cell>
          <cell r="G1091">
            <v>41457</v>
          </cell>
          <cell r="H1091" t="str">
            <v>4982</v>
          </cell>
          <cell r="I1091" t="str">
            <v>https://www.smwcentral.net/?a=details&amp;id=4982&amp;p=section</v>
          </cell>
          <cell r="J1091" t="str">
            <v>https://dl.smwcentral.net/4982/MariosLostWorldDemo.zip</v>
          </cell>
        </row>
        <row r="1092">
          <cell r="A1092" t="str">
            <v>Mario's Low-Budget Adventure</v>
          </cell>
          <cell r="B1092" t="str">
            <v>Mario's Low-Budget Adventure</v>
          </cell>
          <cell r="C1092" t="str">
            <v>tranvucam</v>
          </cell>
          <cell r="D1092">
            <v>50</v>
          </cell>
          <cell r="E1092" t="str">
            <v>Intermediate</v>
          </cell>
          <cell r="F1092" t="str">
            <v>Standard</v>
          </cell>
          <cell r="G1092">
            <v>45554</v>
          </cell>
          <cell r="H1092" t="str">
            <v>38080</v>
          </cell>
          <cell r="I1092" t="str">
            <v>https://www.smwcentral.net/?a=details&amp;id=38080&amp;p=section</v>
          </cell>
          <cell r="J1092" t="str">
            <v>https://dl.smwcentral.net/38080/Mario%27s%20Low-Budget%20Adventure%20v1.2.zip</v>
          </cell>
        </row>
        <row r="1093">
          <cell r="A1093" t="str">
            <v>Mario's Mad Adventure</v>
          </cell>
          <cell r="B1093" t="str">
            <v>Mario's Mad Adventure</v>
          </cell>
          <cell r="C1093" t="str">
            <v>cyphermur9t</v>
          </cell>
          <cell r="D1093">
            <v>25</v>
          </cell>
          <cell r="E1093" t="str">
            <v>Intermediate</v>
          </cell>
          <cell r="F1093" t="str">
            <v>Standard</v>
          </cell>
          <cell r="G1093">
            <v>42209</v>
          </cell>
          <cell r="H1093" t="str">
            <v>9703</v>
          </cell>
          <cell r="I1093" t="str">
            <v>https://www.smwcentral.net/?a=details&amp;id=9703&amp;p=section</v>
          </cell>
          <cell r="J1093" t="str">
            <v>https://dl.smwcentral.net/9703/Mario%27s%20Mad%20Adventure%20%282%20Parts%29.zip</v>
          </cell>
        </row>
        <row r="1094">
          <cell r="A1094" t="str">
            <v>Mario's Misadventures 2: The Black Hole Bomb</v>
          </cell>
          <cell r="B1094" t="str">
            <v>Mario's Misadventures 2: The Black Hole Bomb</v>
          </cell>
          <cell r="C1094" t="str">
            <v>signature_steve</v>
          </cell>
          <cell r="D1094">
            <v>98</v>
          </cell>
          <cell r="E1094" t="str">
            <v>Casual</v>
          </cell>
          <cell r="F1094" t="str">
            <v>Standard</v>
          </cell>
          <cell r="G1094">
            <v>46024</v>
          </cell>
          <cell r="H1094" t="str">
            <v>41279</v>
          </cell>
          <cell r="I1094" t="str">
            <v>https://www.smwcentral.net/?a=details&amp;id=41279&amp;p=section</v>
          </cell>
          <cell r="J1094" t="str">
            <v>https://dl.smwcentral.net/41279/MariosMisadventures2%20v1.2.5.zip</v>
          </cell>
        </row>
        <row r="1095">
          <cell r="A1095" t="str">
            <v>Mario's Misadventures: The Secret of The 11 Gems</v>
          </cell>
          <cell r="B1095" t="str">
            <v>Mario's Misadventures: The Secret of The 11 Gems</v>
          </cell>
          <cell r="C1095" t="str">
            <v>signature_steve</v>
          </cell>
          <cell r="D1095">
            <v>98</v>
          </cell>
          <cell r="E1095" t="str">
            <v>Casual</v>
          </cell>
          <cell r="F1095" t="str">
            <v>Standard</v>
          </cell>
          <cell r="G1095">
            <v>45508</v>
          </cell>
          <cell r="H1095" t="str">
            <v>38098</v>
          </cell>
          <cell r="I1095" t="str">
            <v>https://www.smwcentral.net/?a=details&amp;id=38098&amp;p=section</v>
          </cell>
          <cell r="J1095" t="str">
            <v>https://dl.smwcentral.net/38098/MariosMisadventures1.4.3.zip</v>
          </cell>
        </row>
        <row r="1096">
          <cell r="A1096" t="str">
            <v>Mario's Mission</v>
          </cell>
          <cell r="B1096" t="str">
            <v>Mario's Mission</v>
          </cell>
          <cell r="C1096" t="str">
            <v>PaperMario94</v>
          </cell>
          <cell r="D1096">
            <v>49</v>
          </cell>
          <cell r="E1096" t="str">
            <v>Intermediate</v>
          </cell>
          <cell r="F1096" t="str">
            <v>Standard</v>
          </cell>
          <cell r="G1096">
            <v>42333</v>
          </cell>
          <cell r="H1096" t="str">
            <v>10225</v>
          </cell>
          <cell r="I1096" t="str">
            <v>https://www.smwcentral.net/?a=details&amp;id=10225&amp;p=section</v>
          </cell>
          <cell r="J1096" t="str">
            <v>https://dl.smwcentral.net/10225/Marios%20Mission.zip</v>
          </cell>
        </row>
        <row r="1097">
          <cell r="A1097" t="str">
            <v>Mario's Mistake</v>
          </cell>
          <cell r="B1097" t="str">
            <v>Mario's Mistake</v>
          </cell>
          <cell r="C1097" t="str">
            <v>gibbl</v>
          </cell>
          <cell r="D1097">
            <v>7</v>
          </cell>
          <cell r="E1097" t="str">
            <v>Advanced</v>
          </cell>
          <cell r="F1097" t="str">
            <v>Kaizo, Tool-Assisted</v>
          </cell>
          <cell r="G1097">
            <v>41748</v>
          </cell>
          <cell r="H1097" t="str">
            <v>6131</v>
          </cell>
          <cell r="I1097" t="str">
            <v>https://www.smwcentral.net/?a=details&amp;id=6131&amp;p=section</v>
          </cell>
          <cell r="J1097" t="str">
            <v>https://dl.smwcentral.net/6131/Mario%27s%20Mistake.zip</v>
          </cell>
        </row>
        <row r="1098">
          <cell r="A1098" t="str">
            <v>Mario's Mystery Meat</v>
          </cell>
          <cell r="B1098" t="str">
            <v>Mario's Mystery Meat</v>
          </cell>
          <cell r="C1098" t="str">
            <v>Eminus</v>
          </cell>
          <cell r="D1098">
            <v>1</v>
          </cell>
          <cell r="E1098" t="str">
            <v>Advanced</v>
          </cell>
          <cell r="F1098" t="str">
            <v>Standard</v>
          </cell>
          <cell r="G1098">
            <v>43992</v>
          </cell>
          <cell r="H1098" t="str">
            <v>23290</v>
          </cell>
          <cell r="I1098" t="str">
            <v>https://www.smwcentral.net/?a=details&amp;id=23290&amp;p=section</v>
          </cell>
          <cell r="J1098" t="str">
            <v>https://dl.smwcentral.net/23290/mmmeat.zip</v>
          </cell>
        </row>
        <row r="1099">
          <cell r="A1099" t="str">
            <v>Mario's Mystical Garden</v>
          </cell>
          <cell r="B1099" t="str">
            <v>Mario's Mystical Garden</v>
          </cell>
          <cell r="C1099" t="str">
            <v>2dareduck</v>
          </cell>
          <cell r="D1099">
            <v>10</v>
          </cell>
          <cell r="E1099" t="str">
            <v>Casual</v>
          </cell>
          <cell r="F1099" t="str">
            <v>Standard</v>
          </cell>
          <cell r="G1099">
            <v>41545</v>
          </cell>
          <cell r="H1099" t="str">
            <v>5529</v>
          </cell>
          <cell r="I1099" t="str">
            <v>https://www.smwcentral.net/?a=details&amp;id=5529&amp;p=section</v>
          </cell>
          <cell r="J1099" t="str">
            <v>https://dl.smwcentral.net/5529/MMG1.3.zip</v>
          </cell>
        </row>
        <row r="1100">
          <cell r="A1100" t="str">
            <v>Mario's New World</v>
          </cell>
          <cell r="B1100" t="str">
            <v>Mario's New World</v>
          </cell>
          <cell r="C1100" t="str">
            <v>noon</v>
          </cell>
          <cell r="D1100">
            <v>5</v>
          </cell>
          <cell r="E1100" t="str">
            <v>Casual</v>
          </cell>
          <cell r="F1100" t="str">
            <v>Standard</v>
          </cell>
          <cell r="G1100">
            <v>42215</v>
          </cell>
          <cell r="H1100" t="str">
            <v>10217</v>
          </cell>
          <cell r="I1100" t="str">
            <v>https://www.smwcentral.net/?a=details&amp;id=10217&amp;p=section</v>
          </cell>
          <cell r="J1100" t="str">
            <v>https://dl.smwcentral.net/10217/%282004%29%20Mario%27s%20New%20World.zip</v>
          </cell>
        </row>
        <row r="1101">
          <cell r="A1101" t="str">
            <v>Mario's New Year Mini Quest</v>
          </cell>
          <cell r="B1101" t="str">
            <v>Mario's New Year Mini Quest</v>
          </cell>
          <cell r="C1101" t="str">
            <v>Green Jerry</v>
          </cell>
          <cell r="D1101">
            <v>10</v>
          </cell>
          <cell r="E1101" t="str">
            <v>Intermediate</v>
          </cell>
          <cell r="F1101" t="str">
            <v>Standard</v>
          </cell>
          <cell r="G1101">
            <v>44233</v>
          </cell>
          <cell r="H1101" t="str">
            <v>26149</v>
          </cell>
          <cell r="I1101" t="str">
            <v>https://www.smwcentral.net/?a=details&amp;id=26149&amp;p=section</v>
          </cell>
          <cell r="J1101" t="str">
            <v>https://dl.smwcentral.net/26149/Mario%27s%20New%20Year%20Mini%20Quest%20%28V1.2%29.zip</v>
          </cell>
        </row>
        <row r="1102">
          <cell r="A1102" t="str">
            <v>Mario's Next Adventure</v>
          </cell>
          <cell r="B1102" t="str">
            <v>Mario's Next Adventure</v>
          </cell>
          <cell r="C1102" t="str">
            <v>Systrem Studios</v>
          </cell>
          <cell r="D1102">
            <v>11</v>
          </cell>
          <cell r="E1102" t="str">
            <v>Newcomer</v>
          </cell>
          <cell r="F1102" t="str">
            <v>Standard</v>
          </cell>
          <cell r="G1102">
            <v>42412</v>
          </cell>
          <cell r="H1102" t="str">
            <v>13292</v>
          </cell>
          <cell r="I1102" t="str">
            <v>https://www.smwcentral.net/?a=details&amp;id=13292&amp;p=section</v>
          </cell>
          <cell r="J1102" t="str">
            <v>https://dl.smwcentral.net/13292/Marios%20Next%20Adventure%20v.2.0.zip</v>
          </cell>
        </row>
        <row r="1103">
          <cell r="A1103" t="str">
            <v>Mario's Nightmare: Episode 1</v>
          </cell>
          <cell r="B1103" t="str">
            <v>Mario's Nightmare: Episode 1</v>
          </cell>
          <cell r="C1103" t="str">
            <v>TooManyToasters</v>
          </cell>
          <cell r="D1103">
            <v>7</v>
          </cell>
          <cell r="E1103" t="str">
            <v>Casual</v>
          </cell>
          <cell r="F1103" t="str">
            <v>Standard</v>
          </cell>
          <cell r="G1103">
            <v>42044</v>
          </cell>
          <cell r="H1103" t="str">
            <v>9816</v>
          </cell>
          <cell r="I1103" t="str">
            <v>https://www.smwcentral.net/?a=details&amp;id=9816&amp;p=section</v>
          </cell>
          <cell r="J1103" t="str">
            <v>https://dl.smwcentral.net/9816/Mario%27s%20Nightmare%20Ep1.zip</v>
          </cell>
        </row>
        <row r="1104">
          <cell r="A1104" t="str">
            <v>Mario's NOSE</v>
          </cell>
          <cell r="B1104" t="str">
            <v>Mario's NOSE</v>
          </cell>
          <cell r="C1104" t="str">
            <v>rextep</v>
          </cell>
          <cell r="D1104">
            <v>4</v>
          </cell>
          <cell r="E1104" t="str">
            <v>Intermediate</v>
          </cell>
          <cell r="F1104" t="str">
            <v>Standard</v>
          </cell>
          <cell r="G1104">
            <v>43219</v>
          </cell>
          <cell r="H1104" t="str">
            <v>17452</v>
          </cell>
          <cell r="I1104" t="str">
            <v>https://www.smwcentral.net/?a=details&amp;id=17452&amp;p=section</v>
          </cell>
          <cell r="J1104" t="str">
            <v>https://dl.smwcentral.net/17452/MNOSE.zip</v>
          </cell>
        </row>
        <row r="1105">
          <cell r="A1105" t="str">
            <v>Mario's on a New Adventure!</v>
          </cell>
          <cell r="B1105" t="str">
            <v>Mario's on a New Adventure!</v>
          </cell>
          <cell r="C1105" t="str">
            <v>ItsaMe.64</v>
          </cell>
          <cell r="D1105">
            <v>21</v>
          </cell>
          <cell r="E1105" t="str">
            <v>Intermediate</v>
          </cell>
          <cell r="F1105" t="str">
            <v>Standard</v>
          </cell>
          <cell r="G1105">
            <v>43483</v>
          </cell>
          <cell r="H1105" t="str">
            <v>18975</v>
          </cell>
          <cell r="I1105" t="str">
            <v>https://www.smwcentral.net/?a=details&amp;id=18975&amp;p=section</v>
          </cell>
          <cell r="J1105" t="str">
            <v>https://dl.smwcentral.net/18975/%5BMoaNA%21%20up1%5D.zip</v>
          </cell>
        </row>
        <row r="1106">
          <cell r="A1106" t="str">
            <v>Mario's Peregrination-Kingdom Elementum Phantasia</v>
          </cell>
          <cell r="B1106" t="str">
            <v>Mario's Peregrination-Kingdom Elementum Phantasia</v>
          </cell>
          <cell r="C1106" t="str">
            <v>Vamperumbra</v>
          </cell>
          <cell r="D1106">
            <v>48</v>
          </cell>
          <cell r="E1106" t="str">
            <v>Casual</v>
          </cell>
          <cell r="F1106" t="str">
            <v>Standard</v>
          </cell>
          <cell r="G1106">
            <v>42662</v>
          </cell>
          <cell r="H1106" t="str">
            <v>14536</v>
          </cell>
          <cell r="I1106" t="str">
            <v>https://www.smwcentral.net/?a=details&amp;id=14536&amp;p=section</v>
          </cell>
          <cell r="J1106" t="str">
            <v>https://dl.smwcentral.net/14536/MP.zip</v>
          </cell>
        </row>
        <row r="1107">
          <cell r="A1107" t="str">
            <v>Mario's Pride Mini Quest</v>
          </cell>
          <cell r="B1107" t="str">
            <v>Mario's Pride Mini Quest</v>
          </cell>
          <cell r="C1107" t="str">
            <v>Green Jerry</v>
          </cell>
          <cell r="D1107">
            <v>17</v>
          </cell>
          <cell r="E1107" t="str">
            <v>Intermediate</v>
          </cell>
          <cell r="F1107" t="str">
            <v>Standard</v>
          </cell>
          <cell r="G1107">
            <v>45103</v>
          </cell>
          <cell r="H1107" t="str">
            <v>34166</v>
          </cell>
          <cell r="I1107" t="str">
            <v>https://www.smwcentral.net/?a=details&amp;id=34166&amp;p=section</v>
          </cell>
          <cell r="J1107" t="str">
            <v>https://dl.smwcentral.net/34166/Mario%27s%20Pride%20Mini%20Quest%20%28V1.3.5%29.zip</v>
          </cell>
        </row>
        <row r="1108">
          <cell r="A1108" t="str">
            <v>Mario's Quest For The Water</v>
          </cell>
          <cell r="B1108" t="str">
            <v>Mario's Quest For The Water</v>
          </cell>
          <cell r="C1108" t="str">
            <v>waffledoctor87</v>
          </cell>
          <cell r="D1108">
            <v>28</v>
          </cell>
          <cell r="E1108" t="str">
            <v>Intermediate</v>
          </cell>
          <cell r="F1108" t="str">
            <v>Standard</v>
          </cell>
          <cell r="G1108">
            <v>43683</v>
          </cell>
          <cell r="H1108" t="str">
            <v>20324</v>
          </cell>
          <cell r="I1108" t="str">
            <v>https://www.smwcentral.net/?a=details&amp;id=20324&amp;p=section</v>
          </cell>
          <cell r="J1108" t="str">
            <v>https://dl.smwcentral.net/20324/MQFTW.zip</v>
          </cell>
        </row>
        <row r="1109">
          <cell r="A1109" t="str">
            <v>Mario's Quest: The Legend of Darmi</v>
          </cell>
          <cell r="B1109" t="str">
            <v>Mario's Quest: The Legend of Darmi</v>
          </cell>
          <cell r="C1109" t="str">
            <v>Guilherme F Santos</v>
          </cell>
          <cell r="D1109">
            <v>7</v>
          </cell>
          <cell r="E1109" t="str">
            <v>Intermediate</v>
          </cell>
          <cell r="F1109" t="str">
            <v>Standard</v>
          </cell>
          <cell r="G1109">
            <v>42374</v>
          </cell>
          <cell r="H1109" t="str">
            <v>12947</v>
          </cell>
          <cell r="I1109" t="str">
            <v>https://www.smwcentral.net/?a=details&amp;id=12947&amp;p=section</v>
          </cell>
          <cell r="J1109" t="str">
            <v>https://dl.smwcentral.net/12947/Mario%27s%20Quest-%20The%20Legend%20of%20Darmi.zip</v>
          </cell>
        </row>
        <row r="1110">
          <cell r="A1110" t="str">
            <v>Mario's Redemption Quest</v>
          </cell>
          <cell r="B1110" t="str">
            <v>Mario's Redemption Quest</v>
          </cell>
          <cell r="C1110" t="str">
            <v>Alex</v>
          </cell>
          <cell r="D1110">
            <v>12</v>
          </cell>
          <cell r="E1110" t="str">
            <v>Expert</v>
          </cell>
          <cell r="F1110" t="str">
            <v>Kaizo</v>
          </cell>
          <cell r="G1110">
            <v>44217</v>
          </cell>
          <cell r="H1110" t="str">
            <v>25924</v>
          </cell>
          <cell r="I1110" t="str">
            <v>https://www.smwcentral.net/?a=details&amp;id=25924&amp;p=section</v>
          </cell>
          <cell r="J1110" t="str">
            <v>https://dl.smwcentral.net/25924/Mario%27s%20Redemption%20Quest%20v1.1.zip</v>
          </cell>
        </row>
        <row r="1111">
          <cell r="A1111" t="str">
            <v>Mario's Redrawn Adventure</v>
          </cell>
          <cell r="B1111" t="str">
            <v>Mario's Redrawn Adventure</v>
          </cell>
          <cell r="C1111" t="str">
            <v>Moltz</v>
          </cell>
          <cell r="D1111">
            <v>17</v>
          </cell>
          <cell r="E1111" t="str">
            <v>Casual</v>
          </cell>
          <cell r="F1111" t="str">
            <v>Standard</v>
          </cell>
          <cell r="G1111">
            <v>41862</v>
          </cell>
          <cell r="H1111" t="str">
            <v>8897</v>
          </cell>
          <cell r="I1111" t="str">
            <v>https://www.smwcentral.net/?a=details&amp;id=8897&amp;p=section</v>
          </cell>
          <cell r="J1111" t="str">
            <v>https://dl.smwcentral.net/8897/MRA.zip</v>
          </cell>
        </row>
        <row r="1112">
          <cell r="A1112" t="str">
            <v>Mario's Return</v>
          </cell>
          <cell r="B1112" t="str">
            <v>Mario's Return</v>
          </cell>
          <cell r="C1112" t="str">
            <v>Stark</v>
          </cell>
          <cell r="D1112">
            <v>87</v>
          </cell>
          <cell r="E1112" t="str">
            <v>Casual</v>
          </cell>
          <cell r="F1112" t="str">
            <v>Standard</v>
          </cell>
          <cell r="G1112">
            <v>43601</v>
          </cell>
          <cell r="H1112" t="str">
            <v>19903</v>
          </cell>
          <cell r="I1112" t="str">
            <v>https://www.smwcentral.net/?a=details&amp;id=19903&amp;p=section</v>
          </cell>
          <cell r="J1112" t="str">
            <v>https://dl.smwcentral.net/19903/Marios_Return.zip</v>
          </cell>
        </row>
        <row r="1113">
          <cell r="A1113" t="str">
            <v>Mario's Return Again</v>
          </cell>
          <cell r="B1113" t="str">
            <v>Mario's Return Again</v>
          </cell>
          <cell r="C1113" t="str">
            <v>Stark</v>
          </cell>
          <cell r="D1113">
            <v>88</v>
          </cell>
          <cell r="E1113" t="str">
            <v>Intermediate</v>
          </cell>
          <cell r="F1113" t="str">
            <v>Standard</v>
          </cell>
          <cell r="G1113">
            <v>42232</v>
          </cell>
          <cell r="H1113" t="str">
            <v>9878</v>
          </cell>
          <cell r="I1113" t="str">
            <v>https://www.smwcentral.net/?a=details&amp;id=9878&amp;p=section</v>
          </cell>
          <cell r="J1113" t="str">
            <v>https://dl.smwcentral.net/9878/MRA%20Beta.zip</v>
          </cell>
        </row>
        <row r="1114">
          <cell r="A1114" t="str">
            <v>Mario's Ruined Seclusion</v>
          </cell>
          <cell r="B1114" t="str">
            <v>Mario's Ruined Seclusion</v>
          </cell>
          <cell r="C1114" t="str">
            <v>BlueSheep123</v>
          </cell>
          <cell r="D1114">
            <v>31</v>
          </cell>
          <cell r="E1114" t="str">
            <v>Casual</v>
          </cell>
          <cell r="F1114" t="str">
            <v>Standard</v>
          </cell>
          <cell r="G1114">
            <v>45010</v>
          </cell>
          <cell r="H1114" t="str">
            <v>33606</v>
          </cell>
          <cell r="I1114" t="str">
            <v>https://www.smwcentral.net/?a=details&amp;id=33606&amp;p=section</v>
          </cell>
          <cell r="J1114" t="str">
            <v>https://dl.smwcentral.net/33606/Mario%27s_Ruined_Seclusion_1.0.0.zip</v>
          </cell>
        </row>
        <row r="1115">
          <cell r="A1115" t="str">
            <v>Mario's Search for the 8 Jewels</v>
          </cell>
          <cell r="B1115" t="str">
            <v>Mario's Search for the 8 Jewels</v>
          </cell>
          <cell r="C1115" t="str">
            <v>MaiK</v>
          </cell>
          <cell r="D1115">
            <v>96</v>
          </cell>
          <cell r="E1115" t="str">
            <v>Casual</v>
          </cell>
          <cell r="F1115" t="str">
            <v>Standard</v>
          </cell>
          <cell r="G1115">
            <v>41445</v>
          </cell>
          <cell r="H1115" t="str">
            <v>5373</v>
          </cell>
          <cell r="I1115" t="str">
            <v>https://www.smwcentral.net/?a=details&amp;id=5373&amp;p=section</v>
          </cell>
          <cell r="J1115" t="str">
            <v>https://dl.smwcentral.net/5373/MariosSearchForThe8Jewels%20Mawwo7.zip</v>
          </cell>
        </row>
        <row r="1116">
          <cell r="A1116" t="str">
            <v>Mario's Search for the 8 Jewels 2</v>
          </cell>
          <cell r="B1116" t="str">
            <v>Mario's Search for the 8 Jewels 2</v>
          </cell>
          <cell r="C1116" t="str">
            <v>MaiK</v>
          </cell>
          <cell r="D1116">
            <v>59</v>
          </cell>
          <cell r="E1116" t="str">
            <v>Casual</v>
          </cell>
          <cell r="F1116" t="str">
            <v>Standard</v>
          </cell>
          <cell r="G1116">
            <v>43060</v>
          </cell>
          <cell r="H1116" t="str">
            <v>16492</v>
          </cell>
          <cell r="I1116" t="str">
            <v>https://www.smwcentral.net/?a=details&amp;id=16492&amp;p=section</v>
          </cell>
          <cell r="J1116" t="str">
            <v>https://dl.smwcentral.net/16492/Mario%27s%20Search%20for%20the%208%20Jewels%202%20-%20by%20MaiK.zip</v>
          </cell>
        </row>
        <row r="1117">
          <cell r="A1117" t="str">
            <v>Mario's Search for the Shrine of Eternal Ice</v>
          </cell>
          <cell r="B1117" t="str">
            <v>Mario's Search for the Shrine of Eternal Ice</v>
          </cell>
          <cell r="C1117" t="str">
            <v>NGB</v>
          </cell>
          <cell r="D1117">
            <v>1</v>
          </cell>
          <cell r="E1117" t="str">
            <v>Casual</v>
          </cell>
          <cell r="F1117" t="str">
            <v>Standard</v>
          </cell>
          <cell r="G1117">
            <v>42283</v>
          </cell>
          <cell r="H1117" t="str">
            <v>12310</v>
          </cell>
          <cell r="I1117" t="str">
            <v>https://www.smwcentral.net/?a=details&amp;id=12310&amp;p=section</v>
          </cell>
          <cell r="J1117" t="str">
            <v>https://dl.smwcentral.net/12310/Mario%27s%20Search%20for%20the%20Shrine%20of%20Eternal%20Ice%20%28Version%201.1%29.zip</v>
          </cell>
        </row>
        <row r="1118">
          <cell r="A1118" t="str">
            <v>Mario's Search for the Stolen Stars</v>
          </cell>
          <cell r="B1118" t="str">
            <v>Mario's Search for the Stolen Stars</v>
          </cell>
          <cell r="C1118" t="str">
            <v>majora211</v>
          </cell>
          <cell r="D1118">
            <v>14</v>
          </cell>
          <cell r="E1118" t="str">
            <v>Casual</v>
          </cell>
          <cell r="F1118" t="str">
            <v>Standard</v>
          </cell>
          <cell r="G1118">
            <v>41492</v>
          </cell>
          <cell r="H1118" t="str">
            <v>5412</v>
          </cell>
          <cell r="I1118" t="str">
            <v>https://www.smwcentral.net/?a=details&amp;id=5412&amp;p=section</v>
          </cell>
          <cell r="J1118" t="str">
            <v>https://dl.smwcentral.net/5412/Mario%27s%20search%20for%20the%20stolen%20stars.zip</v>
          </cell>
        </row>
        <row r="1119">
          <cell r="A1119" t="str">
            <v>Mario's Simple Way</v>
          </cell>
          <cell r="B1119" t="str">
            <v>Mario's Simple Way</v>
          </cell>
          <cell r="C1119" t="str">
            <v>Everest</v>
          </cell>
          <cell r="D1119">
            <v>10</v>
          </cell>
          <cell r="E1119" t="str">
            <v>Intermediate</v>
          </cell>
          <cell r="F1119" t="str">
            <v>Standard</v>
          </cell>
          <cell r="G1119">
            <v>42308</v>
          </cell>
          <cell r="H1119" t="str">
            <v>10079</v>
          </cell>
          <cell r="I1119" t="str">
            <v>https://www.smwcentral.net/?a=details&amp;id=10079&amp;p=section</v>
          </cell>
          <cell r="J1119" t="str">
            <v>https://dl.smwcentral.net/10079/mswdemo1.zip</v>
          </cell>
        </row>
        <row r="1120">
          <cell r="A1120" t="str">
            <v>Mario's Strange Quest</v>
          </cell>
          <cell r="B1120" t="str">
            <v>Mario's Strange Quest</v>
          </cell>
          <cell r="C1120" t="str">
            <v>yoshifanatic</v>
          </cell>
          <cell r="D1120">
            <v>79</v>
          </cell>
          <cell r="E1120" t="str">
            <v>Intermediate</v>
          </cell>
          <cell r="F1120" t="str">
            <v>Standard</v>
          </cell>
          <cell r="G1120">
            <v>41604</v>
          </cell>
          <cell r="H1120" t="str">
            <v>5258</v>
          </cell>
          <cell r="I1120" t="str">
            <v>https://www.smwcentral.net/?a=details&amp;id=5258&amp;p=section</v>
          </cell>
          <cell r="J1120" t="str">
            <v>https://dl.smwcentral.net/5258/Mario%27s%20Strange%20Quest%20v1.6.zip</v>
          </cell>
        </row>
        <row r="1121">
          <cell r="A1121" t="str">
            <v>Mario's Super Galactic Illusion Space Time</v>
          </cell>
          <cell r="B1121" t="str">
            <v>Mario's Super Galactic Illusion Space Time</v>
          </cell>
          <cell r="C1121" t="str">
            <v>Sulcuryalt</v>
          </cell>
          <cell r="D1121">
            <v>9</v>
          </cell>
          <cell r="E1121" t="str">
            <v>Casual</v>
          </cell>
          <cell r="F1121" t="str">
            <v>Standard</v>
          </cell>
          <cell r="G1121">
            <v>42267</v>
          </cell>
          <cell r="H1121" t="str">
            <v>10033</v>
          </cell>
          <cell r="I1121" t="str">
            <v>https://www.smwcentral.net/?a=details&amp;id=10033&amp;p=section</v>
          </cell>
          <cell r="J1121" t="str">
            <v>https://dl.smwcentral.net/10033/Mario%27s%20Super%20Galactic%20Illusion%20Space%20Time.zip</v>
          </cell>
        </row>
        <row r="1122">
          <cell r="A1122" t="str">
            <v>Mario's Supper World</v>
          </cell>
          <cell r="B1122" t="str">
            <v>Mario's Supper World</v>
          </cell>
          <cell r="C1122" t="str">
            <v>therealSWK</v>
          </cell>
          <cell r="D1122">
            <v>6</v>
          </cell>
          <cell r="E1122" t="str">
            <v>Casual</v>
          </cell>
          <cell r="F1122" t="str">
            <v>Standard</v>
          </cell>
          <cell r="G1122">
            <v>45275</v>
          </cell>
          <cell r="H1122" t="str">
            <v>35659</v>
          </cell>
          <cell r="I1122" t="str">
            <v>https://www.smwcentral.net/?a=details&amp;id=35659&amp;p=section</v>
          </cell>
          <cell r="J1122" t="str">
            <v>https://dl.smwcentral.net/35659/Mario%27s%20Supper%20World.zip</v>
          </cell>
        </row>
        <row r="1123">
          <cell r="A1123" t="str">
            <v>Mario's Sweet Adventure</v>
          </cell>
          <cell r="B1123" t="str">
            <v>Mario's Sweet Adventure</v>
          </cell>
          <cell r="C1123" t="str">
            <v>niko</v>
          </cell>
          <cell r="D1123">
            <v>7</v>
          </cell>
          <cell r="E1123" t="str">
            <v>Casual</v>
          </cell>
          <cell r="F1123" t="str">
            <v>Standard</v>
          </cell>
          <cell r="G1123">
            <v>42345</v>
          </cell>
          <cell r="H1123" t="str">
            <v>12794</v>
          </cell>
          <cell r="I1123" t="str">
            <v>https://www.smwcentral.net/?a=details&amp;id=12794&amp;p=section</v>
          </cell>
          <cell r="J1123" t="str">
            <v>https://dl.smwcentral.net/12794/Marios%20Sweet%20Adventure%20Demo%204.zip</v>
          </cell>
        </row>
        <row r="1124">
          <cell r="A1124" t="str">
            <v>Mario's Sweet Adventure 2</v>
          </cell>
          <cell r="B1124" t="str">
            <v>Mario's Sweet Adventure 2</v>
          </cell>
          <cell r="C1124" t="str">
            <v>niko</v>
          </cell>
          <cell r="D1124">
            <v>5</v>
          </cell>
          <cell r="E1124" t="str">
            <v>Casual</v>
          </cell>
          <cell r="F1124" t="str">
            <v>Standard</v>
          </cell>
          <cell r="G1124">
            <v>42356</v>
          </cell>
          <cell r="H1124" t="str">
            <v>12884</v>
          </cell>
          <cell r="I1124" t="str">
            <v>https://www.smwcentral.net/?a=details&amp;id=12884&amp;p=section</v>
          </cell>
          <cell r="J1124" t="str">
            <v>https://dl.smwcentral.net/12884/Marios%20Sweet%20Adventure%202%20Demo%201.zip</v>
          </cell>
        </row>
        <row r="1125">
          <cell r="A1125" t="str">
            <v>Mario's Sweet Adventure 3 - A New Quest</v>
          </cell>
          <cell r="B1125" t="str">
            <v>Mario's Sweet Adventure 3 - A New Quest</v>
          </cell>
          <cell r="C1125" t="str">
            <v>niko</v>
          </cell>
          <cell r="D1125">
            <v>66</v>
          </cell>
          <cell r="E1125" t="str">
            <v>Intermediate</v>
          </cell>
          <cell r="F1125" t="str">
            <v>Standard</v>
          </cell>
          <cell r="G1125">
            <v>42730</v>
          </cell>
          <cell r="H1125" t="str">
            <v>14710</v>
          </cell>
          <cell r="I1125" t="str">
            <v>https://www.smwcentral.net/?a=details&amp;id=14710&amp;p=section</v>
          </cell>
          <cell r="J1125" t="str">
            <v>https://dl.smwcentral.net/14710/MSA%203%20FINAL%201.1.0.0.zip</v>
          </cell>
        </row>
        <row r="1126">
          <cell r="A1126" t="str">
            <v>Mario's Time Quest</v>
          </cell>
          <cell r="B1126" t="str">
            <v>Mario's Time Quest</v>
          </cell>
          <cell r="C1126" t="str">
            <v>Red Chameleon, YoshiFan501</v>
          </cell>
          <cell r="D1126">
            <v>10</v>
          </cell>
          <cell r="E1126" t="str">
            <v>Newcomer</v>
          </cell>
          <cell r="F1126" t="str">
            <v>Standard</v>
          </cell>
          <cell r="G1126">
            <v>42242</v>
          </cell>
          <cell r="H1126" t="str">
            <v>9842</v>
          </cell>
          <cell r="I1126" t="str">
            <v>https://www.smwcentral.net/?a=details&amp;id=9842&amp;p=section</v>
          </cell>
          <cell r="J1126" t="str">
            <v>https://dl.smwcentral.net/9842/Mario%27s%20Time%20Quest%20-%20Demo%201.zip</v>
          </cell>
        </row>
        <row r="1127">
          <cell r="A1127" t="str">
            <v>Mario's Timely Adventure</v>
          </cell>
          <cell r="B1127" t="str">
            <v>Mario's Timely Adventure</v>
          </cell>
          <cell r="C1127" t="str">
            <v>xman0444</v>
          </cell>
          <cell r="D1127">
            <v>7</v>
          </cell>
          <cell r="E1127" t="str">
            <v>Newcomer</v>
          </cell>
          <cell r="F1127" t="str">
            <v>Standard</v>
          </cell>
          <cell r="G1127">
            <v>42248</v>
          </cell>
          <cell r="H1127" t="str">
            <v>9868</v>
          </cell>
          <cell r="I1127" t="str">
            <v>https://www.smwcentral.net/?a=details&amp;id=9868&amp;p=section</v>
          </cell>
          <cell r="J1127" t="str">
            <v>https://dl.smwcentral.net/9868/mta.zip.zip</v>
          </cell>
        </row>
        <row r="1128">
          <cell r="A1128" t="str">
            <v>Mario's Training</v>
          </cell>
          <cell r="B1128" t="str">
            <v>Mario's Training</v>
          </cell>
          <cell r="C1128" t="str">
            <v>RussianMan</v>
          </cell>
          <cell r="D1128">
            <v>4</v>
          </cell>
          <cell r="E1128" t="str">
            <v>Advanced</v>
          </cell>
          <cell r="F1128" t="str">
            <v>Kaizo</v>
          </cell>
          <cell r="G1128">
            <v>43433</v>
          </cell>
          <cell r="H1128" t="str">
            <v>18509</v>
          </cell>
          <cell r="I1128" t="str">
            <v>https://www.smwcentral.net/?a=details&amp;id=18509&amp;p=section</v>
          </cell>
          <cell r="J1128" t="str">
            <v>https://dl.smwcentral.net/18509/Mario%27s%20Training.zip</v>
          </cell>
        </row>
        <row r="1129">
          <cell r="A1129" t="str">
            <v>Mario's Treasure Hunt</v>
          </cell>
          <cell r="B1129" t="str">
            <v>Mario's Treasure Hunt</v>
          </cell>
          <cell r="C1129" t="str">
            <v>MaiK</v>
          </cell>
          <cell r="D1129">
            <v>64</v>
          </cell>
          <cell r="E1129" t="str">
            <v>Casual</v>
          </cell>
          <cell r="F1129" t="str">
            <v>Standard</v>
          </cell>
          <cell r="G1129">
            <v>41598</v>
          </cell>
          <cell r="H1129" t="str">
            <v>5551</v>
          </cell>
          <cell r="I1129" t="str">
            <v>https://www.smwcentral.net/?a=details&amp;id=5551&amp;p=section</v>
          </cell>
          <cell r="J1129" t="str">
            <v>https://dl.smwcentral.net/5551/MTH%20by%20Mawwo7.zip</v>
          </cell>
        </row>
        <row r="1130">
          <cell r="A1130" t="str">
            <v>Mario's Treasure Hunt 2</v>
          </cell>
          <cell r="B1130" t="str">
            <v>Mario's Treasure Hunt 2</v>
          </cell>
          <cell r="C1130" t="str">
            <v>MaiK</v>
          </cell>
          <cell r="D1130">
            <v>75</v>
          </cell>
          <cell r="E1130" t="str">
            <v>Casual</v>
          </cell>
          <cell r="F1130" t="str">
            <v>Standard</v>
          </cell>
          <cell r="G1130">
            <v>41600</v>
          </cell>
          <cell r="H1130" t="str">
            <v>5566</v>
          </cell>
          <cell r="I1130" t="str">
            <v>https://www.smwcentral.net/?a=details&amp;id=5566&amp;p=section</v>
          </cell>
          <cell r="J1130" t="str">
            <v>https://dl.smwcentral.net/5566/MTH2.zip</v>
          </cell>
        </row>
        <row r="1131">
          <cell r="A1131" t="str">
            <v>Mario's Ultimate Journey</v>
          </cell>
          <cell r="B1131" t="str">
            <v>Mario's Ultimate Journey</v>
          </cell>
          <cell r="C1131" t="str">
            <v>Tahixham</v>
          </cell>
          <cell r="D1131">
            <v>9</v>
          </cell>
          <cell r="E1131" t="str">
            <v>Casual</v>
          </cell>
          <cell r="F1131" t="str">
            <v>Standard</v>
          </cell>
          <cell r="G1131">
            <v>41545</v>
          </cell>
          <cell r="H1131" t="str">
            <v>5488</v>
          </cell>
          <cell r="I1131" t="str">
            <v>https://www.smwcentral.net/?a=details&amp;id=5488&amp;p=section</v>
          </cell>
          <cell r="J1131" t="str">
            <v>https://dl.smwcentral.net/5488/Mario%27s%20Ultimate%20Journey%20Demo%201.zip</v>
          </cell>
        </row>
        <row r="1132">
          <cell r="A1132" t="str">
            <v>Mario's Vanilla Journey</v>
          </cell>
          <cell r="B1132" t="str">
            <v>Mario's Vanilla Journey</v>
          </cell>
          <cell r="C1132" t="str">
            <v>akacesfan</v>
          </cell>
          <cell r="D1132">
            <v>24</v>
          </cell>
          <cell r="E1132" t="str">
            <v>Casual</v>
          </cell>
          <cell r="F1132" t="str">
            <v>Standard</v>
          </cell>
          <cell r="G1132">
            <v>41856</v>
          </cell>
          <cell r="H1132" t="str">
            <v>8721</v>
          </cell>
          <cell r="I1132" t="str">
            <v>https://www.smwcentral.net/?a=details&amp;id=8721&amp;p=section</v>
          </cell>
          <cell r="J1132" t="str">
            <v>https://dl.smwcentral.net/8721/Mario%27s%20Vanilla%20Journey%20-%20Demo%202.02.zip</v>
          </cell>
        </row>
        <row r="1133">
          <cell r="A1133" t="str">
            <v>Mario's Walk Home: Extended Collector's Edition</v>
          </cell>
          <cell r="B1133" t="str">
            <v>Mario's Walk Home: Extended Collector's Edition</v>
          </cell>
          <cell r="C1133" t="str">
            <v>Noivern</v>
          </cell>
          <cell r="D1133">
            <v>15</v>
          </cell>
          <cell r="E1133" t="str">
            <v>Newcomer</v>
          </cell>
          <cell r="F1133" t="str">
            <v>Standard</v>
          </cell>
          <cell r="G1133">
            <v>41560</v>
          </cell>
          <cell r="H1133" t="str">
            <v>5422</v>
          </cell>
          <cell r="I1133" t="str">
            <v>https://www.smwcentral.net/?a=details&amp;id=5422&amp;p=section</v>
          </cell>
          <cell r="J1133" t="str">
            <v>https://dl.smwcentral.net/5422/Mario%27s%20Walk%20Home.zip</v>
          </cell>
        </row>
        <row r="1134">
          <cell r="A1134" t="str">
            <v>Mario's Way to be a Legend</v>
          </cell>
          <cell r="B1134" t="str">
            <v>Mario's Way to be a Legend</v>
          </cell>
          <cell r="C1134" t="str">
            <v>SuperMarisa1999</v>
          </cell>
          <cell r="D1134">
            <v>5</v>
          </cell>
          <cell r="E1134" t="str">
            <v>Expert</v>
          </cell>
          <cell r="F1134" t="str">
            <v>Kaizo</v>
          </cell>
          <cell r="G1134">
            <v>42458</v>
          </cell>
          <cell r="H1134" t="str">
            <v>13486</v>
          </cell>
          <cell r="I1134" t="str">
            <v>https://www.smwcentral.net/?a=details&amp;id=13486&amp;p=section</v>
          </cell>
          <cell r="J1134" t="str">
            <v>https://dl.smwcentral.net/13486/Mario%27s%20Way%20To%20Be%20a%20Legend%20Demo%200.1.1.zip</v>
          </cell>
        </row>
        <row r="1135">
          <cell r="A1135" t="str">
            <v>Mario, Luigi and the 7 Eggs of Peace</v>
          </cell>
          <cell r="B1135" t="str">
            <v>Mario, Luigi and the 7 Eggs of Peace</v>
          </cell>
          <cell r="C1135" t="str">
            <v>cyphermur9t</v>
          </cell>
          <cell r="D1135">
            <v>53</v>
          </cell>
          <cell r="E1135" t="str">
            <v>Intermediate</v>
          </cell>
          <cell r="F1135" t="str">
            <v>Standard</v>
          </cell>
          <cell r="G1135">
            <v>43695</v>
          </cell>
          <cell r="H1135" t="str">
            <v>20943</v>
          </cell>
          <cell r="I1135" t="str">
            <v>https://www.smwcentral.net/?a=details&amp;id=20943&amp;p=section</v>
          </cell>
          <cell r="J1135" t="str">
            <v>https://dl.smwcentral.net/20943/Mario%20Luigi%20and%20the%207%20eggs%20of%20peace.zip</v>
          </cell>
        </row>
        <row r="1136">
          <cell r="A1136" t="str">
            <v>Mario41001's Unknown Hack</v>
          </cell>
          <cell r="B1136" t="str">
            <v>Mario41001's Unknown Hack</v>
          </cell>
          <cell r="C1136" t="str">
            <v>440</v>
          </cell>
          <cell r="D1136">
            <v>4</v>
          </cell>
          <cell r="E1136" t="str">
            <v>Casual</v>
          </cell>
          <cell r="F1136" t="str">
            <v>Standard</v>
          </cell>
          <cell r="G1136">
            <v>42111</v>
          </cell>
          <cell r="H1136" t="str">
            <v>9693</v>
          </cell>
          <cell r="I1136" t="str">
            <v>https://www.smwcentral.net/?a=details&amp;id=9693&amp;p=section</v>
          </cell>
          <cell r="J1136" t="str">
            <v>https://dl.smwcentral.net/9693/MUH.zip</v>
          </cell>
        </row>
        <row r="1137">
          <cell r="A1137" t="str">
            <v>Mario: Apocalypse Dawn</v>
          </cell>
          <cell r="B1137" t="str">
            <v>Mario: Apocalypse Dawn</v>
          </cell>
          <cell r="C1137" t="str">
            <v>BulletBillTime</v>
          </cell>
          <cell r="D1137">
            <v>5</v>
          </cell>
          <cell r="E1137" t="str">
            <v>Casual</v>
          </cell>
          <cell r="F1137" t="str">
            <v>Standard</v>
          </cell>
          <cell r="G1137">
            <v>42040</v>
          </cell>
          <cell r="H1137" t="str">
            <v>9725</v>
          </cell>
          <cell r="I1137" t="str">
            <v>https://www.smwcentral.net/?a=details&amp;id=9725&amp;p=section</v>
          </cell>
          <cell r="J1137" t="str">
            <v>https://dl.smwcentral.net/9725/Mario%20-%20Apocalypse%20Dawn%20Demo%201.zip</v>
          </cell>
        </row>
        <row r="1138">
          <cell r="A1138" t="str">
            <v>Mario: Collapsing Worlds</v>
          </cell>
          <cell r="B1138" t="str">
            <v>Mario: Collapsing Worlds</v>
          </cell>
          <cell r="C1138" t="str">
            <v>Blue_Raven</v>
          </cell>
          <cell r="D1138">
            <v>4</v>
          </cell>
          <cell r="E1138" t="str">
            <v>Casual</v>
          </cell>
          <cell r="F1138" t="str">
            <v>Standard</v>
          </cell>
          <cell r="G1138">
            <v>42314</v>
          </cell>
          <cell r="H1138" t="str">
            <v>10145</v>
          </cell>
          <cell r="I1138" t="str">
            <v>https://www.smwcentral.net/?a=details&amp;id=10145&amp;p=section</v>
          </cell>
          <cell r="J1138" t="str">
            <v>https://dl.smwcentral.net/10145/MCW.zip</v>
          </cell>
        </row>
        <row r="1139">
          <cell r="A1139" t="str">
            <v>Mario: Dawn to Darkness</v>
          </cell>
          <cell r="B1139" t="str">
            <v>Mario: Dawn to Darkness</v>
          </cell>
          <cell r="C1139" t="str">
            <v>Yanama</v>
          </cell>
          <cell r="D1139">
            <v>23</v>
          </cell>
          <cell r="E1139" t="str">
            <v>Newcomer</v>
          </cell>
          <cell r="F1139" t="str">
            <v>Standard</v>
          </cell>
          <cell r="G1139">
            <v>42512</v>
          </cell>
          <cell r="H1139" t="str">
            <v>13707</v>
          </cell>
          <cell r="I1139" t="str">
            <v>https://www.smwcentral.net/?a=details&amp;id=13707&amp;p=section</v>
          </cell>
          <cell r="J1139" t="str">
            <v>https://dl.smwcentral.net/13707/MarioDawnToDarkness_fixed.zip</v>
          </cell>
        </row>
        <row r="1140">
          <cell r="A1140" t="str">
            <v>Mario: Other M</v>
          </cell>
          <cell r="B1140" t="str">
            <v>Mario: Other M</v>
          </cell>
          <cell r="C1140" t="str">
            <v>majora211</v>
          </cell>
          <cell r="D1140">
            <v>8</v>
          </cell>
          <cell r="E1140" t="str">
            <v>Casual</v>
          </cell>
          <cell r="F1140" t="str">
            <v>Standard</v>
          </cell>
          <cell r="G1140">
            <v>42311</v>
          </cell>
          <cell r="H1140" t="str">
            <v>10131</v>
          </cell>
          <cell r="I1140" t="str">
            <v>https://www.smwcentral.net/?a=details&amp;id=10131&amp;p=section</v>
          </cell>
          <cell r="J1140" t="str">
            <v>https://dl.smwcentral.net/10131/Mario%20Other%20M.zip</v>
          </cell>
        </row>
        <row r="1141">
          <cell r="A1141" t="str">
            <v>Mario: The Curse of King Boo</v>
          </cell>
          <cell r="B1141" t="str">
            <v>Mario: The Curse of King Boo</v>
          </cell>
          <cell r="C1141" t="str">
            <v>Parahax</v>
          </cell>
          <cell r="D1141">
            <v>35</v>
          </cell>
          <cell r="E1141" t="str">
            <v>Intermediate</v>
          </cell>
          <cell r="F1141" t="str">
            <v>Kaizo</v>
          </cell>
          <cell r="G1141">
            <v>43785</v>
          </cell>
          <cell r="H1141" t="str">
            <v>21156</v>
          </cell>
          <cell r="I1141" t="str">
            <v>https://www.smwcentral.net/?a=details&amp;id=21156&amp;p=section</v>
          </cell>
          <cell r="J1141" t="str">
            <v>https://dl.smwcentral.net/21156/Curse%20of%20King%20Boo.zip</v>
          </cell>
        </row>
        <row r="1142">
          <cell r="A1142" t="str">
            <v>Marios Adventure in the Dream World</v>
          </cell>
          <cell r="B1142" t="str">
            <v>Marios Adventure in the Dream World</v>
          </cell>
          <cell r="C1142" t="str">
            <v>HookEcho</v>
          </cell>
          <cell r="D1142">
            <v>21</v>
          </cell>
          <cell r="E1142" t="str">
            <v>Casual</v>
          </cell>
          <cell r="F1142" t="str">
            <v>Standard</v>
          </cell>
          <cell r="G1142">
            <v>43157</v>
          </cell>
          <cell r="H1142" t="str">
            <v>17178</v>
          </cell>
          <cell r="I1142" t="str">
            <v>https://www.smwcentral.net/?a=details&amp;id=17178&amp;p=section</v>
          </cell>
          <cell r="J1142" t="str">
            <v>https://dl.smwcentral.net/17178/MarioAdventureInTheDreamWorld.zip</v>
          </cell>
        </row>
        <row r="1143">
          <cell r="A1143" t="str">
            <v>Marios Christmas Adventure</v>
          </cell>
          <cell r="B1143" t="str">
            <v>Marios Christmas Adventure</v>
          </cell>
          <cell r="C1143" t="str">
            <v>Saphros</v>
          </cell>
          <cell r="D1143">
            <v>5</v>
          </cell>
          <cell r="E1143" t="str">
            <v>Intermediate</v>
          </cell>
          <cell r="F1143" t="str">
            <v>Kaizo</v>
          </cell>
          <cell r="G1143">
            <v>45654</v>
          </cell>
          <cell r="H1143" t="str">
            <v>38969</v>
          </cell>
          <cell r="I1143" t="str">
            <v>https://www.smwcentral.net/?a=details&amp;id=38969&amp;p=section</v>
          </cell>
          <cell r="J1143" t="str">
            <v>https://dl.smwcentral.net/38969/Marios_Christmas_Adventure.zip</v>
          </cell>
        </row>
        <row r="1144">
          <cell r="A1144" t="str">
            <v>Marios Christmas Adventure 2</v>
          </cell>
          <cell r="B1144" t="str">
            <v>Marios Christmas Adventure 2</v>
          </cell>
          <cell r="C1144" t="str">
            <v>Saphros</v>
          </cell>
          <cell r="D1144">
            <v>5</v>
          </cell>
          <cell r="E1144" t="str">
            <v>Intermediate</v>
          </cell>
          <cell r="F1144" t="str">
            <v>Kaizo</v>
          </cell>
          <cell r="G1144">
            <v>45990</v>
          </cell>
          <cell r="H1144" t="str">
            <v>41143</v>
          </cell>
          <cell r="I1144" t="str">
            <v>https://www.smwcentral.net/?a=details&amp;id=41143&amp;p=section</v>
          </cell>
          <cell r="J1144" t="str">
            <v>https://dl.smwcentral.net/41143/Marios_Christmas_Adventure_2.zip</v>
          </cell>
        </row>
        <row r="1145">
          <cell r="A1145" t="str">
            <v>Marios Pizza Party</v>
          </cell>
          <cell r="B1145" t="str">
            <v>Marios Pizza Party</v>
          </cell>
          <cell r="C1145" t="str">
            <v>Saphros</v>
          </cell>
          <cell r="D1145">
            <v>10</v>
          </cell>
          <cell r="E1145" t="str">
            <v>Intermediate</v>
          </cell>
          <cell r="F1145" t="str">
            <v>Kaizo</v>
          </cell>
          <cell r="G1145">
            <v>45455</v>
          </cell>
          <cell r="H1145" t="str">
            <v>37928</v>
          </cell>
          <cell r="I1145" t="str">
            <v>https://www.smwcentral.net/?a=details&amp;id=37928&amp;p=section</v>
          </cell>
          <cell r="J1145" t="str">
            <v>https://dl.smwcentral.net/37928/MariosPizzaParty.zip</v>
          </cell>
        </row>
        <row r="1146">
          <cell r="A1146" t="str">
            <v>Marios Pizza Party 2</v>
          </cell>
          <cell r="B1146" t="str">
            <v>Marios Pizza Party 2</v>
          </cell>
          <cell r="C1146" t="str">
            <v>Saphros</v>
          </cell>
          <cell r="D1146">
            <v>16</v>
          </cell>
          <cell r="E1146" t="str">
            <v>Intermediate</v>
          </cell>
          <cell r="F1146" t="str">
            <v>Kaizo</v>
          </cell>
          <cell r="G1146">
            <v>45569</v>
          </cell>
          <cell r="H1146" t="str">
            <v>38576</v>
          </cell>
          <cell r="I1146" t="str">
            <v>https://www.smwcentral.net/?a=details&amp;id=38576&amp;p=section</v>
          </cell>
          <cell r="J1146" t="str">
            <v>https://dl.smwcentral.net/38576/Marios_Pizza_Party_2.zip</v>
          </cell>
        </row>
        <row r="1147">
          <cell r="A1147" t="str">
            <v>Marios Pizza Party 3</v>
          </cell>
          <cell r="B1147" t="str">
            <v>Marios Pizza Party 3</v>
          </cell>
          <cell r="C1147" t="str">
            <v>Saphros</v>
          </cell>
          <cell r="D1147">
            <v>13</v>
          </cell>
          <cell r="E1147" t="str">
            <v>Intermediate</v>
          </cell>
          <cell r="F1147" t="str">
            <v>Kaizo</v>
          </cell>
          <cell r="G1147">
            <v>45869</v>
          </cell>
          <cell r="H1147" t="str">
            <v>40193</v>
          </cell>
          <cell r="I1147" t="str">
            <v>https://www.smwcentral.net/?a=details&amp;id=40193&amp;p=section</v>
          </cell>
          <cell r="J1147" t="str">
            <v>https://dl.smwcentral.net/40193/Marios%20Pizza%20Party%203%20-%201.1.zip</v>
          </cell>
        </row>
        <row r="1148">
          <cell r="A1148" t="str">
            <v>Marios story</v>
          </cell>
          <cell r="B1148" t="str">
            <v>Marios story</v>
          </cell>
          <cell r="C1148" t="str">
            <v>PaperMario94</v>
          </cell>
          <cell r="D1148">
            <v>22</v>
          </cell>
          <cell r="E1148" t="str">
            <v>Casual</v>
          </cell>
          <cell r="F1148" t="str">
            <v>Standard</v>
          </cell>
          <cell r="G1148">
            <v>42294</v>
          </cell>
          <cell r="H1148" t="str">
            <v>9928</v>
          </cell>
          <cell r="I1148" t="str">
            <v>https://www.smwcentral.net/?a=details&amp;id=9928&amp;p=section</v>
          </cell>
          <cell r="J1148" t="str">
            <v>https://dl.smwcentral.net/9928/Mario%C2%B4s%20Story.zip</v>
          </cell>
        </row>
        <row r="1149">
          <cell r="A1149" t="str">
            <v>MarioX World SER</v>
          </cell>
          <cell r="B1149" t="str">
            <v>MarioX World SER</v>
          </cell>
          <cell r="C1149" t="str">
            <v>Anikiti</v>
          </cell>
          <cell r="D1149">
            <v>80</v>
          </cell>
          <cell r="E1149" t="str">
            <v>Advanced</v>
          </cell>
          <cell r="F1149" t="str">
            <v>Standard</v>
          </cell>
          <cell r="G1149">
            <v>42336</v>
          </cell>
          <cell r="H1149" t="str">
            <v>10183</v>
          </cell>
          <cell r="I1149" t="str">
            <v>https://www.smwcentral.net/?a=details&amp;id=10183&amp;p=section</v>
          </cell>
          <cell r="J1149" t="str">
            <v>https://dl.smwcentral.net/10183/mxw2ndr.zip</v>
          </cell>
        </row>
        <row r="1150">
          <cell r="A1150" t="str">
            <v>Marisa And Reimu VS C3</v>
          </cell>
          <cell r="B1150" t="str">
            <v>Marisa And Reimu VS C3</v>
          </cell>
          <cell r="C1150" t="str">
            <v>RussianMan</v>
          </cell>
          <cell r="D1150">
            <v>6</v>
          </cell>
          <cell r="E1150" t="str">
            <v>Advanced</v>
          </cell>
          <cell r="F1150" t="str">
            <v>Standard</v>
          </cell>
          <cell r="G1150">
            <v>44601</v>
          </cell>
          <cell r="H1150" t="str">
            <v>29522</v>
          </cell>
          <cell r="I1150" t="str">
            <v>https://www.smwcentral.net/?a=details&amp;id=29522&amp;p=section</v>
          </cell>
          <cell r="J1150" t="str">
            <v>https://dl.smwcentral.net/29522/Marisa%20And%20Reimu%20VS%20C3.zip</v>
          </cell>
        </row>
        <row r="1151">
          <cell r="A1151" t="str">
            <v>Marisa And Reimu's Hack</v>
          </cell>
          <cell r="B1151" t="str">
            <v>Marisa And Reimu's Hack</v>
          </cell>
          <cell r="C1151" t="str">
            <v>RussianMan</v>
          </cell>
          <cell r="D1151">
            <v>8</v>
          </cell>
          <cell r="E1151" t="str">
            <v>Advanced</v>
          </cell>
          <cell r="F1151" t="str">
            <v>Standard</v>
          </cell>
          <cell r="G1151">
            <v>44565</v>
          </cell>
          <cell r="H1151" t="str">
            <v>29146</v>
          </cell>
          <cell r="I1151" t="str">
            <v>https://www.smwcentral.net/?a=details&amp;id=29146&amp;p=section</v>
          </cell>
          <cell r="J1151" t="str">
            <v>https://dl.smwcentral.net/29146/Marisa%20And%20Reimu%27s%20Hack.zip</v>
          </cell>
        </row>
        <row r="1152">
          <cell r="A1152" t="str">
            <v>Marisa And Reimu's Hack 2</v>
          </cell>
          <cell r="B1152" t="str">
            <v>Marisa And Reimu's Hack 2</v>
          </cell>
          <cell r="C1152" t="str">
            <v>RussianMan</v>
          </cell>
          <cell r="D1152">
            <v>8</v>
          </cell>
          <cell r="E1152" t="str">
            <v>Expert</v>
          </cell>
          <cell r="F1152" t="str">
            <v>Kaizo</v>
          </cell>
          <cell r="G1152">
            <v>45811</v>
          </cell>
          <cell r="H1152" t="str">
            <v>39933</v>
          </cell>
          <cell r="I1152" t="str">
            <v>https://www.smwcentral.net/?a=details&amp;id=39933&amp;p=section</v>
          </cell>
          <cell r="J1152" t="str">
            <v>https://dl.smwcentral.net/39933/Marisa%20and%20Reimu%27s%20Hack%202.zip</v>
          </cell>
        </row>
        <row r="1153">
          <cell r="A1153" t="str">
            <v>Marisa And Reimu's Switch Hunt</v>
          </cell>
          <cell r="B1153" t="str">
            <v>Marisa And Reimu's Switch Hunt</v>
          </cell>
          <cell r="C1153" t="str">
            <v>RussianMan</v>
          </cell>
          <cell r="D1153">
            <v>5</v>
          </cell>
          <cell r="E1153" t="str">
            <v>Advanced</v>
          </cell>
          <cell r="F1153" t="str">
            <v>Standard</v>
          </cell>
          <cell r="G1153">
            <v>44390</v>
          </cell>
          <cell r="H1153" t="str">
            <v>27626</v>
          </cell>
          <cell r="I1153" t="str">
            <v>https://www.smwcentral.net/?a=details&amp;id=27626&amp;p=section</v>
          </cell>
          <cell r="J1153" t="str">
            <v>https://dl.smwcentral.net/27626/MarisaAndReimuC3_V.1.02.zip</v>
          </cell>
        </row>
        <row r="1154">
          <cell r="A1154" t="str">
            <v>Marisa's Dimensional Adventure Demo 2</v>
          </cell>
          <cell r="B1154" t="str">
            <v>Marisa's Dimensional Adventure Demo 2</v>
          </cell>
          <cell r="C1154" t="str">
            <v>tfpivman</v>
          </cell>
          <cell r="D1154">
            <v>35</v>
          </cell>
          <cell r="E1154" t="str">
            <v>Casual</v>
          </cell>
          <cell r="F1154" t="str">
            <v>Standard</v>
          </cell>
          <cell r="G1154">
            <v>44904</v>
          </cell>
          <cell r="H1154" t="str">
            <v>32694</v>
          </cell>
          <cell r="I1154" t="str">
            <v>https://www.smwcentral.net/?a=details&amp;id=32694&amp;p=section</v>
          </cell>
          <cell r="J1154" t="str">
            <v>https://dl.smwcentral.net/32694/Marisa%27s%20Dimensional%20Adventure%20Demo%202.zip</v>
          </cell>
        </row>
        <row r="1155">
          <cell r="A1155" t="str">
            <v>MaSeHiHa - Mario's Search For His Hat</v>
          </cell>
          <cell r="B1155" t="str">
            <v>MaSeHiHa - Mario's Search For His Hat</v>
          </cell>
          <cell r="C1155" t="str">
            <v>neidoodle</v>
          </cell>
          <cell r="D1155">
            <v>7</v>
          </cell>
          <cell r="E1155" t="str">
            <v>Casual</v>
          </cell>
          <cell r="F1155" t="str">
            <v>Standard</v>
          </cell>
          <cell r="G1155">
            <v>41644</v>
          </cell>
          <cell r="H1155" t="str">
            <v>6055</v>
          </cell>
          <cell r="I1155" t="str">
            <v>https://www.smwcentral.net/?a=details&amp;id=6055&amp;p=section</v>
          </cell>
          <cell r="J1155" t="str">
            <v>https://dl.smwcentral.net/6055/MaSeHiHa.zip</v>
          </cell>
        </row>
        <row r="1156">
          <cell r="A1156" t="str">
            <v>Master of Shell</v>
          </cell>
          <cell r="B1156" t="str">
            <v>Master of Shell</v>
          </cell>
          <cell r="C1156" t="str">
            <v>ageVerrly</v>
          </cell>
          <cell r="D1156">
            <v>16</v>
          </cell>
          <cell r="E1156" t="str">
            <v>Master</v>
          </cell>
          <cell r="F1156" t="str">
            <v>Kaizo</v>
          </cell>
          <cell r="G1156">
            <v>44586</v>
          </cell>
          <cell r="H1156" t="str">
            <v>29054</v>
          </cell>
          <cell r="I1156" t="str">
            <v>https://www.smwcentral.net/?a=details&amp;id=29054&amp;p=section</v>
          </cell>
          <cell r="J1156" t="str">
            <v>https://dl.smwcentral.net/29054/MasterOfShellSMWC.zip</v>
          </cell>
        </row>
        <row r="1157">
          <cell r="A1157" t="str">
            <v>Masterpiece</v>
          </cell>
          <cell r="B1157" t="str">
            <v>Masterpiece</v>
          </cell>
          <cell r="C1157" t="str">
            <v>YMM</v>
          </cell>
          <cell r="D1157">
            <v>62</v>
          </cell>
          <cell r="E1157" t="str">
            <v>Master</v>
          </cell>
          <cell r="F1157" t="str">
            <v>Kaizo</v>
          </cell>
          <cell r="G1157">
            <v>45951</v>
          </cell>
          <cell r="H1157" t="str">
            <v>40715</v>
          </cell>
          <cell r="I1157" t="str">
            <v>https://www.smwcentral.net/?a=details&amp;id=40715&amp;p=section</v>
          </cell>
          <cell r="J1157" t="str">
            <v>https://dl.smwcentral.net/40715/Masterpiece%20v1.2.8.zip</v>
          </cell>
        </row>
        <row r="1158">
          <cell r="A1158" t="str">
            <v>Mastery Shells</v>
          </cell>
          <cell r="B1158" t="str">
            <v>Mastery Shells</v>
          </cell>
          <cell r="C1158" t="str">
            <v>Jaozin712</v>
          </cell>
          <cell r="D1158">
            <v>15</v>
          </cell>
          <cell r="E1158" t="str">
            <v>Expert</v>
          </cell>
          <cell r="F1158" t="str">
            <v>Kaizo</v>
          </cell>
          <cell r="G1158">
            <v>45673</v>
          </cell>
          <cell r="H1158" t="str">
            <v>39059</v>
          </cell>
          <cell r="I1158" t="str">
            <v>https://www.smwcentral.net/?a=details&amp;id=39059&amp;p=section</v>
          </cell>
          <cell r="J1158" t="str">
            <v>https://dl.smwcentral.net/39059/Mastery%20Shells.zip</v>
          </cell>
        </row>
        <row r="1159">
          <cell r="A1159" t="str">
            <v>Mastery Shells 2</v>
          </cell>
          <cell r="B1159" t="str">
            <v>Mastery Shells 2</v>
          </cell>
          <cell r="C1159" t="str">
            <v>Jaozin712</v>
          </cell>
          <cell r="D1159">
            <v>15</v>
          </cell>
          <cell r="E1159" t="str">
            <v>Master</v>
          </cell>
          <cell r="F1159" t="str">
            <v>Kaizo</v>
          </cell>
          <cell r="G1159">
            <v>45968</v>
          </cell>
          <cell r="H1159" t="str">
            <v>40966</v>
          </cell>
          <cell r="I1159" t="str">
            <v>https://www.smwcentral.net/?a=details&amp;id=40966&amp;p=section</v>
          </cell>
          <cell r="J1159" t="str">
            <v>https://dl.smwcentral.net/40966/Mastery%20Shells%202.zip</v>
          </cell>
        </row>
        <row r="1160">
          <cell r="A1160" t="str">
            <v>Maxodex's World: The Ancestor's Treasure</v>
          </cell>
          <cell r="B1160" t="str">
            <v>Maxodex's World: The Ancestor's Treasure</v>
          </cell>
          <cell r="C1160" t="str">
            <v>Maxodex</v>
          </cell>
          <cell r="D1160">
            <v>46</v>
          </cell>
          <cell r="E1160" t="str">
            <v>Casual</v>
          </cell>
          <cell r="F1160" t="str">
            <v>Standard</v>
          </cell>
          <cell r="G1160">
            <v>41590</v>
          </cell>
          <cell r="H1160" t="str">
            <v>5534</v>
          </cell>
          <cell r="I1160" t="str">
            <v>https://www.smwcentral.net/?a=details&amp;id=5534&amp;p=section</v>
          </cell>
          <cell r="J1160" t="str">
            <v>https://dl.smwcentral.net/5534/Maxworld%20-%20TAT.zip</v>
          </cell>
        </row>
        <row r="1161">
          <cell r="A1161" t="str">
            <v>Mecha-Bowser's Revenge</v>
          </cell>
          <cell r="B1161" t="str">
            <v>Mecha-Bowser's Revenge</v>
          </cell>
          <cell r="C1161" t="str">
            <v>Gamma V</v>
          </cell>
          <cell r="D1161">
            <v>16</v>
          </cell>
          <cell r="E1161" t="str">
            <v>Casual</v>
          </cell>
          <cell r="F1161" t="str">
            <v>Standard</v>
          </cell>
          <cell r="G1161">
            <v>42209</v>
          </cell>
          <cell r="H1161" t="str">
            <v>10237</v>
          </cell>
          <cell r="I1161" t="str">
            <v>https://www.smwcentral.net/?a=details&amp;id=10237&amp;p=section</v>
          </cell>
          <cell r="J1161" t="str">
            <v>https://dl.smwcentral.net/10237/Mecha-Bowser%27s%20Revenge%20Demo.zip</v>
          </cell>
        </row>
        <row r="1162">
          <cell r="A1162" t="str">
            <v>Med's World - A Stick's Birthday</v>
          </cell>
          <cell r="B1162" t="str">
            <v>Med's World - A Stick's Birthday</v>
          </cell>
          <cell r="C1162" t="str">
            <v>GlitchyR-01</v>
          </cell>
          <cell r="D1162">
            <v>6</v>
          </cell>
          <cell r="E1162" t="str">
            <v>Intermediate</v>
          </cell>
          <cell r="F1162" t="str">
            <v>Standard</v>
          </cell>
          <cell r="G1162">
            <v>45377</v>
          </cell>
          <cell r="H1162" t="str">
            <v>37517</v>
          </cell>
          <cell r="I1162" t="str">
            <v>https://www.smwcentral.net/?a=details&amp;id=37517&amp;p=section</v>
          </cell>
          <cell r="J1162" t="str">
            <v>https://dl.smwcentral.net/37517/Med%27s%20World%20A%20Stick%27s%20Birthday.zip</v>
          </cell>
        </row>
        <row r="1163">
          <cell r="A1163" t="str">
            <v>Meet The Balkans (Demo)</v>
          </cell>
          <cell r="B1163" t="str">
            <v>Meet The Balkans (Demo)</v>
          </cell>
          <cell r="C1163" t="str">
            <v>karls_Corinthia</v>
          </cell>
          <cell r="D1163">
            <v>11</v>
          </cell>
          <cell r="E1163" t="str">
            <v>Intermediate</v>
          </cell>
          <cell r="F1163" t="str">
            <v>Standard</v>
          </cell>
          <cell r="G1163">
            <v>45022</v>
          </cell>
          <cell r="H1163" t="str">
            <v>33618</v>
          </cell>
          <cell r="I1163" t="str">
            <v>https://www.smwcentral.net/?a=details&amp;id=33618&amp;p=section</v>
          </cell>
          <cell r="J1163" t="str">
            <v>https://dl.smwcentral.net/33618/Meet%20the%20Balkans.zip</v>
          </cell>
        </row>
        <row r="1164">
          <cell r="A1164" t="str">
            <v>Mega Man's Trip to an Unknown World</v>
          </cell>
          <cell r="B1164" t="str">
            <v>Mega Man's Trip to an Unknown World</v>
          </cell>
          <cell r="C1164" t="str">
            <v>Hackerboy1</v>
          </cell>
          <cell r="D1164">
            <v>6</v>
          </cell>
          <cell r="E1164" t="str">
            <v>Newcomer</v>
          </cell>
          <cell r="F1164" t="str">
            <v>Standard</v>
          </cell>
          <cell r="G1164">
            <v>42252</v>
          </cell>
          <cell r="H1164" t="str">
            <v>9967</v>
          </cell>
          <cell r="I1164" t="str">
            <v>https://www.smwcentral.net/?a=details&amp;id=9967&amp;p=section</v>
          </cell>
          <cell r="J1164" t="str">
            <v>https://dl.smwcentral.net/9967/Mega%20Man%27s%20Trip%20to%20An%20Unknown%20World.zip</v>
          </cell>
        </row>
        <row r="1165">
          <cell r="A1165" t="str">
            <v>Mega Mario Bros. 2</v>
          </cell>
          <cell r="B1165" t="str">
            <v>Mega Mario Bros. 2</v>
          </cell>
          <cell r="C1165" t="str">
            <v>BlackBoo24</v>
          </cell>
          <cell r="D1165">
            <v>15</v>
          </cell>
          <cell r="E1165" t="str">
            <v>Casual</v>
          </cell>
          <cell r="F1165" t="str">
            <v>Standard</v>
          </cell>
          <cell r="G1165">
            <v>42213</v>
          </cell>
          <cell r="H1165" t="str">
            <v>9669</v>
          </cell>
          <cell r="I1165" t="str">
            <v>https://www.smwcentral.net/?a=details&amp;id=9669&amp;p=section</v>
          </cell>
          <cell r="J1165" t="str">
            <v>https://dl.smwcentral.net/9669/MMB2.zip</v>
          </cell>
        </row>
        <row r="1166">
          <cell r="A1166" t="str">
            <v>Mega Mario World 2: Awakened Power</v>
          </cell>
          <cell r="B1166" t="str">
            <v>Mega Mario World 2: Awakened Power</v>
          </cell>
          <cell r="C1166" t="str">
            <v>yoshi3706</v>
          </cell>
          <cell r="D1166">
            <v>77</v>
          </cell>
          <cell r="E1166" t="str">
            <v>Intermediate</v>
          </cell>
          <cell r="F1166" t="str">
            <v>Standard</v>
          </cell>
          <cell r="G1166">
            <v>45438</v>
          </cell>
          <cell r="H1166" t="str">
            <v>37601</v>
          </cell>
          <cell r="I1166" t="str">
            <v>https://www.smwcentral.net/?a=details&amp;id=37601&amp;p=section</v>
          </cell>
          <cell r="J1166" t="str">
            <v>https://dl.smwcentral.net/37601/Mega%20Mario%20World%202%20-%20Awakened%20Power%201.4%20%28eng%2Besp%29.zip</v>
          </cell>
        </row>
        <row r="1167">
          <cell r="A1167" t="str">
            <v>Mega Mario World: Another Universe</v>
          </cell>
          <cell r="B1167" t="str">
            <v>Mega Mario World: Another Universe</v>
          </cell>
          <cell r="C1167" t="str">
            <v>yoshi3706</v>
          </cell>
          <cell r="D1167">
            <v>59</v>
          </cell>
          <cell r="E1167" t="str">
            <v>Casual</v>
          </cell>
          <cell r="F1167" t="str">
            <v>Standard</v>
          </cell>
          <cell r="G1167">
            <v>43281</v>
          </cell>
          <cell r="H1167" t="str">
            <v>17688</v>
          </cell>
          <cell r="I1167" t="str">
            <v>https://www.smwcentral.net/?a=details&amp;id=17688&amp;p=section</v>
          </cell>
          <cell r="J1167" t="str">
            <v>https://dl.smwcentral.net/17688/Mega%20Mario%20World%20Another%20Universe%20v1.2.zip</v>
          </cell>
        </row>
        <row r="1168">
          <cell r="A1168" t="str">
            <v>Mega Rex Adventure [SMWC #9773]</v>
          </cell>
          <cell r="B1168" t="str">
            <v>Mega Rex Adventure</v>
          </cell>
          <cell r="C1168" t="str">
            <v>omegaLakitu</v>
          </cell>
          <cell r="D1168">
            <v>8</v>
          </cell>
          <cell r="E1168" t="str">
            <v>Newcomer</v>
          </cell>
          <cell r="F1168" t="str">
            <v>Standard</v>
          </cell>
          <cell r="G1168">
            <v>42221</v>
          </cell>
          <cell r="H1168" t="str">
            <v>9773</v>
          </cell>
          <cell r="I1168" t="str">
            <v>https://www.smwcentral.net/?a=details&amp;id=9773&amp;p=section</v>
          </cell>
          <cell r="J1168" t="str">
            <v>https://dl.smwcentral.net/9773/mega%20rex%20adventure.zip</v>
          </cell>
        </row>
        <row r="1169">
          <cell r="A1169" t="str">
            <v>Mega Rex Adventure [SMWC #9869]</v>
          </cell>
          <cell r="B1169" t="str">
            <v>Mega Rex Adventure</v>
          </cell>
          <cell r="C1169" t="str">
            <v>superwiidude</v>
          </cell>
          <cell r="D1169">
            <v>27</v>
          </cell>
          <cell r="E1169" t="str">
            <v>Casual</v>
          </cell>
          <cell r="F1169" t="str">
            <v>Standard</v>
          </cell>
          <cell r="G1169">
            <v>42237</v>
          </cell>
          <cell r="H1169" t="str">
            <v>9869</v>
          </cell>
          <cell r="I1169" t="str">
            <v>https://www.smwcentral.net/?a=details&amp;id=9869&amp;p=section</v>
          </cell>
          <cell r="J1169" t="str">
            <v>https://dl.smwcentral.net/9869/rex.zip</v>
          </cell>
        </row>
        <row r="1170">
          <cell r="A1170" t="str">
            <v>Mega Rex Island</v>
          </cell>
          <cell r="B1170" t="str">
            <v>Mega Rex Island</v>
          </cell>
          <cell r="C1170" t="str">
            <v>superwiidude</v>
          </cell>
          <cell r="D1170">
            <v>6</v>
          </cell>
          <cell r="E1170" t="str">
            <v>Newcomer</v>
          </cell>
          <cell r="F1170" t="str">
            <v>Standard</v>
          </cell>
          <cell r="G1170">
            <v>42587</v>
          </cell>
          <cell r="H1170" t="str">
            <v>14144</v>
          </cell>
          <cell r="I1170" t="str">
            <v>https://www.smwcentral.net/?a=details&amp;id=14144&amp;p=section</v>
          </cell>
          <cell r="J1170" t="str">
            <v>https://dl.smwcentral.net/14144/mega%20rex%20island.zip</v>
          </cell>
        </row>
        <row r="1171">
          <cell r="A1171" t="str">
            <v>Megaman Reborn</v>
          </cell>
          <cell r="B1171" t="str">
            <v>Megaman Reborn</v>
          </cell>
          <cell r="C1171" t="str">
            <v>YamiMario</v>
          </cell>
          <cell r="D1171">
            <v>1</v>
          </cell>
          <cell r="E1171" t="str">
            <v>Intermediate</v>
          </cell>
          <cell r="F1171" t="str">
            <v>Standard</v>
          </cell>
          <cell r="G1171">
            <v>42005</v>
          </cell>
          <cell r="H1171" t="str">
            <v>9931</v>
          </cell>
          <cell r="I1171" t="str">
            <v>https://www.smwcentral.net/?a=details&amp;id=9931&amp;p=section</v>
          </cell>
          <cell r="J1171" t="str">
            <v>https://dl.smwcentral.net/9931/MMRDemo.zip</v>
          </cell>
        </row>
        <row r="1172">
          <cell r="A1172" t="str">
            <v>MEME 😂👌💯</v>
          </cell>
          <cell r="B1172" t="str">
            <v>MEME 😂👌💯</v>
          </cell>
          <cell r="C1172" t="str">
            <v>The_Uber_Camper</v>
          </cell>
          <cell r="D1172">
            <v>17</v>
          </cell>
          <cell r="E1172" t="str">
            <v>Advanced</v>
          </cell>
          <cell r="F1172" t="str">
            <v>Kaizo</v>
          </cell>
          <cell r="G1172">
            <v>45182</v>
          </cell>
          <cell r="H1172" t="str">
            <v>34925</v>
          </cell>
          <cell r="I1172" t="str">
            <v>https://www.smwcentral.net/?a=details&amp;id=34925&amp;p=section</v>
          </cell>
          <cell r="J1172" t="str">
            <v>https://dl.smwcentral.net/34925/MEME1.1.zip</v>
          </cell>
        </row>
        <row r="1173">
          <cell r="A1173" t="str">
            <v>Memento Mori</v>
          </cell>
          <cell r="B1173" t="str">
            <v>Memento Mori</v>
          </cell>
          <cell r="C1173" t="str">
            <v>Saela</v>
          </cell>
          <cell r="D1173">
            <v>19</v>
          </cell>
          <cell r="E1173" t="str">
            <v>Expert</v>
          </cell>
          <cell r="F1173" t="str">
            <v>Kaizo</v>
          </cell>
          <cell r="G1173">
            <v>45399</v>
          </cell>
          <cell r="H1173" t="str">
            <v>37658</v>
          </cell>
          <cell r="I1173" t="str">
            <v>https://www.smwcentral.net/?a=details&amp;id=37658&amp;p=section</v>
          </cell>
          <cell r="J1173" t="str">
            <v>https://dl.smwcentral.net/37658/Memento%20Mori.zip</v>
          </cell>
        </row>
        <row r="1174">
          <cell r="A1174" t="str">
            <v>Memorabilia</v>
          </cell>
          <cell r="B1174" t="str">
            <v>Memorabilia</v>
          </cell>
          <cell r="C1174" t="str">
            <v>LightAligns, Saela</v>
          </cell>
          <cell r="D1174">
            <v>10</v>
          </cell>
          <cell r="E1174" t="str">
            <v>Master</v>
          </cell>
          <cell r="F1174" t="str">
            <v>Kaizo</v>
          </cell>
          <cell r="G1174">
            <v>45022</v>
          </cell>
          <cell r="H1174" t="str">
            <v>33449</v>
          </cell>
          <cell r="I1174" t="str">
            <v>https://www.smwcentral.net/?a=details&amp;id=33449&amp;p=section</v>
          </cell>
          <cell r="J1174" t="str">
            <v>https://dl.smwcentral.net/33449/Memorabilia.zip</v>
          </cell>
        </row>
        <row r="1175">
          <cell r="A1175" t="str">
            <v>Memory Lane</v>
          </cell>
          <cell r="B1175" t="str">
            <v>Memory Lane</v>
          </cell>
          <cell r="C1175" t="str">
            <v>Fryinb</v>
          </cell>
          <cell r="D1175">
            <v>7</v>
          </cell>
          <cell r="E1175" t="str">
            <v>Advanced</v>
          </cell>
          <cell r="F1175" t="str">
            <v>Kaizo</v>
          </cell>
          <cell r="G1175">
            <v>44502</v>
          </cell>
          <cell r="H1175" t="str">
            <v>28692</v>
          </cell>
          <cell r="I1175" t="str">
            <v>https://www.smwcentral.net/?a=details&amp;id=28692&amp;p=section</v>
          </cell>
          <cell r="J1175" t="str">
            <v>https://dl.smwcentral.net/28692/MemoryLane1.1.zip</v>
          </cell>
        </row>
        <row r="1176">
          <cell r="A1176" t="str">
            <v>Mercenaries</v>
          </cell>
          <cell r="B1176" t="str">
            <v>Mercenaries</v>
          </cell>
          <cell r="C1176" t="str">
            <v>DTG</v>
          </cell>
          <cell r="D1176">
            <v>0</v>
          </cell>
          <cell r="E1176" t="str">
            <v>Casual</v>
          </cell>
          <cell r="F1176" t="str">
            <v>Standard</v>
          </cell>
          <cell r="G1176">
            <v>42113</v>
          </cell>
          <cell r="H1176" t="str">
            <v>9646</v>
          </cell>
          <cell r="I1176" t="str">
            <v>https://www.smwcentral.net/?a=details&amp;id=9646&amp;p=section</v>
          </cell>
          <cell r="J1176" t="str">
            <v>https://dl.smwcentral.net/9646/Mercenaries%20Version%201.1.zip</v>
          </cell>
        </row>
        <row r="1177">
          <cell r="A1177" t="str">
            <v>MFC</v>
          </cell>
          <cell r="B1177" t="str">
            <v>MFC</v>
          </cell>
          <cell r="C1177" t="str">
            <v>Firstnamebutt, Jordan</v>
          </cell>
          <cell r="D1177">
            <v>25</v>
          </cell>
          <cell r="E1177" t="str">
            <v>Advanced</v>
          </cell>
          <cell r="F1177" t="str">
            <v>Kaizo</v>
          </cell>
          <cell r="G1177">
            <v>45350</v>
          </cell>
          <cell r="H1177" t="str">
            <v>37167</v>
          </cell>
          <cell r="I1177" t="str">
            <v>https://www.smwcentral.net/?a=details&amp;id=37167&amp;p=section</v>
          </cell>
          <cell r="J1177" t="str">
            <v>https://dl.smwcentral.net/37167/MFC.zip</v>
          </cell>
        </row>
        <row r="1178">
          <cell r="A1178" t="str">
            <v>Midair Mastery</v>
          </cell>
          <cell r="B1178" t="str">
            <v>Midair Mastery</v>
          </cell>
          <cell r="C1178" t="str">
            <v>tjb0607</v>
          </cell>
          <cell r="D1178">
            <v>7</v>
          </cell>
          <cell r="E1178" t="str">
            <v>Grandmaster</v>
          </cell>
          <cell r="F1178" t="str">
            <v>Kaizo</v>
          </cell>
          <cell r="G1178">
            <v>44148</v>
          </cell>
          <cell r="H1178" t="str">
            <v>24680</v>
          </cell>
          <cell r="I1178" t="str">
            <v>https://www.smwcentral.net/?a=details&amp;id=24680&amp;p=section</v>
          </cell>
          <cell r="J1178" t="str">
            <v>https://dl.smwcentral.net/24680/Midair%20Mastery%201.1.zip</v>
          </cell>
        </row>
        <row r="1179">
          <cell r="A1179" t="str">
            <v>Midday</v>
          </cell>
          <cell r="B1179" t="str">
            <v>Midday</v>
          </cell>
          <cell r="C1179" t="str">
            <v>Edidoo</v>
          </cell>
          <cell r="D1179">
            <v>26</v>
          </cell>
          <cell r="E1179" t="str">
            <v>Expert</v>
          </cell>
          <cell r="F1179" t="str">
            <v>Kaizo</v>
          </cell>
          <cell r="G1179">
            <v>45436</v>
          </cell>
          <cell r="H1179" t="str">
            <v>37802</v>
          </cell>
          <cell r="I1179" t="str">
            <v>https://www.smwcentral.net/?a=details&amp;id=37802&amp;p=section</v>
          </cell>
          <cell r="J1179" t="str">
            <v>https://dl.smwcentral.net/37802/Midday.zip</v>
          </cell>
        </row>
        <row r="1180">
          <cell r="A1180" t="str">
            <v>Midnight Lightning</v>
          </cell>
          <cell r="B1180" t="str">
            <v>Midnight Lightning</v>
          </cell>
          <cell r="C1180" t="str">
            <v>MassPunishment</v>
          </cell>
          <cell r="D1180">
            <v>12</v>
          </cell>
          <cell r="E1180" t="str">
            <v>Master</v>
          </cell>
          <cell r="F1180" t="str">
            <v>Kaizo</v>
          </cell>
          <cell r="G1180">
            <v>44373</v>
          </cell>
          <cell r="H1180" t="str">
            <v>27345</v>
          </cell>
          <cell r="I1180" t="str">
            <v>https://www.smwcentral.net/?a=details&amp;id=27345&amp;p=section</v>
          </cell>
          <cell r="J1180" t="str">
            <v>https://dl.smwcentral.net/27345/MidnightLightning1.1.zip</v>
          </cell>
        </row>
        <row r="1181">
          <cell r="A1181" t="str">
            <v>Miku's Spike Hell</v>
          </cell>
          <cell r="B1181" t="str">
            <v>Miku's Spike Hell</v>
          </cell>
          <cell r="C1181" t="str">
            <v>Boosius</v>
          </cell>
          <cell r="D1181">
            <v>0</v>
          </cell>
          <cell r="E1181" t="str">
            <v>Advanced</v>
          </cell>
          <cell r="F1181" t="str">
            <v>Kaizo</v>
          </cell>
          <cell r="G1181">
            <v>44370</v>
          </cell>
          <cell r="H1181" t="str">
            <v>27264</v>
          </cell>
          <cell r="I1181" t="str">
            <v>https://www.smwcentral.net/?a=details&amp;id=27264&amp;p=section</v>
          </cell>
          <cell r="J1181" t="str">
            <v>https://dl.smwcentral.net/27264/miku.zip</v>
          </cell>
        </row>
        <row r="1182">
          <cell r="A1182" t="str">
            <v>MINERVA</v>
          </cell>
          <cell r="B1182" t="str">
            <v>MINERVA</v>
          </cell>
          <cell r="C1182" t="str">
            <v>Sariel</v>
          </cell>
          <cell r="D1182">
            <v>12</v>
          </cell>
          <cell r="E1182" t="str">
            <v>Master</v>
          </cell>
          <cell r="F1182" t="str">
            <v>Kaizo, Puzzle</v>
          </cell>
          <cell r="G1182">
            <v>44145</v>
          </cell>
          <cell r="H1182" t="str">
            <v>25100</v>
          </cell>
          <cell r="I1182" t="str">
            <v>https://www.smwcentral.net/?a=details&amp;id=25100&amp;p=section</v>
          </cell>
          <cell r="J1182" t="str">
            <v>https://dl.smwcentral.net/25100/Minerva1.5.zip</v>
          </cell>
        </row>
        <row r="1183">
          <cell r="A1183" t="str">
            <v>Mini Challenge Medley (Wave 1)</v>
          </cell>
          <cell r="B1183" t="str">
            <v>Mini Challenge Medley (Wave 1)</v>
          </cell>
          <cell r="C1183" t="str">
            <v>Dispace</v>
          </cell>
          <cell r="D1183">
            <v>8</v>
          </cell>
          <cell r="E1183" t="str">
            <v>Casual</v>
          </cell>
          <cell r="F1183" t="str">
            <v>Standard</v>
          </cell>
          <cell r="G1183">
            <v>44873</v>
          </cell>
          <cell r="H1183" t="str">
            <v>32526</v>
          </cell>
          <cell r="I1183" t="str">
            <v>https://www.smwcentral.net/?a=details&amp;id=32526&amp;p=section</v>
          </cell>
          <cell r="J1183" t="str">
            <v>https://dl.smwcentral.net/32526/Mini%20Challenge%20Medley%20%28Demo%201.0%29.zip</v>
          </cell>
        </row>
        <row r="1184">
          <cell r="A1184" t="str">
            <v>Mini Kaizo</v>
          </cell>
          <cell r="B1184" t="str">
            <v>Mini Kaizo</v>
          </cell>
          <cell r="C1184" t="str">
            <v>KarDiux</v>
          </cell>
          <cell r="D1184">
            <v>4</v>
          </cell>
          <cell r="E1184" t="str">
            <v>Intermediate</v>
          </cell>
          <cell r="F1184" t="str">
            <v>Kaizo</v>
          </cell>
          <cell r="G1184">
            <v>44944</v>
          </cell>
          <cell r="H1184" t="str">
            <v>32943</v>
          </cell>
          <cell r="I1184" t="str">
            <v>https://www.smwcentral.net/?a=details&amp;id=32943&amp;p=section</v>
          </cell>
          <cell r="J1184" t="str">
            <v>https://dl.smwcentral.net/32943/Mini%20Kaizo.zip</v>
          </cell>
        </row>
        <row r="1185">
          <cell r="A1185" t="str">
            <v>minidumb</v>
          </cell>
          <cell r="B1185" t="str">
            <v>minidumb</v>
          </cell>
          <cell r="C1185" t="str">
            <v>OEO6</v>
          </cell>
          <cell r="D1185">
            <v>13</v>
          </cell>
          <cell r="E1185" t="str">
            <v>Advanced</v>
          </cell>
          <cell r="F1185" t="str">
            <v>Standard</v>
          </cell>
          <cell r="G1185">
            <v>44134</v>
          </cell>
          <cell r="H1185" t="str">
            <v>24954</v>
          </cell>
          <cell r="I1185" t="str">
            <v>https://www.smwcentral.net/?a=details&amp;id=24954&amp;p=section</v>
          </cell>
          <cell r="J1185" t="str">
            <v>https://dl.smwcentral.net/24954/minidumbson%20-%20new%20update.zip</v>
          </cell>
        </row>
        <row r="1186">
          <cell r="A1186" t="str">
            <v>Mint Chocolate</v>
          </cell>
          <cell r="B1186" t="str">
            <v>Mint Chocolate</v>
          </cell>
          <cell r="C1186" t="str">
            <v>dashlet</v>
          </cell>
          <cell r="D1186">
            <v>6</v>
          </cell>
          <cell r="E1186" t="str">
            <v>Advanced</v>
          </cell>
          <cell r="F1186" t="str">
            <v>Standard</v>
          </cell>
          <cell r="G1186">
            <v>45470</v>
          </cell>
          <cell r="H1186" t="str">
            <v>38002</v>
          </cell>
          <cell r="I1186" t="str">
            <v>https://www.smwcentral.net/?a=details&amp;id=38002&amp;p=section</v>
          </cell>
          <cell r="J1186" t="str">
            <v>https://dl.smwcentral.net/38002/Mint%20Chocolate.zip</v>
          </cell>
        </row>
        <row r="1187">
          <cell r="A1187" t="str">
            <v>MintGreenYoshi's Challenge</v>
          </cell>
          <cell r="B1187" t="str">
            <v>MintGreenYoshi's Challenge</v>
          </cell>
          <cell r="C1187" t="str">
            <v>7 up</v>
          </cell>
          <cell r="D1187">
            <v>1</v>
          </cell>
          <cell r="E1187" t="str">
            <v>Advanced</v>
          </cell>
          <cell r="F1187" t="str">
            <v>Tool-Assisted, Pit</v>
          </cell>
          <cell r="G1187">
            <v>42772</v>
          </cell>
          <cell r="H1187" t="str">
            <v>14969</v>
          </cell>
          <cell r="I1187" t="str">
            <v>https://www.smwcentral.net/?a=details&amp;id=14969&amp;p=section</v>
          </cell>
          <cell r="J1187" t="str">
            <v>https://dl.smwcentral.net/14969/MintGreenYoshi_s_Challenge.zip</v>
          </cell>
        </row>
        <row r="1188">
          <cell r="A1188" t="str">
            <v>Mirthful Mario-Escapade through Stellatus Shire</v>
          </cell>
          <cell r="B1188" t="str">
            <v>Mirthful Mario-Escapade through Stellatus Shire</v>
          </cell>
          <cell r="C1188" t="str">
            <v>Vamperumbra</v>
          </cell>
          <cell r="D1188">
            <v>13</v>
          </cell>
          <cell r="E1188" t="str">
            <v>Casual</v>
          </cell>
          <cell r="F1188" t="str">
            <v>Standard</v>
          </cell>
          <cell r="G1188">
            <v>42741</v>
          </cell>
          <cell r="H1188" t="str">
            <v>14845</v>
          </cell>
          <cell r="I1188" t="str">
            <v>https://www.smwcentral.net/?a=details&amp;id=14845&amp;p=section</v>
          </cell>
          <cell r="J1188" t="str">
            <v>https://dl.smwcentral.net/14845/MM.zip</v>
          </cell>
        </row>
        <row r="1189">
          <cell r="A1189" t="str">
            <v>Mischievous Mouser</v>
          </cell>
          <cell r="B1189" t="str">
            <v>Mischievous Mouser</v>
          </cell>
          <cell r="C1189" t="str">
            <v>MagmaMouse</v>
          </cell>
          <cell r="D1189">
            <v>18</v>
          </cell>
          <cell r="E1189" t="str">
            <v>Advanced</v>
          </cell>
          <cell r="F1189" t="str">
            <v>Kaizo</v>
          </cell>
          <cell r="G1189">
            <v>44183</v>
          </cell>
          <cell r="H1189" t="str">
            <v>25403</v>
          </cell>
          <cell r="I1189" t="str">
            <v>https://www.smwcentral.net/?a=details&amp;id=25403&amp;p=section</v>
          </cell>
          <cell r="J1189" t="str">
            <v>https://dl.smwcentral.net/25403/MischievousMouser_v1.5.zip</v>
          </cell>
        </row>
        <row r="1190">
          <cell r="A1190" t="str">
            <v>Mistakes Were Made</v>
          </cell>
          <cell r="B1190" t="str">
            <v>Mistakes Were Made</v>
          </cell>
          <cell r="C1190" t="str">
            <v>ThirdWall</v>
          </cell>
          <cell r="D1190">
            <v>10</v>
          </cell>
          <cell r="E1190" t="str">
            <v>Master</v>
          </cell>
          <cell r="F1190" t="str">
            <v>Kaizo</v>
          </cell>
          <cell r="G1190">
            <v>45370</v>
          </cell>
          <cell r="H1190" t="str">
            <v>36957</v>
          </cell>
          <cell r="I1190" t="str">
            <v>https://www.smwcentral.net/?a=details&amp;id=36957&amp;p=section</v>
          </cell>
          <cell r="J1190" t="str">
            <v>https://dl.smwcentral.net/36957/MistakesWereMade1.2.zip</v>
          </cell>
        </row>
        <row r="1191">
          <cell r="A1191" t="str">
            <v>Misty Out There</v>
          </cell>
          <cell r="B1191" t="str">
            <v>Misty Out There</v>
          </cell>
          <cell r="C1191" t="str">
            <v>Nint</v>
          </cell>
          <cell r="D1191">
            <v>15</v>
          </cell>
          <cell r="E1191" t="str">
            <v>Advanced</v>
          </cell>
          <cell r="F1191" t="str">
            <v>Kaizo</v>
          </cell>
          <cell r="G1191">
            <v>44054</v>
          </cell>
          <cell r="H1191" t="str">
            <v>24114</v>
          </cell>
          <cell r="I1191" t="str">
            <v>https://www.smwcentral.net/?a=details&amp;id=24114&amp;p=section</v>
          </cell>
          <cell r="J1191" t="str">
            <v>https://dl.smwcentral.net/24114/Misty%20Out%20There.zip</v>
          </cell>
        </row>
        <row r="1192">
          <cell r="A1192" t="str">
            <v>MK Ultra</v>
          </cell>
          <cell r="B1192" t="str">
            <v>MK Ultra</v>
          </cell>
          <cell r="C1192" t="str">
            <v>51690</v>
          </cell>
          <cell r="D1192">
            <v>3</v>
          </cell>
          <cell r="E1192" t="str">
            <v>Master</v>
          </cell>
          <cell r="F1192" t="str">
            <v>Kaizo</v>
          </cell>
          <cell r="G1192">
            <v>45118</v>
          </cell>
          <cell r="H1192" t="str">
            <v>34095</v>
          </cell>
          <cell r="I1192" t="str">
            <v>https://www.smwcentral.net/?a=details&amp;id=34095&amp;p=section</v>
          </cell>
          <cell r="J1192" t="str">
            <v>https://dl.smwcentral.net/34095/MK_Ultra.zip</v>
          </cell>
        </row>
        <row r="1193">
          <cell r="A1193" t="str">
            <v>mod cape: a precision cape level</v>
          </cell>
          <cell r="B1193" t="str">
            <v>mod cape: a precision cape level</v>
          </cell>
          <cell r="C1193" t="str">
            <v>tjb0607</v>
          </cell>
          <cell r="D1193">
            <v>1</v>
          </cell>
          <cell r="E1193" t="str">
            <v>Grandmaster</v>
          </cell>
          <cell r="F1193" t="str">
            <v>Kaizo</v>
          </cell>
          <cell r="G1193">
            <v>44467</v>
          </cell>
          <cell r="H1193" t="str">
            <v>27521</v>
          </cell>
          <cell r="I1193" t="str">
            <v>https://www.smwcentral.net/?a=details&amp;id=27521&amp;p=section</v>
          </cell>
          <cell r="J1193" t="str">
            <v>https://dl.smwcentral.net/27521/mod%20cape.zip</v>
          </cell>
        </row>
        <row r="1194">
          <cell r="A1194" t="str">
            <v>Momoku Mario World</v>
          </cell>
          <cell r="B1194" t="str">
            <v>Momoku Mario World</v>
          </cell>
          <cell r="C1194" t="str">
            <v>penguin64</v>
          </cell>
          <cell r="D1194">
            <v>5</v>
          </cell>
          <cell r="E1194" t="str">
            <v>Intermediate</v>
          </cell>
          <cell r="F1194" t="str">
            <v>Standard, Kaizo</v>
          </cell>
          <cell r="G1194">
            <v>43917</v>
          </cell>
          <cell r="H1194" t="str">
            <v>22491</v>
          </cell>
          <cell r="I1194" t="str">
            <v>https://www.smwcentral.net/?a=details&amp;id=22491&amp;p=section</v>
          </cell>
          <cell r="J1194" t="str">
            <v>https://dl.smwcentral.net/22491/Momoku%20Mario%20World.zip</v>
          </cell>
        </row>
        <row r="1195">
          <cell r="A1195" t="str">
            <v>Monty Mole Island</v>
          </cell>
          <cell r="B1195" t="str">
            <v>Monty Mole Island</v>
          </cell>
          <cell r="C1195" t="str">
            <v>Green Jerry</v>
          </cell>
          <cell r="D1195">
            <v>6</v>
          </cell>
          <cell r="E1195" t="str">
            <v>Casual</v>
          </cell>
          <cell r="F1195" t="str">
            <v>Standard</v>
          </cell>
          <cell r="G1195">
            <v>43432</v>
          </cell>
          <cell r="H1195" t="str">
            <v>18419</v>
          </cell>
          <cell r="I1195" t="str">
            <v>https://www.smwcentral.net/?a=details&amp;id=18419&amp;p=section</v>
          </cell>
          <cell r="J1195" t="str">
            <v>https://dl.smwcentral.net/18419/Monty%20Mole%20Island%20V1.2.zip</v>
          </cell>
        </row>
        <row r="1196">
          <cell r="A1196" t="str">
            <v>Monty Mole Island 2 - Redrawn Island</v>
          </cell>
          <cell r="B1196" t="str">
            <v>Monty Mole Island 2 - Redrawn Island</v>
          </cell>
          <cell r="C1196" t="str">
            <v>Green Jerry</v>
          </cell>
          <cell r="D1196">
            <v>12</v>
          </cell>
          <cell r="E1196" t="str">
            <v>Casual</v>
          </cell>
          <cell r="F1196" t="str">
            <v>Standard</v>
          </cell>
          <cell r="G1196">
            <v>43385</v>
          </cell>
          <cell r="H1196" t="str">
            <v>18254</v>
          </cell>
          <cell r="I1196" t="str">
            <v>https://www.smwcentral.net/?a=details&amp;id=18254&amp;p=section</v>
          </cell>
          <cell r="J1196" t="str">
            <v>https://dl.smwcentral.net/18254/Monty%20Mole%20Island%202%20-%20Redrawn%20Island.zip</v>
          </cell>
        </row>
        <row r="1197">
          <cell r="A1197" t="str">
            <v>Monty Mole Island 3 - Boom Boom's World</v>
          </cell>
          <cell r="B1197" t="str">
            <v>Monty Mole Island 3 - Boom Boom's World</v>
          </cell>
          <cell r="C1197" t="str">
            <v>Green Jerry</v>
          </cell>
          <cell r="D1197">
            <v>10</v>
          </cell>
          <cell r="E1197" t="str">
            <v>Casual</v>
          </cell>
          <cell r="F1197" t="str">
            <v>Standard</v>
          </cell>
          <cell r="G1197">
            <v>43474</v>
          </cell>
          <cell r="H1197" t="str">
            <v>18890</v>
          </cell>
          <cell r="I1197" t="str">
            <v>https://www.smwcentral.net/?a=details&amp;id=18890&amp;p=section</v>
          </cell>
          <cell r="J1197" t="str">
            <v>https://dl.smwcentral.net/18890/Monty%20Mole%20Island%203%20-%20Boom%20Boom%27s%20World%20V1.1.zip</v>
          </cell>
        </row>
        <row r="1198">
          <cell r="A1198" t="str">
            <v>Monty Mole Island 4 - Gamma Archipelago</v>
          </cell>
          <cell r="B1198" t="str">
            <v>Monty Mole Island 4 - Gamma Archipelago</v>
          </cell>
          <cell r="C1198" t="str">
            <v>Green Jerry</v>
          </cell>
          <cell r="D1198">
            <v>11</v>
          </cell>
          <cell r="E1198" t="str">
            <v>Casual</v>
          </cell>
          <cell r="F1198" t="str">
            <v>Standard</v>
          </cell>
          <cell r="G1198">
            <v>43586</v>
          </cell>
          <cell r="H1198" t="str">
            <v>19837</v>
          </cell>
          <cell r="I1198" t="str">
            <v>https://www.smwcentral.net/?a=details&amp;id=19837&amp;p=section</v>
          </cell>
          <cell r="J1198" t="str">
            <v>https://dl.smwcentral.net/19837/Monty%20Mole%20Island%204%20-%20Gamma%20Archipelago%20%28V1.0.1%29.zip</v>
          </cell>
        </row>
        <row r="1199">
          <cell r="A1199" t="str">
            <v>MOON</v>
          </cell>
          <cell r="B1199" t="str">
            <v>MOON</v>
          </cell>
          <cell r="C1199" t="str">
            <v>cur</v>
          </cell>
          <cell r="D1199">
            <v>20</v>
          </cell>
          <cell r="E1199" t="str">
            <v>Master</v>
          </cell>
          <cell r="F1199" t="str">
            <v>Kaizo</v>
          </cell>
          <cell r="G1199">
            <v>44208</v>
          </cell>
          <cell r="H1199" t="str">
            <v>25624</v>
          </cell>
          <cell r="I1199" t="str">
            <v>https://www.smwcentral.net/?a=details&amp;id=25624&amp;p=section</v>
          </cell>
          <cell r="J1199" t="str">
            <v>https://dl.smwcentral.net/25624/MOON.zip</v>
          </cell>
        </row>
        <row r="1200">
          <cell r="A1200" t="str">
            <v>Moon Finder</v>
          </cell>
          <cell r="B1200" t="str">
            <v>Moon Finder</v>
          </cell>
          <cell r="C1200" t="str">
            <v>Fyre150, Mega</v>
          </cell>
          <cell r="D1200">
            <v>40</v>
          </cell>
          <cell r="E1200" t="str">
            <v>Casual</v>
          </cell>
          <cell r="F1200" t="str">
            <v>Standard, Puzzle</v>
          </cell>
          <cell r="G1200">
            <v>45537</v>
          </cell>
          <cell r="H1200" t="str">
            <v>38359</v>
          </cell>
          <cell r="I1200" t="str">
            <v>https://www.smwcentral.net/?a=details&amp;id=38359&amp;p=section</v>
          </cell>
          <cell r="J1200" t="str">
            <v>https://dl.smwcentral.net/38359/MoonFinder_.zip</v>
          </cell>
        </row>
        <row r="1201">
          <cell r="A1201" t="str">
            <v>Morton's Empire</v>
          </cell>
          <cell r="B1201" t="str">
            <v>Morton's Empire</v>
          </cell>
          <cell r="C1201" t="str">
            <v>Arinsu, Centipede, MercuryPenny, SMW Central, a hick</v>
          </cell>
          <cell r="D1201">
            <v>43</v>
          </cell>
          <cell r="E1201" t="str">
            <v>Advanced</v>
          </cell>
          <cell r="F1201" t="str">
            <v>Standard</v>
          </cell>
          <cell r="G1201">
            <v>43217</v>
          </cell>
          <cell r="H1201" t="str">
            <v>17305</v>
          </cell>
          <cell r="I1201" t="str">
            <v>https://www.smwcentral.net/?a=details&amp;id=17305&amp;p=section</v>
          </cell>
          <cell r="J1201" t="str">
            <v>https://dl.smwcentral.net/17305/Mortons_Empire.zip</v>
          </cell>
        </row>
        <row r="1202">
          <cell r="A1202" t="str">
            <v>Morton's Tyranny</v>
          </cell>
          <cell r="B1202" t="str">
            <v>Morton's Tyranny</v>
          </cell>
          <cell r="C1202" t="str">
            <v>Pirate Yoshi</v>
          </cell>
          <cell r="D1202">
            <v>8</v>
          </cell>
          <cell r="E1202" t="str">
            <v>Newcomer</v>
          </cell>
          <cell r="F1202" t="str">
            <v>Standard</v>
          </cell>
          <cell r="G1202">
            <v>42232</v>
          </cell>
          <cell r="H1202" t="str">
            <v>9865</v>
          </cell>
          <cell r="I1202" t="str">
            <v>https://www.smwcentral.net/?a=details&amp;id=9865&amp;p=section</v>
          </cell>
          <cell r="J1202" t="str">
            <v>https://dl.smwcentral.net/9865/Morton%27s%20Tyranny%20Zip.zip</v>
          </cell>
        </row>
        <row r="1203">
          <cell r="A1203" t="str">
            <v>Mostly Harmless</v>
          </cell>
          <cell r="B1203" t="str">
            <v>Mostly Harmless</v>
          </cell>
          <cell r="C1203" t="str">
            <v>ThirdWall</v>
          </cell>
          <cell r="D1203">
            <v>17</v>
          </cell>
          <cell r="E1203" t="str">
            <v>Master</v>
          </cell>
          <cell r="F1203" t="str">
            <v>Kaizo</v>
          </cell>
          <cell r="G1203">
            <v>44173</v>
          </cell>
          <cell r="H1203" t="str">
            <v>25402</v>
          </cell>
          <cell r="I1203" t="str">
            <v>https://www.smwcentral.net/?a=details&amp;id=25402&amp;p=section</v>
          </cell>
          <cell r="J1203" t="str">
            <v>https://dl.smwcentral.net/25402/Mostly%20Harmless.zip</v>
          </cell>
        </row>
        <row r="1204">
          <cell r="A1204" t="str">
            <v>Motor Shells</v>
          </cell>
          <cell r="B1204" t="str">
            <v>Motor Shells</v>
          </cell>
          <cell r="C1204" t="str">
            <v>Pottsie</v>
          </cell>
          <cell r="D1204">
            <v>8</v>
          </cell>
          <cell r="E1204" t="str">
            <v>Expert</v>
          </cell>
          <cell r="F1204" t="str">
            <v>Kaizo</v>
          </cell>
          <cell r="G1204">
            <v>45800</v>
          </cell>
          <cell r="H1204" t="str">
            <v>39881</v>
          </cell>
          <cell r="I1204" t="str">
            <v>https://www.smwcentral.net/?a=details&amp;id=39881&amp;p=section</v>
          </cell>
          <cell r="J1204" t="str">
            <v>https://dl.smwcentral.net/39881/motor%20shells.zip</v>
          </cell>
        </row>
        <row r="1205">
          <cell r="A1205" t="str">
            <v>MrUg's Mini Level Pack</v>
          </cell>
          <cell r="B1205" t="str">
            <v>MrUg's Mini Level Pack</v>
          </cell>
          <cell r="C1205" t="str">
            <v>MrUg123</v>
          </cell>
          <cell r="D1205">
            <v>4</v>
          </cell>
          <cell r="E1205" t="str">
            <v>Casual</v>
          </cell>
          <cell r="F1205" t="str">
            <v>Standard</v>
          </cell>
          <cell r="G1205">
            <v>46202</v>
          </cell>
          <cell r="H1205" t="str">
            <v>42537</v>
          </cell>
          <cell r="I1205" t="str">
            <v>https://www.smwcentral.net/?a=details&amp;id=42537&amp;p=section</v>
          </cell>
          <cell r="J1205" t="str">
            <v>https://dl.smwcentral.net/42537/MMLP.zip</v>
          </cell>
        </row>
        <row r="1206">
          <cell r="A1206" t="str">
            <v>Much Ado About Eggs</v>
          </cell>
          <cell r="B1206" t="str">
            <v>Much Ado About Eggs</v>
          </cell>
          <cell r="C1206" t="str">
            <v>Diego</v>
          </cell>
          <cell r="D1206">
            <v>8</v>
          </cell>
          <cell r="E1206" t="str">
            <v>Casual</v>
          </cell>
          <cell r="F1206" t="str">
            <v>Standard</v>
          </cell>
          <cell r="G1206">
            <v>43796</v>
          </cell>
          <cell r="H1206" t="str">
            <v>21516</v>
          </cell>
          <cell r="I1206" t="str">
            <v>https://www.smwcentral.net/?a=details&amp;id=21516&amp;p=section</v>
          </cell>
          <cell r="J1206" t="str">
            <v>https://dl.smwcentral.net/21516/Much%20Ado%20About%20Eggs.zip</v>
          </cell>
        </row>
        <row r="1207">
          <cell r="A1207" t="str">
            <v>Mura World</v>
          </cell>
          <cell r="B1207" t="str">
            <v>Mura World</v>
          </cell>
          <cell r="C1207" t="str">
            <v>TheMURAmatsu</v>
          </cell>
          <cell r="D1207">
            <v>6</v>
          </cell>
          <cell r="E1207" t="str">
            <v>Advanced</v>
          </cell>
          <cell r="F1207" t="str">
            <v>Kaizo</v>
          </cell>
          <cell r="G1207">
            <v>44336</v>
          </cell>
          <cell r="H1207" t="str">
            <v>27022</v>
          </cell>
          <cell r="I1207" t="str">
            <v>https://www.smwcentral.net/?a=details&amp;id=27022&amp;p=section</v>
          </cell>
          <cell r="J1207" t="str">
            <v>https://dl.smwcentral.net/27022/_MuraWorld_V1.2.zip</v>
          </cell>
        </row>
        <row r="1208">
          <cell r="A1208" t="str">
            <v>Mura World 2</v>
          </cell>
          <cell r="B1208" t="str">
            <v>Mura World 2</v>
          </cell>
          <cell r="C1208" t="str">
            <v>TheMURAmatsu</v>
          </cell>
          <cell r="D1208">
            <v>11</v>
          </cell>
          <cell r="E1208" t="str">
            <v>Expert</v>
          </cell>
          <cell r="F1208" t="str">
            <v>Kaizo</v>
          </cell>
          <cell r="G1208">
            <v>43875</v>
          </cell>
          <cell r="H1208" t="str">
            <v>21997</v>
          </cell>
          <cell r="I1208" t="str">
            <v>https://www.smwcentral.net/?a=details&amp;id=21997&amp;p=section</v>
          </cell>
          <cell r="J1208" t="str">
            <v>https://dl.smwcentral.net/21997/MuraWorld2.zip</v>
          </cell>
        </row>
        <row r="1209">
          <cell r="A1209" t="str">
            <v>Mushroom Kingdom - Under Crimson Skies</v>
          </cell>
          <cell r="B1209" t="str">
            <v>Mushroom Kingdom - Under Crimson Skies</v>
          </cell>
          <cell r="C1209" t="str">
            <v>Blind Devil</v>
          </cell>
          <cell r="D1209">
            <v>25</v>
          </cell>
          <cell r="E1209" t="str">
            <v>Intermediate</v>
          </cell>
          <cell r="F1209" t="str">
            <v>Standard</v>
          </cell>
          <cell r="G1209">
            <v>42926</v>
          </cell>
          <cell r="H1209" t="str">
            <v>15820</v>
          </cell>
          <cell r="I1209" t="str">
            <v>https://www.smwcentral.net/?a=details&amp;id=15820&amp;p=section</v>
          </cell>
          <cell r="J1209" t="str">
            <v>https://dl.smwcentral.net/15820/Mushroom%20Kingdom%20-%20Under%20Crimson%20Skies.zip</v>
          </cell>
        </row>
        <row r="1210">
          <cell r="A1210" t="str">
            <v>Mushroom Kingdom Invasion</v>
          </cell>
          <cell r="B1210" t="str">
            <v>Mushroom Kingdom Invasion</v>
          </cell>
          <cell r="C1210" t="str">
            <v>mario and luigi</v>
          </cell>
          <cell r="D1210">
            <v>7</v>
          </cell>
          <cell r="E1210" t="str">
            <v>Casual</v>
          </cell>
          <cell r="F1210" t="str">
            <v>Standard</v>
          </cell>
          <cell r="G1210">
            <v>41781</v>
          </cell>
          <cell r="H1210" t="str">
            <v>6550</v>
          </cell>
          <cell r="I1210" t="str">
            <v>https://www.smwcentral.net/?a=details&amp;id=6550&amp;p=section</v>
          </cell>
          <cell r="J1210" t="str">
            <v>https://dl.smwcentral.net/6550/mushroom%20kingdom%20invasion.zip</v>
          </cell>
        </row>
        <row r="1211">
          <cell r="A1211" t="str">
            <v>Mushroom Kingdom Meltdown</v>
          </cell>
          <cell r="B1211" t="str">
            <v>Mushroom Kingdom Meltdown</v>
          </cell>
          <cell r="C1211" t="str">
            <v>cyphermur9t</v>
          </cell>
          <cell r="D1211">
            <v>66</v>
          </cell>
          <cell r="E1211" t="str">
            <v>Intermediate</v>
          </cell>
          <cell r="F1211" t="str">
            <v>Standard</v>
          </cell>
          <cell r="G1211">
            <v>44641</v>
          </cell>
          <cell r="H1211" t="str">
            <v>30027</v>
          </cell>
          <cell r="I1211" t="str">
            <v>https://www.smwcentral.net/?a=details&amp;id=30027&amp;p=section</v>
          </cell>
          <cell r="J1211" t="str">
            <v>https://dl.smwcentral.net/30027/Mushroom%20Kingdom%20Meltdown%20-%20Fixed.zip</v>
          </cell>
        </row>
        <row r="1212">
          <cell r="A1212" t="str">
            <v>Mushroom Kingdom Meltdown 2</v>
          </cell>
          <cell r="B1212" t="str">
            <v>Mushroom Kingdom Meltdown 2</v>
          </cell>
          <cell r="C1212" t="str">
            <v>cyphermur9t</v>
          </cell>
          <cell r="D1212">
            <v>89</v>
          </cell>
          <cell r="E1212" t="str">
            <v>Intermediate</v>
          </cell>
          <cell r="F1212" t="str">
            <v>Standard</v>
          </cell>
          <cell r="G1212">
            <v>44771</v>
          </cell>
          <cell r="H1212" t="str">
            <v>31223</v>
          </cell>
          <cell r="I1212" t="str">
            <v>https://www.smwcentral.net/?a=details&amp;id=31223&amp;p=section</v>
          </cell>
          <cell r="J1212" t="str">
            <v>https://dl.smwcentral.net/31223/Mushroom%20Kingdom%20Meltdown%202%20-%20Fixed.zip</v>
          </cell>
        </row>
        <row r="1213">
          <cell r="A1213" t="str">
            <v>Mushroom Onion Pizza</v>
          </cell>
          <cell r="B1213" t="str">
            <v>Mushroom Onion Pizza</v>
          </cell>
          <cell r="C1213" t="str">
            <v>MistaX88</v>
          </cell>
          <cell r="D1213">
            <v>17</v>
          </cell>
          <cell r="E1213" t="str">
            <v>Expert</v>
          </cell>
          <cell r="F1213" t="str">
            <v>Kaizo</v>
          </cell>
          <cell r="G1213">
            <v>44158</v>
          </cell>
          <cell r="H1213" t="str">
            <v>25204</v>
          </cell>
          <cell r="I1213" t="str">
            <v>https://www.smwcentral.net/?a=details&amp;id=25204&amp;p=section</v>
          </cell>
          <cell r="J1213" t="str">
            <v>https://dl.smwcentral.net/25204/MushroomOnionPizzaV1.2.zip</v>
          </cell>
        </row>
        <row r="1214">
          <cell r="A1214" t="str">
            <v>Mute's Christmas Quest</v>
          </cell>
          <cell r="B1214" t="str">
            <v>Mute's Christmas Quest</v>
          </cell>
          <cell r="C1214" t="str">
            <v>ChaseNScooter, Daizo Dee Von</v>
          </cell>
          <cell r="D1214">
            <v>3</v>
          </cell>
          <cell r="E1214" t="str">
            <v>Casual</v>
          </cell>
          <cell r="F1214" t="str">
            <v>Standard</v>
          </cell>
          <cell r="G1214">
            <v>43669</v>
          </cell>
          <cell r="H1214" t="str">
            <v>20595</v>
          </cell>
          <cell r="I1214" t="str">
            <v>https://www.smwcentral.net/?a=details&amp;id=20595&amp;p=section</v>
          </cell>
          <cell r="J1214" t="str">
            <v>https://dl.smwcentral.net/20595/Mute%27s%20Christmas%20Quest.zip</v>
          </cell>
        </row>
        <row r="1215">
          <cell r="A1215" t="str">
            <v>My Contest Entries Collection</v>
          </cell>
          <cell r="B1215" t="str">
            <v>My Contest Entries Collection</v>
          </cell>
          <cell r="C1215" t="str">
            <v>TheKazooBloccGosh</v>
          </cell>
          <cell r="D1215">
            <v>16</v>
          </cell>
          <cell r="E1215" t="str">
            <v>Expert</v>
          </cell>
          <cell r="F1215" t="str">
            <v>Standard, Kaizo, Puzzle</v>
          </cell>
          <cell r="G1215">
            <v>45944</v>
          </cell>
          <cell r="H1215" t="str">
            <v>40447</v>
          </cell>
          <cell r="I1215" t="str">
            <v>https://www.smwcentral.net/?a=details&amp;id=40447&amp;p=section</v>
          </cell>
          <cell r="J1215" t="str">
            <v>https://dl.smwcentral.net/40447/My%20entries%20contest%20collection.zip</v>
          </cell>
        </row>
        <row r="1216">
          <cell r="A1216" t="str">
            <v>My Favorite Things</v>
          </cell>
          <cell r="B1216" t="str">
            <v>My Favorite Things</v>
          </cell>
          <cell r="C1216" t="str">
            <v>revolug</v>
          </cell>
          <cell r="D1216">
            <v>8</v>
          </cell>
          <cell r="E1216" t="str">
            <v>Master</v>
          </cell>
          <cell r="F1216" t="str">
            <v>Kaizo</v>
          </cell>
          <cell r="G1216">
            <v>45033</v>
          </cell>
          <cell r="H1216" t="str">
            <v>33687</v>
          </cell>
          <cell r="I1216" t="str">
            <v>https://www.smwcentral.net/?a=details&amp;id=33687&amp;p=section</v>
          </cell>
          <cell r="J1216" t="str">
            <v>https://dl.smwcentral.net/33687/My%20Favorite%20Things%201.2.zip</v>
          </cell>
        </row>
        <row r="1217">
          <cell r="A1217" t="str">
            <v>My Hack</v>
          </cell>
          <cell r="B1217" t="str">
            <v>My Hack</v>
          </cell>
          <cell r="C1217" t="str">
            <v>LouisDoucet</v>
          </cell>
          <cell r="D1217">
            <v>69</v>
          </cell>
          <cell r="E1217" t="str">
            <v>Grandmaster</v>
          </cell>
          <cell r="F1217" t="str">
            <v>Kaizo</v>
          </cell>
          <cell r="G1217">
            <v>45818</v>
          </cell>
          <cell r="H1217" t="str">
            <v>39638</v>
          </cell>
          <cell r="I1217" t="str">
            <v>https://www.smwcentral.net/?a=details&amp;id=39638&amp;p=section</v>
          </cell>
          <cell r="J1217" t="str">
            <v>https://dl.smwcentral.net/39638/My%20Hack.zip</v>
          </cell>
        </row>
        <row r="1218">
          <cell r="A1218" t="str">
            <v>My Level 4 Emero</v>
          </cell>
          <cell r="B1218" t="str">
            <v>My Level 4 Emero</v>
          </cell>
          <cell r="C1218" t="str">
            <v>DjMPK</v>
          </cell>
          <cell r="D1218">
            <v>1</v>
          </cell>
          <cell r="E1218" t="str">
            <v>Casual</v>
          </cell>
          <cell r="F1218" t="str">
            <v>Standard</v>
          </cell>
          <cell r="G1218">
            <v>44163</v>
          </cell>
          <cell r="H1218" t="str">
            <v>25216</v>
          </cell>
          <cell r="I1218" t="str">
            <v>https://www.smwcentral.net/?a=details&amp;id=25216&amp;p=section</v>
          </cell>
          <cell r="J1218" t="str">
            <v>https://dl.smwcentral.net/25216/l4emero.zip</v>
          </cell>
        </row>
        <row r="1219">
          <cell r="A1219" t="str">
            <v>My little Puzzles - The Road to Wisdom</v>
          </cell>
          <cell r="B1219" t="str">
            <v>My little Puzzles - The Road to Wisdom</v>
          </cell>
          <cell r="C1219" t="str">
            <v>Chosentw0</v>
          </cell>
          <cell r="D1219">
            <v>38</v>
          </cell>
          <cell r="E1219" t="str">
            <v>Intermediate</v>
          </cell>
          <cell r="F1219" t="str">
            <v>Standard, Kaizo, Puzzle, Tool-Assisted</v>
          </cell>
          <cell r="G1219">
            <v>42374</v>
          </cell>
          <cell r="H1219" t="str">
            <v>12920</v>
          </cell>
          <cell r="I1219" t="str">
            <v>https://www.smwcentral.net/?a=details&amp;id=12920&amp;p=section</v>
          </cell>
          <cell r="J1219" t="str">
            <v>https://dl.smwcentral.net/12920/My%20little%20Puzzles%20-%20The%20Road%20to%20Wisdom%20v1.1.zip</v>
          </cell>
        </row>
        <row r="1220">
          <cell r="A1220" t="str">
            <v>My little Puzzles 2 - The Continents of Knowledge</v>
          </cell>
          <cell r="B1220" t="str">
            <v>My little Puzzles 2 - The Continents of Knowledge</v>
          </cell>
          <cell r="C1220" t="str">
            <v>Chosentw0, Sariel</v>
          </cell>
          <cell r="D1220">
            <v>57</v>
          </cell>
          <cell r="E1220" t="str">
            <v>Advanced</v>
          </cell>
          <cell r="F1220" t="str">
            <v>Standard, Kaizo, Puzzle, Tool-Assisted</v>
          </cell>
          <cell r="G1220">
            <v>42751</v>
          </cell>
          <cell r="H1220" t="str">
            <v>14080</v>
          </cell>
          <cell r="I1220" t="str">
            <v>https://www.smwcentral.net/?a=details&amp;id=14080&amp;p=section</v>
          </cell>
          <cell r="J1220" t="str">
            <v>https://dl.smwcentral.net/14080/My%20little%20Puzzles%202%20-%20The%20Continents%20of%20Knowledge.zip</v>
          </cell>
        </row>
        <row r="1221">
          <cell r="A1221" t="str">
            <v>My little Puzzles 3 - The Key to Eternity</v>
          </cell>
          <cell r="B1221" t="str">
            <v>My little Puzzles 3 - The Key to Eternity</v>
          </cell>
          <cell r="C1221" t="str">
            <v>Chosentw0</v>
          </cell>
          <cell r="D1221">
            <v>64</v>
          </cell>
          <cell r="E1221" t="str">
            <v>Advanced</v>
          </cell>
          <cell r="F1221" t="str">
            <v>Standard, Kaizo, Puzzle, Tool-Assisted</v>
          </cell>
          <cell r="G1221">
            <v>42750</v>
          </cell>
          <cell r="H1221" t="str">
            <v>14882</v>
          </cell>
          <cell r="I1221" t="str">
            <v>https://www.smwcentral.net/?a=details&amp;id=14882&amp;p=section</v>
          </cell>
          <cell r="J1221" t="str">
            <v>https://dl.smwcentral.net/14882/My%20little%20Puzzles%203%20-%20The%20Key%20to%20Eternity.zip</v>
          </cell>
        </row>
        <row r="1222">
          <cell r="A1222" t="str">
            <v>My love is all wrong</v>
          </cell>
          <cell r="B1222" t="str">
            <v>My love is all wrong</v>
          </cell>
          <cell r="C1222" t="str">
            <v>Firstnamebutt</v>
          </cell>
          <cell r="D1222">
            <v>10</v>
          </cell>
          <cell r="E1222" t="str">
            <v>Advanced</v>
          </cell>
          <cell r="F1222" t="str">
            <v>Kaizo</v>
          </cell>
          <cell r="G1222">
            <v>45596</v>
          </cell>
          <cell r="H1222" t="str">
            <v>38704</v>
          </cell>
          <cell r="I1222" t="str">
            <v>https://www.smwcentral.net/?a=details&amp;id=38704&amp;p=section</v>
          </cell>
          <cell r="J1222" t="str">
            <v>https://dl.smwcentral.net/38704/Myloveisallwrong.zip</v>
          </cell>
        </row>
        <row r="1223">
          <cell r="A1223" t="str">
            <v>My Name is Goal</v>
          </cell>
          <cell r="B1223" t="str">
            <v>My Name is Goal</v>
          </cell>
          <cell r="C1223" t="str">
            <v>sholmes</v>
          </cell>
          <cell r="D1223">
            <v>24</v>
          </cell>
          <cell r="E1223" t="str">
            <v>Advanced</v>
          </cell>
          <cell r="F1223" t="str">
            <v>Standard</v>
          </cell>
          <cell r="G1223">
            <v>45697</v>
          </cell>
          <cell r="H1223" t="str">
            <v>39058</v>
          </cell>
          <cell r="I1223" t="str">
            <v>https://www.smwcentral.net/?a=details&amp;id=39058&amp;p=section</v>
          </cell>
          <cell r="J1223" t="str">
            <v>https://dl.smwcentral.net/39058/My%20Name%20is%20Goal.zip</v>
          </cell>
        </row>
        <row r="1224">
          <cell r="A1224" t="str">
            <v>My New Favorite Hack</v>
          </cell>
          <cell r="B1224" t="str">
            <v>My New Favorite Hack</v>
          </cell>
          <cell r="C1224" t="str">
            <v>VLSkoot</v>
          </cell>
          <cell r="D1224">
            <v>17</v>
          </cell>
          <cell r="E1224" t="str">
            <v>Expert</v>
          </cell>
          <cell r="F1224" t="str">
            <v>Kaizo</v>
          </cell>
          <cell r="G1224">
            <v>44629</v>
          </cell>
          <cell r="H1224" t="str">
            <v>30077</v>
          </cell>
          <cell r="I1224" t="str">
            <v>https://www.smwcentral.net/?a=details&amp;id=30077&amp;p=section</v>
          </cell>
          <cell r="J1224" t="str">
            <v>https://dl.smwcentral.net/30077/My%20New%20Favorite%20Hack.zip</v>
          </cell>
        </row>
        <row r="1225">
          <cell r="A1225" t="str">
            <v>Mycelium</v>
          </cell>
          <cell r="B1225" t="str">
            <v>Mycelium</v>
          </cell>
          <cell r="C1225" t="str">
            <v>schema_tuna</v>
          </cell>
          <cell r="D1225">
            <v>13</v>
          </cell>
          <cell r="E1225" t="str">
            <v>Advanced</v>
          </cell>
          <cell r="F1225" t="str">
            <v>Kaizo</v>
          </cell>
          <cell r="G1225">
            <v>45218</v>
          </cell>
          <cell r="H1225" t="str">
            <v>35259</v>
          </cell>
          <cell r="I1225" t="str">
            <v>https://www.smwcentral.net/?a=details&amp;id=35259&amp;p=section</v>
          </cell>
          <cell r="J1225" t="str">
            <v>https://dl.smwcentral.net/35259/Mycelium.zip</v>
          </cell>
        </row>
        <row r="1226">
          <cell r="A1226" t="str">
            <v>Mystery of the Seven Orbs</v>
          </cell>
          <cell r="B1226" t="str">
            <v>Mystery of the Seven Orbs</v>
          </cell>
          <cell r="C1226" t="str">
            <v>Kiwisauce</v>
          </cell>
          <cell r="D1226">
            <v>25</v>
          </cell>
          <cell r="E1226" t="str">
            <v>Casual</v>
          </cell>
          <cell r="F1226" t="str">
            <v>Standard</v>
          </cell>
          <cell r="G1226">
            <v>42347</v>
          </cell>
          <cell r="H1226" t="str">
            <v>9738</v>
          </cell>
          <cell r="I1226" t="str">
            <v>https://www.smwcentral.net/?a=details&amp;id=9738&amp;p=section</v>
          </cell>
          <cell r="J1226" t="str">
            <v>https://dl.smwcentral.net/9738/MOTSO.zip</v>
          </cell>
        </row>
        <row r="1227">
          <cell r="A1227" t="str">
            <v>Mystical Island</v>
          </cell>
          <cell r="B1227" t="str">
            <v>Mystical Island</v>
          </cell>
          <cell r="C1227" t="str">
            <v>nicknick293</v>
          </cell>
          <cell r="D1227">
            <v>4</v>
          </cell>
          <cell r="E1227" t="str">
            <v>Newcomer</v>
          </cell>
          <cell r="F1227" t="str">
            <v>Standard</v>
          </cell>
          <cell r="G1227">
            <v>42257</v>
          </cell>
          <cell r="H1227" t="str">
            <v>9981</v>
          </cell>
          <cell r="I1227" t="str">
            <v>https://www.smwcentral.net/?a=details&amp;id=9981&amp;p=section</v>
          </cell>
          <cell r="J1227" t="str">
            <v>https://dl.smwcentral.net/9981/Mystical%20island%201.0.2.zip</v>
          </cell>
        </row>
        <row r="1228">
          <cell r="A1228" t="str">
            <v>Myth of Mana</v>
          </cell>
          <cell r="B1228" t="str">
            <v>Myth of Mana</v>
          </cell>
          <cell r="C1228" t="str">
            <v>Hwailaluta</v>
          </cell>
          <cell r="D1228">
            <v>1</v>
          </cell>
          <cell r="E1228" t="str">
            <v>Expert</v>
          </cell>
          <cell r="F1228" t="str">
            <v>Standard, Kaizo</v>
          </cell>
          <cell r="G1228">
            <v>45527</v>
          </cell>
          <cell r="H1228" t="str">
            <v>38186</v>
          </cell>
          <cell r="I1228" t="str">
            <v>https://www.smwcentral.net/?a=details&amp;id=38186&amp;p=section</v>
          </cell>
          <cell r="J1228" t="str">
            <v>https://dl.smwcentral.net/38186/Myth%20of%20Mana%201.2.zip</v>
          </cell>
        </row>
        <row r="1229">
          <cell r="A1229" t="str">
            <v>N'sane Studios hack</v>
          </cell>
          <cell r="B1229" t="str">
            <v>N'sane Studios hack</v>
          </cell>
          <cell r="C1229" t="str">
            <v>Insanit, Sammmoo, n'sane studios</v>
          </cell>
          <cell r="D1229">
            <v>11</v>
          </cell>
          <cell r="E1229" t="str">
            <v>Expert</v>
          </cell>
          <cell r="F1229" t="str">
            <v>Kaizo</v>
          </cell>
          <cell r="G1229">
            <v>44972</v>
          </cell>
          <cell r="H1229" t="str">
            <v>33121</v>
          </cell>
          <cell r="I1229" t="str">
            <v>https://www.smwcentral.net/?a=details&amp;id=33121&amp;p=section</v>
          </cell>
          <cell r="J1229" t="str">
            <v>https://dl.smwcentral.net/33121/n%27sane_studios.zip</v>
          </cell>
        </row>
        <row r="1230">
          <cell r="A1230" t="str">
            <v>Nabbit Steals Christmas</v>
          </cell>
          <cell r="B1230" t="str">
            <v>Nabbit Steals Christmas</v>
          </cell>
          <cell r="C1230" t="str">
            <v>Idunno</v>
          </cell>
          <cell r="D1230">
            <v>8</v>
          </cell>
          <cell r="E1230" t="str">
            <v>Casual</v>
          </cell>
          <cell r="F1230" t="str">
            <v>Standard</v>
          </cell>
          <cell r="G1230">
            <v>45291</v>
          </cell>
          <cell r="H1230" t="str">
            <v>35753</v>
          </cell>
          <cell r="I1230" t="str">
            <v>https://www.smwcentral.net/?a=details&amp;id=35753&amp;p=section</v>
          </cell>
          <cell r="J1230" t="str">
            <v>https://dl.smwcentral.net/35753/NabbitStealsXmas.zip</v>
          </cell>
        </row>
        <row r="1231">
          <cell r="A1231" t="str">
            <v>Nachos and Fried Oreos</v>
          </cell>
          <cell r="B1231" t="str">
            <v>Nachos and Fried Oreos</v>
          </cell>
          <cell r="C1231" t="str">
            <v>GbreezeSunset, MiracleWater</v>
          </cell>
          <cell r="D1231">
            <v>15</v>
          </cell>
          <cell r="E1231" t="str">
            <v>Advanced</v>
          </cell>
          <cell r="F1231" t="str">
            <v>Standard</v>
          </cell>
          <cell r="G1231">
            <v>43521</v>
          </cell>
          <cell r="H1231" t="str">
            <v>19044</v>
          </cell>
          <cell r="I1231" t="str">
            <v>https://www.smwcentral.net/?a=details&amp;id=19044&amp;p=section</v>
          </cell>
          <cell r="J1231" t="str">
            <v>https://dl.smwcentral.net/19044/Nachos%20and%20Fried%20Oreos.zip</v>
          </cell>
        </row>
        <row r="1232">
          <cell r="A1232" t="str">
            <v>Nador Quest</v>
          </cell>
          <cell r="B1232" t="str">
            <v>Nador Quest</v>
          </cell>
          <cell r="C1232" t="str">
            <v>Lexator</v>
          </cell>
          <cell r="D1232">
            <v>15</v>
          </cell>
          <cell r="E1232" t="str">
            <v>Casual</v>
          </cell>
          <cell r="F1232" t="str">
            <v>Standard</v>
          </cell>
          <cell r="G1232">
            <v>41480</v>
          </cell>
          <cell r="H1232" t="str">
            <v>5166</v>
          </cell>
          <cell r="I1232" t="str">
            <v>https://www.smwcentral.net/?a=details&amp;id=5166&amp;p=section</v>
          </cell>
          <cell r="J1232" t="str">
            <v>https://dl.smwcentral.net/5166/Nador%20Quest%20%28demo%202%29.zip</v>
          </cell>
        </row>
        <row r="1233">
          <cell r="A1233" t="str">
            <v>Nakama</v>
          </cell>
          <cell r="B1233" t="str">
            <v>Nakama</v>
          </cell>
          <cell r="C1233" t="str">
            <v>D_O_M</v>
          </cell>
          <cell r="D1233">
            <v>34</v>
          </cell>
          <cell r="E1233" t="str">
            <v>Expert</v>
          </cell>
          <cell r="F1233" t="str">
            <v>Kaizo</v>
          </cell>
          <cell r="G1233">
            <v>46137</v>
          </cell>
          <cell r="H1233" t="str">
            <v>42206</v>
          </cell>
          <cell r="I1233" t="str">
            <v>https://www.smwcentral.net/?a=details&amp;id=42206&amp;p=section</v>
          </cell>
          <cell r="J1233" t="str">
            <v>https://dl.smwcentral.net/42206/Nakama1.1.zip</v>
          </cell>
        </row>
        <row r="1234">
          <cell r="A1234" t="str">
            <v>Nameless Kaizo World</v>
          </cell>
          <cell r="B1234" t="str">
            <v>Nameless Kaizo World</v>
          </cell>
          <cell r="C1234" t="str">
            <v>TheMURAmatsu</v>
          </cell>
          <cell r="D1234">
            <v>6</v>
          </cell>
          <cell r="E1234" t="str">
            <v>Expert</v>
          </cell>
          <cell r="F1234" t="str">
            <v>Kaizo</v>
          </cell>
          <cell r="G1234">
            <v>44745</v>
          </cell>
          <cell r="H1234" t="str">
            <v>31239</v>
          </cell>
          <cell r="I1234" t="str">
            <v>https://www.smwcentral.net/?a=details&amp;id=31239&amp;p=section</v>
          </cell>
          <cell r="J1234" t="str">
            <v>https://dl.smwcentral.net/31239/Nameless_Kaizo_World-V1.1.zip</v>
          </cell>
        </row>
        <row r="1235">
          <cell r="A1235" t="str">
            <v>Nameless Kaizo World (Light)</v>
          </cell>
          <cell r="B1235" t="str">
            <v>Nameless Kaizo World (Light)</v>
          </cell>
          <cell r="C1235" t="str">
            <v>TheMURAmatsu</v>
          </cell>
          <cell r="D1235">
            <v>5</v>
          </cell>
          <cell r="E1235" t="str">
            <v>Intermediate</v>
          </cell>
          <cell r="F1235" t="str">
            <v>Kaizo</v>
          </cell>
          <cell r="G1235">
            <v>44772</v>
          </cell>
          <cell r="H1235" t="str">
            <v>31683</v>
          </cell>
          <cell r="I1235" t="str">
            <v>https://www.smwcentral.net/?a=details&amp;id=31683&amp;p=section</v>
          </cell>
          <cell r="J1235" t="str">
            <v>https://dl.smwcentral.net/31683/Nameless%20Kaizo%20World%20%28Light%29.zip</v>
          </cell>
        </row>
        <row r="1236">
          <cell r="A1236" t="str">
            <v>Nameless Shells</v>
          </cell>
          <cell r="B1236" t="str">
            <v>Nameless Shells</v>
          </cell>
          <cell r="C1236" t="str">
            <v>TheMURAmatsu</v>
          </cell>
          <cell r="D1236">
            <v>1</v>
          </cell>
          <cell r="E1236" t="str">
            <v>Advanced</v>
          </cell>
          <cell r="F1236" t="str">
            <v>Kaizo</v>
          </cell>
          <cell r="G1236">
            <v>44937</v>
          </cell>
          <cell r="H1236" t="str">
            <v>32900</v>
          </cell>
          <cell r="I1236" t="str">
            <v>https://www.smwcentral.net/?a=details&amp;id=32900&amp;p=section</v>
          </cell>
          <cell r="J1236" t="str">
            <v>https://dl.smwcentral.net/32900/Nameless%20Shells.zip</v>
          </cell>
        </row>
        <row r="1237">
          <cell r="A1237" t="str">
            <v>Natsukashii Mario World</v>
          </cell>
          <cell r="B1237" t="str">
            <v>Natsukashii Mario World</v>
          </cell>
          <cell r="C1237" t="str">
            <v>pixelninetales</v>
          </cell>
          <cell r="D1237">
            <v>7</v>
          </cell>
          <cell r="E1237" t="str">
            <v>Expert</v>
          </cell>
          <cell r="F1237" t="str">
            <v>Kaizo</v>
          </cell>
          <cell r="G1237">
            <v>44930</v>
          </cell>
          <cell r="H1237" t="str">
            <v>32847</v>
          </cell>
          <cell r="I1237" t="str">
            <v>https://www.smwcentral.net/?a=details&amp;id=32847&amp;p=section</v>
          </cell>
          <cell r="J1237" t="str">
            <v>https://dl.smwcentral.net/32847/natsukashii.zip</v>
          </cell>
        </row>
        <row r="1238">
          <cell r="A1238" t="str">
            <v>Naughtyworld</v>
          </cell>
          <cell r="B1238" t="str">
            <v>Naughtyworld</v>
          </cell>
          <cell r="C1238" t="str">
            <v>Christina Hendricks, JUMP Team, Kevin</v>
          </cell>
          <cell r="D1238">
            <v>116</v>
          </cell>
          <cell r="E1238" t="str">
            <v>Expert</v>
          </cell>
          <cell r="F1238" t="str">
            <v>Standard</v>
          </cell>
          <cell r="G1238">
            <v>45337</v>
          </cell>
          <cell r="H1238" t="str">
            <v>36680</v>
          </cell>
          <cell r="I1238" t="str">
            <v>https://www.smwcentral.net/?a=details&amp;id=36680&amp;p=section</v>
          </cell>
          <cell r="J1238" t="str">
            <v>https://dl.smwcentral.net/36680/naughtyworld.zip</v>
          </cell>
        </row>
        <row r="1239">
          <cell r="A1239" t="str">
            <v>Nebula</v>
          </cell>
          <cell r="B1239" t="str">
            <v>Nebula</v>
          </cell>
          <cell r="C1239" t="str">
            <v>Gulaschko</v>
          </cell>
          <cell r="D1239">
            <v>12</v>
          </cell>
          <cell r="E1239" t="str">
            <v>Expert</v>
          </cell>
          <cell r="F1239" t="str">
            <v>Kaizo</v>
          </cell>
          <cell r="G1239">
            <v>45042</v>
          </cell>
          <cell r="H1239" t="str">
            <v>33695</v>
          </cell>
          <cell r="I1239" t="str">
            <v>https://www.smwcentral.net/?a=details&amp;id=33695&amp;p=section</v>
          </cell>
          <cell r="J1239" t="str">
            <v>https://dl.smwcentral.net/33695/NebulaVer.1.1.zip</v>
          </cell>
        </row>
        <row r="1240">
          <cell r="A1240" t="str">
            <v>Neighborhood of Make-Believe</v>
          </cell>
          <cell r="B1240" t="str">
            <v>Neighborhood of Make-Believe</v>
          </cell>
          <cell r="C1240" t="str">
            <v>The_Uber_Camper</v>
          </cell>
          <cell r="D1240">
            <v>16</v>
          </cell>
          <cell r="E1240" t="str">
            <v>Intermediate</v>
          </cell>
          <cell r="F1240" t="str">
            <v>Kaizo</v>
          </cell>
          <cell r="G1240">
            <v>45648</v>
          </cell>
          <cell r="H1240" t="str">
            <v>38883</v>
          </cell>
          <cell r="I1240" t="str">
            <v>https://www.smwcentral.net/?a=details&amp;id=38883&amp;p=section</v>
          </cell>
          <cell r="J1240" t="str">
            <v>https://dl.smwcentral.net/38883/Neighborhood%20of%20Make-Believe%20v1.1.zip</v>
          </cell>
        </row>
        <row r="1241">
          <cell r="A1241" t="str">
            <v>Neko Nightmare</v>
          </cell>
          <cell r="B1241" t="str">
            <v>Neko Nightmare</v>
          </cell>
          <cell r="C1241" t="str">
            <v>YamiRamzaNeko</v>
          </cell>
          <cell r="D1241">
            <v>8</v>
          </cell>
          <cell r="E1241" t="str">
            <v>Casual</v>
          </cell>
          <cell r="F1241" t="str">
            <v>Standard</v>
          </cell>
          <cell r="G1241">
            <v>42225</v>
          </cell>
          <cell r="H1241" t="str">
            <v>9850</v>
          </cell>
          <cell r="I1241" t="str">
            <v>https://www.smwcentral.net/?a=details&amp;id=9850&amp;p=section</v>
          </cell>
          <cell r="J1241" t="str">
            <v>https://dl.smwcentral.net/9850/smw.zip</v>
          </cell>
        </row>
        <row r="1242">
          <cell r="A1242" t="str">
            <v>Nemesis</v>
          </cell>
          <cell r="B1242" t="str">
            <v>Nemesis</v>
          </cell>
          <cell r="C1242" t="str">
            <v>Dennsen86</v>
          </cell>
          <cell r="D1242">
            <v>16</v>
          </cell>
          <cell r="E1242" t="str">
            <v>Expert</v>
          </cell>
          <cell r="F1242" t="str">
            <v>Kaizo</v>
          </cell>
          <cell r="G1242">
            <v>44665</v>
          </cell>
          <cell r="H1242" t="str">
            <v>30309</v>
          </cell>
          <cell r="I1242" t="str">
            <v>https://www.smwcentral.net/?a=details&amp;id=30309&amp;p=section</v>
          </cell>
          <cell r="J1242" t="str">
            <v>https://dl.smwcentral.net/30309/Nemesis.zip</v>
          </cell>
        </row>
        <row r="1243">
          <cell r="A1243" t="str">
            <v>Nerdina's World</v>
          </cell>
          <cell r="B1243" t="str">
            <v>Nerdina's World</v>
          </cell>
          <cell r="C1243" t="str">
            <v>B-Yoshi</v>
          </cell>
          <cell r="D1243">
            <v>6</v>
          </cell>
          <cell r="E1243" t="str">
            <v>Newcomer</v>
          </cell>
          <cell r="F1243" t="str">
            <v>Standard</v>
          </cell>
          <cell r="G1243">
            <v>42316</v>
          </cell>
          <cell r="H1243" t="str">
            <v>10198</v>
          </cell>
          <cell r="I1243" t="str">
            <v>https://www.smwcentral.net/?a=details&amp;id=10198&amp;p=section</v>
          </cell>
          <cell r="J1243" t="str">
            <v>https://dl.smwcentral.net/10198/Nerdina%27s%20World%20-%20Demo%20V%201.0.zip</v>
          </cell>
        </row>
        <row r="1244">
          <cell r="A1244" t="str">
            <v>New Easter World</v>
          </cell>
          <cell r="B1244" t="str">
            <v>New Easter World</v>
          </cell>
          <cell r="C1244" t="str">
            <v>SkywinDragoon</v>
          </cell>
          <cell r="D1244">
            <v>8</v>
          </cell>
          <cell r="E1244" t="str">
            <v>Casual</v>
          </cell>
          <cell r="F1244" t="str">
            <v>Standard</v>
          </cell>
          <cell r="G1244">
            <v>42825</v>
          </cell>
          <cell r="H1244" t="str">
            <v>15252</v>
          </cell>
          <cell r="I1244" t="str">
            <v>https://www.smwcentral.net/?a=details&amp;id=15252&amp;p=section</v>
          </cell>
          <cell r="J1244" t="str">
            <v>https://dl.smwcentral.net/15252/New%20Easter%20World%20W1%20DEMO.zip</v>
          </cell>
        </row>
        <row r="1245">
          <cell r="A1245" t="str">
            <v>New Mario's Adventure</v>
          </cell>
          <cell r="B1245" t="str">
            <v>New Mario's Adventure</v>
          </cell>
          <cell r="C1245" t="str">
            <v>yoshi9429</v>
          </cell>
          <cell r="D1245">
            <v>94</v>
          </cell>
          <cell r="E1245" t="str">
            <v>Advanced</v>
          </cell>
          <cell r="F1245" t="str">
            <v>Standard</v>
          </cell>
          <cell r="G1245">
            <v>42840</v>
          </cell>
          <cell r="H1245" t="str">
            <v>15438</v>
          </cell>
          <cell r="I1245" t="str">
            <v>https://www.smwcentral.net/?a=details&amp;id=15438&amp;p=section</v>
          </cell>
          <cell r="J1245" t="str">
            <v>https://dl.smwcentral.net/15438/New%20Mario%27s%20Adventure.zip</v>
          </cell>
        </row>
        <row r="1246">
          <cell r="A1246" t="str">
            <v>NEW Nightmare cafe</v>
          </cell>
          <cell r="B1246" t="str">
            <v>NEW Nightmare cafe</v>
          </cell>
          <cell r="C1246" t="str">
            <v>Lush_50</v>
          </cell>
          <cell r="D1246">
            <v>1</v>
          </cell>
          <cell r="E1246" t="str">
            <v>Advanced</v>
          </cell>
          <cell r="F1246" t="str">
            <v>Kaizo</v>
          </cell>
          <cell r="G1246">
            <v>44992</v>
          </cell>
          <cell r="H1246" t="str">
            <v>33431</v>
          </cell>
          <cell r="I1246" t="str">
            <v>https://www.smwcentral.net/?a=details&amp;id=33431&amp;p=section</v>
          </cell>
          <cell r="J1246" t="str">
            <v>https://dl.smwcentral.net/33431/NEW%20Nightmare%20cafe%20v1.0A.zip</v>
          </cell>
        </row>
        <row r="1247">
          <cell r="A1247" t="str">
            <v>NEW Nightmare cafe 2</v>
          </cell>
          <cell r="B1247" t="str">
            <v>NEW Nightmare cafe 2</v>
          </cell>
          <cell r="C1247" t="str">
            <v>Lush_50</v>
          </cell>
          <cell r="D1247">
            <v>2</v>
          </cell>
          <cell r="E1247" t="str">
            <v>Advanced</v>
          </cell>
          <cell r="F1247" t="str">
            <v>Kaizo</v>
          </cell>
          <cell r="G1247">
            <v>45001</v>
          </cell>
          <cell r="H1247" t="str">
            <v>33555</v>
          </cell>
          <cell r="I1247" t="str">
            <v>https://www.smwcentral.net/?a=details&amp;id=33555&amp;p=section</v>
          </cell>
          <cell r="J1247" t="str">
            <v>https://dl.smwcentral.net/33555/NEW%20Nightmare%20cafe%202%20V1.0A.zip</v>
          </cell>
        </row>
        <row r="1248">
          <cell r="A1248" t="str">
            <v>NEW Nightmare cafe 3</v>
          </cell>
          <cell r="B1248" t="str">
            <v>NEW Nightmare cafe 3</v>
          </cell>
          <cell r="C1248" t="str">
            <v>Lush_50</v>
          </cell>
          <cell r="D1248">
            <v>2</v>
          </cell>
          <cell r="E1248" t="str">
            <v>Advanced</v>
          </cell>
          <cell r="F1248" t="str">
            <v>Kaizo</v>
          </cell>
          <cell r="G1248">
            <v>45014</v>
          </cell>
          <cell r="H1248" t="str">
            <v>33638</v>
          </cell>
          <cell r="I1248" t="str">
            <v>https://www.smwcentral.net/?a=details&amp;id=33638&amp;p=section</v>
          </cell>
          <cell r="J1248" t="str">
            <v>https://dl.smwcentral.net/33638/NEW%20Nightmare%20cafe%203%20V1.0.zip</v>
          </cell>
        </row>
        <row r="1249">
          <cell r="A1249" t="str">
            <v>NEW Nightmare cafe 4</v>
          </cell>
          <cell r="B1249" t="str">
            <v>NEW Nightmare cafe 4</v>
          </cell>
          <cell r="C1249" t="str">
            <v>Lush_50</v>
          </cell>
          <cell r="D1249">
            <v>2</v>
          </cell>
          <cell r="E1249" t="str">
            <v>Advanced</v>
          </cell>
          <cell r="F1249" t="str">
            <v>Kaizo</v>
          </cell>
          <cell r="G1249">
            <v>45035</v>
          </cell>
          <cell r="H1249" t="str">
            <v>33777</v>
          </cell>
          <cell r="I1249" t="str">
            <v>https://www.smwcentral.net/?a=details&amp;id=33777&amp;p=section</v>
          </cell>
          <cell r="J1249" t="str">
            <v>https://dl.smwcentral.net/33777/NEW%20Nightmare%20cafe%204%20V1.0.zip</v>
          </cell>
        </row>
        <row r="1250">
          <cell r="A1250" t="str">
            <v>NEW Nightmare cafe 5</v>
          </cell>
          <cell r="B1250" t="str">
            <v>NEW Nightmare cafe 5</v>
          </cell>
          <cell r="C1250" t="str">
            <v>Lush_50</v>
          </cell>
          <cell r="D1250">
            <v>3</v>
          </cell>
          <cell r="E1250" t="str">
            <v>Advanced</v>
          </cell>
          <cell r="F1250" t="str">
            <v>Kaizo</v>
          </cell>
          <cell r="G1250">
            <v>45205</v>
          </cell>
          <cell r="H1250" t="str">
            <v>35173</v>
          </cell>
          <cell r="I1250" t="str">
            <v>https://www.smwcentral.net/?a=details&amp;id=35173&amp;p=section</v>
          </cell>
          <cell r="J1250" t="str">
            <v>https://dl.smwcentral.net/35173/New%20Nightmare%20Cafe%205%20V1.zip</v>
          </cell>
        </row>
        <row r="1251">
          <cell r="A1251" t="str">
            <v>New Retro Mario Bros.</v>
          </cell>
          <cell r="B1251" t="str">
            <v>New Retro Mario Bros.</v>
          </cell>
          <cell r="C1251" t="str">
            <v>Dr. Mahatma</v>
          </cell>
          <cell r="D1251">
            <v>32</v>
          </cell>
          <cell r="E1251" t="str">
            <v>Casual</v>
          </cell>
          <cell r="F1251" t="str">
            <v>Standard</v>
          </cell>
          <cell r="G1251">
            <v>42226</v>
          </cell>
          <cell r="H1251" t="str">
            <v>9871</v>
          </cell>
          <cell r="I1251" t="str">
            <v>https://www.smwcentral.net/?a=details&amp;id=9871&amp;p=section</v>
          </cell>
          <cell r="J1251" t="str">
            <v>https://dl.smwcentral.net/9871/NRMB.zip</v>
          </cell>
        </row>
        <row r="1252">
          <cell r="A1252" t="str">
            <v>New Schlitterbahn Yoshi World 1</v>
          </cell>
          <cell r="B1252" t="str">
            <v>New Schlitterbahn Yoshi World 1</v>
          </cell>
          <cell r="C1252" t="str">
            <v>El Cuh Fermin</v>
          </cell>
          <cell r="D1252">
            <v>9</v>
          </cell>
          <cell r="E1252" t="str">
            <v>Intermediate</v>
          </cell>
          <cell r="F1252" t="str">
            <v>Standard</v>
          </cell>
          <cell r="G1252">
            <v>43894</v>
          </cell>
          <cell r="H1252" t="str">
            <v>22328</v>
          </cell>
          <cell r="I1252" t="str">
            <v>https://www.smwcentral.net/?a=details&amp;id=22328&amp;p=section</v>
          </cell>
          <cell r="J1252" t="str">
            <v>https://dl.smwcentral.net/22328/New%20Schlitterbahn%20Yoshi%20World%201.zip</v>
          </cell>
        </row>
        <row r="1253">
          <cell r="A1253" t="str">
            <v>New Sonic Generations</v>
          </cell>
          <cell r="B1253" t="str">
            <v>New Sonic Generations</v>
          </cell>
          <cell r="C1253" t="str">
            <v>sholmes</v>
          </cell>
          <cell r="D1253">
            <v>14</v>
          </cell>
          <cell r="E1253" t="str">
            <v>Expert</v>
          </cell>
          <cell r="F1253" t="str">
            <v>Kaizo</v>
          </cell>
          <cell r="G1253">
            <v>45267</v>
          </cell>
          <cell r="H1253" t="str">
            <v>35115</v>
          </cell>
          <cell r="I1253" t="str">
            <v>https://www.smwcentral.net/?a=details&amp;id=35115&amp;p=section</v>
          </cell>
          <cell r="J1253" t="str">
            <v>https://dl.smwcentral.net/35115/New%20Sonic%20Generations.zip</v>
          </cell>
        </row>
        <row r="1254">
          <cell r="A1254" t="str">
            <v>New Super Kaizo Bros.</v>
          </cell>
          <cell r="B1254" t="str">
            <v>New Super Kaizo Bros.</v>
          </cell>
          <cell r="C1254" t="str">
            <v>Yagami</v>
          </cell>
          <cell r="D1254">
            <v>24</v>
          </cell>
          <cell r="E1254" t="str">
            <v>Expert</v>
          </cell>
          <cell r="F1254" t="str">
            <v>Kaizo</v>
          </cell>
          <cell r="G1254">
            <v>43537</v>
          </cell>
          <cell r="H1254" t="str">
            <v>19180</v>
          </cell>
          <cell r="I1254" t="str">
            <v>https://www.smwcentral.net/?a=details&amp;id=19180&amp;p=section</v>
          </cell>
          <cell r="J1254" t="str">
            <v>https://dl.smwcentral.net/19180/New%20Super%20Kaizo%20Bros%201.1.zip</v>
          </cell>
        </row>
        <row r="1255">
          <cell r="A1255" t="str">
            <v>New Super Mario Bros.</v>
          </cell>
          <cell r="B1255" t="str">
            <v>New Super Mario Bros.</v>
          </cell>
          <cell r="C1255" t="str">
            <v>Juga, icegoom</v>
          </cell>
          <cell r="D1255">
            <v>9</v>
          </cell>
          <cell r="E1255" t="str">
            <v>Newcomer</v>
          </cell>
          <cell r="F1255" t="str">
            <v>Standard</v>
          </cell>
          <cell r="G1255">
            <v>42057</v>
          </cell>
          <cell r="H1255" t="str">
            <v>9663</v>
          </cell>
          <cell r="I1255" t="str">
            <v>https://www.smwcentral.net/?a=details&amp;id=9663&amp;p=section</v>
          </cell>
          <cell r="J1255" t="str">
            <v>https://dl.smwcentral.net/9663/nsmb.zip</v>
          </cell>
        </row>
        <row r="1256">
          <cell r="A1256" t="str">
            <v>New Super Mario Bros. SNES</v>
          </cell>
          <cell r="B1256" t="str">
            <v>New Super Mario Bros. SNES</v>
          </cell>
          <cell r="C1256" t="str">
            <v>Mr. Pixelator</v>
          </cell>
          <cell r="D1256">
            <v>21</v>
          </cell>
          <cell r="E1256" t="str">
            <v>Casual</v>
          </cell>
          <cell r="F1256" t="str">
            <v>Standard</v>
          </cell>
          <cell r="G1256">
            <v>43051</v>
          </cell>
          <cell r="H1256" t="str">
            <v>16558</v>
          </cell>
          <cell r="I1256" t="str">
            <v>https://www.smwcentral.net/?a=details&amp;id=16558&amp;p=section</v>
          </cell>
          <cell r="J1256" t="str">
            <v>https://dl.smwcentral.net/16558/New%20Super%20Mario%20Bros.%20SNES%20%28Demo%202%29.zip</v>
          </cell>
        </row>
        <row r="1257">
          <cell r="A1257" t="str">
            <v>New Super Mario Bros: The Lost Levels</v>
          </cell>
          <cell r="B1257" t="str">
            <v>New Super Mario Bros: The Lost Levels</v>
          </cell>
          <cell r="C1257" t="str">
            <v>RickyMario</v>
          </cell>
          <cell r="D1257">
            <v>6</v>
          </cell>
          <cell r="E1257" t="str">
            <v>Newcomer</v>
          </cell>
          <cell r="F1257" t="str">
            <v>Standard</v>
          </cell>
          <cell r="G1257">
            <v>42104</v>
          </cell>
          <cell r="H1257" t="str">
            <v>9763</v>
          </cell>
          <cell r="I1257" t="str">
            <v>https://www.smwcentral.net/?a=details&amp;id=9763&amp;p=section</v>
          </cell>
          <cell r="J1257" t="str">
            <v>https://dl.smwcentral.net/9763/New%20Super%20Mario%20Lost.zip</v>
          </cell>
        </row>
        <row r="1258">
          <cell r="A1258" t="str">
            <v>New Super Mario Illusion</v>
          </cell>
          <cell r="B1258" t="str">
            <v>New Super Mario Illusion</v>
          </cell>
          <cell r="C1258" t="str">
            <v>K3Blue64</v>
          </cell>
          <cell r="D1258">
            <v>17</v>
          </cell>
          <cell r="E1258" t="str">
            <v>Newcomer</v>
          </cell>
          <cell r="F1258" t="str">
            <v>Standard</v>
          </cell>
          <cell r="G1258">
            <v>42252</v>
          </cell>
          <cell r="H1258" t="str">
            <v>9979</v>
          </cell>
          <cell r="I1258" t="str">
            <v>https://www.smwcentral.net/?a=details&amp;id=9979&amp;p=section</v>
          </cell>
          <cell r="J1258" t="str">
            <v>https://dl.smwcentral.net/9979/smi.zip</v>
          </cell>
        </row>
        <row r="1259">
          <cell r="A1259" t="str">
            <v>New Super Mario Land</v>
          </cell>
          <cell r="B1259" t="str">
            <v>New Super Mario Land</v>
          </cell>
          <cell r="C1259" t="str">
            <v>El Cuh Fermin</v>
          </cell>
          <cell r="D1259">
            <v>11</v>
          </cell>
          <cell r="E1259" t="str">
            <v>Intermediate</v>
          </cell>
          <cell r="F1259" t="str">
            <v>Standard</v>
          </cell>
          <cell r="G1259">
            <v>43701</v>
          </cell>
          <cell r="H1259" t="str">
            <v>20885</v>
          </cell>
          <cell r="I1259" t="str">
            <v>https://www.smwcentral.net/?a=details&amp;id=20885&amp;p=section</v>
          </cell>
          <cell r="J1259" t="str">
            <v>https://dl.smwcentral.net/20885/New%20Super%20Mario%20Land.zip</v>
          </cell>
        </row>
        <row r="1260">
          <cell r="A1260" t="str">
            <v>New Super Mario Pants World</v>
          </cell>
          <cell r="B1260" t="str">
            <v>New Super Mario Pants World</v>
          </cell>
          <cell r="C1260" t="str">
            <v>Romano338</v>
          </cell>
          <cell r="D1260">
            <v>11</v>
          </cell>
          <cell r="E1260" t="str">
            <v>Expert</v>
          </cell>
          <cell r="F1260" t="str">
            <v>Kaizo</v>
          </cell>
          <cell r="G1260">
            <v>43679</v>
          </cell>
          <cell r="H1260" t="str">
            <v>20656</v>
          </cell>
          <cell r="I1260" t="str">
            <v>https://www.smwcentral.net/?a=details&amp;id=20656&amp;p=section</v>
          </cell>
          <cell r="J1260" t="str">
            <v>https://dl.smwcentral.net/20656/NSMPW.zip</v>
          </cell>
        </row>
        <row r="1261">
          <cell r="A1261" t="str">
            <v>New Super Mario World 1: The Twelve Magic Orbs</v>
          </cell>
          <cell r="B1261" t="str">
            <v>New Super Mario World 1: The Twelve Magic Orbs</v>
          </cell>
          <cell r="C1261" t="str">
            <v>Pink Gold Peach</v>
          </cell>
          <cell r="D1261">
            <v>112</v>
          </cell>
          <cell r="E1261" t="str">
            <v>Intermediate</v>
          </cell>
          <cell r="F1261" t="str">
            <v>Standard</v>
          </cell>
          <cell r="G1261">
            <v>42610</v>
          </cell>
          <cell r="H1261" t="str">
            <v>14059</v>
          </cell>
          <cell r="I1261" t="str">
            <v>https://www.smwcentral.net/?a=details&amp;id=14059&amp;p=section</v>
          </cell>
          <cell r="J1261" t="str">
            <v>https://dl.smwcentral.net/14059/New%20Super%20Mario%20World%201%20The%2012%20Magic%20Orbs%201.4.zip</v>
          </cell>
        </row>
        <row r="1262">
          <cell r="A1262" t="str">
            <v>New Super Mario World 1: The Twelve Magic Orbs Powered-Up</v>
          </cell>
          <cell r="B1262" t="str">
            <v>New Super Mario World 1: The Twelve Magic Orbs Powered-Up</v>
          </cell>
          <cell r="C1262" t="str">
            <v>Pink Gold Peach</v>
          </cell>
          <cell r="D1262">
            <v>112</v>
          </cell>
          <cell r="E1262" t="str">
            <v>Intermediate</v>
          </cell>
          <cell r="F1262" t="str">
            <v>Standard</v>
          </cell>
          <cell r="G1262">
            <v>45184</v>
          </cell>
          <cell r="H1262" t="str">
            <v>34324</v>
          </cell>
          <cell r="I1262" t="str">
            <v>https://www.smwcentral.net/?a=details&amp;id=34324&amp;p=section</v>
          </cell>
          <cell r="J1262" t="str">
            <v>https://dl.smwcentral.net/34324/New%20Super%20Mario%20World%201%20The%20Twelve%20Magic%20Orbs%20POWERED-UP%20v1.1.zip</v>
          </cell>
        </row>
        <row r="1263">
          <cell r="A1263" t="str">
            <v>New Super Mario World 2: Around The World</v>
          </cell>
          <cell r="B1263" t="str">
            <v>New Super Mario World 2: Around The World</v>
          </cell>
          <cell r="C1263" t="str">
            <v>Pink Gold Peach</v>
          </cell>
          <cell r="D1263">
            <v>119</v>
          </cell>
          <cell r="E1263" t="str">
            <v>Advanced</v>
          </cell>
          <cell r="F1263" t="str">
            <v>Standard</v>
          </cell>
          <cell r="G1263">
            <v>43809</v>
          </cell>
          <cell r="H1263" t="str">
            <v>21541</v>
          </cell>
          <cell r="I1263" t="str">
            <v>https://www.smwcentral.net/?a=details&amp;id=21541&amp;p=section</v>
          </cell>
          <cell r="J1263" t="str">
            <v>https://dl.smwcentral.net/21541/New%20Super%20Mario%20World%202%20Around%20The%20World.zip</v>
          </cell>
        </row>
        <row r="1264">
          <cell r="A1264" t="str">
            <v>New Super Mario World 2: Luigi's Quest</v>
          </cell>
          <cell r="B1264" t="str">
            <v>New Super Mario World 2: Luigi's Quest</v>
          </cell>
          <cell r="C1264" t="str">
            <v>Bullymario</v>
          </cell>
          <cell r="D1264">
            <v>100</v>
          </cell>
          <cell r="E1264" t="str">
            <v>Casual</v>
          </cell>
          <cell r="F1264" t="str">
            <v>Standard</v>
          </cell>
          <cell r="G1264">
            <v>45487</v>
          </cell>
          <cell r="H1264" t="str">
            <v>37998</v>
          </cell>
          <cell r="I1264" t="str">
            <v>https://www.smwcentral.net/?a=details&amp;id=37998&amp;p=section</v>
          </cell>
          <cell r="J1264" t="str">
            <v>https://dl.smwcentral.net/37998/NSMW2%20v2.2.1%20%28update%29.zip</v>
          </cell>
        </row>
        <row r="1265">
          <cell r="A1265" t="str">
            <v>New Super Mario World Edition 2023</v>
          </cell>
          <cell r="B1265" t="str">
            <v>New Super Mario World Edition 2023</v>
          </cell>
          <cell r="C1265" t="str">
            <v>Teaser</v>
          </cell>
          <cell r="D1265">
            <v>15</v>
          </cell>
          <cell r="E1265" t="str">
            <v>Casual</v>
          </cell>
          <cell r="F1265" t="str">
            <v>Standard</v>
          </cell>
          <cell r="G1265">
            <v>45020</v>
          </cell>
          <cell r="H1265" t="str">
            <v>33614</v>
          </cell>
          <cell r="I1265" t="str">
            <v>https://www.smwcentral.net/?a=details&amp;id=33614&amp;p=section</v>
          </cell>
          <cell r="J1265" t="str">
            <v>https://dl.smwcentral.net/33614/NSMWE%202023%20Demo%20Pt-Br%20%2B%20Usa%20Ver%201.1.zip</v>
          </cell>
        </row>
        <row r="1266">
          <cell r="A1266" t="str">
            <v>New Super Mario World: The Seven Crystals of Peace</v>
          </cell>
          <cell r="B1266" t="str">
            <v>New Super Mario World: The Seven Crystals of Peace</v>
          </cell>
          <cell r="C1266" t="str">
            <v>Zamo</v>
          </cell>
          <cell r="D1266">
            <v>17</v>
          </cell>
          <cell r="E1266" t="str">
            <v>Casual</v>
          </cell>
          <cell r="F1266" t="str">
            <v>Standard</v>
          </cell>
          <cell r="G1266">
            <v>41556</v>
          </cell>
          <cell r="H1266" t="str">
            <v>5473</v>
          </cell>
          <cell r="I1266" t="str">
            <v>https://www.smwcentral.net/?a=details&amp;id=5473&amp;p=section</v>
          </cell>
          <cell r="J1266" t="str">
            <v>https://dl.smwcentral.net/5473/hack.zip</v>
          </cell>
        </row>
        <row r="1267">
          <cell r="A1267" t="str">
            <v>New Territory</v>
          </cell>
          <cell r="B1267" t="str">
            <v>New Territory</v>
          </cell>
          <cell r="C1267" t="str">
            <v>Starboi's Coffee</v>
          </cell>
          <cell r="D1267">
            <v>8</v>
          </cell>
          <cell r="E1267" t="str">
            <v>Casual</v>
          </cell>
          <cell r="F1267" t="str">
            <v>Standard</v>
          </cell>
          <cell r="G1267">
            <v>43320</v>
          </cell>
          <cell r="H1267" t="str">
            <v>17987</v>
          </cell>
          <cell r="I1267" t="str">
            <v>https://www.smwcentral.net/?a=details&amp;id=17987&amp;p=section</v>
          </cell>
          <cell r="J1267" t="str">
            <v>https://dl.smwcentral.net/17987/NewTerritory%20v1.2%20DEMO.zip</v>
          </cell>
        </row>
        <row r="1268">
          <cell r="A1268" t="str">
            <v>NEW! Super Mario Land returns</v>
          </cell>
          <cell r="B1268" t="str">
            <v>NEW! Super Mario Land returns</v>
          </cell>
          <cell r="C1268" t="str">
            <v>Stivi</v>
          </cell>
          <cell r="D1268">
            <v>11</v>
          </cell>
          <cell r="E1268" t="str">
            <v>Intermediate</v>
          </cell>
          <cell r="F1268" t="str">
            <v>Standard</v>
          </cell>
          <cell r="G1268">
            <v>42555</v>
          </cell>
          <cell r="H1268" t="str">
            <v>13845</v>
          </cell>
          <cell r="I1268" t="str">
            <v>https://www.smwcentral.net/?a=details&amp;id=13845&amp;p=section</v>
          </cell>
          <cell r="J1268" t="str">
            <v>https://dl.smwcentral.net/13845/NSMLR%20demo.zip</v>
          </cell>
        </row>
        <row r="1269">
          <cell r="A1269" t="str">
            <v>new.sfc</v>
          </cell>
          <cell r="B1269" t="str">
            <v>new.sfc</v>
          </cell>
          <cell r="C1269" t="str">
            <v>danwaleby</v>
          </cell>
          <cell r="D1269">
            <v>1</v>
          </cell>
          <cell r="E1269" t="str">
            <v>Intermediate</v>
          </cell>
          <cell r="F1269" t="str">
            <v>Standard</v>
          </cell>
          <cell r="G1269">
            <v>43841</v>
          </cell>
          <cell r="H1269" t="str">
            <v>21909</v>
          </cell>
          <cell r="I1269" t="str">
            <v>https://www.smwcentral.net/?a=details&amp;id=21909&amp;p=section</v>
          </cell>
          <cell r="J1269" t="str">
            <v>https://dl.smwcentral.net/21909/newDOTsfc.zip</v>
          </cell>
        </row>
        <row r="1270">
          <cell r="A1270" t="str">
            <v>Newbie Kaizo World</v>
          </cell>
          <cell r="B1270" t="str">
            <v>Newbie Kaizo World</v>
          </cell>
          <cell r="C1270" t="str">
            <v>Azula16</v>
          </cell>
          <cell r="D1270">
            <v>11</v>
          </cell>
          <cell r="E1270" t="str">
            <v>Advanced</v>
          </cell>
          <cell r="F1270" t="str">
            <v>Kaizo</v>
          </cell>
          <cell r="G1270">
            <v>44573</v>
          </cell>
          <cell r="H1270" t="str">
            <v>29486</v>
          </cell>
          <cell r="I1270" t="str">
            <v>https://www.smwcentral.net/?a=details&amp;id=29486&amp;p=section</v>
          </cell>
          <cell r="J1270" t="str">
            <v>https://dl.smwcentral.net/29486/Newbie%20Kaizo%20World%20v2.zip</v>
          </cell>
        </row>
        <row r="1271">
          <cell r="A1271" t="str">
            <v>Nextl - Summer Special Demo</v>
          </cell>
          <cell r="B1271" t="str">
            <v>Nextl - Summer Special Demo</v>
          </cell>
          <cell r="C1271" t="str">
            <v>Yavooti</v>
          </cell>
          <cell r="D1271">
            <v>7</v>
          </cell>
          <cell r="E1271" t="str">
            <v>Casual</v>
          </cell>
          <cell r="F1271" t="str">
            <v>Standard</v>
          </cell>
          <cell r="G1271">
            <v>44754</v>
          </cell>
          <cell r="H1271" t="str">
            <v>31323</v>
          </cell>
          <cell r="I1271" t="str">
            <v>https://www.smwcentral.net/?a=details&amp;id=31323&amp;p=section</v>
          </cell>
          <cell r="J1271" t="str">
            <v>https://dl.smwcentral.net/31323/Nextl_-_Summer_Special_Demo_Release_10_juli_22.zip</v>
          </cell>
        </row>
        <row r="1272">
          <cell r="A1272" t="str">
            <v>Nextl: Christmas Chronicles - Demo</v>
          </cell>
          <cell r="B1272" t="str">
            <v>Nextl: Christmas Chronicles - Demo</v>
          </cell>
          <cell r="C1272" t="str">
            <v>Yavooti</v>
          </cell>
          <cell r="D1272">
            <v>6</v>
          </cell>
          <cell r="E1272" t="str">
            <v>Casual</v>
          </cell>
          <cell r="F1272" t="str">
            <v>Standard</v>
          </cell>
          <cell r="G1272">
            <v>44573</v>
          </cell>
          <cell r="H1272" t="str">
            <v>29066</v>
          </cell>
          <cell r="I1272" t="str">
            <v>https://www.smwcentral.net/?a=details&amp;id=29066&amp;p=section</v>
          </cell>
          <cell r="J1272" t="str">
            <v>https://dl.smwcentral.net/29066/Nextl_Christmas_Demo_-_1.1_.zip</v>
          </cell>
        </row>
        <row r="1273">
          <cell r="A1273" t="str">
            <v>NH World</v>
          </cell>
          <cell r="B1273" t="str">
            <v>NH World</v>
          </cell>
          <cell r="C1273" t="str">
            <v>l337f00l</v>
          </cell>
          <cell r="D1273">
            <v>6</v>
          </cell>
          <cell r="E1273" t="str">
            <v>Intermediate</v>
          </cell>
          <cell r="F1273" t="str">
            <v>Kaizo</v>
          </cell>
          <cell r="G1273">
            <v>45975</v>
          </cell>
          <cell r="H1273" t="str">
            <v>41036</v>
          </cell>
          <cell r="I1273" t="str">
            <v>https://www.smwcentral.net/?a=details&amp;id=41036&amp;p=section</v>
          </cell>
          <cell r="J1273" t="str">
            <v>https://dl.smwcentral.net/41036/NHWorld.v1.3.zip</v>
          </cell>
        </row>
        <row r="1274">
          <cell r="A1274" t="str">
            <v>NH World 2</v>
          </cell>
          <cell r="B1274" t="str">
            <v>NH World 2</v>
          </cell>
          <cell r="C1274" t="str">
            <v>l337f00l</v>
          </cell>
          <cell r="D1274">
            <v>10</v>
          </cell>
          <cell r="E1274" t="str">
            <v>Expert</v>
          </cell>
          <cell r="F1274" t="str">
            <v>Kaizo</v>
          </cell>
          <cell r="G1274">
            <v>45761</v>
          </cell>
          <cell r="H1274" t="str">
            <v>39731</v>
          </cell>
          <cell r="I1274" t="str">
            <v>https://www.smwcentral.net/?a=details&amp;id=39731&amp;p=section</v>
          </cell>
          <cell r="J1274" t="str">
            <v>https://dl.smwcentral.net/39731/NH_World_2.zip</v>
          </cell>
        </row>
        <row r="1275">
          <cell r="A1275" t="str">
            <v>Nightmare cafe</v>
          </cell>
          <cell r="B1275" t="str">
            <v>Nightmare cafe</v>
          </cell>
          <cell r="C1275" t="str">
            <v>Lush_50</v>
          </cell>
          <cell r="D1275">
            <v>0</v>
          </cell>
          <cell r="E1275" t="str">
            <v>Intermediate</v>
          </cell>
          <cell r="F1275" t="str">
            <v>Kaizo</v>
          </cell>
          <cell r="G1275">
            <v>44331</v>
          </cell>
          <cell r="H1275" t="str">
            <v>27026</v>
          </cell>
          <cell r="I1275" t="str">
            <v>https://www.smwcentral.net/?a=details&amp;id=27026&amp;p=section</v>
          </cell>
          <cell r="J1275" t="str">
            <v>https://dl.smwcentral.net/27026/Nightmare%20cafe%20v1.1.zip</v>
          </cell>
        </row>
        <row r="1276">
          <cell r="A1276" t="str">
            <v>Nightmare cafe - Ninji's Adventure</v>
          </cell>
          <cell r="B1276" t="str">
            <v>Nightmare cafe - Ninji's Adventure</v>
          </cell>
          <cell r="C1276" t="str">
            <v>Lush_50</v>
          </cell>
          <cell r="D1276">
            <v>1</v>
          </cell>
          <cell r="E1276" t="str">
            <v>Advanced</v>
          </cell>
          <cell r="F1276" t="str">
            <v>Kaizo</v>
          </cell>
          <cell r="G1276">
            <v>45491</v>
          </cell>
          <cell r="H1276" t="str">
            <v>38111</v>
          </cell>
          <cell r="I1276" t="str">
            <v>https://www.smwcentral.net/?a=details&amp;id=38111&amp;p=section</v>
          </cell>
          <cell r="J1276" t="str">
            <v>https://dl.smwcentral.net/38111/Nightmare%20Cafe%20-%20Ninji%27s%20Adventure%20V1.0A.zip</v>
          </cell>
        </row>
        <row r="1277">
          <cell r="A1277" t="str">
            <v>Nightmare cafe II</v>
          </cell>
          <cell r="B1277" t="str">
            <v>Nightmare cafe II</v>
          </cell>
          <cell r="C1277" t="str">
            <v>Lush_50</v>
          </cell>
          <cell r="D1277">
            <v>0</v>
          </cell>
          <cell r="E1277" t="str">
            <v>Intermediate</v>
          </cell>
          <cell r="F1277" t="str">
            <v>Kaizo</v>
          </cell>
          <cell r="G1277">
            <v>44398</v>
          </cell>
          <cell r="H1277" t="str">
            <v>27739</v>
          </cell>
          <cell r="I1277" t="str">
            <v>https://www.smwcentral.net/?a=details&amp;id=27739&amp;p=section</v>
          </cell>
          <cell r="J1277" t="str">
            <v>https://dl.smwcentral.net/27739/Nightmare%20cafe%20II%20v1.3.zip</v>
          </cell>
        </row>
        <row r="1278">
          <cell r="A1278" t="str">
            <v>Nightmare cafe III</v>
          </cell>
          <cell r="B1278" t="str">
            <v>Nightmare cafe III</v>
          </cell>
          <cell r="C1278" t="str">
            <v>Lush_50</v>
          </cell>
          <cell r="D1278">
            <v>0</v>
          </cell>
          <cell r="E1278" t="str">
            <v>Intermediate</v>
          </cell>
          <cell r="F1278" t="str">
            <v>Kaizo</v>
          </cell>
          <cell r="G1278">
            <v>44398</v>
          </cell>
          <cell r="H1278" t="str">
            <v>27737</v>
          </cell>
          <cell r="I1278" t="str">
            <v>https://www.smwcentral.net/?a=details&amp;id=27737&amp;p=section</v>
          </cell>
          <cell r="J1278" t="str">
            <v>https://dl.smwcentral.net/27737/Nightmare%20cafe%20III%20V1.3.zip</v>
          </cell>
        </row>
        <row r="1279">
          <cell r="A1279" t="str">
            <v>Nightmare cafe IV</v>
          </cell>
          <cell r="B1279" t="str">
            <v>Nightmare cafe IV</v>
          </cell>
          <cell r="C1279" t="str">
            <v>Lush_50</v>
          </cell>
          <cell r="D1279">
            <v>0</v>
          </cell>
          <cell r="E1279" t="str">
            <v>Intermediate</v>
          </cell>
          <cell r="F1279" t="str">
            <v>Kaizo</v>
          </cell>
          <cell r="G1279">
            <v>44398</v>
          </cell>
          <cell r="H1279" t="str">
            <v>27735</v>
          </cell>
          <cell r="I1279" t="str">
            <v>https://www.smwcentral.net/?a=details&amp;id=27735&amp;p=section</v>
          </cell>
          <cell r="J1279" t="str">
            <v>https://dl.smwcentral.net/27735/Nightmare%20cafe%20IV%20V1.3.zip</v>
          </cell>
        </row>
        <row r="1280">
          <cell r="A1280" t="str">
            <v>Nightmare cafe IX</v>
          </cell>
          <cell r="B1280" t="str">
            <v>Nightmare cafe IX</v>
          </cell>
          <cell r="C1280" t="str">
            <v>Lush_50</v>
          </cell>
          <cell r="D1280">
            <v>0</v>
          </cell>
          <cell r="E1280" t="str">
            <v>Intermediate</v>
          </cell>
          <cell r="F1280" t="str">
            <v>Kaizo</v>
          </cell>
          <cell r="G1280">
            <v>44398</v>
          </cell>
          <cell r="H1280" t="str">
            <v>27776</v>
          </cell>
          <cell r="I1280" t="str">
            <v>https://www.smwcentral.net/?a=details&amp;id=27776&amp;p=section</v>
          </cell>
          <cell r="J1280" t="str">
            <v>https://dl.smwcentral.net/27776/Nightmare%20cafe%20IX%20v1.0.zip</v>
          </cell>
        </row>
        <row r="1281">
          <cell r="A1281" t="str">
            <v>Nightmare cafe origins</v>
          </cell>
          <cell r="B1281" t="str">
            <v>Nightmare cafe origins</v>
          </cell>
          <cell r="C1281" t="str">
            <v>Lush_50</v>
          </cell>
          <cell r="D1281">
            <v>1</v>
          </cell>
          <cell r="E1281" t="str">
            <v>Advanced</v>
          </cell>
          <cell r="F1281" t="str">
            <v>Kaizo</v>
          </cell>
          <cell r="G1281">
            <v>45458</v>
          </cell>
          <cell r="H1281" t="str">
            <v>37949</v>
          </cell>
          <cell r="I1281" t="str">
            <v>https://www.smwcentral.net/?a=details&amp;id=37949&amp;p=section</v>
          </cell>
          <cell r="J1281" t="str">
            <v>https://dl.smwcentral.net/37949/Nightmare%20Cafe%20Origins%20V1.0.zip</v>
          </cell>
        </row>
        <row r="1282">
          <cell r="A1282" t="str">
            <v>Nightmare cafe seasons</v>
          </cell>
          <cell r="B1282" t="str">
            <v>Nightmare cafe seasons</v>
          </cell>
          <cell r="C1282" t="str">
            <v>Lush_50</v>
          </cell>
          <cell r="D1282">
            <v>1</v>
          </cell>
          <cell r="E1282" t="str">
            <v>Advanced</v>
          </cell>
          <cell r="F1282" t="str">
            <v>Kaizo</v>
          </cell>
          <cell r="G1282">
            <v>45641</v>
          </cell>
          <cell r="H1282" t="str">
            <v>38934</v>
          </cell>
          <cell r="I1282" t="str">
            <v>https://www.smwcentral.net/?a=details&amp;id=38934&amp;p=section</v>
          </cell>
          <cell r="J1282" t="str">
            <v>https://dl.smwcentral.net/38934/Nightmare%20Cafe%20Seasons%20V1.0%20%2B%20Credits.zip</v>
          </cell>
        </row>
        <row r="1283">
          <cell r="A1283" t="str">
            <v>Nightmare cafe V</v>
          </cell>
          <cell r="B1283" t="str">
            <v>Nightmare cafe V</v>
          </cell>
          <cell r="C1283" t="str">
            <v>Lush_50</v>
          </cell>
          <cell r="D1283">
            <v>0</v>
          </cell>
          <cell r="E1283" t="str">
            <v>Intermediate</v>
          </cell>
          <cell r="F1283" t="str">
            <v>Kaizo</v>
          </cell>
          <cell r="G1283">
            <v>44396</v>
          </cell>
          <cell r="H1283" t="str">
            <v>27732</v>
          </cell>
          <cell r="I1283" t="str">
            <v>https://www.smwcentral.net/?a=details&amp;id=27732&amp;p=section</v>
          </cell>
          <cell r="J1283" t="str">
            <v>https://dl.smwcentral.net/27732/Nightmare%20cafe%20V%20v1.3.zip</v>
          </cell>
        </row>
        <row r="1284">
          <cell r="A1284" t="str">
            <v>Nightmare cafe VI</v>
          </cell>
          <cell r="B1284" t="str">
            <v>Nightmare cafe VI</v>
          </cell>
          <cell r="C1284" t="str">
            <v>Lush_50</v>
          </cell>
          <cell r="D1284">
            <v>0</v>
          </cell>
          <cell r="E1284" t="str">
            <v>Intermediate</v>
          </cell>
          <cell r="F1284" t="str">
            <v>Kaizo</v>
          </cell>
          <cell r="G1284">
            <v>44396</v>
          </cell>
          <cell r="H1284" t="str">
            <v>27733</v>
          </cell>
          <cell r="I1284" t="str">
            <v>https://www.smwcentral.net/?a=details&amp;id=27733&amp;p=section</v>
          </cell>
          <cell r="J1284" t="str">
            <v>https://dl.smwcentral.net/27733/Nightmare%20Cafe%20VI%201.3.zip</v>
          </cell>
        </row>
        <row r="1285">
          <cell r="A1285" t="str">
            <v>Nightmare cafe VII</v>
          </cell>
          <cell r="B1285" t="str">
            <v>Nightmare cafe VII</v>
          </cell>
          <cell r="C1285" t="str">
            <v>Lush_50</v>
          </cell>
          <cell r="D1285">
            <v>0</v>
          </cell>
          <cell r="E1285" t="str">
            <v>Intermediate</v>
          </cell>
          <cell r="F1285" t="str">
            <v>Kaizo</v>
          </cell>
          <cell r="G1285">
            <v>44398</v>
          </cell>
          <cell r="H1285" t="str">
            <v>27734</v>
          </cell>
          <cell r="I1285" t="str">
            <v>https://www.smwcentral.net/?a=details&amp;id=27734&amp;p=section</v>
          </cell>
          <cell r="J1285" t="str">
            <v>https://dl.smwcentral.net/27734/Nightmare%20cafe%20VII%20v1.3.zip</v>
          </cell>
        </row>
        <row r="1286">
          <cell r="A1286" t="str">
            <v>Nightmare cafe VIII</v>
          </cell>
          <cell r="B1286" t="str">
            <v>Nightmare cafe VIII</v>
          </cell>
          <cell r="C1286" t="str">
            <v>Lush_50</v>
          </cell>
          <cell r="D1286">
            <v>0</v>
          </cell>
          <cell r="E1286" t="str">
            <v>Intermediate</v>
          </cell>
          <cell r="F1286" t="str">
            <v>Kaizo</v>
          </cell>
          <cell r="G1286">
            <v>44398</v>
          </cell>
          <cell r="H1286" t="str">
            <v>27738</v>
          </cell>
          <cell r="I1286" t="str">
            <v>https://www.smwcentral.net/?a=details&amp;id=27738&amp;p=section</v>
          </cell>
          <cell r="J1286" t="str">
            <v>https://dl.smwcentral.net/27738/Nightmare%20cafe%20VIII%20v1.3.zip</v>
          </cell>
        </row>
        <row r="1287">
          <cell r="A1287" t="str">
            <v>Nightmare cafe X</v>
          </cell>
          <cell r="B1287" t="str">
            <v>Nightmare cafe X</v>
          </cell>
          <cell r="C1287" t="str">
            <v>Lush_50</v>
          </cell>
          <cell r="D1287">
            <v>0</v>
          </cell>
          <cell r="E1287" t="str">
            <v>Intermediate</v>
          </cell>
          <cell r="F1287" t="str">
            <v>Kaizo</v>
          </cell>
          <cell r="G1287">
            <v>44398</v>
          </cell>
          <cell r="H1287" t="str">
            <v>27778</v>
          </cell>
          <cell r="I1287" t="str">
            <v>https://www.smwcentral.net/?a=details&amp;id=27778&amp;p=section</v>
          </cell>
          <cell r="J1287" t="str">
            <v>https://dl.smwcentral.net/27778/Nightmare%20cafe%20X%20v1.0.zip</v>
          </cell>
        </row>
        <row r="1288">
          <cell r="A1288" t="str">
            <v>Nightmares</v>
          </cell>
          <cell r="B1288" t="str">
            <v>Nightmares</v>
          </cell>
          <cell r="C1288" t="str">
            <v>Panicdream1</v>
          </cell>
          <cell r="D1288">
            <v>16</v>
          </cell>
          <cell r="E1288" t="str">
            <v>Expert</v>
          </cell>
          <cell r="F1288" t="str">
            <v>Kaizo</v>
          </cell>
          <cell r="G1288">
            <v>44712</v>
          </cell>
          <cell r="H1288" t="str">
            <v>31053</v>
          </cell>
          <cell r="I1288" t="str">
            <v>https://www.smwcentral.net/?a=details&amp;id=31053&amp;p=section</v>
          </cell>
          <cell r="J1288" t="str">
            <v>https://dl.smwcentral.net/31053/Nightmares.zip</v>
          </cell>
        </row>
        <row r="1289">
          <cell r="A1289" t="str">
            <v>Ninja World</v>
          </cell>
          <cell r="B1289" t="str">
            <v>Ninja World</v>
          </cell>
          <cell r="C1289" t="str">
            <v>VLSkoot</v>
          </cell>
          <cell r="D1289">
            <v>16</v>
          </cell>
          <cell r="E1289" t="str">
            <v>Advanced</v>
          </cell>
          <cell r="F1289" t="str">
            <v>Kaizo</v>
          </cell>
          <cell r="G1289">
            <v>43386</v>
          </cell>
          <cell r="H1289" t="str">
            <v>18284</v>
          </cell>
          <cell r="I1289" t="str">
            <v>https://www.smwcentral.net/?a=details&amp;id=18284&amp;p=section</v>
          </cell>
          <cell r="J1289" t="str">
            <v>https://dl.smwcentral.net/18284/Ninja%20World%20v1.2.zip</v>
          </cell>
        </row>
        <row r="1290">
          <cell r="A1290" t="str">
            <v>Ninja World 2</v>
          </cell>
          <cell r="B1290" t="str">
            <v>Ninja World 2</v>
          </cell>
          <cell r="C1290" t="str">
            <v>VLSkoot</v>
          </cell>
          <cell r="D1290">
            <v>20</v>
          </cell>
          <cell r="E1290" t="str">
            <v>Expert</v>
          </cell>
          <cell r="F1290" t="str">
            <v>Kaizo</v>
          </cell>
          <cell r="G1290">
            <v>43680</v>
          </cell>
          <cell r="H1290" t="str">
            <v>20801</v>
          </cell>
          <cell r="I1290" t="str">
            <v>https://www.smwcentral.net/?a=details&amp;id=20801&amp;p=section</v>
          </cell>
          <cell r="J1290" t="str">
            <v>https://dl.smwcentral.net/20801/Ninja%20World%202.zip</v>
          </cell>
        </row>
        <row r="1291">
          <cell r="A1291" t="str">
            <v>Ninja World 3</v>
          </cell>
          <cell r="B1291" t="str">
            <v>Ninja World 3</v>
          </cell>
          <cell r="C1291" t="str">
            <v>VLSkoot</v>
          </cell>
          <cell r="D1291">
            <v>12</v>
          </cell>
          <cell r="E1291" t="str">
            <v>Expert</v>
          </cell>
          <cell r="F1291" t="str">
            <v>Kaizo</v>
          </cell>
          <cell r="G1291">
            <v>43963</v>
          </cell>
          <cell r="H1291" t="str">
            <v>22901</v>
          </cell>
          <cell r="I1291" t="str">
            <v>https://www.smwcentral.net/?a=details&amp;id=22901&amp;p=section</v>
          </cell>
          <cell r="J1291" t="str">
            <v>https://dl.smwcentral.net/22901/Ninja%20World%203.zip</v>
          </cell>
        </row>
        <row r="1292">
          <cell r="A1292" t="str">
            <v>Ninji Burst!</v>
          </cell>
          <cell r="B1292" t="str">
            <v>Ninji Burst!</v>
          </cell>
          <cell r="C1292" t="str">
            <v>1UPdudes</v>
          </cell>
          <cell r="D1292">
            <v>14</v>
          </cell>
          <cell r="E1292" t="str">
            <v>Advanced</v>
          </cell>
          <cell r="F1292" t="str">
            <v>Standard</v>
          </cell>
          <cell r="G1292">
            <v>46029</v>
          </cell>
          <cell r="H1292" t="str">
            <v>41388</v>
          </cell>
          <cell r="I1292" t="str">
            <v>https://www.smwcentral.net/?a=details&amp;id=41388&amp;p=section</v>
          </cell>
          <cell r="J1292" t="str">
            <v>https://dl.smwcentral.net/41388/NinjiBurstV1.5.zip</v>
          </cell>
        </row>
        <row r="1293">
          <cell r="A1293" t="str">
            <v>Ninji Story + Mario mode</v>
          </cell>
          <cell r="B1293" t="str">
            <v>Ninji Story + Mario mode</v>
          </cell>
          <cell r="C1293" t="str">
            <v>Lush_50</v>
          </cell>
          <cell r="D1293">
            <v>27</v>
          </cell>
          <cell r="E1293" t="str">
            <v>Intermediate</v>
          </cell>
          <cell r="F1293" t="str">
            <v>Kaizo</v>
          </cell>
          <cell r="G1293">
            <v>44405</v>
          </cell>
          <cell r="H1293" t="str">
            <v>27585</v>
          </cell>
          <cell r="I1293" t="str">
            <v>https://www.smwcentral.net/?a=details&amp;id=27585&amp;p=section</v>
          </cell>
          <cell r="J1293" t="str">
            <v>https://dl.smwcentral.net/27585/Ninji%20story%20v1.1%20%2B%20Mario%20mode.zip</v>
          </cell>
        </row>
        <row r="1294">
          <cell r="A1294" t="str">
            <v>Ninji Story 2</v>
          </cell>
          <cell r="B1294" t="str">
            <v>Ninji Story 2</v>
          </cell>
          <cell r="C1294" t="str">
            <v>Lush_50</v>
          </cell>
          <cell r="D1294">
            <v>19</v>
          </cell>
          <cell r="E1294" t="str">
            <v>Expert</v>
          </cell>
          <cell r="F1294" t="str">
            <v>Kaizo</v>
          </cell>
          <cell r="G1294">
            <v>45305</v>
          </cell>
          <cell r="H1294" t="str">
            <v>35775</v>
          </cell>
          <cell r="I1294" t="str">
            <v>https://www.smwcentral.net/?a=details&amp;id=35775&amp;p=section</v>
          </cell>
          <cell r="J1294" t="str">
            <v>https://dl.smwcentral.net/35775/Ninji%20Story%202%20V1.0B.zip</v>
          </cell>
        </row>
        <row r="1295">
          <cell r="A1295" t="str">
            <v>Ninpp World</v>
          </cell>
          <cell r="B1295" t="str">
            <v>Ninpp World</v>
          </cell>
          <cell r="C1295" t="str">
            <v>TheTrueCommonSense</v>
          </cell>
          <cell r="D1295">
            <v>20</v>
          </cell>
          <cell r="E1295" t="str">
            <v>Expert</v>
          </cell>
          <cell r="F1295" t="str">
            <v>Kaizo</v>
          </cell>
          <cell r="G1295">
            <v>46212</v>
          </cell>
          <cell r="H1295" t="str">
            <v>42653</v>
          </cell>
          <cell r="I1295" t="str">
            <v>https://www.smwcentral.net/?a=details&amp;id=42653&amp;p=section</v>
          </cell>
          <cell r="J1295" t="str">
            <v>https://dl.smwcentral.net/42653/Ninpp%20World.zip</v>
          </cell>
        </row>
        <row r="1296">
          <cell r="A1296" t="str">
            <v>Nintense</v>
          </cell>
          <cell r="B1296" t="str">
            <v>Nintense</v>
          </cell>
          <cell r="C1296" t="str">
            <v>GunmaKuma</v>
          </cell>
          <cell r="D1296">
            <v>17</v>
          </cell>
          <cell r="E1296" t="str">
            <v>Expert</v>
          </cell>
          <cell r="F1296" t="str">
            <v>Kaizo</v>
          </cell>
          <cell r="G1296">
            <v>44445</v>
          </cell>
          <cell r="H1296" t="str">
            <v>28233</v>
          </cell>
          <cell r="I1296" t="str">
            <v>https://www.smwcentral.net/?a=details&amp;id=28233&amp;p=section</v>
          </cell>
          <cell r="J1296" t="str">
            <v>https://dl.smwcentral.net/28233/Nintense.zip</v>
          </cell>
        </row>
        <row r="1297">
          <cell r="A1297" t="str">
            <v>Nissay's beginning</v>
          </cell>
          <cell r="B1297" t="str">
            <v>Nissay's beginning</v>
          </cell>
          <cell r="C1297" t="str">
            <v>NissayTheCat, Yagami</v>
          </cell>
          <cell r="D1297">
            <v>1</v>
          </cell>
          <cell r="E1297" t="str">
            <v>Advanced</v>
          </cell>
          <cell r="F1297" t="str">
            <v>Kaizo</v>
          </cell>
          <cell r="G1297">
            <v>44263</v>
          </cell>
          <cell r="H1297" t="str">
            <v>26287</v>
          </cell>
          <cell r="I1297" t="str">
            <v>https://www.smwcentral.net/?a=details&amp;id=26287&amp;p=section</v>
          </cell>
          <cell r="J1297" t="str">
            <v>https://dl.smwcentral.net/26287/NTC_2.0.zip</v>
          </cell>
        </row>
        <row r="1298">
          <cell r="A1298" t="str">
            <v>No Biggie World</v>
          </cell>
          <cell r="B1298" t="str">
            <v>No Biggie World</v>
          </cell>
          <cell r="C1298" t="str">
            <v>Stunyboy</v>
          </cell>
          <cell r="D1298">
            <v>12</v>
          </cell>
          <cell r="E1298" t="str">
            <v>Expert</v>
          </cell>
          <cell r="F1298" t="str">
            <v>Kaizo</v>
          </cell>
          <cell r="G1298">
            <v>44840</v>
          </cell>
          <cell r="H1298" t="str">
            <v>32178</v>
          </cell>
          <cell r="I1298" t="str">
            <v>https://www.smwcentral.net/?a=details&amp;id=32178&amp;p=section</v>
          </cell>
          <cell r="J1298" t="str">
            <v>https://dl.smwcentral.net/32178/NoBiggieWorld1.1.zip</v>
          </cell>
        </row>
        <row r="1299">
          <cell r="A1299" t="str">
            <v>no name</v>
          </cell>
          <cell r="B1299" t="str">
            <v>no name</v>
          </cell>
          <cell r="C1299" t="str">
            <v>Daizo Dee Von</v>
          </cell>
          <cell r="D1299">
            <v>9</v>
          </cell>
          <cell r="E1299" t="str">
            <v>Advanced</v>
          </cell>
          <cell r="F1299" t="str">
            <v>Standard, Kaizo</v>
          </cell>
          <cell r="G1299">
            <v>44586</v>
          </cell>
          <cell r="H1299" t="str">
            <v>29572</v>
          </cell>
          <cell r="I1299" t="str">
            <v>https://www.smwcentral.net/?a=details&amp;id=29572&amp;p=section</v>
          </cell>
          <cell r="J1299" t="str">
            <v>https://dl.smwcentral.net/29572/%5BHack%5D%20no%20name.zip</v>
          </cell>
        </row>
        <row r="1300">
          <cell r="A1300" t="str">
            <v>No Villains</v>
          </cell>
          <cell r="B1300" t="str">
            <v>No Villains</v>
          </cell>
          <cell r="C1300" t="str">
            <v>Magikey</v>
          </cell>
          <cell r="D1300">
            <v>4</v>
          </cell>
          <cell r="E1300" t="str">
            <v>Master</v>
          </cell>
          <cell r="F1300" t="str">
            <v>Kaizo, Puzzle, Tool-Assisted</v>
          </cell>
          <cell r="G1300">
            <v>45799</v>
          </cell>
          <cell r="H1300" t="str">
            <v>39737</v>
          </cell>
          <cell r="I1300" t="str">
            <v>https://www.smwcentral.net/?a=details&amp;id=39737&amp;p=section</v>
          </cell>
          <cell r="J1300" t="str">
            <v>https://dl.smwcentral.net/39737/NoVillains.zip</v>
          </cell>
        </row>
        <row r="1301">
          <cell r="A1301" t="str">
            <v>Nobody Asked For This</v>
          </cell>
          <cell r="B1301" t="str">
            <v>Nobody Asked For This</v>
          </cell>
          <cell r="C1301" t="str">
            <v>Spirits</v>
          </cell>
          <cell r="D1301">
            <v>5</v>
          </cell>
          <cell r="E1301" t="str">
            <v>Expert</v>
          </cell>
          <cell r="F1301" t="str">
            <v>Kaizo</v>
          </cell>
          <cell r="G1301">
            <v>45003</v>
          </cell>
          <cell r="H1301" t="str">
            <v>33562</v>
          </cell>
          <cell r="I1301" t="str">
            <v>https://www.smwcentral.net/?a=details&amp;id=33562&amp;p=section</v>
          </cell>
          <cell r="J1301" t="str">
            <v>https://dl.smwcentral.net/33562/nobodyasked_1.0.zip</v>
          </cell>
        </row>
        <row r="1302">
          <cell r="A1302" t="str">
            <v>Noise's Fault</v>
          </cell>
          <cell r="B1302" t="str">
            <v>Noise's Fault</v>
          </cell>
          <cell r="C1302" t="str">
            <v>dacin</v>
          </cell>
          <cell r="D1302">
            <v>1</v>
          </cell>
          <cell r="E1302" t="str">
            <v>Grandmaster</v>
          </cell>
          <cell r="F1302" t="str">
            <v>Tool-Assisted, Pit</v>
          </cell>
          <cell r="G1302">
            <v>45403</v>
          </cell>
          <cell r="H1302" t="str">
            <v>37560</v>
          </cell>
          <cell r="I1302" t="str">
            <v>https://www.smwcentral.net/?a=details&amp;id=37560&amp;p=section</v>
          </cell>
          <cell r="J1302" t="str">
            <v>https://dl.smwcentral.net/37560/Noise%27s_Fault_1.1.zip</v>
          </cell>
        </row>
        <row r="1303">
          <cell r="A1303" t="str">
            <v>Nonsense</v>
          </cell>
          <cell r="B1303" t="str">
            <v>Nonsense</v>
          </cell>
          <cell r="C1303" t="str">
            <v>GbreezeSunset, MiracleWater, Various Authors</v>
          </cell>
          <cell r="D1303">
            <v>119</v>
          </cell>
          <cell r="E1303" t="str">
            <v>Expert</v>
          </cell>
          <cell r="F1303" t="str">
            <v>Standard</v>
          </cell>
          <cell r="G1303">
            <v>45433</v>
          </cell>
          <cell r="H1303" t="str">
            <v>37734</v>
          </cell>
          <cell r="I1303" t="str">
            <v>https://www.smwcentral.net/?a=details&amp;id=37734&amp;p=section</v>
          </cell>
          <cell r="J1303" t="str">
            <v>https://dl.smwcentral.net/37734/Nonsense%201.1.zip</v>
          </cell>
        </row>
        <row r="1304">
          <cell r="A1304" t="str">
            <v>Not Another Puzzle Hack</v>
          </cell>
          <cell r="B1304" t="str">
            <v>Not Another Puzzle Hack</v>
          </cell>
          <cell r="C1304" t="str">
            <v>TheBiob</v>
          </cell>
          <cell r="D1304">
            <v>20</v>
          </cell>
          <cell r="E1304" t="str">
            <v>Intermediate</v>
          </cell>
          <cell r="F1304" t="str">
            <v>Standard</v>
          </cell>
          <cell r="G1304">
            <v>43136</v>
          </cell>
          <cell r="H1304" t="str">
            <v>17088</v>
          </cell>
          <cell r="I1304" t="str">
            <v>https://www.smwcentral.net/?a=details&amp;id=17088&amp;p=section</v>
          </cell>
          <cell r="J1304" t="str">
            <v>https://dl.smwcentral.net/17088/naph.zip</v>
          </cell>
        </row>
        <row r="1305">
          <cell r="A1305" t="str">
            <v>Not Dracula's Castle</v>
          </cell>
          <cell r="B1305" t="str">
            <v>Not Dracula's Castle</v>
          </cell>
          <cell r="C1305" t="str">
            <v>Morsel</v>
          </cell>
          <cell r="D1305">
            <v>0</v>
          </cell>
          <cell r="E1305" t="str">
            <v>Master</v>
          </cell>
          <cell r="F1305" t="str">
            <v>Kaizo</v>
          </cell>
          <cell r="G1305">
            <v>43774</v>
          </cell>
          <cell r="H1305" t="str">
            <v>21406</v>
          </cell>
          <cell r="I1305" t="str">
            <v>https://www.smwcentral.net/?a=details&amp;id=21406&amp;p=section</v>
          </cell>
          <cell r="J1305" t="str">
            <v>https://dl.smwcentral.net/21406/dracula1.021.zip</v>
          </cell>
        </row>
        <row r="1306">
          <cell r="A1306" t="str">
            <v>NOT SO SADISTIC MARIO.</v>
          </cell>
          <cell r="B1306" t="str">
            <v>NOT SO SADISTIC MARIO.</v>
          </cell>
          <cell r="C1306" t="str">
            <v>lolyoshi</v>
          </cell>
          <cell r="D1306">
            <v>22</v>
          </cell>
          <cell r="E1306" t="str">
            <v>Advanced</v>
          </cell>
          <cell r="F1306" t="str">
            <v>Standard</v>
          </cell>
          <cell r="G1306">
            <v>43114</v>
          </cell>
          <cell r="H1306" t="str">
            <v>16909</v>
          </cell>
          <cell r="I1306" t="str">
            <v>https://www.smwcentral.net/?a=details&amp;id=16909&amp;p=section</v>
          </cell>
          <cell r="J1306" t="str">
            <v>https://dl.smwcentral.net/16909/NSSM_v0.2.zip</v>
          </cell>
        </row>
        <row r="1307">
          <cell r="A1307" t="str">
            <v>Nothing Crazy</v>
          </cell>
          <cell r="B1307" t="str">
            <v>Nothing Crazy</v>
          </cell>
          <cell r="C1307" t="str">
            <v>callmeCMDR</v>
          </cell>
          <cell r="D1307">
            <v>19</v>
          </cell>
          <cell r="E1307" t="str">
            <v>Intermediate</v>
          </cell>
          <cell r="F1307" t="str">
            <v>Standard</v>
          </cell>
          <cell r="G1307">
            <v>44266</v>
          </cell>
          <cell r="H1307" t="str">
            <v>25966</v>
          </cell>
          <cell r="I1307" t="str">
            <v>https://www.smwcentral.net/?a=details&amp;id=25966&amp;p=section</v>
          </cell>
          <cell r="J1307" t="str">
            <v>https://dl.smwcentral.net/25966/Nothing%20Crazy.zip</v>
          </cell>
        </row>
        <row r="1308">
          <cell r="A1308" t="str">
            <v>Nothing Special</v>
          </cell>
          <cell r="B1308" t="str">
            <v>Nothing Special</v>
          </cell>
          <cell r="C1308" t="str">
            <v>niko</v>
          </cell>
          <cell r="D1308">
            <v>32</v>
          </cell>
          <cell r="E1308" t="str">
            <v>Intermediate</v>
          </cell>
          <cell r="F1308" t="str">
            <v>Standard</v>
          </cell>
          <cell r="G1308">
            <v>42699</v>
          </cell>
          <cell r="H1308" t="str">
            <v>14689</v>
          </cell>
          <cell r="I1308" t="str">
            <v>https://www.smwcentral.net/?a=details&amp;id=14689&amp;p=section</v>
          </cell>
          <cell r="J1308" t="str">
            <v>https://dl.smwcentral.net/14689/Nothing%20Special%20Version%200.6.zip</v>
          </cell>
        </row>
        <row r="1309">
          <cell r="A1309" t="str">
            <v>Nothing Special (Remastered)</v>
          </cell>
          <cell r="B1309" t="str">
            <v>Nothing Special (Remastered)</v>
          </cell>
          <cell r="C1309" t="str">
            <v>niko</v>
          </cell>
          <cell r="D1309">
            <v>5</v>
          </cell>
          <cell r="E1309" t="str">
            <v>Intermediate</v>
          </cell>
          <cell r="F1309" t="str">
            <v>Standard</v>
          </cell>
          <cell r="G1309">
            <v>42709</v>
          </cell>
          <cell r="H1309" t="str">
            <v>14704</v>
          </cell>
          <cell r="I1309" t="str">
            <v>https://www.smwcentral.net/?a=details&amp;id=14704&amp;p=section</v>
          </cell>
          <cell r="J1309" t="str">
            <v>https://dl.smwcentral.net/14704/NS%20remastered%20music.zip</v>
          </cell>
        </row>
        <row r="1310">
          <cell r="A1310" t="str">
            <v>Nova Concept - a love letter to SIG</v>
          </cell>
          <cell r="B1310" t="str">
            <v>Nova Concept - a love letter to SIG</v>
          </cell>
          <cell r="C1310" t="str">
            <v>Nitrogen</v>
          </cell>
          <cell r="D1310">
            <v>12</v>
          </cell>
          <cell r="E1310" t="str">
            <v>Intermediate</v>
          </cell>
          <cell r="F1310" t="str">
            <v>Standard</v>
          </cell>
          <cell r="G1310">
            <v>44843</v>
          </cell>
          <cell r="H1310" t="str">
            <v>32303</v>
          </cell>
          <cell r="I1310" t="str">
            <v>https://www.smwcentral.net/?a=details&amp;id=32303&amp;p=section</v>
          </cell>
          <cell r="J1310" t="str">
            <v>https://dl.smwcentral.net/32303/Nova%20Concept%20-%20a%20love%20letter%20to%20SIG.zip</v>
          </cell>
        </row>
        <row r="1311">
          <cell r="A1311" t="str">
            <v>Nuatepra</v>
          </cell>
          <cell r="B1311" t="str">
            <v>Nuatepra</v>
          </cell>
          <cell r="C1311" t="str">
            <v>Aclais, ocked</v>
          </cell>
          <cell r="D1311">
            <v>22</v>
          </cell>
          <cell r="E1311" t="str">
            <v>Advanced</v>
          </cell>
          <cell r="F1311" t="str">
            <v>Kaizo</v>
          </cell>
          <cell r="G1311">
            <v>45399</v>
          </cell>
          <cell r="H1311" t="str">
            <v>37634</v>
          </cell>
          <cell r="I1311" t="str">
            <v>https://www.smwcentral.net/?a=details&amp;id=37634&amp;p=section</v>
          </cell>
          <cell r="J1311" t="str">
            <v>https://dl.smwcentral.net/37634/Nuatepra.zip</v>
          </cell>
        </row>
        <row r="1312">
          <cell r="A1312" t="str">
            <v>O Ninja Negro</v>
          </cell>
          <cell r="B1312" t="str">
            <v>O Ninja Negro</v>
          </cell>
          <cell r="C1312" t="str">
            <v>darken</v>
          </cell>
          <cell r="D1312">
            <v>39</v>
          </cell>
          <cell r="E1312" t="str">
            <v>Advanced</v>
          </cell>
          <cell r="F1312" t="str">
            <v>Standard</v>
          </cell>
          <cell r="G1312">
            <v>42671</v>
          </cell>
          <cell r="H1312" t="str">
            <v>14556</v>
          </cell>
          <cell r="I1312" t="str">
            <v>https://www.smwcentral.net/?a=details&amp;id=14556&amp;p=section</v>
          </cell>
          <cell r="J1312" t="str">
            <v>https://dl.smwcentral.net/14556/ONN.zip</v>
          </cell>
        </row>
        <row r="1313">
          <cell r="A1313" t="str">
            <v>O'Ghim!</v>
          </cell>
          <cell r="B1313" t="str">
            <v>O'Ghim!</v>
          </cell>
          <cell r="C1313" t="str">
            <v>microwave_brothr</v>
          </cell>
          <cell r="D1313">
            <v>28</v>
          </cell>
          <cell r="E1313" t="str">
            <v>Expert</v>
          </cell>
          <cell r="F1313" t="str">
            <v>Kaizo</v>
          </cell>
          <cell r="G1313">
            <v>44425</v>
          </cell>
          <cell r="H1313" t="str">
            <v>27992</v>
          </cell>
          <cell r="I1313" t="str">
            <v>https://www.smwcentral.net/?a=details&amp;id=27992&amp;p=section</v>
          </cell>
          <cell r="J1313" t="str">
            <v>https://dl.smwcentral.net/27992/GhimUpdate.zip</v>
          </cell>
        </row>
        <row r="1314">
          <cell r="A1314" t="str">
            <v>O'Ghim!: Scholar Of The First Ghim</v>
          </cell>
          <cell r="B1314" t="str">
            <v>O'Ghim!: Scholar Of The First Ghim</v>
          </cell>
          <cell r="C1314" t="str">
            <v>microwave_brothr</v>
          </cell>
          <cell r="D1314">
            <v>28</v>
          </cell>
          <cell r="E1314" t="str">
            <v>Expert</v>
          </cell>
          <cell r="F1314" t="str">
            <v>Kaizo</v>
          </cell>
          <cell r="G1314">
            <v>44964</v>
          </cell>
          <cell r="H1314" t="str">
            <v>33041</v>
          </cell>
          <cell r="I1314" t="str">
            <v>https://www.smwcentral.net/?a=details&amp;id=33041&amp;p=section</v>
          </cell>
          <cell r="J1314" t="str">
            <v>https://dl.smwcentral.net/33041/Ghim-Scholar.zip</v>
          </cell>
        </row>
        <row r="1315">
          <cell r="A1315" t="str">
            <v>Oblivion</v>
          </cell>
          <cell r="B1315" t="str">
            <v>Oblivion</v>
          </cell>
          <cell r="C1315" t="str">
            <v>Bruno_Peixoto</v>
          </cell>
          <cell r="D1315">
            <v>15</v>
          </cell>
          <cell r="E1315" t="str">
            <v>Expert</v>
          </cell>
          <cell r="F1315" t="str">
            <v>Kaizo</v>
          </cell>
          <cell r="G1315">
            <v>46173</v>
          </cell>
          <cell r="H1315" t="str">
            <v>42411</v>
          </cell>
          <cell r="I1315" t="str">
            <v>https://www.smwcentral.net/?a=details&amp;id=42411&amp;p=section</v>
          </cell>
          <cell r="J1315" t="str">
            <v>https://dl.smwcentral.net/42411/Oblivion.zip</v>
          </cell>
        </row>
        <row r="1316">
          <cell r="A1316" t="str">
            <v>Obscure</v>
          </cell>
          <cell r="B1316" t="str">
            <v>Obscure</v>
          </cell>
          <cell r="C1316" t="str">
            <v>Easy Difficulty</v>
          </cell>
          <cell r="D1316">
            <v>26</v>
          </cell>
          <cell r="E1316" t="str">
            <v>Advanced</v>
          </cell>
          <cell r="F1316" t="str">
            <v>Standard, Kaizo</v>
          </cell>
          <cell r="G1316">
            <v>44595</v>
          </cell>
          <cell r="H1316" t="str">
            <v>29614</v>
          </cell>
          <cell r="I1316" t="str">
            <v>https://www.smwcentral.net/?a=details&amp;id=29614&amp;p=section</v>
          </cell>
          <cell r="J1316" t="str">
            <v>https://dl.smwcentral.net/29614/Obscure.zip</v>
          </cell>
        </row>
        <row r="1317">
          <cell r="A1317" t="str">
            <v>Obstinate</v>
          </cell>
          <cell r="B1317" t="str">
            <v>Obstinate</v>
          </cell>
          <cell r="C1317" t="str">
            <v>drkrdnk</v>
          </cell>
          <cell r="D1317">
            <v>14</v>
          </cell>
          <cell r="E1317" t="str">
            <v>Expert</v>
          </cell>
          <cell r="F1317" t="str">
            <v>Kaizo</v>
          </cell>
          <cell r="G1317">
            <v>46017</v>
          </cell>
          <cell r="H1317" t="str">
            <v>41331</v>
          </cell>
          <cell r="I1317" t="str">
            <v>https://www.smwcentral.net/?a=details&amp;id=41331&amp;p=section</v>
          </cell>
          <cell r="J1317" t="str">
            <v>https://dl.smwcentral.net/41331/obstinate%20v1.0.zip</v>
          </cell>
        </row>
        <row r="1318">
          <cell r="A1318" t="str">
            <v>Octopus</v>
          </cell>
          <cell r="B1318" t="str">
            <v>Octopus</v>
          </cell>
          <cell r="C1318" t="str">
            <v>Joosh</v>
          </cell>
          <cell r="D1318">
            <v>7</v>
          </cell>
          <cell r="E1318" t="str">
            <v>Intermediate</v>
          </cell>
          <cell r="F1318" t="str">
            <v>Kaizo</v>
          </cell>
          <cell r="G1318">
            <v>45317</v>
          </cell>
          <cell r="H1318" t="str">
            <v>36658</v>
          </cell>
          <cell r="I1318" t="str">
            <v>https://www.smwcentral.net/?a=details&amp;id=36658&amp;p=section</v>
          </cell>
          <cell r="J1318" t="str">
            <v>https://dl.smwcentral.net/36658/Octopus_v3.zip</v>
          </cell>
        </row>
        <row r="1319">
          <cell r="A1319" t="str">
            <v>Odd Master Mario</v>
          </cell>
          <cell r="B1319" t="str">
            <v>Odd Master Mario</v>
          </cell>
          <cell r="C1319" t="str">
            <v>Youmu Konpaku</v>
          </cell>
          <cell r="D1319">
            <v>6</v>
          </cell>
          <cell r="E1319" t="str">
            <v>Newcomer</v>
          </cell>
          <cell r="F1319" t="str">
            <v>Standard</v>
          </cell>
          <cell r="G1319">
            <v>41461</v>
          </cell>
          <cell r="H1319" t="str">
            <v>5060</v>
          </cell>
          <cell r="I1319" t="str">
            <v>https://www.smwcentral.net/?a=details&amp;id=5060&amp;p=section</v>
          </cell>
          <cell r="J1319" t="str">
            <v>https://dl.smwcentral.net/5060/OMM%20with%20overworld%201.zip</v>
          </cell>
        </row>
        <row r="1320">
          <cell r="A1320" t="str">
            <v>Odd Sands</v>
          </cell>
          <cell r="B1320" t="str">
            <v>Odd Sands</v>
          </cell>
          <cell r="C1320" t="str">
            <v>GbreezeSunset, Lazy, MiracleWater</v>
          </cell>
          <cell r="D1320">
            <v>28</v>
          </cell>
          <cell r="E1320" t="str">
            <v>Master</v>
          </cell>
          <cell r="F1320" t="str">
            <v>Kaizo</v>
          </cell>
          <cell r="G1320">
            <v>45202</v>
          </cell>
          <cell r="H1320" t="str">
            <v>35139</v>
          </cell>
          <cell r="I1320" t="str">
            <v>https://www.smwcentral.net/?a=details&amp;id=35139&amp;p=section</v>
          </cell>
          <cell r="J1320" t="str">
            <v>https://dl.smwcentral.net/35139/Odd%20Sands.zip</v>
          </cell>
        </row>
        <row r="1321">
          <cell r="A1321" t="str">
            <v>Ode To The Original Sin</v>
          </cell>
          <cell r="B1321" t="str">
            <v>Ode To The Original Sin</v>
          </cell>
          <cell r="C1321" t="str">
            <v>Kaizo Literature Club, Selicre</v>
          </cell>
          <cell r="D1321">
            <v>26</v>
          </cell>
          <cell r="E1321" t="str">
            <v>Master</v>
          </cell>
          <cell r="F1321" t="str">
            <v>Kaizo</v>
          </cell>
          <cell r="G1321">
            <v>45654</v>
          </cell>
          <cell r="H1321" t="str">
            <v>38848</v>
          </cell>
          <cell r="I1321" t="str">
            <v>https://www.smwcentral.net/?a=details&amp;id=38848&amp;p=section</v>
          </cell>
          <cell r="J1321" t="str">
            <v>https://dl.smwcentral.net/38848/OdeToTheOriginalSin.zip</v>
          </cell>
        </row>
        <row r="1322">
          <cell r="A1322" t="str">
            <v>Of Heavy Riffs and Awesome Basslines</v>
          </cell>
          <cell r="B1322" t="str">
            <v>Of Heavy Riffs and Awesome Basslines</v>
          </cell>
          <cell r="C1322" t="str">
            <v>grisu</v>
          </cell>
          <cell r="D1322">
            <v>6</v>
          </cell>
          <cell r="E1322" t="str">
            <v>Intermediate</v>
          </cell>
          <cell r="F1322" t="str">
            <v>Kaizo</v>
          </cell>
          <cell r="G1322">
            <v>44426</v>
          </cell>
          <cell r="H1322" t="str">
            <v>28027</v>
          </cell>
          <cell r="I1322" t="str">
            <v>https://www.smwcentral.net/?a=details&amp;id=28027&amp;p=section</v>
          </cell>
          <cell r="J1322" t="str">
            <v>https://dl.smwcentral.net/28027/Of%20Heavy%20Riffs%20and%20Awesome%20Basslines.zip</v>
          </cell>
        </row>
        <row r="1323">
          <cell r="A1323" t="str">
            <v>Of Jumps and Platforms</v>
          </cell>
          <cell r="B1323" t="str">
            <v>Of Jumps and Platforms</v>
          </cell>
          <cell r="C1323" t="str">
            <v>Darolac</v>
          </cell>
          <cell r="D1323">
            <v>7</v>
          </cell>
          <cell r="E1323" t="str">
            <v>Intermediate</v>
          </cell>
          <cell r="F1323" t="str">
            <v>Standard</v>
          </cell>
          <cell r="G1323">
            <v>44025</v>
          </cell>
          <cell r="H1323" t="str">
            <v>23814</v>
          </cell>
          <cell r="I1323" t="str">
            <v>https://www.smwcentral.net/?a=details&amp;id=23814&amp;p=section</v>
          </cell>
          <cell r="J1323" t="str">
            <v>https://dl.smwcentral.net/23814/Of_Jumps_and_Platforms.zip</v>
          </cell>
        </row>
        <row r="1324">
          <cell r="A1324" t="str">
            <v>Of Precision &amp; Style</v>
          </cell>
          <cell r="B1324" t="str">
            <v>Of Precision &amp; Style</v>
          </cell>
          <cell r="C1324" t="str">
            <v>GRIMMKIN</v>
          </cell>
          <cell r="D1324">
            <v>3</v>
          </cell>
          <cell r="E1324" t="str">
            <v>Master</v>
          </cell>
          <cell r="F1324" t="str">
            <v>Kaizo</v>
          </cell>
          <cell r="G1324">
            <v>44673</v>
          </cell>
          <cell r="H1324" t="str">
            <v>30560</v>
          </cell>
          <cell r="I1324" t="str">
            <v>https://www.smwcentral.net/?a=details&amp;id=30560&amp;p=section</v>
          </cell>
          <cell r="J1324" t="str">
            <v>https://dl.smwcentral.net/30560/Of%20Style%20and%20Precision.zip</v>
          </cell>
        </row>
        <row r="1325">
          <cell r="A1325" t="str">
            <v>OK Mario</v>
          </cell>
          <cell r="B1325" t="str">
            <v>OK Mario</v>
          </cell>
          <cell r="C1325" t="str">
            <v>FiveFactor</v>
          </cell>
          <cell r="D1325">
            <v>15</v>
          </cell>
          <cell r="E1325" t="str">
            <v>Advanced</v>
          </cell>
          <cell r="F1325" t="str">
            <v>Kaizo</v>
          </cell>
          <cell r="G1325">
            <v>45424</v>
          </cell>
          <cell r="H1325" t="str">
            <v>37764</v>
          </cell>
          <cell r="I1325" t="str">
            <v>https://www.smwcentral.net/?a=details&amp;id=37764&amp;p=section</v>
          </cell>
          <cell r="J1325" t="str">
            <v>https://dl.smwcentral.net/37764/OKMario_1.2.zip</v>
          </cell>
        </row>
        <row r="1326">
          <cell r="A1326" t="str">
            <v>Olafs Shell Adventure</v>
          </cell>
          <cell r="B1326" t="str">
            <v>Olafs Shell Adventure</v>
          </cell>
          <cell r="C1326" t="str">
            <v>Justepic</v>
          </cell>
          <cell r="D1326">
            <v>16</v>
          </cell>
          <cell r="E1326" t="str">
            <v>Master</v>
          </cell>
          <cell r="F1326" t="str">
            <v>Kaizo</v>
          </cell>
          <cell r="G1326">
            <v>45740</v>
          </cell>
          <cell r="H1326" t="str">
            <v>39508</v>
          </cell>
          <cell r="I1326" t="str">
            <v>https://www.smwcentral.net/?a=details&amp;id=39508&amp;p=section</v>
          </cell>
          <cell r="J1326" t="str">
            <v>https://dl.smwcentral.net/39508/Olafs%20Shell%20Adventure.zip</v>
          </cell>
        </row>
        <row r="1327">
          <cell r="A1327" t="str">
            <v>Old Marine World</v>
          </cell>
          <cell r="B1327" t="str">
            <v>Old Marine World</v>
          </cell>
          <cell r="C1327" t="str">
            <v>MarioFan1337</v>
          </cell>
          <cell r="D1327">
            <v>6</v>
          </cell>
          <cell r="E1327" t="str">
            <v>Advanced</v>
          </cell>
          <cell r="F1327" t="str">
            <v>Kaizo</v>
          </cell>
          <cell r="G1327">
            <v>45468</v>
          </cell>
          <cell r="H1327" t="str">
            <v>37912</v>
          </cell>
          <cell r="I1327" t="str">
            <v>https://www.smwcentral.net/?a=details&amp;id=37912&amp;p=section</v>
          </cell>
          <cell r="J1327" t="str">
            <v>https://dl.smwcentral.net/37912/Old%20Marine%20World.zip</v>
          </cell>
        </row>
        <row r="1328">
          <cell r="A1328" t="str">
            <v>On The Edge</v>
          </cell>
          <cell r="B1328" t="str">
            <v>On The Edge</v>
          </cell>
          <cell r="C1328" t="str">
            <v>naBerada</v>
          </cell>
          <cell r="D1328">
            <v>8</v>
          </cell>
          <cell r="E1328" t="str">
            <v>Master</v>
          </cell>
          <cell r="F1328" t="str">
            <v>Kaizo</v>
          </cell>
          <cell r="G1328">
            <v>46117</v>
          </cell>
          <cell r="H1328" t="str">
            <v>42110</v>
          </cell>
          <cell r="I1328" t="str">
            <v>https://www.smwcentral.net/?a=details&amp;id=42110&amp;p=section</v>
          </cell>
          <cell r="J1328" t="str">
            <v>https://dl.smwcentral.net/42110/OnTheEdge.zip</v>
          </cell>
        </row>
        <row r="1329">
          <cell r="A1329" t="str">
            <v>Once Again</v>
          </cell>
          <cell r="B1329" t="str">
            <v>Once Again</v>
          </cell>
          <cell r="C1329" t="str">
            <v>Daffoxy</v>
          </cell>
          <cell r="D1329">
            <v>14</v>
          </cell>
          <cell r="E1329" t="str">
            <v>Advanced</v>
          </cell>
          <cell r="F1329" t="str">
            <v>Kaizo</v>
          </cell>
          <cell r="G1329">
            <v>45336</v>
          </cell>
          <cell r="H1329" t="str">
            <v>36841</v>
          </cell>
          <cell r="I1329" t="str">
            <v>https://www.smwcentral.net/?a=details&amp;id=36841&amp;p=section</v>
          </cell>
          <cell r="J1329" t="str">
            <v>https://dl.smwcentral.net/36841/OnceAgain_1.1.zip</v>
          </cell>
        </row>
        <row r="1330">
          <cell r="A1330" t="str">
            <v>ONE</v>
          </cell>
          <cell r="B1330" t="str">
            <v>ONE</v>
          </cell>
          <cell r="C1330" t="str">
            <v>Jordan</v>
          </cell>
          <cell r="D1330">
            <v>14</v>
          </cell>
          <cell r="E1330" t="str">
            <v>Advanced</v>
          </cell>
          <cell r="F1330" t="str">
            <v>Kaizo</v>
          </cell>
          <cell r="G1330">
            <v>45885</v>
          </cell>
          <cell r="H1330" t="str">
            <v>40252</v>
          </cell>
          <cell r="I1330" t="str">
            <v>https://www.smwcentral.net/?a=details&amp;id=40252&amp;p=section</v>
          </cell>
          <cell r="J1330" t="str">
            <v>https://dl.smwcentral.net/40252/ONE.zip</v>
          </cell>
        </row>
        <row r="1331">
          <cell r="A1331" t="str">
            <v>One Day The Sadness Will End</v>
          </cell>
          <cell r="B1331" t="str">
            <v>One Day The Sadness Will End</v>
          </cell>
          <cell r="C1331" t="str">
            <v>JUMP Team, Kevin, Koopster</v>
          </cell>
          <cell r="D1331">
            <v>10</v>
          </cell>
          <cell r="E1331" t="str">
            <v>Expert</v>
          </cell>
          <cell r="F1331" t="str">
            <v>Standard</v>
          </cell>
          <cell r="G1331">
            <v>45687</v>
          </cell>
          <cell r="H1331" t="str">
            <v>39110</v>
          </cell>
          <cell r="I1331" t="str">
            <v>https://www.smwcentral.net/?a=details&amp;id=39110&amp;p=section</v>
          </cell>
          <cell r="J1331" t="str">
            <v>https://dl.smwcentral.net/39110/sadness.zip</v>
          </cell>
        </row>
        <row r="1332">
          <cell r="A1332" t="str">
            <v>One screen puzzle N°1</v>
          </cell>
          <cell r="B1332" t="str">
            <v>One screen puzzle N°1</v>
          </cell>
          <cell r="C1332" t="str">
            <v>SwagDePaul</v>
          </cell>
          <cell r="D1332">
            <v>1</v>
          </cell>
          <cell r="E1332" t="str">
            <v>Intermediate</v>
          </cell>
          <cell r="F1332" t="str">
            <v>Kaizo</v>
          </cell>
          <cell r="G1332">
            <v>43021</v>
          </cell>
          <cell r="H1332" t="str">
            <v>16348</v>
          </cell>
          <cell r="I1332" t="str">
            <v>https://www.smwcentral.net/?a=details&amp;id=16348&amp;p=section</v>
          </cell>
          <cell r="J1332" t="str">
            <v>https://dl.smwcentral.net/16348/One%20screen%20puzzle%201.zip</v>
          </cell>
        </row>
        <row r="1333">
          <cell r="A1333" t="str">
            <v>Onegai My Melody - Detour Land Conquest</v>
          </cell>
          <cell r="B1333" t="str">
            <v>Onegai My Melody - Detour Land Conquest</v>
          </cell>
          <cell r="C1333" t="str">
            <v>Big Brawler</v>
          </cell>
          <cell r="D1333">
            <v>46</v>
          </cell>
          <cell r="E1333" t="str">
            <v>Intermediate</v>
          </cell>
          <cell r="F1333" t="str">
            <v>Standard</v>
          </cell>
          <cell r="G1333">
            <v>45649</v>
          </cell>
          <cell r="H1333" t="str">
            <v>38931</v>
          </cell>
          <cell r="I1333" t="str">
            <v>https://www.smwcentral.net/?a=details&amp;id=38931&amp;p=section</v>
          </cell>
          <cell r="J1333" t="str">
            <v>https://dl.smwcentral.net/38931/Onegai%20My%20Melody%20-%20Detour%20Land%20Conquest%20v1.1.zip</v>
          </cell>
        </row>
        <row r="1334">
          <cell r="A1334" t="str">
            <v>Onegai My Melody - My Melody Adventure</v>
          </cell>
          <cell r="B1334" t="str">
            <v>Onegai My Melody - My Melody Adventure</v>
          </cell>
          <cell r="C1334" t="str">
            <v>Big Brawler</v>
          </cell>
          <cell r="D1334">
            <v>92</v>
          </cell>
          <cell r="E1334" t="str">
            <v>Intermediate</v>
          </cell>
          <cell r="F1334" t="str">
            <v>Standard</v>
          </cell>
          <cell r="G1334">
            <v>45417</v>
          </cell>
          <cell r="H1334" t="str">
            <v>37004</v>
          </cell>
          <cell r="I1334" t="str">
            <v>https://www.smwcentral.net/?a=details&amp;id=37004&amp;p=section</v>
          </cell>
          <cell r="J1334" t="str">
            <v>https://dl.smwcentral.net/37004/Onegai%20My%20Melody%20Adventure%20v1.1.zip</v>
          </cell>
        </row>
        <row r="1335">
          <cell r="A1335" t="str">
            <v>ONLY UP</v>
          </cell>
          <cell r="B1335" t="str">
            <v>ONLY UP</v>
          </cell>
          <cell r="C1335" t="str">
            <v>magianegra21</v>
          </cell>
          <cell r="D1335">
            <v>1</v>
          </cell>
          <cell r="E1335" t="str">
            <v>Intermediate</v>
          </cell>
          <cell r="F1335" t="str">
            <v>Standard</v>
          </cell>
          <cell r="G1335">
            <v>45146</v>
          </cell>
          <cell r="H1335" t="str">
            <v>34773</v>
          </cell>
          <cell r="I1335" t="str">
            <v>https://www.smwcentral.net/?a=details&amp;id=34773&amp;p=section</v>
          </cell>
          <cell r="J1335" t="str">
            <v>https://dl.smwcentral.net/34773/only%20up.zip</v>
          </cell>
        </row>
        <row r="1336">
          <cell r="A1336" t="str">
            <v>Oogtar's Quest</v>
          </cell>
          <cell r="B1336" t="str">
            <v>Oogtar's Quest</v>
          </cell>
          <cell r="C1336" t="str">
            <v>Pseudogon</v>
          </cell>
          <cell r="D1336">
            <v>18</v>
          </cell>
          <cell r="E1336" t="str">
            <v>Newcomer</v>
          </cell>
          <cell r="F1336" t="str">
            <v>Standard</v>
          </cell>
          <cell r="G1336">
            <v>42381</v>
          </cell>
          <cell r="H1336" t="str">
            <v>13051</v>
          </cell>
          <cell r="I1336" t="str">
            <v>https://www.smwcentral.net/?a=details&amp;id=13051&amp;p=section</v>
          </cell>
          <cell r="J1336" t="str">
            <v>https://dl.smwcentral.net/13051/Oogtar%27s_Quest.zip</v>
          </cell>
        </row>
        <row r="1337">
          <cell r="A1337" t="str">
            <v>ooooo</v>
          </cell>
          <cell r="B1337" t="str">
            <v>ooooo</v>
          </cell>
          <cell r="C1337" t="str">
            <v>JUMP Team, Kevin</v>
          </cell>
          <cell r="D1337">
            <v>82</v>
          </cell>
          <cell r="E1337" t="str">
            <v>Master</v>
          </cell>
          <cell r="F1337" t="str">
            <v>Standard, Kaizo</v>
          </cell>
          <cell r="G1337">
            <v>45403</v>
          </cell>
          <cell r="H1337" t="str">
            <v>37470</v>
          </cell>
          <cell r="I1337" t="str">
            <v>https://www.smwcentral.net/?a=details&amp;id=37470&amp;p=section</v>
          </cell>
          <cell r="J1337" t="str">
            <v>https://dl.smwcentral.net/37470/ooooo.zip</v>
          </cell>
        </row>
        <row r="1338">
          <cell r="A1338" t="str">
            <v>Oops all keys</v>
          </cell>
          <cell r="B1338" t="str">
            <v>Oops all keys</v>
          </cell>
          <cell r="C1338" t="str">
            <v>Volpey</v>
          </cell>
          <cell r="D1338">
            <v>4</v>
          </cell>
          <cell r="E1338" t="str">
            <v>Master</v>
          </cell>
          <cell r="F1338" t="str">
            <v>Kaizo</v>
          </cell>
          <cell r="G1338">
            <v>43426</v>
          </cell>
          <cell r="H1338" t="str">
            <v>18376</v>
          </cell>
          <cell r="I1338" t="str">
            <v>https://www.smwcentral.net/?a=details&amp;id=18376&amp;p=section</v>
          </cell>
          <cell r="J1338" t="str">
            <v>https://dl.smwcentral.net/18376/Oops%20all%20keys.zip</v>
          </cell>
        </row>
        <row r="1339">
          <cell r="A1339" t="str">
            <v>Oops! All Fortresses</v>
          </cell>
          <cell r="B1339" t="str">
            <v>Oops! All Fortresses</v>
          </cell>
          <cell r="C1339" t="str">
            <v>MarsAmPear</v>
          </cell>
          <cell r="D1339">
            <v>5</v>
          </cell>
          <cell r="E1339" t="str">
            <v>Casual</v>
          </cell>
          <cell r="F1339" t="str">
            <v>Kaizo</v>
          </cell>
          <cell r="G1339">
            <v>45060</v>
          </cell>
          <cell r="H1339" t="str">
            <v>33927</v>
          </cell>
          <cell r="I1339" t="str">
            <v>https://www.smwcentral.net/?a=details&amp;id=33927&amp;p=section</v>
          </cell>
          <cell r="J1339" t="str">
            <v>https://dl.smwcentral.net/33927/Oops%21%20All%20Fortresses.zip</v>
          </cell>
        </row>
        <row r="1340">
          <cell r="A1340" t="str">
            <v>Oops, All Grasslands</v>
          </cell>
          <cell r="B1340" t="str">
            <v>Oops, All Grasslands</v>
          </cell>
          <cell r="C1340" t="str">
            <v>LouisDoucet</v>
          </cell>
          <cell r="D1340">
            <v>8</v>
          </cell>
          <cell r="E1340" t="str">
            <v>Grandmaster</v>
          </cell>
          <cell r="F1340" t="str">
            <v>Kaizo</v>
          </cell>
          <cell r="G1340">
            <v>44466</v>
          </cell>
          <cell r="H1340" t="str">
            <v>28356</v>
          </cell>
          <cell r="I1340" t="str">
            <v>https://www.smwcentral.net/?a=details&amp;id=28356&amp;p=section</v>
          </cell>
          <cell r="J1340" t="str">
            <v>https://dl.smwcentral.net/28356/Oops%2C%20All%20Grasslands.zip</v>
          </cell>
        </row>
        <row r="1341">
          <cell r="A1341" t="str">
            <v>Oops,Trials Mario</v>
          </cell>
          <cell r="B1341" t="str">
            <v>Oops,Trials Mario</v>
          </cell>
          <cell r="C1341" t="str">
            <v>Anonymous</v>
          </cell>
          <cell r="D1341">
            <v>7</v>
          </cell>
          <cell r="E1341" t="str">
            <v>Advanced</v>
          </cell>
          <cell r="F1341" t="str">
            <v>Kaizo</v>
          </cell>
          <cell r="G1341">
            <v>45779</v>
          </cell>
          <cell r="H1341" t="str">
            <v>39798</v>
          </cell>
          <cell r="I1341" t="str">
            <v>https://www.smwcentral.net/?a=details&amp;id=39798&amp;p=section</v>
          </cell>
          <cell r="J1341" t="str">
            <v>https://dl.smwcentral.net/39798/Oops%2CTrials%20Mario.zip</v>
          </cell>
        </row>
        <row r="1342">
          <cell r="A1342" t="str">
            <v>Oozitgarn</v>
          </cell>
          <cell r="B1342" t="str">
            <v>Oozitgarn</v>
          </cell>
          <cell r="C1342" t="str">
            <v>Kamikaizo</v>
          </cell>
          <cell r="D1342">
            <v>7</v>
          </cell>
          <cell r="E1342" t="str">
            <v>Master</v>
          </cell>
          <cell r="F1342" t="str">
            <v>Kaizo</v>
          </cell>
          <cell r="G1342">
            <v>45135</v>
          </cell>
          <cell r="H1342" t="str">
            <v>34381</v>
          </cell>
          <cell r="I1342" t="str">
            <v>https://www.smwcentral.net/?a=details&amp;id=34381&amp;p=section</v>
          </cell>
          <cell r="J1342" t="str">
            <v>https://dl.smwcentral.net/34381/Oozitgarn%20v1.0.zip</v>
          </cell>
        </row>
        <row r="1343">
          <cell r="A1343" t="str">
            <v>Orcus</v>
          </cell>
          <cell r="B1343" t="str">
            <v>Orcus</v>
          </cell>
          <cell r="C1343" t="str">
            <v>Jordan</v>
          </cell>
          <cell r="D1343">
            <v>25</v>
          </cell>
          <cell r="E1343" t="str">
            <v>Advanced</v>
          </cell>
          <cell r="F1343" t="str">
            <v>Kaizo</v>
          </cell>
          <cell r="G1343">
            <v>44400</v>
          </cell>
          <cell r="H1343" t="str">
            <v>27800</v>
          </cell>
          <cell r="I1343" t="str">
            <v>https://www.smwcentral.net/?a=details&amp;id=27800&amp;p=section</v>
          </cell>
          <cell r="J1343" t="str">
            <v>https://dl.smwcentral.net/27800/Orcus%20v1.1.zip</v>
          </cell>
        </row>
        <row r="1344">
          <cell r="A1344" t="str">
            <v>Our Wonderful Planet</v>
          </cell>
          <cell r="B1344" t="str">
            <v>Our Wonderful Planet</v>
          </cell>
          <cell r="C1344" t="str">
            <v>ChrisTheAussie</v>
          </cell>
          <cell r="D1344">
            <v>15</v>
          </cell>
          <cell r="E1344" t="str">
            <v>Advanced</v>
          </cell>
          <cell r="F1344" t="str">
            <v>Kaizo</v>
          </cell>
          <cell r="G1344">
            <v>44417</v>
          </cell>
          <cell r="H1344" t="str">
            <v>27912</v>
          </cell>
          <cell r="I1344" t="str">
            <v>https://www.smwcentral.net/?a=details&amp;id=27912&amp;p=section</v>
          </cell>
          <cell r="J1344" t="str">
            <v>https://dl.smwcentral.net/27912/Our%20Wonderful%20Planet.zip</v>
          </cell>
        </row>
        <row r="1345">
          <cell r="A1345" t="str">
            <v>Out of Ideas!</v>
          </cell>
          <cell r="B1345" t="str">
            <v>Out of Ideas!</v>
          </cell>
          <cell r="C1345" t="str">
            <v>AmazingChest</v>
          </cell>
          <cell r="D1345">
            <v>4</v>
          </cell>
          <cell r="E1345" t="str">
            <v>Expert</v>
          </cell>
          <cell r="F1345" t="str">
            <v>Kaizo</v>
          </cell>
          <cell r="G1345">
            <v>44972</v>
          </cell>
          <cell r="H1345" t="str">
            <v>33078</v>
          </cell>
          <cell r="I1345" t="str">
            <v>https://www.smwcentral.net/?a=details&amp;id=33078&amp;p=section</v>
          </cell>
          <cell r="J1345" t="str">
            <v>https://dl.smwcentral.net/33078/out-of-ideas.zip</v>
          </cell>
        </row>
        <row r="1346">
          <cell r="A1346" t="str">
            <v>Outrageous Mario World</v>
          </cell>
          <cell r="B1346" t="str">
            <v>Outrageous Mario World</v>
          </cell>
          <cell r="C1346" t="str">
            <v>AnybodyAgrees</v>
          </cell>
          <cell r="D1346">
            <v>12</v>
          </cell>
          <cell r="E1346" t="str">
            <v>Casual</v>
          </cell>
          <cell r="F1346" t="str">
            <v>Standard</v>
          </cell>
          <cell r="G1346">
            <v>42314</v>
          </cell>
          <cell r="H1346" t="str">
            <v>10283</v>
          </cell>
          <cell r="I1346" t="str">
            <v>https://www.smwcentral.net/?a=details&amp;id=10283&amp;p=section</v>
          </cell>
          <cell r="J1346" t="str">
            <v>https://dl.smwcentral.net/10283/Outrageous%20Mario%20World%206_2.zip</v>
          </cell>
        </row>
        <row r="1347">
          <cell r="A1347" t="str">
            <v>OWLVABOX</v>
          </cell>
          <cell r="B1347" t="str">
            <v>OWLVABOX</v>
          </cell>
          <cell r="C1347" t="str">
            <v>Daizo Dee Von</v>
          </cell>
          <cell r="D1347">
            <v>1</v>
          </cell>
          <cell r="E1347" t="str">
            <v>Casual</v>
          </cell>
          <cell r="F1347" t="str">
            <v>Standard, Puzzle, Tool-Assisted</v>
          </cell>
          <cell r="G1347">
            <v>45512</v>
          </cell>
          <cell r="H1347" t="str">
            <v>37926</v>
          </cell>
          <cell r="I1347" t="str">
            <v>https://www.smwcentral.net/?a=details&amp;id=37926&amp;p=section</v>
          </cell>
          <cell r="J1347" t="str">
            <v>https://dl.smwcentral.net/37926/OWLVABOX.zip</v>
          </cell>
        </row>
        <row r="1348">
          <cell r="A1348" t="str">
            <v>Oxworm</v>
          </cell>
          <cell r="B1348" t="str">
            <v>Oxworm</v>
          </cell>
          <cell r="C1348" t="str">
            <v>H3nt4ik4m3n, Maw, Twiced_, neidoodle, ocked</v>
          </cell>
          <cell r="D1348">
            <v>16</v>
          </cell>
          <cell r="E1348" t="str">
            <v>Expert</v>
          </cell>
          <cell r="F1348" t="str">
            <v>Kaizo</v>
          </cell>
          <cell r="G1348">
            <v>45035</v>
          </cell>
          <cell r="H1348" t="str">
            <v>33774</v>
          </cell>
          <cell r="I1348" t="str">
            <v>https://www.smwcentral.net/?a=details&amp;id=33774&amp;p=section</v>
          </cell>
          <cell r="J1348" t="str">
            <v>https://dl.smwcentral.net/33774/Oxworm.zip</v>
          </cell>
        </row>
        <row r="1349">
          <cell r="A1349" t="str">
            <v>Oxworm 2</v>
          </cell>
          <cell r="B1349" t="str">
            <v>Oxworm 2</v>
          </cell>
          <cell r="C1349" t="str">
            <v>ocked, thefoxx87</v>
          </cell>
          <cell r="D1349">
            <v>29</v>
          </cell>
          <cell r="E1349" t="str">
            <v>Expert</v>
          </cell>
          <cell r="F1349" t="str">
            <v>Kaizo</v>
          </cell>
          <cell r="G1349">
            <v>46206</v>
          </cell>
          <cell r="H1349" t="str">
            <v>42588</v>
          </cell>
          <cell r="I1349" t="str">
            <v>https://www.smwcentral.net/?a=details&amp;id=42588&amp;p=section</v>
          </cell>
          <cell r="J1349" t="str">
            <v>https://dl.smwcentral.net/42588/Oxworm2.zip</v>
          </cell>
        </row>
        <row r="1350">
          <cell r="A1350" t="str">
            <v>P-switch... The Legendary P-switch Void</v>
          </cell>
          <cell r="B1350" t="str">
            <v>P-switch... The Legendary P-switch Void</v>
          </cell>
          <cell r="C1350" t="str">
            <v>Daizo Dee Von</v>
          </cell>
          <cell r="D1350">
            <v>5</v>
          </cell>
          <cell r="E1350" t="str">
            <v>Casual</v>
          </cell>
          <cell r="F1350" t="str">
            <v>Standard</v>
          </cell>
          <cell r="G1350">
            <v>41856</v>
          </cell>
          <cell r="H1350" t="str">
            <v>6969</v>
          </cell>
          <cell r="I1350" t="str">
            <v>https://www.smwcentral.net/?a=details&amp;id=6969&amp;p=section</v>
          </cell>
          <cell r="J1350" t="str">
            <v>https://dl.smwcentral.net/6969/pswitch_v2.0.zip</v>
          </cell>
        </row>
        <row r="1351">
          <cell r="A1351" t="str">
            <v>P.A.U.L. (2022 Polished Edition)</v>
          </cell>
          <cell r="B1351" t="str">
            <v>P.A.U.L. (2022 Polished Edition)</v>
          </cell>
          <cell r="C1351" t="str">
            <v>danwaleby</v>
          </cell>
          <cell r="D1351">
            <v>41</v>
          </cell>
          <cell r="E1351" t="str">
            <v>Intermediate</v>
          </cell>
          <cell r="F1351" t="str">
            <v>Standard</v>
          </cell>
          <cell r="G1351">
            <v>44863</v>
          </cell>
          <cell r="H1351" t="str">
            <v>32445</v>
          </cell>
          <cell r="I1351" t="str">
            <v>https://www.smwcentral.net/?a=details&amp;id=32445&amp;p=section</v>
          </cell>
          <cell r="J1351" t="str">
            <v>https://dl.smwcentral.net/32445/Paul%20Remastered.zip</v>
          </cell>
        </row>
        <row r="1352">
          <cell r="A1352" t="str">
            <v>P1JDS World</v>
          </cell>
          <cell r="B1352" t="str">
            <v>P1JDS World</v>
          </cell>
          <cell r="C1352" t="str">
            <v>RicardoDeMelo</v>
          </cell>
          <cell r="D1352">
            <v>11</v>
          </cell>
          <cell r="E1352" t="str">
            <v>Advanced</v>
          </cell>
          <cell r="F1352" t="str">
            <v>Kaizo</v>
          </cell>
          <cell r="G1352">
            <v>44708</v>
          </cell>
          <cell r="H1352" t="str">
            <v>30972</v>
          </cell>
          <cell r="I1352" t="str">
            <v>https://www.smwcentral.net/?a=details&amp;id=30972&amp;p=section</v>
          </cell>
          <cell r="J1352" t="str">
            <v>https://dl.smwcentral.net/30972/P1JDS%20World.zip</v>
          </cell>
        </row>
        <row r="1353">
          <cell r="A1353" t="str">
            <v>Pac's Hac Demo</v>
          </cell>
          <cell r="B1353" t="str">
            <v>Pac's Hac Demo</v>
          </cell>
          <cell r="C1353" t="str">
            <v>pacmanboss256</v>
          </cell>
          <cell r="D1353">
            <v>7</v>
          </cell>
          <cell r="E1353" t="str">
            <v>Master</v>
          </cell>
          <cell r="F1353" t="str">
            <v>Kaizo</v>
          </cell>
          <cell r="G1353">
            <v>45699</v>
          </cell>
          <cell r="H1353" t="str">
            <v>39183</v>
          </cell>
          <cell r="I1353" t="str">
            <v>https://www.smwcentral.net/?a=details&amp;id=39183&amp;p=section</v>
          </cell>
          <cell r="J1353" t="str">
            <v>https://dl.smwcentral.net/39183/pacshacagain.zip</v>
          </cell>
        </row>
        <row r="1354">
          <cell r="A1354" t="str">
            <v>Pactos</v>
          </cell>
          <cell r="B1354" t="str">
            <v>Pactos</v>
          </cell>
          <cell r="C1354" t="str">
            <v>Deivid Borba</v>
          </cell>
          <cell r="D1354">
            <v>2</v>
          </cell>
          <cell r="E1354" t="str">
            <v>Master</v>
          </cell>
          <cell r="F1354" t="str">
            <v>Kaizo</v>
          </cell>
          <cell r="G1354">
            <v>45740</v>
          </cell>
          <cell r="H1354" t="str">
            <v>39513</v>
          </cell>
          <cell r="I1354" t="str">
            <v>https://www.smwcentral.net/?a=details&amp;id=39513&amp;p=section</v>
          </cell>
          <cell r="J1354" t="str">
            <v>https://dl.smwcentral.net/39513/Pactos%20v1.0.zip</v>
          </cell>
        </row>
        <row r="1355">
          <cell r="A1355" t="str">
            <v>Pandarosa</v>
          </cell>
          <cell r="B1355" t="str">
            <v>Pandarosa</v>
          </cell>
          <cell r="C1355" t="str">
            <v>YouTibbles</v>
          </cell>
          <cell r="D1355">
            <v>14</v>
          </cell>
          <cell r="E1355" t="str">
            <v>Expert</v>
          </cell>
          <cell r="F1355" t="str">
            <v>Kaizo</v>
          </cell>
          <cell r="G1355">
            <v>45709</v>
          </cell>
          <cell r="H1355" t="str">
            <v>39148</v>
          </cell>
          <cell r="I1355" t="str">
            <v>https://www.smwcentral.net/?a=details&amp;id=39148&amp;p=section</v>
          </cell>
          <cell r="J1355" t="str">
            <v>https://dl.smwcentral.net/39148/Pandarosa%20v1.6.zip</v>
          </cell>
        </row>
        <row r="1356">
          <cell r="A1356" t="str">
            <v>Pandemonium Fortress</v>
          </cell>
          <cell r="B1356" t="str">
            <v>Pandemonium Fortress</v>
          </cell>
          <cell r="C1356" t="str">
            <v>Caracc</v>
          </cell>
          <cell r="D1356">
            <v>20</v>
          </cell>
          <cell r="E1356" t="str">
            <v>Casual</v>
          </cell>
          <cell r="F1356" t="str">
            <v>Standard</v>
          </cell>
          <cell r="G1356">
            <v>42044</v>
          </cell>
          <cell r="H1356" t="str">
            <v>9691</v>
          </cell>
          <cell r="I1356" t="str">
            <v>https://www.smwcentral.net/?a=details&amp;id=9691&amp;p=section</v>
          </cell>
          <cell r="J1356" t="str">
            <v>https://dl.smwcentral.net/9691/Pandemonium%20Fortress.zip</v>
          </cell>
        </row>
        <row r="1357">
          <cell r="A1357" t="str">
            <v>Pandemonium Fortress 2</v>
          </cell>
          <cell r="B1357" t="str">
            <v>Pandemonium Fortress 2</v>
          </cell>
          <cell r="C1357" t="str">
            <v>Caracc</v>
          </cell>
          <cell r="D1357">
            <v>42</v>
          </cell>
          <cell r="E1357" t="str">
            <v>Intermediate</v>
          </cell>
          <cell r="F1357" t="str">
            <v>Standard</v>
          </cell>
          <cell r="G1357">
            <v>42224</v>
          </cell>
          <cell r="H1357" t="str">
            <v>9641</v>
          </cell>
          <cell r="I1357" t="str">
            <v>https://www.smwcentral.net/?a=details&amp;id=9641&amp;p=section</v>
          </cell>
          <cell r="J1357" t="str">
            <v>https://dl.smwcentral.net/9641/Pandemonium%20Fortress%202%20v1.02.zip</v>
          </cell>
        </row>
        <row r="1358">
          <cell r="A1358" t="str">
            <v>Pandora's Box (Legacy)</v>
          </cell>
          <cell r="B1358" t="str">
            <v>Pandora's Box (Legacy)</v>
          </cell>
          <cell r="C1358" t="str">
            <v>Samantha</v>
          </cell>
          <cell r="D1358">
            <v>1</v>
          </cell>
          <cell r="E1358" t="str">
            <v>Advanced</v>
          </cell>
          <cell r="F1358" t="str">
            <v>Kaizo, Tool-Assisted</v>
          </cell>
          <cell r="G1358">
            <v>42560</v>
          </cell>
          <cell r="H1358" t="str">
            <v>13941</v>
          </cell>
          <cell r="I1358" t="str">
            <v>https://www.smwcentral.net/?a=details&amp;id=13941&amp;p=section</v>
          </cell>
          <cell r="J1358" t="str">
            <v>https://dl.smwcentral.net/13941/Pandora%27s%20Box%20C3%20Demo.zip</v>
          </cell>
        </row>
        <row r="1359">
          <cell r="A1359" t="str">
            <v>Panga's Kaizo Kindergarten (For Dummies)</v>
          </cell>
          <cell r="B1359" t="str">
            <v>Panga's Kaizo Kindergarten (For Dummies)</v>
          </cell>
          <cell r="C1359" t="str">
            <v>PangaeaPanga</v>
          </cell>
          <cell r="D1359">
            <v>40</v>
          </cell>
          <cell r="E1359" t="str">
            <v>Expert</v>
          </cell>
          <cell r="F1359" t="str">
            <v>Kaizo</v>
          </cell>
          <cell r="G1359">
            <v>43630</v>
          </cell>
          <cell r="H1359" t="str">
            <v>20091</v>
          </cell>
          <cell r="I1359" t="str">
            <v>https://www.smwcentral.net/?a=details&amp;id=20091&amp;p=section</v>
          </cell>
          <cell r="J1359" t="str">
            <v>https://dl.smwcentral.net/20091/Kaizo%20Kindergarten%20v1.09.zip</v>
          </cell>
        </row>
        <row r="1360">
          <cell r="A1360" t="str">
            <v>Panic in the Mushroom Kingdom</v>
          </cell>
          <cell r="B1360" t="str">
            <v>Panic in the Mushroom Kingdom</v>
          </cell>
          <cell r="C1360" t="str">
            <v>ghettoyouth</v>
          </cell>
          <cell r="D1360">
            <v>58</v>
          </cell>
          <cell r="E1360" t="str">
            <v>Casual</v>
          </cell>
          <cell r="F1360" t="str">
            <v>Standard</v>
          </cell>
          <cell r="G1360">
            <v>43882</v>
          </cell>
          <cell r="H1360" t="str">
            <v>22045</v>
          </cell>
          <cell r="I1360" t="str">
            <v>https://www.smwcentral.net/?a=details&amp;id=22045&amp;p=section</v>
          </cell>
          <cell r="J1360" t="str">
            <v>https://dl.smwcentral.net/22045/PITMK-bothversions.zip</v>
          </cell>
        </row>
        <row r="1361">
          <cell r="A1361" t="str">
            <v>Panic in the Mushroom Kingdom 2</v>
          </cell>
          <cell r="B1361" t="str">
            <v>Panic in the Mushroom Kingdom 2</v>
          </cell>
          <cell r="C1361" t="str">
            <v>ghettoyouth</v>
          </cell>
          <cell r="D1361">
            <v>66</v>
          </cell>
          <cell r="E1361" t="str">
            <v>Casual</v>
          </cell>
          <cell r="F1361" t="str">
            <v>Standard</v>
          </cell>
          <cell r="G1361">
            <v>44435</v>
          </cell>
          <cell r="H1361" t="str">
            <v>27799</v>
          </cell>
          <cell r="I1361" t="str">
            <v>https://www.smwcentral.net/?a=details&amp;id=27799&amp;p=section</v>
          </cell>
          <cell r="J1361" t="str">
            <v>https://dl.smwcentral.net/27799/Pitmk2v1.03.zip</v>
          </cell>
        </row>
        <row r="1362">
          <cell r="A1362" t="str">
            <v>Papaya Mountain</v>
          </cell>
          <cell r="B1362" t="str">
            <v>Papaya Mountain</v>
          </cell>
          <cell r="C1362" t="str">
            <v>VLSkoot</v>
          </cell>
          <cell r="D1362">
            <v>14</v>
          </cell>
          <cell r="E1362" t="str">
            <v>Expert</v>
          </cell>
          <cell r="F1362" t="str">
            <v>Kaizo</v>
          </cell>
          <cell r="G1362">
            <v>44409</v>
          </cell>
          <cell r="H1362" t="str">
            <v>27854</v>
          </cell>
          <cell r="I1362" t="str">
            <v>https://www.smwcentral.net/?a=details&amp;id=27854&amp;p=section</v>
          </cell>
          <cell r="J1362" t="str">
            <v>https://dl.smwcentral.net/27854/Papaya%20Mountain.zip</v>
          </cell>
        </row>
        <row r="1363">
          <cell r="A1363" t="str">
            <v>Paper Mario: The Plasma Star</v>
          </cell>
          <cell r="B1363" t="str">
            <v>Paper Mario: The Plasma Star</v>
          </cell>
          <cell r="C1363" t="str">
            <v>7 up, Andyana Jonseph, TheJullasicFox, TheOrangeToad, tmauri</v>
          </cell>
          <cell r="D1363">
            <v>6</v>
          </cell>
          <cell r="E1363" t="str">
            <v>Casual</v>
          </cell>
          <cell r="F1363" t="str">
            <v>Standard</v>
          </cell>
          <cell r="G1363">
            <v>43109</v>
          </cell>
          <cell r="H1363" t="str">
            <v>16891</v>
          </cell>
          <cell r="I1363" t="str">
            <v>https://www.smwcentral.net/?a=details&amp;id=16891&amp;p=section</v>
          </cell>
          <cell r="J1363" t="str">
            <v>https://dl.smwcentral.net/16891/pmtps.zip</v>
          </cell>
        </row>
        <row r="1364">
          <cell r="A1364" t="str">
            <v>Paralysis</v>
          </cell>
          <cell r="B1364" t="str">
            <v>Paralysis</v>
          </cell>
          <cell r="C1364" t="str">
            <v>RandomType</v>
          </cell>
          <cell r="D1364">
            <v>16</v>
          </cell>
          <cell r="E1364" t="str">
            <v>Expert</v>
          </cell>
          <cell r="F1364" t="str">
            <v>Kaizo</v>
          </cell>
          <cell r="G1364">
            <v>45158</v>
          </cell>
          <cell r="H1364" t="str">
            <v>34888</v>
          </cell>
          <cell r="I1364" t="str">
            <v>https://www.smwcentral.net/?a=details&amp;id=34888&amp;p=section</v>
          </cell>
          <cell r="J1364" t="str">
            <v>https://dl.smwcentral.net/34888/Paralysis.zip</v>
          </cell>
        </row>
        <row r="1365">
          <cell r="A1365" t="str">
            <v>Paranormal Saga</v>
          </cell>
          <cell r="B1365" t="str">
            <v>Paranormal Saga</v>
          </cell>
          <cell r="C1365" t="str">
            <v>DrAnas</v>
          </cell>
          <cell r="D1365">
            <v>22</v>
          </cell>
          <cell r="E1365" t="str">
            <v>Advanced</v>
          </cell>
          <cell r="F1365" t="str">
            <v>Standard</v>
          </cell>
          <cell r="G1365">
            <v>45898</v>
          </cell>
          <cell r="H1365" t="str">
            <v>40444</v>
          </cell>
          <cell r="I1365" t="str">
            <v>https://www.smwcentral.net/?a=details&amp;id=40444&amp;p=section</v>
          </cell>
          <cell r="J1365" t="str">
            <v>https://dl.smwcentral.net/40444/pns_official_demo.zip</v>
          </cell>
        </row>
        <row r="1366">
          <cell r="A1366" t="str">
            <v>PATHMAKER</v>
          </cell>
          <cell r="B1366" t="str">
            <v>PATHMAKER</v>
          </cell>
          <cell r="C1366" t="str">
            <v>Tob</v>
          </cell>
          <cell r="D1366">
            <v>5</v>
          </cell>
          <cell r="E1366" t="str">
            <v>Intermediate</v>
          </cell>
          <cell r="F1366" t="str">
            <v>Puzzle</v>
          </cell>
          <cell r="G1366">
            <v>46092</v>
          </cell>
          <cell r="H1366" t="str">
            <v>41839</v>
          </cell>
          <cell r="I1366" t="str">
            <v>https://www.smwcentral.net/?a=details&amp;id=41839&amp;p=section</v>
          </cell>
          <cell r="J1366" t="str">
            <v>https://dl.smwcentral.net/41839/PATHMAKERv1.1.zip</v>
          </cell>
        </row>
        <row r="1367">
          <cell r="A1367" t="str">
            <v>Paths</v>
          </cell>
          <cell r="B1367" t="str">
            <v>Paths</v>
          </cell>
          <cell r="C1367" t="str">
            <v>FiveFactor</v>
          </cell>
          <cell r="D1367">
            <v>18</v>
          </cell>
          <cell r="E1367" t="str">
            <v>Expert</v>
          </cell>
          <cell r="F1367" t="str">
            <v>Kaizo</v>
          </cell>
          <cell r="G1367">
            <v>46136</v>
          </cell>
          <cell r="H1367" t="str">
            <v>42230</v>
          </cell>
          <cell r="I1367" t="str">
            <v>https://www.smwcentral.net/?a=details&amp;id=42230&amp;p=section</v>
          </cell>
          <cell r="J1367" t="str">
            <v>https://dl.smwcentral.net/42230/Paths%201.2.zip</v>
          </cell>
        </row>
        <row r="1368">
          <cell r="A1368" t="str">
            <v>Paul '96</v>
          </cell>
          <cell r="B1368" t="str">
            <v>Paul '96</v>
          </cell>
          <cell r="C1368" t="str">
            <v>danwaleby</v>
          </cell>
          <cell r="D1368">
            <v>12</v>
          </cell>
          <cell r="E1368" t="str">
            <v>Casual</v>
          </cell>
          <cell r="F1368" t="str">
            <v>Standard</v>
          </cell>
          <cell r="G1368">
            <v>43372</v>
          </cell>
          <cell r="H1368" t="str">
            <v>18146</v>
          </cell>
          <cell r="I1368" t="str">
            <v>https://www.smwcentral.net/?a=details&amp;id=18146&amp;p=section</v>
          </cell>
          <cell r="J1368" t="str">
            <v>https://dl.smwcentral.net/18146/Paul%20%2796%20final%20demo.zip</v>
          </cell>
        </row>
        <row r="1369">
          <cell r="A1369" t="str">
            <v>Peach and Daisy in Luigi's Rescue</v>
          </cell>
          <cell r="B1369" t="str">
            <v>Peach and Daisy in Luigi's Rescue</v>
          </cell>
          <cell r="C1369" t="str">
            <v>Marisa</v>
          </cell>
          <cell r="D1369">
            <v>7</v>
          </cell>
          <cell r="E1369" t="str">
            <v>Casual</v>
          </cell>
          <cell r="F1369" t="str">
            <v>Standard</v>
          </cell>
          <cell r="G1369">
            <v>42255</v>
          </cell>
          <cell r="H1369" t="str">
            <v>9961</v>
          </cell>
          <cell r="I1369" t="str">
            <v>https://www.smwcentral.net/?a=details&amp;id=9961&amp;p=section</v>
          </cell>
          <cell r="J1369" t="str">
            <v>https://dl.smwcentral.net/9961/PADILR.zip</v>
          </cell>
        </row>
        <row r="1370">
          <cell r="A1370" t="str">
            <v>Peach is Missing</v>
          </cell>
          <cell r="B1370" t="str">
            <v>Peach is Missing</v>
          </cell>
          <cell r="C1370" t="str">
            <v>Aurel509</v>
          </cell>
          <cell r="D1370">
            <v>77</v>
          </cell>
          <cell r="E1370" t="str">
            <v>Intermediate</v>
          </cell>
          <cell r="F1370" t="str">
            <v>Standard</v>
          </cell>
          <cell r="G1370">
            <v>42764</v>
          </cell>
          <cell r="H1370" t="str">
            <v>15088</v>
          </cell>
          <cell r="I1370" t="str">
            <v>https://www.smwcentral.net/?a=details&amp;id=15088&amp;p=section</v>
          </cell>
          <cell r="J1370" t="str">
            <v>https://dl.smwcentral.net/15088/PIM%20v1.4.1.zip</v>
          </cell>
        </row>
        <row r="1371">
          <cell r="A1371" t="str">
            <v>Peach Melba</v>
          </cell>
          <cell r="B1371" t="str">
            <v>Peach Melba</v>
          </cell>
          <cell r="C1371" t="str">
            <v>shrine</v>
          </cell>
          <cell r="D1371">
            <v>12</v>
          </cell>
          <cell r="E1371" t="str">
            <v>Casual</v>
          </cell>
          <cell r="F1371" t="str">
            <v>Standard</v>
          </cell>
          <cell r="G1371">
            <v>42309</v>
          </cell>
          <cell r="H1371" t="str">
            <v>9766</v>
          </cell>
          <cell r="I1371" t="str">
            <v>https://www.smwcentral.net/?a=details&amp;id=9766&amp;p=section</v>
          </cell>
          <cell r="J1371" t="str">
            <v>https://dl.smwcentral.net/9766/Peach%20Melba.zip</v>
          </cell>
        </row>
        <row r="1372">
          <cell r="A1372" t="str">
            <v>Peachy Moat World</v>
          </cell>
          <cell r="B1372" t="str">
            <v>Peachy Moat World</v>
          </cell>
          <cell r="C1372" t="str">
            <v>Dan2point5, Sparkysie</v>
          </cell>
          <cell r="D1372">
            <v>29</v>
          </cell>
          <cell r="E1372" t="str">
            <v>Expert</v>
          </cell>
          <cell r="F1372" t="str">
            <v>Kaizo</v>
          </cell>
          <cell r="G1372">
            <v>44054</v>
          </cell>
          <cell r="H1372" t="str">
            <v>24148</v>
          </cell>
          <cell r="I1372" t="str">
            <v>https://www.smwcentral.net/?a=details&amp;id=24148&amp;p=section</v>
          </cell>
          <cell r="J1372" t="str">
            <v>https://dl.smwcentral.net/24148/Peachy_Moat_World.zip</v>
          </cell>
        </row>
        <row r="1373">
          <cell r="A1373" t="str">
            <v>Peachy Moat World 2</v>
          </cell>
          <cell r="B1373" t="str">
            <v>Peachy Moat World 2</v>
          </cell>
          <cell r="C1373" t="str">
            <v>Dan2point5, Sparkysie</v>
          </cell>
          <cell r="D1373">
            <v>44</v>
          </cell>
          <cell r="E1373" t="str">
            <v>Expert</v>
          </cell>
          <cell r="F1373" t="str">
            <v>Kaizo</v>
          </cell>
          <cell r="G1373">
            <v>45857</v>
          </cell>
          <cell r="H1373" t="str">
            <v>40112</v>
          </cell>
          <cell r="I1373" t="str">
            <v>https://www.smwcentral.net/?a=details&amp;id=40112&amp;p=section</v>
          </cell>
          <cell r="J1373" t="str">
            <v>https://dl.smwcentral.net/40112/Peachy%20Moat%20World%202.zip</v>
          </cell>
        </row>
        <row r="1374">
          <cell r="A1374" t="str">
            <v>Perchance</v>
          </cell>
          <cell r="B1374" t="str">
            <v>Perchance</v>
          </cell>
          <cell r="C1374" t="str">
            <v>papanug</v>
          </cell>
          <cell r="D1374">
            <v>36</v>
          </cell>
          <cell r="E1374" t="str">
            <v>Master</v>
          </cell>
          <cell r="F1374" t="str">
            <v>Kaizo</v>
          </cell>
          <cell r="G1374">
            <v>45664</v>
          </cell>
          <cell r="H1374" t="str">
            <v>38173</v>
          </cell>
          <cell r="I1374" t="str">
            <v>https://www.smwcentral.net/?a=details&amp;id=38173&amp;p=section</v>
          </cell>
          <cell r="J1374" t="str">
            <v>https://dl.smwcentral.net/38173/Perchance.zip</v>
          </cell>
        </row>
        <row r="1375">
          <cell r="A1375" t="str">
            <v>Perfect theorem</v>
          </cell>
          <cell r="B1375" t="str">
            <v>Perfect theorem</v>
          </cell>
          <cell r="C1375" t="str">
            <v>TS_N</v>
          </cell>
          <cell r="D1375">
            <v>8</v>
          </cell>
          <cell r="E1375" t="str">
            <v>Master</v>
          </cell>
          <cell r="F1375" t="str">
            <v>Kaizo, Tool-Assisted</v>
          </cell>
          <cell r="G1375">
            <v>44561</v>
          </cell>
          <cell r="H1375" t="str">
            <v>28945</v>
          </cell>
          <cell r="I1375" t="str">
            <v>https://www.smwcentral.net/?a=details&amp;id=28945&amp;p=section</v>
          </cell>
          <cell r="J1375" t="str">
            <v>https://dl.smwcentral.net/28945/perfect%20theorem.zip</v>
          </cell>
        </row>
        <row r="1376">
          <cell r="A1376" t="str">
            <v>Persona Non Grata</v>
          </cell>
          <cell r="B1376" t="str">
            <v>Persona Non Grata</v>
          </cell>
          <cell r="C1376" t="str">
            <v>bluesaint</v>
          </cell>
          <cell r="D1376">
            <v>12</v>
          </cell>
          <cell r="E1376" t="str">
            <v>Expert</v>
          </cell>
          <cell r="F1376" t="str">
            <v>Kaizo</v>
          </cell>
          <cell r="G1376">
            <v>43493</v>
          </cell>
          <cell r="H1376" t="str">
            <v>18794</v>
          </cell>
          <cell r="I1376" t="str">
            <v>https://www.smwcentral.net/?a=details&amp;id=18794&amp;p=section</v>
          </cell>
          <cell r="J1376" t="str">
            <v>https://dl.smwcentral.net/18794/Persona%20Non%20Grata.zip</v>
          </cell>
        </row>
        <row r="1377">
          <cell r="A1377" t="str">
            <v>Persus: A Toad Adventure</v>
          </cell>
          <cell r="B1377" t="str">
            <v>Persus: A Toad Adventure</v>
          </cell>
          <cell r="C1377" t="str">
            <v>Fyord</v>
          </cell>
          <cell r="D1377">
            <v>1</v>
          </cell>
          <cell r="E1377" t="str">
            <v>Newcomer</v>
          </cell>
          <cell r="F1377" t="str">
            <v>Standard</v>
          </cell>
          <cell r="G1377">
            <v>41814</v>
          </cell>
          <cell r="H1377" t="str">
            <v>6763</v>
          </cell>
          <cell r="I1377" t="str">
            <v>https://www.smwcentral.net/?a=details&amp;id=6763&amp;p=section</v>
          </cell>
          <cell r="J1377" t="str">
            <v>https://dl.smwcentral.net/6763/Persus.zip</v>
          </cell>
        </row>
        <row r="1378">
          <cell r="A1378" t="str">
            <v>Phenomenal Mario World</v>
          </cell>
          <cell r="B1378" t="str">
            <v>Phenomenal Mario World</v>
          </cell>
          <cell r="C1378" t="str">
            <v>Stivi</v>
          </cell>
          <cell r="D1378">
            <v>11</v>
          </cell>
          <cell r="E1378" t="str">
            <v>Casual</v>
          </cell>
          <cell r="F1378" t="str">
            <v>Standard</v>
          </cell>
          <cell r="G1378">
            <v>42728</v>
          </cell>
          <cell r="H1378" t="str">
            <v>14791</v>
          </cell>
          <cell r="I1378" t="str">
            <v>https://www.smwcentral.net/?a=details&amp;id=14791&amp;p=section</v>
          </cell>
          <cell r="J1378" t="str">
            <v>https://dl.smwcentral.net/14791/Phenomenal%20Mario%20World%20Demo.zip</v>
          </cell>
        </row>
        <row r="1379">
          <cell r="A1379" t="str">
            <v>Pin's Grand Adventure ; The Real Deal</v>
          </cell>
          <cell r="B1379" t="str">
            <v>Pin's Grand Adventure ; The Real Deal</v>
          </cell>
          <cell r="C1379" t="str">
            <v>DougieBomber12</v>
          </cell>
          <cell r="D1379">
            <v>19</v>
          </cell>
          <cell r="E1379" t="str">
            <v>Casual</v>
          </cell>
          <cell r="F1379" t="str">
            <v>Standard</v>
          </cell>
          <cell r="G1379">
            <v>42855</v>
          </cell>
          <cell r="H1379" t="str">
            <v>15521</v>
          </cell>
          <cell r="I1379" t="str">
            <v>https://www.smwcentral.net/?a=details&amp;id=15521&amp;p=section</v>
          </cell>
          <cell r="J1379" t="str">
            <v>https://dl.smwcentral.net/15521/Pin%27s%20Grand%20Adventure.zip</v>
          </cell>
        </row>
        <row r="1380">
          <cell r="A1380" t="str">
            <v>Pineapple Porcupine</v>
          </cell>
          <cell r="B1380" t="str">
            <v>Pineapple Porcupine</v>
          </cell>
          <cell r="C1380" t="str">
            <v>Dan2point5</v>
          </cell>
          <cell r="D1380">
            <v>14</v>
          </cell>
          <cell r="E1380" t="str">
            <v>Expert</v>
          </cell>
          <cell r="F1380" t="str">
            <v>Kaizo</v>
          </cell>
          <cell r="G1380">
            <v>44991</v>
          </cell>
          <cell r="H1380" t="str">
            <v>33410</v>
          </cell>
          <cell r="I1380" t="str">
            <v>https://www.smwcentral.net/?a=details&amp;id=33410&amp;p=section</v>
          </cell>
          <cell r="J1380" t="str">
            <v>https://dl.smwcentral.net/33410/Pineapple%20Porcupine%20v1.1.zip</v>
          </cell>
        </row>
        <row r="1381">
          <cell r="A1381" t="str">
            <v>Pineapple Porcupine 2</v>
          </cell>
          <cell r="B1381" t="str">
            <v>Pineapple Porcupine 2</v>
          </cell>
          <cell r="C1381" t="str">
            <v>Dan2point5</v>
          </cell>
          <cell r="D1381">
            <v>25</v>
          </cell>
          <cell r="E1381" t="str">
            <v>Expert</v>
          </cell>
          <cell r="F1381" t="str">
            <v>Kaizo</v>
          </cell>
          <cell r="G1381">
            <v>46143</v>
          </cell>
          <cell r="H1381" t="str">
            <v>42291</v>
          </cell>
          <cell r="I1381" t="str">
            <v>https://www.smwcentral.net/?a=details&amp;id=42291&amp;p=section</v>
          </cell>
          <cell r="J1381" t="str">
            <v>https://dl.smwcentral.net/42291/Pineapple%20Porcupine%202.zip</v>
          </cell>
        </row>
        <row r="1382">
          <cell r="A1382" t="str">
            <v>Pipe City</v>
          </cell>
          <cell r="B1382" t="str">
            <v>Pipe City</v>
          </cell>
          <cell r="C1382" t="str">
            <v>Graystripe</v>
          </cell>
          <cell r="D1382">
            <v>4</v>
          </cell>
          <cell r="E1382" t="str">
            <v>Intermediate</v>
          </cell>
          <cell r="F1382" t="str">
            <v>Kaizo</v>
          </cell>
          <cell r="G1382">
            <v>45690</v>
          </cell>
          <cell r="H1382" t="str">
            <v>39132</v>
          </cell>
          <cell r="I1382" t="str">
            <v>https://www.smwcentral.net/?a=details&amp;id=39132&amp;p=section</v>
          </cell>
          <cell r="J1382" t="str">
            <v>https://dl.smwcentral.net/39132/Pipe_City_v1.1.zip</v>
          </cell>
        </row>
        <row r="1383">
          <cell r="A1383" t="str">
            <v>Pipetastic</v>
          </cell>
          <cell r="B1383" t="str">
            <v>Pipetastic</v>
          </cell>
          <cell r="C1383" t="str">
            <v>RandomType</v>
          </cell>
          <cell r="D1383">
            <v>8</v>
          </cell>
          <cell r="E1383" t="str">
            <v>Expert</v>
          </cell>
          <cell r="F1383" t="str">
            <v>Kaizo</v>
          </cell>
          <cell r="G1383">
            <v>45998</v>
          </cell>
          <cell r="H1383" t="str">
            <v>41226</v>
          </cell>
          <cell r="I1383" t="str">
            <v>https://www.smwcentral.net/?a=details&amp;id=41226&amp;p=section</v>
          </cell>
          <cell r="J1383" t="str">
            <v>https://dl.smwcentral.net/41226/Pipetastic1.1.zip</v>
          </cell>
        </row>
        <row r="1384">
          <cell r="A1384" t="str">
            <v>Piranhatopia</v>
          </cell>
          <cell r="B1384" t="str">
            <v>Piranhatopia</v>
          </cell>
          <cell r="C1384" t="str">
            <v>Vamperumbra</v>
          </cell>
          <cell r="D1384">
            <v>21</v>
          </cell>
          <cell r="E1384" t="str">
            <v>Intermediate</v>
          </cell>
          <cell r="F1384" t="str">
            <v>Standard</v>
          </cell>
          <cell r="G1384">
            <v>42784</v>
          </cell>
          <cell r="H1384" t="str">
            <v>15170</v>
          </cell>
          <cell r="I1384" t="str">
            <v>https://www.smwcentral.net/?a=details&amp;id=15170&amp;p=section</v>
          </cell>
          <cell r="J1384" t="str">
            <v>https://dl.smwcentral.net/15170/Piranhatopia.zip</v>
          </cell>
        </row>
        <row r="1385">
          <cell r="A1385" t="str">
            <v>Pirate Hack (Demo)</v>
          </cell>
          <cell r="B1385" t="str">
            <v>Pirate Hack (Demo)</v>
          </cell>
          <cell r="C1385" t="str">
            <v>Ziz</v>
          </cell>
          <cell r="D1385">
            <v>10</v>
          </cell>
          <cell r="E1385" t="str">
            <v>Intermediate</v>
          </cell>
          <cell r="F1385" t="str">
            <v>Standard</v>
          </cell>
          <cell r="G1385">
            <v>44766</v>
          </cell>
          <cell r="H1385" t="str">
            <v>31373</v>
          </cell>
          <cell r="I1385" t="str">
            <v>https://www.smwcentral.net/?a=details&amp;id=31373&amp;p=section</v>
          </cell>
          <cell r="J1385" t="str">
            <v>https://dl.smwcentral.net/31373/Pirate%20Hack%20Demo.zip</v>
          </cell>
        </row>
        <row r="1386">
          <cell r="A1386" t="str">
            <v>Pit of Abuse</v>
          </cell>
          <cell r="B1386" t="str">
            <v>Pit of Abuse</v>
          </cell>
          <cell r="C1386" t="str">
            <v>51690</v>
          </cell>
          <cell r="D1386">
            <v>1</v>
          </cell>
          <cell r="E1386" t="str">
            <v>Expert</v>
          </cell>
          <cell r="F1386" t="str">
            <v>Tool-Assisted, Pit</v>
          </cell>
          <cell r="G1386">
            <v>44912</v>
          </cell>
          <cell r="H1386" t="str">
            <v>32328</v>
          </cell>
          <cell r="I1386" t="str">
            <v>https://www.smwcentral.net/?a=details&amp;id=32328&amp;p=section</v>
          </cell>
          <cell r="J1386" t="str">
            <v>https://dl.smwcentral.net/32328/pit%20of%20abuse.zip</v>
          </cell>
        </row>
        <row r="1387">
          <cell r="A1387" t="str">
            <v>Pit of God</v>
          </cell>
          <cell r="B1387" t="str">
            <v>Pit of God</v>
          </cell>
          <cell r="C1387" t="str">
            <v>HKSo051</v>
          </cell>
          <cell r="D1387">
            <v>1</v>
          </cell>
          <cell r="E1387" t="str">
            <v>Grandmaster</v>
          </cell>
          <cell r="F1387" t="str">
            <v>Tool-Assisted, Pit</v>
          </cell>
          <cell r="G1387">
            <v>43458</v>
          </cell>
          <cell r="H1387" t="str">
            <v>18608</v>
          </cell>
          <cell r="I1387" t="str">
            <v>https://www.smwcentral.net/?a=details&amp;id=18608&amp;p=section</v>
          </cell>
          <cell r="J1387" t="str">
            <v>https://dl.smwcentral.net/18608/Pit%20Of%20God.zip</v>
          </cell>
        </row>
        <row r="1388">
          <cell r="A1388" t="str">
            <v>Pit of Gui!! (Reformulated Version)</v>
          </cell>
          <cell r="B1388" t="str">
            <v>Pit of Gui!! (Reformulated Version)</v>
          </cell>
          <cell r="C1388" t="str">
            <v>GuilhermeYT</v>
          </cell>
          <cell r="D1388">
            <v>1</v>
          </cell>
          <cell r="E1388" t="str">
            <v>Expert</v>
          </cell>
          <cell r="F1388" t="str">
            <v>Tool-Assisted, Pit</v>
          </cell>
          <cell r="G1388">
            <v>46211</v>
          </cell>
          <cell r="H1388" t="str">
            <v>42546</v>
          </cell>
          <cell r="I1388" t="str">
            <v>https://www.smwcentral.net/?a=details&amp;id=42546&amp;p=section</v>
          </cell>
          <cell r="J1388" t="str">
            <v>https://dl.smwcentral.net/42546/Pit%20of%20Gui%21%21%20V1.4%20%28Reformulated%20Version%29.zip</v>
          </cell>
        </row>
        <row r="1389">
          <cell r="A1389" t="str">
            <v>Pit of Insaneness</v>
          </cell>
          <cell r="B1389" t="str">
            <v>Pit of Insaneness</v>
          </cell>
          <cell r="C1389" t="str">
            <v>NBKevin98</v>
          </cell>
          <cell r="D1389">
            <v>1</v>
          </cell>
          <cell r="E1389" t="str">
            <v>Master</v>
          </cell>
          <cell r="F1389" t="str">
            <v>Tool-Assisted, Pit</v>
          </cell>
          <cell r="G1389">
            <v>43155</v>
          </cell>
          <cell r="H1389" t="str">
            <v>16829</v>
          </cell>
          <cell r="I1389" t="str">
            <v>https://www.smwcentral.net/?a=details&amp;id=16829&amp;p=section</v>
          </cell>
          <cell r="J1389" t="str">
            <v>https://dl.smwcentral.net/16829/Pit%20of%20Insaneness%20v.1.0.zip</v>
          </cell>
        </row>
        <row r="1390">
          <cell r="A1390" t="str">
            <v>Pit of Insaneness 2</v>
          </cell>
          <cell r="B1390" t="str">
            <v>Pit of Insaneness 2</v>
          </cell>
          <cell r="C1390" t="str">
            <v>NBKevin98</v>
          </cell>
          <cell r="D1390">
            <v>1</v>
          </cell>
          <cell r="E1390" t="str">
            <v>Grandmaster</v>
          </cell>
          <cell r="F1390" t="str">
            <v>Tool-Assisted, Pit</v>
          </cell>
          <cell r="G1390">
            <v>43109</v>
          </cell>
          <cell r="H1390" t="str">
            <v>16765</v>
          </cell>
          <cell r="I1390" t="str">
            <v>https://www.smwcentral.net/?a=details&amp;id=16765&amp;p=section</v>
          </cell>
          <cell r="J1390" t="str">
            <v>https://dl.smwcentral.net/16765/Pit%20of%20Insaneness%202.zip</v>
          </cell>
        </row>
        <row r="1391">
          <cell r="A1391" t="str">
            <v>Pit Of RTA</v>
          </cell>
          <cell r="B1391" t="str">
            <v>Pit Of RTA</v>
          </cell>
          <cell r="C1391" t="str">
            <v>Nowieso</v>
          </cell>
          <cell r="D1391">
            <v>6</v>
          </cell>
          <cell r="E1391" t="str">
            <v>Expert</v>
          </cell>
          <cell r="F1391" t="str">
            <v>Kaizo</v>
          </cell>
          <cell r="G1391">
            <v>45222</v>
          </cell>
          <cell r="H1391" t="str">
            <v>35328</v>
          </cell>
          <cell r="I1391" t="str">
            <v>https://www.smwcentral.net/?a=details&amp;id=35328&amp;p=section</v>
          </cell>
          <cell r="J1391" t="str">
            <v>https://dl.smwcentral.net/35328/Pit_Of_RTA.zip</v>
          </cell>
        </row>
        <row r="1392">
          <cell r="A1392" t="str">
            <v>Pizza of challenges</v>
          </cell>
          <cell r="B1392" t="str">
            <v>Pizza of challenges</v>
          </cell>
          <cell r="C1392" t="str">
            <v>Pizzagamer9791</v>
          </cell>
          <cell r="D1392">
            <v>9</v>
          </cell>
          <cell r="E1392" t="str">
            <v>Expert</v>
          </cell>
          <cell r="F1392" t="str">
            <v>Kaizo</v>
          </cell>
          <cell r="G1392">
            <v>45420</v>
          </cell>
          <cell r="H1392" t="str">
            <v>37733</v>
          </cell>
          <cell r="I1392" t="str">
            <v>https://www.smwcentral.net/?a=details&amp;id=37733&amp;p=section</v>
          </cell>
          <cell r="J1392" t="str">
            <v>https://dl.smwcentral.net/37733/Pizza%20of%20challenges.zip</v>
          </cell>
        </row>
        <row r="1393">
          <cell r="A1393" t="str">
            <v>Plain Cheese Pizza</v>
          </cell>
          <cell r="B1393" t="str">
            <v>Plain Cheese Pizza</v>
          </cell>
          <cell r="C1393" t="str">
            <v>MistaX88</v>
          </cell>
          <cell r="D1393">
            <v>24</v>
          </cell>
          <cell r="E1393" t="str">
            <v>Expert</v>
          </cell>
          <cell r="F1393" t="str">
            <v>Kaizo</v>
          </cell>
          <cell r="G1393">
            <v>45089</v>
          </cell>
          <cell r="H1393" t="str">
            <v>34061</v>
          </cell>
          <cell r="I1393" t="str">
            <v>https://www.smwcentral.net/?a=details&amp;id=34061&amp;p=section</v>
          </cell>
          <cell r="J1393" t="str">
            <v>https://dl.smwcentral.net/34061/PlainCheesePizza1.1.zip</v>
          </cell>
        </row>
        <row r="1394">
          <cell r="A1394" t="str">
            <v>planets</v>
          </cell>
          <cell r="B1394" t="str">
            <v>planets</v>
          </cell>
          <cell r="C1394" t="str">
            <v>VLSkoot</v>
          </cell>
          <cell r="D1394">
            <v>9</v>
          </cell>
          <cell r="E1394" t="str">
            <v>Expert</v>
          </cell>
          <cell r="F1394" t="str">
            <v>Kaizo</v>
          </cell>
          <cell r="G1394">
            <v>44901</v>
          </cell>
          <cell r="H1394" t="str">
            <v>32693</v>
          </cell>
          <cell r="I1394" t="str">
            <v>https://www.smwcentral.net/?a=details&amp;id=32693&amp;p=section</v>
          </cell>
          <cell r="J1394" t="str">
            <v>https://dl.smwcentral.net/32693/Planets.zip</v>
          </cell>
        </row>
        <row r="1395">
          <cell r="A1395" t="str">
            <v>Play To Win</v>
          </cell>
          <cell r="B1395" t="str">
            <v>Play To Win</v>
          </cell>
          <cell r="C1395" t="str">
            <v>Mr. MS</v>
          </cell>
          <cell r="D1395">
            <v>32</v>
          </cell>
          <cell r="E1395" t="str">
            <v>Casual</v>
          </cell>
          <cell r="F1395" t="str">
            <v>Standard</v>
          </cell>
          <cell r="G1395">
            <v>45232</v>
          </cell>
          <cell r="H1395" t="str">
            <v>35230</v>
          </cell>
          <cell r="I1395" t="str">
            <v>https://www.smwcentral.net/?a=details&amp;id=35230&amp;p=section</v>
          </cell>
          <cell r="J1395" t="str">
            <v>https://dl.smwcentral.net/35230/PlayToWin_1_6_0.zip</v>
          </cell>
        </row>
        <row r="1396">
          <cell r="A1396" t="str">
            <v>Playground Kaizo</v>
          </cell>
          <cell r="B1396" t="str">
            <v>Playground Kaizo</v>
          </cell>
          <cell r="C1396" t="str">
            <v>RicardoDeMelo</v>
          </cell>
          <cell r="D1396">
            <v>6</v>
          </cell>
          <cell r="E1396" t="str">
            <v>Casual</v>
          </cell>
          <cell r="F1396" t="str">
            <v>Kaizo</v>
          </cell>
          <cell r="G1396">
            <v>46066</v>
          </cell>
          <cell r="H1396" t="str">
            <v>41584</v>
          </cell>
          <cell r="I1396" t="str">
            <v>https://www.smwcentral.net/?a=details&amp;id=41584&amp;p=section</v>
          </cell>
          <cell r="J1396" t="str">
            <v>https://dl.smwcentral.net/41584/Playground%20Kaizo.zip</v>
          </cell>
        </row>
        <row r="1397">
          <cell r="A1397" t="str">
            <v>Playground Kaizo 2</v>
          </cell>
          <cell r="B1397" t="str">
            <v>Playground Kaizo 2</v>
          </cell>
          <cell r="C1397" t="str">
            <v>RicardoDeMelo</v>
          </cell>
          <cell r="D1397">
            <v>8</v>
          </cell>
          <cell r="E1397" t="str">
            <v>Casual</v>
          </cell>
          <cell r="F1397" t="str">
            <v>Kaizo</v>
          </cell>
          <cell r="G1397">
            <v>46126</v>
          </cell>
          <cell r="H1397" t="str">
            <v>42098</v>
          </cell>
          <cell r="I1397" t="str">
            <v>https://www.smwcentral.net/?a=details&amp;id=42098&amp;p=section</v>
          </cell>
          <cell r="J1397" t="str">
            <v>https://dl.smwcentral.net/42098/Playground%20Kaizo%202.zip</v>
          </cell>
        </row>
        <row r="1398">
          <cell r="A1398" t="str">
            <v>PLAYTIME</v>
          </cell>
          <cell r="B1398" t="str">
            <v>PLAYTIME</v>
          </cell>
          <cell r="C1398" t="str">
            <v>Insanit</v>
          </cell>
          <cell r="D1398">
            <v>17</v>
          </cell>
          <cell r="E1398" t="str">
            <v>Expert</v>
          </cell>
          <cell r="F1398" t="str">
            <v>Kaizo</v>
          </cell>
          <cell r="G1398">
            <v>46196</v>
          </cell>
          <cell r="H1398" t="str">
            <v>42543</v>
          </cell>
          <cell r="I1398" t="str">
            <v>https://www.smwcentral.net/?a=details&amp;id=42543&amp;p=section</v>
          </cell>
          <cell r="J1398" t="str">
            <v>https://dl.smwcentral.net/42543/playtime_1.11.zip</v>
          </cell>
        </row>
        <row r="1399">
          <cell r="A1399" t="str">
            <v>Plombier du Fromage</v>
          </cell>
          <cell r="B1399" t="str">
            <v>Plombier du Fromage</v>
          </cell>
          <cell r="C1399" t="str">
            <v>Fumu</v>
          </cell>
          <cell r="D1399">
            <v>8</v>
          </cell>
          <cell r="E1399" t="str">
            <v>Advanced</v>
          </cell>
          <cell r="F1399" t="str">
            <v>Standard</v>
          </cell>
          <cell r="G1399">
            <v>44068</v>
          </cell>
          <cell r="H1399" t="str">
            <v>24373</v>
          </cell>
          <cell r="I1399" t="str">
            <v>https://www.smwcentral.net/?a=details&amp;id=24373&amp;p=section</v>
          </cell>
          <cell r="J1399" t="str">
            <v>https://dl.smwcentral.net/24373/plombier%20du%20fromage.zip</v>
          </cell>
        </row>
        <row r="1400">
          <cell r="A1400" t="str">
            <v>Po's adventure neko burst</v>
          </cell>
          <cell r="B1400" t="str">
            <v>Po's adventure neko burst</v>
          </cell>
          <cell r="C1400" t="str">
            <v>nathanx365</v>
          </cell>
          <cell r="D1400">
            <v>12</v>
          </cell>
          <cell r="E1400" t="str">
            <v>Newcomer</v>
          </cell>
          <cell r="F1400" t="str">
            <v>Standard</v>
          </cell>
          <cell r="G1400">
            <v>42742</v>
          </cell>
          <cell r="H1400" t="str">
            <v>14907</v>
          </cell>
          <cell r="I1400" t="str">
            <v>https://www.smwcentral.net/?a=details&amp;id=14907&amp;p=section</v>
          </cell>
          <cell r="J1400" t="str">
            <v>https://dl.smwcentral.net/14907/Po%27s%20adventure%20neko%20burst.zip</v>
          </cell>
        </row>
        <row r="1401">
          <cell r="A1401" t="str">
            <v>Pointless</v>
          </cell>
          <cell r="B1401" t="str">
            <v>Pointless</v>
          </cell>
          <cell r="C1401" t="str">
            <v>SonofSolaire</v>
          </cell>
          <cell r="D1401">
            <v>12</v>
          </cell>
          <cell r="E1401" t="str">
            <v>Advanced</v>
          </cell>
          <cell r="F1401" t="str">
            <v>Kaizo</v>
          </cell>
          <cell r="G1401">
            <v>46219</v>
          </cell>
          <cell r="H1401" t="str">
            <v>42699</v>
          </cell>
          <cell r="I1401" t="str">
            <v>https://www.smwcentral.net/?a=details&amp;id=42699&amp;p=section</v>
          </cell>
          <cell r="J1401" t="str">
            <v>https://dl.smwcentral.net/42699/Pointless%201.0.zip</v>
          </cell>
        </row>
        <row r="1402">
          <cell r="A1402" t="str">
            <v>Poked</v>
          </cell>
          <cell r="B1402" t="str">
            <v>Poked</v>
          </cell>
          <cell r="C1402" t="str">
            <v>akseliv</v>
          </cell>
          <cell r="D1402">
            <v>3</v>
          </cell>
          <cell r="E1402" t="str">
            <v>Intermediate</v>
          </cell>
          <cell r="F1402" t="str">
            <v>Standard, Kaizo</v>
          </cell>
          <cell r="G1402">
            <v>45699</v>
          </cell>
          <cell r="H1402" t="str">
            <v>39121</v>
          </cell>
          <cell r="I1402" t="str">
            <v>https://www.smwcentral.net/?a=details&amp;id=39121&amp;p=section</v>
          </cell>
          <cell r="J1402" t="str">
            <v>https://dl.smwcentral.net/39121/Poked.zip</v>
          </cell>
        </row>
        <row r="1403">
          <cell r="A1403" t="str">
            <v>Pokey's Adventure</v>
          </cell>
          <cell r="B1403" t="str">
            <v>Pokey's Adventure</v>
          </cell>
          <cell r="C1403" t="str">
            <v>wye</v>
          </cell>
          <cell r="D1403">
            <v>7</v>
          </cell>
          <cell r="E1403" t="str">
            <v>Newcomer</v>
          </cell>
          <cell r="F1403" t="str">
            <v>Standard</v>
          </cell>
          <cell r="G1403">
            <v>41464</v>
          </cell>
          <cell r="H1403" t="str">
            <v>5131</v>
          </cell>
          <cell r="I1403" t="str">
            <v>https://www.smwcentral.net/?a=details&amp;id=5131&amp;p=section</v>
          </cell>
          <cell r="J1403" t="str">
            <v>https://dl.smwcentral.net/5131/Pokeys_Adventure_Demo1_v11.zip</v>
          </cell>
        </row>
        <row r="1404">
          <cell r="A1404" t="str">
            <v>Pokémon Darkness</v>
          </cell>
          <cell r="B1404" t="str">
            <v>Pokémon Darkness</v>
          </cell>
          <cell r="C1404" t="str">
            <v>Lexator</v>
          </cell>
          <cell r="D1404">
            <v>50</v>
          </cell>
          <cell r="E1404" t="str">
            <v>Casual</v>
          </cell>
          <cell r="F1404" t="str">
            <v>Standard</v>
          </cell>
          <cell r="G1404">
            <v>42286</v>
          </cell>
          <cell r="H1404" t="str">
            <v>9998</v>
          </cell>
          <cell r="I1404" t="str">
            <v>https://www.smwcentral.net/?a=details&amp;id=9998&amp;p=section</v>
          </cell>
          <cell r="J1404" t="str">
            <v>https://dl.smwcentral.net/9998/Pok%C3%A9mon%20Darkness%20final%20version.zip</v>
          </cell>
        </row>
        <row r="1405">
          <cell r="A1405" t="str">
            <v>Polyphony</v>
          </cell>
          <cell r="B1405" t="str">
            <v>Polyphony</v>
          </cell>
          <cell r="C1405" t="str">
            <v>TomatoPhalanges</v>
          </cell>
          <cell r="D1405">
            <v>24</v>
          </cell>
          <cell r="E1405" t="str">
            <v>Advanced</v>
          </cell>
          <cell r="F1405" t="str">
            <v>Standard, Kaizo</v>
          </cell>
          <cell r="G1405">
            <v>44423</v>
          </cell>
          <cell r="H1405" t="str">
            <v>27893</v>
          </cell>
          <cell r="I1405" t="str">
            <v>https://www.smwcentral.net/?a=details&amp;id=27893&amp;p=section</v>
          </cell>
          <cell r="J1405" t="str">
            <v>https://dl.smwcentral.net/27893/POLYPHONY_1.1.1.zip</v>
          </cell>
        </row>
        <row r="1406">
          <cell r="A1406" t="str">
            <v>poop jump</v>
          </cell>
          <cell r="B1406" t="str">
            <v>poop jump</v>
          </cell>
          <cell r="C1406" t="str">
            <v>Blaagon, Poop Team</v>
          </cell>
          <cell r="D1406">
            <v>75</v>
          </cell>
          <cell r="E1406" t="str">
            <v>Grandmaster</v>
          </cell>
          <cell r="F1406" t="str">
            <v>Kaizo</v>
          </cell>
          <cell r="G1406">
            <v>45474</v>
          </cell>
          <cell r="H1406" t="str">
            <v>37953</v>
          </cell>
          <cell r="I1406" t="str">
            <v>https://www.smwcentral.net/?a=details&amp;id=37953&amp;p=section</v>
          </cell>
          <cell r="J1406" t="str">
            <v>https://dl.smwcentral.net/37953/pj.zip</v>
          </cell>
        </row>
        <row r="1407">
          <cell r="A1407" t="str">
            <v>poop jump cafe</v>
          </cell>
          <cell r="B1407" t="str">
            <v>poop jump cafe</v>
          </cell>
          <cell r="C1407" t="str">
            <v>Blaagon, deported</v>
          </cell>
          <cell r="D1407">
            <v>1</v>
          </cell>
          <cell r="E1407" t="str">
            <v>Master</v>
          </cell>
          <cell r="F1407" t="str">
            <v>Kaizo</v>
          </cell>
          <cell r="G1407">
            <v>45500</v>
          </cell>
          <cell r="H1407" t="str">
            <v>38118</v>
          </cell>
          <cell r="I1407" t="str">
            <v>https://www.smwcentral.net/?a=details&amp;id=38118&amp;p=section</v>
          </cell>
          <cell r="J1407" t="str">
            <v>https://dl.smwcentral.net/38118/pjcafe.zip</v>
          </cell>
        </row>
        <row r="1408">
          <cell r="A1408" t="str">
            <v>popi world</v>
          </cell>
          <cell r="B1408" t="str">
            <v>popi world</v>
          </cell>
          <cell r="C1408" t="str">
            <v>alvinluis</v>
          </cell>
          <cell r="D1408">
            <v>5</v>
          </cell>
          <cell r="E1408" t="str">
            <v>Advanced</v>
          </cell>
          <cell r="F1408" t="str">
            <v>Kaizo</v>
          </cell>
          <cell r="G1408">
            <v>44628</v>
          </cell>
          <cell r="H1408" t="str">
            <v>30068</v>
          </cell>
          <cell r="I1408" t="str">
            <v>https://www.smwcentral.net/?a=details&amp;id=30068&amp;p=section</v>
          </cell>
          <cell r="J1408" t="str">
            <v>https://dl.smwcentral.net/30068/popi%20world.zip</v>
          </cell>
        </row>
        <row r="1409">
          <cell r="A1409" t="str">
            <v>popi world 2</v>
          </cell>
          <cell r="B1409" t="str">
            <v>popi world 2</v>
          </cell>
          <cell r="C1409" t="str">
            <v>alvinluis</v>
          </cell>
          <cell r="D1409">
            <v>10</v>
          </cell>
          <cell r="E1409" t="str">
            <v>Advanced</v>
          </cell>
          <cell r="F1409" t="str">
            <v>Kaizo</v>
          </cell>
          <cell r="G1409">
            <v>44677</v>
          </cell>
          <cell r="H1409" t="str">
            <v>30609</v>
          </cell>
          <cell r="I1409" t="str">
            <v>https://www.smwcentral.net/?a=details&amp;id=30609&amp;p=section</v>
          </cell>
          <cell r="J1409" t="str">
            <v>https://dl.smwcentral.net/30609/popi%20world%202.zip</v>
          </cell>
        </row>
        <row r="1410">
          <cell r="A1410" t="str">
            <v>Post Traumatic Stress Disorder</v>
          </cell>
          <cell r="B1410" t="str">
            <v>Post Traumatic Stress Disorder</v>
          </cell>
          <cell r="C1410" t="str">
            <v>fanfan21</v>
          </cell>
          <cell r="D1410">
            <v>9</v>
          </cell>
          <cell r="E1410" t="str">
            <v>Advanced</v>
          </cell>
          <cell r="F1410" t="str">
            <v>Kaizo</v>
          </cell>
          <cell r="G1410">
            <v>45673</v>
          </cell>
          <cell r="H1410" t="str">
            <v>38956</v>
          </cell>
          <cell r="I1410" t="str">
            <v>https://www.smwcentral.net/?a=details&amp;id=38956&amp;p=section</v>
          </cell>
          <cell r="J1410" t="str">
            <v>https://dl.smwcentral.net/38956/SMW%20-%20PTSD%20%281.1%29.zip</v>
          </cell>
        </row>
        <row r="1411">
          <cell r="A1411" t="str">
            <v>Power Guy World</v>
          </cell>
          <cell r="B1411" t="str">
            <v>Power Guy World</v>
          </cell>
          <cell r="C1411" t="str">
            <v>LucasMegaStriker</v>
          </cell>
          <cell r="D1411">
            <v>30</v>
          </cell>
          <cell r="E1411" t="str">
            <v>Intermediate</v>
          </cell>
          <cell r="F1411" t="str">
            <v>Standard</v>
          </cell>
          <cell r="G1411">
            <v>45153</v>
          </cell>
          <cell r="H1411" t="str">
            <v>34843</v>
          </cell>
          <cell r="I1411" t="str">
            <v>https://www.smwcentral.net/?a=details&amp;id=34843&amp;p=section</v>
          </cell>
          <cell r="J1411" t="str">
            <v>https://dl.smwcentral.net/34843/PowerGuyWorld.zip</v>
          </cell>
        </row>
        <row r="1412">
          <cell r="A1412" t="str">
            <v>Power Journey</v>
          </cell>
          <cell r="B1412" t="str">
            <v>Power Journey</v>
          </cell>
          <cell r="C1412" t="str">
            <v>BlueSkye209</v>
          </cell>
          <cell r="D1412">
            <v>12</v>
          </cell>
          <cell r="E1412" t="str">
            <v>Intermediate</v>
          </cell>
          <cell r="F1412" t="str">
            <v>Standard</v>
          </cell>
          <cell r="G1412">
            <v>44173</v>
          </cell>
          <cell r="H1412" t="str">
            <v>24866</v>
          </cell>
          <cell r="I1412" t="str">
            <v>https://www.smwcentral.net/?a=details&amp;id=24866&amp;p=section</v>
          </cell>
          <cell r="J1412" t="str">
            <v>https://dl.smwcentral.net/24866/PowerJourney.zip</v>
          </cell>
        </row>
        <row r="1413">
          <cell r="A1413" t="str">
            <v>Powerup Party</v>
          </cell>
          <cell r="B1413" t="str">
            <v>Powerup Party</v>
          </cell>
          <cell r="C1413" t="str">
            <v>Spedinja</v>
          </cell>
          <cell r="D1413">
            <v>2</v>
          </cell>
          <cell r="E1413" t="str">
            <v>Intermediate</v>
          </cell>
          <cell r="F1413" t="str">
            <v>Kaizo</v>
          </cell>
          <cell r="G1413">
            <v>45397</v>
          </cell>
          <cell r="H1413" t="str">
            <v>37624</v>
          </cell>
          <cell r="I1413" t="str">
            <v>https://www.smwcentral.net/?a=details&amp;id=37624&amp;p=section</v>
          </cell>
          <cell r="J1413" t="str">
            <v>https://dl.smwcentral.net/37624/PowerupParty.zip</v>
          </cell>
        </row>
        <row r="1414">
          <cell r="A1414" t="str">
            <v>Practice Makes Purrfect</v>
          </cell>
          <cell r="B1414" t="str">
            <v>Practice Makes Purrfect</v>
          </cell>
          <cell r="C1414" t="str">
            <v>sunwarrior25</v>
          </cell>
          <cell r="D1414">
            <v>15</v>
          </cell>
          <cell r="E1414" t="str">
            <v>Casual</v>
          </cell>
          <cell r="F1414" t="str">
            <v>Standard</v>
          </cell>
          <cell r="G1414">
            <v>42288</v>
          </cell>
          <cell r="H1414" t="str">
            <v>9654</v>
          </cell>
          <cell r="I1414" t="str">
            <v>https://www.smwcentral.net/?a=details&amp;id=9654&amp;p=section</v>
          </cell>
          <cell r="J1414" t="str">
            <v>https://dl.smwcentral.net/9654/PMPc3demo.zip</v>
          </cell>
        </row>
        <row r="1415">
          <cell r="A1415" t="str">
            <v>Precise Perfection</v>
          </cell>
          <cell r="B1415" t="str">
            <v>Precise Perfection</v>
          </cell>
          <cell r="C1415" t="str">
            <v>HoorayForJay</v>
          </cell>
          <cell r="D1415">
            <v>1</v>
          </cell>
          <cell r="E1415" t="str">
            <v>Grandmaster</v>
          </cell>
          <cell r="F1415" t="str">
            <v>Tool-Assisted, Pit</v>
          </cell>
          <cell r="G1415">
            <v>42839</v>
          </cell>
          <cell r="H1415" t="str">
            <v>15341</v>
          </cell>
          <cell r="I1415" t="str">
            <v>https://www.smwcentral.net/?a=details&amp;id=15341&amp;p=section</v>
          </cell>
          <cell r="J1415" t="str">
            <v>https://dl.smwcentral.net/15341/PrecisePerfection.zip</v>
          </cell>
        </row>
        <row r="1416">
          <cell r="A1416" t="str">
            <v>Precision86</v>
          </cell>
          <cell r="B1416" t="str">
            <v>Precision86</v>
          </cell>
          <cell r="C1416" t="str">
            <v>Nowieso</v>
          </cell>
          <cell r="D1416">
            <v>3</v>
          </cell>
          <cell r="E1416" t="str">
            <v>Master</v>
          </cell>
          <cell r="F1416" t="str">
            <v>Kaizo</v>
          </cell>
          <cell r="G1416">
            <v>43892</v>
          </cell>
          <cell r="H1416" t="str">
            <v>22240</v>
          </cell>
          <cell r="I1416" t="str">
            <v>https://www.smwcentral.net/?a=details&amp;id=22240&amp;p=section</v>
          </cell>
          <cell r="J1416" t="str">
            <v>https://dl.smwcentral.net/22240/Precision86%20Demo.zip</v>
          </cell>
        </row>
        <row r="1417">
          <cell r="A1417" t="str">
            <v>Precision86 Part II : The Forgotten Kingdom (DEMO)</v>
          </cell>
          <cell r="B1417" t="str">
            <v>Precision86 Part II : The Forgotten Kingdom (DEMO)</v>
          </cell>
          <cell r="C1417" t="str">
            <v>Nowieso</v>
          </cell>
          <cell r="D1417">
            <v>7</v>
          </cell>
          <cell r="E1417" t="str">
            <v>Master</v>
          </cell>
          <cell r="F1417" t="str">
            <v>Kaizo</v>
          </cell>
          <cell r="G1417">
            <v>46137</v>
          </cell>
          <cell r="H1417" t="str">
            <v>42028</v>
          </cell>
          <cell r="I1417" t="str">
            <v>https://www.smwcentral.net/?a=details&amp;id=42028&amp;p=section</v>
          </cell>
          <cell r="J1417" t="str">
            <v>https://dl.smwcentral.net/42028/Precision86%20Part%20II%20Demo%20V1_2.zip</v>
          </cell>
        </row>
        <row r="1418">
          <cell r="A1418" t="str">
            <v>Prickly Goo to the Rescue</v>
          </cell>
          <cell r="B1418" t="str">
            <v>Prickly Goo to the Rescue</v>
          </cell>
          <cell r="C1418" t="str">
            <v>LashLaRue24</v>
          </cell>
          <cell r="D1418">
            <v>9</v>
          </cell>
          <cell r="E1418" t="str">
            <v>Advanced</v>
          </cell>
          <cell r="F1418" t="str">
            <v>Kaizo</v>
          </cell>
          <cell r="G1418">
            <v>45334</v>
          </cell>
          <cell r="H1418" t="str">
            <v>36836</v>
          </cell>
          <cell r="I1418" t="str">
            <v>https://www.smwcentral.net/?a=details&amp;id=36836&amp;p=section</v>
          </cell>
          <cell r="J1418" t="str">
            <v>https://dl.smwcentral.net/36836/PricklyGoo.zip</v>
          </cell>
        </row>
        <row r="1419">
          <cell r="A1419" t="str">
            <v>Primal Mario World</v>
          </cell>
          <cell r="B1419" t="str">
            <v>Primal Mario World</v>
          </cell>
          <cell r="C1419" t="str">
            <v>PineappleProducer</v>
          </cell>
          <cell r="D1419">
            <v>44</v>
          </cell>
          <cell r="E1419" t="str">
            <v>Newcomer</v>
          </cell>
          <cell r="F1419" t="str">
            <v>Standard</v>
          </cell>
          <cell r="G1419">
            <v>42275</v>
          </cell>
          <cell r="H1419" t="str">
            <v>10042</v>
          </cell>
          <cell r="I1419" t="str">
            <v>https://www.smwcentral.net/?a=details&amp;id=10042&amp;p=section</v>
          </cell>
          <cell r="J1419" t="str">
            <v>https://dl.smwcentral.net/10042/PMW%20%28Demo%202%29.zip</v>
          </cell>
        </row>
        <row r="1420">
          <cell r="A1420" t="str">
            <v>Primal Shells</v>
          </cell>
          <cell r="B1420" t="str">
            <v>Primal Shells</v>
          </cell>
          <cell r="C1420" t="str">
            <v>Eryck</v>
          </cell>
          <cell r="D1420">
            <v>18</v>
          </cell>
          <cell r="E1420" t="str">
            <v>Master</v>
          </cell>
          <cell r="F1420" t="str">
            <v>Kaizo</v>
          </cell>
          <cell r="G1420">
            <v>44870</v>
          </cell>
          <cell r="H1420" t="str">
            <v>32472</v>
          </cell>
          <cell r="I1420" t="str">
            <v>https://www.smwcentral.net/?a=details&amp;id=32472&amp;p=section</v>
          </cell>
          <cell r="J1420" t="str">
            <v>https://dl.smwcentral.net/32472/Primal%20Shells.zip</v>
          </cell>
        </row>
        <row r="1421">
          <cell r="A1421" t="str">
            <v>Princess Kaizo Land</v>
          </cell>
          <cell r="B1421" t="str">
            <v>Princess Kaizo Land</v>
          </cell>
          <cell r="C1421" t="str">
            <v>ChaosComposer</v>
          </cell>
          <cell r="D1421">
            <v>14</v>
          </cell>
          <cell r="E1421" t="str">
            <v>Advanced</v>
          </cell>
          <cell r="F1421" t="str">
            <v>Kaizo</v>
          </cell>
          <cell r="G1421">
            <v>43274</v>
          </cell>
          <cell r="H1421" t="str">
            <v>17633</v>
          </cell>
          <cell r="I1421" t="str">
            <v>https://www.smwcentral.net/?a=details&amp;id=17633&amp;p=section</v>
          </cell>
          <cell r="J1421" t="str">
            <v>https://dl.smwcentral.net/17633/PrincessKaizoLand.zip</v>
          </cell>
        </row>
        <row r="1422">
          <cell r="A1422" t="str">
            <v>Project Brutality</v>
          </cell>
          <cell r="B1422" t="str">
            <v>Project Brutality</v>
          </cell>
          <cell r="C1422" t="str">
            <v>Sweetdude</v>
          </cell>
          <cell r="D1422">
            <v>1</v>
          </cell>
          <cell r="E1422" t="str">
            <v>Master</v>
          </cell>
          <cell r="F1422" t="str">
            <v>Kaizo</v>
          </cell>
          <cell r="G1422">
            <v>43775</v>
          </cell>
          <cell r="H1422" t="str">
            <v>21331</v>
          </cell>
          <cell r="I1422" t="str">
            <v>https://www.smwcentral.net/?a=details&amp;id=21331&amp;p=section</v>
          </cell>
          <cell r="J1422" t="str">
            <v>https://dl.smwcentral.net/21331/Death%20and%20Despair.zip</v>
          </cell>
        </row>
        <row r="1423">
          <cell r="A1423" t="str">
            <v>Project Frick 2019</v>
          </cell>
          <cell r="B1423" t="str">
            <v>Project Frick 2019</v>
          </cell>
          <cell r="C1423" t="str">
            <v>DynastyLobster</v>
          </cell>
          <cell r="D1423">
            <v>8</v>
          </cell>
          <cell r="E1423" t="str">
            <v>Casual</v>
          </cell>
          <cell r="F1423" t="str">
            <v>Standard</v>
          </cell>
          <cell r="G1423">
            <v>44509</v>
          </cell>
          <cell r="H1423" t="str">
            <v>28751</v>
          </cell>
          <cell r="I1423" t="str">
            <v>https://www.smwcentral.net/?a=details&amp;id=28751&amp;p=section</v>
          </cell>
          <cell r="J1423" t="str">
            <v>https://dl.smwcentral.net/28751/project%20frick.zip</v>
          </cell>
        </row>
        <row r="1424">
          <cell r="A1424" t="str">
            <v>Project Jonny Hacks 2 - Yoshi´s Journey of Justice</v>
          </cell>
          <cell r="B1424" t="str">
            <v>Project Jonny Hacks 2 - Yoshi´s Journey of Justice</v>
          </cell>
          <cell r="C1424" t="str">
            <v>T-Jonny</v>
          </cell>
          <cell r="D1424">
            <v>16</v>
          </cell>
          <cell r="E1424" t="str">
            <v>Casual</v>
          </cell>
          <cell r="F1424" t="str">
            <v>Standard</v>
          </cell>
          <cell r="G1424">
            <v>43464</v>
          </cell>
          <cell r="H1424" t="str">
            <v>18695</v>
          </cell>
          <cell r="I1424" t="str">
            <v>https://www.smwcentral.net/?a=details&amp;id=18695&amp;p=section</v>
          </cell>
          <cell r="J1424" t="str">
            <v>https://dl.smwcentral.net/18695/PJH%202%20-%20YJoJ.zip</v>
          </cell>
        </row>
        <row r="1425">
          <cell r="A1425" t="str">
            <v>Project Jonny Hacks 3 - My Last Mission</v>
          </cell>
          <cell r="B1425" t="str">
            <v>Project Jonny Hacks 3 - My Last Mission</v>
          </cell>
          <cell r="C1425" t="str">
            <v>T-Jonny</v>
          </cell>
          <cell r="D1425">
            <v>39</v>
          </cell>
          <cell r="E1425" t="str">
            <v>Intermediate</v>
          </cell>
          <cell r="F1425" t="str">
            <v>Standard</v>
          </cell>
          <cell r="G1425">
            <v>43308</v>
          </cell>
          <cell r="H1425" t="str">
            <v>17956</v>
          </cell>
          <cell r="I1425" t="str">
            <v>https://www.smwcentral.net/?a=details&amp;id=17956&amp;p=section</v>
          </cell>
          <cell r="J1425" t="str">
            <v>https://dl.smwcentral.net/17956/PJH%203%20-%20MLM.zip</v>
          </cell>
        </row>
        <row r="1426">
          <cell r="A1426" t="str">
            <v>Project L 1.0B</v>
          </cell>
          <cell r="B1426" t="str">
            <v>Project L 1.0B</v>
          </cell>
          <cell r="C1426" t="str">
            <v>DanTheCreator</v>
          </cell>
          <cell r="D1426">
            <v>5</v>
          </cell>
          <cell r="E1426" t="str">
            <v>Casual</v>
          </cell>
          <cell r="F1426" t="str">
            <v>Standard</v>
          </cell>
          <cell r="G1426">
            <v>43081</v>
          </cell>
          <cell r="H1426" t="str">
            <v>16709</v>
          </cell>
          <cell r="I1426" t="str">
            <v>https://www.smwcentral.net/?a=details&amp;id=16709&amp;p=section</v>
          </cell>
          <cell r="J1426" t="str">
            <v>https://dl.smwcentral.net/16709/ProjectL.zip</v>
          </cell>
        </row>
        <row r="1427">
          <cell r="A1427" t="str">
            <v>Project Underscore</v>
          </cell>
          <cell r="B1427" t="str">
            <v>Project Underscore</v>
          </cell>
          <cell r="C1427" t="str">
            <v>Teyla</v>
          </cell>
          <cell r="D1427">
            <v>10</v>
          </cell>
          <cell r="E1427" t="str">
            <v>Casual</v>
          </cell>
          <cell r="F1427" t="str">
            <v>Standard</v>
          </cell>
          <cell r="G1427">
            <v>44446</v>
          </cell>
          <cell r="H1427" t="str">
            <v>28223</v>
          </cell>
          <cell r="I1427" t="str">
            <v>https://www.smwcentral.net/?a=details&amp;id=28223&amp;p=section</v>
          </cell>
          <cell r="J1427" t="str">
            <v>https://dl.smwcentral.net/28223/Teyla%20-%20Project%20Underscore.zip</v>
          </cell>
        </row>
        <row r="1428">
          <cell r="A1428" t="str">
            <v>Project_Bonestorm.tar.gz (A Mega Man/X-Styled SMW ROM Hack)</v>
          </cell>
          <cell r="B1428" t="str">
            <v>Project_Bonestorm.tar.gz (A Mega Man/X-Styled SMW ROM Hack)</v>
          </cell>
          <cell r="C1428" t="str">
            <v>EE_02.tar.gz</v>
          </cell>
          <cell r="D1428">
            <v>17</v>
          </cell>
          <cell r="E1428" t="str">
            <v>Intermediate</v>
          </cell>
          <cell r="F1428" t="str">
            <v>Standard</v>
          </cell>
          <cell r="G1428">
            <v>45731</v>
          </cell>
          <cell r="H1428" t="str">
            <v>38743</v>
          </cell>
          <cell r="I1428" t="str">
            <v>https://www.smwcentral.net/?a=details&amp;id=38743&amp;p=section</v>
          </cell>
          <cell r="J1428" t="str">
            <v>https://dl.smwcentral.net/38743/Project_Bonestorm.tar.gz_.zip</v>
          </cell>
        </row>
        <row r="1429">
          <cell r="A1429" t="str">
            <v>PropL\R Block</v>
          </cell>
          <cell r="B1429" t="str">
            <v>PropL\R Block</v>
          </cell>
          <cell r="C1429" t="str">
            <v>MarsAmPear</v>
          </cell>
          <cell r="D1429">
            <v>0</v>
          </cell>
          <cell r="E1429" t="str">
            <v>Master</v>
          </cell>
          <cell r="F1429" t="str">
            <v>Kaizo</v>
          </cell>
          <cell r="G1429">
            <v>45307</v>
          </cell>
          <cell r="H1429" t="str">
            <v>35878</v>
          </cell>
          <cell r="I1429" t="str">
            <v>https://www.smwcentral.net/?a=details&amp;id=35878&amp;p=section</v>
          </cell>
          <cell r="J1429" t="str">
            <v>https://dl.smwcentral.net/35878/PropL-R%20Block.zip</v>
          </cell>
        </row>
        <row r="1430">
          <cell r="A1430" t="str">
            <v>Pumpkins and Slaughter</v>
          </cell>
          <cell r="B1430" t="str">
            <v>Pumpkins and Slaughter</v>
          </cell>
          <cell r="C1430" t="str">
            <v>HLXY</v>
          </cell>
          <cell r="D1430">
            <v>1</v>
          </cell>
          <cell r="E1430" t="str">
            <v>Expert</v>
          </cell>
          <cell r="F1430" t="str">
            <v>Kaizo</v>
          </cell>
          <cell r="G1430">
            <v>43404</v>
          </cell>
          <cell r="H1430" t="str">
            <v>18384</v>
          </cell>
          <cell r="I1430" t="str">
            <v>https://www.smwcentral.net/?a=details&amp;id=18384&amp;p=section</v>
          </cell>
          <cell r="J1430" t="str">
            <v>https://dl.smwcentral.net/18384/P%26S.zip</v>
          </cell>
        </row>
        <row r="1431">
          <cell r="A1431" t="str">
            <v>Punishing Pothole 2</v>
          </cell>
          <cell r="B1431" t="str">
            <v>Punishing Pothole 2</v>
          </cell>
          <cell r="C1431" t="str">
            <v>Sokobansolver</v>
          </cell>
          <cell r="D1431">
            <v>2</v>
          </cell>
          <cell r="E1431" t="str">
            <v>Advanced</v>
          </cell>
          <cell r="F1431" t="str">
            <v>Kaizo, Tool-Assisted</v>
          </cell>
          <cell r="G1431">
            <v>42199</v>
          </cell>
          <cell r="H1431" t="str">
            <v>11350</v>
          </cell>
          <cell r="I1431" t="str">
            <v>https://www.smwcentral.net/?a=details&amp;id=11350&amp;p=section</v>
          </cell>
          <cell r="J1431" t="str">
            <v>https://dl.smwcentral.net/11350/PunishingPothole2.zip</v>
          </cell>
        </row>
        <row r="1432">
          <cell r="A1432" t="str">
            <v>Punishing Pothole 3</v>
          </cell>
          <cell r="B1432" t="str">
            <v>Punishing Pothole 3</v>
          </cell>
          <cell r="C1432" t="str">
            <v>Sokobansolver</v>
          </cell>
          <cell r="D1432">
            <v>1</v>
          </cell>
          <cell r="E1432" t="str">
            <v>Advanced</v>
          </cell>
          <cell r="F1432" t="str">
            <v>Kaizo, Tool-Assisted</v>
          </cell>
          <cell r="G1432">
            <v>45158</v>
          </cell>
          <cell r="H1432" t="str">
            <v>34156</v>
          </cell>
          <cell r="I1432" t="str">
            <v>https://www.smwcentral.net/?a=details&amp;id=34156&amp;p=section</v>
          </cell>
          <cell r="J1432" t="str">
            <v>https://dl.smwcentral.net/34156/PunishingPothole3.zip</v>
          </cell>
        </row>
        <row r="1433">
          <cell r="A1433" t="str">
            <v>Purgatory</v>
          </cell>
          <cell r="B1433" t="str">
            <v>Purgatory</v>
          </cell>
          <cell r="C1433" t="str">
            <v>Fyre150</v>
          </cell>
          <cell r="D1433">
            <v>21</v>
          </cell>
          <cell r="E1433" t="str">
            <v>Expert</v>
          </cell>
          <cell r="F1433" t="str">
            <v>Kaizo</v>
          </cell>
          <cell r="G1433">
            <v>44462</v>
          </cell>
          <cell r="H1433" t="str">
            <v>28386</v>
          </cell>
          <cell r="I1433" t="str">
            <v>https://www.smwcentral.net/?a=details&amp;id=28386&amp;p=section</v>
          </cell>
          <cell r="J1433" t="str">
            <v>https://dl.smwcentral.net/28386/Purgatory.zip</v>
          </cell>
        </row>
        <row r="1434">
          <cell r="A1434" t="str">
            <v>Quest for Corgi Butts</v>
          </cell>
          <cell r="B1434" t="str">
            <v>Quest for Corgi Butts</v>
          </cell>
          <cell r="C1434" t="str">
            <v>TDWarrior</v>
          </cell>
          <cell r="D1434">
            <v>18</v>
          </cell>
          <cell r="E1434" t="str">
            <v>Advanced</v>
          </cell>
          <cell r="F1434" t="str">
            <v>Kaizo</v>
          </cell>
          <cell r="G1434">
            <v>44168</v>
          </cell>
          <cell r="H1434" t="str">
            <v>25307</v>
          </cell>
          <cell r="I1434" t="str">
            <v>https://www.smwcentral.net/?a=details&amp;id=25307&amp;p=section</v>
          </cell>
          <cell r="J1434" t="str">
            <v>https://dl.smwcentral.net/25307/QuestforCorgiButtsv1.1.zip</v>
          </cell>
        </row>
        <row r="1435">
          <cell r="A1435" t="str">
            <v>Quest for milk</v>
          </cell>
          <cell r="B1435" t="str">
            <v>Quest for milk</v>
          </cell>
          <cell r="C1435" t="str">
            <v>Lush_50</v>
          </cell>
          <cell r="D1435">
            <v>6</v>
          </cell>
          <cell r="E1435" t="str">
            <v>Intermediate</v>
          </cell>
          <cell r="F1435" t="str">
            <v>Kaizo</v>
          </cell>
          <cell r="G1435">
            <v>44868</v>
          </cell>
          <cell r="H1435" t="str">
            <v>32480</v>
          </cell>
          <cell r="I1435" t="str">
            <v>https://www.smwcentral.net/?a=details&amp;id=32480&amp;p=section</v>
          </cell>
          <cell r="J1435" t="str">
            <v>https://dl.smwcentral.net/32480/QUEST%20FOR%20MILK%20%28v1.2%29.zip</v>
          </cell>
        </row>
        <row r="1436">
          <cell r="A1436" t="str">
            <v>Quest for the Dragon Coins</v>
          </cell>
          <cell r="B1436" t="str">
            <v>Quest for the Dragon Coins</v>
          </cell>
          <cell r="C1436" t="str">
            <v>s4ys</v>
          </cell>
          <cell r="D1436">
            <v>4</v>
          </cell>
          <cell r="E1436" t="str">
            <v>Advanced</v>
          </cell>
          <cell r="F1436" t="str">
            <v>Kaizo</v>
          </cell>
          <cell r="G1436">
            <v>44196</v>
          </cell>
          <cell r="H1436" t="str">
            <v>25582</v>
          </cell>
          <cell r="I1436" t="str">
            <v>https://www.smwcentral.net/?a=details&amp;id=25582&amp;p=section</v>
          </cell>
          <cell r="J1436" t="str">
            <v>https://dl.smwcentral.net/25582/Quest_for_the_Dragon_Coins_%28DEMO%29.zip</v>
          </cell>
        </row>
        <row r="1437">
          <cell r="A1437" t="str">
            <v>Quest in the Mushroom Kingdom</v>
          </cell>
          <cell r="B1437" t="str">
            <v>Quest in the Mushroom Kingdom</v>
          </cell>
          <cell r="C1437" t="str">
            <v>pieguy1372</v>
          </cell>
          <cell r="D1437">
            <v>23</v>
          </cell>
          <cell r="E1437" t="str">
            <v>Intermediate</v>
          </cell>
          <cell r="F1437" t="str">
            <v>Standard</v>
          </cell>
          <cell r="G1437">
            <v>42227</v>
          </cell>
          <cell r="H1437" t="str">
            <v>9795</v>
          </cell>
          <cell r="I1437" t="str">
            <v>https://www.smwcentral.net/?a=details&amp;id=9795&amp;p=section</v>
          </cell>
          <cell r="J1437" t="str">
            <v>https://dl.smwcentral.net/9795/qimk_demo2.zip</v>
          </cell>
        </row>
        <row r="1438">
          <cell r="A1438" t="str">
            <v>Quest on Full Moon Island</v>
          </cell>
          <cell r="B1438" t="str">
            <v>Quest on Full Moon Island</v>
          </cell>
          <cell r="C1438" t="str">
            <v>Stormkyleis</v>
          </cell>
          <cell r="D1438">
            <v>32</v>
          </cell>
          <cell r="E1438" t="str">
            <v>Intermediate</v>
          </cell>
          <cell r="F1438" t="str">
            <v>Standard</v>
          </cell>
          <cell r="G1438">
            <v>41530</v>
          </cell>
          <cell r="H1438" t="str">
            <v>5399</v>
          </cell>
          <cell r="I1438" t="str">
            <v>https://www.smwcentral.net/?a=details&amp;id=5399&amp;p=section</v>
          </cell>
          <cell r="J1438" t="str">
            <v>https://dl.smwcentral.net/5399/Quest%20on%20Full%20Moon%20Island%20v1.2.zip</v>
          </cell>
        </row>
        <row r="1439">
          <cell r="A1439" t="str">
            <v>Quest on Full Moon Island v1.3 ita</v>
          </cell>
          <cell r="B1439" t="str">
            <v>Quest on Full Moon Island v1.3 ita</v>
          </cell>
          <cell r="C1439" t="str">
            <v>Gio Gio, Stormkyleis</v>
          </cell>
          <cell r="D1439">
            <v>32</v>
          </cell>
          <cell r="E1439" t="str">
            <v>Intermediate</v>
          </cell>
          <cell r="F1439" t="str">
            <v>Standard</v>
          </cell>
          <cell r="G1439">
            <v>45138</v>
          </cell>
          <cell r="H1439" t="str">
            <v>34164</v>
          </cell>
          <cell r="I1439" t="str">
            <v>https://www.smwcentral.net/?a=details&amp;id=34164&amp;p=section</v>
          </cell>
          <cell r="J1439" t="str">
            <v>https://dl.smwcentral.net/34164/Quest%20on%20Full%20Moon%20Island%20v1.3%20ita.zip</v>
          </cell>
        </row>
        <row r="1440">
          <cell r="A1440" t="str">
            <v>Quick Delivery</v>
          </cell>
          <cell r="B1440" t="str">
            <v>Quick Delivery</v>
          </cell>
          <cell r="C1440" t="str">
            <v>superman6791</v>
          </cell>
          <cell r="D1440">
            <v>4</v>
          </cell>
          <cell r="E1440" t="str">
            <v>Casual</v>
          </cell>
          <cell r="F1440" t="str">
            <v>Standard</v>
          </cell>
          <cell r="G1440">
            <v>42276</v>
          </cell>
          <cell r="H1440" t="str">
            <v>9985</v>
          </cell>
          <cell r="I1440" t="str">
            <v>https://www.smwcentral.net/?a=details&amp;id=9985&amp;p=section</v>
          </cell>
          <cell r="J1440" t="str">
            <v>https://dl.smwcentral.net/9985/Quick%20Delivery%5BDemo%5D.zip</v>
          </cell>
        </row>
        <row r="1441">
          <cell r="A1441" t="str">
            <v>Quickie World</v>
          </cell>
          <cell r="B1441" t="str">
            <v>Quickie World</v>
          </cell>
          <cell r="C1441" t="str">
            <v>Valdio</v>
          </cell>
          <cell r="D1441">
            <v>14</v>
          </cell>
          <cell r="E1441" t="str">
            <v>Advanced</v>
          </cell>
          <cell r="F1441" t="str">
            <v>Kaizo</v>
          </cell>
          <cell r="G1441">
            <v>43214</v>
          </cell>
          <cell r="H1441" t="str">
            <v>17441</v>
          </cell>
          <cell r="I1441" t="str">
            <v>https://www.smwcentral.net/?a=details&amp;id=17441&amp;p=section</v>
          </cell>
          <cell r="J1441" t="str">
            <v>https://dl.smwcentral.net/17441/QuickieWorld1.12.zip</v>
          </cell>
        </row>
        <row r="1442">
          <cell r="A1442" t="str">
            <v>Quickie World 2</v>
          </cell>
          <cell r="B1442" t="str">
            <v>Quickie World 2</v>
          </cell>
          <cell r="C1442" t="str">
            <v>Valdio</v>
          </cell>
          <cell r="D1442">
            <v>22</v>
          </cell>
          <cell r="E1442" t="str">
            <v>Intermediate</v>
          </cell>
          <cell r="F1442" t="str">
            <v>Kaizo</v>
          </cell>
          <cell r="G1442">
            <v>43532</v>
          </cell>
          <cell r="H1442" t="str">
            <v>19279</v>
          </cell>
          <cell r="I1442" t="str">
            <v>https://www.smwcentral.net/?a=details&amp;id=19279&amp;p=section</v>
          </cell>
          <cell r="J1442" t="str">
            <v>https://dl.smwcentral.net/19279/Quickie%20World%202.zip</v>
          </cell>
        </row>
        <row r="1443">
          <cell r="A1443" t="str">
            <v>Quickie World: With a Vengeance</v>
          </cell>
          <cell r="B1443" t="str">
            <v>Quickie World: With a Vengeance</v>
          </cell>
          <cell r="C1443" t="str">
            <v>Valdio</v>
          </cell>
          <cell r="D1443">
            <v>9</v>
          </cell>
          <cell r="E1443" t="str">
            <v>Advanced</v>
          </cell>
          <cell r="F1443" t="str">
            <v>Kaizo</v>
          </cell>
          <cell r="G1443">
            <v>44599</v>
          </cell>
          <cell r="H1443" t="str">
            <v>29695</v>
          </cell>
          <cell r="I1443" t="str">
            <v>https://www.smwcentral.net/?a=details&amp;id=29695&amp;p=section</v>
          </cell>
          <cell r="J1443" t="str">
            <v>https://dl.smwcentral.net/29695/QWwav.zip</v>
          </cell>
        </row>
        <row r="1444">
          <cell r="A1444" t="str">
            <v>Qzeq Pls Download Game</v>
          </cell>
          <cell r="B1444" t="str">
            <v>Qzeq Pls Download Game</v>
          </cell>
          <cell r="C1444" t="str">
            <v>PurpleShiny</v>
          </cell>
          <cell r="D1444">
            <v>20</v>
          </cell>
          <cell r="E1444" t="str">
            <v>Casual</v>
          </cell>
          <cell r="F1444" t="str">
            <v>Standard</v>
          </cell>
          <cell r="G1444">
            <v>45379</v>
          </cell>
          <cell r="H1444" t="str">
            <v>36598</v>
          </cell>
          <cell r="I1444" t="str">
            <v>https://www.smwcentral.net/?a=details&amp;id=36598&amp;p=section</v>
          </cell>
          <cell r="J1444" t="str">
            <v>https://dl.smwcentral.net/36598/QZEQ%20PLS%20DOWNLOAD%20GAME%20%28v1.3%29.zip</v>
          </cell>
        </row>
        <row r="1445">
          <cell r="A1445" t="str">
            <v>R-ACK</v>
          </cell>
          <cell r="B1445" t="str">
            <v>R-ACK</v>
          </cell>
          <cell r="C1445" t="str">
            <v>Daizo Dee Von, Team JANK</v>
          </cell>
          <cell r="D1445">
            <v>50</v>
          </cell>
          <cell r="E1445" t="str">
            <v>Advanced</v>
          </cell>
          <cell r="F1445" t="str">
            <v>Standard</v>
          </cell>
          <cell r="G1445">
            <v>44334</v>
          </cell>
          <cell r="H1445" t="str">
            <v>27001</v>
          </cell>
          <cell r="I1445" t="str">
            <v>https://www.smwcentral.net/?a=details&amp;id=27001&amp;p=section</v>
          </cell>
          <cell r="J1445" t="str">
            <v>https://dl.smwcentral.net/27001/R-ACK.zip</v>
          </cell>
        </row>
        <row r="1446">
          <cell r="A1446" t="str">
            <v>Race to the finish</v>
          </cell>
          <cell r="B1446" t="str">
            <v>Race to the finish</v>
          </cell>
          <cell r="C1446" t="str">
            <v>Lush_50</v>
          </cell>
          <cell r="D1446">
            <v>0</v>
          </cell>
          <cell r="E1446" t="str">
            <v>Advanced</v>
          </cell>
          <cell r="F1446" t="str">
            <v>Kaizo</v>
          </cell>
          <cell r="G1446">
            <v>44894</v>
          </cell>
          <cell r="H1446" t="str">
            <v>32644</v>
          </cell>
          <cell r="I1446" t="str">
            <v>https://www.smwcentral.net/?a=details&amp;id=32644&amp;p=section</v>
          </cell>
          <cell r="J1446" t="str">
            <v>https://dl.smwcentral.net/32644/Race%20to%20the%20finish%20V1.0.zip</v>
          </cell>
        </row>
        <row r="1447">
          <cell r="A1447" t="str">
            <v>Rachell's Melin Rescue!</v>
          </cell>
          <cell r="B1447" t="str">
            <v>Rachell's Melin Rescue!</v>
          </cell>
          <cell r="C1447" t="str">
            <v>ZG STAFF</v>
          </cell>
          <cell r="D1447">
            <v>13</v>
          </cell>
          <cell r="E1447" t="str">
            <v>Casual</v>
          </cell>
          <cell r="F1447" t="str">
            <v>Standard</v>
          </cell>
          <cell r="G1447">
            <v>42293</v>
          </cell>
          <cell r="H1447" t="str">
            <v>10108</v>
          </cell>
          <cell r="I1447" t="str">
            <v>https://www.smwcentral.net/?a=details&amp;id=10108&amp;p=section</v>
          </cell>
          <cell r="J1447" t="str">
            <v>https://dl.smwcentral.net/10108/MelinRescue.zip</v>
          </cell>
        </row>
        <row r="1448">
          <cell r="A1448" t="str">
            <v>Rakugaki Mario</v>
          </cell>
          <cell r="B1448" t="str">
            <v>Rakugaki Mario</v>
          </cell>
          <cell r="C1448" t="str">
            <v>Various Authors</v>
          </cell>
          <cell r="D1448">
            <v>85</v>
          </cell>
          <cell r="E1448" t="str">
            <v>Grandmaster</v>
          </cell>
          <cell r="F1448" t="str">
            <v>Standard, Kaizo</v>
          </cell>
          <cell r="G1448">
            <v>44722</v>
          </cell>
          <cell r="H1448" t="str">
            <v>30623</v>
          </cell>
          <cell r="I1448" t="str">
            <v>https://www.smwcentral.net/?a=details&amp;id=30623&amp;p=section</v>
          </cell>
          <cell r="J1448" t="str">
            <v>https://dl.smwcentral.net/30623/Rakugaki_Mario_1.11.zip</v>
          </cell>
        </row>
        <row r="1449">
          <cell r="A1449" t="str">
            <v>RamzaNeko</v>
          </cell>
          <cell r="B1449" t="str">
            <v>RamzaNeko</v>
          </cell>
          <cell r="C1449" t="str">
            <v>YamiRamzaNeko</v>
          </cell>
          <cell r="D1449">
            <v>8</v>
          </cell>
          <cell r="E1449" t="str">
            <v>Casual</v>
          </cell>
          <cell r="F1449" t="str">
            <v>Standard</v>
          </cell>
          <cell r="G1449">
            <v>42104</v>
          </cell>
          <cell r="H1449" t="str">
            <v>9711</v>
          </cell>
          <cell r="I1449" t="str">
            <v>https://www.smwcentral.net/?a=details&amp;id=9711&amp;p=section</v>
          </cell>
          <cell r="J1449" t="str">
            <v>https://dl.smwcentral.net/9711/NekoNeko.zip</v>
          </cell>
        </row>
        <row r="1450">
          <cell r="A1450" t="str">
            <v>Random Access Memoby</v>
          </cell>
          <cell r="B1450" t="str">
            <v>Random Access Memoby</v>
          </cell>
          <cell r="C1450" t="str">
            <v>Alex, Lazy, Mellonpizza, snoruntpyro</v>
          </cell>
          <cell r="D1450">
            <v>5</v>
          </cell>
          <cell r="E1450" t="str">
            <v>Master</v>
          </cell>
          <cell r="F1450" t="str">
            <v>Standard</v>
          </cell>
          <cell r="G1450">
            <v>45450</v>
          </cell>
          <cell r="H1450" t="str">
            <v>37882</v>
          </cell>
          <cell r="I1450" t="str">
            <v>https://www.smwcentral.net/?a=details&amp;id=37882&amp;p=section</v>
          </cell>
          <cell r="J1450" t="str">
            <v>https://dl.smwcentral.net/37882/Random%20Access%20Memoby.zip</v>
          </cell>
        </row>
        <row r="1451">
          <cell r="A1451" t="str">
            <v>Random BS Go</v>
          </cell>
          <cell r="B1451" t="str">
            <v>Random BS Go</v>
          </cell>
          <cell r="C1451" t="str">
            <v>l337f00l</v>
          </cell>
          <cell r="D1451">
            <v>12</v>
          </cell>
          <cell r="E1451" t="str">
            <v>Master</v>
          </cell>
          <cell r="F1451" t="str">
            <v>Kaizo</v>
          </cell>
          <cell r="G1451">
            <v>45219</v>
          </cell>
          <cell r="H1451" t="str">
            <v>35284</v>
          </cell>
          <cell r="I1451" t="str">
            <v>https://www.smwcentral.net/?a=details&amp;id=35284&amp;p=section</v>
          </cell>
          <cell r="J1451" t="str">
            <v>https://dl.smwcentral.net/35284/Random_BS_Go.zip</v>
          </cell>
        </row>
        <row r="1452">
          <cell r="A1452" t="str">
            <v>Raphael's Revenge</v>
          </cell>
          <cell r="B1452" t="str">
            <v>Raphael's Revenge</v>
          </cell>
          <cell r="C1452" t="str">
            <v>Arity, manadream</v>
          </cell>
          <cell r="D1452">
            <v>10</v>
          </cell>
          <cell r="E1452" t="str">
            <v>Expert</v>
          </cell>
          <cell r="F1452" t="str">
            <v>Kaizo</v>
          </cell>
          <cell r="G1452">
            <v>45092</v>
          </cell>
          <cell r="H1452" t="str">
            <v>33916</v>
          </cell>
          <cell r="I1452" t="str">
            <v>https://www.smwcentral.net/?a=details&amp;id=33916&amp;p=section</v>
          </cell>
          <cell r="J1452" t="str">
            <v>https://dl.smwcentral.net/33916/RaphaelsRevengeV1.1.zip</v>
          </cell>
        </row>
        <row r="1453">
          <cell r="A1453" t="str">
            <v>Really Neat Gimmicks</v>
          </cell>
          <cell r="B1453" t="str">
            <v>Really Neat Gimmicks</v>
          </cell>
          <cell r="C1453" t="str">
            <v>Jeffw</v>
          </cell>
          <cell r="D1453">
            <v>14</v>
          </cell>
          <cell r="E1453" t="str">
            <v>Grandmaster</v>
          </cell>
          <cell r="F1453" t="str">
            <v>Standard, Kaizo</v>
          </cell>
          <cell r="G1453">
            <v>46099</v>
          </cell>
          <cell r="H1453" t="str">
            <v>40631</v>
          </cell>
          <cell r="I1453" t="str">
            <v>https://www.smwcentral.net/?a=details&amp;id=40631&amp;p=section</v>
          </cell>
          <cell r="J1453" t="str">
            <v>https://dl.smwcentral.net/40631/gimmicks.zip</v>
          </cell>
        </row>
        <row r="1454">
          <cell r="A1454" t="str">
            <v>Red City</v>
          </cell>
          <cell r="B1454" t="str">
            <v>Red City</v>
          </cell>
          <cell r="C1454" t="str">
            <v>redkiller</v>
          </cell>
          <cell r="D1454">
            <v>7</v>
          </cell>
          <cell r="E1454" t="str">
            <v>Master</v>
          </cell>
          <cell r="F1454" t="str">
            <v>Kaizo</v>
          </cell>
          <cell r="G1454">
            <v>45279</v>
          </cell>
          <cell r="H1454" t="str">
            <v>35680</v>
          </cell>
          <cell r="I1454" t="str">
            <v>https://www.smwcentral.net/?a=details&amp;id=35680&amp;p=section</v>
          </cell>
          <cell r="J1454" t="str">
            <v>https://dl.smwcentral.net/35680/RedCity.zip</v>
          </cell>
        </row>
        <row r="1455">
          <cell r="A1455" t="str">
            <v>Red Hero Endgame</v>
          </cell>
          <cell r="B1455" t="str">
            <v>Red Hero Endgame</v>
          </cell>
          <cell r="C1455" t="str">
            <v>Jukeboxi_</v>
          </cell>
          <cell r="D1455">
            <v>29</v>
          </cell>
          <cell r="E1455" t="str">
            <v>Expert</v>
          </cell>
          <cell r="F1455" t="str">
            <v>Kaizo</v>
          </cell>
          <cell r="G1455">
            <v>45348</v>
          </cell>
          <cell r="H1455" t="str">
            <v>36825</v>
          </cell>
          <cell r="I1455" t="str">
            <v>https://www.smwcentral.net/?a=details&amp;id=36825&amp;p=section</v>
          </cell>
          <cell r="J1455" t="str">
            <v>https://dl.smwcentral.net/36825/Red%20Hero%20Endgame%20V1.1.zip</v>
          </cell>
        </row>
        <row r="1456">
          <cell r="A1456" t="str">
            <v>Red Hero's Journey</v>
          </cell>
          <cell r="B1456" t="str">
            <v>Red Hero's Journey</v>
          </cell>
          <cell r="C1456" t="str">
            <v>Jukeboxi_</v>
          </cell>
          <cell r="D1456">
            <v>20</v>
          </cell>
          <cell r="E1456" t="str">
            <v>Expert</v>
          </cell>
          <cell r="F1456" t="str">
            <v>Kaizo</v>
          </cell>
          <cell r="G1456">
            <v>45007</v>
          </cell>
          <cell r="H1456" t="str">
            <v>33491</v>
          </cell>
          <cell r="I1456" t="str">
            <v>https://www.smwcentral.net/?a=details&amp;id=33491&amp;p=section</v>
          </cell>
          <cell r="J1456" t="str">
            <v>https://dl.smwcentral.net/33491/Red%20Hero%27s%20Journey.zip</v>
          </cell>
        </row>
        <row r="1457">
          <cell r="A1457" t="str">
            <v>Red Hero's Legacy</v>
          </cell>
          <cell r="B1457" t="str">
            <v>Red Hero's Legacy</v>
          </cell>
          <cell r="C1457" t="str">
            <v>Jukeboxi_</v>
          </cell>
          <cell r="D1457">
            <v>17</v>
          </cell>
          <cell r="E1457" t="str">
            <v>Expert</v>
          </cell>
          <cell r="F1457" t="str">
            <v>Kaizo</v>
          </cell>
          <cell r="G1457">
            <v>45152</v>
          </cell>
          <cell r="H1457" t="str">
            <v>34786</v>
          </cell>
          <cell r="I1457" t="str">
            <v>https://www.smwcentral.net/?a=details&amp;id=34786&amp;p=section</v>
          </cell>
          <cell r="J1457" t="str">
            <v>https://dl.smwcentral.net/34786/redheroslegacy.zip</v>
          </cell>
        </row>
        <row r="1458">
          <cell r="A1458" t="str">
            <v>Red Wario</v>
          </cell>
          <cell r="B1458" t="str">
            <v>Red Wario</v>
          </cell>
          <cell r="C1458" t="str">
            <v>SMWHackedHACK</v>
          </cell>
          <cell r="D1458">
            <v>4</v>
          </cell>
          <cell r="E1458" t="str">
            <v>Casual</v>
          </cell>
          <cell r="F1458" t="str">
            <v>Standard</v>
          </cell>
          <cell r="G1458">
            <v>42333</v>
          </cell>
          <cell r="H1458" t="str">
            <v>12691</v>
          </cell>
          <cell r="I1458" t="str">
            <v>https://www.smwcentral.net/?a=details&amp;id=12691&amp;p=section</v>
          </cell>
          <cell r="J1458" t="str">
            <v>https://dl.smwcentral.net/12691/rwario.zip</v>
          </cell>
        </row>
        <row r="1459">
          <cell r="A1459" t="str">
            <v>Red's Christmas Party!</v>
          </cell>
          <cell r="B1459" t="str">
            <v>Red's Christmas Party!</v>
          </cell>
          <cell r="C1459" t="str">
            <v>RedToonLink</v>
          </cell>
          <cell r="D1459">
            <v>1</v>
          </cell>
          <cell r="E1459" t="str">
            <v>Intermediate</v>
          </cell>
          <cell r="F1459" t="str">
            <v>Standard</v>
          </cell>
          <cell r="G1459">
            <v>45291</v>
          </cell>
          <cell r="H1459" t="str">
            <v>35559</v>
          </cell>
          <cell r="I1459" t="str">
            <v>https://www.smwcentral.net/?a=details&amp;id=35559&amp;p=section</v>
          </cell>
          <cell r="J1459" t="str">
            <v>https://dl.smwcentral.net/35559/Red%27s%20Christmas%20Party_fixed.zip</v>
          </cell>
        </row>
        <row r="1460">
          <cell r="A1460" t="str">
            <v>Redeeming Peach</v>
          </cell>
          <cell r="B1460" t="str">
            <v>Redeeming Peach</v>
          </cell>
          <cell r="C1460" t="str">
            <v>AntoineG782</v>
          </cell>
          <cell r="D1460">
            <v>1</v>
          </cell>
          <cell r="E1460" t="str">
            <v>Intermediate</v>
          </cell>
          <cell r="F1460" t="str">
            <v>Standard</v>
          </cell>
          <cell r="G1460">
            <v>42057</v>
          </cell>
          <cell r="H1460" t="str">
            <v>10173</v>
          </cell>
          <cell r="I1460" t="str">
            <v>https://www.smwcentral.net/?a=details&amp;id=10173&amp;p=section</v>
          </cell>
          <cell r="J1460" t="str">
            <v>https://dl.smwcentral.net/10173/Redeeming%20Peach%20%28V.%201.2%29.zip</v>
          </cell>
        </row>
        <row r="1461">
          <cell r="A1461" t="str">
            <v>Remember ALF!?</v>
          </cell>
          <cell r="B1461" t="str">
            <v>Remember ALF!?</v>
          </cell>
          <cell r="C1461" t="str">
            <v>shovda</v>
          </cell>
          <cell r="D1461">
            <v>1</v>
          </cell>
          <cell r="E1461" t="str">
            <v>Master</v>
          </cell>
          <cell r="F1461" t="str">
            <v>Kaizo</v>
          </cell>
          <cell r="G1461">
            <v>44317</v>
          </cell>
          <cell r="H1461" t="str">
            <v>26873</v>
          </cell>
          <cell r="I1461" t="str">
            <v>https://www.smwcentral.net/?a=details&amp;id=26873&amp;p=section</v>
          </cell>
          <cell r="J1461" t="str">
            <v>https://dl.smwcentral.net/26873/Remember%20ALF.zip</v>
          </cell>
        </row>
        <row r="1462">
          <cell r="A1462" t="str">
            <v>REMIX</v>
          </cell>
          <cell r="B1462" t="str">
            <v>REMIX</v>
          </cell>
          <cell r="C1462" t="str">
            <v>Prestinator13</v>
          </cell>
          <cell r="D1462">
            <v>12</v>
          </cell>
          <cell r="E1462" t="str">
            <v>Expert</v>
          </cell>
          <cell r="F1462" t="str">
            <v>Kaizo</v>
          </cell>
          <cell r="G1462">
            <v>45532</v>
          </cell>
          <cell r="H1462" t="str">
            <v>38314</v>
          </cell>
          <cell r="I1462" t="str">
            <v>https://www.smwcentral.net/?a=details&amp;id=38314&amp;p=section</v>
          </cell>
          <cell r="J1462" t="str">
            <v>https://dl.smwcentral.net/38314/REMIX_FINAL1.1.zip</v>
          </cell>
        </row>
        <row r="1463">
          <cell r="A1463" t="str">
            <v>Repeat Offender</v>
          </cell>
          <cell r="B1463" t="str">
            <v>Repeat Offender</v>
          </cell>
          <cell r="C1463" t="str">
            <v>Multibella</v>
          </cell>
          <cell r="D1463">
            <v>10</v>
          </cell>
          <cell r="E1463" t="str">
            <v>Casual</v>
          </cell>
          <cell r="F1463" t="str">
            <v>Standard</v>
          </cell>
          <cell r="G1463">
            <v>42010</v>
          </cell>
          <cell r="H1463" t="str">
            <v>10233</v>
          </cell>
          <cell r="I1463" t="str">
            <v>https://www.smwcentral.net/?a=details&amp;id=10233&amp;p=section</v>
          </cell>
          <cell r="J1463" t="str">
            <v>https://dl.smwcentral.net/10233/RepOff%20patch.zip</v>
          </cell>
        </row>
        <row r="1464">
          <cell r="A1464" t="str">
            <v>Replica</v>
          </cell>
          <cell r="B1464" t="str">
            <v>Replica</v>
          </cell>
          <cell r="C1464" t="str">
            <v>Saela</v>
          </cell>
          <cell r="D1464">
            <v>11</v>
          </cell>
          <cell r="E1464" t="str">
            <v>Expert</v>
          </cell>
          <cell r="F1464" t="str">
            <v>Kaizo</v>
          </cell>
          <cell r="G1464">
            <v>45993</v>
          </cell>
          <cell r="H1464" t="str">
            <v>41191</v>
          </cell>
          <cell r="I1464" t="str">
            <v>https://www.smwcentral.net/?a=details&amp;id=41191&amp;p=section</v>
          </cell>
          <cell r="J1464" t="str">
            <v>https://dl.smwcentral.net/41191/Replica.zip</v>
          </cell>
        </row>
        <row r="1465">
          <cell r="A1465" t="str">
            <v>Rescue of Rochie</v>
          </cell>
          <cell r="B1465" t="str">
            <v>Rescue of Rochie</v>
          </cell>
          <cell r="C1465" t="str">
            <v>Alexis</v>
          </cell>
          <cell r="D1465">
            <v>80</v>
          </cell>
          <cell r="E1465" t="str">
            <v>Casual</v>
          </cell>
          <cell r="F1465" t="str">
            <v>Standard</v>
          </cell>
          <cell r="G1465">
            <v>42217</v>
          </cell>
          <cell r="H1465" t="str">
            <v>11902</v>
          </cell>
          <cell r="I1465" t="str">
            <v>https://www.smwcentral.net/?a=details&amp;id=11902&amp;p=section</v>
          </cell>
          <cell r="J1465" t="str">
            <v>https://dl.smwcentral.net/11902/rescue.v1.0.zip</v>
          </cell>
        </row>
        <row r="1466">
          <cell r="A1466" t="str">
            <v>ReSMW</v>
          </cell>
          <cell r="B1466" t="str">
            <v>ReSMW</v>
          </cell>
          <cell r="C1466" t="str">
            <v>coolhack</v>
          </cell>
          <cell r="D1466">
            <v>5</v>
          </cell>
          <cell r="E1466" t="str">
            <v>Newcomer</v>
          </cell>
          <cell r="F1466" t="str">
            <v>Standard</v>
          </cell>
          <cell r="G1466">
            <v>42280</v>
          </cell>
          <cell r="H1466" t="str">
            <v>10180</v>
          </cell>
          <cell r="I1466" t="str">
            <v>https://www.smwcentral.net/?a=details&amp;id=10180&amp;p=section</v>
          </cell>
          <cell r="J1466" t="str">
            <v>https://dl.smwcentral.net/10180/RESMW.zip</v>
          </cell>
        </row>
        <row r="1467">
          <cell r="A1467" t="str">
            <v>Retro Mario World - Super Mario Bros.</v>
          </cell>
          <cell r="B1467" t="str">
            <v>Retro Mario World - Super Mario Bros.</v>
          </cell>
          <cell r="C1467" t="str">
            <v>GameGuy10</v>
          </cell>
          <cell r="D1467">
            <v>32</v>
          </cell>
          <cell r="E1467" t="str">
            <v>Newcomer</v>
          </cell>
          <cell r="F1467" t="str">
            <v>Standard</v>
          </cell>
          <cell r="G1467">
            <v>42384</v>
          </cell>
          <cell r="H1467" t="str">
            <v>13087</v>
          </cell>
          <cell r="I1467" t="str">
            <v>https://www.smwcentral.net/?a=details&amp;id=13087&amp;p=section</v>
          </cell>
          <cell r="J1467" t="str">
            <v>https://dl.smwcentral.net/13087/SMB%20REMAKE.zip</v>
          </cell>
        </row>
        <row r="1468">
          <cell r="A1468" t="str">
            <v>Retro Marioland</v>
          </cell>
          <cell r="B1468" t="str">
            <v>Retro Marioland</v>
          </cell>
          <cell r="C1468" t="str">
            <v>LocoFuzzyPants</v>
          </cell>
          <cell r="D1468">
            <v>10</v>
          </cell>
          <cell r="E1468" t="str">
            <v>Advanced</v>
          </cell>
          <cell r="F1468" t="str">
            <v>Kaizo</v>
          </cell>
          <cell r="G1468">
            <v>45572</v>
          </cell>
          <cell r="H1468" t="str">
            <v>38510</v>
          </cell>
          <cell r="I1468" t="str">
            <v>https://www.smwcentral.net/?a=details&amp;id=38510&amp;p=section</v>
          </cell>
          <cell r="J1468" t="str">
            <v>https://dl.smwcentral.net/38510/Retro%20Marioland%20v1.2.zip</v>
          </cell>
        </row>
        <row r="1469">
          <cell r="A1469" t="str">
            <v>Retrograde Nine</v>
          </cell>
          <cell r="B1469" t="str">
            <v>Retrograde Nine</v>
          </cell>
          <cell r="C1469" t="str">
            <v>MarsAmPear</v>
          </cell>
          <cell r="D1469">
            <v>0</v>
          </cell>
          <cell r="E1469" t="str">
            <v>Expert</v>
          </cell>
          <cell r="F1469" t="str">
            <v>Kaizo</v>
          </cell>
          <cell r="G1469">
            <v>45198</v>
          </cell>
          <cell r="H1469" t="str">
            <v>35107</v>
          </cell>
          <cell r="I1469" t="str">
            <v>https://www.smwcentral.net/?a=details&amp;id=35107&amp;p=section</v>
          </cell>
          <cell r="J1469" t="str">
            <v>https://dl.smwcentral.net/35107/Retrograde%20Nine%201.02.zip</v>
          </cell>
        </row>
        <row r="1470">
          <cell r="A1470" t="str">
            <v>Return Mario World Luner Editon</v>
          </cell>
          <cell r="B1470" t="str">
            <v>Return Mario World Luner Editon</v>
          </cell>
          <cell r="C1470" t="str">
            <v>TheOrangeToad</v>
          </cell>
          <cell r="D1470">
            <v>5</v>
          </cell>
          <cell r="E1470" t="str">
            <v>Newcomer</v>
          </cell>
          <cell r="F1470" t="str">
            <v>Standard</v>
          </cell>
          <cell r="G1470">
            <v>42565</v>
          </cell>
          <cell r="H1470" t="str">
            <v>14000</v>
          </cell>
          <cell r="I1470" t="str">
            <v>https://www.smwcentral.net/?a=details&amp;id=14000&amp;p=section</v>
          </cell>
          <cell r="J1470" t="str">
            <v>https://dl.smwcentral.net/14000/Hack%20demo%202.zip</v>
          </cell>
        </row>
        <row r="1471">
          <cell r="A1471" t="str">
            <v>Return Of Shadower</v>
          </cell>
          <cell r="B1471" t="str">
            <v>Return Of Shadower</v>
          </cell>
          <cell r="C1471" t="str">
            <v>darken</v>
          </cell>
          <cell r="D1471">
            <v>28</v>
          </cell>
          <cell r="E1471" t="str">
            <v>Intermediate</v>
          </cell>
          <cell r="F1471" t="str">
            <v>Standard</v>
          </cell>
          <cell r="G1471">
            <v>42614</v>
          </cell>
          <cell r="H1471" t="str">
            <v>14026</v>
          </cell>
          <cell r="I1471" t="str">
            <v>https://www.smwcentral.net/?a=details&amp;id=14026&amp;p=section</v>
          </cell>
          <cell r="J1471" t="str">
            <v>https://dl.smwcentral.net/14026/ROS.zip</v>
          </cell>
        </row>
        <row r="1472">
          <cell r="A1472" t="str">
            <v>Return Trip</v>
          </cell>
          <cell r="B1472" t="str">
            <v>Return Trip</v>
          </cell>
          <cell r="C1472" t="str">
            <v>levelengine</v>
          </cell>
          <cell r="D1472">
            <v>33</v>
          </cell>
          <cell r="E1472" t="str">
            <v>Intermediate</v>
          </cell>
          <cell r="F1472" t="str">
            <v>Standard</v>
          </cell>
          <cell r="G1472">
            <v>43896</v>
          </cell>
          <cell r="H1472" t="str">
            <v>21865</v>
          </cell>
          <cell r="I1472" t="str">
            <v>https://www.smwcentral.net/?a=details&amp;id=21865&amp;p=section</v>
          </cell>
          <cell r="J1472" t="str">
            <v>https://dl.smwcentral.net/21865/Return_Trip_%283rd%29.zip</v>
          </cell>
        </row>
        <row r="1473">
          <cell r="A1473" t="str">
            <v>Revenge of Bowser - Legend of the Seven Eggs</v>
          </cell>
          <cell r="B1473" t="str">
            <v>Revenge of Bowser - Legend of the Seven Eggs</v>
          </cell>
          <cell r="C1473" t="str">
            <v>omegaLakitu</v>
          </cell>
          <cell r="D1473">
            <v>9</v>
          </cell>
          <cell r="E1473" t="str">
            <v>Newcomer</v>
          </cell>
          <cell r="F1473" t="str">
            <v>Standard</v>
          </cell>
          <cell r="G1473">
            <v>41501</v>
          </cell>
          <cell r="H1473" t="str">
            <v>4964</v>
          </cell>
          <cell r="I1473" t="str">
            <v>https://www.smwcentral.net/?a=details&amp;id=4964&amp;p=section</v>
          </cell>
          <cell r="J1473" t="str">
            <v>https://dl.smwcentral.net/4964/revenge%20of%20bowser%20and%20the%20legend%20of%20the%20seven%20eggs.zip</v>
          </cell>
        </row>
        <row r="1474">
          <cell r="A1474" t="str">
            <v>REVENGE OF SWITCHES PRESSED</v>
          </cell>
          <cell r="B1474" t="str">
            <v>REVENGE OF SWITCHES PRESSED</v>
          </cell>
          <cell r="C1474" t="str">
            <v>GbreezeSunset, Lazy, MiracleWater, lolyoshi</v>
          </cell>
          <cell r="D1474">
            <v>4</v>
          </cell>
          <cell r="E1474" t="str">
            <v>Advanced</v>
          </cell>
          <cell r="F1474" t="str">
            <v>Standard</v>
          </cell>
          <cell r="G1474">
            <v>45702</v>
          </cell>
          <cell r="H1474" t="str">
            <v>39161</v>
          </cell>
          <cell r="I1474" t="str">
            <v>https://www.smwcentral.net/?a=details&amp;id=39161&amp;p=section</v>
          </cell>
          <cell r="J1474" t="str">
            <v>https://dl.smwcentral.net/39161/ROSP.zip</v>
          </cell>
        </row>
        <row r="1475">
          <cell r="A1475" t="str">
            <v>Reverie</v>
          </cell>
          <cell r="B1475" t="str">
            <v>Reverie</v>
          </cell>
          <cell r="C1475" t="str">
            <v>Abdu, Fyre150</v>
          </cell>
          <cell r="D1475">
            <v>2</v>
          </cell>
          <cell r="E1475" t="str">
            <v>Casual</v>
          </cell>
          <cell r="F1475" t="str">
            <v>Standard, Puzzle</v>
          </cell>
          <cell r="G1475">
            <v>46005</v>
          </cell>
          <cell r="H1475" t="str">
            <v>40108</v>
          </cell>
          <cell r="I1475" t="str">
            <v>https://www.smwcentral.net/?a=details&amp;id=40108&amp;p=section</v>
          </cell>
          <cell r="J1475" t="str">
            <v>https://dl.smwcentral.net/40108/Reverie.zip</v>
          </cell>
        </row>
        <row r="1476">
          <cell r="A1476" t="str">
            <v>Riff World 2</v>
          </cell>
          <cell r="B1476" t="str">
            <v>Riff World 2</v>
          </cell>
          <cell r="C1476" t="str">
            <v>Freakin_HA</v>
          </cell>
          <cell r="D1476">
            <v>32</v>
          </cell>
          <cell r="E1476" t="str">
            <v>Master</v>
          </cell>
          <cell r="F1476" t="str">
            <v>Kaizo</v>
          </cell>
          <cell r="G1476">
            <v>44226</v>
          </cell>
          <cell r="H1476" t="str">
            <v>26042</v>
          </cell>
          <cell r="I1476" t="str">
            <v>https://www.smwcentral.net/?a=details&amp;id=26042&amp;p=section</v>
          </cell>
          <cell r="J1476" t="str">
            <v>https://dl.smwcentral.net/26042/Riff%20World%202.zip</v>
          </cell>
        </row>
        <row r="1477">
          <cell r="A1477" t="str">
            <v>Rikaizo Shells</v>
          </cell>
          <cell r="B1477" t="str">
            <v>Rikaizo Shells</v>
          </cell>
          <cell r="C1477" t="str">
            <v>arantes</v>
          </cell>
          <cell r="D1477">
            <v>12</v>
          </cell>
          <cell r="E1477" t="str">
            <v>Master</v>
          </cell>
          <cell r="F1477" t="str">
            <v>Kaizo</v>
          </cell>
          <cell r="G1477">
            <v>44859</v>
          </cell>
          <cell r="H1477" t="str">
            <v>32290</v>
          </cell>
          <cell r="I1477" t="str">
            <v>https://www.smwcentral.net/?a=details&amp;id=32290&amp;p=section</v>
          </cell>
          <cell r="J1477" t="str">
            <v>https://dl.smwcentral.net/32290/Rikaizo%20Shells%201.1.zip</v>
          </cell>
        </row>
        <row r="1478">
          <cell r="A1478" t="str">
            <v>Rise of Horst: Baby Park</v>
          </cell>
          <cell r="B1478" t="str">
            <v>Rise of Horst: Baby Park</v>
          </cell>
          <cell r="C1478" t="str">
            <v>Hannes37</v>
          </cell>
          <cell r="D1478">
            <v>2</v>
          </cell>
          <cell r="E1478" t="str">
            <v>Intermediate</v>
          </cell>
          <cell r="F1478" t="str">
            <v>Kaizo, Tool-Assisted</v>
          </cell>
          <cell r="G1478">
            <v>44802</v>
          </cell>
          <cell r="H1478" t="str">
            <v>31374</v>
          </cell>
          <cell r="I1478" t="str">
            <v>https://www.smwcentral.net/?a=details&amp;id=31374&amp;p=section</v>
          </cell>
          <cell r="J1478" t="str">
            <v>https://dl.smwcentral.net/31374/Rise%20of%20Horst%20BabyPark.zip</v>
          </cell>
        </row>
        <row r="1479">
          <cell r="A1479" t="str">
            <v>Rise to the Challenge</v>
          </cell>
          <cell r="B1479" t="str">
            <v>Rise to the Challenge</v>
          </cell>
          <cell r="C1479" t="str">
            <v>AxemJinx</v>
          </cell>
          <cell r="D1479">
            <v>53</v>
          </cell>
          <cell r="E1479" t="str">
            <v>Intermediate</v>
          </cell>
          <cell r="F1479" t="str">
            <v>Standard</v>
          </cell>
          <cell r="G1479">
            <v>41870</v>
          </cell>
          <cell r="H1479" t="str">
            <v>9029</v>
          </cell>
          <cell r="I1479" t="str">
            <v>https://www.smwcentral.net/?a=details&amp;id=9029&amp;p=section</v>
          </cell>
          <cell r="J1479" t="str">
            <v>https://dl.smwcentral.net/9029/RttC-1.3.zip</v>
          </cell>
        </row>
        <row r="1480">
          <cell r="A1480" t="str">
            <v>River Song</v>
          </cell>
          <cell r="B1480" t="str">
            <v>River Song</v>
          </cell>
          <cell r="C1480" t="str">
            <v>Monkeyfist</v>
          </cell>
          <cell r="D1480">
            <v>18</v>
          </cell>
          <cell r="E1480" t="str">
            <v>Advanced</v>
          </cell>
          <cell r="F1480" t="str">
            <v>Kaizo</v>
          </cell>
          <cell r="G1480">
            <v>43921</v>
          </cell>
          <cell r="H1480" t="str">
            <v>22513</v>
          </cell>
          <cell r="I1480" t="str">
            <v>https://www.smwcentral.net/?a=details&amp;id=22513&amp;p=section</v>
          </cell>
          <cell r="J1480" t="str">
            <v>https://dl.smwcentral.net/22513/Riversong.zip</v>
          </cell>
        </row>
        <row r="1481">
          <cell r="A1481" t="str">
            <v>Road to New Haven</v>
          </cell>
          <cell r="B1481" t="str">
            <v>Road to New Haven</v>
          </cell>
          <cell r="C1481" t="str">
            <v>DashGamer</v>
          </cell>
          <cell r="D1481">
            <v>5</v>
          </cell>
          <cell r="E1481" t="str">
            <v>Intermediate</v>
          </cell>
          <cell r="F1481" t="str">
            <v>Kaizo</v>
          </cell>
          <cell r="G1481">
            <v>44821</v>
          </cell>
          <cell r="H1481" t="str">
            <v>32137</v>
          </cell>
          <cell r="I1481" t="str">
            <v>https://www.smwcentral.net/?a=details&amp;id=32137&amp;p=section</v>
          </cell>
          <cell r="J1481" t="str">
            <v>https://dl.smwcentral.net/32137/Road%20to%20New%20Haven.zip</v>
          </cell>
        </row>
        <row r="1482">
          <cell r="A1482" t="str">
            <v>Rob-omb's Quest: Easy</v>
          </cell>
          <cell r="B1482" t="str">
            <v>Rob-omb's Quest: Easy</v>
          </cell>
          <cell r="C1482" t="str">
            <v>videogamerpat</v>
          </cell>
          <cell r="D1482">
            <v>84</v>
          </cell>
          <cell r="E1482" t="str">
            <v>Casual</v>
          </cell>
          <cell r="F1482" t="str">
            <v>Standard</v>
          </cell>
          <cell r="G1482">
            <v>42221</v>
          </cell>
          <cell r="H1482" t="str">
            <v>9736</v>
          </cell>
          <cell r="I1482" t="str">
            <v>https://www.smwcentral.net/?a=details&amp;id=9736&amp;p=section</v>
          </cell>
          <cell r="J1482" t="str">
            <v>https://dl.smwcentral.net/9736/Rob-omb%27s%20Quest%20Easy.zip</v>
          </cell>
        </row>
        <row r="1483">
          <cell r="A1483" t="str">
            <v>Rob-omb's Quest: Hard</v>
          </cell>
          <cell r="B1483" t="str">
            <v>Rob-omb's Quest: Hard</v>
          </cell>
          <cell r="C1483" t="str">
            <v>videogamerpat</v>
          </cell>
          <cell r="D1483">
            <v>84</v>
          </cell>
          <cell r="E1483" t="str">
            <v>Casual</v>
          </cell>
          <cell r="F1483" t="str">
            <v>Standard</v>
          </cell>
          <cell r="G1483">
            <v>42221</v>
          </cell>
          <cell r="H1483" t="str">
            <v>9735</v>
          </cell>
          <cell r="I1483" t="str">
            <v>https://www.smwcentral.net/?a=details&amp;id=9735&amp;p=section</v>
          </cell>
          <cell r="J1483" t="str">
            <v>https://dl.smwcentral.net/9735/Rob-omb%27s%20Quest%20Hard.zip</v>
          </cell>
        </row>
        <row r="1484">
          <cell r="A1484" t="str">
            <v>Robfather World</v>
          </cell>
          <cell r="B1484" t="str">
            <v>Robfather World</v>
          </cell>
          <cell r="C1484" t="str">
            <v>DanOfMostTrades</v>
          </cell>
          <cell r="D1484">
            <v>14</v>
          </cell>
          <cell r="E1484" t="str">
            <v>Intermediate</v>
          </cell>
          <cell r="F1484" t="str">
            <v>Kaizo</v>
          </cell>
          <cell r="G1484">
            <v>43629</v>
          </cell>
          <cell r="H1484" t="str">
            <v>20190</v>
          </cell>
          <cell r="I1484" t="str">
            <v>https://www.smwcentral.net/?a=details&amp;id=20190&amp;p=section</v>
          </cell>
          <cell r="J1484" t="str">
            <v>https://dl.smwcentral.net/20190/Robfather_World_v1_1.zip</v>
          </cell>
        </row>
        <row r="1485">
          <cell r="A1485" t="str">
            <v>Roger Gang Vol 1</v>
          </cell>
          <cell r="B1485" t="str">
            <v>Roger Gang Vol 1</v>
          </cell>
          <cell r="C1485" t="str">
            <v>BigDeutsch, BoozeWash, Brakkie, Daffoxy, Fryinb, Ixitxachitl, Jenboo, KatMakes, TDWarrior, TacosTheCasual, The4thBackpack, ViviMeowerson, l337f00l, shaoshao, xamexer</v>
          </cell>
          <cell r="D1485">
            <v>15</v>
          </cell>
          <cell r="E1485" t="str">
            <v>Expert</v>
          </cell>
          <cell r="F1485" t="str">
            <v>Kaizo</v>
          </cell>
          <cell r="G1485">
            <v>44369</v>
          </cell>
          <cell r="H1485" t="str">
            <v>27312</v>
          </cell>
          <cell r="I1485" t="str">
            <v>https://www.smwcentral.net/?a=details&amp;id=27312&amp;p=section</v>
          </cell>
          <cell r="J1485" t="str">
            <v>https://dl.smwcentral.net/27312/Roger%20Gang%20Vol%201.zip</v>
          </cell>
        </row>
        <row r="1486">
          <cell r="A1486" t="str">
            <v>ROKE HELL</v>
          </cell>
          <cell r="B1486" t="str">
            <v>ROKE HELL</v>
          </cell>
          <cell r="C1486" t="str">
            <v>alvinluis</v>
          </cell>
          <cell r="D1486">
            <v>14</v>
          </cell>
          <cell r="E1486" t="str">
            <v>Expert</v>
          </cell>
          <cell r="F1486" t="str">
            <v>Kaizo</v>
          </cell>
          <cell r="G1486">
            <v>45079</v>
          </cell>
          <cell r="H1486" t="str">
            <v>33959</v>
          </cell>
          <cell r="I1486" t="str">
            <v>https://www.smwcentral.net/?a=details&amp;id=33959&amp;p=section</v>
          </cell>
          <cell r="J1486" t="str">
            <v>https://dl.smwcentral.net/33959/ROKE%20HELL.zip</v>
          </cell>
        </row>
        <row r="1487">
          <cell r="A1487" t="str">
            <v>Roke Shell</v>
          </cell>
          <cell r="B1487" t="str">
            <v>Roke Shell</v>
          </cell>
          <cell r="C1487" t="str">
            <v>magianegra21</v>
          </cell>
          <cell r="D1487">
            <v>14</v>
          </cell>
          <cell r="E1487" t="str">
            <v>Advanced</v>
          </cell>
          <cell r="F1487" t="str">
            <v>Kaizo</v>
          </cell>
          <cell r="G1487">
            <v>45343</v>
          </cell>
          <cell r="H1487" t="str">
            <v>36801</v>
          </cell>
          <cell r="I1487" t="str">
            <v>https://www.smwcentral.net/?a=details&amp;id=36801&amp;p=section</v>
          </cell>
          <cell r="J1487" t="str">
            <v>https://dl.smwcentral.net/36801/roke%20shell.zip</v>
          </cell>
        </row>
        <row r="1488">
          <cell r="A1488" t="str">
            <v>rokeshell 2</v>
          </cell>
          <cell r="B1488" t="str">
            <v>rokeshell 2</v>
          </cell>
          <cell r="C1488" t="str">
            <v>elwawa</v>
          </cell>
          <cell r="D1488">
            <v>13</v>
          </cell>
          <cell r="E1488" t="str">
            <v>Expert</v>
          </cell>
          <cell r="F1488" t="str">
            <v>Kaizo</v>
          </cell>
          <cell r="G1488">
            <v>46213</v>
          </cell>
          <cell r="H1488" t="str">
            <v>42671</v>
          </cell>
          <cell r="I1488" t="str">
            <v>https://www.smwcentral.net/?a=details&amp;id=42671&amp;p=section</v>
          </cell>
          <cell r="J1488" t="str">
            <v>https://dl.smwcentral.net/42671/rokeshell2.zip</v>
          </cell>
        </row>
        <row r="1489">
          <cell r="A1489" t="str">
            <v>Romhack Races - Season 1 Compilation</v>
          </cell>
          <cell r="B1489" t="str">
            <v>Romhack Races - Season 1 Compilation</v>
          </cell>
          <cell r="C1489" t="str">
            <v>Romhack Races Team</v>
          </cell>
          <cell r="D1489">
            <v>15</v>
          </cell>
          <cell r="E1489" t="str">
            <v>Expert</v>
          </cell>
          <cell r="F1489" t="str">
            <v>Kaizo</v>
          </cell>
          <cell r="G1489">
            <v>43573</v>
          </cell>
          <cell r="H1489" t="str">
            <v>19683</v>
          </cell>
          <cell r="I1489" t="str">
            <v>https://www.smwcentral.net/?a=details&amp;id=19683&amp;p=section</v>
          </cell>
          <cell r="J1489" t="str">
            <v>https://dl.smwcentral.net/19683/RHRS1.zip</v>
          </cell>
        </row>
        <row r="1490">
          <cell r="A1490" t="str">
            <v>Romhack Races - Season 2 Compilation</v>
          </cell>
          <cell r="B1490" t="str">
            <v>Romhack Races - Season 2 Compilation</v>
          </cell>
          <cell r="C1490" t="str">
            <v>Romhack Races Team</v>
          </cell>
          <cell r="D1490">
            <v>13</v>
          </cell>
          <cell r="E1490" t="str">
            <v>Expert</v>
          </cell>
          <cell r="F1490" t="str">
            <v>Kaizo</v>
          </cell>
          <cell r="G1490">
            <v>43573</v>
          </cell>
          <cell r="H1490" t="str">
            <v>19684</v>
          </cell>
          <cell r="I1490" t="str">
            <v>https://www.smwcentral.net/?a=details&amp;id=19684&amp;p=section</v>
          </cell>
          <cell r="J1490" t="str">
            <v>https://dl.smwcentral.net/19684/RHRS2.zip</v>
          </cell>
        </row>
        <row r="1491">
          <cell r="A1491" t="str">
            <v>Romhack Races - Season 3 Compilation</v>
          </cell>
          <cell r="B1491" t="str">
            <v>Romhack Races - Season 3 Compilation</v>
          </cell>
          <cell r="C1491" t="str">
            <v>Romhack Races Team</v>
          </cell>
          <cell r="D1491">
            <v>13</v>
          </cell>
          <cell r="E1491" t="str">
            <v>Expert</v>
          </cell>
          <cell r="F1491" t="str">
            <v>Kaizo</v>
          </cell>
          <cell r="G1491">
            <v>43703</v>
          </cell>
          <cell r="H1491" t="str">
            <v>20845</v>
          </cell>
          <cell r="I1491" t="str">
            <v>https://www.smwcentral.net/?a=details&amp;id=20845&amp;p=section</v>
          </cell>
          <cell r="J1491" t="str">
            <v>https://dl.smwcentral.net/20845/RHR%20Season%203%20Collaboration.zip</v>
          </cell>
        </row>
        <row r="1492">
          <cell r="A1492" t="str">
            <v>Romhack Races - Season 4 Compilation</v>
          </cell>
          <cell r="B1492" t="str">
            <v>Romhack Races - Season 4 Compilation</v>
          </cell>
          <cell r="C1492" t="str">
            <v>Romhack Races Team</v>
          </cell>
          <cell r="D1492">
            <v>12</v>
          </cell>
          <cell r="E1492" t="str">
            <v>Expert</v>
          </cell>
          <cell r="F1492" t="str">
            <v>Kaizo</v>
          </cell>
          <cell r="G1492">
            <v>43875</v>
          </cell>
          <cell r="H1492" t="str">
            <v>22112</v>
          </cell>
          <cell r="I1492" t="str">
            <v>https://www.smwcentral.net/?a=details&amp;id=22112&amp;p=section</v>
          </cell>
          <cell r="J1492" t="str">
            <v>https://dl.smwcentral.net/22112/RHRS4C.zip</v>
          </cell>
        </row>
        <row r="1493">
          <cell r="A1493" t="str">
            <v>Romp of Otters</v>
          </cell>
          <cell r="B1493" t="str">
            <v>Romp of Otters</v>
          </cell>
          <cell r="C1493" t="str">
            <v>JonnyManjiro</v>
          </cell>
          <cell r="D1493">
            <v>23</v>
          </cell>
          <cell r="E1493" t="str">
            <v>Expert</v>
          </cell>
          <cell r="F1493" t="str">
            <v>Kaizo</v>
          </cell>
          <cell r="G1493">
            <v>44366</v>
          </cell>
          <cell r="H1493" t="str">
            <v>27140</v>
          </cell>
          <cell r="I1493" t="str">
            <v>https://www.smwcentral.net/?a=details&amp;id=27140&amp;p=section</v>
          </cell>
          <cell r="J1493" t="str">
            <v>https://dl.smwcentral.net/27140/Romp%20of%20Otters%201.1.zip</v>
          </cell>
        </row>
        <row r="1494">
          <cell r="A1494" t="str">
            <v>Rooms for Kids</v>
          </cell>
          <cell r="B1494" t="str">
            <v>Rooms for Kids</v>
          </cell>
          <cell r="C1494" t="str">
            <v>Saphros</v>
          </cell>
          <cell r="D1494">
            <v>1</v>
          </cell>
          <cell r="E1494" t="str">
            <v>Intermediate</v>
          </cell>
          <cell r="F1494" t="str">
            <v>Kaizo</v>
          </cell>
          <cell r="G1494">
            <v>46060</v>
          </cell>
          <cell r="H1494" t="str">
            <v>41533</v>
          </cell>
          <cell r="I1494" t="str">
            <v>https://www.smwcentral.net/?a=details&amp;id=41533&amp;p=section</v>
          </cell>
          <cell r="J1494" t="str">
            <v>https://dl.smwcentral.net/41533/Rooms%20for%20Kids.zip</v>
          </cell>
        </row>
        <row r="1495">
          <cell r="A1495" t="str">
            <v>Rooms of Despair</v>
          </cell>
          <cell r="B1495" t="str">
            <v>Rooms of Despair</v>
          </cell>
          <cell r="C1495" t="str">
            <v>Nowieso</v>
          </cell>
          <cell r="D1495">
            <v>1</v>
          </cell>
          <cell r="E1495" t="str">
            <v>Expert</v>
          </cell>
          <cell r="F1495" t="str">
            <v>Kaizo</v>
          </cell>
          <cell r="G1495">
            <v>45216</v>
          </cell>
          <cell r="H1495" t="str">
            <v>35290</v>
          </cell>
          <cell r="I1495" t="str">
            <v>https://www.smwcentral.net/?a=details&amp;id=35290&amp;p=section</v>
          </cell>
          <cell r="J1495" t="str">
            <v>https://dl.smwcentral.net/35290/Rooms%20of%20Despair.zip</v>
          </cell>
        </row>
        <row r="1496">
          <cell r="A1496" t="str">
            <v>Rosalina's Gold Saga</v>
          </cell>
          <cell r="B1496" t="str">
            <v>Rosalina's Gold Saga</v>
          </cell>
          <cell r="C1496" t="str">
            <v>Tiozinho</v>
          </cell>
          <cell r="D1496">
            <v>44</v>
          </cell>
          <cell r="E1496" t="str">
            <v>Intermediate</v>
          </cell>
          <cell r="F1496" t="str">
            <v>Standard</v>
          </cell>
          <cell r="G1496">
            <v>46146</v>
          </cell>
          <cell r="H1496" t="str">
            <v>42259</v>
          </cell>
          <cell r="I1496" t="str">
            <v>https://www.smwcentral.net/?a=details&amp;id=42259&amp;p=section</v>
          </cell>
          <cell r="J1496" t="str">
            <v>https://dl.smwcentral.net/42259/Rosalina%27s%20Gold%20Saga.zip</v>
          </cell>
        </row>
        <row r="1497">
          <cell r="A1497" t="str">
            <v>Rose Tinted Glasses</v>
          </cell>
          <cell r="B1497" t="str">
            <v>Rose Tinted Glasses</v>
          </cell>
          <cell r="C1497" t="str">
            <v>ponypowerboi</v>
          </cell>
          <cell r="D1497">
            <v>5</v>
          </cell>
          <cell r="E1497" t="str">
            <v>Intermediate</v>
          </cell>
          <cell r="F1497" t="str">
            <v>Kaizo</v>
          </cell>
          <cell r="G1497">
            <v>45214</v>
          </cell>
          <cell r="H1497" t="str">
            <v>35251</v>
          </cell>
          <cell r="I1497" t="str">
            <v>https://www.smwcentral.net/?a=details&amp;id=35251&amp;p=section</v>
          </cell>
          <cell r="J1497" t="str">
            <v>https://dl.smwcentral.net/35251/Rose%20Tinted%20Glasses.zip</v>
          </cell>
        </row>
        <row r="1498">
          <cell r="A1498" t="str">
            <v>Roy's Armada</v>
          </cell>
          <cell r="B1498" t="str">
            <v>Roy's Armada</v>
          </cell>
          <cell r="C1498" t="str">
            <v>Atma</v>
          </cell>
          <cell r="D1498">
            <v>18</v>
          </cell>
          <cell r="E1498" t="str">
            <v>Casual</v>
          </cell>
          <cell r="F1498" t="str">
            <v>Standard</v>
          </cell>
          <cell r="G1498">
            <v>42284</v>
          </cell>
          <cell r="H1498" t="str">
            <v>10119</v>
          </cell>
          <cell r="I1498" t="str">
            <v>https://www.smwcentral.net/?a=details&amp;id=10119&amp;p=section</v>
          </cell>
          <cell r="J1498" t="str">
            <v>https://dl.smwcentral.net/10119/Armada.zip</v>
          </cell>
        </row>
        <row r="1499">
          <cell r="A1499" t="str">
            <v>Rozen Maiden: The Lapislazuri Travel</v>
          </cell>
          <cell r="B1499" t="str">
            <v>Rozen Maiden: The Lapislazuri Travel</v>
          </cell>
          <cell r="C1499" t="str">
            <v>BokuNES</v>
          </cell>
          <cell r="D1499">
            <v>5</v>
          </cell>
          <cell r="E1499" t="str">
            <v>Casual</v>
          </cell>
          <cell r="F1499" t="str">
            <v>Standard</v>
          </cell>
          <cell r="G1499">
            <v>42057</v>
          </cell>
          <cell r="H1499" t="str">
            <v>10272</v>
          </cell>
          <cell r="I1499" t="str">
            <v>https://www.smwcentral.net/?a=details&amp;id=10272&amp;p=section</v>
          </cell>
          <cell r="J1499" t="str">
            <v>https://dl.smwcentral.net/10272/Rozen%20Maiden%20%28The%20Lapislazuri%20Travel%29%20%28Demo%29.zip</v>
          </cell>
        </row>
        <row r="1500">
          <cell r="A1500" t="str">
            <v>RTA Abuse</v>
          </cell>
          <cell r="B1500" t="str">
            <v>RTA Abuse</v>
          </cell>
          <cell r="C1500" t="str">
            <v>51690</v>
          </cell>
          <cell r="D1500">
            <v>1</v>
          </cell>
          <cell r="E1500" t="str">
            <v>Master</v>
          </cell>
          <cell r="F1500" t="str">
            <v>Kaizo</v>
          </cell>
          <cell r="G1500">
            <v>44683</v>
          </cell>
          <cell r="H1500" t="str">
            <v>30649</v>
          </cell>
          <cell r="I1500" t="str">
            <v>https://www.smwcentral.net/?a=details&amp;id=30649&amp;p=section</v>
          </cell>
          <cell r="J1500" t="str">
            <v>https://dl.smwcentral.net/30649/rta%20abuse%201.1.zip</v>
          </cell>
        </row>
        <row r="1501">
          <cell r="A1501" t="str">
            <v>RTA Abuse 2</v>
          </cell>
          <cell r="B1501" t="str">
            <v>RTA Abuse 2</v>
          </cell>
          <cell r="C1501" t="str">
            <v>51690</v>
          </cell>
          <cell r="D1501">
            <v>0</v>
          </cell>
          <cell r="E1501" t="str">
            <v>Master</v>
          </cell>
          <cell r="F1501" t="str">
            <v>Kaizo</v>
          </cell>
          <cell r="G1501">
            <v>44736</v>
          </cell>
          <cell r="H1501" t="str">
            <v>31185</v>
          </cell>
          <cell r="I1501" t="str">
            <v>https://www.smwcentral.net/?a=details&amp;id=31185&amp;p=section</v>
          </cell>
          <cell r="J1501" t="str">
            <v>https://dl.smwcentral.net/31185/rta%20abuse%202.zip</v>
          </cell>
        </row>
        <row r="1502">
          <cell r="A1502" t="str">
            <v>RTA Abuse 3</v>
          </cell>
          <cell r="B1502" t="str">
            <v>RTA Abuse 3</v>
          </cell>
          <cell r="C1502" t="str">
            <v>51690</v>
          </cell>
          <cell r="D1502">
            <v>1</v>
          </cell>
          <cell r="E1502" t="str">
            <v>Master</v>
          </cell>
          <cell r="F1502" t="str">
            <v>Kaizo</v>
          </cell>
          <cell r="G1502">
            <v>44739</v>
          </cell>
          <cell r="H1502" t="str">
            <v>31184</v>
          </cell>
          <cell r="I1502" t="str">
            <v>https://www.smwcentral.net/?a=details&amp;id=31184&amp;p=section</v>
          </cell>
          <cell r="J1502" t="str">
            <v>https://dl.smwcentral.net/31184/rta%20abuse%203.zip</v>
          </cell>
        </row>
        <row r="1503">
          <cell r="A1503" t="str">
            <v>Run Away from Mario's Past</v>
          </cell>
          <cell r="B1503" t="str">
            <v>Run Away from Mario's Past</v>
          </cell>
          <cell r="C1503" t="str">
            <v>Green Jerry</v>
          </cell>
          <cell r="D1503">
            <v>10</v>
          </cell>
          <cell r="E1503" t="str">
            <v>Intermediate</v>
          </cell>
          <cell r="F1503" t="str">
            <v>Standard</v>
          </cell>
          <cell r="G1503">
            <v>46101</v>
          </cell>
          <cell r="H1503" t="str">
            <v>41900</v>
          </cell>
          <cell r="I1503" t="str">
            <v>https://www.smwcentral.net/?a=details&amp;id=41900&amp;p=section</v>
          </cell>
          <cell r="J1503" t="str">
            <v>https://dl.smwcentral.net/41900/Run%20Away%20from%20Mario%27s%20Past%20v1.4.zip</v>
          </cell>
        </row>
        <row r="1504">
          <cell r="A1504" t="str">
            <v>Run the Gauntlet</v>
          </cell>
          <cell r="B1504" t="str">
            <v>Run the Gauntlet</v>
          </cell>
          <cell r="C1504" t="str">
            <v>MiracleWater</v>
          </cell>
          <cell r="D1504">
            <v>5</v>
          </cell>
          <cell r="E1504" t="str">
            <v>Grandmaster</v>
          </cell>
          <cell r="F1504" t="str">
            <v>Standard</v>
          </cell>
          <cell r="G1504">
            <v>46074</v>
          </cell>
          <cell r="H1504" t="str">
            <v>41539</v>
          </cell>
          <cell r="I1504" t="str">
            <v>https://www.smwcentral.net/?a=details&amp;id=41539&amp;p=section</v>
          </cell>
          <cell r="J1504" t="str">
            <v>https://dl.smwcentral.net/41539/RTG%201.0.zip</v>
          </cell>
        </row>
        <row r="1505">
          <cell r="A1505" t="str">
            <v>Run!</v>
          </cell>
          <cell r="B1505" t="str">
            <v>Run!</v>
          </cell>
          <cell r="C1505" t="str">
            <v>NaxciS</v>
          </cell>
          <cell r="D1505">
            <v>11</v>
          </cell>
          <cell r="E1505" t="str">
            <v>Expert</v>
          </cell>
          <cell r="F1505" t="str">
            <v>Kaizo</v>
          </cell>
          <cell r="G1505">
            <v>44384</v>
          </cell>
          <cell r="H1505" t="str">
            <v>27430</v>
          </cell>
          <cell r="I1505" t="str">
            <v>https://www.smwcentral.net/?a=details&amp;id=27430&amp;p=section</v>
          </cell>
          <cell r="J1505" t="str">
            <v>https://dl.smwcentral.net/27430/Run%21.zip</v>
          </cell>
        </row>
        <row r="1506">
          <cell r="A1506" t="str">
            <v>Run! 2 - Don't Stop Running</v>
          </cell>
          <cell r="B1506" t="str">
            <v>Run! 2 - Don't Stop Running</v>
          </cell>
          <cell r="C1506" t="str">
            <v>NaxciS</v>
          </cell>
          <cell r="D1506">
            <v>14</v>
          </cell>
          <cell r="E1506" t="str">
            <v>Expert</v>
          </cell>
          <cell r="F1506" t="str">
            <v>Kaizo</v>
          </cell>
          <cell r="G1506">
            <v>45026</v>
          </cell>
          <cell r="H1506" t="str">
            <v>33634</v>
          </cell>
          <cell r="I1506" t="str">
            <v>https://www.smwcentral.net/?a=details&amp;id=33634&amp;p=section</v>
          </cell>
          <cell r="J1506" t="str">
            <v>https://dl.smwcentral.net/33634/Run%21%202%20Don%27t%20Stop%20Running.zip</v>
          </cell>
        </row>
        <row r="1507">
          <cell r="A1507" t="str">
            <v>S.O.B mario world</v>
          </cell>
          <cell r="B1507" t="str">
            <v>S.O.B mario world</v>
          </cell>
          <cell r="C1507" t="str">
            <v>ageVerrly</v>
          </cell>
          <cell r="D1507">
            <v>14</v>
          </cell>
          <cell r="E1507" t="str">
            <v>Master</v>
          </cell>
          <cell r="F1507" t="str">
            <v>Kaizo</v>
          </cell>
          <cell r="G1507">
            <v>44515</v>
          </cell>
          <cell r="H1507" t="str">
            <v>28308</v>
          </cell>
          <cell r="I1507" t="str">
            <v>https://www.smwcentral.net/?a=details&amp;id=28308&amp;p=section</v>
          </cell>
          <cell r="J1507" t="str">
            <v>https://dl.smwcentral.net/28308/S.O.B.zip</v>
          </cell>
        </row>
        <row r="1508">
          <cell r="A1508" t="str">
            <v>SA-1: Special Adventure - 1</v>
          </cell>
          <cell r="B1508" t="str">
            <v>SA-1: Special Adventure - 1</v>
          </cell>
          <cell r="C1508" t="str">
            <v>Hayashi Neru</v>
          </cell>
          <cell r="D1508">
            <v>118</v>
          </cell>
          <cell r="E1508" t="str">
            <v>Intermediate</v>
          </cell>
          <cell r="F1508" t="str">
            <v>Standard</v>
          </cell>
          <cell r="G1508">
            <v>45416</v>
          </cell>
          <cell r="H1508" t="str">
            <v>37596</v>
          </cell>
          <cell r="I1508" t="str">
            <v>https://www.smwcentral.net/?a=details&amp;id=37596&amp;p=section</v>
          </cell>
          <cell r="J1508" t="str">
            <v>https://dl.smwcentral.net/37596/SA-1%EF%BC%9A%20Special%20Adventure%20-%201.zip</v>
          </cell>
        </row>
        <row r="1509">
          <cell r="A1509" t="str">
            <v>Safespace Challenge</v>
          </cell>
          <cell r="B1509" t="str">
            <v>Safespace Challenge</v>
          </cell>
          <cell r="C1509" t="str">
            <v>MarsAmPear</v>
          </cell>
          <cell r="D1509">
            <v>1</v>
          </cell>
          <cell r="E1509" t="str">
            <v>Grandmaster</v>
          </cell>
          <cell r="F1509" t="str">
            <v>Kaizo</v>
          </cell>
          <cell r="G1509">
            <v>45483</v>
          </cell>
          <cell r="H1509" t="str">
            <v>38077</v>
          </cell>
          <cell r="I1509" t="str">
            <v>https://www.smwcentral.net/?a=details&amp;id=38077&amp;p=section</v>
          </cell>
          <cell r="J1509" t="str">
            <v>https://dl.smwcentral.net/38077/Safespace%20Challenge.zip</v>
          </cell>
        </row>
        <row r="1510">
          <cell r="A1510" t="str">
            <v>Sakaya Sanctuary</v>
          </cell>
          <cell r="B1510" t="str">
            <v>Sakaya Sanctuary</v>
          </cell>
          <cell r="C1510" t="str">
            <v>Jeff2342, JinRokhZenobi, RandomType, Saphros, Spedinja, TheTrueCommonSense, neidoodle, ocked</v>
          </cell>
          <cell r="D1510">
            <v>20</v>
          </cell>
          <cell r="E1510" t="str">
            <v>Expert</v>
          </cell>
          <cell r="F1510" t="str">
            <v>Kaizo</v>
          </cell>
          <cell r="G1510">
            <v>46141</v>
          </cell>
          <cell r="H1510" t="str">
            <v>42274</v>
          </cell>
          <cell r="I1510" t="str">
            <v>https://www.smwcentral.net/?a=details&amp;id=42274&amp;p=section</v>
          </cell>
          <cell r="J1510" t="str">
            <v>https://dl.smwcentral.net/42274/Sakaya%20Sanctuary%201.2.zip</v>
          </cell>
        </row>
        <row r="1511">
          <cell r="A1511" t="str">
            <v>Salty Sagan World</v>
          </cell>
          <cell r="B1511" t="str">
            <v>Salty Sagan World</v>
          </cell>
          <cell r="C1511" t="str">
            <v>Oskise</v>
          </cell>
          <cell r="D1511">
            <v>22</v>
          </cell>
          <cell r="E1511" t="str">
            <v>Master</v>
          </cell>
          <cell r="F1511" t="str">
            <v>Kaizo</v>
          </cell>
          <cell r="G1511">
            <v>43210</v>
          </cell>
          <cell r="H1511" t="str">
            <v>17384</v>
          </cell>
          <cell r="I1511" t="str">
            <v>https://www.smwcentral.net/?a=details&amp;id=17384&amp;p=section</v>
          </cell>
          <cell r="J1511" t="str">
            <v>https://dl.smwcentral.net/17384/Salty%20Sagan%20World%201.11.zip</v>
          </cell>
        </row>
        <row r="1512">
          <cell r="A1512" t="str">
            <v>Same Sprites, Different Levels</v>
          </cell>
          <cell r="B1512" t="str">
            <v>Same Sprites, Different Levels</v>
          </cell>
          <cell r="C1512" t="str">
            <v>eltiolavara9</v>
          </cell>
          <cell r="D1512">
            <v>92</v>
          </cell>
          <cell r="E1512" t="str">
            <v>Intermediate</v>
          </cell>
          <cell r="F1512" t="str">
            <v>Standard</v>
          </cell>
          <cell r="G1512">
            <v>44062</v>
          </cell>
          <cell r="H1512" t="str">
            <v>24141</v>
          </cell>
          <cell r="I1512" t="str">
            <v>https://www.smwcentral.net/?a=details&amp;id=24141&amp;p=section</v>
          </cell>
          <cell r="J1512" t="str">
            <v>https://dl.smwcentral.net/24141/Same%20Sprites%2C%20Different%20Levels.zip</v>
          </cell>
        </row>
        <row r="1513">
          <cell r="A1513" t="str">
            <v>Samsara Mario World</v>
          </cell>
          <cell r="B1513" t="str">
            <v>Samsara Mario World</v>
          </cell>
          <cell r="C1513" t="str">
            <v>margot</v>
          </cell>
          <cell r="D1513">
            <v>22</v>
          </cell>
          <cell r="E1513" t="str">
            <v>Expert</v>
          </cell>
          <cell r="F1513" t="str">
            <v>Kaizo</v>
          </cell>
          <cell r="G1513">
            <v>43884</v>
          </cell>
          <cell r="H1513" t="str">
            <v>22102</v>
          </cell>
          <cell r="I1513" t="str">
            <v>https://www.smwcentral.net/?a=details&amp;id=22102&amp;p=section</v>
          </cell>
          <cell r="J1513" t="str">
            <v>https://dl.smwcentral.net/22102/Samsara%20Mario%20World.zip</v>
          </cell>
        </row>
        <row r="1514">
          <cell r="A1514" t="str">
            <v>Saphros Blind Races #1</v>
          </cell>
          <cell r="B1514" t="str">
            <v>Saphros Blind Races #1</v>
          </cell>
          <cell r="C1514" t="str">
            <v>Saphros</v>
          </cell>
          <cell r="D1514">
            <v>4</v>
          </cell>
          <cell r="E1514" t="str">
            <v>Advanced</v>
          </cell>
          <cell r="F1514" t="str">
            <v>Kaizo</v>
          </cell>
          <cell r="G1514">
            <v>45679</v>
          </cell>
          <cell r="H1514" t="str">
            <v>39086</v>
          </cell>
          <cell r="I1514" t="str">
            <v>https://www.smwcentral.net/?a=details&amp;id=39086&amp;p=section</v>
          </cell>
          <cell r="J1514" t="str">
            <v>https://dl.smwcentral.net/39086/Saphros_Blindrace_1.zip</v>
          </cell>
        </row>
        <row r="1515">
          <cell r="A1515" t="str">
            <v>Saphros Blindrace #2</v>
          </cell>
          <cell r="B1515" t="str">
            <v>Saphros Blindrace #2</v>
          </cell>
          <cell r="C1515" t="str">
            <v>Saphros</v>
          </cell>
          <cell r="D1515">
            <v>4</v>
          </cell>
          <cell r="E1515" t="str">
            <v>Expert</v>
          </cell>
          <cell r="F1515" t="str">
            <v>Kaizo</v>
          </cell>
          <cell r="G1515">
            <v>45754</v>
          </cell>
          <cell r="H1515" t="str">
            <v>39701</v>
          </cell>
          <cell r="I1515" t="str">
            <v>https://www.smwcentral.net/?a=details&amp;id=39701&amp;p=section</v>
          </cell>
          <cell r="J1515" t="str">
            <v>https://dl.smwcentral.net/39701/Saphros_Blindrace_2.zip</v>
          </cell>
        </row>
        <row r="1516">
          <cell r="A1516" t="str">
            <v>Sauna Mario World</v>
          </cell>
          <cell r="B1516" t="str">
            <v>Sauna Mario World</v>
          </cell>
          <cell r="C1516" t="str">
            <v>pnaha</v>
          </cell>
          <cell r="D1516">
            <v>15</v>
          </cell>
          <cell r="E1516" t="str">
            <v>Advanced</v>
          </cell>
          <cell r="F1516" t="str">
            <v>Kaizo</v>
          </cell>
          <cell r="G1516">
            <v>45335</v>
          </cell>
          <cell r="H1516" t="str">
            <v>36760</v>
          </cell>
          <cell r="I1516" t="str">
            <v>https://www.smwcentral.net/?a=details&amp;id=36760&amp;p=section</v>
          </cell>
          <cell r="J1516" t="str">
            <v>https://dl.smwcentral.net/36760/Sauna%20Mario%20World%201.5.zip</v>
          </cell>
        </row>
        <row r="1517">
          <cell r="A1517" t="str">
            <v>Sauna Mario World 2</v>
          </cell>
          <cell r="B1517" t="str">
            <v>Sauna Mario World 2</v>
          </cell>
          <cell r="C1517" t="str">
            <v>pnaha</v>
          </cell>
          <cell r="D1517">
            <v>21</v>
          </cell>
          <cell r="E1517" t="str">
            <v>Expert</v>
          </cell>
          <cell r="F1517" t="str">
            <v>Kaizo</v>
          </cell>
          <cell r="G1517">
            <v>46081</v>
          </cell>
          <cell r="H1517" t="str">
            <v>41690</v>
          </cell>
          <cell r="I1517" t="str">
            <v>https://www.smwcentral.net/?a=details&amp;id=41690&amp;p=section</v>
          </cell>
          <cell r="J1517" t="str">
            <v>https://dl.smwcentral.net/41690/Sauna%20Mario%20World%202%20v1.31.zip</v>
          </cell>
        </row>
        <row r="1518">
          <cell r="A1518" t="str">
            <v>Save Luigi</v>
          </cell>
          <cell r="B1518" t="str">
            <v>Save Luigi</v>
          </cell>
          <cell r="C1518" t="str">
            <v>Overcomon7</v>
          </cell>
          <cell r="D1518">
            <v>30</v>
          </cell>
          <cell r="E1518" t="str">
            <v>Expert</v>
          </cell>
          <cell r="F1518" t="str">
            <v>Kaizo</v>
          </cell>
          <cell r="G1518">
            <v>44260</v>
          </cell>
          <cell r="H1518" t="str">
            <v>26096</v>
          </cell>
          <cell r="I1518" t="str">
            <v>https://www.smwcentral.net/?a=details&amp;id=26096&amp;p=section</v>
          </cell>
          <cell r="J1518" t="str">
            <v>https://dl.smwcentral.net/26096/SaveLuigiV5.1.zip</v>
          </cell>
        </row>
        <row r="1519">
          <cell r="A1519" t="str">
            <v>Saving Libertys Kaizo Adventure</v>
          </cell>
          <cell r="B1519" t="str">
            <v>Saving Libertys Kaizo Adventure</v>
          </cell>
          <cell r="C1519" t="str">
            <v>Savingliberty</v>
          </cell>
          <cell r="D1519">
            <v>13</v>
          </cell>
          <cell r="E1519" t="str">
            <v>Advanced</v>
          </cell>
          <cell r="F1519" t="str">
            <v>Kaizo</v>
          </cell>
          <cell r="G1519">
            <v>45114</v>
          </cell>
          <cell r="H1519" t="str">
            <v>34245</v>
          </cell>
          <cell r="I1519" t="str">
            <v>https://www.smwcentral.net/?a=details&amp;id=34245&amp;p=section</v>
          </cell>
          <cell r="J1519" t="str">
            <v>https://dl.smwcentral.net/34245/Saving_Libertys_Kaizo_Adventure.zip</v>
          </cell>
        </row>
        <row r="1520">
          <cell r="A1520" t="str">
            <v>Sayonara Mario World</v>
          </cell>
          <cell r="B1520" t="str">
            <v>Sayonara Mario World</v>
          </cell>
          <cell r="C1520" t="str">
            <v>margot</v>
          </cell>
          <cell r="D1520">
            <v>13</v>
          </cell>
          <cell r="E1520" t="str">
            <v>Expert</v>
          </cell>
          <cell r="F1520" t="str">
            <v>Kaizo</v>
          </cell>
          <cell r="G1520">
            <v>44108</v>
          </cell>
          <cell r="H1520" t="str">
            <v>24739</v>
          </cell>
          <cell r="I1520" t="str">
            <v>https://www.smwcentral.net/?a=details&amp;id=24739&amp;p=section</v>
          </cell>
          <cell r="J1520" t="str">
            <v>https://dl.smwcentral.net/24739/Sayonara%201.1.zip</v>
          </cell>
        </row>
        <row r="1521">
          <cell r="A1521" t="str">
            <v>Sayonara Mario World 2</v>
          </cell>
          <cell r="B1521" t="str">
            <v>Sayonara Mario World 2</v>
          </cell>
          <cell r="C1521" t="str">
            <v>margot</v>
          </cell>
          <cell r="D1521">
            <v>16</v>
          </cell>
          <cell r="E1521" t="str">
            <v>Master</v>
          </cell>
          <cell r="F1521" t="str">
            <v>Kaizo</v>
          </cell>
          <cell r="G1521">
            <v>44749</v>
          </cell>
          <cell r="H1521" t="str">
            <v>31276</v>
          </cell>
          <cell r="I1521" t="str">
            <v>https://www.smwcentral.net/?a=details&amp;id=31276&amp;p=section</v>
          </cell>
          <cell r="J1521" t="str">
            <v>https://dl.smwcentral.net/31276/Sayonara%20Mario%20World%202.zip</v>
          </cell>
        </row>
        <row r="1522">
          <cell r="A1522" t="str">
            <v>Scary Bosses and Nice Sprites</v>
          </cell>
          <cell r="B1522" t="str">
            <v>Scary Bosses and Nice Sprites</v>
          </cell>
          <cell r="C1522" t="str">
            <v>Darolac</v>
          </cell>
          <cell r="D1522">
            <v>10</v>
          </cell>
          <cell r="E1522" t="str">
            <v>Advanced</v>
          </cell>
          <cell r="F1522" t="str">
            <v>Standard, Kaizo</v>
          </cell>
          <cell r="G1522">
            <v>44585</v>
          </cell>
          <cell r="H1522" t="str">
            <v>29498</v>
          </cell>
          <cell r="I1522" t="str">
            <v>https://www.smwcentral.net/?a=details&amp;id=29498&amp;p=section</v>
          </cell>
          <cell r="J1522" t="str">
            <v>https://dl.smwcentral.net/29498/Scary_Bosses_and_Nice_Sprites.zip</v>
          </cell>
        </row>
        <row r="1523">
          <cell r="A1523" t="str">
            <v>Scyther Our Savior</v>
          </cell>
          <cell r="B1523" t="str">
            <v>Scyther Our Savior</v>
          </cell>
          <cell r="C1523" t="str">
            <v>Gamet2004</v>
          </cell>
          <cell r="D1523">
            <v>32</v>
          </cell>
          <cell r="E1523" t="str">
            <v>Intermediate</v>
          </cell>
          <cell r="F1523" t="str">
            <v>Standard</v>
          </cell>
          <cell r="G1523">
            <v>45655</v>
          </cell>
          <cell r="H1523" t="str">
            <v>38971</v>
          </cell>
          <cell r="I1523" t="str">
            <v>https://www.smwcentral.net/?a=details&amp;id=38971&amp;p=section</v>
          </cell>
          <cell r="J1523" t="str">
            <v>https://dl.smwcentral.net/38971/AWildScytherAppeared.zip</v>
          </cell>
        </row>
        <row r="1524">
          <cell r="A1524" t="str">
            <v>Season of Ice</v>
          </cell>
          <cell r="B1524" t="str">
            <v>Season of Ice</v>
          </cell>
          <cell r="C1524" t="str">
            <v>PercentN</v>
          </cell>
          <cell r="D1524">
            <v>7</v>
          </cell>
          <cell r="E1524" t="str">
            <v>Newcomer</v>
          </cell>
          <cell r="F1524" t="str">
            <v>Standard</v>
          </cell>
          <cell r="G1524">
            <v>42246</v>
          </cell>
          <cell r="H1524" t="str">
            <v>9924</v>
          </cell>
          <cell r="I1524" t="str">
            <v>https://www.smwcentral.net/?a=details&amp;id=9924&amp;p=section</v>
          </cell>
          <cell r="J1524" t="str">
            <v>https://dl.smwcentral.net/9924/Season%20of%20ice.zip</v>
          </cell>
        </row>
        <row r="1525">
          <cell r="A1525" t="str">
            <v>Second Nature</v>
          </cell>
          <cell r="B1525" t="str">
            <v>Second Nature</v>
          </cell>
          <cell r="C1525" t="str">
            <v>VLSkoot</v>
          </cell>
          <cell r="D1525">
            <v>19</v>
          </cell>
          <cell r="E1525" t="str">
            <v>Expert</v>
          </cell>
          <cell r="F1525" t="str">
            <v>Kaizo</v>
          </cell>
          <cell r="G1525">
            <v>45389</v>
          </cell>
          <cell r="H1525" t="str">
            <v>37602</v>
          </cell>
          <cell r="I1525" t="str">
            <v>https://www.smwcentral.net/?a=details&amp;id=37602&amp;p=section</v>
          </cell>
          <cell r="J1525" t="str">
            <v>https://dl.smwcentral.net/37602/Second%20Nature.zip</v>
          </cell>
        </row>
        <row r="1526">
          <cell r="A1526" t="str">
            <v>Secret of Mario</v>
          </cell>
          <cell r="B1526" t="str">
            <v>Secret of Mario</v>
          </cell>
          <cell r="C1526" t="str">
            <v>dtothefourth</v>
          </cell>
          <cell r="D1526">
            <v>0</v>
          </cell>
          <cell r="E1526" t="str">
            <v>Advanced</v>
          </cell>
          <cell r="F1526" t="str">
            <v>Kaizo</v>
          </cell>
          <cell r="G1526">
            <v>43641</v>
          </cell>
          <cell r="H1526" t="str">
            <v>20200</v>
          </cell>
          <cell r="I1526" t="str">
            <v>https://www.smwcentral.net/?a=details&amp;id=20200&amp;p=section</v>
          </cell>
          <cell r="J1526" t="str">
            <v>https://dl.smwcentral.net/20200/Secret_Of_Mario.zip</v>
          </cell>
        </row>
        <row r="1527">
          <cell r="A1527" t="str">
            <v>Seek the Discrepancy</v>
          </cell>
          <cell r="B1527" t="str">
            <v>Seek the Discrepancy</v>
          </cell>
          <cell r="C1527" t="str">
            <v>Fyre150</v>
          </cell>
          <cell r="D1527">
            <v>15</v>
          </cell>
          <cell r="E1527" t="str">
            <v>Casual</v>
          </cell>
          <cell r="F1527" t="str">
            <v>Standard, Puzzle</v>
          </cell>
          <cell r="G1527">
            <v>45049</v>
          </cell>
          <cell r="H1527" t="str">
            <v>33861</v>
          </cell>
          <cell r="I1527" t="str">
            <v>https://www.smwcentral.net/?a=details&amp;id=33861&amp;p=section</v>
          </cell>
          <cell r="J1527" t="str">
            <v>https://dl.smwcentral.net/33861/SeekTheDiscrepancy.zip</v>
          </cell>
        </row>
        <row r="1528">
          <cell r="A1528" t="str">
            <v>Send Your Regrets to the Czar</v>
          </cell>
          <cell r="B1528" t="str">
            <v>Send Your Regrets to the Czar</v>
          </cell>
          <cell r="C1528" t="str">
            <v>JUMP Team, Koopster</v>
          </cell>
          <cell r="D1528">
            <v>24</v>
          </cell>
          <cell r="E1528" t="str">
            <v>Master</v>
          </cell>
          <cell r="F1528" t="str">
            <v>Kaizo</v>
          </cell>
          <cell r="G1528">
            <v>44592</v>
          </cell>
          <cell r="H1528" t="str">
            <v>29645</v>
          </cell>
          <cell r="I1528" t="str">
            <v>https://www.smwcentral.net/?a=details&amp;id=29645&amp;p=section</v>
          </cell>
          <cell r="J1528" t="str">
            <v>https://dl.smwcentral.net/29645/Send%20Your%20Regrets%20to%20the%20Czar%20v1.2.zip</v>
          </cell>
        </row>
        <row r="1529">
          <cell r="A1529" t="str">
            <v>Sendy's World</v>
          </cell>
          <cell r="B1529" t="str">
            <v>Sendy's World</v>
          </cell>
          <cell r="C1529" t="str">
            <v>Sendy</v>
          </cell>
          <cell r="D1529">
            <v>27</v>
          </cell>
          <cell r="E1529" t="str">
            <v>Intermediate</v>
          </cell>
          <cell r="F1529" t="str">
            <v>Standard</v>
          </cell>
          <cell r="G1529">
            <v>41580</v>
          </cell>
          <cell r="H1529" t="str">
            <v>5074</v>
          </cell>
          <cell r="I1529" t="str">
            <v>https://www.smwcentral.net/?a=details&amp;id=5074&amp;p=section</v>
          </cell>
          <cell r="J1529" t="str">
            <v>https://dl.smwcentral.net/5074/sendysworldv0.3.zip</v>
          </cell>
        </row>
        <row r="1530">
          <cell r="A1530" t="str">
            <v>Separate Ways Remastered</v>
          </cell>
          <cell r="B1530" t="str">
            <v>Separate Ways Remastered</v>
          </cell>
          <cell r="C1530" t="str">
            <v>mmmdoggy</v>
          </cell>
          <cell r="D1530">
            <v>14</v>
          </cell>
          <cell r="E1530" t="str">
            <v>Advanced</v>
          </cell>
          <cell r="F1530" t="str">
            <v>Kaizo</v>
          </cell>
          <cell r="G1530">
            <v>45634</v>
          </cell>
          <cell r="H1530" t="str">
            <v>38878</v>
          </cell>
          <cell r="I1530" t="str">
            <v>https://www.smwcentral.net/?a=details&amp;id=38878&amp;p=section</v>
          </cell>
          <cell r="J1530" t="str">
            <v>https://dl.smwcentral.net/38878/Separate%20Ways%20Remastered.zip</v>
          </cell>
        </row>
        <row r="1531">
          <cell r="A1531" t="str">
            <v>Seven Cursed Eggs</v>
          </cell>
          <cell r="B1531" t="str">
            <v>Seven Cursed Eggs</v>
          </cell>
          <cell r="C1531" t="str">
            <v>SyStemkraSh</v>
          </cell>
          <cell r="D1531">
            <v>10</v>
          </cell>
          <cell r="E1531" t="str">
            <v>Casual</v>
          </cell>
          <cell r="F1531" t="str">
            <v>Standard</v>
          </cell>
          <cell r="G1531">
            <v>41451</v>
          </cell>
          <cell r="H1531" t="str">
            <v>5099</v>
          </cell>
          <cell r="I1531" t="str">
            <v>https://www.smwcentral.net/?a=details&amp;id=5099&amp;p=section</v>
          </cell>
          <cell r="J1531" t="str">
            <v>https://dl.smwcentral.net/5099/Seven%20Cursed%20Eggs.zip</v>
          </cell>
        </row>
        <row r="1532">
          <cell r="A1532" t="str">
            <v>Seven Vanilla Levels</v>
          </cell>
          <cell r="B1532" t="str">
            <v>Seven Vanilla Levels</v>
          </cell>
          <cell r="C1532" t="str">
            <v>Stivi</v>
          </cell>
          <cell r="D1532">
            <v>9</v>
          </cell>
          <cell r="E1532" t="str">
            <v>Intermediate</v>
          </cell>
          <cell r="F1532" t="str">
            <v>Standard</v>
          </cell>
          <cell r="G1532">
            <v>45352</v>
          </cell>
          <cell r="H1532" t="str">
            <v>37146</v>
          </cell>
          <cell r="I1532" t="str">
            <v>https://www.smwcentral.net/?a=details&amp;id=37146&amp;p=section</v>
          </cell>
          <cell r="J1532" t="str">
            <v>https://dl.smwcentral.net/37146/Seven_Vanilla_Levels.zip</v>
          </cell>
        </row>
        <row r="1533">
          <cell r="A1533" t="str">
            <v>Shadow of the Mountain</v>
          </cell>
          <cell r="B1533" t="str">
            <v>Shadow of the Mountain</v>
          </cell>
          <cell r="C1533" t="str">
            <v>Firstnamebutt</v>
          </cell>
          <cell r="D1533">
            <v>17</v>
          </cell>
          <cell r="E1533" t="str">
            <v>Advanced</v>
          </cell>
          <cell r="F1533" t="str">
            <v>Kaizo</v>
          </cell>
          <cell r="G1533">
            <v>45938</v>
          </cell>
          <cell r="H1533" t="str">
            <v>40746</v>
          </cell>
          <cell r="I1533" t="str">
            <v>https://www.smwcentral.net/?a=details&amp;id=40746&amp;p=section</v>
          </cell>
          <cell r="J1533" t="str">
            <v>https://dl.smwcentral.net/40746/SOTM.zip</v>
          </cell>
        </row>
        <row r="1534">
          <cell r="A1534" t="str">
            <v>Shallow and Pedantic</v>
          </cell>
          <cell r="B1534" t="str">
            <v>Shallow and Pedantic</v>
          </cell>
          <cell r="C1534" t="str">
            <v>cur, detdu</v>
          </cell>
          <cell r="D1534">
            <v>5</v>
          </cell>
          <cell r="E1534" t="str">
            <v>Expert</v>
          </cell>
          <cell r="F1534" t="str">
            <v>Kaizo</v>
          </cell>
          <cell r="G1534">
            <v>44565</v>
          </cell>
          <cell r="H1534" t="str">
            <v>29143</v>
          </cell>
          <cell r="I1534" t="str">
            <v>https://www.smwcentral.net/?a=details&amp;id=29143&amp;p=section</v>
          </cell>
          <cell r="J1534" t="str">
            <v>https://dl.smwcentral.net/29143/Shallow%20and%20Pedantic.zip</v>
          </cell>
        </row>
        <row r="1535">
          <cell r="A1535" t="str">
            <v>Shallow Pits</v>
          </cell>
          <cell r="B1535" t="str">
            <v>Shallow Pits</v>
          </cell>
          <cell r="C1535" t="str">
            <v>AmperSam</v>
          </cell>
          <cell r="D1535">
            <v>1</v>
          </cell>
          <cell r="E1535" t="str">
            <v>Master</v>
          </cell>
          <cell r="F1535" t="str">
            <v>Kaizo</v>
          </cell>
          <cell r="G1535">
            <v>44412</v>
          </cell>
          <cell r="H1535" t="str">
            <v>27874</v>
          </cell>
          <cell r="I1535" t="str">
            <v>https://www.smwcentral.net/?a=details&amp;id=27874&amp;p=section</v>
          </cell>
          <cell r="J1535" t="str">
            <v>https://dl.smwcentral.net/27874/ShallowPits.v1.1.zip</v>
          </cell>
        </row>
        <row r="1536">
          <cell r="A1536" t="str">
            <v>Shallow Pits 2</v>
          </cell>
          <cell r="B1536" t="str">
            <v>Shallow Pits 2</v>
          </cell>
          <cell r="C1536" t="str">
            <v>AmperSam</v>
          </cell>
          <cell r="D1536">
            <v>1</v>
          </cell>
          <cell r="E1536" t="str">
            <v>Expert</v>
          </cell>
          <cell r="F1536" t="str">
            <v>Kaizo</v>
          </cell>
          <cell r="G1536">
            <v>44853</v>
          </cell>
          <cell r="H1536" t="str">
            <v>32256</v>
          </cell>
          <cell r="I1536" t="str">
            <v>https://www.smwcentral.net/?a=details&amp;id=32256&amp;p=section</v>
          </cell>
          <cell r="J1536" t="str">
            <v>https://dl.smwcentral.net/32256/Pits2_v1.1.zip</v>
          </cell>
        </row>
        <row r="1537">
          <cell r="A1537" t="str">
            <v>Shattered Land</v>
          </cell>
          <cell r="B1537" t="str">
            <v>Shattered Land</v>
          </cell>
          <cell r="C1537" t="str">
            <v>random_box</v>
          </cell>
          <cell r="D1537">
            <v>5</v>
          </cell>
          <cell r="E1537" t="str">
            <v>Expert</v>
          </cell>
          <cell r="F1537" t="str">
            <v>Kaizo</v>
          </cell>
          <cell r="G1537">
            <v>44557</v>
          </cell>
          <cell r="H1537" t="str">
            <v>28509</v>
          </cell>
          <cell r="I1537" t="str">
            <v>https://www.smwcentral.net/?a=details&amp;id=28509&amp;p=section</v>
          </cell>
          <cell r="J1537" t="str">
            <v>https://dl.smwcentral.net/28509/Shattered%20Land%201.3.zip</v>
          </cell>
        </row>
        <row r="1538">
          <cell r="A1538" t="str">
            <v>SHATTERED PLAINS</v>
          </cell>
          <cell r="B1538" t="str">
            <v>SHATTERED PLAINS</v>
          </cell>
          <cell r="C1538" t="str">
            <v>ageVerrly</v>
          </cell>
          <cell r="D1538">
            <v>0</v>
          </cell>
          <cell r="E1538" t="str">
            <v>Master</v>
          </cell>
          <cell r="F1538" t="str">
            <v>Standard</v>
          </cell>
          <cell r="G1538">
            <v>45182</v>
          </cell>
          <cell r="H1538" t="str">
            <v>34840</v>
          </cell>
          <cell r="I1538" t="str">
            <v>https://www.smwcentral.net/?a=details&amp;id=34840&amp;p=section</v>
          </cell>
          <cell r="J1538" t="str">
            <v>https://dl.smwcentral.net/34840/plains.zip</v>
          </cell>
        </row>
        <row r="1539">
          <cell r="A1539" t="str">
            <v>Sheffy 99</v>
          </cell>
          <cell r="B1539" t="str">
            <v>Sheffy 99</v>
          </cell>
          <cell r="C1539" t="str">
            <v>51690</v>
          </cell>
          <cell r="D1539">
            <v>8</v>
          </cell>
          <cell r="E1539" t="str">
            <v>Master</v>
          </cell>
          <cell r="F1539" t="str">
            <v>Kaizo</v>
          </cell>
          <cell r="G1539">
            <v>44613</v>
          </cell>
          <cell r="H1539" t="str">
            <v>29776</v>
          </cell>
          <cell r="I1539" t="str">
            <v>https://www.smwcentral.net/?a=details&amp;id=29776&amp;p=section</v>
          </cell>
          <cell r="J1539" t="str">
            <v>https://dl.smwcentral.net/29776/sheffy%2099%20v1.1.zip</v>
          </cell>
        </row>
        <row r="1540">
          <cell r="A1540" t="str">
            <v>Shell is Cool</v>
          </cell>
          <cell r="B1540" t="str">
            <v>Shell is Cool</v>
          </cell>
          <cell r="C1540" t="str">
            <v>Deivid Borba</v>
          </cell>
          <cell r="D1540">
            <v>8</v>
          </cell>
          <cell r="E1540" t="str">
            <v>Expert</v>
          </cell>
          <cell r="F1540" t="str">
            <v>Kaizo</v>
          </cell>
          <cell r="G1540">
            <v>44216</v>
          </cell>
          <cell r="H1540" t="str">
            <v>25999</v>
          </cell>
          <cell r="I1540" t="str">
            <v>https://www.smwcentral.net/?a=details&amp;id=25999&amp;p=section</v>
          </cell>
          <cell r="J1540" t="str">
            <v>https://dl.smwcentral.net/25999/Shell%20is%20Cool.zip</v>
          </cell>
        </row>
        <row r="1541">
          <cell r="A1541" t="str">
            <v>Shell Motel</v>
          </cell>
          <cell r="B1541" t="str">
            <v>Shell Motel</v>
          </cell>
          <cell r="C1541" t="str">
            <v>Riu_69</v>
          </cell>
          <cell r="D1541">
            <v>1</v>
          </cell>
          <cell r="E1541" t="str">
            <v>Advanced</v>
          </cell>
          <cell r="F1541" t="str">
            <v>Kaizo</v>
          </cell>
          <cell r="G1541">
            <v>46004</v>
          </cell>
          <cell r="H1541" t="str">
            <v>41263</v>
          </cell>
          <cell r="I1541" t="str">
            <v>https://www.smwcentral.net/?a=details&amp;id=41263&amp;p=section</v>
          </cell>
          <cell r="J1541" t="str">
            <v>https://dl.smwcentral.net/41263/Shell%20Motel.zip</v>
          </cell>
        </row>
        <row r="1542">
          <cell r="A1542" t="str">
            <v>Shell Or Die</v>
          </cell>
          <cell r="B1542" t="str">
            <v>Shell Or Die</v>
          </cell>
          <cell r="C1542" t="str">
            <v>BielDusty</v>
          </cell>
          <cell r="D1542">
            <v>15</v>
          </cell>
          <cell r="E1542" t="str">
            <v>Master</v>
          </cell>
          <cell r="F1542" t="str">
            <v>Kaizo</v>
          </cell>
          <cell r="G1542">
            <v>46157</v>
          </cell>
          <cell r="H1542" t="str">
            <v>42160</v>
          </cell>
          <cell r="I1542" t="str">
            <v>https://www.smwcentral.net/?a=details&amp;id=42160&amp;p=section</v>
          </cell>
          <cell r="J1542" t="str">
            <v>https://dl.smwcentral.net/42160/ShellOrDie.zip</v>
          </cell>
        </row>
        <row r="1543">
          <cell r="A1543" t="str">
            <v>Shell Out</v>
          </cell>
          <cell r="B1543" t="str">
            <v>Shell Out</v>
          </cell>
          <cell r="C1543" t="str">
            <v>kaigem</v>
          </cell>
          <cell r="D1543">
            <v>1</v>
          </cell>
          <cell r="E1543" t="str">
            <v>Expert</v>
          </cell>
          <cell r="F1543" t="str">
            <v>Kaizo</v>
          </cell>
          <cell r="G1543">
            <v>44198</v>
          </cell>
          <cell r="H1543" t="str">
            <v>25586</v>
          </cell>
          <cell r="I1543" t="str">
            <v>https://www.smwcentral.net/?a=details&amp;id=25586&amp;p=section</v>
          </cell>
          <cell r="J1543" t="str">
            <v>https://dl.smwcentral.net/25586/Shell%20Out.zip</v>
          </cell>
        </row>
        <row r="1544">
          <cell r="A1544" t="str">
            <v>Shell Reaper</v>
          </cell>
          <cell r="B1544" t="str">
            <v>Shell Reaper</v>
          </cell>
          <cell r="C1544" t="str">
            <v>Ryuoxel, mtheordinarygamer</v>
          </cell>
          <cell r="D1544">
            <v>6</v>
          </cell>
          <cell r="E1544" t="str">
            <v>Master</v>
          </cell>
          <cell r="F1544" t="str">
            <v>Kaizo</v>
          </cell>
          <cell r="G1544">
            <v>45492</v>
          </cell>
          <cell r="H1544" t="str">
            <v>38108</v>
          </cell>
          <cell r="I1544" t="str">
            <v>https://www.smwcentral.net/?a=details&amp;id=38108&amp;p=section</v>
          </cell>
          <cell r="J1544" t="str">
            <v>https://dl.smwcentral.net/38108/Shell%20Reaper.zip</v>
          </cell>
        </row>
        <row r="1545">
          <cell r="A1545" t="str">
            <v>Shell'S 4 KidUlt'S</v>
          </cell>
          <cell r="B1545" t="str">
            <v>Shell'S 4 KidUlt'S</v>
          </cell>
          <cell r="C1545" t="str">
            <v>nets</v>
          </cell>
          <cell r="D1545">
            <v>4</v>
          </cell>
          <cell r="E1545" t="str">
            <v>Expert</v>
          </cell>
          <cell r="F1545" t="str">
            <v>Kaizo</v>
          </cell>
          <cell r="G1545">
            <v>46041</v>
          </cell>
          <cell r="H1545" t="str">
            <v>41448</v>
          </cell>
          <cell r="I1545" t="str">
            <v>https://www.smwcentral.net/?a=details&amp;id=41448&amp;p=section</v>
          </cell>
          <cell r="J1545" t="str">
            <v>https://dl.smwcentral.net/41448/SHELLS%204%20KIDULTS%20BY%20N3TS.zip</v>
          </cell>
        </row>
        <row r="1546">
          <cell r="A1546" t="str">
            <v>Shell's Redeemer</v>
          </cell>
          <cell r="B1546" t="str">
            <v>Shell's Redeemer</v>
          </cell>
          <cell r="C1546" t="str">
            <v>Cartesius</v>
          </cell>
          <cell r="D1546">
            <v>12</v>
          </cell>
          <cell r="E1546" t="str">
            <v>Expert</v>
          </cell>
          <cell r="F1546" t="str">
            <v>Kaizo</v>
          </cell>
          <cell r="G1546">
            <v>44096</v>
          </cell>
          <cell r="H1546" t="str">
            <v>24544</v>
          </cell>
          <cell r="I1546" t="str">
            <v>https://www.smwcentral.net/?a=details&amp;id=24544&amp;p=section</v>
          </cell>
          <cell r="J1546" t="str">
            <v>https://dl.smwcentral.net/24544/redeemer.zip</v>
          </cell>
        </row>
        <row r="1547">
          <cell r="A1547" t="str">
            <v>Shell's Retriever</v>
          </cell>
          <cell r="B1547" t="str">
            <v>Shell's Retriever</v>
          </cell>
          <cell r="C1547" t="str">
            <v>Cartesius</v>
          </cell>
          <cell r="D1547">
            <v>7</v>
          </cell>
          <cell r="E1547" t="str">
            <v>Expert</v>
          </cell>
          <cell r="F1547" t="str">
            <v>Kaizo</v>
          </cell>
          <cell r="G1547">
            <v>43486</v>
          </cell>
          <cell r="H1547" t="str">
            <v>18729</v>
          </cell>
          <cell r="I1547" t="str">
            <v>https://www.smwcentral.net/?a=details&amp;id=18729&amp;p=section</v>
          </cell>
          <cell r="J1547" t="str">
            <v>https://dl.smwcentral.net/18729/shellsretriever.zip</v>
          </cell>
        </row>
        <row r="1548">
          <cell r="A1548" t="str">
            <v>Shella Sick (A Hella Sick Shell Hack)</v>
          </cell>
          <cell r="B1548" t="str">
            <v>Shella Sick (A Hella Sick Shell Hack)</v>
          </cell>
          <cell r="C1548" t="str">
            <v>JeepySol</v>
          </cell>
          <cell r="D1548">
            <v>14</v>
          </cell>
          <cell r="E1548" t="str">
            <v>Expert</v>
          </cell>
          <cell r="F1548" t="str">
            <v>Kaizo</v>
          </cell>
          <cell r="G1548">
            <v>46180</v>
          </cell>
          <cell r="H1548" t="str">
            <v>42489</v>
          </cell>
          <cell r="I1548" t="str">
            <v>https://www.smwcentral.net/?a=details&amp;id=42489&amp;p=section</v>
          </cell>
          <cell r="J1548" t="str">
            <v>https://dl.smwcentral.net/42489/Shella%20Sick%20%28A%20Hella%20Sick%20Shell%20Hack%29%20v1_1.zip</v>
          </cell>
        </row>
        <row r="1549">
          <cell r="A1549" t="str">
            <v>Shellab</v>
          </cell>
          <cell r="B1549" t="str">
            <v>Shellab</v>
          </cell>
          <cell r="C1549" t="str">
            <v>Cracka, Firstnamebutt, Inflagrandy, Saphros, SwiggittyWiggitty, bald_ridge, l337f00l, mtheordinarygamer, neidoodle, xMANGRAVYx</v>
          </cell>
          <cell r="D1549">
            <v>10</v>
          </cell>
          <cell r="E1549" t="str">
            <v>Expert</v>
          </cell>
          <cell r="F1549" t="str">
            <v>Kaizo</v>
          </cell>
          <cell r="G1549">
            <v>45977</v>
          </cell>
          <cell r="H1549" t="str">
            <v>41048</v>
          </cell>
          <cell r="I1549" t="str">
            <v>https://www.smwcentral.net/?a=details&amp;id=41048&amp;p=section</v>
          </cell>
          <cell r="J1549" t="str">
            <v>https://dl.smwcentral.net/41048/Shellab.zip</v>
          </cell>
        </row>
        <row r="1550">
          <cell r="A1550" t="str">
            <v>Shellax</v>
          </cell>
          <cell r="B1550" t="str">
            <v>Shellax</v>
          </cell>
          <cell r="C1550" t="str">
            <v>Fryinb</v>
          </cell>
          <cell r="D1550">
            <v>7</v>
          </cell>
          <cell r="E1550" t="str">
            <v>Expert</v>
          </cell>
          <cell r="F1550" t="str">
            <v>Kaizo</v>
          </cell>
          <cell r="G1550">
            <v>44317</v>
          </cell>
          <cell r="H1550" t="str">
            <v>26886</v>
          </cell>
          <cell r="I1550" t="str">
            <v>https://www.smwcentral.net/?a=details&amp;id=26886&amp;p=section</v>
          </cell>
          <cell r="J1550" t="str">
            <v>https://dl.smwcentral.net/26886/Shellax1.1.zip</v>
          </cell>
        </row>
        <row r="1551">
          <cell r="A1551" t="str">
            <v>Shellenge</v>
          </cell>
          <cell r="B1551" t="str">
            <v>Shellenge</v>
          </cell>
          <cell r="C1551" t="str">
            <v>Saphros</v>
          </cell>
          <cell r="D1551">
            <v>11</v>
          </cell>
          <cell r="E1551" t="str">
            <v>Advanced</v>
          </cell>
          <cell r="F1551" t="str">
            <v>Kaizo</v>
          </cell>
          <cell r="G1551">
            <v>45935</v>
          </cell>
          <cell r="H1551" t="str">
            <v>40736</v>
          </cell>
          <cell r="I1551" t="str">
            <v>https://www.smwcentral.net/?a=details&amp;id=40736&amp;p=section</v>
          </cell>
          <cell r="J1551" t="str">
            <v>https://dl.smwcentral.net/40736/Shellenge.zip</v>
          </cell>
        </row>
        <row r="1552">
          <cell r="A1552" t="str">
            <v>Shello</v>
          </cell>
          <cell r="B1552" t="str">
            <v>Shello</v>
          </cell>
          <cell r="C1552" t="str">
            <v>Inflagrandy</v>
          </cell>
          <cell r="D1552">
            <v>12</v>
          </cell>
          <cell r="E1552" t="str">
            <v>Expert</v>
          </cell>
          <cell r="F1552" t="str">
            <v>Kaizo</v>
          </cell>
          <cell r="G1552">
            <v>45516</v>
          </cell>
          <cell r="H1552" t="str">
            <v>38203</v>
          </cell>
          <cell r="I1552" t="str">
            <v>https://www.smwcentral.net/?a=details&amp;id=38203&amp;p=section</v>
          </cell>
          <cell r="J1552" t="str">
            <v>https://dl.smwcentral.net/38203/Shello.zip</v>
          </cell>
        </row>
        <row r="1553">
          <cell r="A1553" t="str">
            <v>Shelloween</v>
          </cell>
          <cell r="B1553" t="str">
            <v>Shelloween</v>
          </cell>
          <cell r="C1553" t="str">
            <v>Steffi4689Lol</v>
          </cell>
          <cell r="D1553">
            <v>10</v>
          </cell>
          <cell r="E1553" t="str">
            <v>Advanced</v>
          </cell>
          <cell r="F1553" t="str">
            <v>Kaizo</v>
          </cell>
          <cell r="G1553">
            <v>44900</v>
          </cell>
          <cell r="H1553" t="str">
            <v>32697</v>
          </cell>
          <cell r="I1553" t="str">
            <v>https://www.smwcentral.net/?a=details&amp;id=32697&amp;p=section</v>
          </cell>
          <cell r="J1553" t="str">
            <v>https://dl.smwcentral.net/32697/Shelloween.zip</v>
          </cell>
        </row>
        <row r="1554">
          <cell r="A1554" t="str">
            <v>Shells 3 &amp; Knuckles</v>
          </cell>
          <cell r="B1554" t="str">
            <v>Shells 3 &amp; Knuckles</v>
          </cell>
          <cell r="C1554" t="str">
            <v>TheGremlin</v>
          </cell>
          <cell r="D1554">
            <v>8</v>
          </cell>
          <cell r="E1554" t="str">
            <v>Expert</v>
          </cell>
          <cell r="F1554" t="str">
            <v>Kaizo</v>
          </cell>
          <cell r="G1554">
            <v>45079</v>
          </cell>
          <cell r="H1554" t="str">
            <v>34009</v>
          </cell>
          <cell r="I1554" t="str">
            <v>https://www.smwcentral.net/?a=details&amp;id=34009&amp;p=section</v>
          </cell>
          <cell r="J1554" t="str">
            <v>https://dl.smwcentral.net/34009/Shells3AndKnuckles.zip</v>
          </cell>
        </row>
        <row r="1555">
          <cell r="A1555" t="str">
            <v>Shells Delivery Deluxe</v>
          </cell>
          <cell r="B1555" t="str">
            <v>Shells Delivery Deluxe</v>
          </cell>
          <cell r="C1555" t="str">
            <v>TheMURAmatsu</v>
          </cell>
          <cell r="D1555">
            <v>8</v>
          </cell>
          <cell r="E1555" t="str">
            <v>Advanced</v>
          </cell>
          <cell r="F1555" t="str">
            <v>Kaizo</v>
          </cell>
          <cell r="G1555">
            <v>44185</v>
          </cell>
          <cell r="H1555" t="str">
            <v>25495</v>
          </cell>
          <cell r="I1555" t="str">
            <v>https://www.smwcentral.net/?a=details&amp;id=25495&amp;p=section</v>
          </cell>
          <cell r="J1555" t="str">
            <v>https://dl.smwcentral.net/25495/ShellsDeliveryDeluxe.zip</v>
          </cell>
        </row>
        <row r="1556">
          <cell r="A1556" t="str">
            <v>Shells Kitchen: Leos Journey</v>
          </cell>
          <cell r="B1556" t="str">
            <v>Shells Kitchen: Leos Journey</v>
          </cell>
          <cell r="C1556" t="str">
            <v>Saphros</v>
          </cell>
          <cell r="D1556">
            <v>10</v>
          </cell>
          <cell r="E1556" t="str">
            <v>Intermediate</v>
          </cell>
          <cell r="F1556" t="str">
            <v>Kaizo</v>
          </cell>
          <cell r="G1556">
            <v>45436</v>
          </cell>
          <cell r="H1556" t="str">
            <v>37822</v>
          </cell>
          <cell r="I1556" t="str">
            <v>https://www.smwcentral.net/?a=details&amp;id=37822&amp;p=section</v>
          </cell>
          <cell r="J1556" t="str">
            <v>https://dl.smwcentral.net/37822/ShellsKitchen_Leos_Journey.zip</v>
          </cell>
        </row>
        <row r="1557">
          <cell r="A1557" t="str">
            <v>Shells Kitchen: Nicos Journey</v>
          </cell>
          <cell r="B1557" t="str">
            <v>Shells Kitchen: Nicos Journey</v>
          </cell>
          <cell r="C1557" t="str">
            <v>Saphros</v>
          </cell>
          <cell r="D1557">
            <v>10</v>
          </cell>
          <cell r="E1557" t="str">
            <v>Advanced</v>
          </cell>
          <cell r="F1557" t="str">
            <v>Kaizo</v>
          </cell>
          <cell r="G1557">
            <v>45429</v>
          </cell>
          <cell r="H1557" t="str">
            <v>37792</v>
          </cell>
          <cell r="I1557" t="str">
            <v>https://www.smwcentral.net/?a=details&amp;id=37792&amp;p=section</v>
          </cell>
          <cell r="J1557" t="str">
            <v>https://dl.smwcentral.net/37792/ShellsKitchen_Nicos_Journey_v1.0.zip</v>
          </cell>
        </row>
        <row r="1558">
          <cell r="A1558" t="str">
            <v>Shellshock</v>
          </cell>
          <cell r="B1558" t="str">
            <v>Shellshock</v>
          </cell>
          <cell r="C1558" t="str">
            <v>Riu_69</v>
          </cell>
          <cell r="D1558">
            <v>9</v>
          </cell>
          <cell r="E1558" t="str">
            <v>Grandmaster</v>
          </cell>
          <cell r="F1558" t="str">
            <v>Kaizo</v>
          </cell>
          <cell r="G1558">
            <v>46083</v>
          </cell>
          <cell r="H1558" t="str">
            <v>41542</v>
          </cell>
          <cell r="I1558" t="str">
            <v>https://www.smwcentral.net/?a=details&amp;id=41542&amp;p=section</v>
          </cell>
          <cell r="J1558" t="str">
            <v>https://dl.smwcentral.net/41542/Shellshock%20V%201.3.zip</v>
          </cell>
        </row>
        <row r="1559">
          <cell r="A1559" t="str">
            <v>Shelltopia</v>
          </cell>
          <cell r="B1559" t="str">
            <v>Shelltopia</v>
          </cell>
          <cell r="C1559" t="str">
            <v>Vidli</v>
          </cell>
          <cell r="D1559">
            <v>9</v>
          </cell>
          <cell r="E1559" t="str">
            <v>Advanced</v>
          </cell>
          <cell r="F1559" t="str">
            <v>Kaizo</v>
          </cell>
          <cell r="G1559">
            <v>44991</v>
          </cell>
          <cell r="H1559" t="str">
            <v>33434</v>
          </cell>
          <cell r="I1559" t="str">
            <v>https://www.smwcentral.net/?a=details&amp;id=33434&amp;p=section</v>
          </cell>
          <cell r="J1559" t="str">
            <v>https://dl.smwcentral.net/33434/Shelltopia.zip</v>
          </cell>
        </row>
        <row r="1560">
          <cell r="A1560" t="str">
            <v>Shellventure</v>
          </cell>
          <cell r="B1560" t="str">
            <v>Shellventure</v>
          </cell>
          <cell r="C1560" t="str">
            <v>mikeeeeee83</v>
          </cell>
          <cell r="D1560">
            <v>9</v>
          </cell>
          <cell r="E1560" t="str">
            <v>Expert</v>
          </cell>
          <cell r="F1560" t="str">
            <v>Kaizo</v>
          </cell>
          <cell r="G1560">
            <v>45698</v>
          </cell>
          <cell r="H1560" t="str">
            <v>39179</v>
          </cell>
          <cell r="I1560" t="str">
            <v>https://www.smwcentral.net/?a=details&amp;id=39179&amp;p=section</v>
          </cell>
          <cell r="J1560" t="str">
            <v>https://dl.smwcentral.net/39179/shellventure10.zip</v>
          </cell>
        </row>
        <row r="1561">
          <cell r="A1561" t="str">
            <v>Shellz</v>
          </cell>
          <cell r="B1561" t="str">
            <v>Shellz</v>
          </cell>
          <cell r="C1561" t="str">
            <v>Bodacious_snail</v>
          </cell>
          <cell r="D1561">
            <v>9</v>
          </cell>
          <cell r="E1561" t="str">
            <v>Expert</v>
          </cell>
          <cell r="F1561" t="str">
            <v>Kaizo</v>
          </cell>
          <cell r="G1561">
            <v>44931</v>
          </cell>
          <cell r="H1561" t="str">
            <v>32877</v>
          </cell>
          <cell r="I1561" t="str">
            <v>https://www.smwcentral.net/?a=details&amp;id=32877&amp;p=section</v>
          </cell>
          <cell r="J1561" t="str">
            <v>https://dl.smwcentral.net/32877/Shellz.zip</v>
          </cell>
        </row>
        <row r="1562">
          <cell r="A1562" t="str">
            <v>SHINE</v>
          </cell>
          <cell r="B1562" t="str">
            <v>SHINE</v>
          </cell>
          <cell r="C1562" t="str">
            <v>Doopu</v>
          </cell>
          <cell r="D1562">
            <v>12</v>
          </cell>
          <cell r="E1562" t="str">
            <v>Expert</v>
          </cell>
          <cell r="F1562" t="str">
            <v>Kaizo</v>
          </cell>
          <cell r="G1562">
            <v>45749</v>
          </cell>
          <cell r="H1562" t="str">
            <v>39649</v>
          </cell>
          <cell r="I1562" t="str">
            <v>https://www.smwcentral.net/?a=details&amp;id=39649&amp;p=section</v>
          </cell>
          <cell r="J1562" t="str">
            <v>https://dl.smwcentral.net/39649/SHINE%20v1.1.zip</v>
          </cell>
        </row>
        <row r="1563">
          <cell r="A1563" t="str">
            <v>Shipwrecked</v>
          </cell>
          <cell r="B1563" t="str">
            <v>Shipwrecked</v>
          </cell>
          <cell r="C1563" t="str">
            <v>GloriousWater</v>
          </cell>
          <cell r="D1563">
            <v>24</v>
          </cell>
          <cell r="E1563" t="str">
            <v>Casual</v>
          </cell>
          <cell r="F1563" t="str">
            <v>Standard</v>
          </cell>
          <cell r="G1563">
            <v>41629</v>
          </cell>
          <cell r="H1563" t="str">
            <v>5997</v>
          </cell>
          <cell r="I1563" t="str">
            <v>https://www.smwcentral.net/?a=details&amp;id=5997&amp;p=section</v>
          </cell>
          <cell r="J1563" t="str">
            <v>https://dl.smwcentral.net/5997/Shipwrecked_V1.21.zip</v>
          </cell>
        </row>
        <row r="1564">
          <cell r="A1564" t="str">
            <v>Shooey</v>
          </cell>
          <cell r="B1564" t="str">
            <v>Shooey</v>
          </cell>
          <cell r="C1564" t="str">
            <v>bald_ridge</v>
          </cell>
          <cell r="D1564">
            <v>10</v>
          </cell>
          <cell r="E1564" t="str">
            <v>Expert</v>
          </cell>
          <cell r="F1564" t="str">
            <v>Kaizo</v>
          </cell>
          <cell r="G1564">
            <v>45484</v>
          </cell>
          <cell r="H1564" t="str">
            <v>38084</v>
          </cell>
          <cell r="I1564" t="str">
            <v>https://www.smwcentral.net/?a=details&amp;id=38084&amp;p=section</v>
          </cell>
          <cell r="J1564" t="str">
            <v>https://dl.smwcentral.net/38084/Shooey.zip</v>
          </cell>
        </row>
        <row r="1565">
          <cell r="A1565" t="str">
            <v>Short 'n Sweet</v>
          </cell>
          <cell r="B1565" t="str">
            <v>Short 'n Sweet</v>
          </cell>
          <cell r="C1565" t="str">
            <v>Anonymous</v>
          </cell>
          <cell r="D1565">
            <v>7</v>
          </cell>
          <cell r="E1565" t="str">
            <v>Intermediate</v>
          </cell>
          <cell r="F1565" t="str">
            <v>Kaizo</v>
          </cell>
          <cell r="G1565">
            <v>44409</v>
          </cell>
          <cell r="H1565" t="str">
            <v>27802</v>
          </cell>
          <cell r="I1565" t="str">
            <v>https://www.smwcentral.net/?a=details&amp;id=27802&amp;p=section</v>
          </cell>
          <cell r="J1565" t="str">
            <v>https://dl.smwcentral.net/27802/Short%20%27n%20Sweet%20DemoAnon.zip</v>
          </cell>
        </row>
        <row r="1566">
          <cell r="A1566" t="str">
            <v>Short and Hard: A midair Shellhack</v>
          </cell>
          <cell r="B1566" t="str">
            <v>Short and Hard: A midair Shellhack</v>
          </cell>
          <cell r="C1566" t="str">
            <v>kurtistrydiz</v>
          </cell>
          <cell r="D1566">
            <v>19</v>
          </cell>
          <cell r="E1566" t="str">
            <v>Master</v>
          </cell>
          <cell r="F1566" t="str">
            <v>Kaizo</v>
          </cell>
          <cell r="G1566">
            <v>44933</v>
          </cell>
          <cell r="H1566" t="str">
            <v>32716</v>
          </cell>
          <cell r="I1566" t="str">
            <v>https://www.smwcentral.net/?a=details&amp;id=32716&amp;p=section</v>
          </cell>
          <cell r="J1566" t="str">
            <v>https://dl.smwcentral.net/32716/ShortnHard%20v1.3.zip</v>
          </cell>
        </row>
        <row r="1567">
          <cell r="A1567" t="str">
            <v>Short and Sweet</v>
          </cell>
          <cell r="B1567" t="str">
            <v>Short and Sweet</v>
          </cell>
          <cell r="C1567" t="str">
            <v>Hiroki</v>
          </cell>
          <cell r="D1567">
            <v>11</v>
          </cell>
          <cell r="E1567" t="str">
            <v>Advanced</v>
          </cell>
          <cell r="F1567" t="str">
            <v>Kaizo</v>
          </cell>
          <cell r="G1567">
            <v>44502</v>
          </cell>
          <cell r="H1567" t="str">
            <v>28657</v>
          </cell>
          <cell r="I1567" t="str">
            <v>https://www.smwcentral.net/?a=details&amp;id=28657&amp;p=section</v>
          </cell>
          <cell r="J1567" t="str">
            <v>https://dl.smwcentral.net/28657/short%20and%20sweet%20v1.2.zip</v>
          </cell>
        </row>
        <row r="1568">
          <cell r="A1568" t="str">
            <v>Short but Savage</v>
          </cell>
          <cell r="B1568" t="str">
            <v>Short but Savage</v>
          </cell>
          <cell r="C1568" t="str">
            <v>H3nt4ik4m3n</v>
          </cell>
          <cell r="D1568">
            <v>5</v>
          </cell>
          <cell r="E1568" t="str">
            <v>Master</v>
          </cell>
          <cell r="F1568" t="str">
            <v>Kaizo</v>
          </cell>
          <cell r="G1568">
            <v>45240</v>
          </cell>
          <cell r="H1568" t="str">
            <v>35462</v>
          </cell>
          <cell r="I1568" t="str">
            <v>https://www.smwcentral.net/?a=details&amp;id=35462&amp;p=section</v>
          </cell>
          <cell r="J1568" t="str">
            <v>https://dl.smwcentral.net/35462/Short%20but%20Savage.zip</v>
          </cell>
        </row>
        <row r="1569">
          <cell r="A1569" t="str">
            <v>short mario adventure</v>
          </cell>
          <cell r="B1569" t="str">
            <v>short mario adventure</v>
          </cell>
          <cell r="C1569" t="str">
            <v>Verliezer18</v>
          </cell>
          <cell r="D1569">
            <v>7</v>
          </cell>
          <cell r="E1569" t="str">
            <v>Newcomer</v>
          </cell>
          <cell r="F1569" t="str">
            <v>Standard</v>
          </cell>
          <cell r="G1569">
            <v>43305</v>
          </cell>
          <cell r="H1569" t="str">
            <v>17922</v>
          </cell>
          <cell r="I1569" t="str">
            <v>https://www.smwcentral.net/?a=details&amp;id=17922&amp;p=section</v>
          </cell>
          <cell r="J1569" t="str">
            <v>https://dl.smwcentral.net/17922/ShortMarioAdventure.zip</v>
          </cell>
        </row>
        <row r="1570">
          <cell r="A1570" t="str">
            <v>Showtime</v>
          </cell>
          <cell r="B1570" t="str">
            <v>Showtime</v>
          </cell>
          <cell r="C1570" t="str">
            <v>TheMorganah</v>
          </cell>
          <cell r="D1570">
            <v>30</v>
          </cell>
          <cell r="E1570" t="str">
            <v>Advanced</v>
          </cell>
          <cell r="F1570" t="str">
            <v>Standard</v>
          </cell>
          <cell r="G1570">
            <v>45929</v>
          </cell>
          <cell r="H1570" t="str">
            <v>40687</v>
          </cell>
          <cell r="I1570" t="str">
            <v>https://www.smwcentral.net/?a=details&amp;id=40687&amp;p=section</v>
          </cell>
          <cell r="J1570" t="str">
            <v>https://dl.smwcentral.net/40687/%5B2025%5D%20Showtime%20v1.7%20%28U%29.zip</v>
          </cell>
        </row>
        <row r="1571">
          <cell r="A1571" t="str">
            <v>Shy Guy's Adventure</v>
          </cell>
          <cell r="B1571" t="str">
            <v>Shy Guy's Adventure</v>
          </cell>
          <cell r="C1571" t="str">
            <v>K3fka</v>
          </cell>
          <cell r="D1571">
            <v>5</v>
          </cell>
          <cell r="E1571" t="str">
            <v>Casual</v>
          </cell>
          <cell r="F1571" t="str">
            <v>Standard</v>
          </cell>
          <cell r="G1571">
            <v>41527</v>
          </cell>
          <cell r="H1571" t="str">
            <v>5533</v>
          </cell>
          <cell r="I1571" t="str">
            <v>https://www.smwcentral.net/?a=details&amp;id=5533&amp;p=section</v>
          </cell>
          <cell r="J1571" t="str">
            <v>https://dl.smwcentral.net/5533/Shy%20Guy%27s%20Adventure%20C3%20Demo.zip</v>
          </cell>
        </row>
        <row r="1572">
          <cell r="A1572" t="str">
            <v>Shy-Guy Quest</v>
          </cell>
          <cell r="B1572" t="str">
            <v>Shy-Guy Quest</v>
          </cell>
          <cell r="C1572" t="str">
            <v>DgBarca</v>
          </cell>
          <cell r="D1572">
            <v>6</v>
          </cell>
          <cell r="E1572" t="str">
            <v>Casual</v>
          </cell>
          <cell r="F1572" t="str">
            <v>Standard</v>
          </cell>
          <cell r="G1572">
            <v>42329</v>
          </cell>
          <cell r="H1572" t="str">
            <v>9651</v>
          </cell>
          <cell r="I1572" t="str">
            <v>https://www.smwcentral.net/?a=details&amp;id=9651&amp;p=section</v>
          </cell>
          <cell r="J1572" t="str">
            <v>https://dl.smwcentral.net/9651/Shy-Guy_Quest_C3.zip</v>
          </cell>
        </row>
        <row r="1573">
          <cell r="A1573" t="str">
            <v>ShyGuy Kaizo Dream</v>
          </cell>
          <cell r="B1573" t="str">
            <v>ShyGuy Kaizo Dream</v>
          </cell>
          <cell r="C1573" t="str">
            <v>P1JDS</v>
          </cell>
          <cell r="D1573">
            <v>8</v>
          </cell>
          <cell r="E1573" t="str">
            <v>Expert</v>
          </cell>
          <cell r="F1573" t="str">
            <v>Kaizo</v>
          </cell>
          <cell r="G1573">
            <v>44211</v>
          </cell>
          <cell r="H1573" t="str">
            <v>25911</v>
          </cell>
          <cell r="I1573" t="str">
            <v>https://www.smwcentral.net/?a=details&amp;id=25911&amp;p=section</v>
          </cell>
          <cell r="J1573" t="str">
            <v>https://dl.smwcentral.net/25911/ShyGuyKaizoDream1.2.zip</v>
          </cell>
        </row>
        <row r="1574">
          <cell r="A1574" t="str">
            <v>ShyGuy Kaizo Dream 2 - Shy Guy's Awakening</v>
          </cell>
          <cell r="B1574" t="str">
            <v>ShyGuy Kaizo Dream 2 - Shy Guy's Awakening</v>
          </cell>
          <cell r="C1574" t="str">
            <v>P1JDS</v>
          </cell>
          <cell r="D1574">
            <v>20</v>
          </cell>
          <cell r="E1574" t="str">
            <v>Expert</v>
          </cell>
          <cell r="F1574" t="str">
            <v>Kaizo</v>
          </cell>
          <cell r="G1574">
            <v>44593</v>
          </cell>
          <cell r="H1574" t="str">
            <v>29653</v>
          </cell>
          <cell r="I1574" t="str">
            <v>https://www.smwcentral.net/?a=details&amp;id=29653&amp;p=section</v>
          </cell>
          <cell r="J1574" t="str">
            <v>https://dl.smwcentral.net/29653/ShyGuy%20Kaizo%20Dream%202%20-%20Shy%20Guy%27s%20Awakening%201.1.zip</v>
          </cell>
        </row>
        <row r="1575">
          <cell r="A1575" t="str">
            <v>Sicari</v>
          </cell>
          <cell r="B1575" t="str">
            <v>Sicari</v>
          </cell>
          <cell r="C1575" t="str">
            <v>Eevee</v>
          </cell>
          <cell r="D1575">
            <v>35</v>
          </cell>
          <cell r="E1575" t="str">
            <v>Casual</v>
          </cell>
          <cell r="F1575" t="str">
            <v>Standard</v>
          </cell>
          <cell r="G1575">
            <v>41609</v>
          </cell>
          <cell r="H1575" t="str">
            <v>5950</v>
          </cell>
          <cell r="I1575" t="str">
            <v>https://www.smwcentral.net/?a=details&amp;id=5950&amp;p=section</v>
          </cell>
          <cell r="J1575" t="str">
            <v>https://dl.smwcentral.net/5950/Sicari.zip</v>
          </cell>
        </row>
        <row r="1576">
          <cell r="A1576" t="str">
            <v>Sicari 2 - The Brink of Time</v>
          </cell>
          <cell r="B1576" t="str">
            <v>Sicari 2 - The Brink of Time</v>
          </cell>
          <cell r="C1576" t="str">
            <v>Eevee</v>
          </cell>
          <cell r="D1576">
            <v>46</v>
          </cell>
          <cell r="E1576" t="str">
            <v>Intermediate</v>
          </cell>
          <cell r="F1576" t="str">
            <v>Standard</v>
          </cell>
          <cell r="G1576">
            <v>44862</v>
          </cell>
          <cell r="H1576" t="str">
            <v>32095</v>
          </cell>
          <cell r="I1576" t="str">
            <v>https://www.smwcentral.net/?a=details&amp;id=32095&amp;p=section</v>
          </cell>
          <cell r="J1576" t="str">
            <v>https://dl.smwcentral.net/32095/Sicari2%201.61.zip</v>
          </cell>
        </row>
        <row r="1577">
          <cell r="A1577" t="str">
            <v>Sicari Remastered</v>
          </cell>
          <cell r="B1577" t="str">
            <v>Sicari Remastered</v>
          </cell>
          <cell r="C1577" t="str">
            <v>Eevee</v>
          </cell>
          <cell r="D1577">
            <v>68</v>
          </cell>
          <cell r="E1577" t="str">
            <v>Intermediate</v>
          </cell>
          <cell r="F1577" t="str">
            <v>Standard</v>
          </cell>
          <cell r="G1577">
            <v>44236</v>
          </cell>
          <cell r="H1577" t="str">
            <v>25665</v>
          </cell>
          <cell r="I1577" t="str">
            <v>https://www.smwcentral.net/?a=details&amp;id=25665&amp;p=section</v>
          </cell>
          <cell r="J1577" t="str">
            <v>https://dl.smwcentral.net/25665/SRUpdate.zip</v>
          </cell>
        </row>
        <row r="1578">
          <cell r="A1578" t="str">
            <v>Sif World</v>
          </cell>
          <cell r="B1578" t="str">
            <v>Sif World</v>
          </cell>
          <cell r="C1578" t="str">
            <v>Erik_The_Swift</v>
          </cell>
          <cell r="D1578">
            <v>17</v>
          </cell>
          <cell r="E1578" t="str">
            <v>Expert</v>
          </cell>
          <cell r="F1578" t="str">
            <v>Kaizo</v>
          </cell>
          <cell r="G1578">
            <v>44643</v>
          </cell>
          <cell r="H1578" t="str">
            <v>30144</v>
          </cell>
          <cell r="I1578" t="str">
            <v>https://www.smwcentral.net/?a=details&amp;id=30144&amp;p=section</v>
          </cell>
          <cell r="J1578" t="str">
            <v>https://dl.smwcentral.net/30144/Sif%20World.zip</v>
          </cell>
        </row>
        <row r="1579">
          <cell r="A1579" t="str">
            <v>Signals</v>
          </cell>
          <cell r="B1579" t="str">
            <v>Signals</v>
          </cell>
          <cell r="C1579" t="str">
            <v>LightAligns, Saela</v>
          </cell>
          <cell r="D1579">
            <v>6</v>
          </cell>
          <cell r="E1579" t="str">
            <v>Expert</v>
          </cell>
          <cell r="F1579" t="str">
            <v>Kaizo</v>
          </cell>
          <cell r="G1579">
            <v>45597</v>
          </cell>
          <cell r="H1579" t="str">
            <v>38720</v>
          </cell>
          <cell r="I1579" t="str">
            <v>https://www.smwcentral.net/?a=details&amp;id=38720&amp;p=section</v>
          </cell>
          <cell r="J1579" t="str">
            <v>https://dl.smwcentral.net/38720/Signals.zip</v>
          </cell>
        </row>
        <row r="1580">
          <cell r="A1580" t="str">
            <v>Silencio</v>
          </cell>
          <cell r="B1580" t="str">
            <v>Silencio</v>
          </cell>
          <cell r="C1580" t="str">
            <v>Saela</v>
          </cell>
          <cell r="D1580">
            <v>20</v>
          </cell>
          <cell r="E1580" t="str">
            <v>Expert</v>
          </cell>
          <cell r="F1580" t="str">
            <v>Kaizo</v>
          </cell>
          <cell r="G1580">
            <v>44354</v>
          </cell>
          <cell r="H1580" t="str">
            <v>27199</v>
          </cell>
          <cell r="I1580" t="str">
            <v>https://www.smwcentral.net/?a=details&amp;id=27199&amp;p=section</v>
          </cell>
          <cell r="J1580" t="str">
            <v>https://dl.smwcentral.net/27199/Silencio1.1.zip</v>
          </cell>
        </row>
        <row r="1581">
          <cell r="A1581" t="str">
            <v>Silver level pack</v>
          </cell>
          <cell r="B1581" t="str">
            <v>Silver level pack</v>
          </cell>
          <cell r="C1581" t="str">
            <v>Silver Wind</v>
          </cell>
          <cell r="D1581">
            <v>7</v>
          </cell>
          <cell r="E1581" t="str">
            <v>Casual</v>
          </cell>
          <cell r="F1581" t="str">
            <v>Standard</v>
          </cell>
          <cell r="G1581">
            <v>44782</v>
          </cell>
          <cell r="H1581" t="str">
            <v>31747</v>
          </cell>
          <cell r="I1581" t="str">
            <v>https://www.smwcentral.net/?a=details&amp;id=31747&amp;p=section</v>
          </cell>
          <cell r="J1581" t="str">
            <v>https://dl.smwcentral.net/31747/Silver%20level%20pack.zip</v>
          </cell>
        </row>
        <row r="1582">
          <cell r="A1582" t="str">
            <v>Simpatico</v>
          </cell>
          <cell r="B1582" t="str">
            <v>Simpatico</v>
          </cell>
          <cell r="C1582" t="str">
            <v>BigRedBoy, realbchin</v>
          </cell>
          <cell r="D1582">
            <v>26</v>
          </cell>
          <cell r="E1582" t="str">
            <v>Master</v>
          </cell>
          <cell r="F1582" t="str">
            <v>Kaizo</v>
          </cell>
          <cell r="G1582">
            <v>45613</v>
          </cell>
          <cell r="H1582" t="str">
            <v>38712</v>
          </cell>
          <cell r="I1582" t="str">
            <v>https://www.smwcentral.net/?a=details&amp;id=38712&amp;p=section</v>
          </cell>
          <cell r="J1582" t="str">
            <v>https://dl.smwcentral.net/38712/simpatico.zip</v>
          </cell>
        </row>
        <row r="1583">
          <cell r="A1583" t="str">
            <v>Simple Symphony</v>
          </cell>
          <cell r="B1583" t="str">
            <v>Simple Symphony</v>
          </cell>
          <cell r="C1583" t="str">
            <v>revolug</v>
          </cell>
          <cell r="D1583">
            <v>11</v>
          </cell>
          <cell r="E1583" t="str">
            <v>Master</v>
          </cell>
          <cell r="F1583" t="str">
            <v>Kaizo</v>
          </cell>
          <cell r="G1583">
            <v>45449</v>
          </cell>
          <cell r="H1583" t="str">
            <v>37886</v>
          </cell>
          <cell r="I1583" t="str">
            <v>https://www.smwcentral.net/?a=details&amp;id=37886&amp;p=section</v>
          </cell>
          <cell r="J1583" t="str">
            <v>https://dl.smwcentral.net/37886/Simple%20Symphony%201.2%20%281%29.zip</v>
          </cell>
        </row>
        <row r="1584">
          <cell r="A1584" t="str">
            <v>Simply Delicious</v>
          </cell>
          <cell r="B1584" t="str">
            <v>Simply Delicious</v>
          </cell>
          <cell r="C1584" t="str">
            <v>Sixcorby</v>
          </cell>
          <cell r="D1584">
            <v>11</v>
          </cell>
          <cell r="E1584" t="str">
            <v>Advanced</v>
          </cell>
          <cell r="F1584" t="str">
            <v>Standard</v>
          </cell>
          <cell r="G1584">
            <v>46072</v>
          </cell>
          <cell r="H1584" t="str">
            <v>41660</v>
          </cell>
          <cell r="I1584" t="str">
            <v>https://www.smwcentral.net/?a=details&amp;id=41660&amp;p=section</v>
          </cell>
          <cell r="J1584" t="str">
            <v>https://dl.smwcentral.net/41660/simplydelicious.zip</v>
          </cell>
        </row>
        <row r="1585">
          <cell r="A1585" t="str">
            <v>Simply Kaizo</v>
          </cell>
          <cell r="B1585" t="str">
            <v>Simply Kaizo</v>
          </cell>
          <cell r="C1585" t="str">
            <v>Pottsie</v>
          </cell>
          <cell r="D1585">
            <v>11</v>
          </cell>
          <cell r="E1585" t="str">
            <v>Intermediate</v>
          </cell>
          <cell r="F1585" t="str">
            <v>Kaizo</v>
          </cell>
          <cell r="G1585">
            <v>46215</v>
          </cell>
          <cell r="H1585" t="str">
            <v>42650</v>
          </cell>
          <cell r="I1585" t="str">
            <v>https://www.smwcentral.net/?a=details&amp;id=42650&amp;p=section</v>
          </cell>
          <cell r="J1585" t="str">
            <v>https://dl.smwcentral.net/42650/Simply%20Kaizo.zip</v>
          </cell>
        </row>
        <row r="1586">
          <cell r="A1586" t="str">
            <v>Simply Mario Shells 'n Bells</v>
          </cell>
          <cell r="B1586" t="str">
            <v>Simply Mario Shells 'n Bells</v>
          </cell>
          <cell r="C1586" t="str">
            <v>Picayune</v>
          </cell>
          <cell r="D1586">
            <v>1</v>
          </cell>
          <cell r="E1586" t="str">
            <v>Expert</v>
          </cell>
          <cell r="F1586" t="str">
            <v>Kaizo</v>
          </cell>
          <cell r="G1586">
            <v>44146</v>
          </cell>
          <cell r="H1586" t="str">
            <v>24919</v>
          </cell>
          <cell r="I1586" t="str">
            <v>https://www.smwcentral.net/?a=details&amp;id=24919&amp;p=section</v>
          </cell>
          <cell r="J1586" t="str">
            <v>https://dl.smwcentral.net/24919/Simply%20Mario%20Shells%20%27n%20Bells%20Demo%20V1.1.zip</v>
          </cell>
        </row>
        <row r="1587">
          <cell r="A1587" t="str">
            <v>Single Level Collaboration</v>
          </cell>
          <cell r="B1587" t="str">
            <v>Single Level Collaboration</v>
          </cell>
          <cell r="C1587" t="str">
            <v>Various Authors</v>
          </cell>
          <cell r="D1587">
            <v>0</v>
          </cell>
          <cell r="E1587" t="str">
            <v>Intermediate</v>
          </cell>
          <cell r="F1587" t="str">
            <v>Standard</v>
          </cell>
          <cell r="G1587">
            <v>45146</v>
          </cell>
          <cell r="H1587" t="str">
            <v>34478</v>
          </cell>
          <cell r="I1587" t="str">
            <v>https://www.smwcentral.net/?a=details&amp;id=34478&amp;p=section</v>
          </cell>
          <cell r="J1587" t="str">
            <v>https://dl.smwcentral.net/34478/singlelevelcollab.zip</v>
          </cell>
        </row>
        <row r="1588">
          <cell r="A1588" t="str">
            <v>Sio's Dino Mayhem</v>
          </cell>
          <cell r="B1588" t="str">
            <v>Sio's Dino Mayhem</v>
          </cell>
          <cell r="C1588" t="str">
            <v>Super_Mike</v>
          </cell>
          <cell r="D1588">
            <v>1</v>
          </cell>
          <cell r="E1588" t="str">
            <v>Expert</v>
          </cell>
          <cell r="F1588" t="str">
            <v>Kaizo</v>
          </cell>
          <cell r="G1588">
            <v>44474</v>
          </cell>
          <cell r="H1588" t="str">
            <v>28512</v>
          </cell>
          <cell r="I1588" t="str">
            <v>https://www.smwcentral.net/?a=details&amp;id=28512&amp;p=section</v>
          </cell>
          <cell r="J1588" t="str">
            <v>https://dl.smwcentral.net/28512/Sio%27s%20Dino%20Mayhem.zip</v>
          </cell>
        </row>
        <row r="1589">
          <cell r="A1589" t="str">
            <v>SIW Cruel or Cruel Edition</v>
          </cell>
          <cell r="B1589" t="str">
            <v>SIW Cruel or Cruel Edition</v>
          </cell>
          <cell r="C1589" t="str">
            <v>51690</v>
          </cell>
          <cell r="D1589">
            <v>9</v>
          </cell>
          <cell r="E1589" t="str">
            <v>Intermediate</v>
          </cell>
          <cell r="F1589" t="str">
            <v>Kaizo, Tool-Assisted</v>
          </cell>
          <cell r="G1589">
            <v>44854</v>
          </cell>
          <cell r="H1589" t="str">
            <v>32079</v>
          </cell>
          <cell r="I1589" t="str">
            <v>https://www.smwcentral.net/?a=details&amp;id=32079&amp;p=section</v>
          </cell>
          <cell r="J1589" t="str">
            <v>https://dl.smwcentral.net/32079/siw%20c%20%26%20c.zip</v>
          </cell>
        </row>
        <row r="1590">
          <cell r="A1590" t="str">
            <v>Six Pack: VLDC Compilation</v>
          </cell>
          <cell r="B1590" t="str">
            <v>Six Pack: VLDC Compilation</v>
          </cell>
          <cell r="C1590" t="str">
            <v>Ragey, SMW Central</v>
          </cell>
          <cell r="D1590">
            <v>622</v>
          </cell>
          <cell r="E1590" t="str">
            <v>Advanced</v>
          </cell>
          <cell r="F1590" t="str">
            <v>Standard</v>
          </cell>
          <cell r="G1590">
            <v>45328</v>
          </cell>
          <cell r="H1590" t="str">
            <v>35347</v>
          </cell>
          <cell r="I1590" t="str">
            <v>https://www.smwcentral.net/?a=details&amp;id=35347&amp;p=section</v>
          </cell>
          <cell r="J1590" t="str">
            <v>https://dl.smwcentral.net/35347/Six%20Pack.zip</v>
          </cell>
        </row>
        <row r="1591">
          <cell r="A1591" t="str">
            <v>Sixth Grade Kaizo</v>
          </cell>
          <cell r="B1591" t="str">
            <v>Sixth Grade Kaizo</v>
          </cell>
          <cell r="C1591" t="str">
            <v>drspork</v>
          </cell>
          <cell r="D1591">
            <v>9</v>
          </cell>
          <cell r="E1591" t="str">
            <v>Advanced</v>
          </cell>
          <cell r="F1591" t="str">
            <v>Kaizo</v>
          </cell>
          <cell r="G1591">
            <v>45353</v>
          </cell>
          <cell r="H1591" t="str">
            <v>37314</v>
          </cell>
          <cell r="I1591" t="str">
            <v>https://www.smwcentral.net/?a=details&amp;id=37314&amp;p=section</v>
          </cell>
          <cell r="J1591" t="str">
            <v>https://dl.smwcentral.net/37314/Sixth%20Grade%20Kaizo.zip</v>
          </cell>
        </row>
        <row r="1592">
          <cell r="A1592" t="str">
            <v>Sleepy World</v>
          </cell>
          <cell r="B1592" t="str">
            <v>Sleepy World</v>
          </cell>
          <cell r="C1592" t="str">
            <v>Schlafkopf</v>
          </cell>
          <cell r="D1592">
            <v>15</v>
          </cell>
          <cell r="E1592" t="str">
            <v>Advanced</v>
          </cell>
          <cell r="F1592" t="str">
            <v>Kaizo</v>
          </cell>
          <cell r="G1592">
            <v>44511</v>
          </cell>
          <cell r="H1592" t="str">
            <v>28702</v>
          </cell>
          <cell r="I1592" t="str">
            <v>https://www.smwcentral.net/?a=details&amp;id=28702&amp;p=section</v>
          </cell>
          <cell r="J1592" t="str">
            <v>https://dl.smwcentral.net/28702/Sleepy%20World%201.2.zip</v>
          </cell>
        </row>
        <row r="1593">
          <cell r="A1593" t="str">
            <v>Slow and Slower</v>
          </cell>
          <cell r="B1593" t="str">
            <v>Slow and Slower</v>
          </cell>
          <cell r="C1593" t="str">
            <v>Captain_Hacko</v>
          </cell>
          <cell r="D1593">
            <v>6</v>
          </cell>
          <cell r="E1593" t="str">
            <v>Expert</v>
          </cell>
          <cell r="F1593" t="str">
            <v>Kaizo</v>
          </cell>
          <cell r="G1593">
            <v>45159</v>
          </cell>
          <cell r="H1593" t="str">
            <v>34912</v>
          </cell>
          <cell r="I1593" t="str">
            <v>https://www.smwcentral.net/?a=details&amp;id=34912&amp;p=section</v>
          </cell>
          <cell r="J1593" t="str">
            <v>https://dl.smwcentral.net/34912/Slow_and_Slower.zip</v>
          </cell>
        </row>
        <row r="1594">
          <cell r="A1594" t="str">
            <v>slurdgery</v>
          </cell>
          <cell r="B1594" t="str">
            <v>slurdgery</v>
          </cell>
          <cell r="C1594" t="str">
            <v>Sixcorby</v>
          </cell>
          <cell r="D1594">
            <v>9</v>
          </cell>
          <cell r="E1594" t="str">
            <v>Advanced</v>
          </cell>
          <cell r="F1594" t="str">
            <v>Standard</v>
          </cell>
          <cell r="G1594">
            <v>43835</v>
          </cell>
          <cell r="H1594" t="str">
            <v>21787</v>
          </cell>
          <cell r="I1594" t="str">
            <v>https://www.smwcentral.net/?a=details&amp;id=21787&amp;p=section</v>
          </cell>
          <cell r="J1594" t="str">
            <v>https://dl.smwcentral.net/21787/slurdgery.zip</v>
          </cell>
        </row>
        <row r="1595">
          <cell r="A1595" t="str">
            <v>Smithereens</v>
          </cell>
          <cell r="B1595" t="str">
            <v>Smithereens</v>
          </cell>
          <cell r="C1595" t="str">
            <v>Miscalc</v>
          </cell>
          <cell r="D1595">
            <v>13</v>
          </cell>
          <cell r="E1595" t="str">
            <v>Advanced</v>
          </cell>
          <cell r="F1595" t="str">
            <v>Kaizo</v>
          </cell>
          <cell r="G1595">
            <v>44445</v>
          </cell>
          <cell r="H1595" t="str">
            <v>28210</v>
          </cell>
          <cell r="I1595" t="str">
            <v>https://www.smwcentral.net/?a=details&amp;id=28210&amp;p=section</v>
          </cell>
          <cell r="J1595" t="str">
            <v>https://dl.smwcentral.net/28210/smithereens.zip</v>
          </cell>
        </row>
        <row r="1596">
          <cell r="A1596" t="str">
            <v>Smoked Fish and Cabbage</v>
          </cell>
          <cell r="B1596" t="str">
            <v>Smoked Fish and Cabbage</v>
          </cell>
          <cell r="C1596" t="str">
            <v>xMANGRAVYx</v>
          </cell>
          <cell r="D1596">
            <v>7</v>
          </cell>
          <cell r="E1596" t="str">
            <v>Intermediate</v>
          </cell>
          <cell r="F1596" t="str">
            <v>Standard, Kaizo</v>
          </cell>
          <cell r="G1596">
            <v>46212</v>
          </cell>
          <cell r="H1596" t="str">
            <v>42654</v>
          </cell>
          <cell r="I1596" t="str">
            <v>https://www.smwcentral.net/?a=details&amp;id=42654&amp;p=section</v>
          </cell>
          <cell r="J1596" t="str">
            <v>https://dl.smwcentral.net/42654/Smoked%20Fish%20and%20Cabbage%20v2.1.zip</v>
          </cell>
        </row>
        <row r="1597">
          <cell r="A1597" t="str">
            <v>Smoked Fish and Cabbage 2</v>
          </cell>
          <cell r="B1597" t="str">
            <v>Smoked Fish and Cabbage 2</v>
          </cell>
          <cell r="C1597" t="str">
            <v>xMANGRAVYx</v>
          </cell>
          <cell r="D1597">
            <v>28</v>
          </cell>
          <cell r="E1597" t="str">
            <v>Intermediate</v>
          </cell>
          <cell r="F1597" t="str">
            <v>Kaizo</v>
          </cell>
          <cell r="G1597">
            <v>46219</v>
          </cell>
          <cell r="H1597" t="str">
            <v>42687</v>
          </cell>
          <cell r="I1597" t="str">
            <v>https://www.smwcentral.net/?a=details&amp;id=42687&amp;p=section</v>
          </cell>
          <cell r="J1597" t="str">
            <v>https://dl.smwcentral.net/42687/Smoked%20Fish%20and%20Cabbage%202%20v1.1.zip</v>
          </cell>
        </row>
        <row r="1598">
          <cell r="A1598" t="str">
            <v>Smoked Fish and Cabbage 3</v>
          </cell>
          <cell r="B1598" t="str">
            <v>Smoked Fish and Cabbage 3</v>
          </cell>
          <cell r="C1598" t="str">
            <v>xMANGRAVYx</v>
          </cell>
          <cell r="D1598">
            <v>28</v>
          </cell>
          <cell r="E1598" t="str">
            <v>Advanced</v>
          </cell>
          <cell r="F1598" t="str">
            <v>Kaizo</v>
          </cell>
          <cell r="G1598">
            <v>45374</v>
          </cell>
          <cell r="H1598" t="str">
            <v>37442</v>
          </cell>
          <cell r="I1598" t="str">
            <v>https://www.smwcentral.net/?a=details&amp;id=37442&amp;p=section</v>
          </cell>
          <cell r="J1598" t="str">
            <v>https://dl.smwcentral.net/37442/Smoked%20Fish%20and%20Cabbage%203.zip</v>
          </cell>
        </row>
        <row r="1599">
          <cell r="A1599" t="str">
            <v>smol</v>
          </cell>
          <cell r="B1599" t="str">
            <v>smol</v>
          </cell>
          <cell r="C1599" t="str">
            <v>Blaagon</v>
          </cell>
          <cell r="D1599">
            <v>7</v>
          </cell>
          <cell r="E1599" t="str">
            <v>Expert</v>
          </cell>
          <cell r="F1599" t="str">
            <v>Kaizo</v>
          </cell>
          <cell r="G1599">
            <v>44585</v>
          </cell>
          <cell r="H1599" t="str">
            <v>29542</v>
          </cell>
          <cell r="I1599" t="str">
            <v>https://www.smwcentral.net/?a=details&amp;id=29542&amp;p=section</v>
          </cell>
          <cell r="J1599" t="str">
            <v>https://dl.smwcentral.net/29542/smol%201.1.zip</v>
          </cell>
        </row>
        <row r="1600">
          <cell r="A1600" t="str">
            <v>SMW 2012: Master Hand's Doomsday</v>
          </cell>
          <cell r="B1600" t="str">
            <v>SMW 2012: Master Hand's Doomsday</v>
          </cell>
          <cell r="C1600" t="str">
            <v>Roberto zampari</v>
          </cell>
          <cell r="D1600">
            <v>42</v>
          </cell>
          <cell r="E1600" t="str">
            <v>Casual</v>
          </cell>
          <cell r="F1600" t="str">
            <v>Standard</v>
          </cell>
          <cell r="G1600">
            <v>42213</v>
          </cell>
          <cell r="H1600" t="str">
            <v>10257</v>
          </cell>
          <cell r="I1600" t="str">
            <v>https://www.smwcentral.net/?a=details&amp;id=10257&amp;p=section</v>
          </cell>
          <cell r="J1600" t="str">
            <v>https://dl.smwcentral.net/10257/2012%20Final%202.0.zip</v>
          </cell>
        </row>
        <row r="1601">
          <cell r="A1601" t="str">
            <v>SMW Christmas special</v>
          </cell>
          <cell r="B1601" t="str">
            <v>SMW Christmas special</v>
          </cell>
          <cell r="C1601" t="str">
            <v>tfpivman</v>
          </cell>
          <cell r="D1601">
            <v>4</v>
          </cell>
          <cell r="E1601" t="str">
            <v>Newcomer</v>
          </cell>
          <cell r="F1601" t="str">
            <v>Standard</v>
          </cell>
          <cell r="G1601">
            <v>42279</v>
          </cell>
          <cell r="H1601" t="str">
            <v>10107</v>
          </cell>
          <cell r="I1601" t="str">
            <v>https://www.smwcentral.net/?a=details&amp;id=10107&amp;p=section</v>
          </cell>
          <cell r="J1601" t="str">
            <v>https://dl.smwcentral.net/10107/SMWCS.zip</v>
          </cell>
        </row>
        <row r="1602">
          <cell r="A1602" t="str">
            <v>SMW Coin Chaos</v>
          </cell>
          <cell r="B1602" t="str">
            <v>SMW Coin Chaos</v>
          </cell>
          <cell r="C1602" t="str">
            <v>JP32</v>
          </cell>
          <cell r="D1602">
            <v>15</v>
          </cell>
          <cell r="E1602" t="str">
            <v>Casual</v>
          </cell>
          <cell r="F1602" t="str">
            <v>Standard</v>
          </cell>
          <cell r="G1602">
            <v>44303</v>
          </cell>
          <cell r="H1602" t="str">
            <v>26494</v>
          </cell>
          <cell r="I1602" t="str">
            <v>https://www.smwcentral.net/?a=details&amp;id=26494&amp;p=section</v>
          </cell>
          <cell r="J1602" t="str">
            <v>https://dl.smwcentral.net/26494/SMW%20coin%20chaos%20v1.4.zip</v>
          </cell>
        </row>
        <row r="1603">
          <cell r="A1603" t="str">
            <v>SMW For Your Kids Only</v>
          </cell>
          <cell r="B1603" t="str">
            <v>SMW For Your Kids Only</v>
          </cell>
          <cell r="C1603" t="str">
            <v>Clouthhh</v>
          </cell>
          <cell r="D1603">
            <v>20</v>
          </cell>
          <cell r="E1603" t="str">
            <v>Newcomer</v>
          </cell>
          <cell r="F1603" t="str">
            <v>Standard</v>
          </cell>
          <cell r="G1603">
            <v>44907</v>
          </cell>
          <cell r="H1603" t="str">
            <v>32609</v>
          </cell>
          <cell r="I1603" t="str">
            <v>https://www.smwcentral.net/?a=details&amp;id=32609&amp;p=section</v>
          </cell>
          <cell r="J1603" t="str">
            <v>https://dl.smwcentral.net/32609/SMW_FOR_YOUR_KIDS_ONLY_v2.zip</v>
          </cell>
        </row>
        <row r="1604">
          <cell r="A1604" t="str">
            <v>SMW Friends and Rivalry</v>
          </cell>
          <cell r="B1604" t="str">
            <v>SMW Friends and Rivalry</v>
          </cell>
          <cell r="C1604" t="str">
            <v>bandicoot</v>
          </cell>
          <cell r="D1604">
            <v>118</v>
          </cell>
          <cell r="E1604" t="str">
            <v>Intermediate</v>
          </cell>
          <cell r="F1604" t="str">
            <v>Standard</v>
          </cell>
          <cell r="G1604">
            <v>46023</v>
          </cell>
          <cell r="H1604" t="str">
            <v>41305</v>
          </cell>
          <cell r="I1604" t="str">
            <v>https://www.smwcentral.net/?a=details&amp;id=41305&amp;p=section</v>
          </cell>
          <cell r="J1604" t="str">
            <v>https://dl.smwcentral.net/41305/SMW%20Friends%20and%20Rivalry%20v1.05b.zip</v>
          </cell>
        </row>
        <row r="1605">
          <cell r="A1605" t="str">
            <v>SMW L'autre bout de Yoshi island</v>
          </cell>
          <cell r="B1605" t="str">
            <v>SMW L'autre bout de Yoshi island</v>
          </cell>
          <cell r="C1605" t="str">
            <v>Ralshi02</v>
          </cell>
          <cell r="D1605">
            <v>14</v>
          </cell>
          <cell r="E1605" t="str">
            <v>Casual</v>
          </cell>
          <cell r="F1605" t="str">
            <v>Standard</v>
          </cell>
          <cell r="G1605">
            <v>43429</v>
          </cell>
          <cell r="H1605" t="str">
            <v>18528</v>
          </cell>
          <cell r="I1605" t="str">
            <v>https://www.smwcentral.net/?a=details&amp;id=18528&amp;p=section</v>
          </cell>
          <cell r="J1605" t="str">
            <v>https://dl.smwcentral.net/18528/DEMO2.zip</v>
          </cell>
        </row>
        <row r="1606">
          <cell r="A1606" t="str">
            <v>SMW La Nouvelle Vague</v>
          </cell>
          <cell r="B1606" t="str">
            <v>SMW La Nouvelle Vague</v>
          </cell>
          <cell r="C1606" t="str">
            <v>drake-68</v>
          </cell>
          <cell r="D1606">
            <v>12</v>
          </cell>
          <cell r="E1606" t="str">
            <v>Newcomer</v>
          </cell>
          <cell r="F1606" t="str">
            <v>Standard</v>
          </cell>
          <cell r="G1606">
            <v>41959</v>
          </cell>
          <cell r="H1606" t="str">
            <v>9440</v>
          </cell>
          <cell r="I1606" t="str">
            <v>https://www.smwcentral.net/?a=details&amp;id=9440&amp;p=section</v>
          </cell>
          <cell r="J1606" t="str">
            <v>https://dl.smwcentral.net/9440/SMW%20La%20Nouvelle%20Vague.zip</v>
          </cell>
        </row>
        <row r="1607">
          <cell r="A1607" t="str">
            <v>SMW Legends. The Stars Road</v>
          </cell>
          <cell r="B1607" t="str">
            <v>SMW Legends. The Stars Road</v>
          </cell>
          <cell r="C1607" t="str">
            <v>Mois3s Cota</v>
          </cell>
          <cell r="D1607">
            <v>21</v>
          </cell>
          <cell r="E1607" t="str">
            <v>Casual</v>
          </cell>
          <cell r="F1607" t="str">
            <v>Standard</v>
          </cell>
          <cell r="G1607">
            <v>42185</v>
          </cell>
          <cell r="H1607" t="str">
            <v>11604</v>
          </cell>
          <cell r="I1607" t="str">
            <v>https://www.smwcentral.net/?a=details&amp;id=11604&amp;p=section</v>
          </cell>
          <cell r="J1607" t="str">
            <v>https://dl.smwcentral.net/11604/SMW%20Legends%20%282nd%20Demo%20version%29.zip</v>
          </cell>
        </row>
        <row r="1608">
          <cell r="A1608" t="str">
            <v>SMW O Sumiço de Íris</v>
          </cell>
          <cell r="B1608" t="str">
            <v>SMW O Sumiço de Íris</v>
          </cell>
          <cell r="C1608" t="str">
            <v>Teaser</v>
          </cell>
          <cell r="D1608">
            <v>64</v>
          </cell>
          <cell r="E1608" t="str">
            <v>Intermediate</v>
          </cell>
          <cell r="F1608" t="str">
            <v>Standard</v>
          </cell>
          <cell r="G1608">
            <v>44775</v>
          </cell>
          <cell r="H1608" t="str">
            <v>31238</v>
          </cell>
          <cell r="I1608" t="str">
            <v>https://www.smwcentral.net/?a=details&amp;id=31238&amp;p=section</v>
          </cell>
          <cell r="J1608" t="str">
            <v>https://dl.smwcentral.net/31238/Super%20Mario%20o%20Sumi%C3%A7o%20de%20%C3%8Dris%20Demo%20ver%201.2.zip</v>
          </cell>
        </row>
        <row r="1609">
          <cell r="A1609" t="str">
            <v>SMW Piranha Island</v>
          </cell>
          <cell r="B1609" t="str">
            <v>SMW Piranha Island</v>
          </cell>
          <cell r="C1609" t="str">
            <v>PokerFace</v>
          </cell>
          <cell r="D1609">
            <v>20</v>
          </cell>
          <cell r="E1609" t="str">
            <v>Advanced</v>
          </cell>
          <cell r="F1609" t="str">
            <v>Standard</v>
          </cell>
          <cell r="G1609">
            <v>42195</v>
          </cell>
          <cell r="H1609" t="str">
            <v>11697</v>
          </cell>
          <cell r="I1609" t="str">
            <v>https://www.smwcentral.net/?a=details&amp;id=11697&amp;p=section</v>
          </cell>
          <cell r="J1609" t="str">
            <v>https://dl.smwcentral.net/11697/SMW%20Piranha%20island%201.1.zip</v>
          </cell>
        </row>
        <row r="1610">
          <cell r="A1610" t="str">
            <v>SMW Quest for Gaming</v>
          </cell>
          <cell r="B1610" t="str">
            <v>SMW Quest for Gaming</v>
          </cell>
          <cell r="C1610" t="str">
            <v>bandicoot</v>
          </cell>
          <cell r="D1610">
            <v>98</v>
          </cell>
          <cell r="E1610" t="str">
            <v>Intermediate</v>
          </cell>
          <cell r="F1610" t="str">
            <v>Standard</v>
          </cell>
          <cell r="G1610">
            <v>44606</v>
          </cell>
          <cell r="H1610" t="str">
            <v>29090</v>
          </cell>
          <cell r="I1610" t="str">
            <v>https://www.smwcentral.net/?a=details&amp;id=29090&amp;p=section</v>
          </cell>
          <cell r="J1610" t="str">
            <v>https://dl.smwcentral.net/29090/SMW%20Quest%20for%20Gaming.zip</v>
          </cell>
        </row>
        <row r="1611">
          <cell r="A1611" t="str">
            <v>SMW Remade from Memory</v>
          </cell>
          <cell r="B1611" t="str">
            <v>SMW Remade from Memory</v>
          </cell>
          <cell r="C1611" t="str">
            <v>Various Authors</v>
          </cell>
          <cell r="D1611">
            <v>96</v>
          </cell>
          <cell r="E1611" t="str">
            <v>Casual</v>
          </cell>
          <cell r="F1611" t="str">
            <v>Standard</v>
          </cell>
          <cell r="G1611">
            <v>44522</v>
          </cell>
          <cell r="H1611" t="str">
            <v>28851</v>
          </cell>
          <cell r="I1611" t="str">
            <v>https://www.smwcentral.net/?a=details&amp;id=28851&amp;p=section</v>
          </cell>
          <cell r="J1611" t="str">
            <v>https://dl.smwcentral.net/28851/SMW%20Remade%20from%20Memory.zip</v>
          </cell>
        </row>
        <row r="1612">
          <cell r="A1612" t="str">
            <v>SMW Returns</v>
          </cell>
          <cell r="B1612" t="str">
            <v>SMW Returns</v>
          </cell>
          <cell r="C1612" t="str">
            <v>KT.</v>
          </cell>
          <cell r="D1612">
            <v>55</v>
          </cell>
          <cell r="E1612" t="str">
            <v>Intermediate</v>
          </cell>
          <cell r="F1612" t="str">
            <v>Standard</v>
          </cell>
          <cell r="G1612">
            <v>42213</v>
          </cell>
          <cell r="H1612" t="str">
            <v>9686</v>
          </cell>
          <cell r="I1612" t="str">
            <v>https://www.smwcentral.net/?a=details&amp;id=9686&amp;p=section</v>
          </cell>
          <cell r="J1612" t="str">
            <v>https://dl.smwcentral.net/9686/SMWR.zip</v>
          </cell>
        </row>
        <row r="1613">
          <cell r="A1613" t="str">
            <v>SMW Returns 2</v>
          </cell>
          <cell r="B1613" t="str">
            <v>SMW Returns 2</v>
          </cell>
          <cell r="C1613" t="str">
            <v>KT.</v>
          </cell>
          <cell r="D1613">
            <v>73</v>
          </cell>
          <cell r="E1613" t="str">
            <v>Casual</v>
          </cell>
          <cell r="F1613" t="str">
            <v>Standard</v>
          </cell>
          <cell r="G1613">
            <v>41465</v>
          </cell>
          <cell r="H1613" t="str">
            <v>5004</v>
          </cell>
          <cell r="I1613" t="str">
            <v>https://www.smwcentral.net/?a=details&amp;id=5004&amp;p=section</v>
          </cell>
          <cell r="J1613" t="str">
            <v>https://dl.smwcentral.net/5004/SMWR2.zip</v>
          </cell>
        </row>
        <row r="1614">
          <cell r="A1614" t="str">
            <v>SMW Returns EX</v>
          </cell>
          <cell r="B1614" t="str">
            <v>SMW Returns EX</v>
          </cell>
          <cell r="C1614" t="str">
            <v>Gaia, KT.</v>
          </cell>
          <cell r="D1614">
            <v>48</v>
          </cell>
          <cell r="E1614" t="str">
            <v>Casual</v>
          </cell>
          <cell r="F1614" t="str">
            <v>Standard</v>
          </cell>
          <cell r="G1614">
            <v>42211</v>
          </cell>
          <cell r="H1614" t="str">
            <v>9683</v>
          </cell>
          <cell r="I1614" t="str">
            <v>https://www.smwcentral.net/?a=details&amp;id=9683&amp;p=section</v>
          </cell>
          <cell r="J1614" t="str">
            <v>https://dl.smwcentral.net/9683/SMWREX.zip</v>
          </cell>
        </row>
        <row r="1615">
          <cell r="A1615" t="str">
            <v>SMW Skill Challenge</v>
          </cell>
          <cell r="B1615" t="str">
            <v>SMW Skill Challenge</v>
          </cell>
          <cell r="C1615" t="str">
            <v>Magikey</v>
          </cell>
          <cell r="D1615">
            <v>12</v>
          </cell>
          <cell r="E1615" t="str">
            <v>Expert</v>
          </cell>
          <cell r="F1615" t="str">
            <v>Kaizo, Tool-Assisted</v>
          </cell>
          <cell r="G1615">
            <v>43567</v>
          </cell>
          <cell r="H1615" t="str">
            <v>19073</v>
          </cell>
          <cell r="I1615" t="str">
            <v>https://www.smwcentral.net/?a=details&amp;id=19073&amp;p=section</v>
          </cell>
          <cell r="J1615" t="str">
            <v>https://dl.smwcentral.net/19073/Skill%20Challenge.zip</v>
          </cell>
        </row>
        <row r="1616">
          <cell r="A1616" t="str">
            <v>SMW Skill Challenge 2</v>
          </cell>
          <cell r="B1616" t="str">
            <v>SMW Skill Challenge 2</v>
          </cell>
          <cell r="C1616" t="str">
            <v>Magikey</v>
          </cell>
          <cell r="D1616">
            <v>3</v>
          </cell>
          <cell r="E1616" t="str">
            <v>Expert</v>
          </cell>
          <cell r="F1616" t="str">
            <v>Kaizo, Tool-Assisted</v>
          </cell>
          <cell r="G1616">
            <v>43948</v>
          </cell>
          <cell r="H1616" t="str">
            <v>22627</v>
          </cell>
          <cell r="I1616" t="str">
            <v>https://www.smwcentral.net/?a=details&amp;id=22627&amp;p=section</v>
          </cell>
          <cell r="J1616" t="str">
            <v>https://dl.smwcentral.net/22627/skill2demo.zip</v>
          </cell>
        </row>
        <row r="1617">
          <cell r="A1617" t="str">
            <v>SMW Stardust Dragon 2011</v>
          </cell>
          <cell r="B1617" t="str">
            <v>SMW Stardust Dragon 2011</v>
          </cell>
          <cell r="C1617" t="str">
            <v>Roberto zampari</v>
          </cell>
          <cell r="D1617">
            <v>16</v>
          </cell>
          <cell r="E1617" t="str">
            <v>Intermediate</v>
          </cell>
          <cell r="F1617" t="str">
            <v>Standard</v>
          </cell>
          <cell r="G1617">
            <v>42283</v>
          </cell>
          <cell r="H1617" t="str">
            <v>10143</v>
          </cell>
          <cell r="I1617" t="str">
            <v>https://www.smwcentral.net/?a=details&amp;id=10143&amp;p=section</v>
          </cell>
          <cell r="J1617" t="str">
            <v>https://dl.smwcentral.net/10143/SMWStardust2011.2.zip</v>
          </cell>
        </row>
        <row r="1618">
          <cell r="A1618" t="str">
            <v>SMW The Crown Tale</v>
          </cell>
          <cell r="B1618" t="str">
            <v>SMW The Crown Tale</v>
          </cell>
          <cell r="C1618" t="str">
            <v>bandicoot</v>
          </cell>
          <cell r="D1618">
            <v>112</v>
          </cell>
          <cell r="E1618" t="str">
            <v>Intermediate</v>
          </cell>
          <cell r="F1618" t="str">
            <v>Standard</v>
          </cell>
          <cell r="G1618">
            <v>44464</v>
          </cell>
          <cell r="H1618" t="str">
            <v>28099</v>
          </cell>
          <cell r="I1618" t="str">
            <v>https://www.smwcentral.net/?a=details&amp;id=28099&amp;p=section</v>
          </cell>
          <cell r="J1618" t="str">
            <v>https://dl.smwcentral.net/28099/SMW%20The%20Crown%20Tale%20v1.3.zip</v>
          </cell>
        </row>
        <row r="1619">
          <cell r="A1619" t="str">
            <v>SMW The Lost Levels</v>
          </cell>
          <cell r="B1619" t="str">
            <v>SMW The Lost Levels</v>
          </cell>
          <cell r="C1619" t="str">
            <v>Jamanta</v>
          </cell>
          <cell r="D1619">
            <v>22</v>
          </cell>
          <cell r="E1619" t="str">
            <v>Casual</v>
          </cell>
          <cell r="F1619" t="str">
            <v>Standard</v>
          </cell>
          <cell r="G1619">
            <v>42311</v>
          </cell>
          <cell r="H1619" t="str">
            <v>10228</v>
          </cell>
          <cell r="I1619" t="str">
            <v>https://www.smwcentral.net/?a=details&amp;id=10228&amp;p=section</v>
          </cell>
          <cell r="J1619" t="str">
            <v>https://dl.smwcentral.net/10228/SMW%20The%20Lost%20Levels%20Demo%202.zip</v>
          </cell>
        </row>
        <row r="1620">
          <cell r="A1620" t="str">
            <v>SMW The Princess Rescue</v>
          </cell>
          <cell r="B1620" t="str">
            <v>SMW The Princess Rescue</v>
          </cell>
          <cell r="C1620" t="str">
            <v>bandicoot</v>
          </cell>
          <cell r="D1620">
            <v>116</v>
          </cell>
          <cell r="E1620" t="str">
            <v>Intermediate</v>
          </cell>
          <cell r="F1620" t="str">
            <v>Standard</v>
          </cell>
          <cell r="G1620">
            <v>44752</v>
          </cell>
          <cell r="H1620" t="str">
            <v>31172</v>
          </cell>
          <cell r="I1620" t="str">
            <v>https://www.smwcentral.net/?a=details&amp;id=31172&amp;p=section</v>
          </cell>
          <cell r="J1620" t="str">
            <v>https://dl.smwcentral.net/31172/SMW%20The%20Princess%20Rescue%202022%20update.zip</v>
          </cell>
        </row>
        <row r="1621">
          <cell r="A1621" t="str">
            <v>SMW The Princess Rescue 2 - Luigi's Journey!</v>
          </cell>
          <cell r="B1621" t="str">
            <v>SMW The Princess Rescue 2 - Luigi's Journey!</v>
          </cell>
          <cell r="C1621" t="str">
            <v>bandicoot</v>
          </cell>
          <cell r="D1621">
            <v>116</v>
          </cell>
          <cell r="E1621" t="str">
            <v>Intermediate</v>
          </cell>
          <cell r="F1621" t="str">
            <v>Standard</v>
          </cell>
          <cell r="G1621">
            <v>44777</v>
          </cell>
          <cell r="H1621" t="str">
            <v>31145</v>
          </cell>
          <cell r="I1621" t="str">
            <v>https://www.smwcentral.net/?a=details&amp;id=31145&amp;p=section</v>
          </cell>
          <cell r="J1621" t="str">
            <v>https://dl.smwcentral.net/31145/SMW%20The%20Princess%20Rescue%202.zip</v>
          </cell>
        </row>
        <row r="1622">
          <cell r="A1622" t="str">
            <v>SMW The Princess Rescue 3 - The Turnabout</v>
          </cell>
          <cell r="B1622" t="str">
            <v>SMW The Princess Rescue 3 - The Turnabout</v>
          </cell>
          <cell r="C1622" t="str">
            <v>bandicoot</v>
          </cell>
          <cell r="D1622">
            <v>120</v>
          </cell>
          <cell r="E1622" t="str">
            <v>Intermediate</v>
          </cell>
          <cell r="F1622" t="str">
            <v>Standard</v>
          </cell>
          <cell r="G1622">
            <v>45267</v>
          </cell>
          <cell r="H1622" t="str">
            <v>35294</v>
          </cell>
          <cell r="I1622" t="str">
            <v>https://www.smwcentral.net/?a=details&amp;id=35294&amp;p=section</v>
          </cell>
          <cell r="J1622" t="str">
            <v>https://dl.smwcentral.net/35294/SMWTPR3%20v1.20.zip</v>
          </cell>
        </row>
        <row r="1623">
          <cell r="A1623" t="str">
            <v>SMW The Untold Story</v>
          </cell>
          <cell r="B1623" t="str">
            <v>SMW The Untold Story</v>
          </cell>
          <cell r="C1623" t="str">
            <v>Capt'n Caramel</v>
          </cell>
          <cell r="D1623">
            <v>11</v>
          </cell>
          <cell r="E1623" t="str">
            <v>Intermediate</v>
          </cell>
          <cell r="F1623" t="str">
            <v>Standard</v>
          </cell>
          <cell r="G1623">
            <v>43959</v>
          </cell>
          <cell r="H1623" t="str">
            <v>22919</v>
          </cell>
          <cell r="I1623" t="str">
            <v>https://www.smwcentral.net/?a=details&amp;id=22919&amp;p=section</v>
          </cell>
          <cell r="J1623" t="str">
            <v>https://dl.smwcentral.net/22919/TUS%20DEMO%20V0.2.zip</v>
          </cell>
        </row>
        <row r="1624">
          <cell r="A1624" t="str">
            <v>SMW Translations</v>
          </cell>
          <cell r="B1624" t="str">
            <v>SMW Translations</v>
          </cell>
          <cell r="C1624" t="str">
            <v>Various</v>
          </cell>
          <cell r="D1624">
            <v>96</v>
          </cell>
          <cell r="E1624" t="str">
            <v>Casual</v>
          </cell>
          <cell r="F1624" t="str">
            <v>Standard</v>
          </cell>
          <cell r="G1624">
            <v>42902</v>
          </cell>
          <cell r="H1624" t="str">
            <v>15677</v>
          </cell>
          <cell r="I1624" t="str">
            <v>https://www.smwcentral.net/?a=details&amp;id=15677&amp;p=section</v>
          </cell>
          <cell r="J1624" t="str">
            <v>https://dl.smwcentral.net/15677/Translations.zip</v>
          </cell>
        </row>
        <row r="1625">
          <cell r="A1625" t="str">
            <v>Smw Uma Aventura Chaotica (Chaotic Adventure)</v>
          </cell>
          <cell r="B1625" t="str">
            <v>Smw Uma Aventura Chaotica (Chaotic Adventure)</v>
          </cell>
          <cell r="C1625" t="str">
            <v>Tiozinho</v>
          </cell>
          <cell r="D1625">
            <v>92</v>
          </cell>
          <cell r="E1625" t="str">
            <v>Casual</v>
          </cell>
          <cell r="F1625" t="str">
            <v>Standard</v>
          </cell>
          <cell r="G1625">
            <v>44864</v>
          </cell>
          <cell r="H1625" t="str">
            <v>32461</v>
          </cell>
          <cell r="I1625" t="str">
            <v>https://www.smwcentral.net/?a=details&amp;id=32461&amp;p=section</v>
          </cell>
          <cell r="J1625" t="str">
            <v>https://dl.smwcentral.net/32461/Chaotic%20Adventure%201.1.zip</v>
          </cell>
        </row>
        <row r="1626">
          <cell r="A1626" t="str">
            <v>SMW with Levels from NSMB</v>
          </cell>
          <cell r="B1626" t="str">
            <v>SMW with Levels from NSMB</v>
          </cell>
          <cell r="C1626" t="str">
            <v>Foxy_9000_</v>
          </cell>
          <cell r="D1626">
            <v>96</v>
          </cell>
          <cell r="E1626" t="str">
            <v>Casual</v>
          </cell>
          <cell r="F1626" t="str">
            <v>Standard</v>
          </cell>
          <cell r="G1626">
            <v>44871</v>
          </cell>
          <cell r="H1626" t="str">
            <v>32487</v>
          </cell>
          <cell r="I1626" t="str">
            <v>https://www.smwcentral.net/?a=details&amp;id=32487&amp;p=section</v>
          </cell>
          <cell r="J1626" t="str">
            <v>https://dl.smwcentral.net/32487/SMW%20with%20Levels%20from%20NSMB.zip</v>
          </cell>
        </row>
        <row r="1627">
          <cell r="A1627" t="str">
            <v>SMW with Levels from SMB 3</v>
          </cell>
          <cell r="B1627" t="str">
            <v>SMW with Levels from SMB 3</v>
          </cell>
          <cell r="C1627" t="str">
            <v>Foxy_9000_</v>
          </cell>
          <cell r="D1627">
            <v>76</v>
          </cell>
          <cell r="E1627" t="str">
            <v>Newcomer</v>
          </cell>
          <cell r="F1627" t="str">
            <v>Standard</v>
          </cell>
          <cell r="G1627">
            <v>45061</v>
          </cell>
          <cell r="H1627" t="str">
            <v>33649</v>
          </cell>
          <cell r="I1627" t="str">
            <v>https://www.smwcentral.net/?a=details&amp;id=33649&amp;p=section</v>
          </cell>
          <cell r="J1627" t="str">
            <v>https://dl.smwcentral.net/33649/SMW%20with%20Levels%20from%20SMB%203.zip</v>
          </cell>
        </row>
        <row r="1628">
          <cell r="A1628" t="str">
            <v>SMW with Levels from Super Boy 3</v>
          </cell>
          <cell r="B1628" t="str">
            <v>SMW with Levels from Super Boy 3</v>
          </cell>
          <cell r="C1628" t="str">
            <v>LilacTubaGaming</v>
          </cell>
          <cell r="D1628">
            <v>19</v>
          </cell>
          <cell r="E1628" t="str">
            <v>Casual</v>
          </cell>
          <cell r="F1628" t="str">
            <v>Standard</v>
          </cell>
          <cell r="G1628">
            <v>44880</v>
          </cell>
          <cell r="H1628" t="str">
            <v>32335</v>
          </cell>
          <cell r="I1628" t="str">
            <v>https://www.smwcentral.net/?a=details&amp;id=32335&amp;p=section</v>
          </cell>
          <cell r="J1628" t="str">
            <v>https://dl.smwcentral.net/32335/SMW%20with%20Levels%20from%20Super%20Boy%203.zip</v>
          </cell>
        </row>
        <row r="1629">
          <cell r="A1629" t="str">
            <v>SMW-R</v>
          </cell>
          <cell r="B1629" t="str">
            <v>SMW-R</v>
          </cell>
          <cell r="C1629" t="str">
            <v>UltiMario</v>
          </cell>
          <cell r="D1629">
            <v>5</v>
          </cell>
          <cell r="E1629" t="str">
            <v>Intermediate</v>
          </cell>
          <cell r="F1629" t="str">
            <v>Standard</v>
          </cell>
          <cell r="G1629">
            <v>43219</v>
          </cell>
          <cell r="H1629" t="str">
            <v>17462</v>
          </cell>
          <cell r="I1629" t="str">
            <v>https://www.smwcentral.net/?a=details&amp;id=17462&amp;p=section</v>
          </cell>
          <cell r="J1629" t="str">
            <v>https://dl.smwcentral.net/17462/SMW-R.zip</v>
          </cell>
        </row>
        <row r="1630">
          <cell r="A1630" t="str">
            <v>Smw2 the unknown threats F.I.X.E.D</v>
          </cell>
          <cell r="B1630" t="str">
            <v>Smw2 the unknown threats F.I.X.E.D</v>
          </cell>
          <cell r="C1630" t="str">
            <v>Dman</v>
          </cell>
          <cell r="D1630">
            <v>5</v>
          </cell>
          <cell r="E1630" t="str">
            <v>Newcomer</v>
          </cell>
          <cell r="F1630" t="str">
            <v>Standard</v>
          </cell>
          <cell r="G1630">
            <v>42298</v>
          </cell>
          <cell r="H1630" t="str">
            <v>10234</v>
          </cell>
          <cell r="I1630" t="str">
            <v>https://www.smwcentral.net/?a=details&amp;id=10234&amp;p=section</v>
          </cell>
          <cell r="J1630" t="str">
            <v>https://dl.smwcentral.net/10234/Smw2%20The%20unkown%20threats%20F.I.X.E.D.zip</v>
          </cell>
        </row>
        <row r="1631">
          <cell r="A1631" t="str">
            <v>SMW2+3: The Essence Star</v>
          </cell>
          <cell r="B1631" t="str">
            <v>SMW2+3: The Essence Star</v>
          </cell>
          <cell r="C1631" t="str">
            <v>Golden Yoshi</v>
          </cell>
          <cell r="D1631">
            <v>45</v>
          </cell>
          <cell r="E1631" t="str">
            <v>Casual</v>
          </cell>
          <cell r="F1631" t="str">
            <v>Standard</v>
          </cell>
          <cell r="G1631">
            <v>44190</v>
          </cell>
          <cell r="H1631" t="str">
            <v>25235</v>
          </cell>
          <cell r="I1631" t="str">
            <v>https://www.smwcentral.net/?a=details&amp;id=25235&amp;p=section</v>
          </cell>
          <cell r="J1631" t="str">
            <v>https://dl.smwcentral.net/25235/SMW2%2B3-TheEssenceStar.zip</v>
          </cell>
        </row>
        <row r="1632">
          <cell r="A1632" t="str">
            <v>SMW: Gaiden</v>
          </cell>
          <cell r="B1632" t="str">
            <v>SMW: Gaiden</v>
          </cell>
          <cell r="C1632" t="str">
            <v>Adam, Truxton, lolyoshi, rextep</v>
          </cell>
          <cell r="D1632">
            <v>124</v>
          </cell>
          <cell r="E1632" t="str">
            <v>Expert</v>
          </cell>
          <cell r="F1632" t="str">
            <v>Standard</v>
          </cell>
          <cell r="G1632">
            <v>44300</v>
          </cell>
          <cell r="H1632" t="str">
            <v>26307</v>
          </cell>
          <cell r="I1632" t="str">
            <v>https://www.smwcentral.net/?a=details&amp;id=26307&amp;p=section</v>
          </cell>
          <cell r="J1632" t="str">
            <v>https://dl.smwcentral.net/26307/GAIDEN_v1.13.zip</v>
          </cell>
        </row>
        <row r="1633">
          <cell r="A1633" t="str">
            <v>SMW: Luigi's Mystic Saga</v>
          </cell>
          <cell r="B1633" t="str">
            <v>SMW: Luigi's Mystic Saga</v>
          </cell>
          <cell r="C1633" t="str">
            <v>Tiozinho</v>
          </cell>
          <cell r="D1633">
            <v>31</v>
          </cell>
          <cell r="E1633" t="str">
            <v>Intermediate</v>
          </cell>
          <cell r="F1633" t="str">
            <v>Standard</v>
          </cell>
          <cell r="G1633">
            <v>46032</v>
          </cell>
          <cell r="H1633" t="str">
            <v>41378</v>
          </cell>
          <cell r="I1633" t="str">
            <v>https://www.smwcentral.net/?a=details&amp;id=41378&amp;p=section</v>
          </cell>
          <cell r="J1633" t="str">
            <v>https://dl.smwcentral.net/41378/Luigi%27s%20Mystic%20Saga.zip</v>
          </cell>
        </row>
        <row r="1634">
          <cell r="A1634" t="str">
            <v>SMW: Remix</v>
          </cell>
          <cell r="B1634" t="str">
            <v>SMW: Remix</v>
          </cell>
          <cell r="C1634" t="str">
            <v>Lexi</v>
          </cell>
          <cell r="D1634">
            <v>17</v>
          </cell>
          <cell r="E1634" t="str">
            <v>Newcomer</v>
          </cell>
          <cell r="F1634" t="str">
            <v>Standard</v>
          </cell>
          <cell r="G1634">
            <v>42294</v>
          </cell>
          <cell r="H1634" t="str">
            <v>10118</v>
          </cell>
          <cell r="I1634" t="str">
            <v>https://www.smwcentral.net/?a=details&amp;id=10118&amp;p=section</v>
          </cell>
          <cell r="J1634" t="str">
            <v>https://dl.smwcentral.net/10118/SMWRemixD1.1.zip</v>
          </cell>
        </row>
        <row r="1635">
          <cell r="A1635" t="str">
            <v>SMW: The Creator</v>
          </cell>
          <cell r="B1635" t="str">
            <v>SMW: The Creator</v>
          </cell>
          <cell r="C1635" t="str">
            <v>Diego</v>
          </cell>
          <cell r="D1635">
            <v>40</v>
          </cell>
          <cell r="E1635" t="str">
            <v>Newcomer</v>
          </cell>
          <cell r="F1635" t="str">
            <v>Standard</v>
          </cell>
          <cell r="G1635">
            <v>41870</v>
          </cell>
          <cell r="H1635" t="str">
            <v>8843</v>
          </cell>
          <cell r="I1635" t="str">
            <v>https://www.smwcentral.net/?a=details&amp;id=8843&amp;p=section</v>
          </cell>
          <cell r="J1635" t="str">
            <v>https://dl.smwcentral.net/8843/The%20Creator%20%5Bv1.1%5D.zip</v>
          </cell>
        </row>
        <row r="1636">
          <cell r="A1636" t="str">
            <v>SMW: Yoshi's Super Adventure</v>
          </cell>
          <cell r="B1636" t="str">
            <v>SMW: Yoshi's Super Adventure</v>
          </cell>
          <cell r="C1636" t="str">
            <v>aroohwahoou</v>
          </cell>
          <cell r="D1636">
            <v>44</v>
          </cell>
          <cell r="E1636" t="str">
            <v>Casual</v>
          </cell>
          <cell r="F1636" t="str">
            <v>Standard</v>
          </cell>
          <cell r="G1636">
            <v>45684</v>
          </cell>
          <cell r="H1636" t="str">
            <v>39103</v>
          </cell>
          <cell r="I1636" t="str">
            <v>https://www.smwcentral.net/?a=details&amp;id=39103&amp;p=section</v>
          </cell>
          <cell r="J1636" t="str">
            <v>https://dl.smwcentral.net/39103/SMW%20Yoshis%20Super%20Adventure%20v1.0.1.zip</v>
          </cell>
        </row>
        <row r="1637">
          <cell r="A1637" t="str">
            <v>SMWHacking.de Collab</v>
          </cell>
          <cell r="B1637" t="str">
            <v>SMWHacking.de Collab</v>
          </cell>
          <cell r="C1637" t="str">
            <v>EliteBellic, LP-Err0r, Reggiamoto, Robju, ShUriK KiD, Shog, kooooopa, wye</v>
          </cell>
          <cell r="D1637">
            <v>12</v>
          </cell>
          <cell r="E1637" t="str">
            <v>Casual</v>
          </cell>
          <cell r="F1637" t="str">
            <v>Standard</v>
          </cell>
          <cell r="G1637">
            <v>42043</v>
          </cell>
          <cell r="H1637" t="str">
            <v>10336</v>
          </cell>
          <cell r="I1637" t="str">
            <v>https://www.smwcentral.net/?a=details&amp;id=10336&amp;p=section</v>
          </cell>
          <cell r="J1637" t="str">
            <v>https://dl.smwcentral.net/10336/SMWHcollab.zip</v>
          </cell>
        </row>
        <row r="1638">
          <cell r="A1638" t="str">
            <v>SMWHacking.de Collab ½</v>
          </cell>
          <cell r="B1638" t="str">
            <v>SMWHacking.de Collab ½</v>
          </cell>
          <cell r="C1638" t="str">
            <v>Luks, RedAstaire, ShUriK KiD, Wysey, neidoodle, wye</v>
          </cell>
          <cell r="D1638">
            <v>10</v>
          </cell>
          <cell r="E1638" t="str">
            <v>Intermediate</v>
          </cell>
          <cell r="F1638" t="str">
            <v>Standard</v>
          </cell>
          <cell r="G1638">
            <v>42639</v>
          </cell>
          <cell r="H1638" t="str">
            <v>14465</v>
          </cell>
          <cell r="I1638" t="str">
            <v>https://www.smwcentral.net/?a=details&amp;id=14465&amp;p=section</v>
          </cell>
          <cell r="J1638" t="str">
            <v>https://dl.smwcentral.net/14465/SMWHcollab_1_2.zip</v>
          </cell>
        </row>
        <row r="1639">
          <cell r="A1639" t="str">
            <v>SMWLV</v>
          </cell>
          <cell r="B1639" t="str">
            <v>SMWLV</v>
          </cell>
          <cell r="C1639" t="str">
            <v>Gabriel12102673</v>
          </cell>
          <cell r="D1639">
            <v>20</v>
          </cell>
          <cell r="E1639" t="str">
            <v>Intermediate</v>
          </cell>
          <cell r="F1639" t="str">
            <v>Standard</v>
          </cell>
          <cell r="G1639">
            <v>44118</v>
          </cell>
          <cell r="H1639" t="str">
            <v>24783</v>
          </cell>
          <cell r="I1639" t="str">
            <v>https://www.smwcentral.net/?a=details&amp;id=24783&amp;p=section</v>
          </cell>
          <cell r="J1639" t="str">
            <v>https://dl.smwcentral.net/24783/SMWLV%20%28DEMO%29.zip</v>
          </cell>
        </row>
        <row r="1640">
          <cell r="A1640" t="str">
            <v>Sniggerbobble's Nightmare: Randor's Inside Story</v>
          </cell>
          <cell r="B1640" t="str">
            <v>Sniggerbobble's Nightmare: Randor's Inside Story</v>
          </cell>
          <cell r="C1640" t="str">
            <v>Chikane</v>
          </cell>
          <cell r="D1640">
            <v>6</v>
          </cell>
          <cell r="E1640" t="str">
            <v>Casual</v>
          </cell>
          <cell r="F1640" t="str">
            <v>Standard</v>
          </cell>
          <cell r="G1640">
            <v>41543</v>
          </cell>
          <cell r="H1640" t="str">
            <v>5275</v>
          </cell>
          <cell r="I1640" t="str">
            <v>https://www.smwcentral.net/?a=details&amp;id=5275&amp;p=section</v>
          </cell>
          <cell r="J1640" t="str">
            <v>https://dl.smwcentral.net/5275/RiS%20Demo%201.zip</v>
          </cell>
        </row>
        <row r="1641">
          <cell r="A1641" t="str">
            <v>Snoman's Land</v>
          </cell>
          <cell r="B1641" t="str">
            <v>Snoman's Land</v>
          </cell>
          <cell r="C1641" t="str">
            <v>snomangaming</v>
          </cell>
          <cell r="D1641">
            <v>12</v>
          </cell>
          <cell r="E1641" t="str">
            <v>Advanced</v>
          </cell>
          <cell r="F1641" t="str">
            <v>Kaizo</v>
          </cell>
          <cell r="G1641">
            <v>44005</v>
          </cell>
          <cell r="H1641" t="str">
            <v>23383</v>
          </cell>
          <cell r="I1641" t="str">
            <v>https://www.smwcentral.net/?a=details&amp;id=23383&amp;p=section</v>
          </cell>
          <cell r="J1641" t="str">
            <v>https://dl.smwcentral.net/23383/Snoman%27s%20Land%20v1.2.zip</v>
          </cell>
        </row>
        <row r="1642">
          <cell r="A1642" t="str">
            <v>Solar Eclipse World</v>
          </cell>
          <cell r="B1642" t="str">
            <v>Solar Eclipse World</v>
          </cell>
          <cell r="C1642" t="str">
            <v>ft029</v>
          </cell>
          <cell r="D1642">
            <v>1</v>
          </cell>
          <cell r="E1642" t="str">
            <v>Intermediate</v>
          </cell>
          <cell r="F1642" t="str">
            <v>Standard</v>
          </cell>
          <cell r="G1642">
            <v>42972</v>
          </cell>
          <cell r="H1642" t="str">
            <v>16084</v>
          </cell>
          <cell r="I1642" t="str">
            <v>https://www.smwcentral.net/?a=details&amp;id=16084&amp;p=section</v>
          </cell>
          <cell r="J1642" t="str">
            <v>https://dl.smwcentral.net/16084/Solar%20Eclipse%20World.zip</v>
          </cell>
        </row>
        <row r="1643">
          <cell r="A1643" t="str">
            <v>Some Assembly Required</v>
          </cell>
          <cell r="B1643" t="str">
            <v>Some Assembly Required</v>
          </cell>
          <cell r="C1643" t="str">
            <v>Shuttles</v>
          </cell>
          <cell r="D1643">
            <v>5</v>
          </cell>
          <cell r="E1643" t="str">
            <v>Advanced</v>
          </cell>
          <cell r="F1643" t="str">
            <v>Kaizo</v>
          </cell>
          <cell r="G1643">
            <v>43856</v>
          </cell>
          <cell r="H1643" t="str">
            <v>22030</v>
          </cell>
          <cell r="I1643" t="str">
            <v>https://www.smwcentral.net/?a=details&amp;id=22030&amp;p=section</v>
          </cell>
          <cell r="J1643" t="str">
            <v>https://dl.smwcentral.net/22030/SAR_v1.1.zip</v>
          </cell>
        </row>
        <row r="1644">
          <cell r="A1644" t="str">
            <v>Something</v>
          </cell>
          <cell r="B1644" t="str">
            <v>Something</v>
          </cell>
          <cell r="C1644" t="str">
            <v>yogui</v>
          </cell>
          <cell r="D1644">
            <v>47</v>
          </cell>
          <cell r="E1644" t="str">
            <v>Intermediate</v>
          </cell>
          <cell r="F1644" t="str">
            <v>Standard</v>
          </cell>
          <cell r="G1644">
            <v>44585</v>
          </cell>
          <cell r="H1644" t="str">
            <v>29548</v>
          </cell>
          <cell r="I1644" t="str">
            <v>https://www.smwcentral.net/?a=details&amp;id=29548&amp;p=section</v>
          </cell>
          <cell r="J1644" t="str">
            <v>https://dl.smwcentral.net/29548/Something.zip</v>
          </cell>
        </row>
        <row r="1645">
          <cell r="A1645" t="str">
            <v>Something Else</v>
          </cell>
          <cell r="B1645" t="str">
            <v>Something Else</v>
          </cell>
          <cell r="C1645" t="str">
            <v>yogui</v>
          </cell>
          <cell r="D1645">
            <v>69</v>
          </cell>
          <cell r="E1645" t="str">
            <v>Advanced</v>
          </cell>
          <cell r="F1645" t="str">
            <v>Standard</v>
          </cell>
          <cell r="G1645">
            <v>41691</v>
          </cell>
          <cell r="H1645" t="str">
            <v>6304</v>
          </cell>
          <cell r="I1645" t="str">
            <v>https://www.smwcentral.net/?a=details&amp;id=6304&amp;p=section</v>
          </cell>
          <cell r="J1645" t="str">
            <v>https://dl.smwcentral.net/6304/Something%20else%20.zip</v>
          </cell>
        </row>
        <row r="1646">
          <cell r="A1646" t="str">
            <v>Song's to Die to</v>
          </cell>
          <cell r="B1646" t="str">
            <v>Song's to Die to</v>
          </cell>
          <cell r="C1646" t="str">
            <v>YukiHidden</v>
          </cell>
          <cell r="D1646">
            <v>9</v>
          </cell>
          <cell r="E1646" t="str">
            <v>Expert</v>
          </cell>
          <cell r="F1646" t="str">
            <v>Kaizo</v>
          </cell>
          <cell r="G1646">
            <v>46073</v>
          </cell>
          <cell r="H1646" t="str">
            <v>41656</v>
          </cell>
          <cell r="I1646" t="str">
            <v>https://www.smwcentral.net/?a=details&amp;id=41656&amp;p=section</v>
          </cell>
          <cell r="J1646" t="str">
            <v>https://dl.smwcentral.net/41656/Song%27s%20to%20die%20to.zip</v>
          </cell>
        </row>
        <row r="1647">
          <cell r="A1647" t="str">
            <v>Sonic Epic World</v>
          </cell>
          <cell r="B1647" t="str">
            <v>Sonic Epic World</v>
          </cell>
          <cell r="C1647" t="str">
            <v>sholmes</v>
          </cell>
          <cell r="D1647">
            <v>8</v>
          </cell>
          <cell r="E1647" t="str">
            <v>Expert</v>
          </cell>
          <cell r="F1647" t="str">
            <v>Kaizo</v>
          </cell>
          <cell r="G1647">
            <v>45428</v>
          </cell>
          <cell r="H1647" t="str">
            <v>37784</v>
          </cell>
          <cell r="I1647" t="str">
            <v>https://www.smwcentral.net/?a=details&amp;id=37784&amp;p=section</v>
          </cell>
          <cell r="J1647" t="str">
            <v>https://dl.smwcentral.net/37784/Sonic%20Epic%20World.zip</v>
          </cell>
        </row>
        <row r="1648">
          <cell r="A1648" t="str">
            <v>Sonic Kaizo World</v>
          </cell>
          <cell r="B1648" t="str">
            <v>Sonic Kaizo World</v>
          </cell>
          <cell r="C1648" t="str">
            <v>sholmes</v>
          </cell>
          <cell r="D1648">
            <v>21</v>
          </cell>
          <cell r="E1648" t="str">
            <v>Expert</v>
          </cell>
          <cell r="F1648" t="str">
            <v>Kaizo</v>
          </cell>
          <cell r="G1648">
            <v>46197</v>
          </cell>
          <cell r="H1648" t="str">
            <v>42582</v>
          </cell>
          <cell r="I1648" t="str">
            <v>https://www.smwcentral.net/?a=details&amp;id=42582&amp;p=section</v>
          </cell>
          <cell r="J1648" t="str">
            <v>https://dl.smwcentral.net/42582/Sonic%20Kaizo%20World.zip</v>
          </cell>
        </row>
        <row r="1649">
          <cell r="A1649" t="str">
            <v>Sonic the Hedgehog 2 Kaizo Version</v>
          </cell>
          <cell r="B1649" t="str">
            <v>Sonic the Hedgehog 2 Kaizo Version</v>
          </cell>
          <cell r="C1649" t="str">
            <v>sholmes</v>
          </cell>
          <cell r="D1649">
            <v>22</v>
          </cell>
          <cell r="E1649" t="str">
            <v>Expert</v>
          </cell>
          <cell r="F1649" t="str">
            <v>Kaizo</v>
          </cell>
          <cell r="G1649">
            <v>45437</v>
          </cell>
          <cell r="H1649" t="str">
            <v>37804</v>
          </cell>
          <cell r="I1649" t="str">
            <v>https://www.smwcentral.net/?a=details&amp;id=37804&amp;p=section</v>
          </cell>
          <cell r="J1649" t="str">
            <v>https://dl.smwcentral.net/37804/Sonic%202%20But%20Kaizo.zip</v>
          </cell>
        </row>
        <row r="1650">
          <cell r="A1650" t="str">
            <v>Sonic the Hedgehog Kaizo Version</v>
          </cell>
          <cell r="B1650" t="str">
            <v>Sonic the Hedgehog Kaizo Version</v>
          </cell>
          <cell r="C1650" t="str">
            <v>sholmes</v>
          </cell>
          <cell r="D1650">
            <v>19</v>
          </cell>
          <cell r="E1650" t="str">
            <v>Expert</v>
          </cell>
          <cell r="F1650" t="str">
            <v>Kaizo</v>
          </cell>
          <cell r="G1650">
            <v>45702</v>
          </cell>
          <cell r="H1650" t="str">
            <v>39188</v>
          </cell>
          <cell r="I1650" t="str">
            <v>https://www.smwcentral.net/?a=details&amp;id=39188&amp;p=section</v>
          </cell>
          <cell r="J1650" t="str">
            <v>https://dl.smwcentral.net/39188/Sonic%20in%20a%20Kaizo%20World.zip</v>
          </cell>
        </row>
        <row r="1651">
          <cell r="A1651" t="str">
            <v>Sonic's Adventure in Mushroom Kingdom</v>
          </cell>
          <cell r="B1651" t="str">
            <v>Sonic's Adventure in Mushroom Kingdom</v>
          </cell>
          <cell r="C1651" t="str">
            <v>MidniteMilo82</v>
          </cell>
          <cell r="D1651">
            <v>13</v>
          </cell>
          <cell r="E1651" t="str">
            <v>Intermediate</v>
          </cell>
          <cell r="F1651" t="str">
            <v>Kaizo</v>
          </cell>
          <cell r="G1651">
            <v>44503</v>
          </cell>
          <cell r="H1651" t="str">
            <v>28598</v>
          </cell>
          <cell r="I1651" t="str">
            <v>https://www.smwcentral.net/?a=details&amp;id=28598&amp;p=section</v>
          </cell>
          <cell r="J1651" t="str">
            <v>https://dl.smwcentral.net/28598/SAiMK.zip</v>
          </cell>
        </row>
        <row r="1652">
          <cell r="A1652" t="str">
            <v>Sophies Crown</v>
          </cell>
          <cell r="B1652" t="str">
            <v>Sophies Crown</v>
          </cell>
          <cell r="C1652" t="str">
            <v>ScatmanJones49</v>
          </cell>
          <cell r="D1652">
            <v>15</v>
          </cell>
          <cell r="E1652" t="str">
            <v>Expert</v>
          </cell>
          <cell r="F1652" t="str">
            <v>Kaizo</v>
          </cell>
          <cell r="G1652">
            <v>44369</v>
          </cell>
          <cell r="H1652" t="str">
            <v>27342</v>
          </cell>
          <cell r="I1652" t="str">
            <v>https://www.smwcentral.net/?a=details&amp;id=27342&amp;p=section</v>
          </cell>
          <cell r="J1652" t="str">
            <v>https://dl.smwcentral.net/27342/sophiescrown.zip</v>
          </cell>
        </row>
        <row r="1653">
          <cell r="A1653" t="str">
            <v>Sorrow &amp; Misery</v>
          </cell>
          <cell r="B1653" t="str">
            <v>Sorrow &amp; Misery</v>
          </cell>
          <cell r="C1653" t="str">
            <v>JokerGamerOk</v>
          </cell>
          <cell r="D1653">
            <v>19</v>
          </cell>
          <cell r="E1653" t="str">
            <v>Grandmaster</v>
          </cell>
          <cell r="F1653" t="str">
            <v>Kaizo</v>
          </cell>
          <cell r="G1653">
            <v>44863</v>
          </cell>
          <cell r="H1653" t="str">
            <v>31450</v>
          </cell>
          <cell r="I1653" t="str">
            <v>https://www.smwcentral.net/?a=details&amp;id=31450&amp;p=section</v>
          </cell>
          <cell r="J1653" t="str">
            <v>https://dl.smwcentral.net/31450/Sorrow_and_Misery.zip</v>
          </cell>
        </row>
        <row r="1654">
          <cell r="A1654" t="str">
            <v>Sortes Biblicae</v>
          </cell>
          <cell r="B1654" t="str">
            <v>Sortes Biblicae</v>
          </cell>
          <cell r="C1654" t="str">
            <v>Morsel</v>
          </cell>
          <cell r="D1654">
            <v>9</v>
          </cell>
          <cell r="E1654" t="str">
            <v>Master</v>
          </cell>
          <cell r="F1654" t="str">
            <v>Kaizo</v>
          </cell>
          <cell r="G1654">
            <v>44822</v>
          </cell>
          <cell r="H1654" t="str">
            <v>31961</v>
          </cell>
          <cell r="I1654" t="str">
            <v>https://www.smwcentral.net/?a=details&amp;id=31961&amp;p=section</v>
          </cell>
          <cell r="J1654" t="str">
            <v>https://dl.smwcentral.net/31961/sortesbiblicae1.666.zip</v>
          </cell>
        </row>
        <row r="1655">
          <cell r="A1655" t="str">
            <v>Soup or Solstng World</v>
          </cell>
          <cell r="B1655" t="str">
            <v>Soup or Solstng World</v>
          </cell>
          <cell r="C1655" t="str">
            <v>shovda</v>
          </cell>
          <cell r="D1655">
            <v>14</v>
          </cell>
          <cell r="E1655" t="str">
            <v>Advanced</v>
          </cell>
          <cell r="F1655" t="str">
            <v>Kaizo</v>
          </cell>
          <cell r="G1655">
            <v>43839</v>
          </cell>
          <cell r="H1655" t="str">
            <v>21740</v>
          </cell>
          <cell r="I1655" t="str">
            <v>https://www.smwcentral.net/?a=details&amp;id=21740&amp;p=section</v>
          </cell>
          <cell r="J1655" t="str">
            <v>https://dl.smwcentral.net/21740/Soup%20or%20Solstng%20World%201.1.zip</v>
          </cell>
        </row>
        <row r="1656">
          <cell r="A1656" t="str">
            <v>South Point Hotel</v>
          </cell>
          <cell r="B1656" t="str">
            <v>South Point Hotel</v>
          </cell>
          <cell r="C1656" t="str">
            <v>GbreezeSunset, Lazy, MiracleWater</v>
          </cell>
          <cell r="D1656">
            <v>1</v>
          </cell>
          <cell r="E1656" t="str">
            <v>Expert</v>
          </cell>
          <cell r="F1656" t="str">
            <v>Kaizo, Puzzle</v>
          </cell>
          <cell r="G1656">
            <v>44599</v>
          </cell>
          <cell r="H1656" t="str">
            <v>29721</v>
          </cell>
          <cell r="I1656" t="str">
            <v>https://www.smwcentral.net/?a=details&amp;id=29721&amp;p=section</v>
          </cell>
          <cell r="J1656" t="str">
            <v>https://dl.smwcentral.net/29721/South%20Point%20Hotel.zip</v>
          </cell>
        </row>
        <row r="1657">
          <cell r="A1657" t="str">
            <v>SpaceDeluxe</v>
          </cell>
          <cell r="B1657" t="str">
            <v>SpaceDeluxe</v>
          </cell>
          <cell r="C1657" t="str">
            <v>Breno Henrique</v>
          </cell>
          <cell r="D1657">
            <v>6</v>
          </cell>
          <cell r="E1657" t="str">
            <v>Advanced</v>
          </cell>
          <cell r="F1657" t="str">
            <v>Kaizo</v>
          </cell>
          <cell r="G1657">
            <v>46004</v>
          </cell>
          <cell r="H1657" t="str">
            <v>41266</v>
          </cell>
          <cell r="I1657" t="str">
            <v>https://www.smwcentral.net/?a=details&amp;id=41266&amp;p=section</v>
          </cell>
          <cell r="J1657" t="str">
            <v>https://dl.smwcentral.net/41266/SpaceDeluxe.zip</v>
          </cell>
        </row>
        <row r="1658">
          <cell r="A1658" t="str">
            <v>Spatial Whirl</v>
          </cell>
          <cell r="B1658" t="str">
            <v>Spatial Whirl</v>
          </cell>
          <cell r="C1658" t="str">
            <v>GbreezeSunset</v>
          </cell>
          <cell r="D1658">
            <v>60</v>
          </cell>
          <cell r="E1658" t="str">
            <v>Intermediate</v>
          </cell>
          <cell r="F1658" t="str">
            <v>Standard</v>
          </cell>
          <cell r="G1658">
            <v>45470</v>
          </cell>
          <cell r="H1658" t="str">
            <v>37876</v>
          </cell>
          <cell r="I1658" t="str">
            <v>https://www.smwcentral.net/?a=details&amp;id=37876&amp;p=section</v>
          </cell>
          <cell r="J1658" t="str">
            <v>https://dl.smwcentral.net/37876/Spatial%20Whirl.zip</v>
          </cell>
        </row>
        <row r="1659">
          <cell r="A1659" t="str">
            <v>Special Moves</v>
          </cell>
          <cell r="B1659" t="str">
            <v>Special Moves</v>
          </cell>
          <cell r="C1659" t="str">
            <v>marvisjj</v>
          </cell>
          <cell r="D1659">
            <v>5</v>
          </cell>
          <cell r="E1659" t="str">
            <v>Grandmaster</v>
          </cell>
          <cell r="F1659" t="str">
            <v>Kaizo</v>
          </cell>
          <cell r="G1659">
            <v>46063</v>
          </cell>
          <cell r="H1659" t="str">
            <v>41529</v>
          </cell>
          <cell r="I1659" t="str">
            <v>https://www.smwcentral.net/?a=details&amp;id=41529&amp;p=section</v>
          </cell>
          <cell r="J1659" t="str">
            <v>https://dl.smwcentral.net/41529/Special%20Moves.zip</v>
          </cell>
        </row>
        <row r="1660">
          <cell r="A1660" t="str">
            <v>Special World Escape</v>
          </cell>
          <cell r="B1660" t="str">
            <v>Special World Escape</v>
          </cell>
          <cell r="C1660" t="str">
            <v>fanfan21</v>
          </cell>
          <cell r="D1660">
            <v>5</v>
          </cell>
          <cell r="E1660" t="str">
            <v>Advanced</v>
          </cell>
          <cell r="F1660" t="str">
            <v>Kaizo</v>
          </cell>
          <cell r="G1660">
            <v>46023</v>
          </cell>
          <cell r="H1660" t="str">
            <v>41361</v>
          </cell>
          <cell r="I1660" t="str">
            <v>https://www.smwcentral.net/?a=details&amp;id=41361&amp;p=section</v>
          </cell>
          <cell r="J1660" t="str">
            <v>https://dl.smwcentral.net/41361/Special%20World%20Escape.zip</v>
          </cell>
        </row>
        <row r="1661">
          <cell r="A1661" t="str">
            <v>Special World Overtakes</v>
          </cell>
          <cell r="B1661" t="str">
            <v>Special World Overtakes</v>
          </cell>
          <cell r="C1661" t="str">
            <v>therealSWK</v>
          </cell>
          <cell r="D1661">
            <v>8</v>
          </cell>
          <cell r="E1661" t="str">
            <v>Casual</v>
          </cell>
          <cell r="F1661" t="str">
            <v>Standard</v>
          </cell>
          <cell r="G1661">
            <v>42207</v>
          </cell>
          <cell r="H1661" t="str">
            <v>10219</v>
          </cell>
          <cell r="I1661" t="str">
            <v>https://www.smwcentral.net/?a=details&amp;id=10219&amp;p=section</v>
          </cell>
          <cell r="J1661" t="str">
            <v>https://dl.smwcentral.net/10219/Special%20World%20Overtakes%20V1.3.zip</v>
          </cell>
        </row>
        <row r="1662">
          <cell r="A1662" t="str">
            <v>Special World?</v>
          </cell>
          <cell r="B1662" t="str">
            <v>Special World?</v>
          </cell>
          <cell r="C1662" t="str">
            <v>SuperMarisa1999</v>
          </cell>
          <cell r="D1662">
            <v>5</v>
          </cell>
          <cell r="E1662" t="str">
            <v>Intermediate</v>
          </cell>
          <cell r="F1662" t="str">
            <v>Kaizo, Tool-Assisted</v>
          </cell>
          <cell r="G1662">
            <v>41824</v>
          </cell>
          <cell r="H1662" t="str">
            <v>6760</v>
          </cell>
          <cell r="I1662" t="str">
            <v>https://www.smwcentral.net/?a=details&amp;id=6760&amp;p=section</v>
          </cell>
          <cell r="J1662" t="str">
            <v>https://dl.smwcentral.net/6760/Special%20World%20Demo%200.1.3.zip</v>
          </cell>
        </row>
        <row r="1663">
          <cell r="A1663" t="str">
            <v>Speed Shell</v>
          </cell>
          <cell r="B1663" t="str">
            <v>Speed Shell</v>
          </cell>
          <cell r="C1663" t="str">
            <v>Prestinator13</v>
          </cell>
          <cell r="D1663">
            <v>1</v>
          </cell>
          <cell r="E1663" t="str">
            <v>Expert</v>
          </cell>
          <cell r="F1663" t="str">
            <v>Kaizo</v>
          </cell>
          <cell r="G1663">
            <v>44264</v>
          </cell>
          <cell r="H1663" t="str">
            <v>26381</v>
          </cell>
          <cell r="I1663" t="str">
            <v>https://www.smwcentral.net/?a=details&amp;id=26381&amp;p=section</v>
          </cell>
          <cell r="J1663" t="str">
            <v>https://dl.smwcentral.net/26381/SpeedShell.zip</v>
          </cell>
        </row>
        <row r="1664">
          <cell r="A1664" t="str">
            <v>Spesh Planet</v>
          </cell>
          <cell r="B1664" t="str">
            <v>Spesh Planet</v>
          </cell>
          <cell r="C1664" t="str">
            <v>E-man38</v>
          </cell>
          <cell r="D1664">
            <v>8</v>
          </cell>
          <cell r="E1664" t="str">
            <v>Intermediate</v>
          </cell>
          <cell r="F1664" t="str">
            <v>Standard</v>
          </cell>
          <cell r="G1664">
            <v>44763</v>
          </cell>
          <cell r="H1664" t="str">
            <v>31344</v>
          </cell>
          <cell r="I1664" t="str">
            <v>https://www.smwcentral.net/?a=details&amp;id=31344&amp;p=section</v>
          </cell>
          <cell r="J1664" t="str">
            <v>https://dl.smwcentral.net/31344/Spesh%20Planet.zip</v>
          </cell>
        </row>
        <row r="1665">
          <cell r="A1665" t="str">
            <v>Spesh Planet 2</v>
          </cell>
          <cell r="B1665" t="str">
            <v>Spesh Planet 2</v>
          </cell>
          <cell r="C1665" t="str">
            <v>E-man38</v>
          </cell>
          <cell r="D1665">
            <v>24</v>
          </cell>
          <cell r="E1665" t="str">
            <v>Intermediate</v>
          </cell>
          <cell r="F1665" t="str">
            <v>Standard</v>
          </cell>
          <cell r="G1665">
            <v>45893</v>
          </cell>
          <cell r="H1665" t="str">
            <v>40229</v>
          </cell>
          <cell r="I1665" t="str">
            <v>https://www.smwcentral.net/?a=details&amp;id=40229&amp;p=section</v>
          </cell>
          <cell r="J1665" t="str">
            <v>https://dl.smwcentral.net/40229/Spesh%20Planet%202.zip</v>
          </cell>
        </row>
        <row r="1666">
          <cell r="A1666" t="str">
            <v>Spiral Quiral</v>
          </cell>
          <cell r="B1666" t="str">
            <v>Spiral Quiral</v>
          </cell>
          <cell r="C1666" t="str">
            <v>Airbourne Bubblun</v>
          </cell>
          <cell r="D1666">
            <v>8</v>
          </cell>
          <cell r="E1666" t="str">
            <v>Casual</v>
          </cell>
          <cell r="F1666" t="str">
            <v>Standard</v>
          </cell>
          <cell r="G1666">
            <v>41545</v>
          </cell>
          <cell r="H1666" t="str">
            <v>5466</v>
          </cell>
          <cell r="I1666" t="str">
            <v>https://www.smwcentral.net/?a=details&amp;id=5466&amp;p=section</v>
          </cell>
          <cell r="J1666" t="str">
            <v>https://dl.smwcentral.net/5466/Spiral%20Quiral%20V2.2.zip</v>
          </cell>
        </row>
        <row r="1667">
          <cell r="A1667" t="str">
            <v>Spiral Quiral Downgrade</v>
          </cell>
          <cell r="B1667" t="str">
            <v>Spiral Quiral Downgrade</v>
          </cell>
          <cell r="C1667" t="str">
            <v>Airbourne Bubblun</v>
          </cell>
          <cell r="D1667">
            <v>12</v>
          </cell>
          <cell r="E1667" t="str">
            <v>Intermediate</v>
          </cell>
          <cell r="F1667" t="str">
            <v>Standard</v>
          </cell>
          <cell r="G1667">
            <v>42699</v>
          </cell>
          <cell r="H1667" t="str">
            <v>14631</v>
          </cell>
          <cell r="I1667" t="str">
            <v>https://www.smwcentral.net/?a=details&amp;id=14631&amp;p=section</v>
          </cell>
          <cell r="J1667" t="str">
            <v>https://dl.smwcentral.net/14631/Spiral%20Quiral%20Downgrade.zip</v>
          </cell>
        </row>
        <row r="1668">
          <cell r="A1668" t="str">
            <v>Spiteful Mario</v>
          </cell>
          <cell r="B1668" t="str">
            <v>Spiteful Mario</v>
          </cell>
          <cell r="C1668" t="str">
            <v>Easy Difficulty</v>
          </cell>
          <cell r="D1668">
            <v>69</v>
          </cell>
          <cell r="E1668" t="str">
            <v>Expert</v>
          </cell>
          <cell r="F1668" t="str">
            <v>Standard, Kaizo</v>
          </cell>
          <cell r="G1668">
            <v>45512</v>
          </cell>
          <cell r="H1668" t="str">
            <v>38128</v>
          </cell>
          <cell r="I1668" t="str">
            <v>https://www.smwcentral.net/?a=details&amp;id=38128&amp;p=section</v>
          </cell>
          <cell r="J1668" t="str">
            <v>https://dl.smwcentral.net/38128/Spitefulmarioupdate.zip</v>
          </cell>
        </row>
        <row r="1669">
          <cell r="A1669" t="str">
            <v>Sponge World</v>
          </cell>
          <cell r="B1669" t="str">
            <v>Sponge World</v>
          </cell>
          <cell r="C1669" t="str">
            <v>iraxviii</v>
          </cell>
          <cell r="D1669">
            <v>4</v>
          </cell>
          <cell r="E1669" t="str">
            <v>Intermediate</v>
          </cell>
          <cell r="F1669" t="str">
            <v>Standard</v>
          </cell>
          <cell r="G1669">
            <v>45527</v>
          </cell>
          <cell r="H1669" t="str">
            <v>38195</v>
          </cell>
          <cell r="I1669" t="str">
            <v>https://www.smwcentral.net/?a=details&amp;id=38195&amp;p=section</v>
          </cell>
          <cell r="J1669" t="str">
            <v>https://dl.smwcentral.net/38195/Sponge%20World.zip</v>
          </cell>
        </row>
        <row r="1670">
          <cell r="A1670" t="str">
            <v>SPOT</v>
          </cell>
          <cell r="B1670" t="str">
            <v>SPOT</v>
          </cell>
          <cell r="C1670" t="str">
            <v>Nitrogen</v>
          </cell>
          <cell r="D1670">
            <v>12</v>
          </cell>
          <cell r="E1670" t="str">
            <v>Advanced</v>
          </cell>
          <cell r="F1670" t="str">
            <v>Standard</v>
          </cell>
          <cell r="G1670">
            <v>45349</v>
          </cell>
          <cell r="H1670" t="str">
            <v>37136</v>
          </cell>
          <cell r="I1670" t="str">
            <v>https://www.smwcentral.net/?a=details&amp;id=37136&amp;p=section</v>
          </cell>
          <cell r="J1670" t="str">
            <v>https://dl.smwcentral.net/37136/SPOT%20%28demo%29.zip</v>
          </cell>
        </row>
        <row r="1671">
          <cell r="A1671" t="str">
            <v>Sprites Are 1derful</v>
          </cell>
          <cell r="B1671" t="str">
            <v>Sprites Are 1derful</v>
          </cell>
          <cell r="C1671" t="str">
            <v>NewPointless</v>
          </cell>
          <cell r="D1671">
            <v>96</v>
          </cell>
          <cell r="E1671" t="str">
            <v>Advanced</v>
          </cell>
          <cell r="F1671" t="str">
            <v>Standard, Kaizo</v>
          </cell>
          <cell r="G1671">
            <v>45401</v>
          </cell>
          <cell r="H1671" t="str">
            <v>37616</v>
          </cell>
          <cell r="I1671" t="str">
            <v>https://www.smwcentral.net/?a=details&amp;id=37616&amp;p=section</v>
          </cell>
          <cell r="J1671" t="str">
            <v>https://dl.smwcentral.net/37616/SpritesAre1derful1_1.zip</v>
          </cell>
        </row>
        <row r="1672">
          <cell r="A1672" t="str">
            <v>Square</v>
          </cell>
          <cell r="B1672" t="str">
            <v>Square</v>
          </cell>
          <cell r="C1672" t="str">
            <v>Scrambles_</v>
          </cell>
          <cell r="D1672">
            <v>9</v>
          </cell>
          <cell r="E1672" t="str">
            <v>Expert</v>
          </cell>
          <cell r="F1672" t="str">
            <v>Kaizo</v>
          </cell>
          <cell r="G1672">
            <v>43922</v>
          </cell>
          <cell r="H1672" t="str">
            <v>22530</v>
          </cell>
          <cell r="I1672" t="str">
            <v>https://www.smwcentral.net/?a=details&amp;id=22530&amp;p=section</v>
          </cell>
          <cell r="J1672" t="str">
            <v>https://dl.smwcentral.net/22530/Square.zip</v>
          </cell>
        </row>
        <row r="1673">
          <cell r="A1673" t="str">
            <v>SRE X - Kaizo Race</v>
          </cell>
          <cell r="B1673" t="str">
            <v>SRE X - Kaizo Race</v>
          </cell>
          <cell r="C1673" t="str">
            <v>Alex</v>
          </cell>
          <cell r="D1673">
            <v>6</v>
          </cell>
          <cell r="E1673" t="str">
            <v>Expert</v>
          </cell>
          <cell r="F1673" t="str">
            <v>Kaizo</v>
          </cell>
          <cell r="G1673">
            <v>45565</v>
          </cell>
          <cell r="H1673" t="str">
            <v>38560</v>
          </cell>
          <cell r="I1673" t="str">
            <v>https://www.smwcentral.net/?a=details&amp;id=38560&amp;p=section</v>
          </cell>
          <cell r="J1673" t="str">
            <v>https://dl.smwcentral.net/38560/SRE%20X.zip</v>
          </cell>
        </row>
        <row r="1674">
          <cell r="A1674" t="str">
            <v>Staccato</v>
          </cell>
          <cell r="B1674" t="str">
            <v>Staccato</v>
          </cell>
          <cell r="C1674" t="str">
            <v>gui</v>
          </cell>
          <cell r="D1674">
            <v>14</v>
          </cell>
          <cell r="E1674" t="str">
            <v>Master</v>
          </cell>
          <cell r="F1674" t="str">
            <v>Kaizo</v>
          </cell>
          <cell r="G1674">
            <v>44476</v>
          </cell>
          <cell r="H1674" t="str">
            <v>28370</v>
          </cell>
          <cell r="I1674" t="str">
            <v>https://www.smwcentral.net/?a=details&amp;id=28370&amp;p=section</v>
          </cell>
          <cell r="J1674" t="str">
            <v>https://dl.smwcentral.net/28370/Staccato.zip</v>
          </cell>
        </row>
        <row r="1675">
          <cell r="A1675" t="str">
            <v>Stacks cafe</v>
          </cell>
          <cell r="B1675" t="str">
            <v>Stacks cafe</v>
          </cell>
          <cell r="C1675" t="str">
            <v>Lush_50</v>
          </cell>
          <cell r="D1675">
            <v>1</v>
          </cell>
          <cell r="E1675" t="str">
            <v>Advanced</v>
          </cell>
          <cell r="F1675" t="str">
            <v>Kaizo</v>
          </cell>
          <cell r="G1675">
            <v>45722</v>
          </cell>
          <cell r="H1675" t="str">
            <v>39517</v>
          </cell>
          <cell r="I1675" t="str">
            <v>https://www.smwcentral.net/?a=details&amp;id=39517&amp;p=section</v>
          </cell>
          <cell r="J1675" t="str">
            <v>https://dl.smwcentral.net/39517/Stacks%20Cafe%20V1.0%20by%20Lush_50.zip</v>
          </cell>
        </row>
        <row r="1676">
          <cell r="A1676" t="str">
            <v>Stackup (Demo #0)</v>
          </cell>
          <cell r="B1676" t="str">
            <v>Stackup (Demo #0)</v>
          </cell>
          <cell r="C1676" t="str">
            <v>Katrina</v>
          </cell>
          <cell r="D1676">
            <v>8</v>
          </cell>
          <cell r="E1676" t="str">
            <v>Intermediate</v>
          </cell>
          <cell r="F1676" t="str">
            <v>Standard</v>
          </cell>
          <cell r="G1676">
            <v>46025</v>
          </cell>
          <cell r="H1676" t="str">
            <v>41326</v>
          </cell>
          <cell r="I1676" t="str">
            <v>https://www.smwcentral.net/?a=details&amp;id=41326&amp;p=section</v>
          </cell>
          <cell r="J1676" t="str">
            <v>https://dl.smwcentral.net/41326/stackup.zip</v>
          </cell>
        </row>
        <row r="1677">
          <cell r="A1677" t="str">
            <v>Stand Tall and Shake the Heavens</v>
          </cell>
          <cell r="B1677" t="str">
            <v>Stand Tall and Shake the Heavens</v>
          </cell>
          <cell r="C1677" t="str">
            <v>cozyduck</v>
          </cell>
          <cell r="D1677">
            <v>10</v>
          </cell>
          <cell r="E1677" t="str">
            <v>Master</v>
          </cell>
          <cell r="F1677" t="str">
            <v>Kaizo</v>
          </cell>
          <cell r="G1677">
            <v>44067</v>
          </cell>
          <cell r="H1677" t="str">
            <v>24320</v>
          </cell>
          <cell r="I1677" t="str">
            <v>https://www.smwcentral.net/?a=details&amp;id=24320&amp;p=section</v>
          </cell>
          <cell r="J1677" t="str">
            <v>https://dl.smwcentral.net/24320/Stand%20Tall%20v1.2.zip</v>
          </cell>
        </row>
        <row r="1678">
          <cell r="A1678" t="str">
            <v>Standard SMW ROM Hack</v>
          </cell>
          <cell r="B1678" t="str">
            <v>Standard SMW ROM Hack</v>
          </cell>
          <cell r="C1678" t="str">
            <v>Denicentek</v>
          </cell>
          <cell r="D1678">
            <v>4</v>
          </cell>
          <cell r="E1678" t="str">
            <v>Casual</v>
          </cell>
          <cell r="F1678" t="str">
            <v>Standard</v>
          </cell>
          <cell r="G1678">
            <v>44012</v>
          </cell>
          <cell r="H1678" t="str">
            <v>23490</v>
          </cell>
          <cell r="I1678" t="str">
            <v>https://www.smwcentral.net/?a=details&amp;id=23490&amp;p=section</v>
          </cell>
          <cell r="J1678" t="str">
            <v>https://dl.smwcentral.net/23490/Standard%20SMW%20ROM%20Hack%20%28Fixed%20Demo%29.bps.zip</v>
          </cell>
        </row>
        <row r="1679">
          <cell r="A1679" t="str">
            <v>Stardust</v>
          </cell>
          <cell r="B1679" t="str">
            <v>Stardust</v>
          </cell>
          <cell r="C1679" t="str">
            <v>41681</v>
          </cell>
          <cell r="D1679">
            <v>4</v>
          </cell>
          <cell r="E1679" t="str">
            <v>Advanced</v>
          </cell>
          <cell r="F1679" t="str">
            <v>Kaizo</v>
          </cell>
          <cell r="G1679">
            <v>44326</v>
          </cell>
          <cell r="H1679" t="str">
            <v>26923</v>
          </cell>
          <cell r="I1679" t="str">
            <v>https://www.smwcentral.net/?a=details&amp;id=26923&amp;p=section</v>
          </cell>
          <cell r="J1679" t="str">
            <v>https://dl.smwcentral.net/26923/Stardust1.1.zip</v>
          </cell>
        </row>
        <row r="1680">
          <cell r="A1680" t="str">
            <v>Starting with Kaizo</v>
          </cell>
          <cell r="B1680" t="str">
            <v>Starting with Kaizo</v>
          </cell>
          <cell r="C1680" t="str">
            <v>Saphros</v>
          </cell>
          <cell r="D1680">
            <v>5</v>
          </cell>
          <cell r="E1680" t="str">
            <v>Intermediate</v>
          </cell>
          <cell r="F1680" t="str">
            <v>Kaizo</v>
          </cell>
          <cell r="G1680">
            <v>45895</v>
          </cell>
          <cell r="H1680" t="str">
            <v>40438</v>
          </cell>
          <cell r="I1680" t="str">
            <v>https://www.smwcentral.net/?a=details&amp;id=40438&amp;p=section</v>
          </cell>
          <cell r="J1680" t="str">
            <v>https://dl.smwcentral.net/40438/Starting%20with%20Kaizo.zip</v>
          </cell>
        </row>
        <row r="1681">
          <cell r="A1681" t="str">
            <v>Starting with Kaizo 2</v>
          </cell>
          <cell r="B1681" t="str">
            <v>Starting with Kaizo 2</v>
          </cell>
          <cell r="C1681" t="str">
            <v>Saphros</v>
          </cell>
          <cell r="D1681">
            <v>10</v>
          </cell>
          <cell r="E1681" t="str">
            <v>Intermediate</v>
          </cell>
          <cell r="F1681" t="str">
            <v>Kaizo</v>
          </cell>
          <cell r="G1681">
            <v>46179</v>
          </cell>
          <cell r="H1681" t="str">
            <v>42496</v>
          </cell>
          <cell r="I1681" t="str">
            <v>https://www.smwcentral.net/?a=details&amp;id=42496&amp;p=section</v>
          </cell>
          <cell r="J1681" t="str">
            <v>https://dl.smwcentral.net/42496/Starting%20with%20Kaizo%202%20-%201.0.1.zip</v>
          </cell>
        </row>
        <row r="1682">
          <cell r="A1682" t="str">
            <v>Staycation</v>
          </cell>
          <cell r="B1682" t="str">
            <v>Staycation</v>
          </cell>
          <cell r="C1682" t="str">
            <v>HousemeisterHD</v>
          </cell>
          <cell r="D1682">
            <v>22</v>
          </cell>
          <cell r="E1682" t="str">
            <v>Expert</v>
          </cell>
          <cell r="F1682" t="str">
            <v>Kaizo</v>
          </cell>
          <cell r="G1682">
            <v>46032</v>
          </cell>
          <cell r="H1682" t="str">
            <v>41376</v>
          </cell>
          <cell r="I1682" t="str">
            <v>https://www.smwcentral.net/?a=details&amp;id=41376&amp;p=section</v>
          </cell>
          <cell r="J1682" t="str">
            <v>https://dl.smwcentral.net/41376/Staycation.zip</v>
          </cell>
        </row>
        <row r="1683">
          <cell r="A1683" t="str">
            <v>Steamboat Mario</v>
          </cell>
          <cell r="B1683" t="str">
            <v>Steamboat Mario</v>
          </cell>
          <cell r="C1683" t="str">
            <v>Buzbee</v>
          </cell>
          <cell r="D1683">
            <v>7</v>
          </cell>
          <cell r="E1683" t="str">
            <v>Newcomer</v>
          </cell>
          <cell r="F1683" t="str">
            <v>Standard</v>
          </cell>
          <cell r="G1683">
            <v>44749</v>
          </cell>
          <cell r="H1683" t="str">
            <v>31286</v>
          </cell>
          <cell r="I1683" t="str">
            <v>https://www.smwcentral.net/?a=details&amp;id=31286&amp;p=section</v>
          </cell>
          <cell r="J1683" t="str">
            <v>https://dl.smwcentral.net/31286/Steamboat%20Mario.zip</v>
          </cell>
        </row>
        <row r="1684">
          <cell r="A1684" t="str">
            <v>Steid's Hack</v>
          </cell>
          <cell r="B1684" t="str">
            <v>Steid's Hack</v>
          </cell>
          <cell r="C1684" t="str">
            <v>Steid</v>
          </cell>
          <cell r="D1684">
            <v>8</v>
          </cell>
          <cell r="E1684" t="str">
            <v>Casual</v>
          </cell>
          <cell r="F1684" t="str">
            <v>Standard</v>
          </cell>
          <cell r="G1684">
            <v>45010</v>
          </cell>
          <cell r="H1684" t="str">
            <v>33561</v>
          </cell>
          <cell r="I1684" t="str">
            <v>https://www.smwcentral.net/?a=details&amp;id=33561&amp;p=section</v>
          </cell>
          <cell r="J1684" t="str">
            <v>https://dl.smwcentral.net/33561/Steid%27s%20Hack.zip</v>
          </cell>
        </row>
        <row r="1685">
          <cell r="A1685" t="str">
            <v>Steven's Strangest Day</v>
          </cell>
          <cell r="B1685" t="str">
            <v>Steven's Strangest Day</v>
          </cell>
          <cell r="C1685" t="str">
            <v>Gamet2004</v>
          </cell>
          <cell r="D1685">
            <v>23</v>
          </cell>
          <cell r="E1685" t="str">
            <v>Casual</v>
          </cell>
          <cell r="F1685" t="str">
            <v>Standard</v>
          </cell>
          <cell r="G1685">
            <v>45224</v>
          </cell>
          <cell r="H1685" t="str">
            <v>35213</v>
          </cell>
          <cell r="I1685" t="str">
            <v>https://www.smwcentral.net/?a=details&amp;id=35213&amp;p=section</v>
          </cell>
          <cell r="J1685" t="str">
            <v>https://dl.smwcentral.net/35213/Steven%20BPS.zip</v>
          </cell>
        </row>
        <row r="1686">
          <cell r="A1686" t="str">
            <v>stick mice in my head and then beat my head in with a hammer and let them back out</v>
          </cell>
          <cell r="B1686" t="str">
            <v>stick mice in my head and then beat my head in with a hammer and let them back out</v>
          </cell>
          <cell r="C1686" t="str">
            <v>Christina Hendricks, JUMP Team</v>
          </cell>
          <cell r="D1686">
            <v>19</v>
          </cell>
          <cell r="E1686" t="str">
            <v>Advanced</v>
          </cell>
          <cell r="F1686" t="str">
            <v>Standard</v>
          </cell>
          <cell r="G1686">
            <v>43140</v>
          </cell>
          <cell r="H1686" t="str">
            <v>17105</v>
          </cell>
          <cell r="I1686" t="str">
            <v>https://www.smwcentral.net/?a=details&amp;id=17105&amp;p=section</v>
          </cell>
          <cell r="J1686" t="str">
            <v>https://dl.smwcentral.net/17105/mice.zip</v>
          </cell>
        </row>
        <row r="1687">
          <cell r="A1687" t="str">
            <v>Stick This Up Your Pipe!</v>
          </cell>
          <cell r="B1687" t="str">
            <v>Stick This Up Your Pipe!</v>
          </cell>
          <cell r="C1687" t="str">
            <v>FalseCircus</v>
          </cell>
          <cell r="D1687">
            <v>0</v>
          </cell>
          <cell r="E1687" t="str">
            <v>Expert</v>
          </cell>
          <cell r="F1687" t="str">
            <v>Kaizo</v>
          </cell>
          <cell r="G1687">
            <v>45054</v>
          </cell>
          <cell r="H1687" t="str">
            <v>33781</v>
          </cell>
          <cell r="I1687" t="str">
            <v>https://www.smwcentral.net/?a=details&amp;id=33781&amp;p=section</v>
          </cell>
          <cell r="J1687" t="str">
            <v>https://dl.smwcentral.net/33781/Stick%20This%20Up%20Your%20Pipe%21.zip</v>
          </cell>
        </row>
        <row r="1688">
          <cell r="A1688" t="str">
            <v>Storks and Apes and Crocodiles</v>
          </cell>
          <cell r="B1688" t="str">
            <v>Storks and Apes and Crocodiles</v>
          </cell>
          <cell r="C1688" t="str">
            <v>Morsel</v>
          </cell>
          <cell r="D1688">
            <v>17</v>
          </cell>
          <cell r="E1688" t="str">
            <v>Master</v>
          </cell>
          <cell r="F1688" t="str">
            <v>Kaizo</v>
          </cell>
          <cell r="G1688">
            <v>44362</v>
          </cell>
          <cell r="H1688" t="str">
            <v>27282</v>
          </cell>
          <cell r="I1688" t="str">
            <v>https://www.smwcentral.net/?a=details&amp;id=27282&amp;p=section</v>
          </cell>
          <cell r="J1688" t="str">
            <v>https://dl.smwcentral.net/27282/apes1.14.zip</v>
          </cell>
        </row>
        <row r="1689">
          <cell r="A1689" t="str">
            <v>Story of Peiton</v>
          </cell>
          <cell r="B1689" t="str">
            <v>Story of Peiton</v>
          </cell>
          <cell r="C1689" t="str">
            <v>Peyton</v>
          </cell>
          <cell r="D1689">
            <v>37</v>
          </cell>
          <cell r="E1689" t="str">
            <v>Intermediate</v>
          </cell>
          <cell r="F1689" t="str">
            <v>Standard</v>
          </cell>
          <cell r="G1689">
            <v>42342</v>
          </cell>
          <cell r="H1689" t="str">
            <v>12718</v>
          </cell>
          <cell r="I1689" t="str">
            <v>https://www.smwcentral.net/?a=details&amp;id=12718&amp;p=section</v>
          </cell>
          <cell r="J1689" t="str">
            <v>https://dl.smwcentral.net/12718/StoryOfPeitonDEMO4.zip</v>
          </cell>
        </row>
        <row r="1690">
          <cell r="A1690" t="str">
            <v>Straight Shellin'</v>
          </cell>
          <cell r="B1690" t="str">
            <v>Straight Shellin'</v>
          </cell>
          <cell r="C1690" t="str">
            <v>RedPandaa_</v>
          </cell>
          <cell r="D1690">
            <v>6</v>
          </cell>
          <cell r="E1690" t="str">
            <v>Expert</v>
          </cell>
          <cell r="F1690" t="str">
            <v>Kaizo</v>
          </cell>
          <cell r="G1690">
            <v>45984</v>
          </cell>
          <cell r="H1690" t="str">
            <v>41092</v>
          </cell>
          <cell r="I1690" t="str">
            <v>https://www.smwcentral.net/?a=details&amp;id=41092&amp;p=section</v>
          </cell>
          <cell r="J1690" t="str">
            <v>https://dl.smwcentral.net/41092/Straight%20Shellin%27.zip</v>
          </cell>
        </row>
        <row r="1691">
          <cell r="A1691" t="str">
            <v>Stranded</v>
          </cell>
          <cell r="B1691" t="str">
            <v>Stranded</v>
          </cell>
          <cell r="C1691" t="str">
            <v>ghettoyouth</v>
          </cell>
          <cell r="D1691">
            <v>16</v>
          </cell>
          <cell r="E1691" t="str">
            <v>Casual</v>
          </cell>
          <cell r="F1691" t="str">
            <v>Standard</v>
          </cell>
          <cell r="G1691">
            <v>41445</v>
          </cell>
          <cell r="H1691" t="str">
            <v>4975</v>
          </cell>
          <cell r="I1691" t="str">
            <v>https://www.smwcentral.net/?a=details&amp;id=4975&amp;p=section</v>
          </cell>
          <cell r="J1691" t="str">
            <v>https://dl.smwcentral.net/4975/stranded.zip</v>
          </cell>
        </row>
        <row r="1692">
          <cell r="A1692" t="str">
            <v>Strange Mario World</v>
          </cell>
          <cell r="B1692" t="str">
            <v>Strange Mario World</v>
          </cell>
          <cell r="C1692" t="str">
            <v>Acmlm</v>
          </cell>
          <cell r="D1692">
            <v>6</v>
          </cell>
          <cell r="E1692" t="str">
            <v>Casual</v>
          </cell>
          <cell r="F1692" t="str">
            <v>Standard</v>
          </cell>
          <cell r="G1692">
            <v>42056</v>
          </cell>
          <cell r="H1692" t="str">
            <v>9758</v>
          </cell>
          <cell r="I1692" t="str">
            <v>https://www.smwcentral.net/?a=details&amp;id=9758&amp;p=section</v>
          </cell>
          <cell r="J1692" t="str">
            <v>https://dl.smwcentral.net/9758/Strange%20Mario%20World.zip</v>
          </cell>
        </row>
        <row r="1693">
          <cell r="A1693" t="str">
            <v>Stratfinder</v>
          </cell>
          <cell r="B1693" t="str">
            <v>Stratfinder</v>
          </cell>
          <cell r="C1693" t="str">
            <v>ageVerrly</v>
          </cell>
          <cell r="D1693">
            <v>3</v>
          </cell>
          <cell r="E1693" t="str">
            <v>Master</v>
          </cell>
          <cell r="F1693" t="str">
            <v>Kaizo</v>
          </cell>
          <cell r="G1693">
            <v>44515</v>
          </cell>
          <cell r="H1693" t="str">
            <v>28333</v>
          </cell>
          <cell r="I1693" t="str">
            <v>https://www.smwcentral.net/?a=details&amp;id=28333&amp;p=section</v>
          </cell>
          <cell r="J1693" t="str">
            <v>https://dl.smwcentral.net/28333/stratfinder.zip</v>
          </cell>
        </row>
        <row r="1694">
          <cell r="A1694" t="str">
            <v>Streak of Tigers</v>
          </cell>
          <cell r="B1694" t="str">
            <v>Streak of Tigers</v>
          </cell>
          <cell r="C1694" t="str">
            <v>JonnyManjiro</v>
          </cell>
          <cell r="D1694">
            <v>11</v>
          </cell>
          <cell r="E1694" t="str">
            <v>Expert</v>
          </cell>
          <cell r="F1694" t="str">
            <v>Kaizo</v>
          </cell>
          <cell r="G1694">
            <v>44312</v>
          </cell>
          <cell r="H1694" t="str">
            <v>26815</v>
          </cell>
          <cell r="I1694" t="str">
            <v>https://www.smwcentral.net/?a=details&amp;id=26815&amp;p=section</v>
          </cell>
          <cell r="J1694" t="str">
            <v>https://dl.smwcentral.net/26815/Streak%20of%20Tigers%201.1.zip</v>
          </cell>
        </row>
        <row r="1695">
          <cell r="A1695" t="str">
            <v>Streak of Tigers 2</v>
          </cell>
          <cell r="B1695" t="str">
            <v>Streak of Tigers 2</v>
          </cell>
          <cell r="C1695" t="str">
            <v>JonnyManjiro</v>
          </cell>
          <cell r="D1695">
            <v>11</v>
          </cell>
          <cell r="E1695" t="str">
            <v>Expert</v>
          </cell>
          <cell r="F1695" t="str">
            <v>Kaizo</v>
          </cell>
          <cell r="G1695">
            <v>44374</v>
          </cell>
          <cell r="H1695" t="str">
            <v>27331</v>
          </cell>
          <cell r="I1695" t="str">
            <v>https://www.smwcentral.net/?a=details&amp;id=27331&amp;p=section</v>
          </cell>
          <cell r="J1695" t="str">
            <v>https://dl.smwcentral.net/27331/Streak%20of%20Tigers%202.zip</v>
          </cell>
        </row>
        <row r="1696">
          <cell r="A1696" t="str">
            <v>Studies of a broken engine</v>
          </cell>
          <cell r="B1696" t="str">
            <v>Studies of a broken engine</v>
          </cell>
          <cell r="C1696" t="str">
            <v>xHF01x</v>
          </cell>
          <cell r="D1696">
            <v>1</v>
          </cell>
          <cell r="E1696" t="str">
            <v>Grandmaster</v>
          </cell>
          <cell r="F1696" t="str">
            <v>Kaizo</v>
          </cell>
          <cell r="G1696">
            <v>44481</v>
          </cell>
          <cell r="H1696" t="str">
            <v>28464</v>
          </cell>
          <cell r="I1696" t="str">
            <v>https://www.smwcentral.net/?a=details&amp;id=28464&amp;p=section</v>
          </cell>
          <cell r="J1696" t="str">
            <v>https://dl.smwcentral.net/28464/Studies_of_a_broken_engine.zip</v>
          </cell>
        </row>
        <row r="1697">
          <cell r="A1697" t="str">
            <v>Subpar Mario World</v>
          </cell>
          <cell r="B1697" t="str">
            <v>Subpar Mario World</v>
          </cell>
          <cell r="C1697" t="str">
            <v>Shuttles</v>
          </cell>
          <cell r="D1697">
            <v>27</v>
          </cell>
          <cell r="E1697" t="str">
            <v>Advanced</v>
          </cell>
          <cell r="F1697" t="str">
            <v>Kaizo</v>
          </cell>
          <cell r="G1697">
            <v>43606</v>
          </cell>
          <cell r="H1697" t="str">
            <v>19914</v>
          </cell>
          <cell r="I1697" t="str">
            <v>https://www.smwcentral.net/?a=details&amp;id=19914&amp;p=section</v>
          </cell>
          <cell r="J1697" t="str">
            <v>https://dl.smwcentral.net/19914/Subpar_Mario_World_v1.0.zip</v>
          </cell>
        </row>
        <row r="1698">
          <cell r="A1698" t="str">
            <v>Summer</v>
          </cell>
          <cell r="B1698" t="str">
            <v>Summer</v>
          </cell>
          <cell r="C1698" t="str">
            <v>Morph Moth</v>
          </cell>
          <cell r="D1698">
            <v>14</v>
          </cell>
          <cell r="E1698" t="str">
            <v>Master</v>
          </cell>
          <cell r="F1698" t="str">
            <v>Kaizo</v>
          </cell>
          <cell r="G1698">
            <v>45268</v>
          </cell>
          <cell r="H1698" t="str">
            <v>35655</v>
          </cell>
          <cell r="I1698" t="str">
            <v>https://www.smwcentral.net/?a=details&amp;id=35655&amp;p=section</v>
          </cell>
          <cell r="J1698" t="str">
            <v>https://dl.smwcentral.net/35655/Summer.zip</v>
          </cell>
        </row>
        <row r="1699">
          <cell r="A1699" t="str">
            <v>Summer Season</v>
          </cell>
          <cell r="B1699" t="str">
            <v>Summer Season</v>
          </cell>
          <cell r="C1699" t="str">
            <v>RussianMan</v>
          </cell>
          <cell r="D1699">
            <v>5</v>
          </cell>
          <cell r="E1699" t="str">
            <v>Casual</v>
          </cell>
          <cell r="F1699" t="str">
            <v>Standard</v>
          </cell>
          <cell r="G1699">
            <v>42616</v>
          </cell>
          <cell r="H1699" t="str">
            <v>14202</v>
          </cell>
          <cell r="I1699" t="str">
            <v>https://www.smwcentral.net/?a=details&amp;id=14202&amp;p=section</v>
          </cell>
          <cell r="J1699" t="str">
            <v>https://dl.smwcentral.net/14202/Summer%20Season%20V.1.05.zip</v>
          </cell>
        </row>
        <row r="1700">
          <cell r="A1700" t="str">
            <v>Sunny Side World</v>
          </cell>
          <cell r="B1700" t="str">
            <v>Sunny Side World</v>
          </cell>
          <cell r="C1700" t="str">
            <v>cwiarl</v>
          </cell>
          <cell r="D1700">
            <v>7</v>
          </cell>
          <cell r="E1700" t="str">
            <v>Newcomer</v>
          </cell>
          <cell r="F1700" t="str">
            <v>Standard</v>
          </cell>
          <cell r="G1700">
            <v>41447</v>
          </cell>
          <cell r="H1700" t="str">
            <v>5024</v>
          </cell>
          <cell r="I1700" t="str">
            <v>https://www.smwcentral.net/?a=details&amp;id=5024&amp;p=section</v>
          </cell>
          <cell r="J1700" t="str">
            <v>https://dl.smwcentral.net/5024/ssworld.zip</v>
          </cell>
        </row>
        <row r="1701">
          <cell r="A1701" t="str">
            <v>Super "Mario" World</v>
          </cell>
          <cell r="B1701" t="str">
            <v>Super "Mario" World</v>
          </cell>
          <cell r="C1701" t="str">
            <v>1UPdudes</v>
          </cell>
          <cell r="D1701">
            <v>35</v>
          </cell>
          <cell r="E1701" t="str">
            <v>Newcomer</v>
          </cell>
          <cell r="F1701" t="str">
            <v>Standard</v>
          </cell>
          <cell r="G1701">
            <v>41585</v>
          </cell>
          <cell r="H1701" t="str">
            <v>5443</v>
          </cell>
          <cell r="I1701" t="str">
            <v>https://www.smwcentral.net/?a=details&amp;id=5443&amp;p=section</v>
          </cell>
          <cell r="J1701" t="str">
            <v>https://dl.smwcentral.net/5443/1UPSuperMarioWorld.zip</v>
          </cell>
        </row>
        <row r="1702">
          <cell r="A1702" t="str">
            <v>Super "Mario" World 2</v>
          </cell>
          <cell r="B1702" t="str">
            <v>Super "Mario" World 2</v>
          </cell>
          <cell r="C1702" t="str">
            <v>1UPdudes</v>
          </cell>
          <cell r="D1702">
            <v>87</v>
          </cell>
          <cell r="E1702" t="str">
            <v>Intermediate</v>
          </cell>
          <cell r="F1702" t="str">
            <v>Standard</v>
          </cell>
          <cell r="G1702">
            <v>42316</v>
          </cell>
          <cell r="H1702" t="str">
            <v>10252</v>
          </cell>
          <cell r="I1702" t="str">
            <v>https://www.smwcentral.net/?a=details&amp;id=10252&amp;p=section</v>
          </cell>
          <cell r="J1702" t="str">
            <v>https://dl.smwcentral.net/10252/SuperMWV4.zip</v>
          </cell>
        </row>
        <row r="1703">
          <cell r="A1703" t="str">
            <v>Super "Sonic Saves the World" World</v>
          </cell>
          <cell r="B1703" t="str">
            <v>Super "Sonic Saves the World" World</v>
          </cell>
          <cell r="C1703" t="str">
            <v>YMM</v>
          </cell>
          <cell r="D1703">
            <v>69</v>
          </cell>
          <cell r="E1703" t="str">
            <v>Master</v>
          </cell>
          <cell r="F1703" t="str">
            <v>Kaizo</v>
          </cell>
          <cell r="G1703">
            <v>44939</v>
          </cell>
          <cell r="H1703" t="str">
            <v>32893</v>
          </cell>
          <cell r="I1703" t="str">
            <v>https://www.smwcentral.net/?a=details&amp;id=32893&amp;p=section</v>
          </cell>
          <cell r="J1703" t="str">
            <v>https://dl.smwcentral.net/32893/Super%20%27Sonic%20Saves%20the%20World%27%20World.zip</v>
          </cell>
        </row>
        <row r="1704">
          <cell r="A1704" t="str">
            <v>Super Adam World</v>
          </cell>
          <cell r="B1704" t="str">
            <v>Super Adam World</v>
          </cell>
          <cell r="C1704" t="str">
            <v>kellykelster</v>
          </cell>
          <cell r="D1704">
            <v>9</v>
          </cell>
          <cell r="E1704" t="str">
            <v>Intermediate</v>
          </cell>
          <cell r="F1704" t="str">
            <v>Standard</v>
          </cell>
          <cell r="G1704">
            <v>44167</v>
          </cell>
          <cell r="H1704" t="str">
            <v>24931</v>
          </cell>
          <cell r="I1704" t="str">
            <v>https://www.smwcentral.net/?a=details&amp;id=24931&amp;p=section</v>
          </cell>
          <cell r="J1704" t="str">
            <v>https://dl.smwcentral.net/24931/adamworld.zip</v>
          </cell>
        </row>
        <row r="1705">
          <cell r="A1705" t="str">
            <v>Super Alabama Beach Mouse</v>
          </cell>
          <cell r="B1705" t="str">
            <v>Super Alabama Beach Mouse</v>
          </cell>
          <cell r="C1705" t="str">
            <v>marvisjj</v>
          </cell>
          <cell r="D1705">
            <v>7</v>
          </cell>
          <cell r="E1705" t="str">
            <v>Grandmaster</v>
          </cell>
          <cell r="F1705" t="str">
            <v>Kaizo</v>
          </cell>
          <cell r="G1705">
            <v>45377</v>
          </cell>
          <cell r="H1705" t="str">
            <v>37478</v>
          </cell>
          <cell r="I1705" t="str">
            <v>https://www.smwcentral.net/?a=details&amp;id=37478&amp;p=section</v>
          </cell>
          <cell r="J1705" t="str">
            <v>https://dl.smwcentral.net/37478/Super%20Alabama%20Beach%20Mouse.zip</v>
          </cell>
        </row>
        <row r="1706">
          <cell r="A1706" t="str">
            <v>Super Alex Demo</v>
          </cell>
          <cell r="B1706" t="str">
            <v>Super Alex Demo</v>
          </cell>
          <cell r="C1706" t="str">
            <v>Ding_Dong</v>
          </cell>
          <cell r="D1706">
            <v>7</v>
          </cell>
          <cell r="E1706" t="str">
            <v>Casual</v>
          </cell>
          <cell r="F1706" t="str">
            <v>Standard</v>
          </cell>
          <cell r="G1706">
            <v>46170</v>
          </cell>
          <cell r="H1706" t="str">
            <v>42415</v>
          </cell>
          <cell r="I1706" t="str">
            <v>https://www.smwcentral.net/?a=details&amp;id=42415&amp;p=section</v>
          </cell>
          <cell r="J1706" t="str">
            <v>https://dl.smwcentral.net/42415/Super%20Alex%20Demo.zip</v>
          </cell>
        </row>
        <row r="1707">
          <cell r="A1707" t="str">
            <v>Super Alicorn Sisters: Return of the Tantabus (A My Little Pony hack)</v>
          </cell>
          <cell r="B1707" t="str">
            <v>Super Alicorn Sisters: Return of the Tantabus (A My Little Pony hack)</v>
          </cell>
          <cell r="C1707" t="str">
            <v>DPBOX</v>
          </cell>
          <cell r="D1707">
            <v>6</v>
          </cell>
          <cell r="E1707" t="str">
            <v>Newcomer</v>
          </cell>
          <cell r="F1707" t="str">
            <v>Standard</v>
          </cell>
          <cell r="G1707">
            <v>43575</v>
          </cell>
          <cell r="H1707" t="str">
            <v>19706</v>
          </cell>
          <cell r="I1707" t="str">
            <v>https://www.smwcentral.net/?a=details&amp;id=19706&amp;p=section</v>
          </cell>
          <cell r="J1707" t="str">
            <v>https://dl.smwcentral.net/19706/Super%20Alicorn%20Sisters%20Return%20of%20the%20Tantabus%20DEMO%200.05.2.zip</v>
          </cell>
        </row>
        <row r="1708">
          <cell r="A1708" t="str">
            <v>Super Amazing World</v>
          </cell>
          <cell r="B1708" t="str">
            <v>Super Amazing World</v>
          </cell>
          <cell r="C1708" t="str">
            <v>uyuyuy99</v>
          </cell>
          <cell r="D1708">
            <v>8</v>
          </cell>
          <cell r="E1708" t="str">
            <v>Casual</v>
          </cell>
          <cell r="F1708" t="str">
            <v>Standard</v>
          </cell>
          <cell r="G1708">
            <v>42267</v>
          </cell>
          <cell r="H1708" t="str">
            <v>9945</v>
          </cell>
          <cell r="I1708" t="str">
            <v>https://www.smwcentral.net/?a=details&amp;id=9945&amp;p=section</v>
          </cell>
          <cell r="J1708" t="str">
            <v>https://dl.smwcentral.net/9945/super_amazing_world4.zip</v>
          </cell>
        </row>
        <row r="1709">
          <cell r="A1709" t="str">
            <v>Super Amethyst Rocks</v>
          </cell>
          <cell r="B1709" t="str">
            <v>Super Amethyst Rocks</v>
          </cell>
          <cell r="C1709" t="str">
            <v>shovda</v>
          </cell>
          <cell r="D1709">
            <v>36</v>
          </cell>
          <cell r="E1709" t="str">
            <v>Expert</v>
          </cell>
          <cell r="F1709" t="str">
            <v>Kaizo</v>
          </cell>
          <cell r="G1709">
            <v>44517</v>
          </cell>
          <cell r="H1709" t="str">
            <v>28818</v>
          </cell>
          <cell r="I1709" t="str">
            <v>https://www.smwcentral.net/?a=details&amp;id=28818&amp;p=section</v>
          </cell>
          <cell r="J1709" t="str">
            <v>https://dl.smwcentral.net/28818/Super%20Amethyst%20Rocks.zip</v>
          </cell>
        </row>
        <row r="1710">
          <cell r="A1710" t="str">
            <v>Super Ario World</v>
          </cell>
          <cell r="B1710" t="str">
            <v>Super Ario World</v>
          </cell>
          <cell r="C1710" t="str">
            <v>seintiago</v>
          </cell>
          <cell r="D1710">
            <v>6</v>
          </cell>
          <cell r="E1710" t="str">
            <v>Advanced</v>
          </cell>
          <cell r="F1710" t="str">
            <v>Standard, Kaizo</v>
          </cell>
          <cell r="G1710">
            <v>45374</v>
          </cell>
          <cell r="H1710" t="str">
            <v>34508</v>
          </cell>
          <cell r="I1710" t="str">
            <v>https://www.smwcentral.net/?a=details&amp;id=34508&amp;p=section</v>
          </cell>
          <cell r="J1710" t="str">
            <v>https://dl.smwcentral.net/34508/Super%20Ario%20World.zip</v>
          </cell>
        </row>
        <row r="1711">
          <cell r="A1711" t="str">
            <v>Super BanzaiChuck World</v>
          </cell>
          <cell r="B1711" t="str">
            <v>Super BanzaiChuck World</v>
          </cell>
          <cell r="C1711" t="str">
            <v>DoktorGroove</v>
          </cell>
          <cell r="D1711">
            <v>20</v>
          </cell>
          <cell r="E1711" t="str">
            <v>Master</v>
          </cell>
          <cell r="F1711" t="str">
            <v>Kaizo</v>
          </cell>
          <cell r="G1711">
            <v>46094</v>
          </cell>
          <cell r="H1711" t="str">
            <v>41691</v>
          </cell>
          <cell r="I1711" t="str">
            <v>https://www.smwcentral.net/?a=details&amp;id=41691&amp;p=section</v>
          </cell>
          <cell r="J1711" t="str">
            <v>https://dl.smwcentral.net/41691/SBCW_V1_1.zip</v>
          </cell>
        </row>
        <row r="1712">
          <cell r="A1712" t="str">
            <v>Super Beast World</v>
          </cell>
          <cell r="B1712" t="str">
            <v>Super Beast World</v>
          </cell>
          <cell r="C1712" t="str">
            <v>SuperBeastGN</v>
          </cell>
          <cell r="D1712">
            <v>10</v>
          </cell>
          <cell r="E1712" t="str">
            <v>Intermediate</v>
          </cell>
          <cell r="F1712" t="str">
            <v>Kaizo</v>
          </cell>
          <cell r="G1712">
            <v>43921</v>
          </cell>
          <cell r="H1712" t="str">
            <v>22519</v>
          </cell>
          <cell r="I1712" t="str">
            <v>https://www.smwcentral.net/?a=details&amp;id=22519&amp;p=section</v>
          </cell>
          <cell r="J1712" t="str">
            <v>https://dl.smwcentral.net/22519/Super%20Beast%20World%20v1.1.bps.zip</v>
          </cell>
        </row>
        <row r="1713">
          <cell r="A1713" t="str">
            <v>Super Beco World</v>
          </cell>
          <cell r="B1713" t="str">
            <v>Super Beco World</v>
          </cell>
          <cell r="C1713" t="str">
            <v>SKAW Adri</v>
          </cell>
          <cell r="D1713">
            <v>15</v>
          </cell>
          <cell r="E1713" t="str">
            <v>Advanced</v>
          </cell>
          <cell r="F1713" t="str">
            <v>Kaizo</v>
          </cell>
          <cell r="G1713">
            <v>44242</v>
          </cell>
          <cell r="H1713" t="str">
            <v>26187</v>
          </cell>
          <cell r="I1713" t="str">
            <v>https://www.smwcentral.net/?a=details&amp;id=26187&amp;p=section</v>
          </cell>
          <cell r="J1713" t="str">
            <v>https://dl.smwcentral.net/26187/Super%20Beco%20World.zip</v>
          </cell>
        </row>
        <row r="1714">
          <cell r="A1714" t="str">
            <v>Super Beco World 2</v>
          </cell>
          <cell r="B1714" t="str">
            <v>Super Beco World 2</v>
          </cell>
          <cell r="C1714" t="str">
            <v>SKAW Adri</v>
          </cell>
          <cell r="D1714">
            <v>14</v>
          </cell>
          <cell r="E1714" t="str">
            <v>Advanced</v>
          </cell>
          <cell r="F1714" t="str">
            <v>Kaizo</v>
          </cell>
          <cell r="G1714">
            <v>44145</v>
          </cell>
          <cell r="H1714" t="str">
            <v>25055</v>
          </cell>
          <cell r="I1714" t="str">
            <v>https://www.smwcentral.net/?a=details&amp;id=25055&amp;p=section</v>
          </cell>
          <cell r="J1714" t="str">
            <v>https://dl.smwcentral.net/25055/Super%20Beco%20World%202.zip</v>
          </cell>
        </row>
        <row r="1715">
          <cell r="A1715" t="str">
            <v>Super Beco World 3</v>
          </cell>
          <cell r="B1715" t="str">
            <v>Super Beco World 3</v>
          </cell>
          <cell r="C1715" t="str">
            <v>SKAW Adri</v>
          </cell>
          <cell r="D1715">
            <v>24</v>
          </cell>
          <cell r="E1715" t="str">
            <v>Advanced</v>
          </cell>
          <cell r="F1715" t="str">
            <v>Kaizo</v>
          </cell>
          <cell r="G1715">
            <v>44669</v>
          </cell>
          <cell r="H1715" t="str">
            <v>30305</v>
          </cell>
          <cell r="I1715" t="str">
            <v>https://www.smwcentral.net/?a=details&amp;id=30305&amp;p=section</v>
          </cell>
          <cell r="J1715" t="str">
            <v>https://dl.smwcentral.net/30305/Super%20Beco%20World%203%20v1.1.zip</v>
          </cell>
        </row>
        <row r="1716">
          <cell r="A1716" t="str">
            <v>Super Big Super Shy World</v>
          </cell>
          <cell r="B1716" t="str">
            <v>Super Big Super Shy World</v>
          </cell>
          <cell r="C1716" t="str">
            <v>TaddyMason74</v>
          </cell>
          <cell r="D1716">
            <v>30</v>
          </cell>
          <cell r="E1716" t="str">
            <v>Intermediate</v>
          </cell>
          <cell r="F1716" t="str">
            <v>Standard, Kaizo</v>
          </cell>
          <cell r="G1716">
            <v>44650</v>
          </cell>
          <cell r="H1716" t="str">
            <v>30199</v>
          </cell>
          <cell r="I1716" t="str">
            <v>https://www.smwcentral.net/?a=details&amp;id=30199&amp;p=section</v>
          </cell>
          <cell r="J1716" t="str">
            <v>https://dl.smwcentral.net/30199/SBSSW1.31.zip</v>
          </cell>
        </row>
        <row r="1717">
          <cell r="A1717" t="str">
            <v>Super Blooper</v>
          </cell>
          <cell r="B1717" t="str">
            <v>Super Blooper</v>
          </cell>
          <cell r="C1717" t="str">
            <v>Sonikku</v>
          </cell>
          <cell r="D1717">
            <v>11</v>
          </cell>
          <cell r="E1717" t="str">
            <v>Casual</v>
          </cell>
          <cell r="F1717" t="str">
            <v>Standard</v>
          </cell>
          <cell r="G1717">
            <v>42215</v>
          </cell>
          <cell r="H1717" t="str">
            <v>9642</v>
          </cell>
          <cell r="I1717" t="str">
            <v>https://www.smwcentral.net/?a=details&amp;id=9642&amp;p=section</v>
          </cell>
          <cell r="J1717" t="str">
            <v>https://dl.smwcentral.net/9642/SuperBlooperDemo1.zip</v>
          </cell>
        </row>
        <row r="1718">
          <cell r="A1718" t="str">
            <v>Super Boonie World</v>
          </cell>
          <cell r="B1718" t="str">
            <v>Super Boonie World</v>
          </cell>
          <cell r="C1718" t="str">
            <v>dubiousdinobot</v>
          </cell>
          <cell r="D1718">
            <v>18</v>
          </cell>
          <cell r="E1718" t="str">
            <v>Expert</v>
          </cell>
          <cell r="F1718" t="str">
            <v>Kaizo</v>
          </cell>
          <cell r="G1718">
            <v>45547</v>
          </cell>
          <cell r="H1718" t="str">
            <v>38415</v>
          </cell>
          <cell r="I1718" t="str">
            <v>https://www.smwcentral.net/?a=details&amp;id=38415&amp;p=section</v>
          </cell>
          <cell r="J1718" t="str">
            <v>https://dl.smwcentral.net/38415/Super%20Boonie%20World%20V1.2.zip</v>
          </cell>
        </row>
        <row r="1719">
          <cell r="A1719" t="str">
            <v>Super Breh World</v>
          </cell>
          <cell r="B1719" t="str">
            <v>Super Breh World</v>
          </cell>
          <cell r="C1719" t="str">
            <v>MagikNinja, xDropTheHammer</v>
          </cell>
          <cell r="D1719">
            <v>8</v>
          </cell>
          <cell r="E1719" t="str">
            <v>Advanced</v>
          </cell>
          <cell r="F1719" t="str">
            <v>Kaizo</v>
          </cell>
          <cell r="G1719">
            <v>45202</v>
          </cell>
          <cell r="H1719" t="str">
            <v>35008</v>
          </cell>
          <cell r="I1719" t="str">
            <v>https://www.smwcentral.net/?a=details&amp;id=35008&amp;p=section</v>
          </cell>
          <cell r="J1719" t="str">
            <v>https://dl.smwcentral.net/35008/SuperBrehWorldV.2.zip</v>
          </cell>
        </row>
        <row r="1720">
          <cell r="A1720" t="str">
            <v>Super Broke World</v>
          </cell>
          <cell r="B1720" t="str">
            <v>Super Broke World</v>
          </cell>
          <cell r="C1720" t="str">
            <v>ThirdWall</v>
          </cell>
          <cell r="D1720">
            <v>16</v>
          </cell>
          <cell r="E1720" t="str">
            <v>Master</v>
          </cell>
          <cell r="F1720" t="str">
            <v>Kaizo</v>
          </cell>
          <cell r="G1720">
            <v>44804</v>
          </cell>
          <cell r="H1720" t="str">
            <v>31821</v>
          </cell>
          <cell r="I1720" t="str">
            <v>https://www.smwcentral.net/?a=details&amp;id=31821&amp;p=section</v>
          </cell>
          <cell r="J1720" t="str">
            <v>https://dl.smwcentral.net/31821/Broke%20Fixed.zip</v>
          </cell>
        </row>
        <row r="1721">
          <cell r="A1721" t="str">
            <v>Super Bulti World</v>
          </cell>
          <cell r="B1721" t="str">
            <v>Super Bulti World</v>
          </cell>
          <cell r="C1721" t="str">
            <v>bulti</v>
          </cell>
          <cell r="D1721">
            <v>15</v>
          </cell>
          <cell r="E1721" t="str">
            <v>Advanced</v>
          </cell>
          <cell r="F1721" t="str">
            <v>Kaizo</v>
          </cell>
          <cell r="G1721">
            <v>45455</v>
          </cell>
          <cell r="H1721" t="str">
            <v>37921</v>
          </cell>
          <cell r="I1721" t="str">
            <v>https://www.smwcentral.net/?a=details&amp;id=37921&amp;p=section</v>
          </cell>
          <cell r="J1721" t="str">
            <v>https://dl.smwcentral.net/37921/Super%20Bulti%20World.zip</v>
          </cell>
        </row>
        <row r="1722">
          <cell r="A1722" t="str">
            <v>Super Butt World 2</v>
          </cell>
          <cell r="B1722" t="str">
            <v>Super Butt World 2</v>
          </cell>
          <cell r="C1722" t="str">
            <v>yogui</v>
          </cell>
          <cell r="D1722">
            <v>30</v>
          </cell>
          <cell r="E1722" t="str">
            <v>Master</v>
          </cell>
          <cell r="F1722" t="str">
            <v>Kaizo</v>
          </cell>
          <cell r="G1722">
            <v>43303</v>
          </cell>
          <cell r="H1722" t="str">
            <v>17898</v>
          </cell>
          <cell r="I1722" t="str">
            <v>https://www.smwcentral.net/?a=details&amp;id=17898&amp;p=section</v>
          </cell>
          <cell r="J1722" t="str">
            <v>https://dl.smwcentral.net/17898/butt2.zip</v>
          </cell>
        </row>
        <row r="1723">
          <cell r="A1723" t="str">
            <v>Super Challenge World</v>
          </cell>
          <cell r="B1723" t="str">
            <v>Super Challenge World</v>
          </cell>
          <cell r="C1723" t="str">
            <v>Nigel K.</v>
          </cell>
          <cell r="D1723">
            <v>113</v>
          </cell>
          <cell r="E1723" t="str">
            <v>Advanced</v>
          </cell>
          <cell r="F1723" t="str">
            <v>Standard</v>
          </cell>
          <cell r="G1723">
            <v>42320</v>
          </cell>
          <cell r="H1723" t="str">
            <v>9914</v>
          </cell>
          <cell r="I1723" t="str">
            <v>https://www.smwcentral.net/?a=details&amp;id=9914&amp;p=section</v>
          </cell>
          <cell r="J1723" t="str">
            <v>https://dl.smwcentral.net/9914/scw.zip</v>
          </cell>
        </row>
        <row r="1724">
          <cell r="A1724" t="str">
            <v>Super Chambo World</v>
          </cell>
          <cell r="B1724" t="str">
            <v>Super Chambo World</v>
          </cell>
          <cell r="C1724" t="str">
            <v>chester_fields</v>
          </cell>
          <cell r="D1724">
            <v>22</v>
          </cell>
          <cell r="E1724" t="str">
            <v>Expert</v>
          </cell>
          <cell r="F1724" t="str">
            <v>Kaizo</v>
          </cell>
          <cell r="G1724">
            <v>44672</v>
          </cell>
          <cell r="H1724" t="str">
            <v>30424</v>
          </cell>
          <cell r="I1724" t="str">
            <v>https://www.smwcentral.net/?a=details&amp;id=30424&amp;p=section</v>
          </cell>
          <cell r="J1724" t="str">
            <v>https://dl.smwcentral.net/30424/Super%20Chambo%20World%201.1.zip</v>
          </cell>
        </row>
        <row r="1725">
          <cell r="A1725" t="str">
            <v>Super Cheer World</v>
          </cell>
          <cell r="B1725" t="str">
            <v>Super Cheer World</v>
          </cell>
          <cell r="C1725" t="str">
            <v>HLXY</v>
          </cell>
          <cell r="D1725">
            <v>25</v>
          </cell>
          <cell r="E1725" t="str">
            <v>Expert</v>
          </cell>
          <cell r="F1725" t="str">
            <v>Kaizo</v>
          </cell>
          <cell r="G1725">
            <v>43499</v>
          </cell>
          <cell r="H1725" t="str">
            <v>19007</v>
          </cell>
          <cell r="I1725" t="str">
            <v>https://www.smwcentral.net/?a=details&amp;id=19007&amp;p=section</v>
          </cell>
          <cell r="J1725" t="str">
            <v>https://dl.smwcentral.net/19007/Super%20Cheer%20World.zip</v>
          </cell>
        </row>
        <row r="1726">
          <cell r="A1726" t="str">
            <v>Super Chill World</v>
          </cell>
          <cell r="B1726" t="str">
            <v>Super Chill World</v>
          </cell>
          <cell r="C1726" t="str">
            <v>MellowYouth</v>
          </cell>
          <cell r="D1726">
            <v>13</v>
          </cell>
          <cell r="E1726" t="str">
            <v>Advanced</v>
          </cell>
          <cell r="F1726" t="str">
            <v>Kaizo</v>
          </cell>
          <cell r="G1726">
            <v>44163</v>
          </cell>
          <cell r="H1726" t="str">
            <v>25008</v>
          </cell>
          <cell r="I1726" t="str">
            <v>https://www.smwcentral.net/?a=details&amp;id=25008&amp;p=section</v>
          </cell>
          <cell r="J1726" t="str">
            <v>https://dl.smwcentral.net/25008/Super%20Chill%20World%20v2.zip</v>
          </cell>
        </row>
        <row r="1727">
          <cell r="A1727" t="str">
            <v>Super Chocolate: The Insane Islands</v>
          </cell>
          <cell r="B1727" t="str">
            <v>Super Chocolate: The Insane Islands</v>
          </cell>
          <cell r="C1727" t="str">
            <v>Pozeal</v>
          </cell>
          <cell r="D1727">
            <v>9</v>
          </cell>
          <cell r="E1727" t="str">
            <v>Casual</v>
          </cell>
          <cell r="F1727" t="str">
            <v>Standard</v>
          </cell>
          <cell r="G1727">
            <v>42114</v>
          </cell>
          <cell r="H1727" t="str">
            <v>9727</v>
          </cell>
          <cell r="I1727" t="str">
            <v>https://www.smwcentral.net/?a=details&amp;id=9727&amp;p=section</v>
          </cell>
          <cell r="J1727" t="str">
            <v>https://dl.smwcentral.net/9727/Super%20Choco-The%20Insane%20Islands.zip</v>
          </cell>
        </row>
        <row r="1728">
          <cell r="A1728" t="str">
            <v>Super Cindy World</v>
          </cell>
          <cell r="B1728" t="str">
            <v>Super Cindy World</v>
          </cell>
          <cell r="C1728" t="str">
            <v>The_Uber_Camper</v>
          </cell>
          <cell r="D1728">
            <v>14</v>
          </cell>
          <cell r="E1728" t="str">
            <v>Intermediate</v>
          </cell>
          <cell r="F1728" t="str">
            <v>Kaizo</v>
          </cell>
          <cell r="G1728">
            <v>44247</v>
          </cell>
          <cell r="H1728" t="str">
            <v>26197</v>
          </cell>
          <cell r="I1728" t="str">
            <v>https://www.smwcentral.net/?a=details&amp;id=26197&amp;p=section</v>
          </cell>
          <cell r="J1728" t="str">
            <v>https://dl.smwcentral.net/26197/SuperCindyWorld.zip</v>
          </cell>
        </row>
        <row r="1729">
          <cell r="A1729" t="str">
            <v>Super Cindy World 2</v>
          </cell>
          <cell r="B1729" t="str">
            <v>Super Cindy World 2</v>
          </cell>
          <cell r="C1729" t="str">
            <v>The_Uber_Camper</v>
          </cell>
          <cell r="D1729">
            <v>24</v>
          </cell>
          <cell r="E1729" t="str">
            <v>Intermediate</v>
          </cell>
          <cell r="F1729" t="str">
            <v>Kaizo</v>
          </cell>
          <cell r="G1729">
            <v>44372</v>
          </cell>
          <cell r="H1729" t="str">
            <v>27116</v>
          </cell>
          <cell r="I1729" t="str">
            <v>https://www.smwcentral.net/?a=details&amp;id=27116&amp;p=section</v>
          </cell>
          <cell r="J1729" t="str">
            <v>https://dl.smwcentral.net/27116/Super%20Cindy%20World%202%20v1.03.zip</v>
          </cell>
        </row>
        <row r="1730">
          <cell r="A1730" t="str">
            <v>Super Cindy World 3</v>
          </cell>
          <cell r="B1730" t="str">
            <v>Super Cindy World 3</v>
          </cell>
          <cell r="C1730" t="str">
            <v>The_Uber_Camper</v>
          </cell>
          <cell r="D1730">
            <v>29</v>
          </cell>
          <cell r="E1730" t="str">
            <v>Intermediate</v>
          </cell>
          <cell r="F1730" t="str">
            <v>Kaizo</v>
          </cell>
          <cell r="G1730">
            <v>44601</v>
          </cell>
          <cell r="H1730" t="str">
            <v>29715</v>
          </cell>
          <cell r="I1730" t="str">
            <v>https://www.smwcentral.net/?a=details&amp;id=29715&amp;p=section</v>
          </cell>
          <cell r="J1730" t="str">
            <v>https://dl.smwcentral.net/29715/SuperCindyWorld3.zip</v>
          </cell>
        </row>
        <row r="1731">
          <cell r="A1731" t="str">
            <v>Super Compact World</v>
          </cell>
          <cell r="B1731" t="str">
            <v>Super Compact World</v>
          </cell>
          <cell r="C1731" t="str">
            <v>Atomic-Citrus</v>
          </cell>
          <cell r="D1731">
            <v>19</v>
          </cell>
          <cell r="E1731" t="str">
            <v>Advanced</v>
          </cell>
          <cell r="F1731" t="str">
            <v>Standard</v>
          </cell>
          <cell r="G1731">
            <v>43798</v>
          </cell>
          <cell r="H1731" t="str">
            <v>21323</v>
          </cell>
          <cell r="I1731" t="str">
            <v>https://www.smwcentral.net/?a=details&amp;id=21323&amp;p=section</v>
          </cell>
          <cell r="J1731" t="str">
            <v>https://dl.smwcentral.net/21323/Super%20Compact%20World%20Submission.zip</v>
          </cell>
        </row>
        <row r="1732">
          <cell r="A1732" t="str">
            <v>Super Conan Land</v>
          </cell>
          <cell r="B1732" t="str">
            <v>Super Conan Land</v>
          </cell>
          <cell r="C1732" t="str">
            <v>Chosentw0</v>
          </cell>
          <cell r="D1732">
            <v>1</v>
          </cell>
          <cell r="E1732" t="str">
            <v>Intermediate</v>
          </cell>
          <cell r="F1732" t="str">
            <v>Kaizo, Tool-Assisted</v>
          </cell>
          <cell r="G1732">
            <v>42583</v>
          </cell>
          <cell r="H1732" t="str">
            <v>13833</v>
          </cell>
          <cell r="I1732" t="str">
            <v>https://www.smwcentral.net/?a=details&amp;id=13833&amp;p=section</v>
          </cell>
          <cell r="J1732" t="str">
            <v>https://dl.smwcentral.net/13833/SuperConanLand.zip</v>
          </cell>
        </row>
        <row r="1733">
          <cell r="A1733" t="str">
            <v>Super Conan World</v>
          </cell>
          <cell r="B1733" t="str">
            <v>Super Conan World</v>
          </cell>
          <cell r="C1733" t="str">
            <v>Chosentw0</v>
          </cell>
          <cell r="D1733">
            <v>3</v>
          </cell>
          <cell r="E1733" t="str">
            <v>Intermediate</v>
          </cell>
          <cell r="F1733" t="str">
            <v>Kaizo, Tool-Assisted</v>
          </cell>
          <cell r="G1733">
            <v>43350</v>
          </cell>
          <cell r="H1733" t="str">
            <v>18067</v>
          </cell>
          <cell r="I1733" t="str">
            <v>https://www.smwcentral.net/?a=details&amp;id=18067&amp;p=section</v>
          </cell>
          <cell r="J1733" t="str">
            <v>https://dl.smwcentral.net/18067/SCW.zip</v>
          </cell>
        </row>
        <row r="1734">
          <cell r="A1734" t="str">
            <v>Super Cool World</v>
          </cell>
          <cell r="B1734" t="str">
            <v>Super Cool World</v>
          </cell>
          <cell r="C1734" t="str">
            <v>FerpyMcFrosting</v>
          </cell>
          <cell r="D1734">
            <v>24</v>
          </cell>
          <cell r="E1734" t="str">
            <v>Expert</v>
          </cell>
          <cell r="F1734" t="str">
            <v>Kaizo</v>
          </cell>
          <cell r="G1734">
            <v>43466</v>
          </cell>
          <cell r="H1734" t="str">
            <v>18738</v>
          </cell>
          <cell r="I1734" t="str">
            <v>https://www.smwcentral.net/?a=details&amp;id=18738&amp;p=section</v>
          </cell>
          <cell r="J1734" t="str">
            <v>https://dl.smwcentral.net/18738/Super%20Cool%20World%20v1.0.zip</v>
          </cell>
        </row>
        <row r="1735">
          <cell r="A1735" t="str">
            <v>Super Corn World</v>
          </cell>
          <cell r="B1735" t="str">
            <v>Super Corn World</v>
          </cell>
          <cell r="C1735" t="str">
            <v>PopCorn181</v>
          </cell>
          <cell r="D1735">
            <v>8</v>
          </cell>
          <cell r="E1735" t="str">
            <v>Advanced</v>
          </cell>
          <cell r="F1735" t="str">
            <v>Kaizo</v>
          </cell>
          <cell r="G1735">
            <v>45725</v>
          </cell>
          <cell r="H1735" t="str">
            <v>39453</v>
          </cell>
          <cell r="I1735" t="str">
            <v>https://www.smwcentral.net/?a=details&amp;id=39453&amp;p=section</v>
          </cell>
          <cell r="J1735" t="str">
            <v>https://dl.smwcentral.net/39453/Super%20Corn%20World.zip</v>
          </cell>
        </row>
        <row r="1736">
          <cell r="A1736" t="str">
            <v>Super Corn World II</v>
          </cell>
          <cell r="B1736" t="str">
            <v>Super Corn World II</v>
          </cell>
          <cell r="C1736" t="str">
            <v>PopCorn181</v>
          </cell>
          <cell r="D1736">
            <v>11</v>
          </cell>
          <cell r="E1736" t="str">
            <v>Advanced</v>
          </cell>
          <cell r="F1736" t="str">
            <v>Kaizo</v>
          </cell>
          <cell r="G1736">
            <v>45750</v>
          </cell>
          <cell r="H1736" t="str">
            <v>39684</v>
          </cell>
          <cell r="I1736" t="str">
            <v>https://www.smwcentral.net/?a=details&amp;id=39684&amp;p=section</v>
          </cell>
          <cell r="J1736" t="str">
            <v>https://dl.smwcentral.net/39684/Super%20Corn%20World%20II.zip</v>
          </cell>
        </row>
        <row r="1737">
          <cell r="A1737" t="str">
            <v>Super Corn World III</v>
          </cell>
          <cell r="B1737" t="str">
            <v>Super Corn World III</v>
          </cell>
          <cell r="C1737" t="str">
            <v>PopCorn181</v>
          </cell>
          <cell r="D1737">
            <v>15</v>
          </cell>
          <cell r="E1737" t="str">
            <v>Expert</v>
          </cell>
          <cell r="F1737" t="str">
            <v>Kaizo</v>
          </cell>
          <cell r="G1737">
            <v>45814</v>
          </cell>
          <cell r="H1737" t="str">
            <v>39936</v>
          </cell>
          <cell r="I1737" t="str">
            <v>https://www.smwcentral.net/?a=details&amp;id=39936&amp;p=section</v>
          </cell>
          <cell r="J1737" t="str">
            <v>https://dl.smwcentral.net/39936/scw3.zip</v>
          </cell>
        </row>
        <row r="1738">
          <cell r="A1738" t="str">
            <v>Super Corruptendo World: The Mini HAX</v>
          </cell>
          <cell r="B1738" t="str">
            <v>Super Corruptendo World: The Mini HAX</v>
          </cell>
          <cell r="C1738" t="str">
            <v>Illusiyellow</v>
          </cell>
          <cell r="D1738">
            <v>0</v>
          </cell>
          <cell r="E1738" t="str">
            <v>Newcomer</v>
          </cell>
          <cell r="F1738" t="str">
            <v>Standard</v>
          </cell>
          <cell r="G1738">
            <v>42222</v>
          </cell>
          <cell r="H1738" t="str">
            <v>9637</v>
          </cell>
          <cell r="I1738" t="str">
            <v>https://www.smwcentral.net/?a=details&amp;id=9637&amp;p=section</v>
          </cell>
          <cell r="J1738" t="str">
            <v>https://dl.smwcentral.net/9637/SCW_The_Mini_Hacks.zip</v>
          </cell>
        </row>
        <row r="1739">
          <cell r="A1739" t="str">
            <v>Super cRazy world</v>
          </cell>
          <cell r="B1739" t="str">
            <v>Super cRazy world</v>
          </cell>
          <cell r="C1739" t="str">
            <v>TheTim_aka_Timmifutz</v>
          </cell>
          <cell r="D1739">
            <v>8</v>
          </cell>
          <cell r="E1739" t="str">
            <v>Newcomer</v>
          </cell>
          <cell r="F1739" t="str">
            <v>Standard</v>
          </cell>
          <cell r="G1739">
            <v>42338</v>
          </cell>
          <cell r="H1739" t="str">
            <v>10105</v>
          </cell>
          <cell r="I1739" t="str">
            <v>https://www.smwcentral.net/?a=details&amp;id=10105&amp;p=section</v>
          </cell>
          <cell r="J1739" t="str">
            <v>https://dl.smwcentral.net/10105/super%20cRazy%20world.zip</v>
          </cell>
        </row>
        <row r="1740">
          <cell r="A1740" t="str">
            <v>Super Creme World</v>
          </cell>
          <cell r="B1740" t="str">
            <v>Super Creme World</v>
          </cell>
          <cell r="C1740" t="str">
            <v>TheMURAmatsu</v>
          </cell>
          <cell r="D1740">
            <v>14</v>
          </cell>
          <cell r="E1740" t="str">
            <v>Advanced</v>
          </cell>
          <cell r="F1740" t="str">
            <v>Kaizo</v>
          </cell>
          <cell r="G1740">
            <v>43881</v>
          </cell>
          <cell r="H1740" t="str">
            <v>22171</v>
          </cell>
          <cell r="I1740" t="str">
            <v>https://www.smwcentral.net/?a=details&amp;id=22171&amp;p=section</v>
          </cell>
          <cell r="J1740" t="str">
            <v>https://dl.smwcentral.net/22171/Super%20Creme%20World.zip</v>
          </cell>
        </row>
        <row r="1741">
          <cell r="A1741" t="str">
            <v>Super Curious World</v>
          </cell>
          <cell r="B1741" t="str">
            <v>Super Curious World</v>
          </cell>
          <cell r="C1741" t="str">
            <v>team_love</v>
          </cell>
          <cell r="D1741">
            <v>16</v>
          </cell>
          <cell r="E1741" t="str">
            <v>Expert</v>
          </cell>
          <cell r="F1741" t="str">
            <v>Kaizo</v>
          </cell>
          <cell r="G1741">
            <v>45473</v>
          </cell>
          <cell r="H1741" t="str">
            <v>37951</v>
          </cell>
          <cell r="I1741" t="str">
            <v>https://www.smwcentral.net/?a=details&amp;id=37951&amp;p=section</v>
          </cell>
          <cell r="J1741" t="str">
            <v>https://dl.smwcentral.net/37951/Super%20Curious%20World%201.2.zip</v>
          </cell>
        </row>
        <row r="1742">
          <cell r="A1742" t="str">
            <v>Super Daisy World</v>
          </cell>
          <cell r="B1742" t="str">
            <v>Super Daisy World</v>
          </cell>
          <cell r="C1742" t="str">
            <v>MarioIsTheBest1234</v>
          </cell>
          <cell r="D1742">
            <v>21</v>
          </cell>
          <cell r="E1742" t="str">
            <v>Casual</v>
          </cell>
          <cell r="F1742" t="str">
            <v>Standard</v>
          </cell>
          <cell r="G1742">
            <v>45948</v>
          </cell>
          <cell r="H1742" t="str">
            <v>40498</v>
          </cell>
          <cell r="I1742" t="str">
            <v>https://www.smwcentral.net/?a=details&amp;id=40498&amp;p=section</v>
          </cell>
          <cell r="J1742" t="str">
            <v>https://dl.smwcentral.net/40498/Super%20%20Daisy%20World.zip</v>
          </cell>
        </row>
        <row r="1743">
          <cell r="A1743" t="str">
            <v>Super Dank World</v>
          </cell>
          <cell r="B1743" t="str">
            <v>Super Dank World</v>
          </cell>
          <cell r="C1743" t="str">
            <v>Firstnamebutt</v>
          </cell>
          <cell r="D1743">
            <v>19</v>
          </cell>
          <cell r="E1743" t="str">
            <v>Advanced</v>
          </cell>
          <cell r="F1743" t="str">
            <v>Kaizo</v>
          </cell>
          <cell r="G1743">
            <v>45182</v>
          </cell>
          <cell r="H1743" t="str">
            <v>34970</v>
          </cell>
          <cell r="I1743" t="str">
            <v>https://www.smwcentral.net/?a=details&amp;id=34970&amp;p=section</v>
          </cell>
          <cell r="J1743" t="str">
            <v>https://dl.smwcentral.net/34970/Super_Dank_World.zip</v>
          </cell>
        </row>
        <row r="1744">
          <cell r="A1744" t="str">
            <v>Super Dazran World</v>
          </cell>
          <cell r="B1744" t="str">
            <v>Super Dazran World</v>
          </cell>
          <cell r="C1744" t="str">
            <v>MatthewGamingLive</v>
          </cell>
          <cell r="D1744">
            <v>17</v>
          </cell>
          <cell r="E1744" t="str">
            <v>Casual</v>
          </cell>
          <cell r="F1744" t="str">
            <v>Standard</v>
          </cell>
          <cell r="G1744">
            <v>43181</v>
          </cell>
          <cell r="H1744" t="str">
            <v>17266</v>
          </cell>
          <cell r="I1744" t="str">
            <v>https://www.smwcentral.net/?a=details&amp;id=17266&amp;p=section</v>
          </cell>
          <cell r="J1744" t="str">
            <v>https://dl.smwcentral.net/17266/Super%20Dazran%20World%20Demo%202.zip</v>
          </cell>
        </row>
        <row r="1745">
          <cell r="A1745" t="str">
            <v>Super DB World</v>
          </cell>
          <cell r="B1745" t="str">
            <v>Super DB World</v>
          </cell>
          <cell r="C1745" t="str">
            <v>Jordan</v>
          </cell>
          <cell r="D1745">
            <v>17</v>
          </cell>
          <cell r="E1745" t="str">
            <v>Expert</v>
          </cell>
          <cell r="F1745" t="str">
            <v>Kaizo</v>
          </cell>
          <cell r="G1745">
            <v>44263</v>
          </cell>
          <cell r="H1745" t="str">
            <v>26319</v>
          </cell>
          <cell r="I1745" t="str">
            <v>https://www.smwcentral.net/?a=details&amp;id=26319&amp;p=section</v>
          </cell>
          <cell r="J1745" t="str">
            <v>https://dl.smwcentral.net/26319/Super%20DB%20World.zip</v>
          </cell>
        </row>
        <row r="1746">
          <cell r="A1746" t="str">
            <v>Super Deboche World</v>
          </cell>
          <cell r="B1746" t="str">
            <v>Super Deboche World</v>
          </cell>
          <cell r="C1746" t="str">
            <v>AleGames</v>
          </cell>
          <cell r="D1746">
            <v>28</v>
          </cell>
          <cell r="E1746" t="str">
            <v>Intermediate</v>
          </cell>
          <cell r="F1746" t="str">
            <v>Standard</v>
          </cell>
          <cell r="G1746">
            <v>44850</v>
          </cell>
          <cell r="H1746" t="str">
            <v>32346</v>
          </cell>
          <cell r="I1746" t="str">
            <v>https://www.smwcentral.net/?a=details&amp;id=32346&amp;p=section</v>
          </cell>
          <cell r="J1746" t="str">
            <v>https://dl.smwcentral.net/32346/Super%20Deboche%20World.zip</v>
          </cell>
        </row>
        <row r="1747">
          <cell r="A1747" t="str">
            <v>Super Demo World</v>
          </cell>
          <cell r="B1747" t="str">
            <v>Super Demo World</v>
          </cell>
          <cell r="C1747" t="str">
            <v>FuSoYa</v>
          </cell>
          <cell r="D1747">
            <v>6</v>
          </cell>
          <cell r="E1747" t="str">
            <v>Intermediate</v>
          </cell>
          <cell r="F1747" t="str">
            <v>Standard</v>
          </cell>
          <cell r="G1747">
            <v>42047</v>
          </cell>
          <cell r="H1747" t="str">
            <v>9679</v>
          </cell>
          <cell r="I1747" t="str">
            <v>https://www.smwcentral.net/?a=details&amp;id=9679&amp;p=section</v>
          </cell>
          <cell r="J1747" t="str">
            <v>https://dl.smwcentral.net/9679/demoworld.zip</v>
          </cell>
        </row>
        <row r="1748">
          <cell r="A1748" t="str">
            <v>Super Demo World 3</v>
          </cell>
          <cell r="B1748" t="str">
            <v>Super Demo World 3</v>
          </cell>
          <cell r="C1748" t="str">
            <v>DJ Bouche, FuSoYa</v>
          </cell>
          <cell r="D1748">
            <v>9</v>
          </cell>
          <cell r="E1748" t="str">
            <v>Casual</v>
          </cell>
          <cell r="F1748" t="str">
            <v>Standard</v>
          </cell>
          <cell r="G1748">
            <v>42223</v>
          </cell>
          <cell r="H1748" t="str">
            <v>9825</v>
          </cell>
          <cell r="I1748" t="str">
            <v>https://www.smwcentral.net/?a=details&amp;id=9825&amp;p=section</v>
          </cell>
          <cell r="J1748" t="str">
            <v>https://dl.smwcentral.net/9825/Super%20Demo%20World%203.zip</v>
          </cell>
        </row>
        <row r="1749">
          <cell r="A1749" t="str">
            <v>Super Demo World: The Legend Continues</v>
          </cell>
          <cell r="B1749" t="str">
            <v>Super Demo World: The Legend Continues</v>
          </cell>
          <cell r="C1749" t="str">
            <v>FuSoYa, Zero-G</v>
          </cell>
          <cell r="D1749">
            <v>120</v>
          </cell>
          <cell r="E1749" t="str">
            <v>Advanced</v>
          </cell>
          <cell r="F1749" t="str">
            <v>Standard</v>
          </cell>
          <cell r="G1749">
            <v>42213</v>
          </cell>
          <cell r="H1749" t="str">
            <v>9678</v>
          </cell>
          <cell r="I1749" t="str">
            <v>https://www.smwcentral.net/?a=details&amp;id=9678&amp;p=section</v>
          </cell>
          <cell r="J1749" t="str">
            <v>https://dl.smwcentral.net/9678/downlaod.zip</v>
          </cell>
        </row>
        <row r="1750">
          <cell r="A1750" t="str">
            <v>Super Denis World</v>
          </cell>
          <cell r="B1750" t="str">
            <v>Super Denis World</v>
          </cell>
          <cell r="C1750" t="str">
            <v>Tony.Metcalfe</v>
          </cell>
          <cell r="D1750">
            <v>17</v>
          </cell>
          <cell r="E1750" t="str">
            <v>Expert</v>
          </cell>
          <cell r="F1750" t="str">
            <v>Kaizo</v>
          </cell>
          <cell r="G1750">
            <v>43388</v>
          </cell>
          <cell r="H1750" t="str">
            <v>18286</v>
          </cell>
          <cell r="I1750" t="str">
            <v>https://www.smwcentral.net/?a=details&amp;id=18286&amp;p=section</v>
          </cell>
          <cell r="J1750" t="str">
            <v>https://dl.smwcentral.net/18286/SuperDenisWorld_VF5.zip</v>
          </cell>
        </row>
        <row r="1751">
          <cell r="A1751" t="str">
            <v>Super Destructive World</v>
          </cell>
          <cell r="B1751" t="str">
            <v>Super Destructive World</v>
          </cell>
          <cell r="C1751" t="str">
            <v>SuperBeastGN</v>
          </cell>
          <cell r="D1751">
            <v>21</v>
          </cell>
          <cell r="E1751" t="str">
            <v>Intermediate</v>
          </cell>
          <cell r="F1751" t="str">
            <v>Kaizo</v>
          </cell>
          <cell r="G1751">
            <v>44584</v>
          </cell>
          <cell r="H1751" t="str">
            <v>29568</v>
          </cell>
          <cell r="I1751" t="str">
            <v>https://www.smwcentral.net/?a=details&amp;id=29568&amp;p=section</v>
          </cell>
          <cell r="J1751" t="str">
            <v>https://dl.smwcentral.net/29568/SuperDestructiveWorldV1.1.bps.zip</v>
          </cell>
        </row>
        <row r="1752">
          <cell r="A1752" t="str">
            <v>Super DGR World</v>
          </cell>
          <cell r="B1752" t="str">
            <v>Super DGR World</v>
          </cell>
          <cell r="C1752" t="str">
            <v>Sweetdude</v>
          </cell>
          <cell r="D1752">
            <v>32</v>
          </cell>
          <cell r="E1752" t="str">
            <v>Advanced</v>
          </cell>
          <cell r="F1752" t="str">
            <v>Kaizo</v>
          </cell>
          <cell r="G1752">
            <v>43349</v>
          </cell>
          <cell r="H1752" t="str">
            <v>18131</v>
          </cell>
          <cell r="I1752" t="str">
            <v>https://www.smwcentral.net/?a=details&amp;id=18131&amp;p=section</v>
          </cell>
          <cell r="J1752" t="str">
            <v>https://dl.smwcentral.net/18131/Super%20DGR%20World1.6.zip</v>
          </cell>
        </row>
        <row r="1753">
          <cell r="A1753" t="str">
            <v>Super Dram World</v>
          </cell>
          <cell r="B1753" t="str">
            <v>Super Dram World</v>
          </cell>
          <cell r="C1753" t="str">
            <v>PangaeaPanga</v>
          </cell>
          <cell r="D1753">
            <v>19</v>
          </cell>
          <cell r="E1753" t="str">
            <v>Master</v>
          </cell>
          <cell r="F1753" t="str">
            <v>Kaizo</v>
          </cell>
          <cell r="G1753">
            <v>45927</v>
          </cell>
          <cell r="H1753" t="str">
            <v>40663</v>
          </cell>
          <cell r="I1753" t="str">
            <v>https://www.smwcentral.net/?a=details&amp;id=40663&amp;p=section</v>
          </cell>
          <cell r="J1753" t="str">
            <v>https://dl.smwcentral.net/40663/Super%20Dram%20World%20v1.3.zip</v>
          </cell>
        </row>
        <row r="1754">
          <cell r="A1754" t="str">
            <v>Super Dram World 2</v>
          </cell>
          <cell r="B1754" t="str">
            <v>Super Dram World 2</v>
          </cell>
          <cell r="C1754" t="str">
            <v>PangaeaPanga</v>
          </cell>
          <cell r="D1754">
            <v>21</v>
          </cell>
          <cell r="E1754" t="str">
            <v>Master</v>
          </cell>
          <cell r="F1754" t="str">
            <v>Kaizo</v>
          </cell>
          <cell r="G1754">
            <v>45969</v>
          </cell>
          <cell r="H1754" t="str">
            <v>40662</v>
          </cell>
          <cell r="I1754" t="str">
            <v>https://www.smwcentral.net/?a=details&amp;id=40662&amp;p=section</v>
          </cell>
          <cell r="J1754" t="str">
            <v>https://dl.smwcentral.net/40662/Super%20Dram%20World%202%20v1.3.zip</v>
          </cell>
        </row>
        <row r="1755">
          <cell r="A1755" t="str">
            <v>Super Dram World 3</v>
          </cell>
          <cell r="B1755" t="str">
            <v>Super Dram World 3</v>
          </cell>
          <cell r="C1755" t="str">
            <v>PangaeaPanga</v>
          </cell>
          <cell r="D1755">
            <v>28</v>
          </cell>
          <cell r="E1755" t="str">
            <v>Grandmaster</v>
          </cell>
          <cell r="F1755" t="str">
            <v>Kaizo</v>
          </cell>
          <cell r="G1755">
            <v>46005</v>
          </cell>
          <cell r="H1755" t="str">
            <v>41022</v>
          </cell>
          <cell r="I1755" t="str">
            <v>https://www.smwcentral.net/?a=details&amp;id=41022&amp;p=section</v>
          </cell>
          <cell r="J1755" t="str">
            <v>https://dl.smwcentral.net/41022/Super%20Dram%20World%203%20v1.3.zip</v>
          </cell>
        </row>
        <row r="1756">
          <cell r="A1756" t="str">
            <v>Super Dream World</v>
          </cell>
          <cell r="B1756" t="str">
            <v>Super Dream World</v>
          </cell>
          <cell r="C1756" t="str">
            <v>Shingo</v>
          </cell>
          <cell r="D1756">
            <v>12</v>
          </cell>
          <cell r="E1756" t="str">
            <v>Advanced</v>
          </cell>
          <cell r="F1756" t="str">
            <v>Kaizo</v>
          </cell>
          <cell r="G1756">
            <v>43994</v>
          </cell>
          <cell r="H1756" t="str">
            <v>23193</v>
          </cell>
          <cell r="I1756" t="str">
            <v>https://www.smwcentral.net/?a=details&amp;id=23193&amp;p=section</v>
          </cell>
          <cell r="J1756" t="str">
            <v>https://dl.smwcentral.net/23193/SuperDreamWorld.zip</v>
          </cell>
        </row>
        <row r="1757">
          <cell r="A1757" t="str">
            <v>Super Duper Mario World W1 DEMO</v>
          </cell>
          <cell r="B1757" t="str">
            <v>Super Duper Mario World W1 DEMO</v>
          </cell>
          <cell r="C1757" t="str">
            <v>SuperWaluigiBro</v>
          </cell>
          <cell r="D1757">
            <v>10</v>
          </cell>
          <cell r="E1757" t="str">
            <v>Intermediate</v>
          </cell>
          <cell r="F1757" t="str">
            <v>Standard</v>
          </cell>
          <cell r="G1757">
            <v>46066</v>
          </cell>
          <cell r="H1757" t="str">
            <v>41566</v>
          </cell>
          <cell r="I1757" t="str">
            <v>https://www.smwcentral.net/?a=details&amp;id=41566&amp;p=section</v>
          </cell>
          <cell r="J1757" t="str">
            <v>https://dl.smwcentral.net/41566/SDMW%20DEMOv02c.zip</v>
          </cell>
        </row>
        <row r="1758">
          <cell r="A1758" t="str">
            <v>Super Duper World</v>
          </cell>
          <cell r="B1758" t="str">
            <v>Super Duper World</v>
          </cell>
          <cell r="C1758" t="str">
            <v>Partly Marble</v>
          </cell>
          <cell r="D1758">
            <v>4</v>
          </cell>
          <cell r="E1758" t="str">
            <v>Advanced</v>
          </cell>
          <cell r="F1758" t="str">
            <v>Kaizo</v>
          </cell>
          <cell r="G1758">
            <v>43290</v>
          </cell>
          <cell r="H1758" t="str">
            <v>17625</v>
          </cell>
          <cell r="I1758" t="str">
            <v>https://www.smwcentral.net/?a=details&amp;id=17625&amp;p=section</v>
          </cell>
          <cell r="J1758" t="str">
            <v>https://dl.smwcentral.net/17625/Super%20Duper%20World.zip</v>
          </cell>
        </row>
        <row r="1759">
          <cell r="A1759" t="str">
            <v>Super Empty Land</v>
          </cell>
          <cell r="B1759" t="str">
            <v>Super Empty Land</v>
          </cell>
          <cell r="C1759" t="str">
            <v>Firstnamebutt</v>
          </cell>
          <cell r="D1759">
            <v>5</v>
          </cell>
          <cell r="E1759" t="str">
            <v>Intermediate</v>
          </cell>
          <cell r="F1759" t="str">
            <v>Kaizo</v>
          </cell>
          <cell r="G1759">
            <v>45704</v>
          </cell>
          <cell r="H1759" t="str">
            <v>39264</v>
          </cell>
          <cell r="I1759" t="str">
            <v>https://www.smwcentral.net/?a=details&amp;id=39264&amp;p=section</v>
          </cell>
          <cell r="J1759" t="str">
            <v>https://dl.smwcentral.net/39264/SuperEmptyLand.zip</v>
          </cell>
        </row>
        <row r="1760">
          <cell r="A1760" t="str">
            <v>Super Enan World</v>
          </cell>
          <cell r="B1760" t="str">
            <v>Super Enan World</v>
          </cell>
          <cell r="C1760" t="str">
            <v>Enan63, Green Jerry</v>
          </cell>
          <cell r="D1760">
            <v>35</v>
          </cell>
          <cell r="E1760" t="str">
            <v>Intermediate</v>
          </cell>
          <cell r="F1760" t="str">
            <v>Standard</v>
          </cell>
          <cell r="G1760">
            <v>44044</v>
          </cell>
          <cell r="H1760" t="str">
            <v>23960</v>
          </cell>
          <cell r="I1760" t="str">
            <v>https://www.smwcentral.net/?a=details&amp;id=23960&amp;p=section</v>
          </cell>
          <cell r="J1760" t="str">
            <v>https://dl.smwcentral.net/23960/Super%20Enan%20World%20-%20Demo%203.2.4.zip</v>
          </cell>
        </row>
        <row r="1761">
          <cell r="A1761" t="str">
            <v>Super Endoplasm World</v>
          </cell>
          <cell r="B1761" t="str">
            <v>Super Endoplasm World</v>
          </cell>
          <cell r="C1761" t="str">
            <v>Octopus</v>
          </cell>
          <cell r="D1761">
            <v>24</v>
          </cell>
          <cell r="E1761" t="str">
            <v>Casual</v>
          </cell>
          <cell r="F1761" t="str">
            <v>Standard</v>
          </cell>
          <cell r="G1761">
            <v>41572</v>
          </cell>
          <cell r="H1761" t="str">
            <v>5519</v>
          </cell>
          <cell r="I1761" t="str">
            <v>https://www.smwcentral.net/?a=details&amp;id=5519&amp;p=section</v>
          </cell>
          <cell r="J1761" t="str">
            <v>https://dl.smwcentral.net/5519/SEW.zip</v>
          </cell>
        </row>
        <row r="1762">
          <cell r="A1762" t="str">
            <v>Super Enemy World</v>
          </cell>
          <cell r="B1762" t="str">
            <v>Super Enemy World</v>
          </cell>
          <cell r="C1762" t="str">
            <v>Yoshiboy</v>
          </cell>
          <cell r="D1762">
            <v>20</v>
          </cell>
          <cell r="E1762" t="str">
            <v>Casual</v>
          </cell>
          <cell r="F1762" t="str">
            <v>Standard</v>
          </cell>
          <cell r="G1762">
            <v>42222</v>
          </cell>
          <cell r="H1762" t="str">
            <v>9836</v>
          </cell>
          <cell r="I1762" t="str">
            <v>https://www.smwcentral.net/?a=details&amp;id=9836&amp;p=section</v>
          </cell>
          <cell r="J1762" t="str">
            <v>https://dl.smwcentral.net/9836/Super%20Enemy%20World.zip</v>
          </cell>
        </row>
        <row r="1763">
          <cell r="A1763" t="str">
            <v>Super Fail World</v>
          </cell>
          <cell r="B1763" t="str">
            <v>Super Fail World</v>
          </cell>
          <cell r="C1763" t="str">
            <v>dubefest</v>
          </cell>
          <cell r="D1763">
            <v>13</v>
          </cell>
          <cell r="E1763" t="str">
            <v>Intermediate</v>
          </cell>
          <cell r="F1763" t="str">
            <v>Standard</v>
          </cell>
          <cell r="G1763">
            <v>42271</v>
          </cell>
          <cell r="H1763" t="str">
            <v>10067</v>
          </cell>
          <cell r="I1763" t="str">
            <v>https://www.smwcentral.net/?a=details&amp;id=10067&amp;p=section</v>
          </cell>
          <cell r="J1763" t="str">
            <v>https://dl.smwcentral.net/10067/SuperFailWorld.zip</v>
          </cell>
        </row>
        <row r="1764">
          <cell r="A1764" t="str">
            <v>Super Fart World</v>
          </cell>
          <cell r="B1764" t="str">
            <v>Super Fart World</v>
          </cell>
          <cell r="C1764" t="str">
            <v>NaroGugul</v>
          </cell>
          <cell r="D1764">
            <v>15</v>
          </cell>
          <cell r="E1764" t="str">
            <v>Master</v>
          </cell>
          <cell r="F1764" t="str">
            <v>Kaizo</v>
          </cell>
          <cell r="G1764">
            <v>43582</v>
          </cell>
          <cell r="H1764" t="str">
            <v>19571</v>
          </cell>
          <cell r="I1764" t="str">
            <v>https://www.smwcentral.net/?a=details&amp;id=19571&amp;p=section</v>
          </cell>
          <cell r="J1764" t="str">
            <v>https://dl.smwcentral.net/19571/SuperFartWorld.zip</v>
          </cell>
        </row>
        <row r="1765">
          <cell r="A1765" t="str">
            <v>Super Fast World</v>
          </cell>
          <cell r="B1765" t="str">
            <v>Super Fast World</v>
          </cell>
          <cell r="C1765" t="str">
            <v>the_pilger</v>
          </cell>
          <cell r="D1765">
            <v>3</v>
          </cell>
          <cell r="E1765" t="str">
            <v>Intermediate</v>
          </cell>
          <cell r="F1765" t="str">
            <v>Kaizo</v>
          </cell>
          <cell r="G1765">
            <v>44254</v>
          </cell>
          <cell r="H1765" t="str">
            <v>26267</v>
          </cell>
          <cell r="I1765" t="str">
            <v>https://www.smwcentral.net/?a=details&amp;id=26267&amp;p=section</v>
          </cell>
          <cell r="J1765" t="str">
            <v>https://dl.smwcentral.net/26267/Super%20Fast%20World.zip</v>
          </cell>
        </row>
        <row r="1766">
          <cell r="A1766" t="str">
            <v>Super Fedora World</v>
          </cell>
          <cell r="B1766" t="str">
            <v>Super Fedora World</v>
          </cell>
          <cell r="C1766" t="str">
            <v>FridayFables</v>
          </cell>
          <cell r="D1766">
            <v>22</v>
          </cell>
          <cell r="E1766" t="str">
            <v>Casual</v>
          </cell>
          <cell r="F1766" t="str">
            <v>Standard</v>
          </cell>
          <cell r="G1766">
            <v>42983</v>
          </cell>
          <cell r="H1766" t="str">
            <v>16099</v>
          </cell>
          <cell r="I1766" t="str">
            <v>https://www.smwcentral.net/?a=details&amp;id=16099&amp;p=section</v>
          </cell>
          <cell r="J1766" t="str">
            <v>https://dl.smwcentral.net/16099/Super%20Fedora%20World.zip</v>
          </cell>
        </row>
        <row r="1767">
          <cell r="A1767" t="str">
            <v>Super Fish World</v>
          </cell>
          <cell r="B1767" t="str">
            <v>Super Fish World</v>
          </cell>
          <cell r="C1767" t="str">
            <v>Perkward</v>
          </cell>
          <cell r="D1767">
            <v>1</v>
          </cell>
          <cell r="E1767" t="str">
            <v>Casual</v>
          </cell>
          <cell r="F1767" t="str">
            <v>Standard</v>
          </cell>
          <cell r="G1767">
            <v>46028</v>
          </cell>
          <cell r="H1767" t="str">
            <v>41357</v>
          </cell>
          <cell r="I1767" t="str">
            <v>https://www.smwcentral.net/?a=details&amp;id=41357&amp;p=section</v>
          </cell>
          <cell r="J1767" t="str">
            <v>https://dl.smwcentral.net/41357/Follow%20the%20Fish.zip</v>
          </cell>
        </row>
        <row r="1768">
          <cell r="A1768" t="str">
            <v>Super Flash World</v>
          </cell>
          <cell r="B1768" t="str">
            <v>Super Flash World</v>
          </cell>
          <cell r="C1768" t="str">
            <v>Scags</v>
          </cell>
          <cell r="D1768">
            <v>20</v>
          </cell>
          <cell r="E1768" t="str">
            <v>Expert</v>
          </cell>
          <cell r="F1768" t="str">
            <v>Kaizo</v>
          </cell>
          <cell r="G1768">
            <v>44757</v>
          </cell>
          <cell r="H1768" t="str">
            <v>31454</v>
          </cell>
          <cell r="I1768" t="str">
            <v>https://www.smwcentral.net/?a=details&amp;id=31454&amp;p=section</v>
          </cell>
          <cell r="J1768" t="str">
            <v>https://dl.smwcentral.net/31454/FlashWorld.zip</v>
          </cell>
        </row>
        <row r="1769">
          <cell r="A1769" t="str">
            <v>Super Flash World 2</v>
          </cell>
          <cell r="B1769" t="str">
            <v>Super Flash World 2</v>
          </cell>
          <cell r="C1769" t="str">
            <v>Scags</v>
          </cell>
          <cell r="D1769">
            <v>23</v>
          </cell>
          <cell r="E1769" t="str">
            <v>Expert</v>
          </cell>
          <cell r="F1769" t="str">
            <v>Kaizo</v>
          </cell>
          <cell r="G1769">
            <v>46089</v>
          </cell>
          <cell r="H1769" t="str">
            <v>41538</v>
          </cell>
          <cell r="I1769" t="str">
            <v>https://www.smwcentral.net/?a=details&amp;id=41538&amp;p=section</v>
          </cell>
          <cell r="J1769" t="str">
            <v>https://dl.smwcentral.net/41538/FlashWorld2.zip</v>
          </cell>
        </row>
        <row r="1770">
          <cell r="A1770" t="str">
            <v>Super Focused World</v>
          </cell>
          <cell r="B1770" t="str">
            <v>Super Focused World</v>
          </cell>
          <cell r="C1770" t="str">
            <v>DigitalSine</v>
          </cell>
          <cell r="D1770">
            <v>22</v>
          </cell>
          <cell r="E1770" t="str">
            <v>Expert</v>
          </cell>
          <cell r="F1770" t="str">
            <v>Kaizo</v>
          </cell>
          <cell r="G1770">
            <v>43373</v>
          </cell>
          <cell r="H1770" t="str">
            <v>18172</v>
          </cell>
          <cell r="I1770" t="str">
            <v>https://www.smwcentral.net/?a=details&amp;id=18172&amp;p=section</v>
          </cell>
          <cell r="J1770" t="str">
            <v>https://dl.smwcentral.net/18172/Super%20Focused%20World.zip</v>
          </cell>
        </row>
        <row r="1771">
          <cell r="A1771" t="str">
            <v>Super Foo World</v>
          </cell>
          <cell r="B1771" t="str">
            <v>Super Foo World</v>
          </cell>
          <cell r="C1771" t="str">
            <v>xhsdf</v>
          </cell>
          <cell r="D1771">
            <v>27</v>
          </cell>
          <cell r="E1771" t="str">
            <v>Expert</v>
          </cell>
          <cell r="F1771" t="str">
            <v>Kaizo</v>
          </cell>
          <cell r="G1771">
            <v>44739</v>
          </cell>
          <cell r="H1771" t="str">
            <v>31166</v>
          </cell>
          <cell r="I1771" t="str">
            <v>https://www.smwcentral.net/?a=details&amp;id=31166&amp;p=section</v>
          </cell>
          <cell r="J1771" t="str">
            <v>https://dl.smwcentral.net/31166/Super%20Foo%20World%201.1.zip</v>
          </cell>
        </row>
        <row r="1772">
          <cell r="A1772" t="str">
            <v>Super Foo World -1</v>
          </cell>
          <cell r="B1772" t="str">
            <v>Super Foo World -1</v>
          </cell>
          <cell r="C1772" t="str">
            <v>xhsdf</v>
          </cell>
          <cell r="D1772">
            <v>9</v>
          </cell>
          <cell r="E1772" t="str">
            <v>Advanced</v>
          </cell>
          <cell r="F1772" t="str">
            <v>Kaizo</v>
          </cell>
          <cell r="G1772">
            <v>45715</v>
          </cell>
          <cell r="H1772" t="str">
            <v>39471</v>
          </cell>
          <cell r="I1772" t="str">
            <v>https://www.smwcentral.net/?a=details&amp;id=39471&amp;p=section</v>
          </cell>
          <cell r="J1772" t="str">
            <v>https://dl.smwcentral.net/39471/Super%20Foo%20World%20-1.zip</v>
          </cell>
        </row>
        <row r="1773">
          <cell r="A1773" t="str">
            <v>Super Foo World 0</v>
          </cell>
          <cell r="B1773" t="str">
            <v>Super Foo World 0</v>
          </cell>
          <cell r="C1773" t="str">
            <v>xhsdf</v>
          </cell>
          <cell r="D1773">
            <v>7</v>
          </cell>
          <cell r="E1773" t="str">
            <v>Expert</v>
          </cell>
          <cell r="F1773" t="str">
            <v>Kaizo</v>
          </cell>
          <cell r="G1773">
            <v>45162</v>
          </cell>
          <cell r="H1773" t="str">
            <v>34929</v>
          </cell>
          <cell r="I1773" t="str">
            <v>https://www.smwcentral.net/?a=details&amp;id=34929&amp;p=section</v>
          </cell>
          <cell r="J1773" t="str">
            <v>https://dl.smwcentral.net/34929/Super%20Foo%20World%200.zip</v>
          </cell>
        </row>
        <row r="1774">
          <cell r="A1774" t="str">
            <v>Super Foo World 2</v>
          </cell>
          <cell r="B1774" t="str">
            <v>Super Foo World 2</v>
          </cell>
          <cell r="C1774" t="str">
            <v>xhsdf</v>
          </cell>
          <cell r="D1774">
            <v>18</v>
          </cell>
          <cell r="E1774" t="str">
            <v>Advanced</v>
          </cell>
          <cell r="F1774" t="str">
            <v>Kaizo</v>
          </cell>
          <cell r="G1774">
            <v>45117</v>
          </cell>
          <cell r="H1774" t="str">
            <v>34184</v>
          </cell>
          <cell r="I1774" t="str">
            <v>https://www.smwcentral.net/?a=details&amp;id=34184&amp;p=section</v>
          </cell>
          <cell r="J1774" t="str">
            <v>https://dl.smwcentral.net/34184/Super%20Foo%20World%202%20v1.1.zip</v>
          </cell>
        </row>
        <row r="1775">
          <cell r="A1775" t="str">
            <v>Super Foo World 3</v>
          </cell>
          <cell r="B1775" t="str">
            <v>Super Foo World 3</v>
          </cell>
          <cell r="C1775" t="str">
            <v>xhsdf</v>
          </cell>
          <cell r="D1775">
            <v>18</v>
          </cell>
          <cell r="E1775" t="str">
            <v>Expert</v>
          </cell>
          <cell r="F1775" t="str">
            <v>Kaizo</v>
          </cell>
          <cell r="G1775">
            <v>45571</v>
          </cell>
          <cell r="H1775" t="str">
            <v>38458</v>
          </cell>
          <cell r="I1775" t="str">
            <v>https://www.smwcentral.net/?a=details&amp;id=38458&amp;p=section</v>
          </cell>
          <cell r="J1775" t="str">
            <v>https://dl.smwcentral.net/38458/Super%20Foo%20World%203%20v1.1.zip</v>
          </cell>
        </row>
        <row r="1776">
          <cell r="A1776" t="str">
            <v>Super Foo World Lite</v>
          </cell>
          <cell r="B1776" t="str">
            <v>Super Foo World Lite</v>
          </cell>
          <cell r="C1776" t="str">
            <v>xhsdf</v>
          </cell>
          <cell r="D1776">
            <v>13</v>
          </cell>
          <cell r="E1776" t="str">
            <v>Expert</v>
          </cell>
          <cell r="F1776" t="str">
            <v>Kaizo</v>
          </cell>
          <cell r="G1776">
            <v>44732</v>
          </cell>
          <cell r="H1776" t="str">
            <v>31123</v>
          </cell>
          <cell r="I1776" t="str">
            <v>https://www.smwcentral.net/?a=details&amp;id=31123&amp;p=section</v>
          </cell>
          <cell r="J1776" t="str">
            <v>https://dl.smwcentral.net/31123/Super%20Foo%20World%20Lite.zip</v>
          </cell>
        </row>
        <row r="1777">
          <cell r="A1777" t="str">
            <v>Super Foss World</v>
          </cell>
          <cell r="B1777" t="str">
            <v>Super Foss World</v>
          </cell>
          <cell r="C1777" t="str">
            <v>PangaeaPanga</v>
          </cell>
          <cell r="D1777">
            <v>22</v>
          </cell>
          <cell r="E1777" t="str">
            <v>Expert</v>
          </cell>
          <cell r="F1777" t="str">
            <v>Kaizo, Puzzle</v>
          </cell>
          <cell r="G1777">
            <v>42237</v>
          </cell>
          <cell r="H1777" t="str">
            <v>11932</v>
          </cell>
          <cell r="I1777" t="str">
            <v>https://www.smwcentral.net/?a=details&amp;id=11932&amp;p=section</v>
          </cell>
          <cell r="J1777" t="str">
            <v>https://dl.smwcentral.net/11932/Super%20Foss%20World%20v1.31.zip</v>
          </cell>
        </row>
        <row r="1778">
          <cell r="A1778" t="str">
            <v>Super Fruits 'n Veggies World</v>
          </cell>
          <cell r="B1778" t="str">
            <v>Super Fruits 'n Veggies World</v>
          </cell>
          <cell r="C1778" t="str">
            <v>JeepySol</v>
          </cell>
          <cell r="D1778">
            <v>21</v>
          </cell>
          <cell r="E1778" t="str">
            <v>Advanced</v>
          </cell>
          <cell r="F1778" t="str">
            <v>Kaizo</v>
          </cell>
          <cell r="G1778">
            <v>45152</v>
          </cell>
          <cell r="H1778" t="str">
            <v>34846</v>
          </cell>
          <cell r="I1778" t="str">
            <v>https://www.smwcentral.net/?a=details&amp;id=34846&amp;p=section</v>
          </cell>
          <cell r="J1778" t="str">
            <v>https://dl.smwcentral.net/34846/Super%20Fruits%20%27n%20Veggies%20World.zip</v>
          </cell>
        </row>
        <row r="1779">
          <cell r="A1779" t="str">
            <v>Super Galega World</v>
          </cell>
          <cell r="B1779" t="str">
            <v>Super Galega World</v>
          </cell>
          <cell r="C1779" t="str">
            <v>Rapha2k</v>
          </cell>
          <cell r="D1779">
            <v>6</v>
          </cell>
          <cell r="E1779" t="str">
            <v>Intermediate</v>
          </cell>
          <cell r="F1779" t="str">
            <v>Kaizo</v>
          </cell>
          <cell r="G1779">
            <v>45334</v>
          </cell>
          <cell r="H1779" t="str">
            <v>36828</v>
          </cell>
          <cell r="I1779" t="str">
            <v>https://www.smwcentral.net/?a=details&amp;id=36828&amp;p=section</v>
          </cell>
          <cell r="J1779" t="str">
            <v>https://dl.smwcentral.net/36828/Super%20Galega%20World%201.1.zip</v>
          </cell>
        </row>
        <row r="1780">
          <cell r="A1780" t="str">
            <v>Super germdove World</v>
          </cell>
          <cell r="B1780" t="str">
            <v>Super germdove World</v>
          </cell>
          <cell r="C1780" t="str">
            <v>dobbsworks</v>
          </cell>
          <cell r="D1780">
            <v>9</v>
          </cell>
          <cell r="E1780" t="str">
            <v>Intermediate</v>
          </cell>
          <cell r="F1780" t="str">
            <v>Kaizo</v>
          </cell>
          <cell r="G1780">
            <v>44553</v>
          </cell>
          <cell r="H1780" t="str">
            <v>29056</v>
          </cell>
          <cell r="I1780" t="str">
            <v>https://www.smwcentral.net/?a=details&amp;id=29056&amp;p=section</v>
          </cell>
          <cell r="J1780" t="str">
            <v>https://dl.smwcentral.net/29056/Super%20germdove%20World.zip</v>
          </cell>
        </row>
        <row r="1781">
          <cell r="A1781" t="str">
            <v>Super Ghetto World</v>
          </cell>
          <cell r="B1781" t="str">
            <v>Super Ghetto World</v>
          </cell>
          <cell r="C1781" t="str">
            <v>ghettoyouth</v>
          </cell>
          <cell r="D1781">
            <v>22</v>
          </cell>
          <cell r="E1781" t="str">
            <v>Casual</v>
          </cell>
          <cell r="F1781" t="str">
            <v>Standard</v>
          </cell>
          <cell r="G1781">
            <v>42213</v>
          </cell>
          <cell r="H1781" t="str">
            <v>9664</v>
          </cell>
          <cell r="I1781" t="str">
            <v>https://www.smwcentral.net/?a=details&amp;id=9664&amp;p=section</v>
          </cell>
          <cell r="J1781" t="str">
            <v>https://dl.smwcentral.net/9664/Super_Ghettoworld_final.zip</v>
          </cell>
        </row>
        <row r="1782">
          <cell r="A1782" t="str">
            <v>Super Glitchcat World</v>
          </cell>
          <cell r="B1782" t="str">
            <v>Super Glitchcat World</v>
          </cell>
          <cell r="C1782" t="str">
            <v>NeXuS15</v>
          </cell>
          <cell r="D1782">
            <v>15</v>
          </cell>
          <cell r="E1782" t="str">
            <v>Expert</v>
          </cell>
          <cell r="F1782" t="str">
            <v>Kaizo</v>
          </cell>
          <cell r="G1782">
            <v>42812</v>
          </cell>
          <cell r="H1782" t="str">
            <v>15216</v>
          </cell>
          <cell r="I1782" t="str">
            <v>https://www.smwcentral.net/?a=details&amp;id=15216&amp;p=section</v>
          </cell>
          <cell r="J1782" t="str">
            <v>https://dl.smwcentral.net/15216/Super%20Glitchcat%20World.zip</v>
          </cell>
        </row>
        <row r="1783">
          <cell r="A1783" t="str">
            <v>SUPER Glumper WORLD</v>
          </cell>
          <cell r="B1783" t="str">
            <v>SUPER Glumper WORLD</v>
          </cell>
          <cell r="C1783" t="str">
            <v>Lmao</v>
          </cell>
          <cell r="D1783">
            <v>5</v>
          </cell>
          <cell r="E1783" t="str">
            <v>Casual</v>
          </cell>
          <cell r="F1783" t="str">
            <v>Standard</v>
          </cell>
          <cell r="G1783">
            <v>45109</v>
          </cell>
          <cell r="H1783" t="str">
            <v>34189</v>
          </cell>
          <cell r="I1783" t="str">
            <v>https://www.smwcentral.net/?a=details&amp;id=34189&amp;p=section</v>
          </cell>
          <cell r="J1783" t="str">
            <v>https://dl.smwcentral.net/34189/glump.zip</v>
          </cell>
        </row>
        <row r="1784">
          <cell r="A1784" t="str">
            <v>Super Godly Worl 69</v>
          </cell>
          <cell r="B1784" t="str">
            <v>Super Godly Worl 69</v>
          </cell>
          <cell r="C1784" t="str">
            <v>Godly</v>
          </cell>
          <cell r="D1784">
            <v>2</v>
          </cell>
          <cell r="E1784" t="str">
            <v>Intermediate</v>
          </cell>
          <cell r="F1784" t="str">
            <v>Standard</v>
          </cell>
          <cell r="G1784">
            <v>43980</v>
          </cell>
          <cell r="H1784" t="str">
            <v>23156</v>
          </cell>
          <cell r="I1784" t="str">
            <v>https://www.smwcentral.net/?a=details&amp;id=23156&amp;p=section</v>
          </cell>
          <cell r="J1784" t="str">
            <v>https://dl.smwcentral.net/23156/Super%20Godly%20Worl%2069.zip</v>
          </cell>
        </row>
        <row r="1785">
          <cell r="A1785" t="str">
            <v>Super Goober World</v>
          </cell>
          <cell r="B1785" t="str">
            <v>Super Goober World</v>
          </cell>
          <cell r="C1785" t="str">
            <v>Gumby</v>
          </cell>
          <cell r="D1785">
            <v>7</v>
          </cell>
          <cell r="E1785" t="str">
            <v>Expert</v>
          </cell>
          <cell r="F1785" t="str">
            <v>Kaizo</v>
          </cell>
          <cell r="G1785">
            <v>45908</v>
          </cell>
          <cell r="H1785" t="str">
            <v>40585</v>
          </cell>
          <cell r="I1785" t="str">
            <v>https://www.smwcentral.net/?a=details&amp;id=40585&amp;p=section</v>
          </cell>
          <cell r="J1785" t="str">
            <v>https://dl.smwcentral.net/40585/SuperGooberWorld.zip</v>
          </cell>
        </row>
        <row r="1786">
          <cell r="A1786" t="str">
            <v>Super Gracie World</v>
          </cell>
          <cell r="B1786" t="str">
            <v>Super Gracie World</v>
          </cell>
          <cell r="C1786" t="str">
            <v>white_moth</v>
          </cell>
          <cell r="D1786">
            <v>14</v>
          </cell>
          <cell r="E1786" t="str">
            <v>Advanced</v>
          </cell>
          <cell r="F1786" t="str">
            <v>Kaizo</v>
          </cell>
          <cell r="G1786">
            <v>43213</v>
          </cell>
          <cell r="H1786" t="str">
            <v>17395</v>
          </cell>
          <cell r="I1786" t="str">
            <v>https://www.smwcentral.net/?a=details&amp;id=17395&amp;p=section</v>
          </cell>
          <cell r="J1786" t="str">
            <v>https://dl.smwcentral.net/17395/Super%20Gracie%20World%20v1.3.bps.zip</v>
          </cell>
        </row>
        <row r="1787">
          <cell r="A1787" t="str">
            <v>Super Hacked World</v>
          </cell>
          <cell r="B1787" t="str">
            <v>Super Hacked World</v>
          </cell>
          <cell r="C1787" t="str">
            <v>videolegoboy123</v>
          </cell>
          <cell r="D1787">
            <v>6</v>
          </cell>
          <cell r="E1787" t="str">
            <v>Casual</v>
          </cell>
          <cell r="F1787" t="str">
            <v>Standard</v>
          </cell>
          <cell r="G1787">
            <v>42292</v>
          </cell>
          <cell r="H1787" t="str">
            <v>9964</v>
          </cell>
          <cell r="I1787" t="str">
            <v>https://www.smwcentral.net/?a=details&amp;id=9964&amp;p=section</v>
          </cell>
          <cell r="J1787" t="str">
            <v>https://dl.smwcentral.net/9964/Super%20Hacked%20World%20%28V1.1%29%20%5BDemo%20Release%201%5D.zip</v>
          </cell>
        </row>
        <row r="1788">
          <cell r="A1788" t="str">
            <v>Super Hark Bros</v>
          </cell>
          <cell r="B1788" t="str">
            <v>Super Hark Bros</v>
          </cell>
          <cell r="C1788" t="str">
            <v>ChrisG___</v>
          </cell>
          <cell r="D1788">
            <v>16</v>
          </cell>
          <cell r="E1788" t="str">
            <v>Advanced</v>
          </cell>
          <cell r="F1788" t="str">
            <v>Kaizo</v>
          </cell>
          <cell r="G1788">
            <v>43193</v>
          </cell>
          <cell r="H1788" t="str">
            <v>17304</v>
          </cell>
          <cell r="I1788" t="str">
            <v>https://www.smwcentral.net/?a=details&amp;id=17304&amp;p=section</v>
          </cell>
          <cell r="J1788" t="str">
            <v>https://dl.smwcentral.net/17304/Super%20Hark%20Bros%201.21.zip</v>
          </cell>
        </row>
        <row r="1789">
          <cell r="A1789" t="str">
            <v>Super Hark Bros 2</v>
          </cell>
          <cell r="B1789" t="str">
            <v>Super Hark Bros 2</v>
          </cell>
          <cell r="C1789" t="str">
            <v>ChrisG___</v>
          </cell>
          <cell r="D1789">
            <v>24</v>
          </cell>
          <cell r="E1789" t="str">
            <v>Expert</v>
          </cell>
          <cell r="F1789" t="str">
            <v>Kaizo</v>
          </cell>
          <cell r="G1789">
            <v>45276</v>
          </cell>
          <cell r="H1789" t="str">
            <v>35698</v>
          </cell>
          <cell r="I1789" t="str">
            <v>https://www.smwcentral.net/?a=details&amp;id=35698&amp;p=section</v>
          </cell>
          <cell r="J1789" t="str">
            <v>https://dl.smwcentral.net/35698/Super%20Hark%20Bros%202.zip</v>
          </cell>
        </row>
        <row r="1790">
          <cell r="A1790" t="str">
            <v>Super Herbihalt World</v>
          </cell>
          <cell r="B1790" t="str">
            <v>Super Herbihalt World</v>
          </cell>
          <cell r="C1790" t="str">
            <v>OEO6</v>
          </cell>
          <cell r="D1790">
            <v>8</v>
          </cell>
          <cell r="E1790" t="str">
            <v>Intermediate</v>
          </cell>
          <cell r="F1790" t="str">
            <v>Standard</v>
          </cell>
          <cell r="G1790">
            <v>43534</v>
          </cell>
          <cell r="H1790" t="str">
            <v>19280</v>
          </cell>
          <cell r="I1790" t="str">
            <v>https://www.smwcentral.net/?a=details&amp;id=19280&amp;p=section</v>
          </cell>
          <cell r="J1790" t="str">
            <v>https://dl.smwcentral.net/19280/Super%20Herbihalt%20World.zip</v>
          </cell>
        </row>
        <row r="1791">
          <cell r="A1791" t="str">
            <v>Super Herbihalt World 2</v>
          </cell>
          <cell r="B1791" t="str">
            <v>Super Herbihalt World 2</v>
          </cell>
          <cell r="C1791" t="str">
            <v>OEO6</v>
          </cell>
          <cell r="D1791">
            <v>8</v>
          </cell>
          <cell r="E1791" t="str">
            <v>Casual</v>
          </cell>
          <cell r="F1791" t="str">
            <v>Standard</v>
          </cell>
          <cell r="G1791">
            <v>43604</v>
          </cell>
          <cell r="H1791" t="str">
            <v>19661</v>
          </cell>
          <cell r="I1791" t="str">
            <v>https://www.smwcentral.net/?a=details&amp;id=19661&amp;p=section</v>
          </cell>
          <cell r="J1791" t="str">
            <v>https://dl.smwcentral.net/19661/Super%20Herbihalt%20World%202.zip</v>
          </cell>
        </row>
        <row r="1792">
          <cell r="A1792" t="str">
            <v>Super Herbihalt World 3</v>
          </cell>
          <cell r="B1792" t="str">
            <v>Super Herbihalt World 3</v>
          </cell>
          <cell r="C1792" t="str">
            <v>OEO6</v>
          </cell>
          <cell r="D1792">
            <v>8</v>
          </cell>
          <cell r="E1792" t="str">
            <v>Intermediate</v>
          </cell>
          <cell r="F1792" t="str">
            <v>Standard</v>
          </cell>
          <cell r="G1792">
            <v>43784</v>
          </cell>
          <cell r="H1792" t="str">
            <v>21337</v>
          </cell>
          <cell r="I1792" t="str">
            <v>https://www.smwcentral.net/?a=details&amp;id=21337&amp;p=section</v>
          </cell>
          <cell r="J1792" t="str">
            <v>https://dl.smwcentral.net/21337/Super%20Herbihalt%20World%203%20%2820102019%29.zip</v>
          </cell>
        </row>
        <row r="1793">
          <cell r="A1793" t="str">
            <v>Super Huh World</v>
          </cell>
          <cell r="B1793" t="str">
            <v>Super Huh World</v>
          </cell>
          <cell r="C1793" t="str">
            <v>SolveForX</v>
          </cell>
          <cell r="D1793">
            <v>6</v>
          </cell>
          <cell r="E1793" t="str">
            <v>Master</v>
          </cell>
          <cell r="F1793" t="str">
            <v>Kaizo</v>
          </cell>
          <cell r="G1793">
            <v>45125</v>
          </cell>
          <cell r="H1793" t="str">
            <v>34151</v>
          </cell>
          <cell r="I1793" t="str">
            <v>https://www.smwcentral.net/?a=details&amp;id=34151&amp;p=section</v>
          </cell>
          <cell r="J1793" t="str">
            <v>https://dl.smwcentral.net/34151/superHuhWorld.zip</v>
          </cell>
        </row>
        <row r="1794">
          <cell r="A1794" t="str">
            <v>Super Husky World</v>
          </cell>
          <cell r="B1794" t="str">
            <v>Super Husky World</v>
          </cell>
          <cell r="C1794" t="str">
            <v>Daffoxy</v>
          </cell>
          <cell r="D1794">
            <v>12</v>
          </cell>
          <cell r="E1794" t="str">
            <v>Advanced</v>
          </cell>
          <cell r="F1794" t="str">
            <v>Kaizo</v>
          </cell>
          <cell r="G1794">
            <v>44481</v>
          </cell>
          <cell r="H1794" t="str">
            <v>28570</v>
          </cell>
          <cell r="I1794" t="str">
            <v>https://www.smwcentral.net/?a=details&amp;id=28570&amp;p=section</v>
          </cell>
          <cell r="J1794" t="str">
            <v>https://dl.smwcentral.net/28570/Super_Husky_World_1.1.zip</v>
          </cell>
        </row>
        <row r="1795">
          <cell r="A1795" t="str">
            <v>Super Husky World 2</v>
          </cell>
          <cell r="B1795" t="str">
            <v>Super Husky World 2</v>
          </cell>
          <cell r="C1795" t="str">
            <v>Daffoxy</v>
          </cell>
          <cell r="D1795">
            <v>15</v>
          </cell>
          <cell r="E1795" t="str">
            <v>Advanced</v>
          </cell>
          <cell r="F1795" t="str">
            <v>Kaizo</v>
          </cell>
          <cell r="G1795">
            <v>44944</v>
          </cell>
          <cell r="H1795" t="str">
            <v>32933</v>
          </cell>
          <cell r="I1795" t="str">
            <v>https://www.smwcentral.net/?a=details&amp;id=32933&amp;p=section</v>
          </cell>
          <cell r="J1795" t="str">
            <v>https://dl.smwcentral.net/32933/Super_Husky_World2v1.2.zip</v>
          </cell>
        </row>
        <row r="1796">
          <cell r="A1796" t="str">
            <v>Super I Will Make One Level a Day Until Doopu Publishes SHINE World</v>
          </cell>
          <cell r="B1796" t="str">
            <v>Super I Will Make One Level a Day Until Doopu Publishes SHINE World</v>
          </cell>
          <cell r="C1796" t="str">
            <v>EvilAdmiralKivi</v>
          </cell>
          <cell r="D1796">
            <v>14</v>
          </cell>
          <cell r="E1796" t="str">
            <v>Expert</v>
          </cell>
          <cell r="F1796" t="str">
            <v>Kaizo</v>
          </cell>
          <cell r="G1796">
            <v>45706</v>
          </cell>
          <cell r="H1796" t="str">
            <v>39366</v>
          </cell>
          <cell r="I1796" t="str">
            <v>https://www.smwcentral.net/?a=details&amp;id=39366&amp;p=section</v>
          </cell>
          <cell r="J1796" t="str">
            <v>https://dl.smwcentral.net/39366/super-iwmoladudps-world_v0.0.6.zip</v>
          </cell>
        </row>
        <row r="1797">
          <cell r="A1797" t="str">
            <v>Super Impressive World</v>
          </cell>
          <cell r="B1797" t="str">
            <v>Super Impressive World</v>
          </cell>
          <cell r="C1797" t="str">
            <v>Jack Levin</v>
          </cell>
          <cell r="D1797">
            <v>6</v>
          </cell>
          <cell r="E1797" t="str">
            <v>Newcomer</v>
          </cell>
          <cell r="F1797" t="str">
            <v>Standard</v>
          </cell>
          <cell r="G1797">
            <v>42236</v>
          </cell>
          <cell r="H1797" t="str">
            <v>9881</v>
          </cell>
          <cell r="I1797" t="str">
            <v>https://www.smwcentral.net/?a=details&amp;id=9881&amp;p=section</v>
          </cell>
          <cell r="J1797" t="str">
            <v>https://dl.smwcentral.net/9881/Super%20impressive%20world.zip</v>
          </cell>
        </row>
        <row r="1798">
          <cell r="A1798" t="str">
            <v>Super Insecure World</v>
          </cell>
          <cell r="B1798" t="str">
            <v>Super Insecure World</v>
          </cell>
          <cell r="C1798" t="str">
            <v>mmmdoggy</v>
          </cell>
          <cell r="D1798">
            <v>10</v>
          </cell>
          <cell r="E1798" t="str">
            <v>Advanced</v>
          </cell>
          <cell r="F1798" t="str">
            <v>Kaizo</v>
          </cell>
          <cell r="G1798">
            <v>45099</v>
          </cell>
          <cell r="H1798" t="str">
            <v>34138</v>
          </cell>
          <cell r="I1798" t="str">
            <v>https://www.smwcentral.net/?a=details&amp;id=34138&amp;p=section</v>
          </cell>
          <cell r="J1798" t="str">
            <v>https://dl.smwcentral.net/34138/Super%20Insecure%20World.zip</v>
          </cell>
        </row>
        <row r="1799">
          <cell r="A1799" t="str">
            <v>Super interdimensional crossroad world</v>
          </cell>
          <cell r="B1799" t="str">
            <v>Super interdimensional crossroad world</v>
          </cell>
          <cell r="C1799" t="str">
            <v>ageVerrly</v>
          </cell>
          <cell r="D1799">
            <v>1</v>
          </cell>
          <cell r="E1799" t="str">
            <v>Advanced</v>
          </cell>
          <cell r="F1799" t="str">
            <v>Standard, Kaizo</v>
          </cell>
          <cell r="G1799">
            <v>44062</v>
          </cell>
          <cell r="H1799" t="str">
            <v>24299</v>
          </cell>
          <cell r="I1799" t="str">
            <v>https://www.smwcentral.net/?a=details&amp;id=24299&amp;p=section</v>
          </cell>
          <cell r="J1799" t="str">
            <v>https://dl.smwcentral.net/24299/crossroad.zip</v>
          </cell>
        </row>
        <row r="1800">
          <cell r="A1800" t="str">
            <v>Super Irresponsible World</v>
          </cell>
          <cell r="B1800" t="str">
            <v>Super Irresponsible World</v>
          </cell>
          <cell r="C1800" t="str">
            <v>51690</v>
          </cell>
          <cell r="D1800">
            <v>9</v>
          </cell>
          <cell r="E1800" t="str">
            <v>Master</v>
          </cell>
          <cell r="F1800" t="str">
            <v>Kaizo</v>
          </cell>
          <cell r="G1800">
            <v>44580</v>
          </cell>
          <cell r="H1800" t="str">
            <v>28880</v>
          </cell>
          <cell r="I1800" t="str">
            <v>https://www.smwcentral.net/?a=details&amp;id=28880&amp;p=section</v>
          </cell>
          <cell r="J1800" t="str">
            <v>https://dl.smwcentral.net/28880/siw_1.1.zip</v>
          </cell>
        </row>
        <row r="1801">
          <cell r="A1801" t="str">
            <v>Super IsCamden World</v>
          </cell>
          <cell r="B1801" t="str">
            <v>Super IsCamden World</v>
          </cell>
          <cell r="C1801" t="str">
            <v>fancypanda98</v>
          </cell>
          <cell r="D1801">
            <v>12</v>
          </cell>
          <cell r="E1801" t="str">
            <v>Advanced</v>
          </cell>
          <cell r="F1801" t="str">
            <v>Kaizo</v>
          </cell>
          <cell r="G1801">
            <v>42729</v>
          </cell>
          <cell r="H1801" t="str">
            <v>14819</v>
          </cell>
          <cell r="I1801" t="str">
            <v>https://www.smwcentral.net/?a=details&amp;id=14819&amp;p=section</v>
          </cell>
          <cell r="J1801" t="str">
            <v>https://dl.smwcentral.net/14819/Super%20IsCamden%20World%20v%201.6.zip</v>
          </cell>
        </row>
        <row r="1802">
          <cell r="A1802" t="str">
            <v>Super Isikoro Mario World</v>
          </cell>
          <cell r="B1802" t="str">
            <v>Super Isikoro Mario World</v>
          </cell>
          <cell r="C1802" t="str">
            <v>Isikoro</v>
          </cell>
          <cell r="D1802">
            <v>116</v>
          </cell>
          <cell r="E1802" t="str">
            <v>Master</v>
          </cell>
          <cell r="F1802" t="str">
            <v>Standard</v>
          </cell>
          <cell r="G1802">
            <v>45114</v>
          </cell>
          <cell r="H1802" t="str">
            <v>33988</v>
          </cell>
          <cell r="I1802" t="str">
            <v>https://www.smwcentral.net/?a=details&amp;id=33988&amp;p=section</v>
          </cell>
          <cell r="J1802" t="str">
            <v>https://dl.smwcentral.net/33988/IsikoroMario.zip</v>
          </cell>
        </row>
        <row r="1803">
          <cell r="A1803" t="str">
            <v>Super IzToat World</v>
          </cell>
          <cell r="B1803" t="str">
            <v>Super IzToat World</v>
          </cell>
          <cell r="C1803" t="str">
            <v>Scags</v>
          </cell>
          <cell r="D1803">
            <v>11</v>
          </cell>
          <cell r="E1803" t="str">
            <v>Advanced</v>
          </cell>
          <cell r="F1803" t="str">
            <v>Kaizo</v>
          </cell>
          <cell r="G1803">
            <v>45995</v>
          </cell>
          <cell r="H1803" t="str">
            <v>41099</v>
          </cell>
          <cell r="I1803" t="str">
            <v>https://www.smwcentral.net/?a=details&amp;id=41099&amp;p=section</v>
          </cell>
          <cell r="J1803" t="str">
            <v>https://dl.smwcentral.net/41099/IzToat%20World.zip</v>
          </cell>
        </row>
        <row r="1804">
          <cell r="A1804" t="str">
            <v>Super Jars World</v>
          </cell>
          <cell r="B1804" t="str">
            <v>Super Jars World</v>
          </cell>
          <cell r="C1804" t="str">
            <v>Hwailaluta, JCSII, Mithrillionaire, SpaceGlam, Stucat, djEnby</v>
          </cell>
          <cell r="D1804">
            <v>20</v>
          </cell>
          <cell r="E1804" t="str">
            <v>Expert</v>
          </cell>
          <cell r="F1804" t="str">
            <v>Standard, Kaizo, Puzzle</v>
          </cell>
          <cell r="G1804">
            <v>46117</v>
          </cell>
          <cell r="H1804" t="str">
            <v>42097</v>
          </cell>
          <cell r="I1804" t="str">
            <v>https://www.smwcentral.net/?a=details&amp;id=42097&amp;p=section</v>
          </cell>
          <cell r="J1804" t="str">
            <v>https://dl.smwcentral.net/42097/Super%20Jars%20World.zip</v>
          </cell>
        </row>
        <row r="1805">
          <cell r="A1805" t="str">
            <v>Super Joe Bros 3</v>
          </cell>
          <cell r="B1805" t="str">
            <v>Super Joe Bros 3</v>
          </cell>
          <cell r="C1805" t="str">
            <v>NBSpider, Resnov23, The Voipah, Wolfguy423</v>
          </cell>
          <cell r="D1805">
            <v>23</v>
          </cell>
          <cell r="E1805" t="str">
            <v>Advanced</v>
          </cell>
          <cell r="F1805" t="str">
            <v>Kaizo</v>
          </cell>
          <cell r="G1805">
            <v>45203</v>
          </cell>
          <cell r="H1805" t="str">
            <v>35025</v>
          </cell>
          <cell r="I1805" t="str">
            <v>https://www.smwcentral.net/?a=details&amp;id=35025&amp;p=section</v>
          </cell>
          <cell r="J1805" t="str">
            <v>https://dl.smwcentral.net/35025/Super%20Joe%20Bros%203%20V1.1.zip</v>
          </cell>
        </row>
        <row r="1806">
          <cell r="A1806" t="str">
            <v>Super Joe Bros.</v>
          </cell>
          <cell r="B1806" t="str">
            <v>Super Joe Bros.</v>
          </cell>
          <cell r="C1806" t="str">
            <v>Wolfguy423</v>
          </cell>
          <cell r="D1806">
            <v>12</v>
          </cell>
          <cell r="E1806" t="str">
            <v>Intermediate</v>
          </cell>
          <cell r="F1806" t="str">
            <v>Kaizo</v>
          </cell>
          <cell r="G1806">
            <v>44318</v>
          </cell>
          <cell r="H1806" t="str">
            <v>26882</v>
          </cell>
          <cell r="I1806" t="str">
            <v>https://www.smwcentral.net/?a=details&amp;id=26882&amp;p=section</v>
          </cell>
          <cell r="J1806" t="str">
            <v>https://dl.smwcentral.net/26882/Super%20Joe%20Bros%20V3.0.zip</v>
          </cell>
        </row>
        <row r="1807">
          <cell r="A1807" t="str">
            <v>Super Joe Bros. 2</v>
          </cell>
          <cell r="B1807" t="str">
            <v>Super Joe Bros. 2</v>
          </cell>
          <cell r="C1807" t="str">
            <v>Wolfguy423</v>
          </cell>
          <cell r="D1807">
            <v>21</v>
          </cell>
          <cell r="E1807" t="str">
            <v>Advanced</v>
          </cell>
          <cell r="F1807" t="str">
            <v>Kaizo</v>
          </cell>
          <cell r="G1807">
            <v>44791</v>
          </cell>
          <cell r="H1807" t="str">
            <v>31836</v>
          </cell>
          <cell r="I1807" t="str">
            <v>https://www.smwcentral.net/?a=details&amp;id=31836&amp;p=section</v>
          </cell>
          <cell r="J1807" t="str">
            <v>https://dl.smwcentral.net/31836/Joe%20Bros%202%20V1.5.zip</v>
          </cell>
        </row>
        <row r="1808">
          <cell r="A1808" t="str">
            <v>Super Kaizo Nightmare</v>
          </cell>
          <cell r="B1808" t="str">
            <v>Super Kaizo Nightmare</v>
          </cell>
          <cell r="C1808" t="str">
            <v>Anonymous</v>
          </cell>
          <cell r="D1808">
            <v>8</v>
          </cell>
          <cell r="E1808" t="str">
            <v>Expert</v>
          </cell>
          <cell r="F1808" t="str">
            <v>Kaizo</v>
          </cell>
          <cell r="G1808">
            <v>45699</v>
          </cell>
          <cell r="H1808" t="str">
            <v>39039</v>
          </cell>
          <cell r="I1808" t="str">
            <v>https://www.smwcentral.net/?a=details&amp;id=39039&amp;p=section</v>
          </cell>
          <cell r="J1808" t="str">
            <v>https://dl.smwcentral.net/39039/SKN.zip</v>
          </cell>
        </row>
        <row r="1809">
          <cell r="A1809" t="str">
            <v>Super Kamek World</v>
          </cell>
          <cell r="B1809" t="str">
            <v>Super Kamek World</v>
          </cell>
          <cell r="C1809" t="str">
            <v>Zoreo</v>
          </cell>
          <cell r="D1809">
            <v>31</v>
          </cell>
          <cell r="E1809" t="str">
            <v>Advanced</v>
          </cell>
          <cell r="F1809" t="str">
            <v>Standard</v>
          </cell>
          <cell r="G1809">
            <v>45278</v>
          </cell>
          <cell r="H1809" t="str">
            <v>35498</v>
          </cell>
          <cell r="I1809" t="str">
            <v>https://www.smwcentral.net/?a=details&amp;id=35498&amp;p=section</v>
          </cell>
          <cell r="J1809" t="str">
            <v>https://dl.smwcentral.net/35498/Kamek%20World.zip</v>
          </cell>
        </row>
        <row r="1810">
          <cell r="A1810" t="str">
            <v>Super Kekcroc World 2 - A Croc Throughout Time</v>
          </cell>
          <cell r="B1810" t="str">
            <v>Super Kekcroc World 2 - A Croc Throughout Time</v>
          </cell>
          <cell r="C1810" t="str">
            <v>Knucklesfan</v>
          </cell>
          <cell r="D1810">
            <v>13</v>
          </cell>
          <cell r="E1810" t="str">
            <v>Intermediate</v>
          </cell>
          <cell r="F1810" t="str">
            <v>Standard</v>
          </cell>
          <cell r="G1810">
            <v>43692</v>
          </cell>
          <cell r="H1810" t="str">
            <v>20773</v>
          </cell>
          <cell r="I1810" t="str">
            <v>https://www.smwcentral.net/?a=details&amp;id=20773&amp;p=section</v>
          </cell>
          <cell r="J1810" t="str">
            <v>https://dl.smwcentral.net/20773/Super%20Kekcroc%20World%202%20A%20Croc%20Throughout%20Time%20Minor%20Update2.zip</v>
          </cell>
        </row>
        <row r="1811">
          <cell r="A1811" t="str">
            <v>Super Kekcroc World 3</v>
          </cell>
          <cell r="B1811" t="str">
            <v>Super Kekcroc World 3</v>
          </cell>
          <cell r="C1811" t="str">
            <v>Knucklesfan</v>
          </cell>
          <cell r="D1811">
            <v>12</v>
          </cell>
          <cell r="E1811" t="str">
            <v>Intermediate</v>
          </cell>
          <cell r="F1811" t="str">
            <v>Standard</v>
          </cell>
          <cell r="G1811">
            <v>44168</v>
          </cell>
          <cell r="H1811" t="str">
            <v>25202</v>
          </cell>
          <cell r="I1811" t="str">
            <v>https://www.smwcentral.net/?a=details&amp;id=25202&amp;p=section</v>
          </cell>
          <cell r="J1811" t="str">
            <v>https://dl.smwcentral.net/25202/Super%20Kekcroc%20World%203%20Ver%201.6.zip</v>
          </cell>
        </row>
        <row r="1812">
          <cell r="A1812" t="str">
            <v>Super Kekcroc World: Kekcroc in Space</v>
          </cell>
          <cell r="B1812" t="str">
            <v>Super Kekcroc World: Kekcroc in Space</v>
          </cell>
          <cell r="C1812" t="str">
            <v>Knucklesfan</v>
          </cell>
          <cell r="D1812">
            <v>16</v>
          </cell>
          <cell r="E1812" t="str">
            <v>Intermediate</v>
          </cell>
          <cell r="F1812" t="str">
            <v>Standard</v>
          </cell>
          <cell r="G1812">
            <v>43301</v>
          </cell>
          <cell r="H1812" t="str">
            <v>17909</v>
          </cell>
          <cell r="I1812" t="str">
            <v>https://www.smwcentral.net/?a=details&amp;id=17909&amp;p=section</v>
          </cell>
          <cell r="J1812" t="str">
            <v>https://dl.smwcentral.net/17909/Super%20Kekcroc%20World%20Official%20Release.zip</v>
          </cell>
        </row>
        <row r="1813">
          <cell r="A1813" t="str">
            <v>Super Kentucky Bros</v>
          </cell>
          <cell r="B1813" t="str">
            <v>Super Kentucky Bros</v>
          </cell>
          <cell r="C1813" t="str">
            <v>KBF</v>
          </cell>
          <cell r="D1813">
            <v>17</v>
          </cell>
          <cell r="E1813" t="str">
            <v>Expert</v>
          </cell>
          <cell r="F1813" t="str">
            <v>Kaizo</v>
          </cell>
          <cell r="G1813">
            <v>43600</v>
          </cell>
          <cell r="H1813" t="str">
            <v>19910</v>
          </cell>
          <cell r="I1813" t="str">
            <v>https://www.smwcentral.net/?a=details&amp;id=19910&amp;p=section</v>
          </cell>
          <cell r="J1813" t="str">
            <v>https://dl.smwcentral.net/19910/SKB1.1.zip</v>
          </cell>
        </row>
        <row r="1814">
          <cell r="A1814" t="str">
            <v>Super Kilik World</v>
          </cell>
          <cell r="B1814" t="str">
            <v>Super Kilik World</v>
          </cell>
          <cell r="C1814" t="str">
            <v>Kilik</v>
          </cell>
          <cell r="D1814">
            <v>8</v>
          </cell>
          <cell r="E1814" t="str">
            <v>Casual</v>
          </cell>
          <cell r="F1814" t="str">
            <v>Standard</v>
          </cell>
          <cell r="G1814">
            <v>42258</v>
          </cell>
          <cell r="H1814" t="str">
            <v>9989</v>
          </cell>
          <cell r="I1814" t="str">
            <v>https://www.smwcentral.net/?a=details&amp;id=9989&amp;p=section</v>
          </cell>
          <cell r="J1814" t="str">
            <v>https://dl.smwcentral.net/9989/Super%20Kilik%20World.zip</v>
          </cell>
        </row>
        <row r="1815">
          <cell r="A1815" t="str">
            <v>Super Killer World</v>
          </cell>
          <cell r="B1815" t="str">
            <v>Super Killer World</v>
          </cell>
          <cell r="C1815" t="str">
            <v>Wieus96</v>
          </cell>
          <cell r="D1815">
            <v>13</v>
          </cell>
          <cell r="E1815" t="str">
            <v>Advanced</v>
          </cell>
          <cell r="F1815" t="str">
            <v>Kaizo</v>
          </cell>
          <cell r="G1815">
            <v>43077</v>
          </cell>
          <cell r="H1815" t="str">
            <v>16725</v>
          </cell>
          <cell r="I1815" t="str">
            <v>https://www.smwcentral.net/?a=details&amp;id=16725&amp;p=section</v>
          </cell>
          <cell r="J1815" t="str">
            <v>https://dl.smwcentral.net/16725/Super%20Killer%20World%201.3.zip</v>
          </cell>
        </row>
        <row r="1816">
          <cell r="A1816" t="str">
            <v>Super King Jay World</v>
          </cell>
          <cell r="B1816" t="str">
            <v>Super King Jay World</v>
          </cell>
          <cell r="C1816" t="str">
            <v>Hiroki</v>
          </cell>
          <cell r="D1816">
            <v>14</v>
          </cell>
          <cell r="E1816" t="str">
            <v>Expert</v>
          </cell>
          <cell r="F1816" t="str">
            <v>Kaizo</v>
          </cell>
          <cell r="G1816">
            <v>45078</v>
          </cell>
          <cell r="H1816" t="str">
            <v>34039</v>
          </cell>
          <cell r="I1816" t="str">
            <v>https://www.smwcentral.net/?a=details&amp;id=34039&amp;p=section</v>
          </cell>
          <cell r="J1816" t="str">
            <v>https://dl.smwcentral.net/34039/SKJWv1.1.zip</v>
          </cell>
        </row>
        <row r="1817">
          <cell r="A1817" t="str">
            <v>Super Kroeti Kaizo World</v>
          </cell>
          <cell r="B1817" t="str">
            <v>Super Kroeti Kaizo World</v>
          </cell>
          <cell r="C1817" t="str">
            <v>Steffi4689</v>
          </cell>
          <cell r="D1817">
            <v>14</v>
          </cell>
          <cell r="E1817" t="str">
            <v>Advanced</v>
          </cell>
          <cell r="F1817" t="str">
            <v>Kaizo</v>
          </cell>
          <cell r="G1817">
            <v>44503</v>
          </cell>
          <cell r="H1817" t="str">
            <v>28658</v>
          </cell>
          <cell r="I1817" t="str">
            <v>https://www.smwcentral.net/?a=details&amp;id=28658&amp;p=section</v>
          </cell>
          <cell r="J1817" t="str">
            <v>https://dl.smwcentral.net/28658/SuperKroetiKaizoWorld.zip</v>
          </cell>
        </row>
        <row r="1818">
          <cell r="A1818" t="str">
            <v>Super Kuso World</v>
          </cell>
          <cell r="B1818" t="str">
            <v>Super Kuso World</v>
          </cell>
          <cell r="C1818" t="str">
            <v>Volpey</v>
          </cell>
          <cell r="D1818">
            <v>14</v>
          </cell>
          <cell r="E1818" t="str">
            <v>Master</v>
          </cell>
          <cell r="F1818" t="str">
            <v>Kaizo</v>
          </cell>
          <cell r="G1818">
            <v>43107</v>
          </cell>
          <cell r="H1818" t="str">
            <v>16700</v>
          </cell>
          <cell r="I1818" t="str">
            <v>https://www.smwcentral.net/?a=details&amp;id=16700&amp;p=section</v>
          </cell>
          <cell r="J1818" t="str">
            <v>https://dl.smwcentral.net/16700/Super%20Kuso%20World.zip</v>
          </cell>
        </row>
        <row r="1819">
          <cell r="A1819" t="str">
            <v>Super LAME World</v>
          </cell>
          <cell r="B1819" t="str">
            <v>Super LAME World</v>
          </cell>
          <cell r="C1819" t="str">
            <v>Big Brawler</v>
          </cell>
          <cell r="D1819">
            <v>76</v>
          </cell>
          <cell r="E1819" t="str">
            <v>Newcomer</v>
          </cell>
          <cell r="F1819" t="str">
            <v>Standard</v>
          </cell>
          <cell r="G1819">
            <v>45822</v>
          </cell>
          <cell r="H1819" t="str">
            <v>39964</v>
          </cell>
          <cell r="I1819" t="str">
            <v>https://www.smwcentral.net/?a=details&amp;id=39964&amp;p=section</v>
          </cell>
          <cell r="J1819" t="str">
            <v>https://dl.smwcentral.net/39964/LAME%201.1.zip</v>
          </cell>
        </row>
        <row r="1820">
          <cell r="A1820" t="str">
            <v>Super Lani World (Remastered)</v>
          </cell>
          <cell r="B1820" t="str">
            <v>Super Lani World (Remastered)</v>
          </cell>
          <cell r="C1820" t="str">
            <v>Dan2point5</v>
          </cell>
          <cell r="D1820">
            <v>24</v>
          </cell>
          <cell r="E1820" t="str">
            <v>Expert</v>
          </cell>
          <cell r="F1820" t="str">
            <v>Kaizo</v>
          </cell>
          <cell r="G1820">
            <v>44318</v>
          </cell>
          <cell r="H1820" t="str">
            <v>26877</v>
          </cell>
          <cell r="I1820" t="str">
            <v>https://www.smwcentral.net/?a=details&amp;id=26877&amp;p=section</v>
          </cell>
          <cell r="J1820" t="str">
            <v>https://dl.smwcentral.net/26877/Super%20Lani%20World.zip</v>
          </cell>
        </row>
        <row r="1821">
          <cell r="A1821" t="str">
            <v>Super Lani World 2 (Remastered)</v>
          </cell>
          <cell r="B1821" t="str">
            <v>Super Lani World 2 (Remastered)</v>
          </cell>
          <cell r="C1821" t="str">
            <v>Dan2point5</v>
          </cell>
          <cell r="D1821">
            <v>21</v>
          </cell>
          <cell r="E1821" t="str">
            <v>Expert</v>
          </cell>
          <cell r="F1821" t="str">
            <v>Kaizo</v>
          </cell>
          <cell r="G1821">
            <v>44343</v>
          </cell>
          <cell r="H1821" t="str">
            <v>27103</v>
          </cell>
          <cell r="I1821" t="str">
            <v>https://www.smwcentral.net/?a=details&amp;id=27103&amp;p=section</v>
          </cell>
          <cell r="J1821" t="str">
            <v>https://dl.smwcentral.net/27103/Super%20Lani%20World%202%20%28Remastered%29.zip</v>
          </cell>
        </row>
        <row r="1822">
          <cell r="A1822" t="str">
            <v>Super Lani World 3</v>
          </cell>
          <cell r="B1822" t="str">
            <v>Super Lani World 3</v>
          </cell>
          <cell r="C1822" t="str">
            <v>Dan2point5</v>
          </cell>
          <cell r="D1822">
            <v>35</v>
          </cell>
          <cell r="E1822" t="str">
            <v>Expert</v>
          </cell>
          <cell r="F1822" t="str">
            <v>Kaizo</v>
          </cell>
          <cell r="G1822">
            <v>45579</v>
          </cell>
          <cell r="H1822" t="str">
            <v>38590</v>
          </cell>
          <cell r="I1822" t="str">
            <v>https://www.smwcentral.net/?a=details&amp;id=38590&amp;p=section</v>
          </cell>
          <cell r="J1822" t="str">
            <v>https://dl.smwcentral.net/38590/Super%20Lani%20World%203%20v1.1.zip</v>
          </cell>
        </row>
        <row r="1823">
          <cell r="A1823" t="str">
            <v>Super Linkdead World</v>
          </cell>
          <cell r="B1823" t="str">
            <v>Super Linkdead World</v>
          </cell>
          <cell r="C1823" t="str">
            <v>GbreezeSunset</v>
          </cell>
          <cell r="D1823">
            <v>10</v>
          </cell>
          <cell r="E1823" t="str">
            <v>Master</v>
          </cell>
          <cell r="F1823" t="str">
            <v>Kaizo</v>
          </cell>
          <cell r="G1823">
            <v>42438</v>
          </cell>
          <cell r="H1823" t="str">
            <v>12923</v>
          </cell>
          <cell r="I1823" t="str">
            <v>https://www.smwcentral.net/?a=details&amp;id=12923&amp;p=section</v>
          </cell>
          <cell r="J1823" t="str">
            <v>https://dl.smwcentral.net/12923/Super%20Linkdead%20World.zip</v>
          </cell>
        </row>
        <row r="1824">
          <cell r="A1824" t="str">
            <v>Super Linkdeadx Dream</v>
          </cell>
          <cell r="B1824" t="str">
            <v>Super Linkdeadx Dream</v>
          </cell>
          <cell r="C1824" t="str">
            <v>MarioFan1337</v>
          </cell>
          <cell r="D1824">
            <v>0</v>
          </cell>
          <cell r="E1824" t="str">
            <v>Expert</v>
          </cell>
          <cell r="F1824" t="str">
            <v>Kaizo</v>
          </cell>
          <cell r="G1824">
            <v>45869</v>
          </cell>
          <cell r="H1824" t="str">
            <v>40178</v>
          </cell>
          <cell r="I1824" t="str">
            <v>https://www.smwcentral.net/?a=details&amp;id=40178&amp;p=section</v>
          </cell>
          <cell r="J1824" t="str">
            <v>https://dl.smwcentral.net/40178/Super%20Linkdeadx%20Dream.zip</v>
          </cell>
        </row>
        <row r="1825">
          <cell r="A1825" t="str">
            <v>Super Little Miss A.D.D. World</v>
          </cell>
          <cell r="B1825" t="str">
            <v>Super Little Miss A.D.D. World</v>
          </cell>
          <cell r="C1825" t="str">
            <v>AttentionDeficitDad</v>
          </cell>
          <cell r="D1825">
            <v>83</v>
          </cell>
          <cell r="E1825" t="str">
            <v>Newcomer</v>
          </cell>
          <cell r="F1825" t="str">
            <v>Standard, Kaizo</v>
          </cell>
          <cell r="G1825">
            <v>44906</v>
          </cell>
          <cell r="H1825" t="str">
            <v>32714</v>
          </cell>
          <cell r="I1825" t="str">
            <v>https://www.smwcentral.net/?a=details&amp;id=32714&amp;p=section</v>
          </cell>
          <cell r="J1825" t="str">
            <v>https://dl.smwcentral.net/32714/Super_Little_Miss_ADD_World_v1_0.zip</v>
          </cell>
        </row>
        <row r="1826">
          <cell r="A1826" t="str">
            <v>Super Little Miss ADD World DEMO</v>
          </cell>
          <cell r="B1826" t="str">
            <v>Super Little Miss ADD World DEMO</v>
          </cell>
          <cell r="C1826" t="str">
            <v>AttentionDeficitDad</v>
          </cell>
          <cell r="D1826">
            <v>21</v>
          </cell>
          <cell r="E1826" t="str">
            <v>Newcomer</v>
          </cell>
          <cell r="F1826" t="str">
            <v>Standard</v>
          </cell>
          <cell r="G1826">
            <v>44599</v>
          </cell>
          <cell r="H1826" t="str">
            <v>29719</v>
          </cell>
          <cell r="I1826" t="str">
            <v>https://www.smwcentral.net/?a=details&amp;id=29719&amp;p=section</v>
          </cell>
          <cell r="J1826" t="str">
            <v>https://dl.smwcentral.net/29719/Super%20Little%20Miss%20ADD%20World%20DEMO%20V1_0.zip</v>
          </cell>
        </row>
        <row r="1827">
          <cell r="A1827" t="str">
            <v>Super Logic World 1</v>
          </cell>
          <cell r="B1827" t="str">
            <v>Super Logic World 1</v>
          </cell>
          <cell r="C1827" t="str">
            <v>AKKA</v>
          </cell>
          <cell r="D1827">
            <v>7</v>
          </cell>
          <cell r="E1827" t="str">
            <v>Casual</v>
          </cell>
          <cell r="F1827" t="str">
            <v>Standard</v>
          </cell>
          <cell r="G1827">
            <v>45145</v>
          </cell>
          <cell r="H1827" t="str">
            <v>34469</v>
          </cell>
          <cell r="I1827" t="str">
            <v>https://www.smwcentral.net/?a=details&amp;id=34469&amp;p=section</v>
          </cell>
          <cell r="J1827" t="str">
            <v>https://dl.smwcentral.net/34469/Super%20Logic%20World%201.zip</v>
          </cell>
        </row>
        <row r="1828">
          <cell r="A1828" t="str">
            <v>Super LouisDoucet World</v>
          </cell>
          <cell r="B1828" t="str">
            <v>Super LouisDoucet World</v>
          </cell>
          <cell r="C1828" t="str">
            <v>gui</v>
          </cell>
          <cell r="D1828">
            <v>11</v>
          </cell>
          <cell r="E1828" t="str">
            <v>Expert</v>
          </cell>
          <cell r="F1828" t="str">
            <v>Kaizo</v>
          </cell>
          <cell r="G1828">
            <v>44692</v>
          </cell>
          <cell r="H1828" t="str">
            <v>30838</v>
          </cell>
          <cell r="I1828" t="str">
            <v>https://www.smwcentral.net/?a=details&amp;id=30838&amp;p=section</v>
          </cell>
          <cell r="J1828" t="str">
            <v>https://dl.smwcentral.net/30838/LOUISFINALE.zip</v>
          </cell>
        </row>
        <row r="1829">
          <cell r="A1829" t="str">
            <v>Super LouisDoucet World 2</v>
          </cell>
          <cell r="B1829" t="str">
            <v>Super LouisDoucet World 2</v>
          </cell>
          <cell r="C1829" t="str">
            <v>gui</v>
          </cell>
          <cell r="D1829">
            <v>30</v>
          </cell>
          <cell r="E1829" t="str">
            <v>Master</v>
          </cell>
          <cell r="F1829" t="str">
            <v>Kaizo</v>
          </cell>
          <cell r="G1829">
            <v>45020</v>
          </cell>
          <cell r="H1829" t="str">
            <v>33563</v>
          </cell>
          <cell r="I1829" t="str">
            <v>https://www.smwcentral.net/?a=details&amp;id=33563&amp;p=section</v>
          </cell>
          <cell r="J1829" t="str">
            <v>https://dl.smwcentral.net/33563/Super%20LouisDoucet%20World%202%20%28v1.1%29.zip</v>
          </cell>
        </row>
        <row r="1830">
          <cell r="A1830" t="str">
            <v>Super LSG World</v>
          </cell>
          <cell r="B1830" t="str">
            <v>Super LSG World</v>
          </cell>
          <cell r="C1830" t="str">
            <v>Insanit</v>
          </cell>
          <cell r="D1830">
            <v>15</v>
          </cell>
          <cell r="E1830" t="str">
            <v>Intermediate</v>
          </cell>
          <cell r="F1830" t="str">
            <v>Kaizo</v>
          </cell>
          <cell r="G1830">
            <v>44238</v>
          </cell>
          <cell r="H1830" t="str">
            <v>26130</v>
          </cell>
          <cell r="I1830" t="str">
            <v>https://www.smwcentral.net/?a=details&amp;id=26130&amp;p=section</v>
          </cell>
          <cell r="J1830" t="str">
            <v>https://dl.smwcentral.net/26130/Super%20LSG%20World%201.2.zip</v>
          </cell>
        </row>
        <row r="1831">
          <cell r="A1831" t="str">
            <v>Super LSG World (B-Side)</v>
          </cell>
          <cell r="B1831" t="str">
            <v>Super LSG World (B-Side)</v>
          </cell>
          <cell r="C1831" t="str">
            <v>Insanit</v>
          </cell>
          <cell r="D1831">
            <v>6</v>
          </cell>
          <cell r="E1831" t="str">
            <v>Expert</v>
          </cell>
          <cell r="F1831" t="str">
            <v>Kaizo</v>
          </cell>
          <cell r="G1831">
            <v>44992</v>
          </cell>
          <cell r="H1831" t="str">
            <v>33322</v>
          </cell>
          <cell r="I1831" t="str">
            <v>https://www.smwcentral.net/?a=details&amp;id=33322&amp;p=section</v>
          </cell>
          <cell r="J1831" t="str">
            <v>https://dl.smwcentral.net/33322/LSGB-Side1.03.zip</v>
          </cell>
        </row>
        <row r="1832">
          <cell r="A1832" t="str">
            <v>Super Luigi Arcade</v>
          </cell>
          <cell r="B1832" t="str">
            <v>Super Luigi Arcade</v>
          </cell>
          <cell r="C1832" t="str">
            <v>zacmario</v>
          </cell>
          <cell r="D1832">
            <v>24</v>
          </cell>
          <cell r="E1832" t="str">
            <v>Intermediate</v>
          </cell>
          <cell r="F1832" t="str">
            <v>Standard</v>
          </cell>
          <cell r="G1832">
            <v>42890</v>
          </cell>
          <cell r="H1832" t="str">
            <v>15639</v>
          </cell>
          <cell r="I1832" t="str">
            <v>https://www.smwcentral.net/?a=details&amp;id=15639&amp;p=section</v>
          </cell>
          <cell r="J1832" t="str">
            <v>https://dl.smwcentral.net/15639/SLA.zip</v>
          </cell>
        </row>
        <row r="1833">
          <cell r="A1833" t="str">
            <v>Super Luigi Bros: Mystery Of the 7 Jewels</v>
          </cell>
          <cell r="B1833" t="str">
            <v>Super Luigi Bros: Mystery Of the 7 Jewels</v>
          </cell>
          <cell r="C1833" t="str">
            <v>Lexator</v>
          </cell>
          <cell r="D1833">
            <v>37</v>
          </cell>
          <cell r="E1833" t="str">
            <v>Casual</v>
          </cell>
          <cell r="F1833" t="str">
            <v>Standard</v>
          </cell>
          <cell r="G1833">
            <v>41599</v>
          </cell>
          <cell r="H1833" t="str">
            <v>5594</v>
          </cell>
          <cell r="I1833" t="str">
            <v>https://www.smwcentral.net/?a=details&amp;id=5594&amp;p=section</v>
          </cell>
          <cell r="J1833" t="str">
            <v>https://dl.smwcentral.net/5594/Super%20Luigi%20Bros%20m7j%20demo2%20%28fixed%29.zip</v>
          </cell>
        </row>
        <row r="1834">
          <cell r="A1834" t="str">
            <v>Super Luigi Land</v>
          </cell>
          <cell r="B1834" t="str">
            <v>Super Luigi Land</v>
          </cell>
          <cell r="C1834" t="str">
            <v>Gamma V</v>
          </cell>
          <cell r="D1834">
            <v>108</v>
          </cell>
          <cell r="E1834" t="str">
            <v>Casual</v>
          </cell>
          <cell r="F1834" t="str">
            <v>Standard</v>
          </cell>
          <cell r="G1834">
            <v>43799</v>
          </cell>
          <cell r="H1834" t="str">
            <v>21515</v>
          </cell>
          <cell r="I1834" t="str">
            <v>https://www.smwcentral.net/?a=details&amp;id=21515&amp;p=section</v>
          </cell>
          <cell r="J1834" t="str">
            <v>https://dl.smwcentral.net/21515/Super%20Luigi%20Land%20Rev.%2011-20-2019.zip</v>
          </cell>
        </row>
        <row r="1835">
          <cell r="A1835" t="str">
            <v>Super Luigi Land 2</v>
          </cell>
          <cell r="B1835" t="str">
            <v>Super Luigi Land 2</v>
          </cell>
          <cell r="C1835" t="str">
            <v>Gamma V</v>
          </cell>
          <cell r="D1835">
            <v>64</v>
          </cell>
          <cell r="E1835" t="str">
            <v>Casual</v>
          </cell>
          <cell r="F1835" t="str">
            <v>Standard</v>
          </cell>
          <cell r="G1835">
            <v>46066</v>
          </cell>
          <cell r="H1835" t="str">
            <v>41555</v>
          </cell>
          <cell r="I1835" t="str">
            <v>https://www.smwcentral.net/?a=details&amp;id=41555&amp;p=section</v>
          </cell>
          <cell r="J1835" t="str">
            <v>https://dl.smwcentral.net/41555/SLL2%20NewIntro.zip</v>
          </cell>
        </row>
        <row r="1836">
          <cell r="A1836" t="str">
            <v>Super Luigi RPG World</v>
          </cell>
          <cell r="B1836" t="str">
            <v>Super Luigi RPG World</v>
          </cell>
          <cell r="C1836" t="str">
            <v>Luigi</v>
          </cell>
          <cell r="D1836">
            <v>5</v>
          </cell>
          <cell r="E1836" t="str">
            <v>Intermediate</v>
          </cell>
          <cell r="F1836" t="str">
            <v>Standard</v>
          </cell>
          <cell r="G1836">
            <v>42062</v>
          </cell>
          <cell r="H1836" t="str">
            <v>9753</v>
          </cell>
          <cell r="I1836" t="str">
            <v>https://www.smwcentral.net/?a=details&amp;id=9753&amp;p=section</v>
          </cell>
          <cell r="J1836" t="str">
            <v>https://dl.smwcentral.net/9753/SLRPGW%20%28Demo%201%29.zip</v>
          </cell>
        </row>
        <row r="1837">
          <cell r="A1837" t="str">
            <v>Super Luigi World 0.5</v>
          </cell>
          <cell r="B1837" t="str">
            <v>Super Luigi World 0.5</v>
          </cell>
          <cell r="C1837" t="str">
            <v>Dark Prince, Gamma V, The Cursed Goomba, h.carrell</v>
          </cell>
          <cell r="D1837">
            <v>24</v>
          </cell>
          <cell r="E1837" t="str">
            <v>Intermediate</v>
          </cell>
          <cell r="F1837" t="str">
            <v>Standard</v>
          </cell>
          <cell r="G1837">
            <v>45285</v>
          </cell>
          <cell r="H1837" t="str">
            <v>35747</v>
          </cell>
          <cell r="I1837" t="str">
            <v>https://www.smwcentral.net/?a=details&amp;id=35747&amp;p=section</v>
          </cell>
          <cell r="J1837" t="str">
            <v>https://dl.smwcentral.net/35747/slw0.5_w2_demo%20v0.5.zip</v>
          </cell>
        </row>
        <row r="1838">
          <cell r="A1838" t="str">
            <v>Super Luigi World DELUXE</v>
          </cell>
          <cell r="B1838" t="str">
            <v>Super Luigi World DELUXE</v>
          </cell>
          <cell r="C1838" t="str">
            <v>SMW Miguelix</v>
          </cell>
          <cell r="D1838">
            <v>34</v>
          </cell>
          <cell r="E1838" t="str">
            <v>Casual</v>
          </cell>
          <cell r="F1838" t="str">
            <v>Standard</v>
          </cell>
          <cell r="G1838">
            <v>45897</v>
          </cell>
          <cell r="H1838" t="str">
            <v>40430</v>
          </cell>
          <cell r="I1838" t="str">
            <v>https://www.smwcentral.net/?a=details&amp;id=40430&amp;p=section</v>
          </cell>
          <cell r="J1838" t="str">
            <v>https://dl.smwcentral.net/40430/SuperLuigiWorldDeluxe.zip</v>
          </cell>
        </row>
        <row r="1839">
          <cell r="A1839" t="str">
            <v>Super Luigi World: Luigi's Fantastic Dream</v>
          </cell>
          <cell r="B1839" t="str">
            <v>Super Luigi World: Luigi's Fantastic Dream</v>
          </cell>
          <cell r="C1839" t="str">
            <v>Magi</v>
          </cell>
          <cell r="D1839">
            <v>18</v>
          </cell>
          <cell r="E1839" t="str">
            <v>Intermediate</v>
          </cell>
          <cell r="F1839" t="str">
            <v>Standard</v>
          </cell>
          <cell r="G1839">
            <v>42130</v>
          </cell>
          <cell r="H1839" t="str">
            <v>10049</v>
          </cell>
          <cell r="I1839" t="str">
            <v>https://www.smwcentral.net/?a=details&amp;id=10049&amp;p=section</v>
          </cell>
          <cell r="J1839" t="str">
            <v>https://dl.smwcentral.net/10049/SLWLFD%20demo.zip</v>
          </cell>
        </row>
        <row r="1840">
          <cell r="A1840" t="str">
            <v>Super Luigi World: Luigi's Quest!</v>
          </cell>
          <cell r="B1840" t="str">
            <v>Super Luigi World: Luigi's Quest!</v>
          </cell>
          <cell r="C1840" t="str">
            <v>Yashum</v>
          </cell>
          <cell r="D1840">
            <v>96</v>
          </cell>
          <cell r="E1840" t="str">
            <v>Intermediate</v>
          </cell>
          <cell r="F1840" t="str">
            <v>Standard</v>
          </cell>
          <cell r="G1840">
            <v>42337</v>
          </cell>
          <cell r="H1840" t="str">
            <v>9717</v>
          </cell>
          <cell r="I1840" t="str">
            <v>https://www.smwcentral.net/?a=details&amp;id=9717&amp;p=section</v>
          </cell>
          <cell r="J1840" t="str">
            <v>https://dl.smwcentral.net/9717/Super%20Luigi%20World%20-%20Luigi%27s%20Quest%21.zip</v>
          </cell>
        </row>
        <row r="1841">
          <cell r="A1841" t="str">
            <v>Super Luigi: King Koopa and the PU</v>
          </cell>
          <cell r="B1841" t="str">
            <v>Super Luigi: King Koopa and the PU</v>
          </cell>
          <cell r="C1841" t="str">
            <v>edgar</v>
          </cell>
          <cell r="D1841">
            <v>12</v>
          </cell>
          <cell r="E1841" t="str">
            <v>Intermediate</v>
          </cell>
          <cell r="F1841" t="str">
            <v>Standard</v>
          </cell>
          <cell r="G1841">
            <v>44571</v>
          </cell>
          <cell r="H1841" t="str">
            <v>29309</v>
          </cell>
          <cell r="I1841" t="str">
            <v>https://www.smwcentral.net/?a=details&amp;id=29309&amp;p=section</v>
          </cell>
          <cell r="J1841" t="str">
            <v>https://dl.smwcentral.net/29309/Super%20Luigi%20King%20Koopa%20and%20the%20PU.zip</v>
          </cell>
        </row>
        <row r="1842">
          <cell r="A1842" t="str">
            <v>Super Luigi: The Regular Quest</v>
          </cell>
          <cell r="B1842" t="str">
            <v>Super Luigi: The Regular Quest</v>
          </cell>
          <cell r="C1842" t="str">
            <v>Blittle McNilsen</v>
          </cell>
          <cell r="D1842">
            <v>6</v>
          </cell>
          <cell r="E1842" t="str">
            <v>Newcomer</v>
          </cell>
          <cell r="F1842" t="str">
            <v>Standard</v>
          </cell>
          <cell r="G1842">
            <v>42334</v>
          </cell>
          <cell r="H1842" t="str">
            <v>12758</v>
          </cell>
          <cell r="I1842" t="str">
            <v>https://www.smwcentral.net/?a=details&amp;id=12758&amp;p=section</v>
          </cell>
          <cell r="J1842" t="str">
            <v>https://dl.smwcentral.net/12758/Super%20Luigi%20-%20The%20Regular%20Quest%20DEMO%201.2.zip</v>
          </cell>
        </row>
        <row r="1843">
          <cell r="A1843" t="str">
            <v>Super Machok World</v>
          </cell>
          <cell r="B1843" t="str">
            <v>Super Machok World</v>
          </cell>
          <cell r="C1843" t="str">
            <v>Kurukururin</v>
          </cell>
          <cell r="D1843">
            <v>11</v>
          </cell>
          <cell r="E1843" t="str">
            <v>Advanced</v>
          </cell>
          <cell r="F1843" t="str">
            <v>Kaizo</v>
          </cell>
          <cell r="G1843">
            <v>43305</v>
          </cell>
          <cell r="H1843" t="str">
            <v>17936</v>
          </cell>
          <cell r="I1843" t="str">
            <v>https://www.smwcentral.net/?a=details&amp;id=17936&amp;p=section</v>
          </cell>
          <cell r="J1843" t="str">
            <v>https://dl.smwcentral.net/17936/Super_Machok_World_1.0.zip</v>
          </cell>
        </row>
        <row r="1844">
          <cell r="A1844" t="str">
            <v>Super Macron World</v>
          </cell>
          <cell r="B1844" t="str">
            <v>Super Macron World</v>
          </cell>
          <cell r="C1844" t="str">
            <v>fanfan21</v>
          </cell>
          <cell r="D1844">
            <v>4</v>
          </cell>
          <cell r="E1844" t="str">
            <v>Advanced</v>
          </cell>
          <cell r="F1844" t="str">
            <v>Kaizo, Tool-Assisted</v>
          </cell>
          <cell r="G1844">
            <v>45811</v>
          </cell>
          <cell r="H1844" t="str">
            <v>39777</v>
          </cell>
          <cell r="I1844" t="str">
            <v>https://www.smwcentral.net/?a=details&amp;id=39777&amp;p=section</v>
          </cell>
          <cell r="J1844" t="str">
            <v>https://dl.smwcentral.net/39777/Super%20Macron%20World%20%28Fixed%29.zip</v>
          </cell>
        </row>
        <row r="1845">
          <cell r="A1845" t="str">
            <v>Super Macron World: Ultra Lite</v>
          </cell>
          <cell r="B1845" t="str">
            <v>Super Macron World: Ultra Lite</v>
          </cell>
          <cell r="C1845" t="str">
            <v>fanfan21</v>
          </cell>
          <cell r="D1845">
            <v>4</v>
          </cell>
          <cell r="E1845" t="str">
            <v>Intermediate</v>
          </cell>
          <cell r="F1845" t="str">
            <v>Kaizo</v>
          </cell>
          <cell r="G1845">
            <v>45942</v>
          </cell>
          <cell r="H1845" t="str">
            <v>40742</v>
          </cell>
          <cell r="I1845" t="str">
            <v>https://www.smwcentral.net/?a=details&amp;id=40742&amp;p=section</v>
          </cell>
          <cell r="J1845" t="str">
            <v>https://dl.smwcentral.net/40742/Super%20Macron%20World%20Ultra%20Lite.zip</v>
          </cell>
        </row>
        <row r="1846">
          <cell r="A1846" t="str">
            <v>Super MADE World</v>
          </cell>
          <cell r="B1846" t="str">
            <v>Super MADE World</v>
          </cell>
          <cell r="C1846" t="str">
            <v>detroitkoza</v>
          </cell>
          <cell r="D1846">
            <v>10</v>
          </cell>
          <cell r="E1846" t="str">
            <v>Advanced</v>
          </cell>
          <cell r="F1846" t="str">
            <v>Kaizo</v>
          </cell>
          <cell r="G1846">
            <v>46185</v>
          </cell>
          <cell r="H1846" t="str">
            <v>42519</v>
          </cell>
          <cell r="I1846" t="str">
            <v>https://www.smwcentral.net/?a=details&amp;id=42519&amp;p=section</v>
          </cell>
          <cell r="J1846" t="str">
            <v>https://dl.smwcentral.net/42519/Super%20MADE%20World.zip</v>
          </cell>
        </row>
        <row r="1847">
          <cell r="A1847" t="str">
            <v>Super Mallow World</v>
          </cell>
          <cell r="B1847" t="str">
            <v>Super Mallow World</v>
          </cell>
          <cell r="C1847" t="str">
            <v>Deakula, FerpyMcFrosting, Flabort, FridayFables, FuryfulFawful, IanBoy, Joe Smo, MarkAlarm, Uzerro, frost_heart</v>
          </cell>
          <cell r="D1847">
            <v>71</v>
          </cell>
          <cell r="E1847" t="str">
            <v>Intermediate</v>
          </cell>
          <cell r="F1847" t="str">
            <v>Standard</v>
          </cell>
          <cell r="G1847">
            <v>43140</v>
          </cell>
          <cell r="H1847" t="str">
            <v>17104</v>
          </cell>
          <cell r="I1847" t="str">
            <v>https://www.smwcentral.net/?a=details&amp;id=17104&amp;p=section</v>
          </cell>
          <cell r="J1847" t="str">
            <v>https://dl.smwcentral.net/17104/SuperMallowWorld.zip</v>
          </cell>
        </row>
        <row r="1848">
          <cell r="A1848" t="str">
            <v>Super Mallow World - Master Quest</v>
          </cell>
          <cell r="B1848" t="str">
            <v>Super Mallow World - Master Quest</v>
          </cell>
          <cell r="C1848" t="str">
            <v>Deakula, FerpyMcFrosting, Flabort, FridayFables, FuryfulFawful, IanBoy, Joe Smo, MarkAlarm, Uzerro, frost_heart</v>
          </cell>
          <cell r="D1848">
            <v>11</v>
          </cell>
          <cell r="E1848" t="str">
            <v>Master</v>
          </cell>
          <cell r="F1848" t="str">
            <v>Kaizo</v>
          </cell>
          <cell r="G1848">
            <v>43112</v>
          </cell>
          <cell r="H1848" t="str">
            <v>16893</v>
          </cell>
          <cell r="I1848" t="str">
            <v>https://www.smwcentral.net/?a=details&amp;id=16893&amp;p=section</v>
          </cell>
          <cell r="J1848" t="str">
            <v>https://dl.smwcentral.net/16893/Super_Mallow_World_Master_Quest.zip</v>
          </cell>
        </row>
        <row r="1849">
          <cell r="A1849" t="str">
            <v>Super Maple World</v>
          </cell>
          <cell r="B1849" t="str">
            <v>Super Maple World</v>
          </cell>
          <cell r="C1849" t="str">
            <v>Letsmangle</v>
          </cell>
          <cell r="D1849">
            <v>8</v>
          </cell>
          <cell r="E1849" t="str">
            <v>Advanced</v>
          </cell>
          <cell r="F1849" t="str">
            <v>Kaizo</v>
          </cell>
          <cell r="G1849">
            <v>43849</v>
          </cell>
          <cell r="H1849" t="str">
            <v>21953</v>
          </cell>
          <cell r="I1849" t="str">
            <v>https://www.smwcentral.net/?a=details&amp;id=21953&amp;p=section</v>
          </cell>
          <cell r="J1849" t="str">
            <v>https://dl.smwcentral.net/21953/Super%20Maple%20World%20v1.1.zip</v>
          </cell>
        </row>
        <row r="1850">
          <cell r="A1850" t="str">
            <v>Super Marina World</v>
          </cell>
          <cell r="B1850" t="str">
            <v>Super Marina World</v>
          </cell>
          <cell r="C1850" t="str">
            <v>kona</v>
          </cell>
          <cell r="D1850">
            <v>100</v>
          </cell>
          <cell r="E1850" t="str">
            <v>Advanced</v>
          </cell>
          <cell r="F1850" t="str">
            <v>Standard</v>
          </cell>
          <cell r="G1850">
            <v>43877</v>
          </cell>
          <cell r="H1850" t="str">
            <v>21832</v>
          </cell>
          <cell r="I1850" t="str">
            <v>https://www.smwcentral.net/?a=details&amp;id=21832&amp;p=section</v>
          </cell>
          <cell r="J1850" t="str">
            <v>https://dl.smwcentral.net/21832/SuperMarinaWorldv2.2.zip</v>
          </cell>
        </row>
        <row r="1851">
          <cell r="A1851" t="str">
            <v>Super Mario (Tentative Title)</v>
          </cell>
          <cell r="B1851" t="str">
            <v>Super Mario (Tentative Title)</v>
          </cell>
          <cell r="C1851" t="str">
            <v>LunarDrake</v>
          </cell>
          <cell r="D1851">
            <v>7</v>
          </cell>
          <cell r="E1851" t="str">
            <v>Newcomer</v>
          </cell>
          <cell r="F1851" t="str">
            <v>Standard</v>
          </cell>
          <cell r="G1851">
            <v>41493</v>
          </cell>
          <cell r="H1851" t="str">
            <v>5150</v>
          </cell>
          <cell r="I1851" t="str">
            <v>https://www.smwcentral.net/?a=details&amp;id=5150&amp;p=section</v>
          </cell>
          <cell r="J1851" t="str">
            <v>https://dl.smwcentral.net/5150/supermario.zip</v>
          </cell>
        </row>
        <row r="1852">
          <cell r="A1852" t="str">
            <v>Super Mario - Bowser's Secret Weapon</v>
          </cell>
          <cell r="B1852" t="str">
            <v>Super Mario - Bowser's Secret Weapon</v>
          </cell>
          <cell r="C1852" t="str">
            <v>Zerio</v>
          </cell>
          <cell r="D1852">
            <v>7</v>
          </cell>
          <cell r="E1852" t="str">
            <v>Newcomer</v>
          </cell>
          <cell r="F1852" t="str">
            <v>Standard</v>
          </cell>
          <cell r="G1852">
            <v>42293</v>
          </cell>
          <cell r="H1852" t="str">
            <v>9910</v>
          </cell>
          <cell r="I1852" t="str">
            <v>https://www.smwcentral.net/?a=details&amp;id=9910&amp;p=section</v>
          </cell>
          <cell r="J1852" t="str">
            <v>https://dl.smwcentral.net/9910/Super%20Mario%20-%20Bowser%27s%20Secret%20Weapon%20Demo%201%20By%20Zerio.zip</v>
          </cell>
        </row>
        <row r="1853">
          <cell r="A1853" t="str">
            <v>Super Mario - Modo Competitivo (Competitive Mode)</v>
          </cell>
          <cell r="B1853" t="str">
            <v>Super Mario - Modo Competitivo (Competitive Mode)</v>
          </cell>
          <cell r="C1853" t="str">
            <v>Leozoppi</v>
          </cell>
          <cell r="D1853">
            <v>32</v>
          </cell>
          <cell r="E1853" t="str">
            <v>Intermediate</v>
          </cell>
          <cell r="F1853" t="str">
            <v>Standard</v>
          </cell>
          <cell r="G1853">
            <v>44474</v>
          </cell>
          <cell r="H1853" t="str">
            <v>27968</v>
          </cell>
          <cell r="I1853" t="str">
            <v>https://www.smwcentral.net/?a=details&amp;id=27968&amp;p=section</v>
          </cell>
          <cell r="J1853" t="str">
            <v>https://dl.smwcentral.net/27968/Super%20Mario%20-%20Modo%20Competitivo.zip</v>
          </cell>
        </row>
        <row r="1854">
          <cell r="A1854" t="str">
            <v>Super Mario - The Ultimate Challenge</v>
          </cell>
          <cell r="B1854" t="str">
            <v>Super Mario - The Ultimate Challenge</v>
          </cell>
          <cell r="C1854" t="str">
            <v>UltimateMeh</v>
          </cell>
          <cell r="D1854">
            <v>5</v>
          </cell>
          <cell r="E1854" t="str">
            <v>Newcomer</v>
          </cell>
          <cell r="F1854" t="str">
            <v>Standard</v>
          </cell>
          <cell r="G1854">
            <v>42302</v>
          </cell>
          <cell r="H1854" t="str">
            <v>10053</v>
          </cell>
          <cell r="I1854" t="str">
            <v>https://www.smwcentral.net/?a=details&amp;id=10053&amp;p=section</v>
          </cell>
          <cell r="J1854" t="str">
            <v>https://dl.smwcentral.net/10053/Super%20Mario%20-%20The%20Ultimate%20Challenge%20-%20Demo.zip</v>
          </cell>
        </row>
        <row r="1855">
          <cell r="A1855" t="str">
            <v>Super Mario 16: The Fall of Yoshi</v>
          </cell>
          <cell r="B1855" t="str">
            <v>Super Mario 16: The Fall of Yoshi</v>
          </cell>
          <cell r="C1855" t="str">
            <v>Alex No</v>
          </cell>
          <cell r="D1855">
            <v>77</v>
          </cell>
          <cell r="E1855" t="str">
            <v>Casual</v>
          </cell>
          <cell r="F1855" t="str">
            <v>Standard</v>
          </cell>
          <cell r="G1855">
            <v>45789</v>
          </cell>
          <cell r="H1855" t="str">
            <v>39344</v>
          </cell>
          <cell r="I1855" t="str">
            <v>https://www.smwcentral.net/?a=details&amp;id=39344&amp;p=section</v>
          </cell>
          <cell r="J1855" t="str">
            <v>https://dl.smwcentral.net/39344/Super%20Mario%2016%20The%20Fall%20of%20Yoshi%20v1.54.zip</v>
          </cell>
        </row>
        <row r="1856">
          <cell r="A1856" t="str">
            <v>Super Mario 2D Land</v>
          </cell>
          <cell r="B1856" t="str">
            <v>Super Mario 2D Land</v>
          </cell>
          <cell r="C1856" t="str">
            <v>Alex No</v>
          </cell>
          <cell r="D1856">
            <v>87</v>
          </cell>
          <cell r="E1856" t="str">
            <v>Casual</v>
          </cell>
          <cell r="F1856" t="str">
            <v>Standard</v>
          </cell>
          <cell r="G1856">
            <v>41654</v>
          </cell>
          <cell r="H1856" t="str">
            <v>6068</v>
          </cell>
          <cell r="I1856" t="str">
            <v>https://www.smwcentral.net/?a=details&amp;id=6068&amp;p=section</v>
          </cell>
          <cell r="J1856" t="str">
            <v>https://dl.smwcentral.net/6068/Super%20Mario%202D%20Land%20fix%20Desember%202013.zip</v>
          </cell>
        </row>
        <row r="1857">
          <cell r="A1857" t="str">
            <v>Super Mario 32 Levels</v>
          </cell>
          <cell r="B1857" t="str">
            <v>Super Mario 32 Levels</v>
          </cell>
          <cell r="C1857" t="str">
            <v>Leozoppi</v>
          </cell>
          <cell r="D1857">
            <v>31</v>
          </cell>
          <cell r="E1857" t="str">
            <v>Casual</v>
          </cell>
          <cell r="F1857" t="str">
            <v>Standard</v>
          </cell>
          <cell r="G1857">
            <v>44041</v>
          </cell>
          <cell r="H1857" t="str">
            <v>23339</v>
          </cell>
          <cell r="I1857" t="str">
            <v>https://www.smwcentral.net/?a=details&amp;id=23339&amp;p=section</v>
          </cell>
          <cell r="J1857" t="str">
            <v>https://dl.smwcentral.net/23339/Super%20Mario%2032%20Levels.zip</v>
          </cell>
        </row>
        <row r="1858">
          <cell r="A1858" t="str">
            <v>Super Mario 32 Levels (R4.0)</v>
          </cell>
          <cell r="B1858" t="str">
            <v>Super Mario 32 Levels (R4.0)</v>
          </cell>
          <cell r="C1858" t="str">
            <v>Leozoppi</v>
          </cell>
          <cell r="D1858">
            <v>33</v>
          </cell>
          <cell r="E1858" t="str">
            <v>Intermediate</v>
          </cell>
          <cell r="F1858" t="str">
            <v>Standard</v>
          </cell>
          <cell r="G1858">
            <v>44068</v>
          </cell>
          <cell r="H1858" t="str">
            <v>24103</v>
          </cell>
          <cell r="I1858" t="str">
            <v>https://www.smwcentral.net/?a=details&amp;id=24103&amp;p=section</v>
          </cell>
          <cell r="J1858" t="str">
            <v>https://dl.smwcentral.net/24103/Super%20Mario%2032%20Levels%20%28R4.0%29.zip</v>
          </cell>
        </row>
        <row r="1859">
          <cell r="A1859" t="str">
            <v>Super Mario 64/4</v>
          </cell>
          <cell r="B1859" t="str">
            <v>Super Mario 64/4</v>
          </cell>
          <cell r="C1859" t="str">
            <v>Jagfillit</v>
          </cell>
          <cell r="D1859">
            <v>6</v>
          </cell>
          <cell r="E1859" t="str">
            <v>Newcomer</v>
          </cell>
          <cell r="F1859" t="str">
            <v>Standard</v>
          </cell>
          <cell r="G1859">
            <v>41531</v>
          </cell>
          <cell r="H1859" t="str">
            <v>5267</v>
          </cell>
          <cell r="I1859" t="str">
            <v>https://www.smwcentral.net/?a=details&amp;id=5267&amp;p=section</v>
          </cell>
          <cell r="J1859" t="str">
            <v>https://dl.smwcentral.net/5267/Mario64over4.zip</v>
          </cell>
        </row>
        <row r="1860">
          <cell r="A1860" t="str">
            <v>Super Mario 96: Adventures in Parallel Land</v>
          </cell>
          <cell r="B1860" t="str">
            <v>Super Mario 96: Adventures in Parallel Land</v>
          </cell>
          <cell r="C1860" t="str">
            <v>K3Blue64</v>
          </cell>
          <cell r="D1860">
            <v>14</v>
          </cell>
          <cell r="E1860" t="str">
            <v>Newcomer</v>
          </cell>
          <cell r="F1860" t="str">
            <v>Standard</v>
          </cell>
          <cell r="G1860">
            <v>41648</v>
          </cell>
          <cell r="H1860" t="str">
            <v>6070</v>
          </cell>
          <cell r="I1860" t="str">
            <v>https://www.smwcentral.net/?a=details&amp;id=6070&amp;p=section</v>
          </cell>
          <cell r="J1860" t="str">
            <v>https://dl.smwcentral.net/6070/sm96.zip</v>
          </cell>
        </row>
        <row r="1861">
          <cell r="A1861" t="str">
            <v>Super Mario Adventure [SMWC #5248]</v>
          </cell>
          <cell r="B1861" t="str">
            <v>Super Mario Adventure</v>
          </cell>
          <cell r="C1861" t="str">
            <v>BlackMageMario</v>
          </cell>
          <cell r="D1861">
            <v>8</v>
          </cell>
          <cell r="E1861" t="str">
            <v>Newcomer</v>
          </cell>
          <cell r="F1861" t="str">
            <v>Standard</v>
          </cell>
          <cell r="G1861">
            <v>41544</v>
          </cell>
          <cell r="H1861" t="str">
            <v>5248</v>
          </cell>
          <cell r="I1861" t="str">
            <v>https://www.smwcentral.net/?a=details&amp;id=5248&amp;p=section</v>
          </cell>
          <cell r="J1861" t="str">
            <v>https://dl.smwcentral.net/5248/SMA%20Demo%201.zip</v>
          </cell>
        </row>
        <row r="1862">
          <cell r="A1862" t="str">
            <v>Super Mario Adventure [SMWC #10103]</v>
          </cell>
          <cell r="B1862" t="str">
            <v>Super Mario Adventure</v>
          </cell>
          <cell r="C1862" t="str">
            <v>JVyrn</v>
          </cell>
          <cell r="D1862">
            <v>0</v>
          </cell>
          <cell r="E1862" t="str">
            <v>Casual</v>
          </cell>
          <cell r="F1862" t="str">
            <v>Standard</v>
          </cell>
          <cell r="G1862">
            <v>42310</v>
          </cell>
          <cell r="H1862" t="str">
            <v>10103</v>
          </cell>
          <cell r="I1862" t="str">
            <v>https://www.smwcentral.net/?a=details&amp;id=10103&amp;p=section</v>
          </cell>
          <cell r="J1862" t="str">
            <v>https://dl.smwcentral.net/10103/Super%20Mario%20Adventure%20C3%20Fall%202010%20v1.2.zip</v>
          </cell>
        </row>
        <row r="1863">
          <cell r="A1863" t="str">
            <v>Super Mario Adventures</v>
          </cell>
          <cell r="B1863" t="str">
            <v>Super Mario Adventures</v>
          </cell>
          <cell r="C1863" t="str">
            <v>xAsianjay</v>
          </cell>
          <cell r="D1863">
            <v>7</v>
          </cell>
          <cell r="E1863" t="str">
            <v>Casual</v>
          </cell>
          <cell r="F1863" t="str">
            <v>Standard</v>
          </cell>
          <cell r="G1863">
            <v>41666</v>
          </cell>
          <cell r="H1863" t="str">
            <v>6207</v>
          </cell>
          <cell r="I1863" t="str">
            <v>https://www.smwcentral.net/?a=details&amp;id=6207&amp;p=section</v>
          </cell>
          <cell r="J1863" t="str">
            <v>https://dl.smwcentral.net/6207/Mario%27s%20adventure.zip</v>
          </cell>
        </row>
        <row r="1864">
          <cell r="A1864" t="str">
            <v>Super Mario and Luigi World: Brotherhood</v>
          </cell>
          <cell r="B1864" t="str">
            <v>Super Mario and Luigi World: Brotherhood</v>
          </cell>
          <cell r="C1864" t="str">
            <v>CircleFriendo</v>
          </cell>
          <cell r="D1864">
            <v>12</v>
          </cell>
          <cell r="E1864" t="str">
            <v>Intermediate</v>
          </cell>
          <cell r="F1864" t="str">
            <v>Kaizo</v>
          </cell>
          <cell r="G1864">
            <v>46212</v>
          </cell>
          <cell r="H1864" t="str">
            <v>42669</v>
          </cell>
          <cell r="I1864" t="str">
            <v>https://www.smwcentral.net/?a=details&amp;id=42669&amp;p=section</v>
          </cell>
          <cell r="J1864" t="str">
            <v>https://dl.smwcentral.net/42669/brotherhood.zip</v>
          </cell>
        </row>
        <row r="1865">
          <cell r="A1865" t="str">
            <v>Super Mario And Super Alli World</v>
          </cell>
          <cell r="B1865" t="str">
            <v>Super Mario And Super Alli World</v>
          </cell>
          <cell r="C1865" t="str">
            <v>RealMarioGamer</v>
          </cell>
          <cell r="D1865">
            <v>9</v>
          </cell>
          <cell r="E1865" t="str">
            <v>Newcomer</v>
          </cell>
          <cell r="F1865" t="str">
            <v>Standard</v>
          </cell>
          <cell r="G1865">
            <v>42279</v>
          </cell>
          <cell r="H1865" t="str">
            <v>9702</v>
          </cell>
          <cell r="I1865" t="str">
            <v>https://www.smwcentral.net/?a=details&amp;id=9702&amp;p=section</v>
          </cell>
          <cell r="J1865" t="str">
            <v>https://dl.smwcentral.net/9702/Super%20Mario%20and%20Super%20Alli%20World.zip</v>
          </cell>
        </row>
        <row r="1866">
          <cell r="A1866" t="str">
            <v>Super Mario and the Cretaceous Castle</v>
          </cell>
          <cell r="B1866" t="str">
            <v>Super Mario and the Cretaceous Castle</v>
          </cell>
          <cell r="C1866" t="str">
            <v>TheStellarstrix</v>
          </cell>
          <cell r="D1866">
            <v>20</v>
          </cell>
          <cell r="E1866" t="str">
            <v>Expert</v>
          </cell>
          <cell r="F1866" t="str">
            <v>Kaizo</v>
          </cell>
          <cell r="G1866">
            <v>43631</v>
          </cell>
          <cell r="H1866" t="str">
            <v>20201</v>
          </cell>
          <cell r="I1866" t="str">
            <v>https://www.smwcentral.net/?a=details&amp;id=20201&amp;p=section</v>
          </cell>
          <cell r="J1866" t="str">
            <v>https://dl.smwcentral.net/20201/Super%20Mario%20and%20the%20Cretaceous%20Castle.zip</v>
          </cell>
        </row>
        <row r="1867">
          <cell r="A1867" t="str">
            <v>Super Mario and the Missing Mushroom Coins</v>
          </cell>
          <cell r="B1867" t="str">
            <v>Super Mario and the Missing Mushroom Coins</v>
          </cell>
          <cell r="C1867" t="str">
            <v>Cellcen</v>
          </cell>
          <cell r="D1867">
            <v>8</v>
          </cell>
          <cell r="E1867" t="str">
            <v>Intermediate</v>
          </cell>
          <cell r="F1867" t="str">
            <v>Standard</v>
          </cell>
          <cell r="G1867">
            <v>41541</v>
          </cell>
          <cell r="H1867" t="str">
            <v>5034</v>
          </cell>
          <cell r="I1867" t="str">
            <v>https://www.smwcentral.net/?a=details&amp;id=5034&amp;p=section</v>
          </cell>
          <cell r="J1867" t="str">
            <v>https://dl.smwcentral.net/5034/Super%20Mario%20and%20the%20missing%20Mushroom%20Coins%20Demo%201.zip</v>
          </cell>
        </row>
        <row r="1868">
          <cell r="A1868" t="str">
            <v>Super Mario and the Undersea Lab</v>
          </cell>
          <cell r="B1868" t="str">
            <v>Super Mario and the Undersea Lab</v>
          </cell>
          <cell r="C1868" t="str">
            <v>Yonowaaru</v>
          </cell>
          <cell r="D1868">
            <v>7</v>
          </cell>
          <cell r="E1868" t="str">
            <v>Casual</v>
          </cell>
          <cell r="F1868" t="str">
            <v>Standard</v>
          </cell>
          <cell r="G1868">
            <v>42297</v>
          </cell>
          <cell r="H1868" t="str">
            <v>10130</v>
          </cell>
          <cell r="I1868" t="str">
            <v>https://www.smwcentral.net/?a=details&amp;id=10130&amp;p=section</v>
          </cell>
          <cell r="J1868" t="str">
            <v>https://dl.smwcentral.net/10130/Super%20Mario%20and%20the%20Underwater%20Lab.zip</v>
          </cell>
        </row>
        <row r="1869">
          <cell r="A1869" t="str">
            <v>Super Mario Another Retro</v>
          </cell>
          <cell r="B1869" t="str">
            <v>Super Mario Another Retro</v>
          </cell>
          <cell r="C1869" t="str">
            <v>Zavok</v>
          </cell>
          <cell r="D1869">
            <v>70</v>
          </cell>
          <cell r="E1869" t="str">
            <v>Casual</v>
          </cell>
          <cell r="F1869" t="str">
            <v>Standard</v>
          </cell>
          <cell r="G1869">
            <v>43910</v>
          </cell>
          <cell r="H1869" t="str">
            <v>22012</v>
          </cell>
          <cell r="I1869" t="str">
            <v>https://www.smwcentral.net/?a=details&amp;id=22012&amp;p=section</v>
          </cell>
          <cell r="J1869" t="str">
            <v>https://dl.smwcentral.net/22012/Super%20Mario%20Another%20Retro%20%28Full-version%29.zip</v>
          </cell>
        </row>
        <row r="1870">
          <cell r="A1870" t="str">
            <v>Super Mario Another Retro 2 (Demo)</v>
          </cell>
          <cell r="B1870" t="str">
            <v>Super Mario Another Retro 2 (Demo)</v>
          </cell>
          <cell r="C1870" t="str">
            <v>Zavok</v>
          </cell>
          <cell r="D1870">
            <v>19</v>
          </cell>
          <cell r="E1870" t="str">
            <v>Casual</v>
          </cell>
          <cell r="F1870" t="str">
            <v>Standard</v>
          </cell>
          <cell r="G1870">
            <v>46074</v>
          </cell>
          <cell r="H1870" t="str">
            <v>41602</v>
          </cell>
          <cell r="I1870" t="str">
            <v>https://www.smwcentral.net/?a=details&amp;id=41602&amp;p=section</v>
          </cell>
          <cell r="J1870" t="str">
            <v>https://dl.smwcentral.net/41602/SMAR2%20%28Demo%29.zip</v>
          </cell>
        </row>
        <row r="1871">
          <cell r="A1871" t="str">
            <v>Super Mario Arbitrium - Demo 2</v>
          </cell>
          <cell r="B1871" t="str">
            <v>Super Mario Arbitrium - Demo 2</v>
          </cell>
          <cell r="C1871" t="str">
            <v>Evernn</v>
          </cell>
          <cell r="D1871">
            <v>24</v>
          </cell>
          <cell r="E1871" t="str">
            <v>Advanced</v>
          </cell>
          <cell r="F1871" t="str">
            <v>Standard</v>
          </cell>
          <cell r="G1871">
            <v>45192</v>
          </cell>
          <cell r="H1871" t="str">
            <v>34256</v>
          </cell>
          <cell r="I1871" t="str">
            <v>https://www.smwcentral.net/?a=details&amp;id=34256&amp;p=section</v>
          </cell>
          <cell r="J1871" t="str">
            <v>https://dl.smwcentral.net/34256/Super_Mario_Arbitrium_Demo_2.zip</v>
          </cell>
        </row>
        <row r="1872">
          <cell r="A1872" t="str">
            <v>Super Mario Arcade</v>
          </cell>
          <cell r="B1872" t="str">
            <v>Super Mario Arcade</v>
          </cell>
          <cell r="C1872" t="str">
            <v>zacmario</v>
          </cell>
          <cell r="D1872">
            <v>24</v>
          </cell>
          <cell r="E1872" t="str">
            <v>Intermediate</v>
          </cell>
          <cell r="F1872" t="str">
            <v>Standard</v>
          </cell>
          <cell r="G1872">
            <v>42847</v>
          </cell>
          <cell r="H1872" t="str">
            <v>15456</v>
          </cell>
          <cell r="I1872" t="str">
            <v>https://www.smwcentral.net/?a=details&amp;id=15456&amp;p=section</v>
          </cell>
          <cell r="J1872" t="str">
            <v>https://dl.smwcentral.net/15456/SMAv1.6.zip</v>
          </cell>
        </row>
        <row r="1873">
          <cell r="A1873" t="str">
            <v>Super Mario Archipelago</v>
          </cell>
          <cell r="B1873" t="str">
            <v>Super Mario Archipelago</v>
          </cell>
          <cell r="C1873" t="str">
            <v>PROMETHEUS</v>
          </cell>
          <cell r="D1873">
            <v>44</v>
          </cell>
          <cell r="E1873" t="str">
            <v>Intermediate</v>
          </cell>
          <cell r="F1873" t="str">
            <v>Standard</v>
          </cell>
          <cell r="G1873">
            <v>43861</v>
          </cell>
          <cell r="H1873" t="str">
            <v>21493</v>
          </cell>
          <cell r="I1873" t="str">
            <v>https://www.smwcentral.net/?a=details&amp;id=21493&amp;p=section</v>
          </cell>
          <cell r="J1873" t="str">
            <v>https://dl.smwcentral.net/21493/Super%20Mario%20Archipelago.zip</v>
          </cell>
        </row>
        <row r="1874">
          <cell r="A1874" t="str">
            <v>Super Mario Aways - Redrawn</v>
          </cell>
          <cell r="B1874" t="str">
            <v>Super Mario Aways - Redrawn</v>
          </cell>
          <cell r="C1874" t="str">
            <v>Mr. MS</v>
          </cell>
          <cell r="D1874">
            <v>8</v>
          </cell>
          <cell r="E1874" t="str">
            <v>Casual</v>
          </cell>
          <cell r="F1874" t="str">
            <v>Standard</v>
          </cell>
          <cell r="G1874">
            <v>43155</v>
          </cell>
          <cell r="H1874" t="str">
            <v>17086</v>
          </cell>
          <cell r="I1874" t="str">
            <v>https://www.smwcentral.net/?a=details&amp;id=17086&amp;p=section</v>
          </cell>
          <cell r="J1874" t="str">
            <v>https://dl.smwcentral.net/17086/Super%20Mario%20Aways%20-%20Redrawn.zip</v>
          </cell>
        </row>
        <row r="1875">
          <cell r="A1875" t="str">
            <v>Super Mario Balloon World</v>
          </cell>
          <cell r="B1875" t="str">
            <v>Super Mario Balloon World</v>
          </cell>
          <cell r="C1875" t="str">
            <v>Blue Leaf</v>
          </cell>
          <cell r="D1875">
            <v>79</v>
          </cell>
          <cell r="E1875" t="str">
            <v>Advanced</v>
          </cell>
          <cell r="F1875" t="str">
            <v>Standard</v>
          </cell>
          <cell r="G1875">
            <v>44213</v>
          </cell>
          <cell r="H1875" t="str">
            <v>25840</v>
          </cell>
          <cell r="I1875" t="str">
            <v>https://www.smwcentral.net/?a=details&amp;id=25840&amp;p=section</v>
          </cell>
          <cell r="J1875" t="str">
            <v>https://dl.smwcentral.net/25840/SuperMarioBalloonWorld.zip</v>
          </cell>
        </row>
        <row r="1876">
          <cell r="A1876" t="str">
            <v>Super Mario Blooper World</v>
          </cell>
          <cell r="B1876" t="str">
            <v>Super Mario Blooper World</v>
          </cell>
          <cell r="C1876" t="str">
            <v>Megaman765</v>
          </cell>
          <cell r="D1876">
            <v>29</v>
          </cell>
          <cell r="E1876" t="str">
            <v>Casual</v>
          </cell>
          <cell r="F1876" t="str">
            <v>Standard</v>
          </cell>
          <cell r="G1876">
            <v>42213</v>
          </cell>
          <cell r="H1876" t="str">
            <v>9692</v>
          </cell>
          <cell r="I1876" t="str">
            <v>https://www.smwcentral.net/?a=details&amp;id=9692&amp;p=section</v>
          </cell>
          <cell r="J1876" t="str">
            <v>https://dl.smwcentral.net/9692/Hack.zip</v>
          </cell>
        </row>
        <row r="1877">
          <cell r="A1877" t="str">
            <v>Super Mario Brain Dead</v>
          </cell>
          <cell r="B1877" t="str">
            <v>Super Mario Brain Dead</v>
          </cell>
          <cell r="C1877" t="str">
            <v>Rock</v>
          </cell>
          <cell r="D1877">
            <v>17</v>
          </cell>
          <cell r="E1877" t="str">
            <v>Casual</v>
          </cell>
          <cell r="F1877" t="str">
            <v>Standard</v>
          </cell>
          <cell r="G1877">
            <v>42223</v>
          </cell>
          <cell r="H1877" t="str">
            <v>9830</v>
          </cell>
          <cell r="I1877" t="str">
            <v>https://www.smwcentral.net/?a=details&amp;id=9830&amp;p=section</v>
          </cell>
          <cell r="J1877" t="str">
            <v>https://dl.smwcentral.net/9830/Brain%20Dead.zip</v>
          </cell>
        </row>
        <row r="1878">
          <cell r="A1878" t="str">
            <v>Super Mario Broken Anomaly: Prototype version</v>
          </cell>
          <cell r="B1878" t="str">
            <v>Super Mario Broken Anomaly: Prototype version</v>
          </cell>
          <cell r="C1878" t="str">
            <v>Airbourne Bubblun</v>
          </cell>
          <cell r="D1878">
            <v>5</v>
          </cell>
          <cell r="E1878" t="str">
            <v>Newcomer</v>
          </cell>
          <cell r="F1878" t="str">
            <v>Standard</v>
          </cell>
          <cell r="G1878">
            <v>41528</v>
          </cell>
          <cell r="H1878" t="str">
            <v>5333</v>
          </cell>
          <cell r="I1878" t="str">
            <v>https://www.smwcentral.net/?a=details&amp;id=5333&amp;p=section</v>
          </cell>
          <cell r="J1878" t="str">
            <v>https://dl.smwcentral.net/5333/Super%20Mario%20Broken%20Anomaly.zip</v>
          </cell>
        </row>
        <row r="1879">
          <cell r="A1879" t="str">
            <v>Super Mario Bros - Merry Mountain Christmas Adventure</v>
          </cell>
          <cell r="B1879" t="str">
            <v>Super Mario Bros - Merry Mountain Christmas Adventure</v>
          </cell>
          <cell r="C1879" t="str">
            <v>Bensalot, Nowieso</v>
          </cell>
          <cell r="D1879">
            <v>31</v>
          </cell>
          <cell r="E1879" t="str">
            <v>Casual</v>
          </cell>
          <cell r="F1879" t="str">
            <v>Standard</v>
          </cell>
          <cell r="G1879">
            <v>45333</v>
          </cell>
          <cell r="H1879" t="str">
            <v>35786</v>
          </cell>
          <cell r="I1879" t="str">
            <v>https://www.smwcentral.net/?a=details&amp;id=35786&amp;p=section</v>
          </cell>
          <cell r="J1879" t="str">
            <v>https://dl.smwcentral.net/35786/Super%20Mario%20Bros%20-%20Merry%20Moutaint%20Christmas%20Adventure%20-%20SMW%20Christmas%20Edition%20V3.2.zip</v>
          </cell>
        </row>
        <row r="1880">
          <cell r="A1880" t="str">
            <v>Super Mario Bros 2 Dream Courses</v>
          </cell>
          <cell r="B1880" t="str">
            <v>Super Mario Bros 2 Dream Courses</v>
          </cell>
          <cell r="C1880" t="str">
            <v>Alex No</v>
          </cell>
          <cell r="D1880">
            <v>22</v>
          </cell>
          <cell r="E1880" t="str">
            <v>Intermediate</v>
          </cell>
          <cell r="F1880" t="str">
            <v>Standard</v>
          </cell>
          <cell r="G1880">
            <v>41571</v>
          </cell>
          <cell r="H1880" t="str">
            <v>5400</v>
          </cell>
          <cell r="I1880" t="str">
            <v>https://www.smwcentral.net/?a=details&amp;id=5400&amp;p=section</v>
          </cell>
          <cell r="J1880" t="str">
            <v>https://dl.smwcentral.net/5400/Super%20Mario%20Bros%202%20Dream%20Courses.zip</v>
          </cell>
        </row>
        <row r="1881">
          <cell r="A1881" t="str">
            <v>Super Mario Bros 2: Mega Mario X</v>
          </cell>
          <cell r="B1881" t="str">
            <v>Super Mario Bros 2: Mega Mario X</v>
          </cell>
          <cell r="C1881" t="str">
            <v>Alex No</v>
          </cell>
          <cell r="D1881">
            <v>75</v>
          </cell>
          <cell r="E1881" t="str">
            <v>Casual</v>
          </cell>
          <cell r="F1881" t="str">
            <v>Standard</v>
          </cell>
          <cell r="G1881">
            <v>43271</v>
          </cell>
          <cell r="H1881" t="str">
            <v>17554</v>
          </cell>
          <cell r="I1881" t="str">
            <v>https://www.smwcentral.net/?a=details&amp;id=17554&amp;p=section</v>
          </cell>
          <cell r="J1881" t="str">
            <v>https://dl.smwcentral.net/17554/Super%20Mario%20Bros%202%20Mega%20Mario%20X%20version%201.2.zip</v>
          </cell>
        </row>
        <row r="1882">
          <cell r="A1882" t="str">
            <v>Super Mario Bros 3 as Dinosaur Land</v>
          </cell>
          <cell r="B1882" t="str">
            <v>Super Mario Bros 3 as Dinosaur Land</v>
          </cell>
          <cell r="C1882" t="str">
            <v>Fento34</v>
          </cell>
          <cell r="D1882">
            <v>120</v>
          </cell>
          <cell r="E1882" t="str">
            <v>Advanced</v>
          </cell>
          <cell r="F1882" t="str">
            <v>Standard</v>
          </cell>
          <cell r="G1882">
            <v>46168</v>
          </cell>
          <cell r="H1882" t="str">
            <v>42366</v>
          </cell>
          <cell r="I1882" t="str">
            <v>https://www.smwcentral.net/?a=details&amp;id=42366&amp;p=section</v>
          </cell>
          <cell r="J1882" t="str">
            <v>https://dl.smwcentral.net/42366/SMB3%20as%20Dinosaur%20Land%20v3.4.zip</v>
          </cell>
        </row>
        <row r="1883">
          <cell r="A1883" t="str">
            <v>Super Mario Bros. - The Castle</v>
          </cell>
          <cell r="B1883" t="str">
            <v>Super Mario Bros. - The Castle</v>
          </cell>
          <cell r="C1883" t="str">
            <v>Lightvayne</v>
          </cell>
          <cell r="D1883">
            <v>2</v>
          </cell>
          <cell r="E1883" t="str">
            <v>Casual</v>
          </cell>
          <cell r="F1883" t="str">
            <v>Standard</v>
          </cell>
          <cell r="G1883">
            <v>42209</v>
          </cell>
          <cell r="H1883" t="str">
            <v>9696</v>
          </cell>
          <cell r="I1883" t="str">
            <v>https://www.smwcentral.net/?a=details&amp;id=9696&amp;p=section</v>
          </cell>
          <cell r="J1883" t="str">
            <v>https://dl.smwcentral.net/9696/smbthecastle.zip</v>
          </cell>
        </row>
        <row r="1884">
          <cell r="A1884" t="str">
            <v>Super Mario Bros. - The Key Of Nightmares</v>
          </cell>
          <cell r="B1884" t="str">
            <v>Super Mario Bros. - The Key Of Nightmares</v>
          </cell>
          <cell r="C1884" t="str">
            <v>Kaeru</v>
          </cell>
          <cell r="D1884">
            <v>19</v>
          </cell>
          <cell r="E1884" t="str">
            <v>Casual</v>
          </cell>
          <cell r="F1884" t="str">
            <v>Standard</v>
          </cell>
          <cell r="G1884">
            <v>42221</v>
          </cell>
          <cell r="H1884" t="str">
            <v>9749</v>
          </cell>
          <cell r="I1884" t="str">
            <v>https://www.smwcentral.net/?a=details&amp;id=9749&amp;p=section</v>
          </cell>
          <cell r="J1884" t="str">
            <v>https://dl.smwcentral.net/9749/Super%20Mario%20Bros.%20-%20The%20Key%20Of%20Nightmares.zip</v>
          </cell>
        </row>
        <row r="1885">
          <cell r="A1885" t="str">
            <v>Super Mario Bros. - The Lost Mario Quest</v>
          </cell>
          <cell r="B1885" t="str">
            <v>Super Mario Bros. - The Lost Mario Quest</v>
          </cell>
          <cell r="C1885" t="str">
            <v>Bullymario</v>
          </cell>
          <cell r="D1885">
            <v>89</v>
          </cell>
          <cell r="E1885" t="str">
            <v>Intermediate</v>
          </cell>
          <cell r="F1885" t="str">
            <v>Standard</v>
          </cell>
          <cell r="G1885">
            <v>45364</v>
          </cell>
          <cell r="H1885" t="str">
            <v>37334</v>
          </cell>
          <cell r="I1885" t="str">
            <v>https://www.smwcentral.net/?a=details&amp;id=37334&amp;p=section</v>
          </cell>
          <cell r="J1885" t="str">
            <v>https://dl.smwcentral.net/37334/SMBTLMQ%20v2.2.zip</v>
          </cell>
        </row>
        <row r="1886">
          <cell r="A1886" t="str">
            <v>Super Mario Bros. - The Seven Wands</v>
          </cell>
          <cell r="B1886" t="str">
            <v>Super Mario Bros. - The Seven Wands</v>
          </cell>
          <cell r="C1886" t="str">
            <v>Dark Bob-Omb</v>
          </cell>
          <cell r="D1886">
            <v>14</v>
          </cell>
          <cell r="E1886" t="str">
            <v>Casual</v>
          </cell>
          <cell r="F1886" t="str">
            <v>Standard</v>
          </cell>
          <cell r="G1886">
            <v>42222</v>
          </cell>
          <cell r="H1886" t="str">
            <v>9762</v>
          </cell>
          <cell r="I1886" t="str">
            <v>https://www.smwcentral.net/?a=details&amp;id=9762&amp;p=section</v>
          </cell>
          <cell r="J1886" t="str">
            <v>https://dl.smwcentral.net/9762/Super%20Mario%20Bros.%20-%20The%20Seven%20Wands.zip</v>
          </cell>
        </row>
        <row r="1887">
          <cell r="A1887" t="str">
            <v>Super Mario Bros. 1X</v>
          </cell>
          <cell r="B1887" t="str">
            <v>Super Mario Bros. 1X</v>
          </cell>
          <cell r="C1887" t="str">
            <v>Koyuki</v>
          </cell>
          <cell r="D1887">
            <v>66</v>
          </cell>
          <cell r="E1887" t="str">
            <v>Casual</v>
          </cell>
          <cell r="F1887" t="str">
            <v>Standard</v>
          </cell>
          <cell r="G1887">
            <v>43338</v>
          </cell>
          <cell r="H1887" t="str">
            <v>18086</v>
          </cell>
          <cell r="I1887" t="str">
            <v>https://www.smwcentral.net/?a=details&amp;id=18086&amp;p=section</v>
          </cell>
          <cell r="J1887" t="str">
            <v>https://dl.smwcentral.net/18086/SMB1X%20v1.6.zip</v>
          </cell>
        </row>
        <row r="1888">
          <cell r="A1888" t="str">
            <v>Super Mario Bros. 2 DX</v>
          </cell>
          <cell r="B1888" t="str">
            <v>Super Mario Bros. 2 DX</v>
          </cell>
          <cell r="C1888" t="str">
            <v>SSM</v>
          </cell>
          <cell r="D1888">
            <v>24</v>
          </cell>
          <cell r="E1888" t="str">
            <v>Casual</v>
          </cell>
          <cell r="F1888" t="str">
            <v>Standard</v>
          </cell>
          <cell r="G1888">
            <v>42220</v>
          </cell>
          <cell r="H1888" t="str">
            <v>9682</v>
          </cell>
          <cell r="I1888" t="str">
            <v>https://www.smwcentral.net/?a=details&amp;id=9682&amp;p=section</v>
          </cell>
          <cell r="J1888" t="str">
            <v>https://dl.smwcentral.net/9682/Super%20Mario%20Bros.%202%20DX.zip</v>
          </cell>
        </row>
        <row r="1889">
          <cell r="A1889" t="str">
            <v>Super Mario Bros. 3 Redrawn</v>
          </cell>
          <cell r="B1889" t="str">
            <v>Super Mario Bros. 3 Redrawn</v>
          </cell>
          <cell r="C1889" t="str">
            <v>ghettoyouth</v>
          </cell>
          <cell r="D1889">
            <v>0</v>
          </cell>
          <cell r="E1889" t="str">
            <v>Newcomer</v>
          </cell>
          <cell r="F1889" t="str">
            <v>Standard</v>
          </cell>
          <cell r="G1889">
            <v>42213</v>
          </cell>
          <cell r="H1889" t="str">
            <v>9670</v>
          </cell>
          <cell r="I1889" t="str">
            <v>https://www.smwcentral.net/?a=details&amp;id=9670&amp;p=section</v>
          </cell>
          <cell r="J1889" t="str">
            <v>https://dl.smwcentral.net/9670/SMB3r.zip</v>
          </cell>
        </row>
        <row r="1890">
          <cell r="A1890" t="str">
            <v>Super Mario Bros. 3 X</v>
          </cell>
          <cell r="B1890" t="str">
            <v>Super Mario Bros. 3 X</v>
          </cell>
          <cell r="C1890" t="str">
            <v>Koyuki</v>
          </cell>
          <cell r="D1890">
            <v>70</v>
          </cell>
          <cell r="E1890" t="str">
            <v>Casual</v>
          </cell>
          <cell r="F1890" t="str">
            <v>Standard</v>
          </cell>
          <cell r="G1890">
            <v>41818</v>
          </cell>
          <cell r="H1890" t="str">
            <v>6764</v>
          </cell>
          <cell r="I1890" t="str">
            <v>https://www.smwcentral.net/?a=details&amp;id=6764&amp;p=section</v>
          </cell>
          <cell r="J1890" t="str">
            <v>https://dl.smwcentral.net/6764/SMB3X%20Final%202.6.zip</v>
          </cell>
        </row>
        <row r="1891">
          <cell r="A1891" t="str">
            <v>Super Mario Bros. 3: Golden</v>
          </cell>
          <cell r="B1891" t="str">
            <v>Super Mario Bros. 3: Golden</v>
          </cell>
          <cell r="C1891" t="str">
            <v>1339</v>
          </cell>
          <cell r="D1891">
            <v>88</v>
          </cell>
          <cell r="E1891" t="str">
            <v>Casual</v>
          </cell>
          <cell r="F1891" t="str">
            <v>Standard</v>
          </cell>
          <cell r="G1891">
            <v>42218</v>
          </cell>
          <cell r="H1891" t="str">
            <v>9786</v>
          </cell>
          <cell r="I1891" t="str">
            <v>https://www.smwcentral.net/?a=details&amp;id=9786&amp;p=section</v>
          </cell>
          <cell r="J1891" t="str">
            <v>https://dl.smwcentral.net/9786/smb3.zip</v>
          </cell>
        </row>
        <row r="1892">
          <cell r="A1892" t="str">
            <v>Super Mario Bros. 3: The Secret Place</v>
          </cell>
          <cell r="B1892" t="str">
            <v>Super Mario Bros. 3: The Secret Place</v>
          </cell>
          <cell r="C1892" t="str">
            <v>Hinalyte</v>
          </cell>
          <cell r="D1892">
            <v>27</v>
          </cell>
          <cell r="E1892" t="str">
            <v>Intermediate</v>
          </cell>
          <cell r="F1892" t="str">
            <v>Standard</v>
          </cell>
          <cell r="G1892">
            <v>41690</v>
          </cell>
          <cell r="H1892" t="str">
            <v>6195</v>
          </cell>
          <cell r="I1892" t="str">
            <v>https://www.smwcentral.net/?a=details&amp;id=6195&amp;p=section</v>
          </cell>
          <cell r="J1892" t="str">
            <v>https://dl.smwcentral.net/6195/SMB3TSP%200.5.zip</v>
          </cell>
        </row>
        <row r="1893">
          <cell r="A1893" t="str">
            <v>Super Mario Bros. 4 - The Mystery Of The Five Stones</v>
          </cell>
          <cell r="B1893" t="str">
            <v>Super Mario Bros. 4 - The Mystery Of The Five Stones</v>
          </cell>
          <cell r="C1893" t="str">
            <v>Lexator</v>
          </cell>
          <cell r="D1893">
            <v>76</v>
          </cell>
          <cell r="E1893" t="str">
            <v>Casual</v>
          </cell>
          <cell r="F1893" t="str">
            <v>Standard</v>
          </cell>
          <cell r="G1893">
            <v>42280</v>
          </cell>
          <cell r="H1893" t="str">
            <v>10047</v>
          </cell>
          <cell r="I1893" t="str">
            <v>https://www.smwcentral.net/?a=details&amp;id=10047&amp;p=section</v>
          </cell>
          <cell r="J1893" t="str">
            <v>https://dl.smwcentral.net/10047/smb4.zip.zip</v>
          </cell>
        </row>
        <row r="1894">
          <cell r="A1894" t="str">
            <v>Super Mario Bros. 4: Super Mario World | Mario and Luigi's Return to The Plains</v>
          </cell>
          <cell r="B1894" t="str">
            <v>Super Mario Bros. 4: Super Mario World | Mario and Luigi's Return to The Plains</v>
          </cell>
          <cell r="C1894" t="str">
            <v>MomentBruh</v>
          </cell>
          <cell r="D1894">
            <v>18</v>
          </cell>
          <cell r="E1894" t="str">
            <v>Casual</v>
          </cell>
          <cell r="F1894" t="str">
            <v>Standard</v>
          </cell>
          <cell r="G1894">
            <v>44739</v>
          </cell>
          <cell r="H1894" t="str">
            <v>31151</v>
          </cell>
          <cell r="I1894" t="str">
            <v>https://www.smwcentral.net/?a=details&amp;id=31151&amp;p=section</v>
          </cell>
          <cell r="J1894" t="str">
            <v>https://dl.smwcentral.net/31151/hac.zip</v>
          </cell>
        </row>
        <row r="1895">
          <cell r="A1895" t="str">
            <v>Super Mario Bros. 5 Reborn</v>
          </cell>
          <cell r="B1895" t="str">
            <v>Super Mario Bros. 5 Reborn</v>
          </cell>
          <cell r="C1895" t="str">
            <v>Gamma V</v>
          </cell>
          <cell r="D1895">
            <v>85</v>
          </cell>
          <cell r="E1895" t="str">
            <v>Newcomer</v>
          </cell>
          <cell r="F1895" t="str">
            <v>Standard</v>
          </cell>
          <cell r="G1895">
            <v>42288</v>
          </cell>
          <cell r="H1895" t="str">
            <v>10171</v>
          </cell>
          <cell r="I1895" t="str">
            <v>https://www.smwcentral.net/?a=details&amp;id=10171&amp;p=section</v>
          </cell>
          <cell r="J1895" t="str">
            <v>https://dl.smwcentral.net/10171/SMB5Rv5.zip</v>
          </cell>
        </row>
        <row r="1896">
          <cell r="A1896" t="str">
            <v>Super Mario Bros. Advance 2 : Super Mario Bros. 3</v>
          </cell>
          <cell r="B1896" t="str">
            <v>Super Mario Bros. Advance 2 : Super Mario Bros. 3</v>
          </cell>
          <cell r="C1896" t="str">
            <v>King Mayro</v>
          </cell>
          <cell r="D1896">
            <v>10</v>
          </cell>
          <cell r="E1896" t="str">
            <v>Casual</v>
          </cell>
          <cell r="F1896" t="str">
            <v>Standard</v>
          </cell>
          <cell r="G1896">
            <v>44190</v>
          </cell>
          <cell r="H1896" t="str">
            <v>25236</v>
          </cell>
          <cell r="I1896" t="str">
            <v>https://www.smwcentral.net/?a=details&amp;id=25236&amp;p=section</v>
          </cell>
          <cell r="J1896" t="str">
            <v>https://dl.smwcentral.net/25236/SMBA2%20V1.0.zip</v>
          </cell>
        </row>
        <row r="1897">
          <cell r="A1897" t="str">
            <v>Super Mario Bros. Chaos</v>
          </cell>
          <cell r="B1897" t="str">
            <v>Super Mario Bros. Chaos</v>
          </cell>
          <cell r="C1897" t="str">
            <v>Koyuki</v>
          </cell>
          <cell r="D1897">
            <v>8</v>
          </cell>
          <cell r="E1897" t="str">
            <v>Newcomer</v>
          </cell>
          <cell r="F1897" t="str">
            <v>Standard</v>
          </cell>
          <cell r="G1897">
            <v>41511</v>
          </cell>
          <cell r="H1897" t="str">
            <v>5151</v>
          </cell>
          <cell r="I1897" t="str">
            <v>https://www.smwcentral.net/?a=details&amp;id=5151&amp;p=section</v>
          </cell>
          <cell r="J1897" t="str">
            <v>https://dl.smwcentral.net/5151/SMB%20Chaos%20Demo.zip</v>
          </cell>
        </row>
        <row r="1898">
          <cell r="A1898" t="str">
            <v>Super Mario Bros. Easter Adventure</v>
          </cell>
          <cell r="B1898" t="str">
            <v>Super Mario Bros. Easter Adventure</v>
          </cell>
          <cell r="C1898" t="str">
            <v>Demonsul</v>
          </cell>
          <cell r="D1898">
            <v>1</v>
          </cell>
          <cell r="E1898" t="str">
            <v>Newcomer</v>
          </cell>
          <cell r="F1898" t="str">
            <v>Standard</v>
          </cell>
          <cell r="G1898">
            <v>42207</v>
          </cell>
          <cell r="H1898" t="str">
            <v>9894</v>
          </cell>
          <cell r="I1898" t="str">
            <v>https://www.smwcentral.net/?a=details&amp;id=9894&amp;p=section</v>
          </cell>
          <cell r="J1898" t="str">
            <v>https://dl.smwcentral.net/9894/Easter.zip</v>
          </cell>
        </row>
        <row r="1899">
          <cell r="A1899" t="str">
            <v>Super Mario Bros. Enhanced</v>
          </cell>
          <cell r="B1899" t="str">
            <v>Super Mario Bros. Enhanced</v>
          </cell>
          <cell r="C1899" t="str">
            <v>Pac</v>
          </cell>
          <cell r="D1899">
            <v>42</v>
          </cell>
          <cell r="E1899" t="str">
            <v>Casual</v>
          </cell>
          <cell r="F1899" t="str">
            <v>Standard</v>
          </cell>
          <cell r="G1899">
            <v>42298</v>
          </cell>
          <cell r="H1899" t="str">
            <v>10223</v>
          </cell>
          <cell r="I1899" t="str">
            <v>https://www.smwcentral.net/?a=details&amp;id=10223&amp;p=section</v>
          </cell>
          <cell r="J1899" t="str">
            <v>https://dl.smwcentral.net/10223/smbe.zip</v>
          </cell>
        </row>
        <row r="1900">
          <cell r="A1900" t="str">
            <v>Super Mario Bros. For Lost Players</v>
          </cell>
          <cell r="B1900" t="str">
            <v>Super Mario Bros. For Lost Players</v>
          </cell>
          <cell r="C1900" t="str">
            <v>Adam, Truxton, beasteye89, lolyoshi, rextep</v>
          </cell>
          <cell r="D1900">
            <v>36</v>
          </cell>
          <cell r="E1900" t="str">
            <v>Advanced</v>
          </cell>
          <cell r="F1900" t="str">
            <v>Standard</v>
          </cell>
          <cell r="G1900">
            <v>44558</v>
          </cell>
          <cell r="H1900" t="str">
            <v>29052</v>
          </cell>
          <cell r="I1900" t="str">
            <v>https://www.smwcentral.net/?a=details&amp;id=29052&amp;p=section</v>
          </cell>
          <cell r="J1900" t="str">
            <v>https://dl.smwcentral.net/29052/JAM_ALERT.zip</v>
          </cell>
        </row>
        <row r="1901">
          <cell r="A1901" t="str">
            <v>Super Mario Bros. Peach's Adventure</v>
          </cell>
          <cell r="B1901" t="str">
            <v>Super Mario Bros. Peach's Adventure</v>
          </cell>
          <cell r="C1901" t="str">
            <v>Rosicom</v>
          </cell>
          <cell r="D1901">
            <v>61</v>
          </cell>
          <cell r="E1901" t="str">
            <v>Casual</v>
          </cell>
          <cell r="F1901" t="str">
            <v>Standard</v>
          </cell>
          <cell r="G1901">
            <v>44239</v>
          </cell>
          <cell r="H1901" t="str">
            <v>25738</v>
          </cell>
          <cell r="I1901" t="str">
            <v>https://www.smwcentral.net/?a=details&amp;id=25738&amp;p=section</v>
          </cell>
          <cell r="J1901" t="str">
            <v>https://dl.smwcentral.net/25738/Super%20Mario%20Bros.%20Peach%27s%20Adventure.zip</v>
          </cell>
        </row>
        <row r="1902">
          <cell r="A1902" t="str">
            <v>Super Mario Bros. Remix</v>
          </cell>
          <cell r="B1902" t="str">
            <v>Super Mario Bros. Remix</v>
          </cell>
          <cell r="C1902" t="str">
            <v>Phantom Kid</v>
          </cell>
          <cell r="D1902">
            <v>14</v>
          </cell>
          <cell r="E1902" t="str">
            <v>Intermediate</v>
          </cell>
          <cell r="F1902" t="str">
            <v>Standard</v>
          </cell>
          <cell r="G1902">
            <v>42306</v>
          </cell>
          <cell r="H1902" t="str">
            <v>10036</v>
          </cell>
          <cell r="I1902" t="str">
            <v>https://www.smwcentral.net/?a=details&amp;id=10036&amp;p=section</v>
          </cell>
          <cell r="J1902" t="str">
            <v>https://dl.smwcentral.net/10036/Super%20Mario%20Bros.%20Remix.zip</v>
          </cell>
        </row>
        <row r="1903">
          <cell r="A1903" t="str">
            <v>Super Mario Bros. The Hunt For The Magical Key</v>
          </cell>
          <cell r="B1903" t="str">
            <v>Super Mario Bros. The Hunt For The Magical Key</v>
          </cell>
          <cell r="C1903" t="str">
            <v>Alex No</v>
          </cell>
          <cell r="D1903">
            <v>120</v>
          </cell>
          <cell r="E1903" t="str">
            <v>Casual</v>
          </cell>
          <cell r="F1903" t="str">
            <v>Standard</v>
          </cell>
          <cell r="G1903">
            <v>41982</v>
          </cell>
          <cell r="H1903" t="str">
            <v>9535</v>
          </cell>
          <cell r="I1903" t="str">
            <v>https://www.smwcentral.net/?a=details&amp;id=9535&amp;p=section</v>
          </cell>
          <cell r="J1903" t="str">
            <v>https://dl.smwcentral.net/9535/Super%20Mario%20Bros.%20The%20Hunt%20For%20The%20Magical%20Key.zip</v>
          </cell>
        </row>
        <row r="1904">
          <cell r="A1904" t="str">
            <v>Super Mario Bros. The Invaders of Mushroom Kingdom</v>
          </cell>
          <cell r="B1904" t="str">
            <v>Super Mario Bros. The Invaders of Mushroom Kingdom</v>
          </cell>
          <cell r="C1904" t="str">
            <v>Alex No</v>
          </cell>
          <cell r="D1904">
            <v>58</v>
          </cell>
          <cell r="E1904" t="str">
            <v>Casual</v>
          </cell>
          <cell r="F1904" t="str">
            <v>Standard</v>
          </cell>
          <cell r="G1904">
            <v>42091</v>
          </cell>
          <cell r="H1904" t="str">
            <v>11063</v>
          </cell>
          <cell r="I1904" t="str">
            <v>https://www.smwcentral.net/?a=details&amp;id=11063&amp;p=section</v>
          </cell>
          <cell r="J1904" t="str">
            <v>https://dl.smwcentral.net/11063/Super%20Mario%20Bros.%20The%20Invaders%20of%20Mushroom%20Kingdom%201.22.zip</v>
          </cell>
        </row>
        <row r="1905">
          <cell r="A1905" t="str">
            <v>Super Mario Bros. The Search for Bowser</v>
          </cell>
          <cell r="B1905" t="str">
            <v>Super Mario Bros. The Search for Bowser</v>
          </cell>
          <cell r="C1905" t="str">
            <v>yoshiguy978</v>
          </cell>
          <cell r="D1905">
            <v>7</v>
          </cell>
          <cell r="E1905" t="str">
            <v>Newcomer</v>
          </cell>
          <cell r="F1905" t="str">
            <v>Standard</v>
          </cell>
          <cell r="G1905">
            <v>42279</v>
          </cell>
          <cell r="H1905" t="str">
            <v>10095</v>
          </cell>
          <cell r="I1905" t="str">
            <v>https://www.smwcentral.net/?a=details&amp;id=10095&amp;p=section</v>
          </cell>
          <cell r="J1905" t="str">
            <v>https://dl.smwcentral.net/10095/Super%20Mario%20Bros.%20the%20search%20for%20bowser%20demo%201.zip</v>
          </cell>
        </row>
        <row r="1906">
          <cell r="A1906" t="str">
            <v>Super Mario Bros.: Peach's Challenge</v>
          </cell>
          <cell r="B1906" t="str">
            <v>Super Mario Bros.: Peach's Challenge</v>
          </cell>
          <cell r="C1906" t="str">
            <v>Marioman</v>
          </cell>
          <cell r="D1906">
            <v>7</v>
          </cell>
          <cell r="E1906" t="str">
            <v>Casual</v>
          </cell>
          <cell r="F1906" t="str">
            <v>Standard</v>
          </cell>
          <cell r="G1906">
            <v>42062</v>
          </cell>
          <cell r="H1906" t="str">
            <v>9793</v>
          </cell>
          <cell r="I1906" t="str">
            <v>https://www.smwcentral.net/?a=details&amp;id=9793&amp;p=section</v>
          </cell>
          <cell r="J1906" t="str">
            <v>https://dl.smwcentral.net/9793/SMB%20PC.zip</v>
          </cell>
        </row>
        <row r="1907">
          <cell r="A1907" t="str">
            <v>Super Mario Bros.: The Last Showdown</v>
          </cell>
          <cell r="B1907" t="str">
            <v>Super Mario Bros.: The Last Showdown</v>
          </cell>
          <cell r="C1907" t="str">
            <v>Kaeru</v>
          </cell>
          <cell r="D1907">
            <v>3</v>
          </cell>
          <cell r="E1907" t="str">
            <v>Intermediate</v>
          </cell>
          <cell r="F1907" t="str">
            <v>Standard</v>
          </cell>
          <cell r="G1907">
            <v>42323</v>
          </cell>
          <cell r="H1907" t="str">
            <v>9729</v>
          </cell>
          <cell r="I1907" t="str">
            <v>https://www.smwcentral.net/?a=details&amp;id=9729&amp;p=section</v>
          </cell>
          <cell r="J1907" t="str">
            <v>https://dl.smwcentral.net/9729/Super%20Mario%20Bros.%20-%20The%20Last%20Showdown.zip</v>
          </cell>
        </row>
        <row r="1908">
          <cell r="A1908" t="str">
            <v>Super Mario Bros.: The Lost Levels 2</v>
          </cell>
          <cell r="B1908" t="str">
            <v>Super Mario Bros.: The Lost Levels 2</v>
          </cell>
          <cell r="C1908" t="str">
            <v>Pete3k</v>
          </cell>
          <cell r="D1908">
            <v>32</v>
          </cell>
          <cell r="E1908" t="str">
            <v>Newcomer</v>
          </cell>
          <cell r="F1908" t="str">
            <v>Standard</v>
          </cell>
          <cell r="G1908">
            <v>42288</v>
          </cell>
          <cell r="H1908" t="str">
            <v>10156</v>
          </cell>
          <cell r="I1908" t="str">
            <v>https://www.smwcentral.net/?a=details&amp;id=10156&amp;p=section</v>
          </cell>
          <cell r="J1908" t="str">
            <v>https://dl.smwcentral.net/10156/Lost%20Levels%202.zip</v>
          </cell>
        </row>
        <row r="1909">
          <cell r="A1909" t="str">
            <v>Super Mario Bros.: The Minus World</v>
          </cell>
          <cell r="B1909" t="str">
            <v>Super Mario Bros.: The Minus World</v>
          </cell>
          <cell r="C1909" t="str">
            <v>Lexi</v>
          </cell>
          <cell r="D1909">
            <v>4</v>
          </cell>
          <cell r="E1909" t="str">
            <v>Casual</v>
          </cell>
          <cell r="F1909" t="str">
            <v>Standard</v>
          </cell>
          <cell r="G1909">
            <v>42345</v>
          </cell>
          <cell r="H1909" t="str">
            <v>10139</v>
          </cell>
          <cell r="I1909" t="str">
            <v>https://www.smwcentral.net/?a=details&amp;id=10139&amp;p=section</v>
          </cell>
          <cell r="J1909" t="str">
            <v>https://dl.smwcentral.net/10139/SMB-TMW0.1.zip</v>
          </cell>
        </row>
        <row r="1910">
          <cell r="A1910" t="str">
            <v>Super Mario Bros: Bowser Chaos</v>
          </cell>
          <cell r="B1910" t="str">
            <v>Super Mario Bros: Bowser Chaos</v>
          </cell>
          <cell r="C1910" t="str">
            <v>tfpivman</v>
          </cell>
          <cell r="D1910">
            <v>17</v>
          </cell>
          <cell r="E1910" t="str">
            <v>Newcomer</v>
          </cell>
          <cell r="F1910" t="str">
            <v>Standard</v>
          </cell>
          <cell r="G1910">
            <v>41551</v>
          </cell>
          <cell r="H1910" t="str">
            <v>5452</v>
          </cell>
          <cell r="I1910" t="str">
            <v>https://www.smwcentral.net/?a=details&amp;id=5452&amp;p=section</v>
          </cell>
          <cell r="J1910" t="str">
            <v>https://dl.smwcentral.net/5452/smbbc%20%28demo4%29.zip</v>
          </cell>
        </row>
        <row r="1911">
          <cell r="A1911" t="str">
            <v>Super Mario Bros: The Castle 2</v>
          </cell>
          <cell r="B1911" t="str">
            <v>Super Mario Bros: The Castle 2</v>
          </cell>
          <cell r="C1911" t="str">
            <v>Lightvayne</v>
          </cell>
          <cell r="D1911">
            <v>0</v>
          </cell>
          <cell r="E1911" t="str">
            <v>Casual</v>
          </cell>
          <cell r="F1911" t="str">
            <v>Standard</v>
          </cell>
          <cell r="G1911">
            <v>42222</v>
          </cell>
          <cell r="H1911" t="str">
            <v>9712</v>
          </cell>
          <cell r="I1911" t="str">
            <v>https://www.smwcentral.net/?a=details&amp;id=9712&amp;p=section</v>
          </cell>
          <cell r="J1911" t="str">
            <v>https://dl.smwcentral.net/9712/SMBTheCastle2Demo.zip</v>
          </cell>
        </row>
        <row r="1912">
          <cell r="A1912" t="str">
            <v>Super Mario Bros: The Early Years</v>
          </cell>
          <cell r="B1912" t="str">
            <v>Super Mario Bros: The Early Years</v>
          </cell>
          <cell r="C1912" t="str">
            <v>Gamma V</v>
          </cell>
          <cell r="D1912">
            <v>47</v>
          </cell>
          <cell r="E1912" t="str">
            <v>Casual</v>
          </cell>
          <cell r="F1912" t="str">
            <v>Standard</v>
          </cell>
          <cell r="G1912">
            <v>42947</v>
          </cell>
          <cell r="H1912" t="str">
            <v>15943</v>
          </cell>
          <cell r="I1912" t="str">
            <v>https://www.smwcentral.net/?a=details&amp;id=15943&amp;p=section</v>
          </cell>
          <cell r="J1912" t="str">
            <v>https://dl.smwcentral.net/15943/SMBTEY%20Fixed%20Forever.zip</v>
          </cell>
        </row>
        <row r="1913">
          <cell r="A1913" t="str">
            <v>Super Mario Bros: The Search for Oreo Cakesters</v>
          </cell>
          <cell r="B1913" t="str">
            <v>Super Mario Bros: The Search for Oreo Cakesters</v>
          </cell>
          <cell r="C1913" t="str">
            <v>Apple Boy</v>
          </cell>
          <cell r="D1913">
            <v>3</v>
          </cell>
          <cell r="E1913" t="str">
            <v>Casual</v>
          </cell>
          <cell r="F1913" t="str">
            <v>Standard</v>
          </cell>
          <cell r="G1913">
            <v>44652</v>
          </cell>
          <cell r="H1913" t="str">
            <v>30202</v>
          </cell>
          <cell r="I1913" t="str">
            <v>https://www.smwcentral.net/?a=details&amp;id=30202&amp;p=section</v>
          </cell>
          <cell r="J1913" t="str">
            <v>https://dl.smwcentral.net/30202/Super%20Mario%20Bros.%20The%20Search%20for%20Oreo%20Cakesters.zip</v>
          </cell>
        </row>
        <row r="1914">
          <cell r="A1914" t="str">
            <v>Super Mario Bros: Vanilla Islands</v>
          </cell>
          <cell r="B1914" t="str">
            <v>Super Mario Bros: Vanilla Islands</v>
          </cell>
          <cell r="C1914" t="str">
            <v>Gamma V</v>
          </cell>
          <cell r="D1914">
            <v>32</v>
          </cell>
          <cell r="E1914" t="str">
            <v>Casual</v>
          </cell>
          <cell r="F1914" t="str">
            <v>Standard</v>
          </cell>
          <cell r="G1914">
            <v>44324</v>
          </cell>
          <cell r="H1914" t="str">
            <v>26960</v>
          </cell>
          <cell r="I1914" t="str">
            <v>https://www.smwcentral.net/?a=details&amp;id=26960&amp;p=section</v>
          </cell>
          <cell r="J1914" t="str">
            <v>https://dl.smwcentral.net/26960/Super%20Mario%20Bros%20Vanilla%20Islands%201.1.zip</v>
          </cell>
        </row>
        <row r="1915">
          <cell r="A1915" t="str">
            <v>Super Mario Brothers and the Giant Omelette</v>
          </cell>
          <cell r="B1915" t="str">
            <v>Super Mario Brothers and the Giant Omelette</v>
          </cell>
          <cell r="C1915" t="str">
            <v>BloodyToothBrush, TimothyBor</v>
          </cell>
          <cell r="D1915">
            <v>9</v>
          </cell>
          <cell r="E1915" t="str">
            <v>Casual</v>
          </cell>
          <cell r="F1915" t="str">
            <v>Standard</v>
          </cell>
          <cell r="G1915">
            <v>42240</v>
          </cell>
          <cell r="H1915" t="str">
            <v>9892</v>
          </cell>
          <cell r="I1915" t="str">
            <v>https://www.smwcentral.net/?a=details&amp;id=9892&amp;p=section</v>
          </cell>
          <cell r="J1915" t="str">
            <v>https://dl.smwcentral.net/9892/SMB%26TGO.zip</v>
          </cell>
        </row>
        <row r="1916">
          <cell r="A1916" t="str">
            <v>Super Mario Challenge</v>
          </cell>
          <cell r="B1916" t="str">
            <v>Super Mario Challenge</v>
          </cell>
          <cell r="C1916" t="str">
            <v>Awesomeman</v>
          </cell>
          <cell r="D1916">
            <v>34</v>
          </cell>
          <cell r="E1916" t="str">
            <v>Intermediate</v>
          </cell>
          <cell r="F1916" t="str">
            <v>Standard</v>
          </cell>
          <cell r="G1916">
            <v>44383</v>
          </cell>
          <cell r="H1916" t="str">
            <v>27363</v>
          </cell>
          <cell r="I1916" t="str">
            <v>https://www.smwcentral.net/?a=details&amp;id=27363&amp;p=section</v>
          </cell>
          <cell r="J1916" t="str">
            <v>https://dl.smwcentral.net/27363/Super%20Mario%20Challenge_FIXED.zip</v>
          </cell>
        </row>
        <row r="1917">
          <cell r="A1917" t="str">
            <v>Super Mario Classic'd</v>
          </cell>
          <cell r="B1917" t="str">
            <v>Super Mario Classic'd</v>
          </cell>
          <cell r="C1917" t="str">
            <v>blocc</v>
          </cell>
          <cell r="D1917">
            <v>7</v>
          </cell>
          <cell r="E1917" t="str">
            <v>Casual</v>
          </cell>
          <cell r="F1917" t="str">
            <v>Standard</v>
          </cell>
          <cell r="G1917">
            <v>43624</v>
          </cell>
          <cell r="H1917" t="str">
            <v>20166</v>
          </cell>
          <cell r="I1917" t="str">
            <v>https://www.smwcentral.net/?a=details&amp;id=20166&amp;p=section</v>
          </cell>
          <cell r="J1917" t="str">
            <v>https://dl.smwcentral.net/20166/Super%20Mario%20Classic%27d%20v2.zip</v>
          </cell>
        </row>
        <row r="1918">
          <cell r="A1918" t="str">
            <v>Super Mario Cosmos</v>
          </cell>
          <cell r="B1918" t="str">
            <v>Super Mario Cosmos</v>
          </cell>
          <cell r="C1918" t="str">
            <v>Xeruss</v>
          </cell>
          <cell r="D1918">
            <v>9</v>
          </cell>
          <cell r="E1918" t="str">
            <v>Casual</v>
          </cell>
          <cell r="F1918" t="str">
            <v>Standard</v>
          </cell>
          <cell r="G1918">
            <v>42065</v>
          </cell>
          <cell r="H1918" t="str">
            <v>9822</v>
          </cell>
          <cell r="I1918" t="str">
            <v>https://www.smwcentral.net/?a=details&amp;id=9822&amp;p=section</v>
          </cell>
          <cell r="J1918" t="str">
            <v>https://dl.smwcentral.net/9822/Super%20Mario%20Cosmos.zip</v>
          </cell>
        </row>
        <row r="1919">
          <cell r="A1919" t="str">
            <v>Super Mario Del Lago</v>
          </cell>
          <cell r="B1919" t="str">
            <v>Super Mario Del Lago</v>
          </cell>
          <cell r="C1919" t="str">
            <v>Slash Man</v>
          </cell>
          <cell r="D1919">
            <v>46</v>
          </cell>
          <cell r="E1919" t="str">
            <v>Casual</v>
          </cell>
          <cell r="F1919" t="str">
            <v>Standard</v>
          </cell>
          <cell r="G1919">
            <v>42228</v>
          </cell>
          <cell r="H1919" t="str">
            <v>9888</v>
          </cell>
          <cell r="I1919" t="str">
            <v>https://www.smwcentral.net/?a=details&amp;id=9888&amp;p=section</v>
          </cell>
          <cell r="J1919" t="str">
            <v>https://dl.smwcentral.net/9888/Super%20Mario%20Del%20Lago.zip</v>
          </cell>
        </row>
        <row r="1920">
          <cell r="A1920" t="str">
            <v>Super Mario Denied World</v>
          </cell>
          <cell r="B1920" t="str">
            <v>Super Mario Denied World</v>
          </cell>
          <cell r="C1920" t="str">
            <v>Major Flare</v>
          </cell>
          <cell r="D1920">
            <v>6</v>
          </cell>
          <cell r="E1920" t="str">
            <v>Newcomer</v>
          </cell>
          <cell r="F1920" t="str">
            <v>Standard</v>
          </cell>
          <cell r="G1920">
            <v>42246</v>
          </cell>
          <cell r="H1920" t="str">
            <v>10010</v>
          </cell>
          <cell r="I1920" t="str">
            <v>https://www.smwcentral.net/?a=details&amp;id=10010&amp;p=section</v>
          </cell>
          <cell r="J1920" t="str">
            <v>https://dl.smwcentral.net/10010/Denied.zip</v>
          </cell>
        </row>
        <row r="1921">
          <cell r="A1921" t="str">
            <v>Super Mario Dream World</v>
          </cell>
          <cell r="B1921" t="str">
            <v>Super Mario Dream World</v>
          </cell>
          <cell r="C1921" t="str">
            <v>Andyana Jonseph</v>
          </cell>
          <cell r="D1921">
            <v>59</v>
          </cell>
          <cell r="E1921" t="str">
            <v>Casual</v>
          </cell>
          <cell r="F1921" t="str">
            <v>Standard</v>
          </cell>
          <cell r="G1921">
            <v>42726</v>
          </cell>
          <cell r="H1921" t="str">
            <v>14786</v>
          </cell>
          <cell r="I1921" t="str">
            <v>https://www.smwcentral.net/?a=details&amp;id=14786&amp;p=section</v>
          </cell>
          <cell r="J1921" t="str">
            <v>https://dl.smwcentral.net/14786/Super%20Mario%20Dream%20World.zip</v>
          </cell>
        </row>
        <row r="1922">
          <cell r="A1922" t="str">
            <v>Super Mario DX</v>
          </cell>
          <cell r="B1922" t="str">
            <v>Super Mario DX</v>
          </cell>
          <cell r="C1922" t="str">
            <v>Reynner's</v>
          </cell>
          <cell r="D1922">
            <v>48</v>
          </cell>
          <cell r="E1922" t="str">
            <v>Casual</v>
          </cell>
          <cell r="F1922" t="str">
            <v>Standard</v>
          </cell>
          <cell r="G1922">
            <v>46015</v>
          </cell>
          <cell r="H1922" t="str">
            <v>41188</v>
          </cell>
          <cell r="I1922" t="str">
            <v>https://www.smwcentral.net/?a=details&amp;id=41188&amp;p=section</v>
          </cell>
          <cell r="J1922" t="str">
            <v>https://dl.smwcentral.net/41188/Super%20Mario%20DX.zip</v>
          </cell>
        </row>
        <row r="1923">
          <cell r="A1923" t="str">
            <v>Super Mario Element Worlds</v>
          </cell>
          <cell r="B1923" t="str">
            <v>Super Mario Element Worlds</v>
          </cell>
          <cell r="C1923" t="str">
            <v>New Skyon</v>
          </cell>
          <cell r="D1923">
            <v>12</v>
          </cell>
          <cell r="E1923" t="str">
            <v>Casual</v>
          </cell>
          <cell r="F1923" t="str">
            <v>Standard</v>
          </cell>
          <cell r="G1923">
            <v>42873</v>
          </cell>
          <cell r="H1923" t="str">
            <v>15576</v>
          </cell>
          <cell r="I1923" t="str">
            <v>https://www.smwcentral.net/?a=details&amp;id=15576&amp;p=section</v>
          </cell>
          <cell r="J1923" t="str">
            <v>https://dl.smwcentral.net/15576/Super%20Mario%20Element%20Worlds%20FIXED.zip</v>
          </cell>
        </row>
        <row r="1924">
          <cell r="A1924" t="str">
            <v>Super Mario Emulator (PTB)</v>
          </cell>
          <cell r="B1924" t="str">
            <v>Super Mario Emulator (PTB)</v>
          </cell>
          <cell r="C1924" t="str">
            <v>noname</v>
          </cell>
          <cell r="D1924">
            <v>25</v>
          </cell>
          <cell r="E1924" t="str">
            <v>Newcomer</v>
          </cell>
          <cell r="F1924" t="str">
            <v>Standard</v>
          </cell>
          <cell r="G1924">
            <v>42293</v>
          </cell>
          <cell r="H1924" t="str">
            <v>10022</v>
          </cell>
          <cell r="I1924" t="str">
            <v>https://www.smwcentral.net/?a=details&amp;id=10022&amp;p=section</v>
          </cell>
          <cell r="J1924" t="str">
            <v>https://dl.smwcentral.net/10022/SME%20patch.zip</v>
          </cell>
        </row>
        <row r="1925">
          <cell r="A1925" t="str">
            <v>Super Mario Endless World</v>
          </cell>
          <cell r="B1925" t="str">
            <v>Super Mario Endless World</v>
          </cell>
          <cell r="C1925" t="str">
            <v>Haithius</v>
          </cell>
          <cell r="D1925">
            <v>12</v>
          </cell>
          <cell r="E1925" t="str">
            <v>Casual</v>
          </cell>
          <cell r="F1925" t="str">
            <v>Standard</v>
          </cell>
          <cell r="G1925">
            <v>43726</v>
          </cell>
          <cell r="H1925" t="str">
            <v>21176</v>
          </cell>
          <cell r="I1925" t="str">
            <v>https://www.smwcentral.net/?a=details&amp;id=21176&amp;p=section</v>
          </cell>
          <cell r="J1925" t="str">
            <v>https://dl.smwcentral.net/21176/Super%20Mario%20Endless%20World%20DEMO.zip</v>
          </cell>
        </row>
        <row r="1926">
          <cell r="A1926" t="str">
            <v>Super Mario Escapades</v>
          </cell>
          <cell r="B1926" t="str">
            <v>Super Mario Escapades</v>
          </cell>
          <cell r="C1926" t="str">
            <v>GammaSlap</v>
          </cell>
          <cell r="D1926">
            <v>7</v>
          </cell>
          <cell r="E1926" t="str">
            <v>Casual</v>
          </cell>
          <cell r="F1926" t="str">
            <v>Standard</v>
          </cell>
          <cell r="G1926">
            <v>42421</v>
          </cell>
          <cell r="H1926" t="str">
            <v>13342</v>
          </cell>
          <cell r="I1926" t="str">
            <v>https://www.smwcentral.net/?a=details&amp;id=13342&amp;p=section</v>
          </cell>
          <cell r="J1926" t="str">
            <v>https://dl.smwcentral.net/13342/Super%20Mario%20Escapades%20DEMO.zip</v>
          </cell>
        </row>
        <row r="1927">
          <cell r="A1927" t="str">
            <v>Super Mario Expedition</v>
          </cell>
          <cell r="B1927" t="str">
            <v>Super Mario Expedition</v>
          </cell>
          <cell r="C1927" t="str">
            <v>akacesfan</v>
          </cell>
          <cell r="D1927">
            <v>8</v>
          </cell>
          <cell r="E1927" t="str">
            <v>Newcomer</v>
          </cell>
          <cell r="F1927" t="str">
            <v>Standard</v>
          </cell>
          <cell r="G1927">
            <v>42314</v>
          </cell>
          <cell r="H1927" t="str">
            <v>10184</v>
          </cell>
          <cell r="I1927" t="str">
            <v>https://www.smwcentral.net/?a=details&amp;id=10184&amp;p=section</v>
          </cell>
          <cell r="J1927" t="str">
            <v>https://dl.smwcentral.net/10184/Super%20Mario%20Expedition.zip</v>
          </cell>
        </row>
        <row r="1928">
          <cell r="A1928" t="str">
            <v>Super Mario Fiwerland</v>
          </cell>
          <cell r="B1928" t="str">
            <v>Super Mario Fiwerland</v>
          </cell>
          <cell r="C1928" t="str">
            <v>Cristian Cardoso</v>
          </cell>
          <cell r="D1928">
            <v>73</v>
          </cell>
          <cell r="E1928" t="str">
            <v>Intermediate</v>
          </cell>
          <cell r="F1928" t="str">
            <v>Standard</v>
          </cell>
          <cell r="G1928">
            <v>44950</v>
          </cell>
          <cell r="H1928" t="str">
            <v>32985</v>
          </cell>
          <cell r="I1928" t="str">
            <v>https://www.smwcentral.net/?a=details&amp;id=32985&amp;p=section</v>
          </cell>
          <cell r="J1928" t="str">
            <v>https://dl.smwcentral.net/32985/Super%20Mario%20Fiwerland.zip</v>
          </cell>
        </row>
        <row r="1929">
          <cell r="A1929" t="str">
            <v>Super Mario Flash 2: SMW Remake</v>
          </cell>
          <cell r="B1929" t="str">
            <v>Super Mario Flash 2: SMW Remake</v>
          </cell>
          <cell r="C1929" t="str">
            <v>Apple Boy, Dark Prince, Donut, Segment1Zone2, Stivi</v>
          </cell>
          <cell r="D1929">
            <v>20</v>
          </cell>
          <cell r="E1929" t="str">
            <v>Casual</v>
          </cell>
          <cell r="F1929" t="str">
            <v>Standard</v>
          </cell>
          <cell r="G1929">
            <v>44384</v>
          </cell>
          <cell r="H1929" t="str">
            <v>27400</v>
          </cell>
          <cell r="I1929" t="str">
            <v>https://www.smwcentral.net/?a=details&amp;id=27400&amp;p=section</v>
          </cell>
          <cell r="J1929" t="str">
            <v>https://dl.smwcentral.net/27400/Super%20Mario%20Flash%202%20-%20SMW%20Remake%201.3.zip</v>
          </cell>
        </row>
        <row r="1930">
          <cell r="A1930" t="str">
            <v>Super Mario Flash: Super Mario World Remake</v>
          </cell>
          <cell r="B1930" t="str">
            <v>Super Mario Flash: Super Mario World Remake</v>
          </cell>
          <cell r="C1930" t="str">
            <v>Dark Prince</v>
          </cell>
          <cell r="D1930">
            <v>10</v>
          </cell>
          <cell r="E1930" t="str">
            <v>Intermediate</v>
          </cell>
          <cell r="F1930" t="str">
            <v>Standard</v>
          </cell>
          <cell r="G1930">
            <v>45135</v>
          </cell>
          <cell r="H1930" t="str">
            <v>34419</v>
          </cell>
          <cell r="I1930" t="str">
            <v>https://www.smwcentral.net/?a=details&amp;id=34419&amp;p=section</v>
          </cell>
          <cell r="J1930" t="str">
            <v>https://dl.smwcentral.net/34419/Super%20Mario%20Flash.zip</v>
          </cell>
        </row>
        <row r="1931">
          <cell r="A1931" t="str">
            <v>Super Mario Fooland</v>
          </cell>
          <cell r="B1931" t="str">
            <v>Super Mario Fooland</v>
          </cell>
          <cell r="C1931" t="str">
            <v>Fullcannon</v>
          </cell>
          <cell r="D1931">
            <v>8</v>
          </cell>
          <cell r="E1931" t="str">
            <v>Casual</v>
          </cell>
          <cell r="F1931" t="str">
            <v>Standard</v>
          </cell>
          <cell r="G1931">
            <v>43558</v>
          </cell>
          <cell r="H1931" t="str">
            <v>19560</v>
          </cell>
          <cell r="I1931" t="str">
            <v>https://www.smwcentral.net/?a=details&amp;id=19560&amp;p=section</v>
          </cell>
          <cell r="J1931" t="str">
            <v>https://dl.smwcentral.net/19560/smfooland34.zip</v>
          </cell>
        </row>
        <row r="1932">
          <cell r="A1932" t="str">
            <v>Super Mario Gaia</v>
          </cell>
          <cell r="B1932" t="str">
            <v>Super Mario Gaia</v>
          </cell>
          <cell r="C1932" t="str">
            <v>grisu</v>
          </cell>
          <cell r="D1932">
            <v>28</v>
          </cell>
          <cell r="E1932" t="str">
            <v>Advanced</v>
          </cell>
          <cell r="F1932" t="str">
            <v>Kaizo</v>
          </cell>
          <cell r="G1932">
            <v>44740</v>
          </cell>
          <cell r="H1932" t="str">
            <v>31243</v>
          </cell>
          <cell r="I1932" t="str">
            <v>https://www.smwcentral.net/?a=details&amp;id=31243&amp;p=section</v>
          </cell>
          <cell r="J1932" t="str">
            <v>https://dl.smwcentral.net/31243/Super%20Mario%20Gaia%201.1.zip</v>
          </cell>
        </row>
        <row r="1933">
          <cell r="A1933" t="str">
            <v>Super Mario Hack</v>
          </cell>
          <cell r="B1933" t="str">
            <v>Super Mario Hack</v>
          </cell>
          <cell r="C1933" t="str">
            <v>Kyanite</v>
          </cell>
          <cell r="D1933">
            <v>8</v>
          </cell>
          <cell r="E1933" t="str">
            <v>Casual</v>
          </cell>
          <cell r="F1933" t="str">
            <v>Standard</v>
          </cell>
          <cell r="G1933">
            <v>42846</v>
          </cell>
          <cell r="H1933" t="str">
            <v>15487</v>
          </cell>
          <cell r="I1933" t="str">
            <v>https://www.smwcentral.net/?a=details&amp;id=15487&amp;p=section</v>
          </cell>
          <cell r="J1933" t="str">
            <v>https://dl.smwcentral.net/15487/Super%20Mario%20Hack%20v1.7.zip</v>
          </cell>
        </row>
        <row r="1934">
          <cell r="A1934" t="str">
            <v>Super Mario Hack - Uma Nova Aventura - A New Adventure (Lite Version)</v>
          </cell>
          <cell r="B1934" t="str">
            <v>Super Mario Hack - Uma Nova Aventura - A New Adventure (Lite Version)</v>
          </cell>
          <cell r="C1934" t="str">
            <v>Leozoppi</v>
          </cell>
          <cell r="D1934">
            <v>33</v>
          </cell>
          <cell r="E1934" t="str">
            <v>Intermediate</v>
          </cell>
          <cell r="F1934" t="str">
            <v>Standard</v>
          </cell>
          <cell r="G1934">
            <v>44466</v>
          </cell>
          <cell r="H1934" t="str">
            <v>28153</v>
          </cell>
          <cell r="I1934" t="str">
            <v>https://www.smwcentral.net/?a=details&amp;id=28153&amp;p=section</v>
          </cell>
          <cell r="J1934" t="str">
            <v>https://dl.smwcentral.net/28153/Super%20Mario%20Hack%20-%20Uma%20Nova%20Aventura%20-%20A%20New%20Adventure.zip</v>
          </cell>
        </row>
        <row r="1935">
          <cell r="A1935" t="str">
            <v>Super Mario Heroes</v>
          </cell>
          <cell r="B1935" t="str">
            <v>Super Mario Heroes</v>
          </cell>
          <cell r="C1935" t="str">
            <v>543</v>
          </cell>
          <cell r="D1935">
            <v>2</v>
          </cell>
          <cell r="E1935" t="str">
            <v>Newcomer</v>
          </cell>
          <cell r="F1935" t="str">
            <v>Standard</v>
          </cell>
          <cell r="G1935">
            <v>42037</v>
          </cell>
          <cell r="H1935" t="str">
            <v>9854</v>
          </cell>
          <cell r="I1935" t="str">
            <v>https://www.smwcentral.net/?a=details&amp;id=9854&amp;p=section</v>
          </cell>
          <cell r="J1935" t="str">
            <v>https://dl.smwcentral.net/9854/smheroes2.zip</v>
          </cell>
        </row>
        <row r="1936">
          <cell r="A1936" t="str">
            <v>Super Mario Horizons 1.0b</v>
          </cell>
          <cell r="B1936" t="str">
            <v>Super Mario Horizons 1.0b</v>
          </cell>
          <cell r="C1936" t="str">
            <v>MegacesarCG</v>
          </cell>
          <cell r="D1936">
            <v>57</v>
          </cell>
          <cell r="E1936" t="str">
            <v>Intermediate</v>
          </cell>
          <cell r="F1936" t="str">
            <v>Standard</v>
          </cell>
          <cell r="G1936">
            <v>45215</v>
          </cell>
          <cell r="H1936" t="str">
            <v>35232</v>
          </cell>
          <cell r="I1936" t="str">
            <v>https://www.smwcentral.net/?a=details&amp;id=35232&amp;p=section</v>
          </cell>
          <cell r="J1936" t="str">
            <v>https://dl.smwcentral.net/35232/SMH1.0b.zip</v>
          </cell>
        </row>
        <row r="1937">
          <cell r="A1937" t="str">
            <v>Super Mario Iggy's Revenge</v>
          </cell>
          <cell r="B1937" t="str">
            <v>Super Mario Iggy's Revenge</v>
          </cell>
          <cell r="C1937" t="str">
            <v>Doseianasan</v>
          </cell>
          <cell r="D1937">
            <v>19</v>
          </cell>
          <cell r="E1937" t="str">
            <v>Casual</v>
          </cell>
          <cell r="F1937" t="str">
            <v>Standard</v>
          </cell>
          <cell r="G1937">
            <v>42282</v>
          </cell>
          <cell r="H1937" t="str">
            <v>10076</v>
          </cell>
          <cell r="I1937" t="str">
            <v>https://www.smwcentral.net/?a=details&amp;id=10076&amp;p=section</v>
          </cell>
          <cell r="J1937" t="str">
            <v>https://dl.smwcentral.net/10076/Super%20Mario%20Iggy%27s%20Revenge.zip</v>
          </cell>
        </row>
        <row r="1938">
          <cell r="A1938" t="str">
            <v>Super Mario In Element World</v>
          </cell>
          <cell r="B1938" t="str">
            <v>Super Mario In Element World</v>
          </cell>
          <cell r="C1938" t="str">
            <v>TheInsanity115</v>
          </cell>
          <cell r="D1938">
            <v>32</v>
          </cell>
          <cell r="E1938" t="str">
            <v>Casual</v>
          </cell>
          <cell r="F1938" t="str">
            <v>Standard</v>
          </cell>
          <cell r="G1938">
            <v>41814</v>
          </cell>
          <cell r="H1938" t="str">
            <v>6745</v>
          </cell>
          <cell r="I1938" t="str">
            <v>https://www.smwcentral.net/?a=details&amp;id=6745&amp;p=section</v>
          </cell>
          <cell r="J1938" t="str">
            <v>https://dl.smwcentral.net/6745/SMW%20patch.zip</v>
          </cell>
        </row>
        <row r="1939">
          <cell r="A1939" t="str">
            <v>Super Mario In Element World 2: The Master Hand Revenge</v>
          </cell>
          <cell r="B1939" t="str">
            <v>Super Mario In Element World 2: The Master Hand Revenge</v>
          </cell>
          <cell r="C1939" t="str">
            <v>TheInsanity115</v>
          </cell>
          <cell r="D1939">
            <v>7</v>
          </cell>
          <cell r="E1939" t="str">
            <v>Newcomer</v>
          </cell>
          <cell r="F1939" t="str">
            <v>Standard</v>
          </cell>
          <cell r="G1939">
            <v>41819</v>
          </cell>
          <cell r="H1939" t="str">
            <v>6794</v>
          </cell>
          <cell r="I1939" t="str">
            <v>https://www.smwcentral.net/?a=details&amp;id=6794&amp;p=section</v>
          </cell>
          <cell r="J1939" t="str">
            <v>https://dl.smwcentral.net/6794/smw%20patch.zip</v>
          </cell>
        </row>
        <row r="1940">
          <cell r="A1940" t="str">
            <v>Super Mario in Miscland 2: GrisBoo's Switches!</v>
          </cell>
          <cell r="B1940" t="str">
            <v>Super Mario in Miscland 2: GrisBoo's Switches!</v>
          </cell>
          <cell r="C1940" t="str">
            <v>Saturn the Donkey</v>
          </cell>
          <cell r="D1940">
            <v>5</v>
          </cell>
          <cell r="E1940" t="str">
            <v>Intermediate</v>
          </cell>
          <cell r="F1940" t="str">
            <v>Standard</v>
          </cell>
          <cell r="G1940">
            <v>42160</v>
          </cell>
          <cell r="H1940" t="str">
            <v>10070</v>
          </cell>
          <cell r="I1940" t="str">
            <v>https://www.smwcentral.net/?a=details&amp;id=10070&amp;p=section</v>
          </cell>
          <cell r="J1940" t="str">
            <v>https://dl.smwcentral.net/10070/Miscland2.zip</v>
          </cell>
        </row>
        <row r="1941">
          <cell r="A1941" t="str">
            <v>Super Mario in the Health Advocacy Project</v>
          </cell>
          <cell r="B1941" t="str">
            <v>Super Mario in the Health Advocacy Project</v>
          </cell>
          <cell r="C1941" t="str">
            <v>Herobrine81902</v>
          </cell>
          <cell r="D1941">
            <v>4</v>
          </cell>
          <cell r="E1941" t="str">
            <v>Newcomer</v>
          </cell>
          <cell r="F1941" t="str">
            <v>Standard</v>
          </cell>
          <cell r="G1941">
            <v>43123</v>
          </cell>
          <cell r="H1941" t="str">
            <v>17022</v>
          </cell>
          <cell r="I1941" t="str">
            <v>https://www.smwcentral.net/?a=details&amp;id=17022&amp;p=section</v>
          </cell>
          <cell r="J1941" t="str">
            <v>https://dl.smwcentral.net/17022/Super%20Mario%20in%20the%20Health%20Advocacy%20Project.zip</v>
          </cell>
        </row>
        <row r="1942">
          <cell r="A1942" t="str">
            <v>Super Mario in the Vanilla Forest</v>
          </cell>
          <cell r="B1942" t="str">
            <v>Super Mario in the Vanilla Forest</v>
          </cell>
          <cell r="C1942" t="str">
            <v>DatLeon</v>
          </cell>
          <cell r="D1942">
            <v>2</v>
          </cell>
          <cell r="E1942" t="str">
            <v>Intermediate</v>
          </cell>
          <cell r="F1942" t="str">
            <v>Standard</v>
          </cell>
          <cell r="G1942">
            <v>42044</v>
          </cell>
          <cell r="H1942" t="str">
            <v>10205</v>
          </cell>
          <cell r="I1942" t="str">
            <v>https://www.smwcentral.net/?a=details&amp;id=10205&amp;p=section</v>
          </cell>
          <cell r="J1942" t="str">
            <v>https://dl.smwcentral.net/10205/Vanilla%20Land%20%28EN%29.zip</v>
          </cell>
        </row>
        <row r="1943">
          <cell r="A1943" t="str">
            <v>Super Mario in Yoshi Heaven</v>
          </cell>
          <cell r="B1943" t="str">
            <v>Super Mario in Yoshi Heaven</v>
          </cell>
          <cell r="C1943" t="str">
            <v>wtfweb</v>
          </cell>
          <cell r="D1943">
            <v>13</v>
          </cell>
          <cell r="E1943" t="str">
            <v>Casual</v>
          </cell>
          <cell r="F1943" t="str">
            <v>Standard</v>
          </cell>
          <cell r="G1943">
            <v>41559</v>
          </cell>
          <cell r="H1943" t="str">
            <v>5000</v>
          </cell>
          <cell r="I1943" t="str">
            <v>https://www.smwcentral.net/?a=details&amp;id=5000&amp;p=section</v>
          </cell>
          <cell r="J1943" t="str">
            <v>https://dl.smwcentral.net/5000/yoshi_heaven.zip</v>
          </cell>
        </row>
        <row r="1944">
          <cell r="A1944" t="str">
            <v>Super Mario in: Yoshi's Revenge</v>
          </cell>
          <cell r="B1944" t="str">
            <v>Super Mario in: Yoshi's Revenge</v>
          </cell>
          <cell r="C1944" t="str">
            <v>2dareduck</v>
          </cell>
          <cell r="D1944">
            <v>53</v>
          </cell>
          <cell r="E1944" t="str">
            <v>Casual</v>
          </cell>
          <cell r="F1944" t="str">
            <v>Standard</v>
          </cell>
          <cell r="G1944">
            <v>42308</v>
          </cell>
          <cell r="H1944" t="str">
            <v>10187</v>
          </cell>
          <cell r="I1944" t="str">
            <v>https://www.smwcentral.net/?a=details&amp;id=10187&amp;p=section</v>
          </cell>
          <cell r="J1944" t="str">
            <v>https://dl.smwcentral.net/10187/YRV1-4.zip</v>
          </cell>
        </row>
        <row r="1945">
          <cell r="A1945" t="str">
            <v>Super Mario Infinity 2: The Cursed Gem</v>
          </cell>
          <cell r="B1945" t="str">
            <v>Super Mario Infinity 2: The Cursed Gem</v>
          </cell>
          <cell r="C1945" t="str">
            <v>Reading</v>
          </cell>
          <cell r="D1945">
            <v>114</v>
          </cell>
          <cell r="E1945" t="str">
            <v>Expert</v>
          </cell>
          <cell r="F1945" t="str">
            <v>Standard</v>
          </cell>
          <cell r="G1945">
            <v>43690</v>
          </cell>
          <cell r="H1945" t="str">
            <v>20859</v>
          </cell>
          <cell r="I1945" t="str">
            <v>https://www.smwcentral.net/?a=details&amp;id=20859&amp;p=section</v>
          </cell>
          <cell r="J1945" t="str">
            <v>https://dl.smwcentral.net/20859/smi2.zip</v>
          </cell>
        </row>
        <row r="1946">
          <cell r="A1946" t="str">
            <v>Super Mario Infinity: Mystery of the Magic Wand</v>
          </cell>
          <cell r="B1946" t="str">
            <v>Super Mario Infinity: Mystery of the Magic Wand</v>
          </cell>
          <cell r="C1946" t="str">
            <v>Reading</v>
          </cell>
          <cell r="D1946">
            <v>114</v>
          </cell>
          <cell r="E1946" t="str">
            <v>Advanced</v>
          </cell>
          <cell r="F1946" t="str">
            <v>Standard</v>
          </cell>
          <cell r="G1946">
            <v>43575</v>
          </cell>
          <cell r="H1946" t="str">
            <v>19547</v>
          </cell>
          <cell r="I1946" t="str">
            <v>https://www.smwcentral.net/?a=details&amp;id=19547&amp;p=section</v>
          </cell>
          <cell r="J1946" t="str">
            <v>https://dl.smwcentral.net/19547/smi.zip</v>
          </cell>
        </row>
        <row r="1947">
          <cell r="A1947" t="str">
            <v>Super Mario Islands</v>
          </cell>
          <cell r="B1947" t="str">
            <v>Super Mario Islands</v>
          </cell>
          <cell r="C1947" t="str">
            <v>bkbusters</v>
          </cell>
          <cell r="D1947">
            <v>8</v>
          </cell>
          <cell r="E1947" t="str">
            <v>Newcomer</v>
          </cell>
          <cell r="F1947" t="str">
            <v>Standard</v>
          </cell>
          <cell r="G1947">
            <v>42066</v>
          </cell>
          <cell r="H1947" t="str">
            <v>9804</v>
          </cell>
          <cell r="I1947" t="str">
            <v>https://www.smwcentral.net/?a=details&amp;id=9804&amp;p=section</v>
          </cell>
          <cell r="J1947" t="str">
            <v>https://dl.smwcentral.net/9804/Super%20Mario%20Islands%20Demo%202.zip</v>
          </cell>
        </row>
        <row r="1948">
          <cell r="A1948" t="str">
            <v>Super Mario Justice</v>
          </cell>
          <cell r="B1948" t="str">
            <v>Super Mario Justice</v>
          </cell>
          <cell r="C1948" t="str">
            <v>RpGaming</v>
          </cell>
          <cell r="D1948">
            <v>13</v>
          </cell>
          <cell r="E1948" t="str">
            <v>Casual</v>
          </cell>
          <cell r="F1948" t="str">
            <v>Standard</v>
          </cell>
          <cell r="G1948">
            <v>41895</v>
          </cell>
          <cell r="H1948" t="str">
            <v>8983</v>
          </cell>
          <cell r="I1948" t="str">
            <v>https://www.smwcentral.net/?a=details&amp;id=8983&amp;p=section</v>
          </cell>
          <cell r="J1948" t="str">
            <v>https://dl.smwcentral.net/8983/Super%20Mario%20Justice%20-%20Demo%20I.zip</v>
          </cell>
        </row>
        <row r="1949">
          <cell r="A1949" t="str">
            <v>Super Mario Land 2.5</v>
          </cell>
          <cell r="B1949" t="str">
            <v>Super Mario Land 2.5</v>
          </cell>
          <cell r="C1949" t="str">
            <v>Lexator</v>
          </cell>
          <cell r="D1949">
            <v>57</v>
          </cell>
          <cell r="E1949" t="str">
            <v>Intermediate</v>
          </cell>
          <cell r="F1949" t="str">
            <v>Standard</v>
          </cell>
          <cell r="G1949">
            <v>42607</v>
          </cell>
          <cell r="H1949" t="str">
            <v>14243</v>
          </cell>
          <cell r="I1949" t="str">
            <v>https://www.smwcentral.net/?a=details&amp;id=14243&amp;p=section</v>
          </cell>
          <cell r="J1949" t="str">
            <v>https://dl.smwcentral.net/14243/sml%20demo2.zip</v>
          </cell>
        </row>
        <row r="1950">
          <cell r="A1950" t="str">
            <v>Super Mario Land 3: Tatanga's Return</v>
          </cell>
          <cell r="B1950" t="str">
            <v>Super Mario Land 3: Tatanga's Return</v>
          </cell>
          <cell r="C1950" t="str">
            <v>Gamma V</v>
          </cell>
          <cell r="D1950">
            <v>70</v>
          </cell>
          <cell r="E1950" t="str">
            <v>Casual</v>
          </cell>
          <cell r="F1950" t="str">
            <v>Standard</v>
          </cell>
          <cell r="G1950">
            <v>42502</v>
          </cell>
          <cell r="H1950" t="str">
            <v>13608</v>
          </cell>
          <cell r="I1950" t="str">
            <v>https://www.smwcentral.net/?a=details&amp;id=13608&amp;p=section</v>
          </cell>
          <cell r="J1950" t="str">
            <v>https://dl.smwcentral.net/13608/TatangasReturn2.1.zip</v>
          </cell>
        </row>
        <row r="1951">
          <cell r="A1951" t="str">
            <v>Super Mario Land 4</v>
          </cell>
          <cell r="B1951" t="str">
            <v>Super Mario Land 4</v>
          </cell>
          <cell r="C1951" t="str">
            <v>Lexator</v>
          </cell>
          <cell r="D1951">
            <v>28</v>
          </cell>
          <cell r="E1951" t="str">
            <v>Casual</v>
          </cell>
          <cell r="F1951" t="str">
            <v>Standard</v>
          </cell>
          <cell r="G1951">
            <v>42329</v>
          </cell>
          <cell r="H1951" t="str">
            <v>9963</v>
          </cell>
          <cell r="I1951" t="str">
            <v>https://www.smwcentral.net/?a=details&amp;id=9963&amp;p=section</v>
          </cell>
          <cell r="J1951" t="str">
            <v>https://dl.smwcentral.net/9963/SML4_C3%20demo%5Bfr%5D.zip</v>
          </cell>
        </row>
        <row r="1952">
          <cell r="A1952" t="str">
            <v>Super Mario Land Arcade!</v>
          </cell>
          <cell r="B1952" t="str">
            <v>Super Mario Land Arcade!</v>
          </cell>
          <cell r="C1952" t="str">
            <v>DonnyKD</v>
          </cell>
          <cell r="D1952">
            <v>3</v>
          </cell>
          <cell r="E1952" t="str">
            <v>Newcomer</v>
          </cell>
          <cell r="F1952" t="str">
            <v>Standard</v>
          </cell>
          <cell r="G1952">
            <v>42153</v>
          </cell>
          <cell r="H1952" t="str">
            <v>10260</v>
          </cell>
          <cell r="I1952" t="str">
            <v>https://www.smwcentral.net/?a=details&amp;id=10260&amp;p=section</v>
          </cell>
          <cell r="J1952" t="str">
            <v>https://dl.smwcentral.net/10260/SMLA%20demo%201.zip</v>
          </cell>
        </row>
        <row r="1953">
          <cell r="A1953" t="str">
            <v>Super Mario Land World</v>
          </cell>
          <cell r="B1953" t="str">
            <v>Super Mario Land World</v>
          </cell>
          <cell r="C1953" t="str">
            <v>Lush_50</v>
          </cell>
          <cell r="D1953">
            <v>13</v>
          </cell>
          <cell r="E1953" t="str">
            <v>Casual</v>
          </cell>
          <cell r="F1953" t="str">
            <v>Standard</v>
          </cell>
          <cell r="G1953">
            <v>45497</v>
          </cell>
          <cell r="H1953" t="str">
            <v>38127</v>
          </cell>
          <cell r="I1953" t="str">
            <v>https://www.smwcentral.net/?a=details&amp;id=38127&amp;p=section</v>
          </cell>
          <cell r="J1953" t="str">
            <v>https://dl.smwcentral.net/38127/Super%20Mario%20Land%20World%20V1.1%20%28%202024%20%29.zip</v>
          </cell>
        </row>
        <row r="1954">
          <cell r="A1954" t="str">
            <v>Super Mario Legacy</v>
          </cell>
          <cell r="B1954" t="str">
            <v>Super Mario Legacy</v>
          </cell>
          <cell r="C1954" t="str">
            <v>Ragey</v>
          </cell>
          <cell r="D1954">
            <v>140</v>
          </cell>
          <cell r="E1954" t="str">
            <v>Intermediate</v>
          </cell>
          <cell r="F1954" t="str">
            <v>Standard</v>
          </cell>
          <cell r="G1954">
            <v>43247</v>
          </cell>
          <cell r="H1954" t="str">
            <v>17478</v>
          </cell>
          <cell r="I1954" t="str">
            <v>https://www.smwcentral.net/?a=details&amp;id=17478&amp;p=section</v>
          </cell>
          <cell r="J1954" t="str">
            <v>https://dl.smwcentral.net/17478/Super%20Mario%20Legacy.zip</v>
          </cell>
        </row>
        <row r="1955">
          <cell r="A1955" t="str">
            <v>Super Mario Logic</v>
          </cell>
          <cell r="B1955" t="str">
            <v>Super Mario Logic</v>
          </cell>
          <cell r="C1955" t="str">
            <v>Final Theory</v>
          </cell>
          <cell r="D1955">
            <v>94</v>
          </cell>
          <cell r="E1955" t="str">
            <v>Casual</v>
          </cell>
          <cell r="F1955" t="str">
            <v>Standard, Puzzle</v>
          </cell>
          <cell r="G1955">
            <v>43121</v>
          </cell>
          <cell r="H1955" t="str">
            <v>17005</v>
          </cell>
          <cell r="I1955" t="str">
            <v>https://www.smwcentral.net/?a=details&amp;id=17005&amp;p=section</v>
          </cell>
          <cell r="J1955" t="str">
            <v>https://dl.smwcentral.net/17005/Super%20Mario%20Logic.zip</v>
          </cell>
        </row>
        <row r="1956">
          <cell r="A1956" t="str">
            <v>Super Mario Lost in Monochrome</v>
          </cell>
          <cell r="B1956" t="str">
            <v>Super Mario Lost in Monochrome</v>
          </cell>
          <cell r="C1956" t="str">
            <v>EL santo</v>
          </cell>
          <cell r="D1956">
            <v>16</v>
          </cell>
          <cell r="E1956" t="str">
            <v>Casual</v>
          </cell>
          <cell r="F1956" t="str">
            <v>Standard</v>
          </cell>
          <cell r="G1956">
            <v>42312</v>
          </cell>
          <cell r="H1956" t="str">
            <v>10191</v>
          </cell>
          <cell r="I1956" t="str">
            <v>https://www.smwcentral.net/?a=details&amp;id=10191&amp;p=section</v>
          </cell>
          <cell r="J1956" t="str">
            <v>https://dl.smwcentral.net/10191/Super%20Mario%20Lost%20in%20Monochrome%20%28v1.4v%29.zip</v>
          </cell>
        </row>
        <row r="1957">
          <cell r="A1957" t="str">
            <v>Super Mario Lost World</v>
          </cell>
          <cell r="B1957" t="str">
            <v>Super Mario Lost World</v>
          </cell>
          <cell r="C1957" t="str">
            <v>Andyana Jonseph, RussianMan, darken, niko</v>
          </cell>
          <cell r="D1957">
            <v>10</v>
          </cell>
          <cell r="E1957" t="str">
            <v>Advanced</v>
          </cell>
          <cell r="F1957" t="str">
            <v>Standard</v>
          </cell>
          <cell r="G1957">
            <v>42964</v>
          </cell>
          <cell r="H1957" t="str">
            <v>16048</v>
          </cell>
          <cell r="I1957" t="str">
            <v>https://www.smwcentral.net/?a=details&amp;id=16048&amp;p=section</v>
          </cell>
          <cell r="J1957" t="str">
            <v>https://dl.smwcentral.net/16048/Super%20Mario%20Lost%20World%20Demo.zip</v>
          </cell>
        </row>
        <row r="1958">
          <cell r="A1958" t="str">
            <v>Super Mario Makers' Holiday Extravaganza</v>
          </cell>
          <cell r="B1958" t="str">
            <v>Super Mario Makers' Holiday Extravaganza</v>
          </cell>
          <cell r="C1958" t="str">
            <v>Brakkie, Buflen, Donkeymint, JeepySol, NewPointless, Scags, mmmdoggy, revolug</v>
          </cell>
          <cell r="D1958">
            <v>21</v>
          </cell>
          <cell r="E1958" t="str">
            <v>Expert</v>
          </cell>
          <cell r="F1958" t="str">
            <v>Standard, Kaizo</v>
          </cell>
          <cell r="G1958">
            <v>46063</v>
          </cell>
          <cell r="H1958" t="str">
            <v>41494</v>
          </cell>
          <cell r="I1958" t="str">
            <v>https://www.smwcentral.net/?a=details&amp;id=41494&amp;p=section</v>
          </cell>
          <cell r="J1958" t="str">
            <v>https://dl.smwcentral.net/41494/SuperMarioMakersHolidayExtravaganza1_1.zip</v>
          </cell>
        </row>
        <row r="1959">
          <cell r="A1959" t="str">
            <v>Super Mario Mania</v>
          </cell>
          <cell r="B1959" t="str">
            <v>Super Mario Mania</v>
          </cell>
          <cell r="C1959" t="str">
            <v>OiMuka</v>
          </cell>
          <cell r="D1959">
            <v>9</v>
          </cell>
          <cell r="E1959" t="str">
            <v>Casual</v>
          </cell>
          <cell r="F1959" t="str">
            <v>Standard</v>
          </cell>
          <cell r="G1959">
            <v>46136</v>
          </cell>
          <cell r="H1959" t="str">
            <v>42235</v>
          </cell>
          <cell r="I1959" t="str">
            <v>https://www.smwcentral.net/?a=details&amp;id=42235&amp;p=section</v>
          </cell>
          <cell r="J1959" t="str">
            <v>https://dl.smwcentral.net/42235/SMM%20-%20Demo%20V1.1.zip</v>
          </cell>
        </row>
        <row r="1960">
          <cell r="A1960" t="str">
            <v>Super Mario New Life!</v>
          </cell>
          <cell r="B1960" t="str">
            <v>Super Mario New Life!</v>
          </cell>
          <cell r="C1960" t="str">
            <v>FamilyTeamProductions</v>
          </cell>
          <cell r="D1960">
            <v>4</v>
          </cell>
          <cell r="E1960" t="str">
            <v>Newcomer</v>
          </cell>
          <cell r="F1960" t="str">
            <v>Standard</v>
          </cell>
          <cell r="G1960">
            <v>42338</v>
          </cell>
          <cell r="H1960" t="str">
            <v>10168</v>
          </cell>
          <cell r="I1960" t="str">
            <v>https://www.smwcentral.net/?a=details&amp;id=10168&amp;p=section</v>
          </cell>
          <cell r="J1960" t="str">
            <v>https://dl.smwcentral.net/10168/SMNL.zip</v>
          </cell>
        </row>
        <row r="1961">
          <cell r="A1961" t="str">
            <v>Super Mario Ocean</v>
          </cell>
          <cell r="B1961" t="str">
            <v>Super Mario Ocean</v>
          </cell>
          <cell r="C1961" t="str">
            <v>yogui</v>
          </cell>
          <cell r="D1961">
            <v>36</v>
          </cell>
          <cell r="E1961" t="str">
            <v>Casual</v>
          </cell>
          <cell r="F1961" t="str">
            <v>Standard</v>
          </cell>
          <cell r="G1961">
            <v>42215</v>
          </cell>
          <cell r="H1961" t="str">
            <v>9761</v>
          </cell>
          <cell r="I1961" t="str">
            <v>https://www.smwcentral.net/?a=details&amp;id=9761&amp;p=section</v>
          </cell>
          <cell r="J1961" t="str">
            <v>https://dl.smwcentral.net/9761/SuperMarioOcean.zip</v>
          </cell>
        </row>
        <row r="1962">
          <cell r="A1962" t="str">
            <v>Super Mario Odyssey</v>
          </cell>
          <cell r="B1962" t="str">
            <v>Super Mario Odyssey</v>
          </cell>
          <cell r="C1962" t="str">
            <v>Rachel Mae</v>
          </cell>
          <cell r="D1962">
            <v>20</v>
          </cell>
          <cell r="E1962" t="str">
            <v>Casual</v>
          </cell>
          <cell r="F1962" t="str">
            <v>Standard</v>
          </cell>
          <cell r="G1962">
            <v>41448</v>
          </cell>
          <cell r="H1962" t="str">
            <v>4987</v>
          </cell>
          <cell r="I1962" t="str">
            <v>https://www.smwcentral.net/?a=details&amp;id=4987&amp;p=section</v>
          </cell>
          <cell r="J1962" t="str">
            <v>https://dl.smwcentral.net/4987/odyssey_v02.zip</v>
          </cell>
        </row>
        <row r="1963">
          <cell r="A1963" t="str">
            <v>Super Mario Omega</v>
          </cell>
          <cell r="B1963" t="str">
            <v>Super Mario Omega</v>
          </cell>
          <cell r="C1963" t="str">
            <v>Higsby</v>
          </cell>
          <cell r="D1963">
            <v>100</v>
          </cell>
          <cell r="E1963" t="str">
            <v>Intermediate</v>
          </cell>
          <cell r="F1963" t="str">
            <v>Standard</v>
          </cell>
          <cell r="G1963">
            <v>41531</v>
          </cell>
          <cell r="H1963" t="str">
            <v>5252</v>
          </cell>
          <cell r="I1963" t="str">
            <v>https://www.smwcentral.net/?a=details&amp;id=5252&amp;p=section</v>
          </cell>
          <cell r="J1963" t="str">
            <v>https://dl.smwcentral.net/5252/Super%20Mario%20Omega%20V1.07.zip</v>
          </cell>
        </row>
        <row r="1964">
          <cell r="A1964" t="str">
            <v>Super Mario Outbreak</v>
          </cell>
          <cell r="B1964" t="str">
            <v>Super Mario Outbreak</v>
          </cell>
          <cell r="C1964" t="str">
            <v>Gamma V</v>
          </cell>
          <cell r="D1964">
            <v>20</v>
          </cell>
          <cell r="E1964" t="str">
            <v>Casual</v>
          </cell>
          <cell r="F1964" t="str">
            <v>Standard</v>
          </cell>
          <cell r="G1964">
            <v>43961</v>
          </cell>
          <cell r="H1964" t="str">
            <v>22929</v>
          </cell>
          <cell r="I1964" t="str">
            <v>https://www.smwcentral.net/?a=details&amp;id=22929&amp;p=section</v>
          </cell>
          <cell r="J1964" t="str">
            <v>https://dl.smwcentral.net/22929/Outbreak%20Demo%20-%20Fixed.zip</v>
          </cell>
        </row>
        <row r="1965">
          <cell r="A1965" t="str">
            <v>Super Mario OWMS</v>
          </cell>
          <cell r="B1965" t="str">
            <v>Super Mario OWMS</v>
          </cell>
          <cell r="C1965" t="str">
            <v>BanzaiChuck</v>
          </cell>
          <cell r="D1965">
            <v>13</v>
          </cell>
          <cell r="E1965" t="str">
            <v>Expert</v>
          </cell>
          <cell r="F1965" t="str">
            <v>Kaizo</v>
          </cell>
          <cell r="G1965">
            <v>43260</v>
          </cell>
          <cell r="H1965" t="str">
            <v>17584</v>
          </cell>
          <cell r="I1965" t="str">
            <v>https://www.smwcentral.net/?a=details&amp;id=17584&amp;p=section</v>
          </cell>
          <cell r="J1965" t="str">
            <v>https://dl.smwcentral.net/17584/Super%20Mario%20OWMS.zip</v>
          </cell>
        </row>
        <row r="1966">
          <cell r="A1966" t="str">
            <v>Super Mario Pants World</v>
          </cell>
          <cell r="B1966" t="str">
            <v>Super Mario Pants World</v>
          </cell>
          <cell r="C1966" t="str">
            <v>Romano338</v>
          </cell>
          <cell r="D1966">
            <v>7</v>
          </cell>
          <cell r="E1966" t="str">
            <v>Expert</v>
          </cell>
          <cell r="F1966" t="str">
            <v>Kaizo</v>
          </cell>
          <cell r="G1966">
            <v>43017</v>
          </cell>
          <cell r="H1966" t="str">
            <v>16416</v>
          </cell>
          <cell r="I1966" t="str">
            <v>https://www.smwcentral.net/?a=details&amp;id=16416&amp;p=section</v>
          </cell>
          <cell r="J1966" t="str">
            <v>https://dl.smwcentral.net/16416/SMPWv2.zip</v>
          </cell>
        </row>
        <row r="1967">
          <cell r="A1967" t="str">
            <v>Super Mario Place</v>
          </cell>
          <cell r="B1967" t="str">
            <v>Super Mario Place</v>
          </cell>
          <cell r="C1967" t="str">
            <v>Angel Astronaut</v>
          </cell>
          <cell r="D1967">
            <v>81</v>
          </cell>
          <cell r="E1967" t="str">
            <v>Intermediate</v>
          </cell>
          <cell r="F1967" t="str">
            <v>Standard</v>
          </cell>
          <cell r="G1967">
            <v>41531</v>
          </cell>
          <cell r="H1967" t="str">
            <v>5175</v>
          </cell>
          <cell r="I1967" t="str">
            <v>https://www.smwcentral.net/?a=details&amp;id=5175&amp;p=section</v>
          </cell>
          <cell r="J1967" t="str">
            <v>https://dl.smwcentral.net/5175/Super%20Mario%20Place.zip</v>
          </cell>
        </row>
        <row r="1968">
          <cell r="A1968" t="str">
            <v>Super Mario Planet</v>
          </cell>
          <cell r="B1968" t="str">
            <v>Super Mario Planet</v>
          </cell>
          <cell r="C1968" t="str">
            <v>Merthacks</v>
          </cell>
          <cell r="D1968">
            <v>7</v>
          </cell>
          <cell r="E1968" t="str">
            <v>Casual</v>
          </cell>
          <cell r="F1968" t="str">
            <v>Standard</v>
          </cell>
          <cell r="G1968">
            <v>41517</v>
          </cell>
          <cell r="H1968" t="str">
            <v>5520</v>
          </cell>
          <cell r="I1968" t="str">
            <v>https://www.smwcentral.net/?a=details&amp;id=5520&amp;p=section</v>
          </cell>
          <cell r="J1968" t="str">
            <v>https://dl.smwcentral.net/5520/Super%20Mario%20Planet.zip</v>
          </cell>
        </row>
        <row r="1969">
          <cell r="A1969" t="str">
            <v>Super Mario Quest</v>
          </cell>
          <cell r="B1969" t="str">
            <v>Super Mario Quest</v>
          </cell>
          <cell r="C1969" t="str">
            <v>nathanx365</v>
          </cell>
          <cell r="D1969">
            <v>19</v>
          </cell>
          <cell r="E1969" t="str">
            <v>Casual</v>
          </cell>
          <cell r="F1969" t="str">
            <v>Standard</v>
          </cell>
          <cell r="G1969">
            <v>42166</v>
          </cell>
          <cell r="H1969" t="str">
            <v>11428</v>
          </cell>
          <cell r="I1969" t="str">
            <v>https://www.smwcentral.net/?a=details&amp;id=11428&amp;p=section</v>
          </cell>
          <cell r="J1969" t="str">
            <v>https://dl.smwcentral.net/11428/Super%20Mario%20Quest.zip</v>
          </cell>
        </row>
        <row r="1970">
          <cell r="A1970" t="str">
            <v>Super Mario Radish Kingdom Adventure</v>
          </cell>
          <cell r="B1970" t="str">
            <v>Super Mario Radish Kingdom Adventure</v>
          </cell>
          <cell r="C1970" t="str">
            <v>autisticsceptile1993</v>
          </cell>
          <cell r="D1970">
            <v>88</v>
          </cell>
          <cell r="E1970" t="str">
            <v>Advanced</v>
          </cell>
          <cell r="F1970" t="str">
            <v>Standard</v>
          </cell>
          <cell r="G1970">
            <v>44208</v>
          </cell>
          <cell r="H1970" t="str">
            <v>25875</v>
          </cell>
          <cell r="I1970" t="str">
            <v>https://www.smwcentral.net/?a=details&amp;id=25875&amp;p=section</v>
          </cell>
          <cell r="J1970" t="str">
            <v>https://dl.smwcentral.net/25875/Super%20Mario%20Radish%20Kingdom%20Adventure%20V3.1.zip</v>
          </cell>
        </row>
        <row r="1971">
          <cell r="A1971" t="str">
            <v>Super Mario Redux</v>
          </cell>
          <cell r="B1971" t="str">
            <v>Super Mario Redux</v>
          </cell>
          <cell r="C1971" t="str">
            <v>Noivern</v>
          </cell>
          <cell r="D1971">
            <v>62</v>
          </cell>
          <cell r="E1971" t="str">
            <v>Casual</v>
          </cell>
          <cell r="F1971" t="str">
            <v>Standard</v>
          </cell>
          <cell r="G1971">
            <v>42304</v>
          </cell>
          <cell r="H1971" t="str">
            <v>10100</v>
          </cell>
          <cell r="I1971" t="str">
            <v>https://www.smwcentral.net/?a=details&amp;id=10100&amp;p=section</v>
          </cell>
          <cell r="J1971" t="str">
            <v>https://dl.smwcentral.net/10100/Redux.zip</v>
          </cell>
        </row>
        <row r="1972">
          <cell r="A1972" t="str">
            <v>Super Mario Revelations</v>
          </cell>
          <cell r="B1972" t="str">
            <v>Super Mario Revelations</v>
          </cell>
          <cell r="C1972" t="str">
            <v>ItsSnowyTime</v>
          </cell>
          <cell r="D1972">
            <v>12</v>
          </cell>
          <cell r="E1972" t="str">
            <v>Casual</v>
          </cell>
          <cell r="F1972" t="str">
            <v>Standard</v>
          </cell>
          <cell r="G1972">
            <v>42065</v>
          </cell>
          <cell r="H1972" t="str">
            <v>9750</v>
          </cell>
          <cell r="I1972" t="str">
            <v>https://www.smwcentral.net/?a=details&amp;id=9750&amp;p=section</v>
          </cell>
          <cell r="J1972" t="str">
            <v>https://dl.smwcentral.net/9750/Super_Mario_Revelations.zip</v>
          </cell>
        </row>
        <row r="1973">
          <cell r="A1973" t="str">
            <v>Super Mario Robotical Trouble</v>
          </cell>
          <cell r="B1973" t="str">
            <v>Super Mario Robotical Trouble</v>
          </cell>
          <cell r="C1973" t="str">
            <v>Dark Yoshi</v>
          </cell>
          <cell r="D1973">
            <v>8</v>
          </cell>
          <cell r="E1973" t="str">
            <v>Casual</v>
          </cell>
          <cell r="F1973" t="str">
            <v>Standard</v>
          </cell>
          <cell r="G1973">
            <v>41517</v>
          </cell>
          <cell r="H1973" t="str">
            <v>5464</v>
          </cell>
          <cell r="I1973" t="str">
            <v>https://www.smwcentral.net/?a=details&amp;id=5464&amp;p=section</v>
          </cell>
          <cell r="J1973" t="str">
            <v>https://dl.smwcentral.net/5464/Super%20Mario%20Robotical%20Trouble.zip</v>
          </cell>
        </row>
        <row r="1974">
          <cell r="A1974" t="str">
            <v>Super Mario SS2 - Bowser is Back</v>
          </cell>
          <cell r="B1974" t="str">
            <v>Super Mario SS2 - Bowser is Back</v>
          </cell>
          <cell r="C1974" t="str">
            <v>EmuGamer</v>
          </cell>
          <cell r="D1974">
            <v>34</v>
          </cell>
          <cell r="E1974" t="str">
            <v>Casual</v>
          </cell>
          <cell r="F1974" t="str">
            <v>Standard</v>
          </cell>
          <cell r="G1974">
            <v>43281</v>
          </cell>
          <cell r="H1974" t="str">
            <v>17597</v>
          </cell>
          <cell r="I1974" t="str">
            <v>https://www.smwcentral.net/?a=details&amp;id=17597&amp;p=section</v>
          </cell>
          <cell r="J1974" t="str">
            <v>https://dl.smwcentral.net/17597/Super%20Mario%20SS2%20-%20Bowser%20is%20Back.zip</v>
          </cell>
        </row>
        <row r="1975">
          <cell r="A1975" t="str">
            <v>Super Mario SS3 - PU</v>
          </cell>
          <cell r="B1975" t="str">
            <v>Super Mario SS3 - PU</v>
          </cell>
          <cell r="C1975" t="str">
            <v>EmuGamer</v>
          </cell>
          <cell r="D1975">
            <v>32</v>
          </cell>
          <cell r="E1975" t="str">
            <v>Intermediate</v>
          </cell>
          <cell r="F1975" t="str">
            <v>Standard</v>
          </cell>
          <cell r="G1975">
            <v>44242</v>
          </cell>
          <cell r="H1975" t="str">
            <v>26132</v>
          </cell>
          <cell r="I1975" t="str">
            <v>https://www.smwcentral.net/?a=details&amp;id=26132&amp;p=section</v>
          </cell>
          <cell r="J1975" t="str">
            <v>https://dl.smwcentral.net/26132/Super%20Mario%20SS3.zip</v>
          </cell>
        </row>
        <row r="1976">
          <cell r="A1976" t="str">
            <v>Super Mario Starlight</v>
          </cell>
          <cell r="B1976" t="str">
            <v>Super Mario Starlight</v>
          </cell>
          <cell r="C1976" t="str">
            <v>hendog30_</v>
          </cell>
          <cell r="D1976">
            <v>30</v>
          </cell>
          <cell r="E1976" t="str">
            <v>Intermediate</v>
          </cell>
          <cell r="F1976" t="str">
            <v>Standard</v>
          </cell>
          <cell r="G1976">
            <v>45206</v>
          </cell>
          <cell r="H1976" t="str">
            <v>35049</v>
          </cell>
          <cell r="I1976" t="str">
            <v>https://www.smwcentral.net/?a=details&amp;id=35049&amp;p=section</v>
          </cell>
          <cell r="J1976" t="str">
            <v>https://dl.smwcentral.net/35049/SuperMarioStarlight.zip</v>
          </cell>
        </row>
        <row r="1977">
          <cell r="A1977" t="str">
            <v>Super Mario Starlight Remix</v>
          </cell>
          <cell r="B1977" t="str">
            <v>Super Mario Starlight Remix</v>
          </cell>
          <cell r="C1977" t="str">
            <v>Gamma V</v>
          </cell>
          <cell r="D1977">
            <v>96</v>
          </cell>
          <cell r="E1977" t="str">
            <v>Newcomer</v>
          </cell>
          <cell r="F1977" t="str">
            <v>Standard</v>
          </cell>
          <cell r="G1977">
            <v>42292</v>
          </cell>
          <cell r="H1977" t="str">
            <v>10060</v>
          </cell>
          <cell r="I1977" t="str">
            <v>https://www.smwcentral.net/?a=details&amp;id=10060&amp;p=section</v>
          </cell>
          <cell r="J1977" t="str">
            <v>https://dl.smwcentral.net/10060/SM%20Starlight%20Remix%20Version%202.1.zip</v>
          </cell>
        </row>
        <row r="1978">
          <cell r="A1978" t="str">
            <v>Super Mario Stole the Souls of the Innocent and Now Must Climb a Tower to Reclaim his Humanity World</v>
          </cell>
          <cell r="B1978" t="str">
            <v>Super Mario Stole the Souls of the Innocent and Now Must Climb a Tower to Reclaim his Humanity World</v>
          </cell>
          <cell r="C1978" t="str">
            <v>Jamie</v>
          </cell>
          <cell r="D1978">
            <v>1</v>
          </cell>
          <cell r="E1978" t="str">
            <v>Master</v>
          </cell>
          <cell r="F1978" t="str">
            <v>Kaizo</v>
          </cell>
          <cell r="G1978">
            <v>45487</v>
          </cell>
          <cell r="H1978" t="str">
            <v>38051</v>
          </cell>
          <cell r="I1978" t="str">
            <v>https://www.smwcentral.net/?a=details&amp;id=38051&amp;p=section</v>
          </cell>
          <cell r="J1978" t="str">
            <v>https://dl.smwcentral.net/38051/Mario%20Climbs%20A%20Tower.zip</v>
          </cell>
        </row>
        <row r="1979">
          <cell r="A1979" t="str">
            <v>Super Mario Super Quest (demo)</v>
          </cell>
          <cell r="B1979" t="str">
            <v>Super Mario Super Quest (demo)</v>
          </cell>
          <cell r="C1979" t="str">
            <v>Greeeen</v>
          </cell>
          <cell r="D1979">
            <v>20</v>
          </cell>
          <cell r="E1979" t="str">
            <v>Casual</v>
          </cell>
          <cell r="F1979" t="str">
            <v>Standard</v>
          </cell>
          <cell r="G1979">
            <v>45980</v>
          </cell>
          <cell r="H1979" t="str">
            <v>41047</v>
          </cell>
          <cell r="I1979" t="str">
            <v>https://www.smwcentral.net/?a=details&amp;id=41047&amp;p=section</v>
          </cell>
          <cell r="J1979" t="str">
            <v>https://dl.smwcentral.net/41047/SMSQ%20demo.zip</v>
          </cell>
        </row>
        <row r="1980">
          <cell r="A1980" t="str">
            <v>Super Mario SuperStar</v>
          </cell>
          <cell r="B1980" t="str">
            <v>Super Mario SuperStar</v>
          </cell>
          <cell r="C1980" t="str">
            <v>Super Mario 64</v>
          </cell>
          <cell r="D1980">
            <v>8</v>
          </cell>
          <cell r="E1980" t="str">
            <v>Casual</v>
          </cell>
          <cell r="F1980" t="str">
            <v>Standard</v>
          </cell>
          <cell r="G1980">
            <v>42209</v>
          </cell>
          <cell r="H1980" t="str">
            <v>9791</v>
          </cell>
          <cell r="I1980" t="str">
            <v>https://www.smwcentral.net/?a=details&amp;id=9791&amp;p=section</v>
          </cell>
          <cell r="J1980" t="str">
            <v>https://dl.smwcentral.net/9791/SMSSW1.zip</v>
          </cell>
        </row>
        <row r="1981">
          <cell r="A1981" t="str">
            <v>Super Mario Tales!</v>
          </cell>
          <cell r="B1981" t="str">
            <v>Super Mario Tales!</v>
          </cell>
          <cell r="C1981" t="str">
            <v>Kobrah</v>
          </cell>
          <cell r="D1981">
            <v>6</v>
          </cell>
          <cell r="E1981" t="str">
            <v>Newcomer</v>
          </cell>
          <cell r="F1981" t="str">
            <v>Standard</v>
          </cell>
          <cell r="G1981">
            <v>41530</v>
          </cell>
          <cell r="H1981" t="str">
            <v>5581</v>
          </cell>
          <cell r="I1981" t="str">
            <v>https://www.smwcentral.net/?a=details&amp;id=5581&amp;p=section</v>
          </cell>
          <cell r="J1981" t="str">
            <v>https://dl.smwcentral.net/5581/Super%20Mario%20Tales%20DEMO.zip</v>
          </cell>
        </row>
        <row r="1982">
          <cell r="A1982" t="str">
            <v>Super Mario The Trip</v>
          </cell>
          <cell r="B1982" t="str">
            <v>Super Mario The Trip</v>
          </cell>
          <cell r="C1982" t="str">
            <v>Sig_AM</v>
          </cell>
          <cell r="D1982">
            <v>75</v>
          </cell>
          <cell r="E1982" t="str">
            <v>Casual</v>
          </cell>
          <cell r="F1982" t="str">
            <v>Standard</v>
          </cell>
          <cell r="G1982">
            <v>44693</v>
          </cell>
          <cell r="H1982" t="str">
            <v>30265</v>
          </cell>
          <cell r="I1982" t="str">
            <v>https://www.smwcentral.net/?a=details&amp;id=30265&amp;p=section</v>
          </cell>
          <cell r="J1982" t="str">
            <v>https://dl.smwcentral.net/30265/Super%20Mario%20The%20Trip.zip</v>
          </cell>
        </row>
        <row r="1983">
          <cell r="A1983" t="str">
            <v>Super Mario Thousand Islands</v>
          </cell>
          <cell r="B1983" t="str">
            <v>Super Mario Thousand Islands</v>
          </cell>
          <cell r="C1983" t="str">
            <v>blueyosh</v>
          </cell>
          <cell r="D1983">
            <v>17</v>
          </cell>
          <cell r="E1983" t="str">
            <v>Newcomer</v>
          </cell>
          <cell r="F1983" t="str">
            <v>Standard</v>
          </cell>
          <cell r="G1983">
            <v>42227</v>
          </cell>
          <cell r="H1983" t="str">
            <v>9841</v>
          </cell>
          <cell r="I1983" t="str">
            <v>https://www.smwcentral.net/?a=details&amp;id=9841&amp;p=section</v>
          </cell>
          <cell r="J1983" t="str">
            <v>https://dl.smwcentral.net/9841/SMTI2.zip</v>
          </cell>
        </row>
        <row r="1984">
          <cell r="A1984" t="str">
            <v>Super Mario TKO</v>
          </cell>
          <cell r="B1984" t="str">
            <v>Super Mario TKO</v>
          </cell>
          <cell r="C1984" t="str">
            <v>Dispari Scuro, Heisanevilgenius</v>
          </cell>
          <cell r="D1984">
            <v>17</v>
          </cell>
          <cell r="E1984" t="str">
            <v>Casual</v>
          </cell>
          <cell r="F1984" t="str">
            <v>Standard</v>
          </cell>
          <cell r="G1984">
            <v>41447</v>
          </cell>
          <cell r="H1984" t="str">
            <v>5038</v>
          </cell>
          <cell r="I1984" t="str">
            <v>https://www.smwcentral.net/?a=details&amp;id=5038&amp;p=section</v>
          </cell>
          <cell r="J1984" t="str">
            <v>https://dl.smwcentral.net/5038/smtko_demo_1.zip</v>
          </cell>
        </row>
        <row r="1985">
          <cell r="A1985" t="str">
            <v>Super Mario Ubs</v>
          </cell>
          <cell r="B1985" t="str">
            <v>Super Mario Ubs</v>
          </cell>
          <cell r="C1985" t="str">
            <v>Ubsje</v>
          </cell>
          <cell r="D1985">
            <v>7</v>
          </cell>
          <cell r="E1985" t="str">
            <v>Casual</v>
          </cell>
          <cell r="F1985" t="str">
            <v>Standard</v>
          </cell>
          <cell r="G1985">
            <v>43029</v>
          </cell>
          <cell r="H1985" t="str">
            <v>16490</v>
          </cell>
          <cell r="I1985" t="str">
            <v>https://www.smwcentral.net/?a=details&amp;id=16490&amp;p=section</v>
          </cell>
          <cell r="J1985" t="str">
            <v>https://dl.smwcentral.net/16490/Super%20mario%20Ubs.zip</v>
          </cell>
        </row>
        <row r="1986">
          <cell r="A1986" t="str">
            <v>Super Mario Ultima</v>
          </cell>
          <cell r="B1986" t="str">
            <v>Super Mario Ultima</v>
          </cell>
          <cell r="C1986" t="str">
            <v>Time Traveler</v>
          </cell>
          <cell r="D1986">
            <v>3</v>
          </cell>
          <cell r="E1986" t="str">
            <v>Intermediate</v>
          </cell>
          <cell r="F1986" t="str">
            <v>Standard</v>
          </cell>
          <cell r="G1986">
            <v>42066</v>
          </cell>
          <cell r="H1986" t="str">
            <v>9808</v>
          </cell>
          <cell r="I1986" t="str">
            <v>https://www.smwcentral.net/?a=details&amp;id=9808&amp;p=section</v>
          </cell>
          <cell r="J1986" t="str">
            <v>https://dl.smwcentral.net/9808/Ultima%20World.zip</v>
          </cell>
        </row>
        <row r="1987">
          <cell r="A1987" t="str">
            <v>Super Mario Ultra World</v>
          </cell>
          <cell r="B1987" t="str">
            <v>Super Mario Ultra World</v>
          </cell>
          <cell r="C1987" t="str">
            <v>Andrew Ultra Gamer</v>
          </cell>
          <cell r="D1987">
            <v>9</v>
          </cell>
          <cell r="E1987" t="str">
            <v>Newcomer</v>
          </cell>
          <cell r="F1987" t="str">
            <v>Standard</v>
          </cell>
          <cell r="G1987">
            <v>44508</v>
          </cell>
          <cell r="H1987" t="str">
            <v>28587</v>
          </cell>
          <cell r="I1987" t="str">
            <v>https://www.smwcentral.net/?a=details&amp;id=28587&amp;p=section</v>
          </cell>
          <cell r="J1987" t="str">
            <v>https://dl.smwcentral.net/28587/Super%20Mario%20Ultra%20World%20Demo.zip</v>
          </cell>
        </row>
        <row r="1988">
          <cell r="A1988" t="str">
            <v>Super Mario Underworld</v>
          </cell>
          <cell r="B1988" t="str">
            <v>Super Mario Underworld</v>
          </cell>
          <cell r="C1988" t="str">
            <v>Golden Yoshi, Uhrix</v>
          </cell>
          <cell r="D1988">
            <v>4</v>
          </cell>
          <cell r="E1988" t="str">
            <v>Casual</v>
          </cell>
          <cell r="F1988" t="str">
            <v>Standard</v>
          </cell>
          <cell r="G1988">
            <v>41530</v>
          </cell>
          <cell r="H1988" t="str">
            <v>5356</v>
          </cell>
          <cell r="I1988" t="str">
            <v>https://www.smwcentral.net/?a=details&amp;id=5356&amp;p=section</v>
          </cell>
          <cell r="J1988" t="str">
            <v>https://dl.smwcentral.net/5356/Super%20Mario%20Underworld-%20Final%20Version.zip</v>
          </cell>
        </row>
        <row r="1989">
          <cell r="A1989" t="str">
            <v>Super Mario Universe [SMWC #9855]</v>
          </cell>
          <cell r="B1989" t="str">
            <v>Super Mario Universe</v>
          </cell>
          <cell r="C1989" t="str">
            <v>Black Crystal Wisher</v>
          </cell>
          <cell r="D1989">
            <v>80</v>
          </cell>
          <cell r="E1989" t="str">
            <v>Casual</v>
          </cell>
          <cell r="F1989" t="str">
            <v>Standard</v>
          </cell>
          <cell r="G1989">
            <v>42236</v>
          </cell>
          <cell r="H1989" t="str">
            <v>9855</v>
          </cell>
          <cell r="I1989" t="str">
            <v>https://www.smwcentral.net/?a=details&amp;id=9855&amp;p=section</v>
          </cell>
          <cell r="J1989" t="str">
            <v>https://dl.smwcentral.net/9855/smu.zip</v>
          </cell>
        </row>
        <row r="1990">
          <cell r="A1990" t="str">
            <v>Super Mario Universe [SMWC #25489]</v>
          </cell>
          <cell r="B1990" t="str">
            <v>Super Mario Universe</v>
          </cell>
          <cell r="C1990" t="str">
            <v>hendog30_</v>
          </cell>
          <cell r="D1990">
            <v>30</v>
          </cell>
          <cell r="E1990" t="str">
            <v>Casual</v>
          </cell>
          <cell r="F1990" t="str">
            <v>Standard</v>
          </cell>
          <cell r="G1990">
            <v>44189</v>
          </cell>
          <cell r="H1990" t="str">
            <v>25489</v>
          </cell>
          <cell r="I1990" t="str">
            <v>https://www.smwcentral.net/?a=details&amp;id=25489&amp;p=section</v>
          </cell>
          <cell r="J1990" t="str">
            <v>https://dl.smwcentral.net/25489/Super%20Mario%20Universe.zip</v>
          </cell>
        </row>
        <row r="1991">
          <cell r="A1991" t="str">
            <v>Super Mario Universe 2: The Adventure Resumes</v>
          </cell>
          <cell r="B1991" t="str">
            <v>Super Mario Universe 2: The Adventure Resumes</v>
          </cell>
          <cell r="C1991" t="str">
            <v>Black Crystal Wisher, Marino.EXE</v>
          </cell>
          <cell r="D1991">
            <v>62</v>
          </cell>
          <cell r="E1991" t="str">
            <v>Newcomer</v>
          </cell>
          <cell r="F1991" t="str">
            <v>Standard</v>
          </cell>
          <cell r="G1991">
            <v>42213</v>
          </cell>
          <cell r="H1991" t="str">
            <v>9817</v>
          </cell>
          <cell r="I1991" t="str">
            <v>https://www.smwcentral.net/?a=details&amp;id=9817&amp;p=section</v>
          </cell>
          <cell r="J1991" t="str">
            <v>https://dl.smwcentral.net/9817/Super%20Mario%20Universe%20II%20-%20The%20Adventure%20Resumes.zip</v>
          </cell>
        </row>
        <row r="1992">
          <cell r="A1992" t="str">
            <v>Super Mario Universe Deluxe</v>
          </cell>
          <cell r="B1992" t="str">
            <v>Super Mario Universe Deluxe</v>
          </cell>
          <cell r="C1992" t="str">
            <v>hendog30_</v>
          </cell>
          <cell r="D1992">
            <v>40</v>
          </cell>
          <cell r="E1992" t="str">
            <v>Casual</v>
          </cell>
          <cell r="F1992" t="str">
            <v>Standard</v>
          </cell>
          <cell r="G1992">
            <v>44621</v>
          </cell>
          <cell r="H1992" t="str">
            <v>29968</v>
          </cell>
          <cell r="I1992" t="str">
            <v>https://www.smwcentral.net/?a=details&amp;id=29968&amp;p=section</v>
          </cell>
          <cell r="J1992" t="str">
            <v>https://dl.smwcentral.net/29968/SuperMarioUniverseDELUXE.zip</v>
          </cell>
        </row>
        <row r="1993">
          <cell r="A1993" t="str">
            <v>Super Mario Versus Bowser's New Army</v>
          </cell>
          <cell r="B1993" t="str">
            <v>Super Mario Versus Bowser's New Army</v>
          </cell>
          <cell r="C1993" t="str">
            <v>yogui</v>
          </cell>
          <cell r="D1993">
            <v>19</v>
          </cell>
          <cell r="E1993" t="str">
            <v>Casual</v>
          </cell>
          <cell r="F1993" t="str">
            <v>Standard</v>
          </cell>
          <cell r="G1993">
            <v>41508</v>
          </cell>
          <cell r="H1993" t="str">
            <v>5198</v>
          </cell>
          <cell r="I1993" t="str">
            <v>https://www.smwcentral.net/?a=details&amp;id=5198&amp;p=section</v>
          </cell>
          <cell r="J1993" t="str">
            <v>https://dl.smwcentral.net/5198/SuperMarioVersusBowsersNewArmy.zip</v>
          </cell>
        </row>
        <row r="1994">
          <cell r="A1994" t="str">
            <v>Super Mario World (Super Mario Bros. 4) : A Trip Full Of Fun!</v>
          </cell>
          <cell r="B1994" t="str">
            <v>Super Mario World (Super Mario Bros. 4) : A Trip Full Of Fun!</v>
          </cell>
          <cell r="C1994" t="str">
            <v>Dark Prince</v>
          </cell>
          <cell r="D1994">
            <v>5</v>
          </cell>
          <cell r="E1994" t="str">
            <v>Casual</v>
          </cell>
          <cell r="F1994" t="str">
            <v>Standard</v>
          </cell>
          <cell r="G1994">
            <v>43536</v>
          </cell>
          <cell r="H1994" t="str">
            <v>19293</v>
          </cell>
          <cell r="I1994" t="str">
            <v>https://www.smwcentral.net/?a=details&amp;id=19293&amp;p=section</v>
          </cell>
          <cell r="J1994" t="str">
            <v>https://dl.smwcentral.net/19293/smw%20smb4%20a%20trip%20full%20of%20fun%20fixed%2Cagain%2Cyes.zip</v>
          </cell>
        </row>
        <row r="1995">
          <cell r="A1995" t="str">
            <v>Super Mario World + Land</v>
          </cell>
          <cell r="B1995" t="str">
            <v>Super Mario World + Land</v>
          </cell>
          <cell r="C1995" t="str">
            <v>Bioma</v>
          </cell>
          <cell r="D1995">
            <v>96</v>
          </cell>
          <cell r="E1995" t="str">
            <v>Casual</v>
          </cell>
          <cell r="F1995" t="str">
            <v>Standard</v>
          </cell>
          <cell r="G1995">
            <v>42841</v>
          </cell>
          <cell r="H1995" t="str">
            <v>15300</v>
          </cell>
          <cell r="I1995" t="str">
            <v>https://www.smwcentral.net/?a=details&amp;id=15300&amp;p=section</v>
          </cell>
          <cell r="J1995" t="str">
            <v>https://dl.smwcentral.net/15300/SMWL.zip</v>
          </cell>
        </row>
        <row r="1996">
          <cell r="A1996" t="str">
            <v>Super Mario World - Bowser's Last Revenge</v>
          </cell>
          <cell r="B1996" t="str">
            <v>Super Mario World - Bowser's Last Revenge</v>
          </cell>
          <cell r="C1996" t="str">
            <v>BLR_Team, Systrem Studios</v>
          </cell>
          <cell r="D1996">
            <v>8</v>
          </cell>
          <cell r="E1996" t="str">
            <v>Newcomer</v>
          </cell>
          <cell r="F1996" t="str">
            <v>Standard</v>
          </cell>
          <cell r="G1996">
            <v>43031</v>
          </cell>
          <cell r="H1996" t="str">
            <v>16452</v>
          </cell>
          <cell r="I1996" t="str">
            <v>https://www.smwcentral.net/?a=details&amp;id=16452&amp;p=section</v>
          </cell>
          <cell r="J1996" t="str">
            <v>https://dl.smwcentral.net/16452/SMW%20-%20Bowser%27s%20Last%20Revenge%20DEMO%202.0.zip</v>
          </cell>
        </row>
        <row r="1997">
          <cell r="A1997" t="str">
            <v>Super Mario World - Bowser's Return</v>
          </cell>
          <cell r="B1997" t="str">
            <v>Super Mario World - Bowser's Return</v>
          </cell>
          <cell r="C1997" t="str">
            <v>Ice Man, ghettoyouth</v>
          </cell>
          <cell r="D1997">
            <v>60</v>
          </cell>
          <cell r="E1997" t="str">
            <v>Casual</v>
          </cell>
          <cell r="F1997" t="str">
            <v>Standard</v>
          </cell>
          <cell r="G1997">
            <v>46221</v>
          </cell>
          <cell r="H1997" t="str">
            <v>42676</v>
          </cell>
          <cell r="I1997" t="str">
            <v>https://www.smwcentral.net/?a=details&amp;id=42676&amp;p=section</v>
          </cell>
          <cell r="J1997" t="str">
            <v>https://dl.smwcentral.net/42676/Super%20Mario%20World%20-%20Bowser%27s%20Return%20%282026%20Version%20-%20Update%202%29.zip</v>
          </cell>
        </row>
        <row r="1998">
          <cell r="A1998" t="str">
            <v>Super Mario World - Bowser's Return Redux</v>
          </cell>
          <cell r="B1998" t="str">
            <v>Super Mario World - Bowser's Return Redux</v>
          </cell>
          <cell r="C1998" t="str">
            <v>Ice Man</v>
          </cell>
          <cell r="D1998">
            <v>62</v>
          </cell>
          <cell r="E1998" t="str">
            <v>Casual</v>
          </cell>
          <cell r="F1998" t="str">
            <v>Standard</v>
          </cell>
          <cell r="G1998">
            <v>46191</v>
          </cell>
          <cell r="H1998" t="str">
            <v>42380</v>
          </cell>
          <cell r="I1998" t="str">
            <v>https://www.smwcentral.net/?a=details&amp;id=42380&amp;p=section</v>
          </cell>
          <cell r="J1998" t="str">
            <v>https://dl.smwcentral.net/42380/Super%20Mario%20World%20-%20Bowser%27s%20Return%20Redux.zip</v>
          </cell>
        </row>
        <row r="1999">
          <cell r="A1999" t="str">
            <v>Super Mario World - Bulgarian Translation</v>
          </cell>
          <cell r="B1999" t="str">
            <v>Super Mario World - Bulgarian Translation</v>
          </cell>
          <cell r="C1999" t="str">
            <v>Azzara, DKL, KaptainAlexander</v>
          </cell>
          <cell r="D1999">
            <v>96</v>
          </cell>
          <cell r="E1999" t="str">
            <v>Casual</v>
          </cell>
          <cell r="F1999" t="str">
            <v>Standard</v>
          </cell>
          <cell r="G1999">
            <v>45132</v>
          </cell>
          <cell r="H1999" t="str">
            <v>33731</v>
          </cell>
          <cell r="I1999" t="str">
            <v>https://www.smwcentral.net/?a=details&amp;id=33731&amp;p=section</v>
          </cell>
          <cell r="J1999" t="str">
            <v>https://dl.smwcentral.net/33731/mario-world-bg-v3.1.zip</v>
          </cell>
        </row>
        <row r="2000">
          <cell r="A2000" t="str">
            <v>Super Mario World - Final Mysterious Quest</v>
          </cell>
          <cell r="B2000" t="str">
            <v>Super Mario World - Final Mysterious Quest</v>
          </cell>
          <cell r="C2000" t="str">
            <v>Superwan</v>
          </cell>
          <cell r="D2000">
            <v>53</v>
          </cell>
          <cell r="E2000" t="str">
            <v>Intermediate</v>
          </cell>
          <cell r="F2000" t="str">
            <v>Standard</v>
          </cell>
          <cell r="G2000">
            <v>44037</v>
          </cell>
          <cell r="H2000" t="str">
            <v>23494</v>
          </cell>
          <cell r="I2000" t="str">
            <v>https://www.smwcentral.net/?a=details&amp;id=23494&amp;p=section</v>
          </cell>
          <cell r="J2000" t="str">
            <v>https://dl.smwcentral.net/23494/SMWFMQ.zip</v>
          </cell>
        </row>
        <row r="2001">
          <cell r="A2001" t="str">
            <v>Super Mario World - Gamergull's Version</v>
          </cell>
          <cell r="B2001" t="str">
            <v>Super Mario World - Gamergull's Version</v>
          </cell>
          <cell r="C2001" t="str">
            <v>Gamergull</v>
          </cell>
          <cell r="D2001">
            <v>33</v>
          </cell>
          <cell r="E2001" t="str">
            <v>Newcomer</v>
          </cell>
          <cell r="F2001" t="str">
            <v>Standard</v>
          </cell>
          <cell r="G2001">
            <v>42304</v>
          </cell>
          <cell r="H2001" t="str">
            <v>10192</v>
          </cell>
          <cell r="I2001" t="str">
            <v>https://www.smwcentral.net/?a=details&amp;id=10192&amp;p=section</v>
          </cell>
          <cell r="J2001" t="str">
            <v>https://dl.smwcentral.net/10192/SMWGGV.zip</v>
          </cell>
        </row>
        <row r="2002">
          <cell r="A2002" t="str">
            <v>Super Mario World - Hack Project</v>
          </cell>
          <cell r="B2002" t="str">
            <v>Super Mario World - Hack Project</v>
          </cell>
          <cell r="C2002" t="str">
            <v>EvilGames</v>
          </cell>
          <cell r="D2002">
            <v>6</v>
          </cell>
          <cell r="E2002" t="str">
            <v>Newcomer</v>
          </cell>
          <cell r="F2002" t="str">
            <v>Standard</v>
          </cell>
          <cell r="G2002">
            <v>42339</v>
          </cell>
          <cell r="H2002" t="str">
            <v>10166</v>
          </cell>
          <cell r="I2002" t="str">
            <v>https://www.smwcentral.net/?a=details&amp;id=10166&amp;p=section</v>
          </cell>
          <cell r="J2002" t="str">
            <v>https://dl.smwcentral.net/10166/SMW-HC_Demo2_069a.zip</v>
          </cell>
        </row>
        <row r="2003">
          <cell r="A2003" t="str">
            <v>Super Mario World - Koopa Revenge</v>
          </cell>
          <cell r="B2003" t="str">
            <v>Super Mario World - Koopa Revenge</v>
          </cell>
          <cell r="C2003" t="str">
            <v>Maxderdachs</v>
          </cell>
          <cell r="D2003">
            <v>20</v>
          </cell>
          <cell r="E2003" t="str">
            <v>Newcomer</v>
          </cell>
          <cell r="F2003" t="str">
            <v>Standard</v>
          </cell>
          <cell r="G2003">
            <v>42214</v>
          </cell>
          <cell r="H2003" t="str">
            <v>9787</v>
          </cell>
          <cell r="I2003" t="str">
            <v>https://www.smwcentral.net/?a=details&amp;id=9787&amp;p=section</v>
          </cell>
          <cell r="J2003" t="str">
            <v>https://dl.smwcentral.net/9787/SMW%20Koopa%20revenge.zip</v>
          </cell>
        </row>
        <row r="2004">
          <cell r="A2004" t="str">
            <v>Super Mario World - Leaving Dinosaur Island</v>
          </cell>
          <cell r="B2004" t="str">
            <v>Super Mario World - Leaving Dinosaur Island</v>
          </cell>
          <cell r="C2004" t="str">
            <v>Chromite</v>
          </cell>
          <cell r="D2004">
            <v>5</v>
          </cell>
          <cell r="E2004" t="str">
            <v>Casual</v>
          </cell>
          <cell r="F2004" t="str">
            <v>Standard</v>
          </cell>
          <cell r="G2004">
            <v>42277</v>
          </cell>
          <cell r="H2004" t="str">
            <v>9962</v>
          </cell>
          <cell r="I2004" t="str">
            <v>https://www.smwcentral.net/?a=details&amp;id=9962&amp;p=section</v>
          </cell>
          <cell r="J2004" t="str">
            <v>https://dl.smwcentral.net/9962/SMW-LDI.zip</v>
          </cell>
        </row>
        <row r="2005">
          <cell r="A2005" t="str">
            <v>Super Mario World - Luigi's World Edition</v>
          </cell>
          <cell r="B2005" t="str">
            <v>Super Mario World - Luigi's World Edition</v>
          </cell>
          <cell r="C2005" t="str">
            <v>Random_Josh</v>
          </cell>
          <cell r="D2005">
            <v>19</v>
          </cell>
          <cell r="E2005" t="str">
            <v>Expert</v>
          </cell>
          <cell r="F2005" t="str">
            <v>Kaizo</v>
          </cell>
          <cell r="G2005">
            <v>42818</v>
          </cell>
          <cell r="H2005" t="str">
            <v>15266</v>
          </cell>
          <cell r="I2005" t="str">
            <v>https://www.smwcentral.net/?a=details&amp;id=15266&amp;p=section</v>
          </cell>
          <cell r="J2005" t="str">
            <v>https://dl.smwcentral.net/15266/SMW%20LWE.zip</v>
          </cell>
        </row>
        <row r="2006">
          <cell r="A2006" t="str">
            <v>Super Mario World - Mario's Expedition</v>
          </cell>
          <cell r="B2006" t="str">
            <v>Super Mario World - Mario's Expedition</v>
          </cell>
          <cell r="C2006" t="str">
            <v>Domokun007</v>
          </cell>
          <cell r="D2006">
            <v>1</v>
          </cell>
          <cell r="E2006" t="str">
            <v>Advanced</v>
          </cell>
          <cell r="F2006" t="str">
            <v>Standard</v>
          </cell>
          <cell r="G2006">
            <v>45667</v>
          </cell>
          <cell r="H2006" t="str">
            <v>38649</v>
          </cell>
          <cell r="I2006" t="str">
            <v>https://www.smwcentral.net/?a=details&amp;id=38649&amp;p=section</v>
          </cell>
          <cell r="J2006" t="str">
            <v>https://dl.smwcentral.net/38649/Super%20Mario%20World%20-%20Mario%27s%20Expedition%20v1.4.zip</v>
          </cell>
        </row>
        <row r="2007">
          <cell r="A2007" t="str">
            <v>Super Mario World - Mushroom Revolution</v>
          </cell>
          <cell r="B2007" t="str">
            <v>Super Mario World - Mushroom Revolution</v>
          </cell>
          <cell r="C2007" t="str">
            <v>PMH</v>
          </cell>
          <cell r="D2007">
            <v>23</v>
          </cell>
          <cell r="E2007" t="str">
            <v>Casual</v>
          </cell>
          <cell r="F2007" t="str">
            <v>Standard</v>
          </cell>
          <cell r="G2007">
            <v>45377</v>
          </cell>
          <cell r="H2007" t="str">
            <v>36862</v>
          </cell>
          <cell r="I2007" t="str">
            <v>https://www.smwcentral.net/?a=details&amp;id=36862&amp;p=section</v>
          </cell>
          <cell r="J2007" t="str">
            <v>https://dl.smwcentral.net/36862/SMW%20Mushroom%20Revolution%20%28Demo%202.5%29.zip</v>
          </cell>
        </row>
        <row r="2008">
          <cell r="A2008" t="str">
            <v>Super Mario World - Neeberz's Hack</v>
          </cell>
          <cell r="B2008" t="str">
            <v>Super Mario World - Neeberz's Hack</v>
          </cell>
          <cell r="C2008" t="str">
            <v>Neeberz</v>
          </cell>
          <cell r="D2008">
            <v>26</v>
          </cell>
          <cell r="E2008" t="str">
            <v>Newcomer</v>
          </cell>
          <cell r="F2008" t="str">
            <v>Standard</v>
          </cell>
          <cell r="G2008">
            <v>44186</v>
          </cell>
          <cell r="H2008" t="str">
            <v>25462</v>
          </cell>
          <cell r="I2008" t="str">
            <v>https://www.smwcentral.net/?a=details&amp;id=25462&amp;p=section</v>
          </cell>
          <cell r="J2008" t="str">
            <v>https://dl.smwcentral.net/25462/Super%20Mario%20World%20-%20Neeberz%27s%20Hack.zip</v>
          </cell>
        </row>
        <row r="2009">
          <cell r="A2009" t="str">
            <v>Super Mario World - Parodian Art Edition</v>
          </cell>
          <cell r="B2009" t="str">
            <v>Super Mario World - Parodian Art Edition</v>
          </cell>
          <cell r="C2009" t="str">
            <v>Parodian Dark</v>
          </cell>
          <cell r="D2009">
            <v>9</v>
          </cell>
          <cell r="E2009" t="str">
            <v>Casual</v>
          </cell>
          <cell r="F2009" t="str">
            <v>Standard</v>
          </cell>
          <cell r="G2009">
            <v>44940</v>
          </cell>
          <cell r="H2009" t="str">
            <v>32917</v>
          </cell>
          <cell r="I2009" t="str">
            <v>https://www.smwcentral.net/?a=details&amp;id=32917&amp;p=section</v>
          </cell>
          <cell r="J2009" t="str">
            <v>https://dl.smwcentral.net/32917/SMWPAE.zip</v>
          </cell>
        </row>
        <row r="2010">
          <cell r="A2010" t="str">
            <v>Super Mario World - Some Random Adventure</v>
          </cell>
          <cell r="B2010" t="str">
            <v>Super Mario World - Some Random Adventure</v>
          </cell>
          <cell r="C2010" t="str">
            <v>TheSpeedyJay</v>
          </cell>
          <cell r="D2010">
            <v>15</v>
          </cell>
          <cell r="E2010" t="str">
            <v>Casual</v>
          </cell>
          <cell r="F2010" t="str">
            <v>Standard</v>
          </cell>
          <cell r="G2010">
            <v>43560</v>
          </cell>
          <cell r="H2010" t="str">
            <v>19535</v>
          </cell>
          <cell r="I2010" t="str">
            <v>https://www.smwcentral.net/?a=details&amp;id=19535&amp;p=section</v>
          </cell>
          <cell r="J2010" t="str">
            <v>https://dl.smwcentral.net/19535/Super%20Mario%20World%20-%20Some%20Random%20Adventure%20%28Demo%202%29.zip</v>
          </cell>
        </row>
        <row r="2011">
          <cell r="A2011" t="str">
            <v>Super Mario World - The 4 Elemental Jewels</v>
          </cell>
          <cell r="B2011" t="str">
            <v>Super Mario World - The 4 Elemental Jewels</v>
          </cell>
          <cell r="C2011" t="str">
            <v>SacredSilverYoshi</v>
          </cell>
          <cell r="D2011">
            <v>8</v>
          </cell>
          <cell r="E2011" t="str">
            <v>Casual</v>
          </cell>
          <cell r="F2011" t="str">
            <v>Standard</v>
          </cell>
          <cell r="G2011">
            <v>42322</v>
          </cell>
          <cell r="H2011" t="str">
            <v>10085</v>
          </cell>
          <cell r="I2011" t="str">
            <v>https://www.smwcentral.net/?a=details&amp;id=10085&amp;p=section</v>
          </cell>
          <cell r="J2011" t="str">
            <v>https://dl.smwcentral.net/10085/T4J6-23-2010.zip</v>
          </cell>
        </row>
        <row r="2012">
          <cell r="A2012" t="str">
            <v>Super Mario World - The search of Luigi</v>
          </cell>
          <cell r="B2012" t="str">
            <v>Super Mario World - The search of Luigi</v>
          </cell>
          <cell r="C2012" t="str">
            <v>tmauri</v>
          </cell>
          <cell r="D2012">
            <v>7</v>
          </cell>
          <cell r="E2012" t="str">
            <v>Casual</v>
          </cell>
          <cell r="F2012" t="str">
            <v>Standard</v>
          </cell>
          <cell r="G2012">
            <v>43038</v>
          </cell>
          <cell r="H2012" t="str">
            <v>16522</v>
          </cell>
          <cell r="I2012" t="str">
            <v>https://www.smwcentral.net/?a=details&amp;id=16522&amp;p=section</v>
          </cell>
          <cell r="J2012" t="str">
            <v>https://dl.smwcentral.net/16522/SMWTSOL.zip</v>
          </cell>
        </row>
        <row r="2013">
          <cell r="A2013" t="str">
            <v>Super Mario World - The Secret Levels</v>
          </cell>
          <cell r="B2013" t="str">
            <v>Super Mario World - The Secret Levels</v>
          </cell>
          <cell r="C2013" t="str">
            <v>JOSHUAPLAYER2002</v>
          </cell>
          <cell r="D2013">
            <v>3</v>
          </cell>
          <cell r="E2013" t="str">
            <v>Newcomer</v>
          </cell>
          <cell r="F2013" t="str">
            <v>Standard</v>
          </cell>
          <cell r="G2013">
            <v>42781</v>
          </cell>
          <cell r="H2013" t="str">
            <v>15187</v>
          </cell>
          <cell r="I2013" t="str">
            <v>https://www.smwcentral.net/?a=details&amp;id=15187&amp;p=section</v>
          </cell>
          <cell r="J2013" t="str">
            <v>https://dl.smwcentral.net/15187/Super%20Mario%20World.The%20Secret%20Levels.zip</v>
          </cell>
        </row>
        <row r="2014">
          <cell r="A2014" t="str">
            <v>Super Mario World 1.5</v>
          </cell>
          <cell r="B2014" t="str">
            <v>Super Mario World 1.5</v>
          </cell>
          <cell r="C2014" t="str">
            <v>edit1754</v>
          </cell>
          <cell r="D2014">
            <v>66</v>
          </cell>
          <cell r="E2014" t="str">
            <v>Newcomer</v>
          </cell>
          <cell r="F2014" t="str">
            <v>Standard</v>
          </cell>
          <cell r="G2014">
            <v>42210</v>
          </cell>
          <cell r="H2014" t="str">
            <v>9853</v>
          </cell>
          <cell r="I2014" t="str">
            <v>https://www.smwcentral.net/?a=details&amp;id=9853&amp;p=section</v>
          </cell>
          <cell r="J2014" t="str">
            <v>https://dl.smwcentral.net/9853/SMW1.5.zip</v>
          </cell>
        </row>
        <row r="2015">
          <cell r="A2015" t="str">
            <v>Super Mario World 2</v>
          </cell>
          <cell r="B2015" t="str">
            <v>Super Mario World 2</v>
          </cell>
          <cell r="C2015" t="str">
            <v>Adam</v>
          </cell>
          <cell r="D2015">
            <v>7</v>
          </cell>
          <cell r="E2015" t="str">
            <v>Newcomer</v>
          </cell>
          <cell r="F2015" t="str">
            <v>Standard</v>
          </cell>
          <cell r="G2015">
            <v>41451</v>
          </cell>
          <cell r="H2015" t="str">
            <v>5237</v>
          </cell>
          <cell r="I2015" t="str">
            <v>https://www.smwcentral.net/?a=details&amp;id=5237&amp;p=section</v>
          </cell>
          <cell r="J2015" t="str">
            <v>https://dl.smwcentral.net/5237/SMW2%20Demo.zip</v>
          </cell>
        </row>
        <row r="2016">
          <cell r="A2016" t="str">
            <v>Super Mario World 2021 (PT-BR) + (USA)</v>
          </cell>
          <cell r="B2016" t="str">
            <v>Super Mario World 2021 (PT-BR) + (USA)</v>
          </cell>
          <cell r="C2016" t="str">
            <v>edu_dyck</v>
          </cell>
          <cell r="D2016">
            <v>92</v>
          </cell>
          <cell r="E2016" t="str">
            <v>Casual</v>
          </cell>
          <cell r="F2016" t="str">
            <v>Standard</v>
          </cell>
          <cell r="G2016">
            <v>44347</v>
          </cell>
          <cell r="H2016" t="str">
            <v>26444</v>
          </cell>
          <cell r="I2016" t="str">
            <v>https://www.smwcentral.net/?a=details&amp;id=26444&amp;p=section</v>
          </cell>
          <cell r="J2016" t="str">
            <v>https://dl.smwcentral.net/26444/Super%20Mario%20World%202021.zip</v>
          </cell>
        </row>
        <row r="2017">
          <cell r="A2017" t="str">
            <v>Super Mario World 2025</v>
          </cell>
          <cell r="B2017" t="str">
            <v>Super Mario World 2025</v>
          </cell>
          <cell r="C2017" t="str">
            <v>Hamilton64</v>
          </cell>
          <cell r="D2017">
            <v>93</v>
          </cell>
          <cell r="E2017" t="str">
            <v>Casual</v>
          </cell>
          <cell r="F2017" t="str">
            <v>Standard</v>
          </cell>
          <cell r="G2017">
            <v>45760</v>
          </cell>
          <cell r="H2017" t="str">
            <v>39482</v>
          </cell>
          <cell r="I2017" t="str">
            <v>https://www.smwcentral.net/?a=details&amp;id=39482&amp;p=section</v>
          </cell>
          <cell r="J2017" t="str">
            <v>https://dl.smwcentral.net/39482/Super%20Mario%20World%202025.zip</v>
          </cell>
        </row>
        <row r="2018">
          <cell r="A2018" t="str">
            <v>Super Mario World 3 - A whole new world</v>
          </cell>
          <cell r="B2018" t="str">
            <v>Super Mario World 3 - A whole new world</v>
          </cell>
          <cell r="C2018" t="str">
            <v>Easy Difficulty</v>
          </cell>
          <cell r="D2018">
            <v>44</v>
          </cell>
          <cell r="E2018" t="str">
            <v>Intermediate</v>
          </cell>
          <cell r="F2018" t="str">
            <v>Standard</v>
          </cell>
          <cell r="G2018">
            <v>44520</v>
          </cell>
          <cell r="H2018" t="str">
            <v>28563</v>
          </cell>
          <cell r="I2018" t="str">
            <v>https://www.smwcentral.net/?a=details&amp;id=28563&amp;p=section</v>
          </cell>
          <cell r="J2018" t="str">
            <v>https://dl.smwcentral.net/28563/SMW3.zip</v>
          </cell>
        </row>
        <row r="2019">
          <cell r="A2019" t="str">
            <v>Super Mario World 3 - Bowser's Revenge</v>
          </cell>
          <cell r="B2019" t="str">
            <v>Super Mario World 3 - Bowser's Revenge</v>
          </cell>
          <cell r="C2019" t="str">
            <v>thekenbaum</v>
          </cell>
          <cell r="D2019">
            <v>8</v>
          </cell>
          <cell r="E2019" t="str">
            <v>Newcomer</v>
          </cell>
          <cell r="F2019" t="str">
            <v>Standard</v>
          </cell>
          <cell r="G2019">
            <v>42308</v>
          </cell>
          <cell r="H2019" t="str">
            <v>10138</v>
          </cell>
          <cell r="I2019" t="str">
            <v>https://www.smwcentral.net/?a=details&amp;id=10138&amp;p=section</v>
          </cell>
          <cell r="J2019" t="str">
            <v>https://dl.smwcentral.net/10138/Super%20Mario%20World%20patch.zip</v>
          </cell>
        </row>
        <row r="2020">
          <cell r="A2020" t="str">
            <v>Super Mario World 3: The Koopas Strike Back</v>
          </cell>
          <cell r="B2020" t="str">
            <v>Super Mario World 3: The Koopas Strike Back</v>
          </cell>
          <cell r="C2020" t="str">
            <v>RZ1</v>
          </cell>
          <cell r="D2020">
            <v>29</v>
          </cell>
          <cell r="E2020" t="str">
            <v>Intermediate</v>
          </cell>
          <cell r="F2020" t="str">
            <v>Standard</v>
          </cell>
          <cell r="G2020">
            <v>44675</v>
          </cell>
          <cell r="H2020" t="str">
            <v>30565</v>
          </cell>
          <cell r="I2020" t="str">
            <v>https://www.smwcentral.net/?a=details&amp;id=30565&amp;p=section</v>
          </cell>
          <cell r="J2020" t="str">
            <v>https://dl.smwcentral.net/30565/SMW3%20-%20TKSB%20v1.06.zip</v>
          </cell>
        </row>
        <row r="2021">
          <cell r="A2021" t="str">
            <v>Super Mario World 3: The Universe's Star!</v>
          </cell>
          <cell r="B2021" t="str">
            <v>Super Mario World 3: The Universe's Star!</v>
          </cell>
          <cell r="C2021" t="str">
            <v>mariocool1999</v>
          </cell>
          <cell r="D2021">
            <v>10</v>
          </cell>
          <cell r="E2021" t="str">
            <v>Newcomer</v>
          </cell>
          <cell r="F2021" t="str">
            <v>Standard</v>
          </cell>
          <cell r="G2021">
            <v>41542</v>
          </cell>
          <cell r="H2021" t="str">
            <v>5245</v>
          </cell>
          <cell r="I2021" t="str">
            <v>https://www.smwcentral.net/?a=details&amp;id=5245&amp;p=section</v>
          </cell>
          <cell r="J2021" t="str">
            <v>https://dl.smwcentral.net/5245/Hack.zip</v>
          </cell>
        </row>
        <row r="2022">
          <cell r="A2022" t="str">
            <v>Super Mario World 4: The Shining Super Star</v>
          </cell>
          <cell r="B2022" t="str">
            <v>Super Mario World 4: The Shining Super Star</v>
          </cell>
          <cell r="C2022" t="str">
            <v>Super Buzzy Yoshi</v>
          </cell>
          <cell r="D2022">
            <v>6</v>
          </cell>
          <cell r="E2022" t="str">
            <v>Casual</v>
          </cell>
          <cell r="F2022" t="str">
            <v>Standard</v>
          </cell>
          <cell r="G2022">
            <v>43637</v>
          </cell>
          <cell r="H2022" t="str">
            <v>20259</v>
          </cell>
          <cell r="I2022" t="str">
            <v>https://www.smwcentral.net/?a=details&amp;id=20259&amp;p=section</v>
          </cell>
          <cell r="J2022" t="str">
            <v>https://dl.smwcentral.net/20259/SMW4.zip</v>
          </cell>
        </row>
        <row r="2023">
          <cell r="A2023" t="str">
            <v>Super Mario World 64</v>
          </cell>
          <cell r="B2023" t="str">
            <v>Super Mario World 64</v>
          </cell>
          <cell r="C2023" t="str">
            <v>XLer8</v>
          </cell>
          <cell r="D2023">
            <v>1</v>
          </cell>
          <cell r="E2023" t="str">
            <v>Casual</v>
          </cell>
          <cell r="F2023" t="str">
            <v>Standard</v>
          </cell>
          <cell r="G2023">
            <v>44886</v>
          </cell>
          <cell r="H2023" t="str">
            <v>32569</v>
          </cell>
          <cell r="I2023" t="str">
            <v>https://www.smwcentral.net/?a=details&amp;id=32569&amp;p=section</v>
          </cell>
          <cell r="J2023" t="str">
            <v>https://dl.smwcentral.net/32569/SuperMarioWorld64-DEMO.zip</v>
          </cell>
        </row>
        <row r="2024">
          <cell r="A2024" t="str">
            <v>Super Mario World Adventure</v>
          </cell>
          <cell r="B2024" t="str">
            <v>Super Mario World Adventure</v>
          </cell>
          <cell r="C2024" t="str">
            <v>Gregor</v>
          </cell>
          <cell r="D2024">
            <v>7</v>
          </cell>
          <cell r="E2024" t="str">
            <v>Casual</v>
          </cell>
          <cell r="F2024" t="str">
            <v>Standard</v>
          </cell>
          <cell r="G2024">
            <v>43028</v>
          </cell>
          <cell r="H2024" t="str">
            <v>16483</v>
          </cell>
          <cell r="I2024" t="str">
            <v>https://www.smwcentral.net/?a=details&amp;id=16483&amp;p=section</v>
          </cell>
          <cell r="J2024" t="str">
            <v>https://dl.smwcentral.net/16483/smwa.zip</v>
          </cell>
        </row>
        <row r="2025">
          <cell r="A2025" t="str">
            <v>Super Mario World ALPHA 2</v>
          </cell>
          <cell r="B2025" t="str">
            <v>Super Mario World ALPHA 2</v>
          </cell>
          <cell r="C2025" t="str">
            <v>tunest</v>
          </cell>
          <cell r="D2025">
            <v>76</v>
          </cell>
          <cell r="E2025" t="str">
            <v>Casual</v>
          </cell>
          <cell r="F2025" t="str">
            <v>Standard</v>
          </cell>
          <cell r="G2025">
            <v>42330</v>
          </cell>
          <cell r="H2025" t="str">
            <v>10056</v>
          </cell>
          <cell r="I2025" t="str">
            <v>https://www.smwcentral.net/?a=details&amp;id=10056&amp;p=section</v>
          </cell>
          <cell r="J2025" t="str">
            <v>https://dl.smwcentral.net/10056/SMWAlpha%202demo3.zip</v>
          </cell>
        </row>
        <row r="2026">
          <cell r="A2026" t="str">
            <v>Super Mario World and Beyond</v>
          </cell>
          <cell r="B2026" t="str">
            <v>Super Mario World and Beyond</v>
          </cell>
          <cell r="C2026" t="str">
            <v>Tox</v>
          </cell>
          <cell r="D2026">
            <v>5</v>
          </cell>
          <cell r="E2026" t="str">
            <v>Casual</v>
          </cell>
          <cell r="F2026" t="str">
            <v>Standard</v>
          </cell>
          <cell r="G2026">
            <v>42843</v>
          </cell>
          <cell r="H2026" t="str">
            <v>15465</v>
          </cell>
          <cell r="I2026" t="str">
            <v>https://www.smwcentral.net/?a=details&amp;id=15465&amp;p=section</v>
          </cell>
          <cell r="J2026" t="str">
            <v>https://dl.smwcentral.net/15465/Super%20Mario%20World%20and%20Beyond.zip</v>
          </cell>
        </row>
        <row r="2027">
          <cell r="A2027" t="str">
            <v>Super Mario World And the 8 jars</v>
          </cell>
          <cell r="B2027" t="str">
            <v>Super Mario World And the 8 jars</v>
          </cell>
          <cell r="C2027" t="str">
            <v>Mario is the best</v>
          </cell>
          <cell r="D2027">
            <v>9</v>
          </cell>
          <cell r="E2027" t="str">
            <v>Casual</v>
          </cell>
          <cell r="F2027" t="str">
            <v>Standard</v>
          </cell>
          <cell r="G2027">
            <v>44043</v>
          </cell>
          <cell r="H2027" t="str">
            <v>24029</v>
          </cell>
          <cell r="I2027" t="str">
            <v>https://www.smwcentral.net/?a=details&amp;id=24029&amp;p=section</v>
          </cell>
          <cell r="J2027" t="str">
            <v>https://dl.smwcentral.net/24029/7jars_new.zip</v>
          </cell>
        </row>
        <row r="2028">
          <cell r="A2028" t="str">
            <v>Super Mario World and the Bois!</v>
          </cell>
          <cell r="B2028" t="str">
            <v>Super Mario World and the Bois!</v>
          </cell>
          <cell r="C2028" t="str">
            <v>SubconYoshi, The Bois</v>
          </cell>
          <cell r="D2028">
            <v>16</v>
          </cell>
          <cell r="E2028" t="str">
            <v>Casual</v>
          </cell>
          <cell r="F2028" t="str">
            <v>Standard</v>
          </cell>
          <cell r="G2028">
            <v>43991</v>
          </cell>
          <cell r="H2028" t="str">
            <v>23276</v>
          </cell>
          <cell r="I2028" t="str">
            <v>https://www.smwcentral.net/?a=details&amp;id=23276&amp;p=section</v>
          </cell>
          <cell r="J2028" t="str">
            <v>https://dl.smwcentral.net/23276/Super%20Mario%20World%20and%20the%20Bois%21.zip</v>
          </cell>
        </row>
        <row r="2029">
          <cell r="A2029" t="str">
            <v>Super Mario World Arrangement</v>
          </cell>
          <cell r="B2029" t="str">
            <v>Super Mario World Arrangement</v>
          </cell>
          <cell r="C2029" t="str">
            <v>Andyana Jonseph</v>
          </cell>
          <cell r="D2029">
            <v>7</v>
          </cell>
          <cell r="E2029" t="str">
            <v>Casual</v>
          </cell>
          <cell r="F2029" t="str">
            <v>Standard</v>
          </cell>
          <cell r="G2029">
            <v>42868</v>
          </cell>
          <cell r="H2029" t="str">
            <v>15568</v>
          </cell>
          <cell r="I2029" t="str">
            <v>https://www.smwcentral.net/?a=details&amp;id=15568&amp;p=section</v>
          </cell>
          <cell r="J2029" t="str">
            <v>https://dl.smwcentral.net/15568/Super%20Mario%20World%20Arrangement.zip</v>
          </cell>
        </row>
        <row r="2030">
          <cell r="A2030" t="str">
            <v>Super Mario World Beta</v>
          </cell>
          <cell r="B2030" t="str">
            <v>Super Mario World Beta</v>
          </cell>
          <cell r="C2030" t="str">
            <v>Yoshi Master</v>
          </cell>
          <cell r="D2030">
            <v>17</v>
          </cell>
          <cell r="E2030" t="str">
            <v>Newcomer</v>
          </cell>
          <cell r="F2030" t="str">
            <v>Standard</v>
          </cell>
          <cell r="G2030">
            <v>41675</v>
          </cell>
          <cell r="H2030" t="str">
            <v>6267</v>
          </cell>
          <cell r="I2030" t="str">
            <v>https://www.smwcentral.net/?a=details&amp;id=6267&amp;p=section</v>
          </cell>
          <cell r="J2030" t="str">
            <v>https://dl.smwcentral.net/6267/Super%20Mario%20World%20Beta.zip</v>
          </cell>
        </row>
        <row r="2031">
          <cell r="A2031" t="str">
            <v>Super Mario World Bowser's Vacation (JPN)</v>
          </cell>
          <cell r="B2031" t="str">
            <v>Super Mario World Bowser's Vacation (JPN)</v>
          </cell>
          <cell r="C2031" t="str">
            <v>Esc</v>
          </cell>
          <cell r="D2031">
            <v>36</v>
          </cell>
          <cell r="E2031" t="str">
            <v>Intermediate</v>
          </cell>
          <cell r="F2031" t="str">
            <v>Standard</v>
          </cell>
          <cell r="G2031">
            <v>44963</v>
          </cell>
          <cell r="H2031" t="str">
            <v>32929</v>
          </cell>
          <cell r="I2031" t="str">
            <v>https://www.smwcentral.net/?a=details&amp;id=32929&amp;p=section</v>
          </cell>
          <cell r="J2031" t="str">
            <v>https://dl.smwcentral.net/32929/SMW_ver.0.5.zip</v>
          </cell>
        </row>
        <row r="2032">
          <cell r="A2032" t="str">
            <v>Super Mario World Central Production 2</v>
          </cell>
          <cell r="B2032" t="str">
            <v>Super Mario World Central Production 2</v>
          </cell>
          <cell r="C2032" t="str">
            <v>SMW Central</v>
          </cell>
          <cell r="D2032">
            <v>108</v>
          </cell>
          <cell r="E2032" t="str">
            <v>Intermediate</v>
          </cell>
          <cell r="F2032" t="str">
            <v>Standard</v>
          </cell>
          <cell r="G2032">
            <v>44765</v>
          </cell>
          <cell r="H2032" t="str">
            <v>30718</v>
          </cell>
          <cell r="I2032" t="str">
            <v>https://www.smwcentral.net/?a=details&amp;id=30718&amp;p=section</v>
          </cell>
          <cell r="J2032" t="str">
            <v>https://dl.smwcentral.net/30718/SMWCP2.zip</v>
          </cell>
        </row>
        <row r="2033">
          <cell r="A2033" t="str">
            <v>Super Mario World Challenges</v>
          </cell>
          <cell r="B2033" t="str">
            <v>Super Mario World Challenges</v>
          </cell>
          <cell r="C2033" t="str">
            <v>Daizo Dee Von</v>
          </cell>
          <cell r="D2033">
            <v>12</v>
          </cell>
          <cell r="E2033" t="str">
            <v>Advanced</v>
          </cell>
          <cell r="F2033" t="str">
            <v>Standard</v>
          </cell>
          <cell r="G2033">
            <v>44496</v>
          </cell>
          <cell r="H2033" t="str">
            <v>28581</v>
          </cell>
          <cell r="I2033" t="str">
            <v>https://www.smwcentral.net/?a=details&amp;id=28581&amp;p=section</v>
          </cell>
          <cell r="J2033" t="str">
            <v>https://dl.smwcentral.net/28581/Super%20Mario%20World%20Challenges.zip</v>
          </cell>
        </row>
        <row r="2034">
          <cell r="A2034" t="str">
            <v>Super Mario World Challenges 2</v>
          </cell>
          <cell r="B2034" t="str">
            <v>Super Mario World Challenges 2</v>
          </cell>
          <cell r="C2034" t="str">
            <v>Daizo Dee Von</v>
          </cell>
          <cell r="D2034">
            <v>6</v>
          </cell>
          <cell r="E2034" t="str">
            <v>Advanced</v>
          </cell>
          <cell r="F2034" t="str">
            <v>Standard</v>
          </cell>
          <cell r="G2034">
            <v>46222</v>
          </cell>
          <cell r="H2034" t="str">
            <v>42545</v>
          </cell>
          <cell r="I2034" t="str">
            <v>https://www.smwcentral.net/?a=details&amp;id=42545&amp;p=section</v>
          </cell>
          <cell r="J2034" t="str">
            <v>https://dl.smwcentral.net/42545/%5BHack%5D%20Super%20Mario%20World%20Challenges%202%20v1.0.2..zip</v>
          </cell>
        </row>
        <row r="2035">
          <cell r="A2035" t="str">
            <v>Super Mario World Classic Comebacks</v>
          </cell>
          <cell r="B2035" t="str">
            <v>Super Mario World Classic Comebacks</v>
          </cell>
          <cell r="C2035" t="str">
            <v>reghrhre</v>
          </cell>
          <cell r="D2035">
            <v>7</v>
          </cell>
          <cell r="E2035" t="str">
            <v>Newcomer</v>
          </cell>
          <cell r="F2035" t="str">
            <v>Standard</v>
          </cell>
          <cell r="G2035">
            <v>41830</v>
          </cell>
          <cell r="H2035" t="str">
            <v>6843</v>
          </cell>
          <cell r="I2035" t="str">
            <v>https://www.smwcentral.net/?a=details&amp;id=6843&amp;p=section</v>
          </cell>
          <cell r="J2035" t="str">
            <v>https://dl.smwcentral.net/6843/Super%20Mario%20World%20Classic%20Comebacks.zip</v>
          </cell>
        </row>
        <row r="2036">
          <cell r="A2036" t="str">
            <v>Super Mario World Competition Cartridge</v>
          </cell>
          <cell r="B2036" t="str">
            <v>Super Mario World Competition Cartridge</v>
          </cell>
          <cell r="C2036" t="str">
            <v>arnpoly</v>
          </cell>
          <cell r="D2036">
            <v>0</v>
          </cell>
          <cell r="E2036" t="str">
            <v>Newcomer</v>
          </cell>
          <cell r="F2036" t="str">
            <v>Standard</v>
          </cell>
          <cell r="G2036">
            <v>41466</v>
          </cell>
          <cell r="H2036" t="str">
            <v>5521</v>
          </cell>
          <cell r="I2036" t="str">
            <v>https://www.smwcentral.net/?a=details&amp;id=5521&amp;p=section</v>
          </cell>
          <cell r="J2036" t="str">
            <v>https://dl.smwcentral.net/5521/SMW%20Competition%20Cartridge.zip</v>
          </cell>
        </row>
        <row r="2037">
          <cell r="A2037" t="str">
            <v>Super Mario World feat. Marisa Kirisame</v>
          </cell>
          <cell r="B2037" t="str">
            <v>Super Mario World feat. Marisa Kirisame</v>
          </cell>
          <cell r="C2037" t="str">
            <v>FailSandwich</v>
          </cell>
          <cell r="D2037">
            <v>5</v>
          </cell>
          <cell r="E2037" t="str">
            <v>Casual</v>
          </cell>
          <cell r="F2037" t="str">
            <v>Standard</v>
          </cell>
          <cell r="G2037">
            <v>43918</v>
          </cell>
          <cell r="H2037" t="str">
            <v>21996</v>
          </cell>
          <cell r="I2037" t="str">
            <v>https://www.smwcentral.net/?a=details&amp;id=21996&amp;p=section</v>
          </cell>
          <cell r="J2037" t="str">
            <v>https://dl.smwcentral.net/21996/smw_ft_marisa.zip</v>
          </cell>
        </row>
        <row r="2038">
          <cell r="A2038" t="str">
            <v>Super Mario World Future The Shadow Queen Returns 2021</v>
          </cell>
          <cell r="B2038" t="str">
            <v>Super Mario World Future The Shadow Queen Returns 2021</v>
          </cell>
          <cell r="C2038" t="str">
            <v>TheOrangeToad</v>
          </cell>
          <cell r="D2038">
            <v>52</v>
          </cell>
          <cell r="E2038" t="str">
            <v>Casual</v>
          </cell>
          <cell r="F2038" t="str">
            <v>Standard</v>
          </cell>
          <cell r="G2038">
            <v>44271</v>
          </cell>
          <cell r="H2038" t="str">
            <v>26093</v>
          </cell>
          <cell r="I2038" t="str">
            <v>https://www.smwcentral.net/?a=details&amp;id=26093&amp;p=section</v>
          </cell>
          <cell r="J2038" t="str">
            <v>https://dl.smwcentral.net/26093/SMW%20Future%202021%20Demo.zip</v>
          </cell>
        </row>
        <row r="2039">
          <cell r="A2039" t="str">
            <v>Super Mario World Hacks 101</v>
          </cell>
          <cell r="B2039" t="str">
            <v>Super Mario World Hacks 101</v>
          </cell>
          <cell r="C2039" t="str">
            <v>Tails_155</v>
          </cell>
          <cell r="D2039">
            <v>20</v>
          </cell>
          <cell r="E2039" t="str">
            <v>Casual</v>
          </cell>
          <cell r="F2039" t="str">
            <v>Standard</v>
          </cell>
          <cell r="G2039">
            <v>43595</v>
          </cell>
          <cell r="H2039" t="str">
            <v>19884</v>
          </cell>
          <cell r="I2039" t="str">
            <v>https://www.smwcentral.net/?a=details&amp;id=19884&amp;p=section</v>
          </cell>
          <cell r="J2039" t="str">
            <v>https://dl.smwcentral.net/19884/SMW_Hacks_101_Fixed.zip</v>
          </cell>
        </row>
        <row r="2040">
          <cell r="A2040" t="str">
            <v>Super Mario World II</v>
          </cell>
          <cell r="B2040" t="str">
            <v>Super Mario World II</v>
          </cell>
          <cell r="C2040" t="str">
            <v>Saturn the Donkey</v>
          </cell>
          <cell r="D2040">
            <v>97</v>
          </cell>
          <cell r="E2040" t="str">
            <v>Intermediate</v>
          </cell>
          <cell r="F2040" t="str">
            <v>Standard</v>
          </cell>
          <cell r="G2040">
            <v>46205</v>
          </cell>
          <cell r="H2040" t="str">
            <v>42555</v>
          </cell>
          <cell r="I2040" t="str">
            <v>https://www.smwcentral.net/?a=details&amp;id=42555&amp;p=section</v>
          </cell>
          <cell r="J2040" t="str">
            <v>https://dl.smwcentral.net/42555/Super%20Mario%20World%20II.zip</v>
          </cell>
        </row>
        <row r="2041">
          <cell r="A2041" t="str">
            <v>Super Mario World Master Quest 1</v>
          </cell>
          <cell r="B2041" t="str">
            <v>Super Mario World Master Quest 1</v>
          </cell>
          <cell r="C2041" t="str">
            <v>Alex No</v>
          </cell>
          <cell r="D2041">
            <v>96</v>
          </cell>
          <cell r="E2041" t="str">
            <v>Casual</v>
          </cell>
          <cell r="F2041" t="str">
            <v>Standard</v>
          </cell>
          <cell r="G2041">
            <v>42225</v>
          </cell>
          <cell r="H2041" t="str">
            <v>9832</v>
          </cell>
          <cell r="I2041" t="str">
            <v>https://www.smwcentral.net/?a=details&amp;id=9832&amp;p=section</v>
          </cell>
          <cell r="J2041" t="str">
            <v>https://dl.smwcentral.net/9832/Super%20Mario%20World%20Master%20Quest%201.zip</v>
          </cell>
        </row>
        <row r="2042">
          <cell r="A2042" t="str">
            <v>Super Mario World Master Quest 2</v>
          </cell>
          <cell r="B2042" t="str">
            <v>Super Mario World Master Quest 2</v>
          </cell>
          <cell r="C2042" t="str">
            <v>Alex No</v>
          </cell>
          <cell r="D2042">
            <v>96</v>
          </cell>
          <cell r="E2042" t="str">
            <v>Casual</v>
          </cell>
          <cell r="F2042" t="str">
            <v>Standard</v>
          </cell>
          <cell r="G2042">
            <v>42241</v>
          </cell>
          <cell r="H2042" t="str">
            <v>9690</v>
          </cell>
          <cell r="I2042" t="str">
            <v>https://www.smwcentral.net/?a=details&amp;id=9690&amp;p=section</v>
          </cell>
          <cell r="J2042" t="str">
            <v>https://dl.smwcentral.net/9690/Super%20Mario%20World%20Master%20Quest%202%20%28Update%201.3%29.zip</v>
          </cell>
        </row>
        <row r="2043">
          <cell r="A2043" t="str">
            <v>Super Mario World Master Quest 3: The Adventure Of Mario</v>
          </cell>
          <cell r="B2043" t="str">
            <v>Super Mario World Master Quest 3: The Adventure Of Mario</v>
          </cell>
          <cell r="C2043" t="str">
            <v>Alex No</v>
          </cell>
          <cell r="D2043">
            <v>100</v>
          </cell>
          <cell r="E2043" t="str">
            <v>Intermediate</v>
          </cell>
          <cell r="F2043" t="str">
            <v>Standard</v>
          </cell>
          <cell r="G2043">
            <v>41691</v>
          </cell>
          <cell r="H2043" t="str">
            <v>6315</v>
          </cell>
          <cell r="I2043" t="str">
            <v>https://www.smwcentral.net/?a=details&amp;id=6315&amp;p=section</v>
          </cell>
          <cell r="J2043" t="str">
            <v>https://dl.smwcentral.net/6315/Super%20Mario%20World%20Master%20Quest%206%20%2CUPDATE%201%2C3.zip</v>
          </cell>
        </row>
        <row r="2044">
          <cell r="A2044" t="str">
            <v>Super Mario World Master Quest 4: Redrawn</v>
          </cell>
          <cell r="B2044" t="str">
            <v>Super Mario World Master Quest 4: Redrawn</v>
          </cell>
          <cell r="C2044" t="str">
            <v>Alex No</v>
          </cell>
          <cell r="D2044">
            <v>70</v>
          </cell>
          <cell r="E2044" t="str">
            <v>Casual</v>
          </cell>
          <cell r="F2044" t="str">
            <v>Standard</v>
          </cell>
          <cell r="G2044">
            <v>42251</v>
          </cell>
          <cell r="H2044" t="str">
            <v>9901</v>
          </cell>
          <cell r="I2044" t="str">
            <v>https://www.smwcentral.net/?a=details&amp;id=9901&amp;p=section</v>
          </cell>
          <cell r="J2044" t="str">
            <v>https://dl.smwcentral.net/9901/Super%20Mario%20World%20Master%20Quest%204%20Redrawn%20Update%201.2.zip</v>
          </cell>
        </row>
        <row r="2045">
          <cell r="A2045" t="str">
            <v>Super Mario World Master Quest 8: The Final Quest</v>
          </cell>
          <cell r="B2045" t="str">
            <v>Super Mario World Master Quest 8: The Final Quest</v>
          </cell>
          <cell r="C2045" t="str">
            <v>Alex No</v>
          </cell>
          <cell r="D2045">
            <v>120</v>
          </cell>
          <cell r="E2045" t="str">
            <v>Casual</v>
          </cell>
          <cell r="F2045" t="str">
            <v>Standard</v>
          </cell>
          <cell r="G2045">
            <v>42296</v>
          </cell>
          <cell r="H2045" t="str">
            <v>10186</v>
          </cell>
          <cell r="I2045" t="str">
            <v>https://www.smwcentral.net/?a=details&amp;id=10186&amp;p=section</v>
          </cell>
          <cell r="J2045" t="str">
            <v>https://dl.smwcentral.net/10186/Super%20Mario%20World%20Master%20Quest%208%20The%20Final%20Quest%201%2C3.zip</v>
          </cell>
        </row>
        <row r="2046">
          <cell r="A2046" t="str">
            <v>Super Mario World Master Quest Reborn</v>
          </cell>
          <cell r="B2046" t="str">
            <v>Super Mario World Master Quest Reborn</v>
          </cell>
          <cell r="C2046" t="str">
            <v>Alex No</v>
          </cell>
          <cell r="D2046">
            <v>89</v>
          </cell>
          <cell r="E2046" t="str">
            <v>Intermediate</v>
          </cell>
          <cell r="F2046" t="str">
            <v>Standard</v>
          </cell>
          <cell r="G2046">
            <v>44605</v>
          </cell>
          <cell r="H2046" t="str">
            <v>29698</v>
          </cell>
          <cell r="I2046" t="str">
            <v>https://www.smwcentral.net/?a=details&amp;id=29698&amp;p=section</v>
          </cell>
          <cell r="J2046" t="str">
            <v>https://dl.smwcentral.net/29698/Super_Mario_World_Master_Quest_Reborn_2.3.zip</v>
          </cell>
        </row>
        <row r="2047">
          <cell r="A2047" t="str">
            <v>Super Mario World Mix</v>
          </cell>
          <cell r="B2047" t="str">
            <v>Super Mario World Mix</v>
          </cell>
          <cell r="C2047" t="str">
            <v>Steven Atauchi C.</v>
          </cell>
          <cell r="D2047">
            <v>29</v>
          </cell>
          <cell r="E2047" t="str">
            <v>Intermediate</v>
          </cell>
          <cell r="F2047" t="str">
            <v>Standard</v>
          </cell>
          <cell r="G2047">
            <v>45926</v>
          </cell>
          <cell r="H2047" t="str">
            <v>40597</v>
          </cell>
          <cell r="I2047" t="str">
            <v>https://www.smwcentral.net/?a=details&amp;id=40597&amp;p=section</v>
          </cell>
          <cell r="J2047" t="str">
            <v>https://dl.smwcentral.net/40597/SMW_MIX_BETA2.zip</v>
          </cell>
        </row>
        <row r="2048">
          <cell r="A2048" t="str">
            <v>Super Mario World Random Revolution X</v>
          </cell>
          <cell r="B2048" t="str">
            <v>Super Mario World Random Revolution X</v>
          </cell>
          <cell r="C2048" t="str">
            <v>SMWRR Team</v>
          </cell>
          <cell r="D2048">
            <v>0</v>
          </cell>
          <cell r="E2048" t="str">
            <v>Advanced</v>
          </cell>
          <cell r="F2048" t="str">
            <v>Standard</v>
          </cell>
          <cell r="G2048">
            <v>45386</v>
          </cell>
          <cell r="H2048" t="str">
            <v>37161</v>
          </cell>
          <cell r="I2048" t="str">
            <v>https://www.smwcentral.net/?a=details&amp;id=37161&amp;p=section</v>
          </cell>
          <cell r="J2048" t="str">
            <v>https://dl.smwcentral.net/37161/Super%20Mario%20World%20Random%20Revolution%20X%20V1.0.zip</v>
          </cell>
        </row>
        <row r="2049">
          <cell r="A2049" t="str">
            <v>Super Mario World Reloaded</v>
          </cell>
          <cell r="B2049" t="str">
            <v>Super Mario World Reloaded</v>
          </cell>
          <cell r="C2049" t="str">
            <v>AltheronX</v>
          </cell>
          <cell r="D2049">
            <v>6</v>
          </cell>
          <cell r="E2049" t="str">
            <v>Newcomer</v>
          </cell>
          <cell r="F2049" t="str">
            <v>Standard</v>
          </cell>
          <cell r="G2049">
            <v>42315</v>
          </cell>
          <cell r="H2049" t="str">
            <v>10289</v>
          </cell>
          <cell r="I2049" t="str">
            <v>https://www.smwcentral.net/?a=details&amp;id=10289&amp;p=section</v>
          </cell>
          <cell r="J2049" t="str">
            <v>https://dl.smwcentral.net/10289/AltheronX.zip</v>
          </cell>
        </row>
        <row r="2050">
          <cell r="A2050" t="str">
            <v>Super Mario World Remix</v>
          </cell>
          <cell r="B2050" t="str">
            <v>Super Mario World Remix</v>
          </cell>
          <cell r="C2050" t="str">
            <v>YMM</v>
          </cell>
          <cell r="D2050">
            <v>32</v>
          </cell>
          <cell r="E2050" t="str">
            <v>Intermediate</v>
          </cell>
          <cell r="F2050" t="str">
            <v>Standard</v>
          </cell>
          <cell r="G2050">
            <v>44189</v>
          </cell>
          <cell r="H2050" t="str">
            <v>25540</v>
          </cell>
          <cell r="I2050" t="str">
            <v>https://www.smwcentral.net/?a=details&amp;id=25540&amp;p=section</v>
          </cell>
          <cell r="J2050" t="str">
            <v>https://dl.smwcentral.net/25540/SuperMarioWorldRemix.zip</v>
          </cell>
        </row>
        <row r="2051">
          <cell r="A2051" t="str">
            <v>Super Mario World Revamped</v>
          </cell>
          <cell r="B2051" t="str">
            <v>Super Mario World Revamped</v>
          </cell>
          <cell r="C2051" t="str">
            <v>msi810</v>
          </cell>
          <cell r="D2051">
            <v>5</v>
          </cell>
          <cell r="E2051" t="str">
            <v>Casual</v>
          </cell>
          <cell r="F2051" t="str">
            <v>Standard</v>
          </cell>
          <cell r="G2051">
            <v>42425</v>
          </cell>
          <cell r="H2051" t="str">
            <v>13364</v>
          </cell>
          <cell r="I2051" t="str">
            <v>https://www.smwcentral.net/?a=details&amp;id=13364&amp;p=section</v>
          </cell>
          <cell r="J2051" t="str">
            <v>https://dl.smwcentral.net/13364/Super%20Mario%20World%20Revamped.zip</v>
          </cell>
        </row>
        <row r="2052">
          <cell r="A2052" t="str">
            <v>Super Mario World Ridley X Hack</v>
          </cell>
          <cell r="B2052" t="str">
            <v>Super Mario World Ridley X Hack</v>
          </cell>
          <cell r="C2052" t="str">
            <v>Ridley X</v>
          </cell>
          <cell r="D2052">
            <v>52</v>
          </cell>
          <cell r="E2052" t="str">
            <v>Casual</v>
          </cell>
          <cell r="F2052" t="str">
            <v>Standard</v>
          </cell>
          <cell r="G2052">
            <v>46102</v>
          </cell>
          <cell r="H2052" t="str">
            <v>41928</v>
          </cell>
          <cell r="I2052" t="str">
            <v>https://www.smwcentral.net/?a=details&amp;id=41928&amp;p=section</v>
          </cell>
          <cell r="J2052" t="str">
            <v>https://dl.smwcentral.net/41928/smw%20ridleyx%20hack%20v1.0.zip</v>
          </cell>
        </row>
        <row r="2053">
          <cell r="A2053" t="str">
            <v>Super Mario World The Forest  Adventure</v>
          </cell>
          <cell r="B2053" t="str">
            <v>Super Mario World The Forest  Adventure</v>
          </cell>
          <cell r="C2053" t="str">
            <v>jesus angel</v>
          </cell>
          <cell r="D2053">
            <v>1</v>
          </cell>
          <cell r="E2053" t="str">
            <v>Advanced</v>
          </cell>
          <cell r="F2053" t="str">
            <v>Kaizo</v>
          </cell>
          <cell r="G2053">
            <v>44302</v>
          </cell>
          <cell r="H2053" t="str">
            <v>26478</v>
          </cell>
          <cell r="I2053" t="str">
            <v>https://www.smwcentral.net/?a=details&amp;id=26478&amp;p=section</v>
          </cell>
          <cell r="J2053" t="str">
            <v>https://dl.smwcentral.net/26478/Super%20Mario%20World%20The%20Forest%20Adventure.zip</v>
          </cell>
        </row>
        <row r="2054">
          <cell r="A2054" t="str">
            <v>Super Mario World The Garden</v>
          </cell>
          <cell r="B2054" t="str">
            <v>Super Mario World The Garden</v>
          </cell>
          <cell r="C2054" t="str">
            <v>jesus angel</v>
          </cell>
          <cell r="D2054">
            <v>1</v>
          </cell>
          <cell r="E2054" t="str">
            <v>Expert</v>
          </cell>
          <cell r="F2054" t="str">
            <v>Kaizo</v>
          </cell>
          <cell r="G2054">
            <v>44378</v>
          </cell>
          <cell r="H2054" t="str">
            <v>27237</v>
          </cell>
          <cell r="I2054" t="str">
            <v>https://www.smwcentral.net/?a=details&amp;id=27237&amp;p=section</v>
          </cell>
          <cell r="J2054" t="str">
            <v>https://dl.smwcentral.net/27237/Super%20Mario%20World%20The%20Garden.zip</v>
          </cell>
        </row>
        <row r="2055">
          <cell r="A2055" t="str">
            <v>Super Mario World The Pit Version</v>
          </cell>
          <cell r="B2055" t="str">
            <v>Super Mario World The Pit Version</v>
          </cell>
          <cell r="C2055" t="str">
            <v>Gabriel12102673</v>
          </cell>
          <cell r="D2055">
            <v>1</v>
          </cell>
          <cell r="E2055" t="str">
            <v>Expert</v>
          </cell>
          <cell r="F2055" t="str">
            <v>Tool-Assisted, Pit</v>
          </cell>
          <cell r="G2055">
            <v>43459</v>
          </cell>
          <cell r="H2055" t="str">
            <v>18631</v>
          </cell>
          <cell r="I2055" t="str">
            <v>https://www.smwcentral.net/?a=details&amp;id=18631&amp;p=section</v>
          </cell>
          <cell r="J2055" t="str">
            <v>https://dl.smwcentral.net/18631/SMWTPV.zip</v>
          </cell>
        </row>
        <row r="2056">
          <cell r="A2056" t="str">
            <v>Super Mario World the Reture</v>
          </cell>
          <cell r="B2056" t="str">
            <v>Super Mario World the Reture</v>
          </cell>
          <cell r="C2056" t="str">
            <v>Hellsingrunner, Redbone112, ShodanWii, TheRealNinjaBoy, Userofdoom, uNkNowN7642</v>
          </cell>
          <cell r="D2056">
            <v>6</v>
          </cell>
          <cell r="E2056" t="str">
            <v>Casual</v>
          </cell>
          <cell r="F2056" t="str">
            <v>Standard</v>
          </cell>
          <cell r="G2056">
            <v>42217</v>
          </cell>
          <cell r="H2056" t="str">
            <v>9777</v>
          </cell>
          <cell r="I2056" t="str">
            <v>https://www.smwcentral.net/?a=details&amp;id=9777&amp;p=section</v>
          </cell>
          <cell r="J2056" t="str">
            <v>https://dl.smwcentral.net/9777/SMW%20the%20Reture%201st%20World%20Demo.zip</v>
          </cell>
        </row>
        <row r="2057">
          <cell r="A2057" t="str">
            <v>Super Mario World Ultra</v>
          </cell>
          <cell r="B2057" t="str">
            <v>Super Mario World Ultra</v>
          </cell>
          <cell r="C2057" t="str">
            <v>LHB</v>
          </cell>
          <cell r="D2057">
            <v>13</v>
          </cell>
          <cell r="E2057" t="str">
            <v>Casual</v>
          </cell>
          <cell r="F2057" t="str">
            <v>Standard</v>
          </cell>
          <cell r="G2057">
            <v>42427</v>
          </cell>
          <cell r="H2057" t="str">
            <v>13341</v>
          </cell>
          <cell r="I2057" t="str">
            <v>https://www.smwcentral.net/?a=details&amp;id=13341&amp;p=section</v>
          </cell>
          <cell r="J2057" t="str">
            <v>https://dl.smwcentral.net/13341/Super%20Mario%20World%20Ultra.zip</v>
          </cell>
        </row>
        <row r="2058">
          <cell r="A2058" t="str">
            <v>Super Mario World-2</v>
          </cell>
          <cell r="B2058" t="str">
            <v>Super Mario World-2</v>
          </cell>
          <cell r="C2058" t="str">
            <v>Easy Difficulty</v>
          </cell>
          <cell r="D2058">
            <v>90</v>
          </cell>
          <cell r="E2058" t="str">
            <v>Advanced</v>
          </cell>
          <cell r="F2058" t="str">
            <v>Standard</v>
          </cell>
          <cell r="G2058">
            <v>45491</v>
          </cell>
          <cell r="H2058" t="str">
            <v>37830</v>
          </cell>
          <cell r="I2058" t="str">
            <v>https://www.smwcentral.net/?a=details&amp;id=37830&amp;p=section</v>
          </cell>
          <cell r="J2058" t="str">
            <v>https://dl.smwcentral.net/37830/SMW-2.zip</v>
          </cell>
        </row>
        <row r="2059">
          <cell r="A2059" t="str">
            <v>Super Mario World-3</v>
          </cell>
          <cell r="B2059" t="str">
            <v>Super Mario World-3</v>
          </cell>
          <cell r="C2059" t="str">
            <v>Easy Difficulty</v>
          </cell>
          <cell r="D2059">
            <v>111</v>
          </cell>
          <cell r="E2059" t="str">
            <v>Expert</v>
          </cell>
          <cell r="F2059" t="str">
            <v>Standard</v>
          </cell>
          <cell r="G2059">
            <v>45895</v>
          </cell>
          <cell r="H2059" t="str">
            <v>40129</v>
          </cell>
          <cell r="I2059" t="str">
            <v>https://www.smwcentral.net/?a=details&amp;id=40129&amp;p=section</v>
          </cell>
          <cell r="J2059" t="str">
            <v>https://dl.smwcentral.net/40129/SMW-3%20v1.1.zip</v>
          </cell>
        </row>
        <row r="2060">
          <cell r="A2060" t="str">
            <v>Super Mario World: "Not Over Yet"</v>
          </cell>
          <cell r="B2060" t="str">
            <v>Super Mario World: "Not Over Yet"</v>
          </cell>
          <cell r="C2060" t="str">
            <v>Mayonnai, Ringo</v>
          </cell>
          <cell r="D2060">
            <v>8</v>
          </cell>
          <cell r="E2060" t="str">
            <v>Casual</v>
          </cell>
          <cell r="F2060" t="str">
            <v>Standard</v>
          </cell>
          <cell r="G2060">
            <v>44528</v>
          </cell>
          <cell r="H2060" t="str">
            <v>28886</v>
          </cell>
          <cell r="I2060" t="str">
            <v>https://www.smwcentral.net/?a=details&amp;id=28886&amp;p=section</v>
          </cell>
          <cell r="J2060" t="str">
            <v>https://dl.smwcentral.net/28886/smwnoia.zip</v>
          </cell>
        </row>
        <row r="2061">
          <cell r="A2061" t="str">
            <v>Super Mario World: A New Adventure 2</v>
          </cell>
          <cell r="B2061" t="str">
            <v>Super Mario World: A New Adventure 2</v>
          </cell>
          <cell r="C2061" t="str">
            <v>drake-68</v>
          </cell>
          <cell r="D2061">
            <v>5</v>
          </cell>
          <cell r="E2061" t="str">
            <v>Newcomer</v>
          </cell>
          <cell r="F2061" t="str">
            <v>Standard</v>
          </cell>
          <cell r="G2061">
            <v>42130</v>
          </cell>
          <cell r="H2061" t="str">
            <v>10267</v>
          </cell>
          <cell r="I2061" t="str">
            <v>https://www.smwcentral.net/?a=details&amp;id=10267&amp;p=section</v>
          </cell>
          <cell r="J2061" t="str">
            <v>https://dl.smwcentral.net/10267/SMW%20A%20New%20Adventure%202.zip</v>
          </cell>
        </row>
        <row r="2062">
          <cell r="A2062" t="str">
            <v>Super Mario World: A Pineapple Kingdom</v>
          </cell>
          <cell r="B2062" t="str">
            <v>Super Mario World: A Pineapple Kingdom</v>
          </cell>
          <cell r="C2062" t="str">
            <v>Chromite</v>
          </cell>
          <cell r="D2062">
            <v>6</v>
          </cell>
          <cell r="E2062" t="str">
            <v>Newcomer</v>
          </cell>
          <cell r="F2062" t="str">
            <v>Standard</v>
          </cell>
          <cell r="G2062">
            <v>41542</v>
          </cell>
          <cell r="H2062" t="str">
            <v>5495</v>
          </cell>
          <cell r="I2062" t="str">
            <v>https://www.smwcentral.net/?a=details&amp;id=5495&amp;p=section</v>
          </cell>
          <cell r="J2062" t="str">
            <v>https://dl.smwcentral.net/5495/APK%20C3%20Demo.zip</v>
          </cell>
        </row>
        <row r="2063">
          <cell r="A2063" t="str">
            <v>Super Mario World: A Super Mario Adventure</v>
          </cell>
          <cell r="B2063" t="str">
            <v>Super Mario World: A Super Mario Adventure</v>
          </cell>
          <cell r="C2063" t="str">
            <v>KaidenThelens</v>
          </cell>
          <cell r="D2063">
            <v>50</v>
          </cell>
          <cell r="E2063" t="str">
            <v>Casual</v>
          </cell>
          <cell r="F2063" t="str">
            <v>Standard</v>
          </cell>
          <cell r="G2063">
            <v>44071</v>
          </cell>
          <cell r="H2063" t="str">
            <v>24426</v>
          </cell>
          <cell r="I2063" t="str">
            <v>https://www.smwcentral.net/?a=details&amp;id=24426&amp;p=section</v>
          </cell>
          <cell r="J2063" t="str">
            <v>https://dl.smwcentral.net/24426/A%20ROM%20Hack..zip</v>
          </cell>
        </row>
        <row r="2064">
          <cell r="A2064" t="str">
            <v>Super Mario World: A Super Mario Adventure 2 (V2.0)</v>
          </cell>
          <cell r="B2064" t="str">
            <v>Super Mario World: A Super Mario Adventure 2 (V2.0)</v>
          </cell>
          <cell r="C2064" t="str">
            <v>KaidenThelens</v>
          </cell>
          <cell r="D2064">
            <v>69</v>
          </cell>
          <cell r="E2064" t="str">
            <v>Intermediate</v>
          </cell>
          <cell r="F2064" t="str">
            <v>Standard</v>
          </cell>
          <cell r="G2064">
            <v>44418</v>
          </cell>
          <cell r="H2064" t="str">
            <v>27401</v>
          </cell>
          <cell r="I2064" t="str">
            <v>https://www.smwcentral.net/?a=details&amp;id=27401&amp;p=section</v>
          </cell>
          <cell r="J2064" t="str">
            <v>https://dl.smwcentral.net/27401/A%20Super%20Mario%20Adventure%202%20%28V2.0%29.zip</v>
          </cell>
        </row>
        <row r="2065">
          <cell r="A2065" t="str">
            <v>Super Mario World: A Super Mario Adventure 3</v>
          </cell>
          <cell r="B2065" t="str">
            <v>Super Mario World: A Super Mario Adventure 3</v>
          </cell>
          <cell r="C2065" t="str">
            <v>KaidenThelens</v>
          </cell>
          <cell r="D2065">
            <v>94</v>
          </cell>
          <cell r="E2065" t="str">
            <v>Intermediate</v>
          </cell>
          <cell r="F2065" t="str">
            <v>Standard</v>
          </cell>
          <cell r="G2065">
            <v>44505</v>
          </cell>
          <cell r="H2065" t="str">
            <v>28619</v>
          </cell>
          <cell r="I2065" t="str">
            <v>https://www.smwcentral.net/?a=details&amp;id=28619&amp;p=section</v>
          </cell>
          <cell r="J2065" t="str">
            <v>https://dl.smwcentral.net/28619/SMW%20A%20Super%20Mario%20Adventure%203%20%28V2.0%29.zip</v>
          </cell>
        </row>
        <row r="2066">
          <cell r="A2066" t="str">
            <v>Super Mario World: Adventure in Forest Land</v>
          </cell>
          <cell r="B2066" t="str">
            <v>Super Mario World: Adventure in Forest Land</v>
          </cell>
          <cell r="C2066" t="str">
            <v>Green Jerry</v>
          </cell>
          <cell r="D2066">
            <v>34</v>
          </cell>
          <cell r="E2066" t="str">
            <v>Intermediate</v>
          </cell>
          <cell r="F2066" t="str">
            <v>Standard</v>
          </cell>
          <cell r="G2066">
            <v>45891</v>
          </cell>
          <cell r="H2066" t="str">
            <v>40321</v>
          </cell>
          <cell r="I2066" t="str">
            <v>https://www.smwcentral.net/?a=details&amp;id=40321&amp;p=section</v>
          </cell>
          <cell r="J2066" t="str">
            <v>https://dl.smwcentral.net/40321/Super%20Mario%20World%20-%20Adventure%20in%20Forest%20Land%20v1.0.zip</v>
          </cell>
        </row>
        <row r="2067">
          <cell r="A2067" t="str">
            <v>Super Mario World: Adventures On Petite Island</v>
          </cell>
          <cell r="B2067" t="str">
            <v>Super Mario World: Adventures On Petite Island</v>
          </cell>
          <cell r="C2067" t="str">
            <v>xAsianjay</v>
          </cell>
          <cell r="D2067">
            <v>7</v>
          </cell>
          <cell r="E2067" t="str">
            <v>Intermediate</v>
          </cell>
          <cell r="F2067" t="str">
            <v>Standard</v>
          </cell>
          <cell r="G2067">
            <v>41681</v>
          </cell>
          <cell r="H2067" t="str">
            <v>6286</v>
          </cell>
          <cell r="I2067" t="str">
            <v>https://www.smwcentral.net/?a=details&amp;id=6286&amp;p=section</v>
          </cell>
          <cell r="J2067" t="str">
            <v>https://dl.smwcentral.net/6286/SMWAPI%20v1.1.zip</v>
          </cell>
        </row>
        <row r="2068">
          <cell r="A2068" t="str">
            <v>Super Mario World: Again in Dinosaur Land</v>
          </cell>
          <cell r="B2068" t="str">
            <v>Super Mario World: Again in Dinosaur Land</v>
          </cell>
          <cell r="C2068" t="str">
            <v>7 up</v>
          </cell>
          <cell r="D2068">
            <v>10</v>
          </cell>
          <cell r="E2068" t="str">
            <v>Casual</v>
          </cell>
          <cell r="F2068" t="str">
            <v>Standard</v>
          </cell>
          <cell r="G2068">
            <v>43347</v>
          </cell>
          <cell r="H2068" t="str">
            <v>18091</v>
          </cell>
          <cell r="I2068" t="str">
            <v>https://www.smwcentral.net/?a=details&amp;id=18091&amp;p=section</v>
          </cell>
          <cell r="J2068" t="str">
            <v>https://dl.smwcentral.net/18091/SMWAgaininDinosaurLandDEMO1.zip</v>
          </cell>
        </row>
        <row r="2069">
          <cell r="A2069" t="str">
            <v>Super Mario World: Another Pointless Adventure</v>
          </cell>
          <cell r="B2069" t="str">
            <v>Super Mario World: Another Pointless Adventure</v>
          </cell>
          <cell r="C2069" t="str">
            <v>Pseudogon</v>
          </cell>
          <cell r="D2069">
            <v>5</v>
          </cell>
          <cell r="E2069" t="str">
            <v>Casual</v>
          </cell>
          <cell r="F2069" t="str">
            <v>Standard</v>
          </cell>
          <cell r="G2069">
            <v>42504</v>
          </cell>
          <cell r="H2069" t="str">
            <v>13663</v>
          </cell>
          <cell r="I2069" t="str">
            <v>https://www.smwcentral.net/?a=details&amp;id=13663&amp;p=section</v>
          </cell>
          <cell r="J2069" t="str">
            <v>https://dl.smwcentral.net/13663/Another%20Pointless%20Adventure%20%28World%201%20Demo%29.zip</v>
          </cell>
        </row>
        <row r="2070">
          <cell r="A2070" t="str">
            <v>Super Mario World: Blue Flamingo</v>
          </cell>
          <cell r="B2070" t="str">
            <v>Super Mario World: Blue Flamingo</v>
          </cell>
          <cell r="C2070" t="str">
            <v>Truxton</v>
          </cell>
          <cell r="D2070">
            <v>8</v>
          </cell>
          <cell r="E2070" t="str">
            <v>Casual</v>
          </cell>
          <cell r="F2070" t="str">
            <v>Standard</v>
          </cell>
          <cell r="G2070">
            <v>41724</v>
          </cell>
          <cell r="H2070" t="str">
            <v>6437</v>
          </cell>
          <cell r="I2070" t="str">
            <v>https://www.smwcentral.net/?a=details&amp;id=6437&amp;p=section</v>
          </cell>
          <cell r="J2070" t="str">
            <v>https://dl.smwcentral.net/6437/BF.zip</v>
          </cell>
        </row>
        <row r="2071">
          <cell r="A2071" t="str">
            <v>Super Mario World: Bowser's Cataclysmic Trap</v>
          </cell>
          <cell r="B2071" t="str">
            <v>Super Mario World: Bowser's Cataclysmic Trap</v>
          </cell>
          <cell r="C2071" t="str">
            <v>Gamma V</v>
          </cell>
          <cell r="D2071">
            <v>82</v>
          </cell>
          <cell r="E2071" t="str">
            <v>Casual</v>
          </cell>
          <cell r="F2071" t="str">
            <v>Standard</v>
          </cell>
          <cell r="G2071">
            <v>42195</v>
          </cell>
          <cell r="H2071" t="str">
            <v>11608</v>
          </cell>
          <cell r="I2071" t="str">
            <v>https://www.smwcentral.net/?a=details&amp;id=11608&amp;p=section</v>
          </cell>
          <cell r="J2071" t="str">
            <v>https://dl.smwcentral.net/11608/BCT%201.2.2.zip</v>
          </cell>
        </row>
        <row r="2072">
          <cell r="A2072" t="str">
            <v>Super Mario World: Bowser's Kaizo Conspiracy</v>
          </cell>
          <cell r="B2072" t="str">
            <v>Super Mario World: Bowser's Kaizo Conspiracy</v>
          </cell>
          <cell r="C2072" t="str">
            <v>Gamma V</v>
          </cell>
          <cell r="D2072">
            <v>102</v>
          </cell>
          <cell r="E2072" t="str">
            <v>Casual</v>
          </cell>
          <cell r="F2072" t="str">
            <v>Standard</v>
          </cell>
          <cell r="G2072">
            <v>45069</v>
          </cell>
          <cell r="H2072" t="str">
            <v>33943</v>
          </cell>
          <cell r="I2072" t="str">
            <v>https://www.smwcentral.net/?a=details&amp;id=33943&amp;p=section</v>
          </cell>
          <cell r="J2072" t="str">
            <v>https://dl.smwcentral.net/33943/Bowser%27s%20Kaizo%20Conspiracy%20v1.2.zip</v>
          </cell>
        </row>
        <row r="2073">
          <cell r="A2073" t="str">
            <v>Super Mario World: Bowser's Trial</v>
          </cell>
          <cell r="B2073" t="str">
            <v>Super Mario World: Bowser's Trial</v>
          </cell>
          <cell r="C2073" t="str">
            <v>Tio broz</v>
          </cell>
          <cell r="D2073">
            <v>7</v>
          </cell>
          <cell r="E2073" t="str">
            <v>Newcomer</v>
          </cell>
          <cell r="F2073" t="str">
            <v>Standard</v>
          </cell>
          <cell r="G2073">
            <v>42270</v>
          </cell>
          <cell r="H2073" t="str">
            <v>9991</v>
          </cell>
          <cell r="I2073" t="str">
            <v>https://www.smwcentral.net/?a=details&amp;id=9991&amp;p=section</v>
          </cell>
          <cell r="J2073" t="str">
            <v>https://dl.smwcentral.net/9991/Bowser%27s%20Trial.zip</v>
          </cell>
        </row>
        <row r="2074">
          <cell r="A2074" t="str">
            <v>Super Mario World: Challenge Worlds</v>
          </cell>
          <cell r="B2074" t="str">
            <v>Super Mario World: Challenge Worlds</v>
          </cell>
          <cell r="C2074" t="str">
            <v>i'mbadwithusernames</v>
          </cell>
          <cell r="D2074">
            <v>11</v>
          </cell>
          <cell r="E2074" t="str">
            <v>Casual</v>
          </cell>
          <cell r="F2074" t="str">
            <v>Standard</v>
          </cell>
          <cell r="G2074">
            <v>41548</v>
          </cell>
          <cell r="H2074" t="str">
            <v>5589</v>
          </cell>
          <cell r="I2074" t="str">
            <v>https://www.smwcentral.net/?a=details&amp;id=5589&amp;p=section</v>
          </cell>
          <cell r="J2074" t="str">
            <v>https://dl.smwcentral.net/5589/Challenge%20Worlds%20Demo%202%20fixed.zip</v>
          </cell>
        </row>
        <row r="2075">
          <cell r="A2075" t="str">
            <v>Super Mario World: Christmas Edition</v>
          </cell>
          <cell r="B2075" t="str">
            <v>Super Mario World: Christmas Edition</v>
          </cell>
          <cell r="C2075" t="str">
            <v>Nowieso</v>
          </cell>
          <cell r="D2075">
            <v>28</v>
          </cell>
          <cell r="E2075" t="str">
            <v>Casual</v>
          </cell>
          <cell r="F2075" t="str">
            <v>Standard</v>
          </cell>
          <cell r="G2075">
            <v>43823</v>
          </cell>
          <cell r="H2075" t="str">
            <v>21677</v>
          </cell>
          <cell r="I2075" t="str">
            <v>https://www.smwcentral.net/?a=details&amp;id=21677&amp;p=section</v>
          </cell>
          <cell r="J2075" t="str">
            <v>https://dl.smwcentral.net/21677/SMW%20Christmas%20Edition.zip</v>
          </cell>
        </row>
        <row r="2076">
          <cell r="A2076" t="str">
            <v>Super Mario World: Dark Sniggerbobblian Mythos #2: Sniggerbobble's Redemption: The Crystal of Disaster</v>
          </cell>
          <cell r="B2076" t="str">
            <v>Super Mario World: Dark Sniggerbobblian Mythos #2: Sniggerbobble's Redemption: The Crystal of Disaster</v>
          </cell>
          <cell r="C2076" t="str">
            <v>Sniggerb0bble</v>
          </cell>
          <cell r="D2076">
            <v>8</v>
          </cell>
          <cell r="E2076" t="str">
            <v>Newcomer</v>
          </cell>
          <cell r="F2076" t="str">
            <v>Standard</v>
          </cell>
          <cell r="G2076">
            <v>42257</v>
          </cell>
          <cell r="H2076" t="str">
            <v>9661</v>
          </cell>
          <cell r="I2076" t="str">
            <v>https://www.smwcentral.net/?a=details&amp;id=9661&amp;p=section</v>
          </cell>
          <cell r="J2076" t="str">
            <v>https://dl.smwcentral.net/9661/SR%3BTCoD%20Teaser%20Demo.zip</v>
          </cell>
        </row>
        <row r="2077">
          <cell r="A2077" t="str">
            <v>Super Mario World: Dungeon Conquest - C3 Demo</v>
          </cell>
          <cell r="B2077" t="str">
            <v>Super Mario World: Dungeon Conquest - C3 Demo</v>
          </cell>
          <cell r="C2077" t="str">
            <v>Dispace</v>
          </cell>
          <cell r="D2077">
            <v>36</v>
          </cell>
          <cell r="E2077" t="str">
            <v>Casual</v>
          </cell>
          <cell r="F2077" t="str">
            <v>Standard</v>
          </cell>
          <cell r="G2077">
            <v>44768</v>
          </cell>
          <cell r="H2077" t="str">
            <v>31349</v>
          </cell>
          <cell r="I2077" t="str">
            <v>https://www.smwcentral.net/?a=details&amp;id=31349&amp;p=section</v>
          </cell>
          <cell r="J2077" t="str">
            <v>https://dl.smwcentral.net/31349/SMW%20Dungeons.zip</v>
          </cell>
        </row>
        <row r="2078">
          <cell r="A2078" t="str">
            <v>Super Mario World: Emberside Island</v>
          </cell>
          <cell r="B2078" t="str">
            <v>Super Mario World: Emberside Island</v>
          </cell>
          <cell r="C2078" t="str">
            <v>CaramelCupcakes</v>
          </cell>
          <cell r="D2078">
            <v>6</v>
          </cell>
          <cell r="E2078" t="str">
            <v>Casual</v>
          </cell>
          <cell r="F2078" t="str">
            <v>Standard</v>
          </cell>
          <cell r="G2078">
            <v>44819</v>
          </cell>
          <cell r="H2078" t="str">
            <v>32091</v>
          </cell>
          <cell r="I2078" t="str">
            <v>https://www.smwcentral.net/?a=details&amp;id=32091&amp;p=section</v>
          </cell>
          <cell r="J2078" t="str">
            <v>https://dl.smwcentral.net/32091/SMWEmbersideIslandDemo3Upd.zip</v>
          </cell>
        </row>
        <row r="2079">
          <cell r="A2079" t="str">
            <v>Super Mario World: Glitch Land</v>
          </cell>
          <cell r="B2079" t="str">
            <v>Super Mario World: Glitch Land</v>
          </cell>
          <cell r="C2079" t="str">
            <v>Smallhacker</v>
          </cell>
          <cell r="D2079">
            <v>3</v>
          </cell>
          <cell r="E2079" t="str">
            <v>Advanced</v>
          </cell>
          <cell r="F2079" t="str">
            <v>Kaizo, Tool-Assisted</v>
          </cell>
          <cell r="G2079">
            <v>42298</v>
          </cell>
          <cell r="H2079" t="str">
            <v>9792</v>
          </cell>
          <cell r="I2079" t="str">
            <v>https://www.smwcentral.net/?a=details&amp;id=9792&amp;p=section</v>
          </cell>
          <cell r="J2079" t="str">
            <v>https://dl.smwcentral.net/9792/SMW%20Glitch%20Land%20-%20Demo%201.zip</v>
          </cell>
        </row>
        <row r="2080">
          <cell r="A2080" t="str">
            <v>Super Mario World: Hehey!</v>
          </cell>
          <cell r="B2080" t="str">
            <v>Super Mario World: Hehey!</v>
          </cell>
          <cell r="C2080" t="str">
            <v>Grugi</v>
          </cell>
          <cell r="D2080">
            <v>3</v>
          </cell>
          <cell r="E2080" t="str">
            <v>Intermediate</v>
          </cell>
          <cell r="F2080" t="str">
            <v>Standard</v>
          </cell>
          <cell r="G2080">
            <v>42398</v>
          </cell>
          <cell r="H2080" t="str">
            <v>13168</v>
          </cell>
          <cell r="I2080" t="str">
            <v>https://www.smwcentral.net/?a=details&amp;id=13168&amp;p=section</v>
          </cell>
          <cell r="J2080" t="str">
            <v>https://dl.smwcentral.net/13168/SMW%20Hehey%21.zip</v>
          </cell>
        </row>
        <row r="2081">
          <cell r="A2081" t="str">
            <v>Super Mario World: Hunt for the Dragon Coins</v>
          </cell>
          <cell r="B2081" t="str">
            <v>Super Mario World: Hunt for the Dragon Coins</v>
          </cell>
          <cell r="C2081" t="str">
            <v>JDC</v>
          </cell>
          <cell r="D2081">
            <v>7</v>
          </cell>
          <cell r="E2081" t="str">
            <v>Newcomer</v>
          </cell>
          <cell r="F2081" t="str">
            <v>Standard</v>
          </cell>
          <cell r="G2081">
            <v>42279</v>
          </cell>
          <cell r="H2081" t="str">
            <v>10012</v>
          </cell>
          <cell r="I2081" t="str">
            <v>https://www.smwcentral.net/?a=details&amp;id=10012&amp;p=section</v>
          </cell>
          <cell r="J2081" t="str">
            <v>https://dl.smwcentral.net/10012/Super%20Mario%20HFTDC.zip</v>
          </cell>
        </row>
        <row r="2082">
          <cell r="A2082" t="str">
            <v>Super Mario World: Iggy's Island</v>
          </cell>
          <cell r="B2082" t="str">
            <v>Super Mario World: Iggy's Island</v>
          </cell>
          <cell r="C2082" t="str">
            <v>Pirate Yoshi</v>
          </cell>
          <cell r="D2082">
            <v>5</v>
          </cell>
          <cell r="E2082" t="str">
            <v>Newcomer</v>
          </cell>
          <cell r="F2082" t="str">
            <v>Standard</v>
          </cell>
          <cell r="G2082">
            <v>42223</v>
          </cell>
          <cell r="H2082" t="str">
            <v>9840</v>
          </cell>
          <cell r="I2082" t="str">
            <v>https://www.smwcentral.net/?a=details&amp;id=9840&amp;p=section</v>
          </cell>
          <cell r="J2082" t="str">
            <v>https://dl.smwcentral.net/9840/Iggy%27s%20Island%20Zip.zip</v>
          </cell>
        </row>
        <row r="2083">
          <cell r="A2083" t="str">
            <v>Super Mario World: Journey To Plover Hill</v>
          </cell>
          <cell r="B2083" t="str">
            <v>Super Mario World: Journey To Plover Hill</v>
          </cell>
          <cell r="C2083" t="str">
            <v>jcv1235</v>
          </cell>
          <cell r="D2083">
            <v>8</v>
          </cell>
          <cell r="E2083" t="str">
            <v>Newcomer</v>
          </cell>
          <cell r="F2083" t="str">
            <v>Standard</v>
          </cell>
          <cell r="G2083">
            <v>42066</v>
          </cell>
          <cell r="H2083" t="str">
            <v>9803</v>
          </cell>
          <cell r="I2083" t="str">
            <v>https://www.smwcentral.net/?a=details&amp;id=9803&amp;p=section</v>
          </cell>
          <cell r="J2083" t="str">
            <v>https://dl.smwcentral.net/9803/Journey%20To%20Plover%20Hill.zip</v>
          </cell>
        </row>
        <row r="2084">
          <cell r="A2084" t="str">
            <v>Super Mario World: Jurassic Path</v>
          </cell>
          <cell r="B2084" t="str">
            <v>Super Mario World: Jurassic Path</v>
          </cell>
          <cell r="C2084" t="str">
            <v>Mario's Dog</v>
          </cell>
          <cell r="D2084">
            <v>6</v>
          </cell>
          <cell r="E2084" t="str">
            <v>Newcomer</v>
          </cell>
          <cell r="F2084" t="str">
            <v>Standard</v>
          </cell>
          <cell r="G2084">
            <v>42066</v>
          </cell>
          <cell r="H2084" t="str">
            <v>9801</v>
          </cell>
          <cell r="I2084" t="str">
            <v>https://www.smwcentral.net/?a=details&amp;id=9801&amp;p=section</v>
          </cell>
          <cell r="J2084" t="str">
            <v>https://dl.smwcentral.net/9801/Super%20Mario%20World%20Jurassic%20Path%20%28Demo%201%29.zip</v>
          </cell>
        </row>
        <row r="2085">
          <cell r="A2085" t="str">
            <v>Super Mario World: La Nouvelle Vague</v>
          </cell>
          <cell r="B2085" t="str">
            <v>Super Mario World: La Nouvelle Vague</v>
          </cell>
          <cell r="C2085" t="str">
            <v>drake-68</v>
          </cell>
          <cell r="D2085">
            <v>6</v>
          </cell>
          <cell r="E2085" t="str">
            <v>Newcomer</v>
          </cell>
          <cell r="F2085" t="str">
            <v>Standard</v>
          </cell>
          <cell r="G2085">
            <v>41744</v>
          </cell>
          <cell r="H2085" t="str">
            <v>6467</v>
          </cell>
          <cell r="I2085" t="str">
            <v>https://www.smwcentral.net/?a=details&amp;id=6467&amp;p=section</v>
          </cell>
          <cell r="J2085" t="str">
            <v>https://dl.smwcentral.net/6467/SMW%20La%20Nouvelle%20Vague.zip</v>
          </cell>
        </row>
        <row r="2086">
          <cell r="A2086" t="str">
            <v>Super Mario World: Legend of the Four Keys</v>
          </cell>
          <cell r="B2086" t="str">
            <v>Super Mario World: Legend of the Four Keys</v>
          </cell>
          <cell r="C2086" t="str">
            <v>Gamma V</v>
          </cell>
          <cell r="D2086">
            <v>43</v>
          </cell>
          <cell r="E2086" t="str">
            <v>Casual</v>
          </cell>
          <cell r="F2086" t="str">
            <v>Standard</v>
          </cell>
          <cell r="G2086">
            <v>45848</v>
          </cell>
          <cell r="H2086" t="str">
            <v>39962</v>
          </cell>
          <cell r="I2086" t="str">
            <v>https://www.smwcentral.net/?a=details&amp;id=39962&amp;p=section</v>
          </cell>
          <cell r="J2086" t="str">
            <v>https://dl.smwcentral.net/39962/L4K%201.4.zip</v>
          </cell>
        </row>
        <row r="2087">
          <cell r="A2087" t="str">
            <v>Super Mario World: Moving Day</v>
          </cell>
          <cell r="B2087" t="str">
            <v>Super Mario World: Moving Day</v>
          </cell>
          <cell r="C2087" t="str">
            <v>Anonymous</v>
          </cell>
          <cell r="D2087">
            <v>7</v>
          </cell>
          <cell r="E2087" t="str">
            <v>Newcomer</v>
          </cell>
          <cell r="F2087" t="str">
            <v>Standard</v>
          </cell>
          <cell r="G2087">
            <v>42275</v>
          </cell>
          <cell r="H2087" t="str">
            <v>10074</v>
          </cell>
          <cell r="I2087" t="str">
            <v>https://www.smwcentral.net/?a=details&amp;id=10074&amp;p=section</v>
          </cell>
          <cell r="J2087" t="str">
            <v>https://dl.smwcentral.net/10074/MovingDay-Snowshoe.zip</v>
          </cell>
        </row>
        <row r="2088">
          <cell r="A2088" t="str">
            <v>Super Mario World: Panic In Eglet Islands</v>
          </cell>
          <cell r="B2088" t="str">
            <v>Super Mario World: Panic In Eglet Islands</v>
          </cell>
          <cell r="C2088" t="str">
            <v>Volt</v>
          </cell>
          <cell r="D2088">
            <v>6</v>
          </cell>
          <cell r="E2088" t="str">
            <v>Casual</v>
          </cell>
          <cell r="F2088" t="str">
            <v>Standard</v>
          </cell>
          <cell r="G2088">
            <v>41490</v>
          </cell>
          <cell r="H2088" t="str">
            <v>5266</v>
          </cell>
          <cell r="I2088" t="str">
            <v>https://www.smwcentral.net/?a=details&amp;id=5266&amp;p=section</v>
          </cell>
          <cell r="J2088" t="str">
            <v>https://dl.smwcentral.net/5266/SMWPIEI%20%28fixed%29.zip</v>
          </cell>
        </row>
        <row r="2089">
          <cell r="A2089" t="str">
            <v>Super Mario World: Quest up Mount Morlock.</v>
          </cell>
          <cell r="B2089" t="str">
            <v>Super Mario World: Quest up Mount Morlock.</v>
          </cell>
          <cell r="C2089" t="str">
            <v>KaidenThelens</v>
          </cell>
          <cell r="D2089">
            <v>29</v>
          </cell>
          <cell r="E2089" t="str">
            <v>Intermediate</v>
          </cell>
          <cell r="F2089" t="str">
            <v>Standard</v>
          </cell>
          <cell r="G2089">
            <v>44169</v>
          </cell>
          <cell r="H2089" t="str">
            <v>25129</v>
          </cell>
          <cell r="I2089" t="str">
            <v>https://www.smwcentral.net/?a=details&amp;id=25129&amp;p=section</v>
          </cell>
          <cell r="J2089" t="str">
            <v>https://dl.smwcentral.net/25129/Heres%20the%20Video%20Game%20V2.zip</v>
          </cell>
        </row>
        <row r="2090">
          <cell r="A2090" t="str">
            <v>Super Mario World: Return To Dinosaur Land</v>
          </cell>
          <cell r="B2090" t="str">
            <v>Super Mario World: Return To Dinosaur Land</v>
          </cell>
          <cell r="C2090" t="str">
            <v>RAGB</v>
          </cell>
          <cell r="D2090">
            <v>59</v>
          </cell>
          <cell r="E2090" t="str">
            <v>Casual</v>
          </cell>
          <cell r="F2090" t="str">
            <v>Standard</v>
          </cell>
          <cell r="G2090">
            <v>41449</v>
          </cell>
          <cell r="H2090" t="str">
            <v>4990</v>
          </cell>
          <cell r="I2090" t="str">
            <v>https://www.smwcentral.net/?a=details&amp;id=4990&amp;p=section</v>
          </cell>
          <cell r="J2090" t="str">
            <v>https://dl.smwcentral.net/4990/SMW-%20RDL.zip</v>
          </cell>
        </row>
        <row r="2091">
          <cell r="A2091" t="str">
            <v>Super Mario World: Season 2</v>
          </cell>
          <cell r="B2091" t="str">
            <v>Super Mario World: Season 2</v>
          </cell>
          <cell r="C2091" t="str">
            <v>DaHitmenGuy</v>
          </cell>
          <cell r="D2091">
            <v>92</v>
          </cell>
          <cell r="E2091" t="str">
            <v>Casual</v>
          </cell>
          <cell r="F2091" t="str">
            <v>Standard</v>
          </cell>
          <cell r="G2091">
            <v>44836</v>
          </cell>
          <cell r="H2091" t="str">
            <v>31925</v>
          </cell>
          <cell r="I2091" t="str">
            <v>https://www.smwcentral.net/?a=details&amp;id=31925&amp;p=section</v>
          </cell>
          <cell r="J2091" t="str">
            <v>https://dl.smwcentral.net/31925/Super%20Mario%20World%20-%20Season%202%20%282021%29.zip</v>
          </cell>
        </row>
        <row r="2092">
          <cell r="A2092" t="str">
            <v>Super Mario World: Season 3</v>
          </cell>
          <cell r="B2092" t="str">
            <v>Super Mario World: Season 3</v>
          </cell>
          <cell r="C2092" t="str">
            <v>DaHitmenGuy</v>
          </cell>
          <cell r="D2092">
            <v>29</v>
          </cell>
          <cell r="E2092" t="str">
            <v>Casual</v>
          </cell>
          <cell r="F2092" t="str">
            <v>Standard</v>
          </cell>
          <cell r="G2092">
            <v>44938</v>
          </cell>
          <cell r="H2092" t="str">
            <v>32736</v>
          </cell>
          <cell r="I2092" t="str">
            <v>https://www.smwcentral.net/?a=details&amp;id=32736&amp;p=section</v>
          </cell>
          <cell r="J2092" t="str">
            <v>https://dl.smwcentral.net/32736/Super%20Mario%20World%20-%20Season%203%20%28Demo%20V1%29.zip</v>
          </cell>
        </row>
        <row r="2093">
          <cell r="A2093" t="str">
            <v>Super Mario World: Seasonal Chaos!</v>
          </cell>
          <cell r="B2093" t="str">
            <v>Super Mario World: Seasonal Chaos!</v>
          </cell>
          <cell r="C2093" t="str">
            <v>Starman97</v>
          </cell>
          <cell r="D2093">
            <v>5</v>
          </cell>
          <cell r="E2093" t="str">
            <v>Newcomer</v>
          </cell>
          <cell r="F2093" t="str">
            <v>Standard</v>
          </cell>
          <cell r="G2093">
            <v>44703</v>
          </cell>
          <cell r="H2093" t="str">
            <v>30887</v>
          </cell>
          <cell r="I2093" t="str">
            <v>https://www.smwcentral.net/?a=details&amp;id=30887&amp;p=section</v>
          </cell>
          <cell r="J2093" t="str">
            <v>https://dl.smwcentral.net/30887/SMWSeasonalChaos%21.zip</v>
          </cell>
        </row>
        <row r="2094">
          <cell r="A2094" t="str">
            <v>Super Mario World: Serbow's Assault</v>
          </cell>
          <cell r="B2094" t="str">
            <v>Super Mario World: Serbow's Assault</v>
          </cell>
          <cell r="C2094" t="str">
            <v>keckcellent</v>
          </cell>
          <cell r="D2094">
            <v>28</v>
          </cell>
          <cell r="E2094" t="str">
            <v>Casual</v>
          </cell>
          <cell r="F2094" t="str">
            <v>Standard</v>
          </cell>
          <cell r="G2094">
            <v>41573</v>
          </cell>
          <cell r="H2094" t="str">
            <v>5446</v>
          </cell>
          <cell r="I2094" t="str">
            <v>https://www.smwcentral.net/?a=details&amp;id=5446&amp;p=section</v>
          </cell>
          <cell r="J2094" t="str">
            <v>https://dl.smwcentral.net/5446/Serbow1-3.zip</v>
          </cell>
        </row>
        <row r="2095">
          <cell r="A2095" t="str">
            <v>Super Mario World: Shy-Shy Island</v>
          </cell>
          <cell r="B2095" t="str">
            <v>Super Mario World: Shy-Shy Island</v>
          </cell>
          <cell r="C2095" t="str">
            <v>yupyup____</v>
          </cell>
          <cell r="D2095">
            <v>5</v>
          </cell>
          <cell r="E2095" t="str">
            <v>Casual</v>
          </cell>
          <cell r="F2095" t="str">
            <v>Standard</v>
          </cell>
          <cell r="G2095">
            <v>43971</v>
          </cell>
          <cell r="H2095" t="str">
            <v>23028</v>
          </cell>
          <cell r="I2095" t="str">
            <v>https://www.smwcentral.net/?a=details&amp;id=23028&amp;p=section</v>
          </cell>
          <cell r="J2095" t="str">
            <v>https://dl.smwcentral.net/23028/SMW%20shyshy%20island.zip</v>
          </cell>
        </row>
        <row r="2096">
          <cell r="A2096" t="str">
            <v>Super Mario World: The 4 Magic Wands</v>
          </cell>
          <cell r="B2096" t="str">
            <v>Super Mario World: The 4 Magic Wands</v>
          </cell>
          <cell r="C2096" t="str">
            <v>Green Jerry</v>
          </cell>
          <cell r="D2096">
            <v>24</v>
          </cell>
          <cell r="E2096" t="str">
            <v>Casual</v>
          </cell>
          <cell r="F2096" t="str">
            <v>Standard</v>
          </cell>
          <cell r="G2096">
            <v>45704</v>
          </cell>
          <cell r="H2096" t="str">
            <v>39208</v>
          </cell>
          <cell r="I2096" t="str">
            <v>https://www.smwcentral.net/?a=details&amp;id=39208&amp;p=section</v>
          </cell>
          <cell r="J2096" t="str">
            <v>https://dl.smwcentral.net/39208/Super%20Mario%20World%20-%20The%204%20Magic%20Wands%20V1.0.2.zip</v>
          </cell>
        </row>
        <row r="2097">
          <cell r="A2097" t="str">
            <v>Super Mario World: The 7 Elemental Yoshies</v>
          </cell>
          <cell r="B2097" t="str">
            <v>Super Mario World: The 7 Elemental Yoshies</v>
          </cell>
          <cell r="C2097" t="str">
            <v>RandomUser46</v>
          </cell>
          <cell r="D2097">
            <v>7</v>
          </cell>
          <cell r="E2097" t="str">
            <v>Newcomer</v>
          </cell>
          <cell r="F2097" t="str">
            <v>Standard</v>
          </cell>
          <cell r="G2097">
            <v>42073</v>
          </cell>
          <cell r="H2097" t="str">
            <v>11004</v>
          </cell>
          <cell r="I2097" t="str">
            <v>https://www.smwcentral.net/?a=details&amp;id=11004&amp;p=section</v>
          </cell>
          <cell r="J2097" t="str">
            <v>https://dl.smwcentral.net/11004/SMW%20The%207%20Elemental%20Yoshies%20DEMO.zip</v>
          </cell>
        </row>
        <row r="2098">
          <cell r="A2098" t="str">
            <v>Super Mario World: The 7 Koopalings Return</v>
          </cell>
          <cell r="B2098" t="str">
            <v>Super Mario World: The 7 Koopalings Return</v>
          </cell>
          <cell r="C2098" t="str">
            <v>mario and luigi</v>
          </cell>
          <cell r="D2098">
            <v>15</v>
          </cell>
          <cell r="E2098" t="str">
            <v>Casual</v>
          </cell>
          <cell r="F2098" t="str">
            <v>Standard</v>
          </cell>
          <cell r="G2098">
            <v>41885</v>
          </cell>
          <cell r="H2098" t="str">
            <v>9053</v>
          </cell>
          <cell r="I2098" t="str">
            <v>https://www.smwcentral.net/?a=details&amp;id=9053&amp;p=section</v>
          </cell>
          <cell r="J2098" t="str">
            <v>https://dl.smwcentral.net/9053/koopalings%20-%20demo.zip</v>
          </cell>
        </row>
        <row r="2099">
          <cell r="A2099" t="str">
            <v>Super Mario World: The After Years (Ultra)</v>
          </cell>
          <cell r="B2099" t="str">
            <v>Super Mario World: The After Years (Ultra)</v>
          </cell>
          <cell r="C2099" t="str">
            <v>EvilGuy0613</v>
          </cell>
          <cell r="D2099">
            <v>100</v>
          </cell>
          <cell r="E2099" t="str">
            <v>Casual</v>
          </cell>
          <cell r="F2099" t="str">
            <v>Standard</v>
          </cell>
          <cell r="G2099">
            <v>41603</v>
          </cell>
          <cell r="H2099" t="str">
            <v>5593</v>
          </cell>
          <cell r="I2099" t="str">
            <v>https://www.smwcentral.net/?a=details&amp;id=5593&amp;p=section</v>
          </cell>
          <cell r="J2099" t="str">
            <v>https://dl.smwcentral.net/5593/Super%20Mario%20World%20-%20The%20After%20Years%20%28Ultra%29.zip</v>
          </cell>
        </row>
        <row r="2100">
          <cell r="A2100" t="str">
            <v>Super Mario World: The Crazy Quest</v>
          </cell>
          <cell r="B2100" t="str">
            <v>Super Mario World: The Crazy Quest</v>
          </cell>
          <cell r="C2100" t="str">
            <v>Ayami</v>
          </cell>
          <cell r="D2100">
            <v>6</v>
          </cell>
          <cell r="E2100" t="str">
            <v>Casual</v>
          </cell>
          <cell r="F2100" t="str">
            <v>Standard</v>
          </cell>
          <cell r="G2100">
            <v>42100</v>
          </cell>
          <cell r="H2100" t="str">
            <v>10043</v>
          </cell>
          <cell r="I2100" t="str">
            <v>https://www.smwcentral.net/?a=details&amp;id=10043&amp;p=section</v>
          </cell>
          <cell r="J2100" t="str">
            <v>https://dl.smwcentral.net/10043/SMW%20The%20Crazy%20Quest%20%28DEMO%20v1.0%29.zip</v>
          </cell>
        </row>
        <row r="2101">
          <cell r="A2101" t="str">
            <v>Super Mario World: The Final Showdown!</v>
          </cell>
          <cell r="B2101" t="str">
            <v>Super Mario World: The Final Showdown!</v>
          </cell>
          <cell r="C2101" t="str">
            <v>Kyanite</v>
          </cell>
          <cell r="D2101">
            <v>10</v>
          </cell>
          <cell r="E2101" t="str">
            <v>Newcomer</v>
          </cell>
          <cell r="F2101" t="str">
            <v>Standard</v>
          </cell>
          <cell r="G2101">
            <v>42270</v>
          </cell>
          <cell r="H2101" t="str">
            <v>12113</v>
          </cell>
          <cell r="I2101" t="str">
            <v>https://www.smwcentral.net/?a=details&amp;id=12113&amp;p=section</v>
          </cell>
          <cell r="J2101" t="str">
            <v>https://dl.smwcentral.net/12113/SMWTheFinalShowdown%28Demo%29.zip</v>
          </cell>
        </row>
        <row r="2102">
          <cell r="A2102" t="str">
            <v>Super Mario World: The Huge Adventure</v>
          </cell>
          <cell r="B2102" t="str">
            <v>Super Mario World: The Huge Adventure</v>
          </cell>
          <cell r="C2102" t="str">
            <v>bandicoot</v>
          </cell>
          <cell r="D2102">
            <v>31</v>
          </cell>
          <cell r="E2102" t="str">
            <v>Casual</v>
          </cell>
          <cell r="F2102" t="str">
            <v>Standard</v>
          </cell>
          <cell r="G2102">
            <v>42222</v>
          </cell>
          <cell r="H2102" t="str">
            <v>10221</v>
          </cell>
          <cell r="I2102" t="str">
            <v>https://www.smwcentral.net/?a=details&amp;id=10221&amp;p=section</v>
          </cell>
          <cell r="J2102" t="str">
            <v>https://dl.smwcentral.net/10221/tha.zip</v>
          </cell>
        </row>
        <row r="2103">
          <cell r="A2103" t="str">
            <v>Super Mario World: The Lost Adventure - Episode I REMASTERED</v>
          </cell>
          <cell r="B2103" t="str">
            <v>Super Mario World: The Lost Adventure - Episode I REMASTERED</v>
          </cell>
          <cell r="C2103" t="str">
            <v>RichardDS90, isaix</v>
          </cell>
          <cell r="D2103">
            <v>93</v>
          </cell>
          <cell r="E2103" t="str">
            <v>Casual</v>
          </cell>
          <cell r="F2103" t="str">
            <v>Standard</v>
          </cell>
          <cell r="G2103">
            <v>45005</v>
          </cell>
          <cell r="H2103" t="str">
            <v>33456</v>
          </cell>
          <cell r="I2103" t="str">
            <v>https://www.smwcentral.net/?a=details&amp;id=33456&amp;p=section</v>
          </cell>
          <cell r="J2103" t="str">
            <v>https://dl.smwcentral.net/33456/SMW%20The%20Lost%20Adventure%20Episode%20I%20REMASTERED.zip</v>
          </cell>
        </row>
        <row r="2104">
          <cell r="A2104" t="str">
            <v>Super Mario World: The Lost Levels</v>
          </cell>
          <cell r="B2104" t="str">
            <v>Super Mario World: The Lost Levels</v>
          </cell>
          <cell r="C2104" t="str">
            <v>CargoOfDarkness, LunaStarshine</v>
          </cell>
          <cell r="D2104">
            <v>106</v>
          </cell>
          <cell r="E2104" t="str">
            <v>Master</v>
          </cell>
          <cell r="F2104" t="str">
            <v>Standard</v>
          </cell>
          <cell r="G2104">
            <v>41711</v>
          </cell>
          <cell r="H2104" t="str">
            <v>6410</v>
          </cell>
          <cell r="I2104" t="str">
            <v>https://www.smwcentral.net/?a=details&amp;id=6410&amp;p=section</v>
          </cell>
          <cell r="J2104" t="str">
            <v>https://dl.smwcentral.net/6410/New%20Super%20Mario%20World%20-%20The%20%20Lost%20Levels.zip</v>
          </cell>
        </row>
        <row r="2105">
          <cell r="A2105" t="str">
            <v>Super Mario World: The Magical Golden Mushroom</v>
          </cell>
          <cell r="B2105" t="str">
            <v>Super Mario World: The Magical Golden Mushroom</v>
          </cell>
          <cell r="C2105" t="str">
            <v>Green Jerry</v>
          </cell>
          <cell r="D2105">
            <v>70</v>
          </cell>
          <cell r="E2105" t="str">
            <v>Intermediate</v>
          </cell>
          <cell r="F2105" t="str">
            <v>Standard</v>
          </cell>
          <cell r="G2105">
            <v>46208</v>
          </cell>
          <cell r="H2105" t="str">
            <v>42564</v>
          </cell>
          <cell r="I2105" t="str">
            <v>https://www.smwcentral.net/?a=details&amp;id=42564&amp;p=section</v>
          </cell>
          <cell r="J2105" t="str">
            <v>https://dl.smwcentral.net/42564/Super%20Mario%20World%20-%20The%20Magical%20Golden%20Mushroom%20v1.2.zip</v>
          </cell>
        </row>
        <row r="2106">
          <cell r="A2106" t="str">
            <v>Super Mario World: The Magical Wand</v>
          </cell>
          <cell r="B2106" t="str">
            <v>Super Mario World: The Magical Wand</v>
          </cell>
          <cell r="C2106" t="str">
            <v>TheEvilFlashAnimator</v>
          </cell>
          <cell r="D2106">
            <v>6</v>
          </cell>
          <cell r="E2106" t="str">
            <v>Casual</v>
          </cell>
          <cell r="F2106" t="str">
            <v>Standard</v>
          </cell>
          <cell r="G2106">
            <v>42291</v>
          </cell>
          <cell r="H2106" t="str">
            <v>10062</v>
          </cell>
          <cell r="I2106" t="str">
            <v>https://www.smwcentral.net/?a=details&amp;id=10062&amp;p=section</v>
          </cell>
          <cell r="J2106" t="str">
            <v>https://dl.smwcentral.net/10062/SMWTMW_demo.zip</v>
          </cell>
        </row>
        <row r="2107">
          <cell r="A2107" t="str">
            <v>Super Mario World: The Megaman 29th anniversary adventure</v>
          </cell>
          <cell r="B2107" t="str">
            <v>Super Mario World: The Megaman 29th anniversary adventure</v>
          </cell>
          <cell r="C2107" t="str">
            <v>Roberto zampari</v>
          </cell>
          <cell r="D2107">
            <v>90</v>
          </cell>
          <cell r="E2107" t="str">
            <v>Casual</v>
          </cell>
          <cell r="F2107" t="str">
            <v>Standard</v>
          </cell>
          <cell r="G2107">
            <v>42538</v>
          </cell>
          <cell r="H2107" t="str">
            <v>13720</v>
          </cell>
          <cell r="I2107" t="str">
            <v>https://www.smwcentral.net/?a=details&amp;id=13720&amp;p=section</v>
          </cell>
          <cell r="J2107" t="str">
            <v>https://dl.smwcentral.net/13720/Megaman29thfull2.zip</v>
          </cell>
        </row>
        <row r="2108">
          <cell r="A2108" t="str">
            <v>Super Mario World: The Meteor...</v>
          </cell>
          <cell r="B2108" t="str">
            <v>Super Mario World: The Meteor...</v>
          </cell>
          <cell r="C2108" t="str">
            <v>Saturn the Donkey</v>
          </cell>
          <cell r="D2108">
            <v>7</v>
          </cell>
          <cell r="E2108" t="str">
            <v>Casual</v>
          </cell>
          <cell r="F2108" t="str">
            <v>Standard</v>
          </cell>
          <cell r="G2108">
            <v>42219</v>
          </cell>
          <cell r="H2108" t="str">
            <v>9643</v>
          </cell>
          <cell r="I2108" t="str">
            <v>https://www.smwcentral.net/?a=details&amp;id=9643&amp;p=section</v>
          </cell>
          <cell r="J2108" t="str">
            <v>https://dl.smwcentral.net/9643/Mario%20the%20meteor.zip</v>
          </cell>
        </row>
        <row r="2109">
          <cell r="A2109" t="str">
            <v>Super Mario World: The Mysterious Armada</v>
          </cell>
          <cell r="B2109" t="str">
            <v>Super Mario World: The Mysterious Armada</v>
          </cell>
          <cell r="C2109" t="str">
            <v>MetallicKreeper</v>
          </cell>
          <cell r="D2109">
            <v>8</v>
          </cell>
          <cell r="E2109" t="str">
            <v>Casual</v>
          </cell>
          <cell r="F2109" t="str">
            <v>Standard</v>
          </cell>
          <cell r="G2109">
            <v>43471</v>
          </cell>
          <cell r="H2109" t="str">
            <v>18817</v>
          </cell>
          <cell r="I2109" t="str">
            <v>https://www.smwcentral.net/?a=details&amp;id=18817&amp;p=section</v>
          </cell>
          <cell r="J2109" t="str">
            <v>https://dl.smwcentral.net/18817/TMA.zip</v>
          </cell>
        </row>
        <row r="2110">
          <cell r="A2110" t="str">
            <v>Super Mario World: The New World</v>
          </cell>
          <cell r="B2110" t="str">
            <v>Super Mario World: The New World</v>
          </cell>
          <cell r="C2110" t="str">
            <v>MrUltimateKirby</v>
          </cell>
          <cell r="D2110">
            <v>26</v>
          </cell>
          <cell r="E2110" t="str">
            <v>Casual</v>
          </cell>
          <cell r="F2110" t="str">
            <v>Standard</v>
          </cell>
          <cell r="G2110">
            <v>42750</v>
          </cell>
          <cell r="H2110" t="str">
            <v>14829</v>
          </cell>
          <cell r="I2110" t="str">
            <v>https://www.smwcentral.net/?a=details&amp;id=14829&amp;p=section</v>
          </cell>
          <cell r="J2110" t="str">
            <v>https://dl.smwcentral.net/14829/Super%20Mario%20World%20-%20The%20New%20World.zip</v>
          </cell>
        </row>
        <row r="2111">
          <cell r="A2111" t="str">
            <v>Super Mario World: The Return of Bowser</v>
          </cell>
          <cell r="B2111" t="str">
            <v>Super Mario World: The Return of Bowser</v>
          </cell>
          <cell r="C2111" t="str">
            <v>Bmann7000</v>
          </cell>
          <cell r="D2111">
            <v>7</v>
          </cell>
          <cell r="E2111" t="str">
            <v>Intermediate</v>
          </cell>
          <cell r="F2111" t="str">
            <v>Standard</v>
          </cell>
          <cell r="G2111">
            <v>42104</v>
          </cell>
          <cell r="H2111" t="str">
            <v>9733</v>
          </cell>
          <cell r="I2111" t="str">
            <v>https://www.smwcentral.net/?a=details&amp;id=9733&amp;p=section</v>
          </cell>
          <cell r="J2111" t="str">
            <v>https://dl.smwcentral.net/9733/Mario2008v4.zip</v>
          </cell>
        </row>
        <row r="2112">
          <cell r="A2112" t="str">
            <v>Super Mario World: The Secret of 4 Colour Switch</v>
          </cell>
          <cell r="B2112" t="str">
            <v>Super Mario World: The Secret of 4 Colour Switch</v>
          </cell>
          <cell r="C2112" t="str">
            <v>Reaper Fan</v>
          </cell>
          <cell r="D2112">
            <v>9</v>
          </cell>
          <cell r="E2112" t="str">
            <v>Intermediate</v>
          </cell>
          <cell r="F2112" t="str">
            <v>Standard</v>
          </cell>
          <cell r="G2112">
            <v>42180</v>
          </cell>
          <cell r="H2112" t="str">
            <v>11585</v>
          </cell>
          <cell r="I2112" t="str">
            <v>https://www.smwcentral.net/?a=details&amp;id=11585&amp;p=section</v>
          </cell>
          <cell r="J2112" t="str">
            <v>https://dl.smwcentral.net/11585/SMW-The%20Secret%20Of%204%20Colour%20Switch%20Demo%201.3.zip</v>
          </cell>
        </row>
        <row r="2113">
          <cell r="A2113" t="str">
            <v>Super Mario World: The Secret of the 7 Golden Statues</v>
          </cell>
          <cell r="B2113" t="str">
            <v>Super Mario World: The Secret of the 7 Golden Statues</v>
          </cell>
          <cell r="C2113" t="str">
            <v>mario90</v>
          </cell>
          <cell r="D2113">
            <v>86</v>
          </cell>
          <cell r="E2113" t="str">
            <v>Intermediate</v>
          </cell>
          <cell r="F2113" t="str">
            <v>Standard</v>
          </cell>
          <cell r="G2113">
            <v>44511</v>
          </cell>
          <cell r="H2113" t="str">
            <v>28693</v>
          </cell>
          <cell r="I2113" t="str">
            <v>https://www.smwcentral.net/?a=details&amp;id=28693&amp;p=section</v>
          </cell>
          <cell r="J2113" t="str">
            <v>https://dl.smwcentral.net/28693/Super_Mario_World_The_Secret_of_the_7_Golden_Statues.zip</v>
          </cell>
        </row>
        <row r="2114">
          <cell r="A2114" t="str">
            <v>Super Mario World: The Secret of the Lands!</v>
          </cell>
          <cell r="B2114" t="str">
            <v>Super Mario World: The Secret of the Lands!</v>
          </cell>
          <cell r="C2114" t="str">
            <v>mario and luigi</v>
          </cell>
          <cell r="D2114">
            <v>22</v>
          </cell>
          <cell r="E2114" t="str">
            <v>Casual</v>
          </cell>
          <cell r="F2114" t="str">
            <v>Standard</v>
          </cell>
          <cell r="G2114">
            <v>41649</v>
          </cell>
          <cell r="H2114" t="str">
            <v>6084</v>
          </cell>
          <cell r="I2114" t="str">
            <v>https://www.smwcentral.net/?a=details&amp;id=6084&amp;p=section</v>
          </cell>
          <cell r="J2114" t="str">
            <v>https://dl.smwcentral.net/6084/tsotl%20-%20demo%202%21.zip</v>
          </cell>
        </row>
        <row r="2115">
          <cell r="A2115" t="str">
            <v>Super Mario World: The Star Field</v>
          </cell>
          <cell r="B2115" t="str">
            <v>Super Mario World: The Star Field</v>
          </cell>
          <cell r="C2115" t="str">
            <v>vysethelegend47</v>
          </cell>
          <cell r="D2115">
            <v>58</v>
          </cell>
          <cell r="E2115" t="str">
            <v>Intermediate</v>
          </cell>
          <cell r="F2115" t="str">
            <v>Standard</v>
          </cell>
          <cell r="G2115">
            <v>42279</v>
          </cell>
          <cell r="H2115" t="str">
            <v>9966</v>
          </cell>
          <cell r="I2115" t="str">
            <v>https://www.smwcentral.net/?a=details&amp;id=9966&amp;p=section</v>
          </cell>
          <cell r="J2115" t="str">
            <v>https://dl.smwcentral.net/9966/SMWTheStarFieldDemo2.2.zip</v>
          </cell>
        </row>
        <row r="2116">
          <cell r="A2116" t="str">
            <v>Super Mario World: Twentieth Anniversary Edition</v>
          </cell>
          <cell r="B2116" t="str">
            <v>Super Mario World: Twentieth Anniversary Edition</v>
          </cell>
          <cell r="C2116" t="str">
            <v>Fyord</v>
          </cell>
          <cell r="D2116">
            <v>21</v>
          </cell>
          <cell r="E2116" t="str">
            <v>Newcomer</v>
          </cell>
          <cell r="F2116" t="str">
            <v>Standard</v>
          </cell>
          <cell r="G2116">
            <v>42273</v>
          </cell>
          <cell r="H2116" t="str">
            <v>10041</v>
          </cell>
          <cell r="I2116" t="str">
            <v>https://www.smwcentral.net/?a=details&amp;id=10041&amp;p=section</v>
          </cell>
          <cell r="J2116" t="str">
            <v>https://dl.smwcentral.net/10041/SMW%20Twentieth%20Anniversary.zip</v>
          </cell>
        </row>
        <row r="2117">
          <cell r="A2117" t="str">
            <v>Super Mario World: Uber Edition</v>
          </cell>
          <cell r="B2117" t="str">
            <v>Super Mario World: Uber Edition</v>
          </cell>
          <cell r="C2117" t="str">
            <v>MarioPwnz</v>
          </cell>
          <cell r="D2117">
            <v>6</v>
          </cell>
          <cell r="E2117" t="str">
            <v>Newcomer</v>
          </cell>
          <cell r="F2117" t="str">
            <v>Standard</v>
          </cell>
          <cell r="G2117">
            <v>42131</v>
          </cell>
          <cell r="H2117" t="str">
            <v>9772</v>
          </cell>
          <cell r="I2117" t="str">
            <v>https://www.smwcentral.net/?a=details&amp;id=9772&amp;p=section</v>
          </cell>
          <cell r="J2117" t="str">
            <v>https://dl.smwcentral.net/9772/Uber%20Mario%20World%20DEMO1.zip</v>
          </cell>
        </row>
        <row r="2118">
          <cell r="A2118" t="str">
            <v>Super Mario World: Winter's Delight</v>
          </cell>
          <cell r="B2118" t="str">
            <v>Super Mario World: Winter's Delight</v>
          </cell>
          <cell r="C2118" t="str">
            <v>BD132</v>
          </cell>
          <cell r="D2118">
            <v>4</v>
          </cell>
          <cell r="E2118" t="str">
            <v>Newcomer</v>
          </cell>
          <cell r="F2118" t="str">
            <v>Standard</v>
          </cell>
          <cell r="G2118">
            <v>42153</v>
          </cell>
          <cell r="H2118" t="str">
            <v>9847</v>
          </cell>
          <cell r="I2118" t="str">
            <v>https://www.smwcentral.net/?a=details&amp;id=9847&amp;p=section</v>
          </cell>
          <cell r="J2118" t="str">
            <v>https://dl.smwcentral.net/9847/WintersDelight.zip</v>
          </cell>
        </row>
        <row r="2119">
          <cell r="A2119" t="str">
            <v>Super Mario Worldwide</v>
          </cell>
          <cell r="B2119" t="str">
            <v>Super Mario Worldwide</v>
          </cell>
          <cell r="C2119" t="str">
            <v>Antroid</v>
          </cell>
          <cell r="D2119">
            <v>28</v>
          </cell>
          <cell r="E2119" t="str">
            <v>Casual</v>
          </cell>
          <cell r="F2119" t="str">
            <v>Standard</v>
          </cell>
          <cell r="G2119">
            <v>42223</v>
          </cell>
          <cell r="H2119" t="str">
            <v>9767</v>
          </cell>
          <cell r="I2119" t="str">
            <v>https://www.smwcentral.net/?a=details&amp;id=9767&amp;p=section</v>
          </cell>
          <cell r="J2119" t="str">
            <v>https://dl.smwcentral.net/9767/Super_Mario_Worldwide.zip</v>
          </cell>
        </row>
        <row r="2120">
          <cell r="A2120" t="str">
            <v>Super Mario Worldwide 2</v>
          </cell>
          <cell r="B2120" t="str">
            <v>Super Mario Worldwide 2</v>
          </cell>
          <cell r="C2120" t="str">
            <v>Antroid</v>
          </cell>
          <cell r="D2120">
            <v>66</v>
          </cell>
          <cell r="E2120" t="str">
            <v>Casual</v>
          </cell>
          <cell r="F2120" t="str">
            <v>Standard</v>
          </cell>
          <cell r="G2120">
            <v>41604</v>
          </cell>
          <cell r="H2120" t="str">
            <v>5370</v>
          </cell>
          <cell r="I2120" t="str">
            <v>https://www.smwcentral.net/?a=details&amp;id=5370&amp;p=section</v>
          </cell>
          <cell r="J2120" t="str">
            <v>https://dl.smwcentral.net/5370/Super_Mario_Worldwide_2.zip</v>
          </cell>
        </row>
        <row r="2121">
          <cell r="A2121" t="str">
            <v>Super Mario World²</v>
          </cell>
          <cell r="B2121" t="str">
            <v>Super Mario World²</v>
          </cell>
          <cell r="C2121" t="str">
            <v>Young Boi</v>
          </cell>
          <cell r="D2121">
            <v>6</v>
          </cell>
          <cell r="E2121" t="str">
            <v>Newcomer</v>
          </cell>
          <cell r="F2121" t="str">
            <v>Standard</v>
          </cell>
          <cell r="G2121">
            <v>43548</v>
          </cell>
          <cell r="H2121" t="str">
            <v>19292</v>
          </cell>
          <cell r="I2121" t="str">
            <v>https://www.smwcentral.net/?a=details&amp;id=19292&amp;p=section</v>
          </cell>
          <cell r="J2121" t="str">
            <v>https://dl.smwcentral.net/19292/SMW%5E2%20DEMO.zip</v>
          </cell>
        </row>
        <row r="2122">
          <cell r="A2122" t="str">
            <v>Super Mario Wornilla</v>
          </cell>
          <cell r="B2122" t="str">
            <v>Super Mario Wornilla</v>
          </cell>
          <cell r="C2122" t="str">
            <v>Drakel</v>
          </cell>
          <cell r="D2122">
            <v>77</v>
          </cell>
          <cell r="E2122" t="str">
            <v>Intermediate</v>
          </cell>
          <cell r="F2122" t="str">
            <v>Standard</v>
          </cell>
          <cell r="G2122">
            <v>43646</v>
          </cell>
          <cell r="H2122" t="str">
            <v>20336</v>
          </cell>
          <cell r="I2122" t="str">
            <v>https://www.smwcentral.net/?a=details&amp;id=20336&amp;p=section</v>
          </cell>
          <cell r="J2122" t="str">
            <v>https://dl.smwcentral.net/20336/Super%20Mario%20Wornilla.zip</v>
          </cell>
        </row>
        <row r="2123">
          <cell r="A2123" t="str">
            <v>Super Mario Wornilla - Lost Levels</v>
          </cell>
          <cell r="B2123" t="str">
            <v>Super Mario Wornilla - Lost Levels</v>
          </cell>
          <cell r="C2123" t="str">
            <v>Drakel</v>
          </cell>
          <cell r="D2123">
            <v>20</v>
          </cell>
          <cell r="E2123" t="str">
            <v>Master</v>
          </cell>
          <cell r="F2123" t="str">
            <v>Kaizo</v>
          </cell>
          <cell r="G2123">
            <v>43881</v>
          </cell>
          <cell r="H2123" t="str">
            <v>22082</v>
          </cell>
          <cell r="I2123" t="str">
            <v>https://www.smwcentral.net/?a=details&amp;id=22082&amp;p=section</v>
          </cell>
          <cell r="J2123" t="str">
            <v>https://dl.smwcentral.net/22082/Wornilla%20-%20LostLevels.zip</v>
          </cell>
        </row>
        <row r="2124">
          <cell r="A2124" t="str">
            <v>Super Mario X</v>
          </cell>
          <cell r="B2124" t="str">
            <v>Super Mario X</v>
          </cell>
          <cell r="C2124" t="str">
            <v>zack30</v>
          </cell>
          <cell r="D2124">
            <v>7</v>
          </cell>
          <cell r="E2124" t="str">
            <v>Newcomer</v>
          </cell>
          <cell r="F2124" t="str">
            <v>Standard</v>
          </cell>
          <cell r="G2124">
            <v>41772</v>
          </cell>
          <cell r="H2124" t="str">
            <v>6532</v>
          </cell>
          <cell r="I2124" t="str">
            <v>https://www.smwcentral.net/?a=details&amp;id=6532&amp;p=section</v>
          </cell>
          <cell r="J2124" t="str">
            <v>https://dl.smwcentral.net/6532/Super%20Mario%20X.zip</v>
          </cell>
        </row>
        <row r="2125">
          <cell r="A2125" t="str">
            <v>Super Mario Yggdrasil</v>
          </cell>
          <cell r="B2125" t="str">
            <v>Super Mario Yggdrasil</v>
          </cell>
          <cell r="C2125" t="str">
            <v>Inventalgames</v>
          </cell>
          <cell r="D2125">
            <v>30</v>
          </cell>
          <cell r="E2125" t="str">
            <v>Casual</v>
          </cell>
          <cell r="F2125" t="str">
            <v>Standard</v>
          </cell>
          <cell r="G2125">
            <v>46052</v>
          </cell>
          <cell r="H2125" t="str">
            <v>41496</v>
          </cell>
          <cell r="I2125" t="str">
            <v>https://www.smwcentral.net/?a=details&amp;id=41496&amp;p=section</v>
          </cell>
          <cell r="J2125" t="str">
            <v>https://dl.smwcentral.net/41496/Super%20Mario%20Yggdrasil.zip</v>
          </cell>
        </row>
        <row r="2126">
          <cell r="A2126" t="str">
            <v>Super Mario's Adventure To Waste Time</v>
          </cell>
          <cell r="B2126" t="str">
            <v>Super Mario's Adventure To Waste Time</v>
          </cell>
          <cell r="C2126" t="str">
            <v>lolyoshi</v>
          </cell>
          <cell r="D2126">
            <v>6</v>
          </cell>
          <cell r="E2126" t="str">
            <v>Advanced</v>
          </cell>
          <cell r="F2126" t="str">
            <v>Kaizo, Tool-Assisted</v>
          </cell>
          <cell r="G2126">
            <v>41818</v>
          </cell>
          <cell r="H2126" t="str">
            <v>6094</v>
          </cell>
          <cell r="I2126" t="str">
            <v>https://www.smwcentral.net/?a=details&amp;id=6094&amp;p=section</v>
          </cell>
          <cell r="J2126" t="str">
            <v>https://dl.smwcentral.net/6094/SMATWT%20v1.5.zip</v>
          </cell>
        </row>
        <row r="2127">
          <cell r="A2127" t="str">
            <v>Super Mario's Island Hopping Adventure</v>
          </cell>
          <cell r="B2127" t="str">
            <v>Super Mario's Island Hopping Adventure</v>
          </cell>
          <cell r="C2127" t="str">
            <v>Techokami</v>
          </cell>
          <cell r="D2127">
            <v>10</v>
          </cell>
          <cell r="E2127" t="str">
            <v>Newcomer</v>
          </cell>
          <cell r="F2127" t="str">
            <v>Standard</v>
          </cell>
          <cell r="G2127">
            <v>41447</v>
          </cell>
          <cell r="H2127" t="str">
            <v>5023</v>
          </cell>
          <cell r="I2127" t="str">
            <v>https://www.smwcentral.net/?a=details&amp;id=5023&amp;p=section</v>
          </cell>
          <cell r="J2127" t="str">
            <v>https://dl.smwcentral.net/5023/smiha.zip</v>
          </cell>
        </row>
        <row r="2128">
          <cell r="A2128" t="str">
            <v>Super Mario's Legend Quest!</v>
          </cell>
          <cell r="B2128" t="str">
            <v>Super Mario's Legend Quest!</v>
          </cell>
          <cell r="C2128" t="str">
            <v>mario56</v>
          </cell>
          <cell r="D2128">
            <v>11</v>
          </cell>
          <cell r="E2128" t="str">
            <v>Newcomer</v>
          </cell>
          <cell r="F2128" t="str">
            <v>Standard</v>
          </cell>
          <cell r="G2128">
            <v>44025</v>
          </cell>
          <cell r="H2128" t="str">
            <v>23762</v>
          </cell>
          <cell r="I2128" t="str">
            <v>https://www.smwcentral.net/?a=details&amp;id=23762&amp;p=section</v>
          </cell>
          <cell r="J2128" t="str">
            <v>https://dl.smwcentral.net/23762/Super_Marios_Legend_Quest_FIXED.zip</v>
          </cell>
        </row>
        <row r="2129">
          <cell r="A2129" t="str">
            <v>Super Mario's Legend: Vacations at the Tropics</v>
          </cell>
          <cell r="B2129" t="str">
            <v>Super Mario's Legend: Vacations at the Tropics</v>
          </cell>
          <cell r="C2129" t="str">
            <v>Blind Devil</v>
          </cell>
          <cell r="D2129">
            <v>9</v>
          </cell>
          <cell r="E2129" t="str">
            <v>Casual</v>
          </cell>
          <cell r="F2129" t="str">
            <v>Standard</v>
          </cell>
          <cell r="G2129">
            <v>41529</v>
          </cell>
          <cell r="H2129" t="str">
            <v>5444</v>
          </cell>
          <cell r="I2129" t="str">
            <v>https://www.smwcentral.net/?a=details&amp;id=5444&amp;p=section</v>
          </cell>
          <cell r="J2129" t="str">
            <v>https://dl.smwcentral.net/5444/Super%20Mario%27s%20Legend%20%5BD1F%5D.zip</v>
          </cell>
        </row>
        <row r="2130">
          <cell r="A2130" t="str">
            <v>Super Mario's New Adventure 2: The Villain's Revenge</v>
          </cell>
          <cell r="B2130" t="str">
            <v>Super Mario's New Adventure 2: The Villain's Revenge</v>
          </cell>
          <cell r="C2130" t="str">
            <v>Icon of Sin</v>
          </cell>
          <cell r="D2130">
            <v>10</v>
          </cell>
          <cell r="E2130" t="str">
            <v>Newcomer</v>
          </cell>
          <cell r="F2130" t="str">
            <v>Standard</v>
          </cell>
          <cell r="G2130">
            <v>41501</v>
          </cell>
          <cell r="H2130" t="str">
            <v>5183</v>
          </cell>
          <cell r="I2130" t="str">
            <v>https://www.smwcentral.net/?a=details&amp;id=5183&amp;p=section</v>
          </cell>
          <cell r="J2130" t="str">
            <v>https://dl.smwcentral.net/5183/SMA2%20Demo%201%23%20alpha%20version.zip</v>
          </cell>
        </row>
        <row r="2131">
          <cell r="A2131" t="str">
            <v>Super Mario's New Adventure: The Plumber's Fury</v>
          </cell>
          <cell r="B2131" t="str">
            <v>Super Mario's New Adventure: The Plumber's Fury</v>
          </cell>
          <cell r="C2131" t="str">
            <v>Icon of Sin</v>
          </cell>
          <cell r="D2131">
            <v>25</v>
          </cell>
          <cell r="E2131" t="str">
            <v>Casual</v>
          </cell>
          <cell r="F2131" t="str">
            <v>Standard</v>
          </cell>
          <cell r="G2131">
            <v>42224</v>
          </cell>
          <cell r="H2131" t="str">
            <v>9839</v>
          </cell>
          <cell r="I2131" t="str">
            <v>https://www.smwcentral.net/?a=details&amp;id=9839&amp;p=section</v>
          </cell>
          <cell r="J2131" t="str">
            <v>https://dl.smwcentral.net/9839/SMATPF%20Final%20Version.zip</v>
          </cell>
        </row>
        <row r="2132">
          <cell r="A2132" t="str">
            <v>Super Mario's Wacky Worlds SD</v>
          </cell>
          <cell r="B2132" t="str">
            <v>Super Mario's Wacky Worlds SD</v>
          </cell>
          <cell r="C2132" t="str">
            <v>figuiDOS</v>
          </cell>
          <cell r="D2132">
            <v>25</v>
          </cell>
          <cell r="E2132" t="str">
            <v>Intermediate</v>
          </cell>
          <cell r="F2132" t="str">
            <v>Standard</v>
          </cell>
          <cell r="G2132">
            <v>46059</v>
          </cell>
          <cell r="H2132" t="str">
            <v>41432</v>
          </cell>
          <cell r="I2132" t="str">
            <v>https://www.smwcentral.net/?a=details&amp;id=41432&amp;p=section</v>
          </cell>
          <cell r="J2132" t="str">
            <v>https://dl.smwcentral.net/41432/Super%20Mario%27s%20Wacky%20Worlds%20SD.zip</v>
          </cell>
        </row>
        <row r="2133">
          <cell r="A2133" t="str">
            <v>Super Mario: A Familiar Land</v>
          </cell>
          <cell r="B2133" t="str">
            <v>Super Mario: A Familiar Land</v>
          </cell>
          <cell r="C2133" t="str">
            <v>Kraken Pals v 2.0</v>
          </cell>
          <cell r="D2133">
            <v>7</v>
          </cell>
          <cell r="E2133" t="str">
            <v>Casual</v>
          </cell>
          <cell r="F2133" t="str">
            <v>Standard</v>
          </cell>
          <cell r="G2133">
            <v>42464</v>
          </cell>
          <cell r="H2133" t="str">
            <v>13498</v>
          </cell>
          <cell r="I2133" t="str">
            <v>https://www.smwcentral.net/?a=details&amp;id=13498&amp;p=section</v>
          </cell>
          <cell r="J2133" t="str">
            <v>https://dl.smwcentral.net/13498/Super%20Mario%20A%20Familiar%20Land.zip</v>
          </cell>
        </row>
        <row r="2134">
          <cell r="A2134" t="str">
            <v>Super Mario: A New Beginning</v>
          </cell>
          <cell r="B2134" t="str">
            <v>Super Mario: A New Beginning</v>
          </cell>
          <cell r="C2134" t="str">
            <v>UltiMario</v>
          </cell>
          <cell r="D2134">
            <v>30</v>
          </cell>
          <cell r="E2134" t="str">
            <v>Intermediate</v>
          </cell>
          <cell r="F2134" t="str">
            <v>Standard</v>
          </cell>
          <cell r="G2134">
            <v>42236</v>
          </cell>
          <cell r="H2134" t="str">
            <v>9900</v>
          </cell>
          <cell r="I2134" t="str">
            <v>https://www.smwcentral.net/?a=details&amp;id=9900&amp;p=section</v>
          </cell>
          <cell r="J2134" t="str">
            <v>https://dl.smwcentral.net/9900/SM-NB%20Demo%203.zip</v>
          </cell>
        </row>
        <row r="2135">
          <cell r="A2135" t="str">
            <v>Super Mario: Bowser's Last Stand</v>
          </cell>
          <cell r="B2135" t="str">
            <v>Super Mario: Bowser's Last Stand</v>
          </cell>
          <cell r="C2135" t="str">
            <v>Icon of Sin</v>
          </cell>
          <cell r="D2135">
            <v>12</v>
          </cell>
          <cell r="E2135" t="str">
            <v>Casual</v>
          </cell>
          <cell r="F2135" t="str">
            <v>Standard</v>
          </cell>
          <cell r="G2135">
            <v>42219</v>
          </cell>
          <cell r="H2135" t="str">
            <v>9640</v>
          </cell>
          <cell r="I2135" t="str">
            <v>https://www.smwcentral.net/?a=details&amp;id=9640&amp;p=section</v>
          </cell>
          <cell r="J2135" t="str">
            <v>https://dl.smwcentral.net/9640/SMBLS%20V2.0%20%28Final%20Final%20Fix%29.ips.zip</v>
          </cell>
        </row>
        <row r="2136">
          <cell r="A2136" t="str">
            <v>Super Mario: Bowser's Shinedown</v>
          </cell>
          <cell r="B2136" t="str">
            <v>Super Mario: Bowser's Shinedown</v>
          </cell>
          <cell r="C2136" t="str">
            <v>DragonFire6780</v>
          </cell>
          <cell r="D2136">
            <v>6</v>
          </cell>
          <cell r="E2136" t="str">
            <v>Newcomer</v>
          </cell>
          <cell r="F2136" t="str">
            <v>Standard</v>
          </cell>
          <cell r="G2136">
            <v>42277</v>
          </cell>
          <cell r="H2136" t="str">
            <v>10111</v>
          </cell>
          <cell r="I2136" t="str">
            <v>https://www.smwcentral.net/?a=details&amp;id=10111&amp;p=section</v>
          </cell>
          <cell r="J2136" t="str">
            <v>https://dl.smwcentral.net/10111/SM%20-%20BS%20dehmoh.zip</v>
          </cell>
        </row>
        <row r="2137">
          <cell r="A2137" t="str">
            <v>Super Mario: Buried Treasure</v>
          </cell>
          <cell r="B2137" t="str">
            <v>Super Mario: Buried Treasure</v>
          </cell>
          <cell r="C2137" t="str">
            <v>CaseP</v>
          </cell>
          <cell r="D2137">
            <v>23</v>
          </cell>
          <cell r="E2137" t="str">
            <v>Casual</v>
          </cell>
          <cell r="F2137" t="str">
            <v>Standard</v>
          </cell>
          <cell r="G2137">
            <v>41556</v>
          </cell>
          <cell r="H2137" t="str">
            <v>5269</v>
          </cell>
          <cell r="I2137" t="str">
            <v>https://www.smwcentral.net/?a=details&amp;id=5269&amp;p=section</v>
          </cell>
          <cell r="J2137" t="str">
            <v>https://dl.smwcentral.net/5269/Buried%20Treasure.zip</v>
          </cell>
        </row>
        <row r="2138">
          <cell r="A2138" t="str">
            <v>Super Mario: Christmas Season</v>
          </cell>
          <cell r="B2138" t="str">
            <v>Super Mario: Christmas Season</v>
          </cell>
          <cell r="C2138" t="str">
            <v>Master S</v>
          </cell>
          <cell r="D2138">
            <v>1</v>
          </cell>
          <cell r="E2138" t="str">
            <v>Newcomer</v>
          </cell>
          <cell r="F2138" t="str">
            <v>Standard</v>
          </cell>
          <cell r="G2138">
            <v>42093</v>
          </cell>
          <cell r="H2138" t="str">
            <v>9994</v>
          </cell>
          <cell r="I2138" t="str">
            <v>https://www.smwcentral.net/?a=details&amp;id=9994&amp;p=section</v>
          </cell>
          <cell r="J2138" t="str">
            <v>https://dl.smwcentral.net/9994/Super%20Mario-%20Christmas%20Season.zip</v>
          </cell>
        </row>
        <row r="2139">
          <cell r="A2139" t="str">
            <v>Super Mario: Daisy's Kidnapping</v>
          </cell>
          <cell r="B2139" t="str">
            <v>Super Mario: Daisy's Kidnapping</v>
          </cell>
          <cell r="C2139" t="str">
            <v>Tahixham</v>
          </cell>
          <cell r="D2139">
            <v>32</v>
          </cell>
          <cell r="E2139" t="str">
            <v>Casual</v>
          </cell>
          <cell r="F2139" t="str">
            <v>Standard</v>
          </cell>
          <cell r="G2139">
            <v>43654</v>
          </cell>
          <cell r="H2139" t="str">
            <v>20417</v>
          </cell>
          <cell r="I2139" t="str">
            <v>https://www.smwcentral.net/?a=details&amp;id=20417&amp;p=section</v>
          </cell>
          <cell r="J2139" t="str">
            <v>https://dl.smwcentral.net/20417/Super%20Mario%20-%20Daisy%27s%20Kidnapping%20%28C3%20July%202019%20Demo%29.zip</v>
          </cell>
        </row>
        <row r="2140">
          <cell r="A2140" t="str">
            <v>Super Mario: Grand Journey</v>
          </cell>
          <cell r="B2140" t="str">
            <v>Super Mario: Grand Journey</v>
          </cell>
          <cell r="C2140" t="str">
            <v>RZ1</v>
          </cell>
          <cell r="D2140">
            <v>15</v>
          </cell>
          <cell r="E2140" t="str">
            <v>Casual</v>
          </cell>
          <cell r="F2140" t="str">
            <v>Standard</v>
          </cell>
          <cell r="G2140">
            <v>42742</v>
          </cell>
          <cell r="H2140" t="str">
            <v>14920</v>
          </cell>
          <cell r="I2140" t="str">
            <v>https://www.smwcentral.net/?a=details&amp;id=14920&amp;p=section</v>
          </cell>
          <cell r="J2140" t="str">
            <v>https://dl.smwcentral.net/14920/Super%20Mario%20-%20Grand%20Journey%20C3.zip</v>
          </cell>
        </row>
        <row r="2141">
          <cell r="A2141" t="str">
            <v>Super Mario: Hunter's Revenge 2</v>
          </cell>
          <cell r="B2141" t="str">
            <v>Super Mario: Hunter's Revenge 2</v>
          </cell>
          <cell r="C2141" t="str">
            <v>amhunter</v>
          </cell>
          <cell r="D2141">
            <v>40</v>
          </cell>
          <cell r="E2141" t="str">
            <v>Casual</v>
          </cell>
          <cell r="F2141" t="str">
            <v>Standard</v>
          </cell>
          <cell r="G2141">
            <v>42214</v>
          </cell>
          <cell r="H2141" t="str">
            <v>9747</v>
          </cell>
          <cell r="I2141" t="str">
            <v>https://www.smwcentral.net/?a=details&amp;id=9747&amp;p=section</v>
          </cell>
          <cell r="J2141" t="str">
            <v>https://dl.smwcentral.net/9747/DEMO1.zip</v>
          </cell>
        </row>
        <row r="2142">
          <cell r="A2142" t="str">
            <v>Super Mario: Hunter's Revenge 3</v>
          </cell>
          <cell r="B2142" t="str">
            <v>Super Mario: Hunter's Revenge 3</v>
          </cell>
          <cell r="C2142" t="str">
            <v>amhunter</v>
          </cell>
          <cell r="D2142">
            <v>58</v>
          </cell>
          <cell r="E2142" t="str">
            <v>Intermediate</v>
          </cell>
          <cell r="F2142" t="str">
            <v>Standard</v>
          </cell>
          <cell r="G2142">
            <v>42302</v>
          </cell>
          <cell r="H2142" t="str">
            <v>9820</v>
          </cell>
          <cell r="I2142" t="str">
            <v>https://www.smwcentral.net/?a=details&amp;id=9820&amp;p=section</v>
          </cell>
          <cell r="J2142" t="str">
            <v>https://dl.smwcentral.net/9820/HR3%20Legacy%20Hack%20Update.zip</v>
          </cell>
        </row>
        <row r="2143">
          <cell r="A2143" t="str">
            <v>Super Mario: Mushroom Legacy</v>
          </cell>
          <cell r="B2143" t="str">
            <v>Super Mario: Mushroom Legacy</v>
          </cell>
          <cell r="C2143" t="str">
            <v>blue leader</v>
          </cell>
          <cell r="D2143">
            <v>4</v>
          </cell>
          <cell r="E2143" t="str">
            <v>Newcomer</v>
          </cell>
          <cell r="F2143" t="str">
            <v>Standard</v>
          </cell>
          <cell r="G2143">
            <v>42216</v>
          </cell>
          <cell r="H2143" t="str">
            <v>10149</v>
          </cell>
          <cell r="I2143" t="str">
            <v>https://www.smwcentral.net/?a=details&amp;id=10149&amp;p=section</v>
          </cell>
          <cell r="J2143" t="str">
            <v>https://dl.smwcentral.net/10149/Super%20Mario-Mushroom%20Legacy%28Demo%201%29.zip</v>
          </cell>
        </row>
        <row r="2144">
          <cell r="A2144" t="str">
            <v>Super Mario: Nozom Quest (Level Sampler)</v>
          </cell>
          <cell r="B2144" t="str">
            <v>Super Mario: Nozom Quest (Level Sampler)</v>
          </cell>
          <cell r="C2144" t="str">
            <v>Stivi</v>
          </cell>
          <cell r="D2144">
            <v>6</v>
          </cell>
          <cell r="E2144" t="str">
            <v>Intermediate</v>
          </cell>
          <cell r="F2144" t="str">
            <v>Standard</v>
          </cell>
          <cell r="G2144">
            <v>44208</v>
          </cell>
          <cell r="H2144" t="str">
            <v>25657</v>
          </cell>
          <cell r="I2144" t="str">
            <v>https://www.smwcentral.net/?a=details&amp;id=25657&amp;p=section</v>
          </cell>
          <cell r="J2144" t="str">
            <v>https://dl.smwcentral.net/25657/Super%20Mario%20Nozom%20Quest%20%28Level%20Sampler%29.zip</v>
          </cell>
        </row>
        <row r="2145">
          <cell r="A2145" t="str">
            <v>Super Mario: Oiram's Invasion</v>
          </cell>
          <cell r="B2145" t="str">
            <v>Super Mario: Oiram's Invasion</v>
          </cell>
          <cell r="C2145" t="str">
            <v>Gamma V</v>
          </cell>
          <cell r="D2145">
            <v>12</v>
          </cell>
          <cell r="E2145" t="str">
            <v>Casual</v>
          </cell>
          <cell r="F2145" t="str">
            <v>Standard</v>
          </cell>
          <cell r="G2145">
            <v>41682</v>
          </cell>
          <cell r="H2145" t="str">
            <v>6274</v>
          </cell>
          <cell r="I2145" t="str">
            <v>https://www.smwcentral.net/?a=details&amp;id=6274&amp;p=section</v>
          </cell>
          <cell r="J2145" t="str">
            <v>https://dl.smwcentral.net/6274/Oiram%27s%20Invasion.zip</v>
          </cell>
        </row>
        <row r="2146">
          <cell r="A2146" t="str">
            <v>Super Mario: Other World</v>
          </cell>
          <cell r="B2146" t="str">
            <v>Super Mario: Other World</v>
          </cell>
          <cell r="C2146" t="str">
            <v>Epic_Manky</v>
          </cell>
          <cell r="D2146">
            <v>31</v>
          </cell>
          <cell r="E2146" t="str">
            <v>Casual</v>
          </cell>
          <cell r="F2146" t="str">
            <v>Standard</v>
          </cell>
          <cell r="G2146">
            <v>43672</v>
          </cell>
          <cell r="H2146" t="str">
            <v>20487</v>
          </cell>
          <cell r="I2146" t="str">
            <v>https://www.smwcentral.net/?a=details&amp;id=20487&amp;p=section</v>
          </cell>
          <cell r="J2146" t="str">
            <v>https://dl.smwcentral.net/20487/Super%20Mario%20Other%20World%20%28Updated%20C3%20Summer%202019%20Demo%29.zip</v>
          </cell>
        </row>
        <row r="2147">
          <cell r="A2147" t="str">
            <v>Super Mario: RamzaProject</v>
          </cell>
          <cell r="B2147" t="str">
            <v>Super Mario: RamzaProject</v>
          </cell>
          <cell r="C2147" t="str">
            <v>YamiRamzaNeko</v>
          </cell>
          <cell r="D2147">
            <v>6</v>
          </cell>
          <cell r="E2147" t="str">
            <v>Casual</v>
          </cell>
          <cell r="F2147" t="str">
            <v>Standard</v>
          </cell>
          <cell r="G2147">
            <v>42163</v>
          </cell>
          <cell r="H2147" t="str">
            <v>9728</v>
          </cell>
          <cell r="I2147" t="str">
            <v>https://www.smwcentral.net/?a=details&amp;id=9728&amp;p=section</v>
          </cell>
          <cell r="J2147" t="str">
            <v>https://dl.smwcentral.net/9728/demo001.zip</v>
          </cell>
        </row>
        <row r="2148">
          <cell r="A2148" t="str">
            <v>Super Mario: Star Seeker</v>
          </cell>
          <cell r="B2148" t="str">
            <v>Super Mario: Star Seeker</v>
          </cell>
          <cell r="C2148" t="str">
            <v>K3fka</v>
          </cell>
          <cell r="D2148">
            <v>5</v>
          </cell>
          <cell r="E2148" t="str">
            <v>Casual</v>
          </cell>
          <cell r="F2148" t="str">
            <v>Standard</v>
          </cell>
          <cell r="G2148">
            <v>44212</v>
          </cell>
          <cell r="H2148" t="str">
            <v>25678</v>
          </cell>
          <cell r="I2148" t="str">
            <v>https://www.smwcentral.net/?a=details&amp;id=25678&amp;p=section</v>
          </cell>
          <cell r="J2148" t="str">
            <v>https://dl.smwcentral.net/25678/starseeker_c3.zip</v>
          </cell>
        </row>
        <row r="2149">
          <cell r="A2149" t="str">
            <v>Super Mario: Summer Gone Wrong</v>
          </cell>
          <cell r="B2149" t="str">
            <v>Super Mario: Summer Gone Wrong</v>
          </cell>
          <cell r="C2149" t="str">
            <v>Koelkast</v>
          </cell>
          <cell r="D2149">
            <v>5</v>
          </cell>
          <cell r="E2149" t="str">
            <v>Newcomer</v>
          </cell>
          <cell r="F2149" t="str">
            <v>Standard</v>
          </cell>
          <cell r="G2149">
            <v>42081</v>
          </cell>
          <cell r="H2149" t="str">
            <v>9768</v>
          </cell>
          <cell r="I2149" t="str">
            <v>https://www.smwcentral.net/?a=details&amp;id=9768&amp;p=section</v>
          </cell>
          <cell r="J2149" t="str">
            <v>https://dl.smwcentral.net/9768/Summer%20Goes%20Wrong.zip</v>
          </cell>
        </row>
        <row r="2150">
          <cell r="A2150" t="str">
            <v>Super Mario: The Cookie Crisis</v>
          </cell>
          <cell r="B2150" t="str">
            <v>Super Mario: The Cookie Crisis</v>
          </cell>
          <cell r="C2150" t="str">
            <v>yoshicookiezeus</v>
          </cell>
          <cell r="D2150">
            <v>46</v>
          </cell>
          <cell r="E2150" t="str">
            <v>Casual</v>
          </cell>
          <cell r="F2150" t="str">
            <v>Standard</v>
          </cell>
          <cell r="G2150">
            <v>41531</v>
          </cell>
          <cell r="H2150" t="str">
            <v>5187</v>
          </cell>
          <cell r="I2150" t="str">
            <v>https://www.smwcentral.net/?a=details&amp;id=5187&amp;p=section</v>
          </cell>
          <cell r="J2150" t="str">
            <v>https://dl.smwcentral.net/5187/Super%20Mario%20-The%20Cookie%20Crisis%20v0.53.zip</v>
          </cell>
        </row>
        <row r="2151">
          <cell r="A2151" t="str">
            <v>Super Mario: The Egg Rescue</v>
          </cell>
          <cell r="B2151" t="str">
            <v>Super Mario: The Egg Rescue</v>
          </cell>
          <cell r="C2151" t="str">
            <v>Samuka97</v>
          </cell>
          <cell r="D2151">
            <v>1</v>
          </cell>
          <cell r="E2151" t="str">
            <v>Casual</v>
          </cell>
          <cell r="F2151" t="str">
            <v>Standard</v>
          </cell>
          <cell r="G2151">
            <v>42153</v>
          </cell>
          <cell r="H2151" t="str">
            <v>10017</v>
          </cell>
          <cell r="I2151" t="str">
            <v>https://www.smwcentral.net/?a=details&amp;id=10017&amp;p=section</v>
          </cell>
          <cell r="J2151" t="str">
            <v>https://dl.smwcentral.net/10017/Egg_Rescue_V1.2.zip</v>
          </cell>
        </row>
        <row r="2152">
          <cell r="A2152" t="str">
            <v>Super Mario: The Evil Coalition</v>
          </cell>
          <cell r="B2152" t="str">
            <v>Super Mario: The Evil Coalition</v>
          </cell>
          <cell r="C2152" t="str">
            <v>Icon of Sin</v>
          </cell>
          <cell r="D2152">
            <v>16</v>
          </cell>
          <cell r="E2152" t="str">
            <v>Newcomer</v>
          </cell>
          <cell r="F2152" t="str">
            <v>Standard</v>
          </cell>
          <cell r="G2152">
            <v>42211</v>
          </cell>
          <cell r="H2152" t="str">
            <v>9805</v>
          </cell>
          <cell r="I2152" t="str">
            <v>https://www.smwcentral.net/?a=details&amp;id=9805&amp;p=section</v>
          </cell>
          <cell r="J2152" t="str">
            <v>https://dl.smwcentral.net/9805/SMTEC%20Demo%20One%20Final%20Fix.zip</v>
          </cell>
        </row>
        <row r="2153">
          <cell r="A2153" t="str">
            <v>Super Mario: The Five Castles Challenge</v>
          </cell>
          <cell r="B2153" t="str">
            <v>Super Mario: The Five Castles Challenge</v>
          </cell>
          <cell r="C2153" t="str">
            <v>RicardoDeMelo</v>
          </cell>
          <cell r="D2153">
            <v>5</v>
          </cell>
          <cell r="E2153" t="str">
            <v>Expert</v>
          </cell>
          <cell r="F2153" t="str">
            <v>Kaizo</v>
          </cell>
          <cell r="G2153">
            <v>44307</v>
          </cell>
          <cell r="H2153" t="str">
            <v>26778</v>
          </cell>
          <cell r="I2153" t="str">
            <v>https://www.smwcentral.net/?a=details&amp;id=26778&amp;p=section</v>
          </cell>
          <cell r="J2153" t="str">
            <v>https://dl.smwcentral.net/26778/The%20Five%20Castle%27s%20Challenge.zip</v>
          </cell>
        </row>
        <row r="2154">
          <cell r="A2154" t="str">
            <v>Super Mario: The Friends' Rescue</v>
          </cell>
          <cell r="B2154" t="str">
            <v>Super Mario: The Friends' Rescue</v>
          </cell>
          <cell r="C2154" t="str">
            <v>edgar</v>
          </cell>
          <cell r="D2154">
            <v>12</v>
          </cell>
          <cell r="E2154" t="str">
            <v>Casual</v>
          </cell>
          <cell r="F2154" t="str">
            <v>Standard</v>
          </cell>
          <cell r="G2154">
            <v>44090</v>
          </cell>
          <cell r="H2154" t="str">
            <v>24582</v>
          </cell>
          <cell r="I2154" t="str">
            <v>https://www.smwcentral.net/?a=details&amp;id=24582&amp;p=section</v>
          </cell>
          <cell r="J2154" t="str">
            <v>https://dl.smwcentral.net/24582/Super%20Mario%20The%20Friends%27%20Rescue.zip</v>
          </cell>
        </row>
        <row r="2155">
          <cell r="A2155" t="str">
            <v>Super Mario: The Infection</v>
          </cell>
          <cell r="B2155" t="str">
            <v>Super Mario: The Infection</v>
          </cell>
          <cell r="C2155" t="str">
            <v>Shadow Duplicate D</v>
          </cell>
          <cell r="D2155">
            <v>8</v>
          </cell>
          <cell r="E2155" t="str">
            <v>Intermediate</v>
          </cell>
          <cell r="F2155" t="str">
            <v>Standard</v>
          </cell>
          <cell r="G2155">
            <v>42113</v>
          </cell>
          <cell r="H2155" t="str">
            <v>9760</v>
          </cell>
          <cell r="I2155" t="str">
            <v>https://www.smwcentral.net/?a=details&amp;id=9760&amp;p=section</v>
          </cell>
          <cell r="J2155" t="str">
            <v>https://dl.smwcentral.net/9760/SMTI%200.1E.zip</v>
          </cell>
        </row>
        <row r="2156">
          <cell r="A2156" t="str">
            <v>Super Mario: The Quest for Breakfast</v>
          </cell>
          <cell r="B2156" t="str">
            <v>Super Mario: The Quest for Breakfast</v>
          </cell>
          <cell r="C2156" t="str">
            <v>MrUg123</v>
          </cell>
          <cell r="D2156">
            <v>19</v>
          </cell>
          <cell r="E2156" t="str">
            <v>Casual</v>
          </cell>
          <cell r="F2156" t="str">
            <v>Standard</v>
          </cell>
          <cell r="G2156">
            <v>46218</v>
          </cell>
          <cell r="H2156" t="str">
            <v>42645</v>
          </cell>
          <cell r="I2156" t="str">
            <v>https://www.smwcentral.net/?a=details&amp;id=42645&amp;p=section</v>
          </cell>
          <cell r="J2156" t="str">
            <v>https://dl.smwcentral.net/42645/SMTQFB_v1.3.zip</v>
          </cell>
        </row>
        <row r="2157">
          <cell r="A2157" t="str">
            <v>Super Mario: Toadworth's Disappearance</v>
          </cell>
          <cell r="B2157" t="str">
            <v>Super Mario: Toadworth's Disappearance</v>
          </cell>
          <cell r="C2157" t="str">
            <v>TheDutchLuigi</v>
          </cell>
          <cell r="D2157">
            <v>35</v>
          </cell>
          <cell r="E2157" t="str">
            <v>Newcomer</v>
          </cell>
          <cell r="F2157" t="str">
            <v>Standard</v>
          </cell>
          <cell r="G2157">
            <v>42219</v>
          </cell>
          <cell r="H2157" t="str">
            <v>9797</v>
          </cell>
          <cell r="I2157" t="str">
            <v>https://www.smwcentral.net/?a=details&amp;id=9797&amp;p=section</v>
          </cell>
          <cell r="J2157" t="str">
            <v>https://dl.smwcentral.net/9797/Toadworth%27s%20Disappearance%20V.1.2.zip</v>
          </cell>
        </row>
        <row r="2158">
          <cell r="A2158" t="str">
            <v>Super Mario: Ucronia</v>
          </cell>
          <cell r="B2158" t="str">
            <v>Super Mario: Ucronia</v>
          </cell>
          <cell r="C2158" t="str">
            <v>Saturn the Donkey</v>
          </cell>
          <cell r="D2158">
            <v>5</v>
          </cell>
          <cell r="E2158" t="str">
            <v>Newcomer</v>
          </cell>
          <cell r="F2158" t="str">
            <v>Standard</v>
          </cell>
          <cell r="G2158">
            <v>42252</v>
          </cell>
          <cell r="H2158" t="str">
            <v>9954</v>
          </cell>
          <cell r="I2158" t="str">
            <v>https://www.smwcentral.net/?a=details&amp;id=9954&amp;p=section</v>
          </cell>
          <cell r="J2158" t="str">
            <v>https://dl.smwcentral.net/9954/Uchronia.zip</v>
          </cell>
        </row>
        <row r="2159">
          <cell r="A2159" t="str">
            <v>Super Mario: Universos Paralelos</v>
          </cell>
          <cell r="B2159" t="str">
            <v>Super Mario: Universos Paralelos</v>
          </cell>
          <cell r="C2159" t="str">
            <v>carlos-182</v>
          </cell>
          <cell r="D2159">
            <v>14</v>
          </cell>
          <cell r="E2159" t="str">
            <v>Casual</v>
          </cell>
          <cell r="F2159" t="str">
            <v>Standard</v>
          </cell>
          <cell r="G2159">
            <v>42207</v>
          </cell>
          <cell r="H2159" t="str">
            <v>9756</v>
          </cell>
          <cell r="I2159" t="str">
            <v>https://www.smwcentral.net/?a=details&amp;id=9756&amp;p=section</v>
          </cell>
          <cell r="J2159" t="str">
            <v>https://dl.smwcentral.net/9756/SMUPDemo.zip</v>
          </cell>
        </row>
        <row r="2160">
          <cell r="A2160" t="str">
            <v>Super Marisa Adventure World</v>
          </cell>
          <cell r="B2160" t="str">
            <v>Super Marisa Adventure World</v>
          </cell>
          <cell r="C2160" t="str">
            <v>Shiki_Makiro</v>
          </cell>
          <cell r="D2160">
            <v>101</v>
          </cell>
          <cell r="E2160" t="str">
            <v>Master</v>
          </cell>
          <cell r="F2160" t="str">
            <v>Standard, Kaizo</v>
          </cell>
          <cell r="G2160">
            <v>44934</v>
          </cell>
          <cell r="H2160" t="str">
            <v>31968</v>
          </cell>
          <cell r="I2160" t="str">
            <v>https://www.smwcentral.net/?a=details&amp;id=31968&amp;p=section</v>
          </cell>
          <cell r="J2160" t="str">
            <v>https://dl.smwcentral.net/31968/SMAW%20non%20SA-1%20v1.10a%20For%20SMWC%201%20Player.zip</v>
          </cell>
        </row>
        <row r="2161">
          <cell r="A2161" t="str">
            <v>Super Marisa Adventure World 2 - Mari Mari Back Forward Around</v>
          </cell>
          <cell r="B2161" t="str">
            <v>Super Marisa Adventure World 2 - Mari Mari Back Forward Around</v>
          </cell>
          <cell r="C2161" t="str">
            <v>Shiki_Makiro</v>
          </cell>
          <cell r="D2161">
            <v>96</v>
          </cell>
          <cell r="E2161" t="str">
            <v>Master</v>
          </cell>
          <cell r="F2161" t="str">
            <v>Standard, Kaizo</v>
          </cell>
          <cell r="G2161">
            <v>45627</v>
          </cell>
          <cell r="H2161" t="str">
            <v>38329</v>
          </cell>
          <cell r="I2161" t="str">
            <v>https://www.smwcentral.net/?a=details&amp;id=38329&amp;p=section</v>
          </cell>
          <cell r="J2161" t="str">
            <v>https://dl.smwcentral.net/38329/SMAW2%20-%20Mari%20Mari%20Back%20Forward%20Around%20%28ver.%201.04d%29.zip</v>
          </cell>
        </row>
        <row r="2162">
          <cell r="A2162" t="str">
            <v>Super Mawaru World</v>
          </cell>
          <cell r="B2162" t="str">
            <v>Super Mawaru World</v>
          </cell>
          <cell r="C2162" t="str">
            <v>FerpyMcFrosting</v>
          </cell>
          <cell r="D2162">
            <v>15</v>
          </cell>
          <cell r="E2162" t="str">
            <v>Master</v>
          </cell>
          <cell r="F2162" t="str">
            <v>Kaizo</v>
          </cell>
          <cell r="G2162">
            <v>45559</v>
          </cell>
          <cell r="H2162" t="str">
            <v>38515</v>
          </cell>
          <cell r="I2162" t="str">
            <v>https://www.smwcentral.net/?a=details&amp;id=38515&amp;p=section</v>
          </cell>
          <cell r="J2162" t="str">
            <v>https://dl.smwcentral.net/38515/SuperMawaruWorld.zip</v>
          </cell>
        </row>
        <row r="2163">
          <cell r="A2163" t="str">
            <v>Super Melas World</v>
          </cell>
          <cell r="B2163" t="str">
            <v>Super Melas World</v>
          </cell>
          <cell r="C2163" t="str">
            <v>SmoothySmooth</v>
          </cell>
          <cell r="D2163">
            <v>11</v>
          </cell>
          <cell r="E2163" t="str">
            <v>Advanced</v>
          </cell>
          <cell r="F2163" t="str">
            <v>Kaizo</v>
          </cell>
          <cell r="G2163">
            <v>44033</v>
          </cell>
          <cell r="H2163" t="str">
            <v>23467</v>
          </cell>
          <cell r="I2163" t="str">
            <v>https://www.smwcentral.net/?a=details&amp;id=23467&amp;p=section</v>
          </cell>
          <cell r="J2163" t="str">
            <v>https://dl.smwcentral.net/23467/Super%20Melas%20World%20v2.4.zip</v>
          </cell>
        </row>
        <row r="2164">
          <cell r="A2164" t="str">
            <v>Super Mez World</v>
          </cell>
          <cell r="B2164" t="str">
            <v>Super Mez World</v>
          </cell>
          <cell r="C2164" t="str">
            <v>ImCos</v>
          </cell>
          <cell r="D2164">
            <v>20</v>
          </cell>
          <cell r="E2164" t="str">
            <v>Advanced</v>
          </cell>
          <cell r="F2164" t="str">
            <v>Kaizo</v>
          </cell>
          <cell r="G2164">
            <v>44108</v>
          </cell>
          <cell r="H2164" t="str">
            <v>24654</v>
          </cell>
          <cell r="I2164" t="str">
            <v>https://www.smwcentral.net/?a=details&amp;id=24654&amp;p=section</v>
          </cell>
          <cell r="J2164" t="str">
            <v>https://dl.smwcentral.net/24654/Super%20Mez%20World.zip</v>
          </cell>
        </row>
        <row r="2165">
          <cell r="A2165" t="str">
            <v>Super Mio World</v>
          </cell>
          <cell r="B2165" t="str">
            <v>Super Mio World</v>
          </cell>
          <cell r="C2165" t="str">
            <v>mio</v>
          </cell>
          <cell r="D2165">
            <v>13</v>
          </cell>
          <cell r="E2165" t="str">
            <v>Expert</v>
          </cell>
          <cell r="F2165" t="str">
            <v>Kaizo</v>
          </cell>
          <cell r="G2165">
            <v>44168</v>
          </cell>
          <cell r="H2165" t="str">
            <v>25332</v>
          </cell>
          <cell r="I2165" t="str">
            <v>https://www.smwcentral.net/?a=details&amp;id=25332&amp;p=section</v>
          </cell>
          <cell r="J2165" t="str">
            <v>https://dl.smwcentral.net/25332/super_mio_world.zip</v>
          </cell>
        </row>
        <row r="2166">
          <cell r="A2166" t="str">
            <v>Super Mirror Dimension</v>
          </cell>
          <cell r="B2166" t="str">
            <v>Super Mirror Dimension</v>
          </cell>
          <cell r="C2166" t="str">
            <v>AIM-pine</v>
          </cell>
          <cell r="D2166">
            <v>17</v>
          </cell>
          <cell r="E2166" t="str">
            <v>Expert</v>
          </cell>
          <cell r="F2166" t="str">
            <v>Kaizo</v>
          </cell>
          <cell r="G2166">
            <v>45854</v>
          </cell>
          <cell r="H2166" t="str">
            <v>40080</v>
          </cell>
          <cell r="I2166" t="str">
            <v>https://www.smwcentral.net/?a=details&amp;id=40080&amp;p=section</v>
          </cell>
          <cell r="J2166" t="str">
            <v>https://dl.smwcentral.net/40080/Super%20Mirror%20Dimension%201.2.zip</v>
          </cell>
        </row>
        <row r="2167">
          <cell r="A2167" t="str">
            <v>Super Mish World</v>
          </cell>
          <cell r="B2167" t="str">
            <v>Super Mish World</v>
          </cell>
          <cell r="C2167" t="str">
            <v>mish1</v>
          </cell>
          <cell r="D2167">
            <v>6</v>
          </cell>
          <cell r="E2167" t="str">
            <v>Advanced</v>
          </cell>
          <cell r="F2167" t="str">
            <v>Standard</v>
          </cell>
          <cell r="G2167">
            <v>44203</v>
          </cell>
          <cell r="H2167" t="str">
            <v>25596</v>
          </cell>
          <cell r="I2167" t="str">
            <v>https://www.smwcentral.net/?a=details&amp;id=25596&amp;p=section</v>
          </cell>
          <cell r="J2167" t="str">
            <v>https://dl.smwcentral.net/25596/MishDemo.zip</v>
          </cell>
        </row>
        <row r="2168">
          <cell r="A2168" t="str">
            <v>Super Mona World</v>
          </cell>
          <cell r="B2168" t="str">
            <v>Super Mona World</v>
          </cell>
          <cell r="C2168" t="str">
            <v>Wolfguy423</v>
          </cell>
          <cell r="D2168">
            <v>4</v>
          </cell>
          <cell r="E2168" t="str">
            <v>Intermediate</v>
          </cell>
          <cell r="F2168" t="str">
            <v>Kaizo</v>
          </cell>
          <cell r="G2168">
            <v>44358</v>
          </cell>
          <cell r="H2168" t="str">
            <v>27220</v>
          </cell>
          <cell r="I2168" t="str">
            <v>https://www.smwcentral.net/?a=details&amp;id=27220&amp;p=section</v>
          </cell>
          <cell r="J2168" t="str">
            <v>https://dl.smwcentral.net/27220/Super%20Mona%20World%201.5.zip</v>
          </cell>
        </row>
        <row r="2169">
          <cell r="A2169" t="str">
            <v>Super Monty World</v>
          </cell>
          <cell r="B2169" t="str">
            <v>Super Monty World</v>
          </cell>
          <cell r="C2169" t="str">
            <v>00frank</v>
          </cell>
          <cell r="D2169">
            <v>31</v>
          </cell>
          <cell r="E2169" t="str">
            <v>Expert</v>
          </cell>
          <cell r="F2169" t="str">
            <v>Kaizo</v>
          </cell>
          <cell r="G2169">
            <v>45362</v>
          </cell>
          <cell r="H2169" t="str">
            <v>36887</v>
          </cell>
          <cell r="I2169" t="str">
            <v>https://www.smwcentral.net/?a=details&amp;id=36887&amp;p=section</v>
          </cell>
          <cell r="J2169" t="str">
            <v>https://dl.smwcentral.net/36887/Super%20Monty%20World%20v1.2.zip</v>
          </cell>
        </row>
        <row r="2170">
          <cell r="A2170" t="str">
            <v>Super Moo World</v>
          </cell>
          <cell r="B2170" t="str">
            <v>Super Moo World</v>
          </cell>
          <cell r="C2170" t="str">
            <v>Jenboo</v>
          </cell>
          <cell r="D2170">
            <v>16</v>
          </cell>
          <cell r="E2170" t="str">
            <v>Intermediate</v>
          </cell>
          <cell r="F2170" t="str">
            <v>Kaizo</v>
          </cell>
          <cell r="G2170">
            <v>43977</v>
          </cell>
          <cell r="H2170" t="str">
            <v>23075</v>
          </cell>
          <cell r="I2170" t="str">
            <v>https://www.smwcentral.net/?a=details&amp;id=23075&amp;p=section</v>
          </cell>
          <cell r="J2170" t="str">
            <v>https://dl.smwcentral.net/23075/SuperMooWorld.zip</v>
          </cell>
        </row>
        <row r="2171">
          <cell r="A2171" t="str">
            <v>Super Muncher Slopes</v>
          </cell>
          <cell r="B2171" t="str">
            <v>Super Muncher Slopes</v>
          </cell>
          <cell r="C2171" t="str">
            <v>tOaO</v>
          </cell>
          <cell r="D2171">
            <v>12</v>
          </cell>
          <cell r="E2171" t="str">
            <v>Master</v>
          </cell>
          <cell r="F2171" t="str">
            <v>Kaizo</v>
          </cell>
          <cell r="G2171">
            <v>45396</v>
          </cell>
          <cell r="H2171" t="str">
            <v>37625</v>
          </cell>
          <cell r="I2171" t="str">
            <v>https://www.smwcentral.net/?a=details&amp;id=37625&amp;p=section</v>
          </cell>
          <cell r="J2171" t="str">
            <v>https://dl.smwcentral.net/37625/super-muncher-slopes.zip</v>
          </cell>
        </row>
        <row r="2172">
          <cell r="A2172" t="str">
            <v>Super Mushroom Planet</v>
          </cell>
          <cell r="B2172" t="str">
            <v>Super Mushroom Planet</v>
          </cell>
          <cell r="C2172" t="str">
            <v>wrathofblade</v>
          </cell>
          <cell r="D2172">
            <v>11</v>
          </cell>
          <cell r="E2172" t="str">
            <v>Newcomer</v>
          </cell>
          <cell r="F2172" t="str">
            <v>Standard</v>
          </cell>
          <cell r="G2172">
            <v>42242</v>
          </cell>
          <cell r="H2172" t="str">
            <v>9905</v>
          </cell>
          <cell r="I2172" t="str">
            <v>https://www.smwcentral.net/?a=details&amp;id=9905&amp;p=section</v>
          </cell>
          <cell r="J2172" t="str">
            <v>https://dl.smwcentral.net/9905/SuperMushPlanet_demo1.zip</v>
          </cell>
        </row>
        <row r="2173">
          <cell r="A2173" t="str">
            <v>Super N3TS Kaizo World 1</v>
          </cell>
          <cell r="B2173" t="str">
            <v>Super N3TS Kaizo World 1</v>
          </cell>
          <cell r="C2173" t="str">
            <v>nets</v>
          </cell>
          <cell r="D2173">
            <v>6</v>
          </cell>
          <cell r="E2173" t="str">
            <v>Advanced</v>
          </cell>
          <cell r="F2173" t="str">
            <v>Kaizo</v>
          </cell>
          <cell r="G2173">
            <v>46010</v>
          </cell>
          <cell r="H2173" t="str">
            <v>41290</v>
          </cell>
          <cell r="I2173" t="str">
            <v>https://www.smwcentral.net/?a=details&amp;id=41290&amp;p=section</v>
          </cell>
          <cell r="J2173" t="str">
            <v>https://dl.smwcentral.net/41290/NETS%20WORLD%201%20%28%20REMAKE%20%29.zip</v>
          </cell>
        </row>
        <row r="2174">
          <cell r="A2174" t="str">
            <v>Super N3TS Kaizo World 2</v>
          </cell>
          <cell r="B2174" t="str">
            <v>Super N3TS Kaizo World 2</v>
          </cell>
          <cell r="C2174" t="str">
            <v>nets</v>
          </cell>
          <cell r="D2174">
            <v>22</v>
          </cell>
          <cell r="E2174" t="str">
            <v>Expert</v>
          </cell>
          <cell r="F2174" t="str">
            <v>Kaizo</v>
          </cell>
          <cell r="G2174">
            <v>45951</v>
          </cell>
          <cell r="H2174" t="str">
            <v>40837</v>
          </cell>
          <cell r="I2174" t="str">
            <v>https://www.smwcentral.net/?a=details&amp;id=40837&amp;p=section</v>
          </cell>
          <cell r="J2174" t="str">
            <v>https://dl.smwcentral.net/40837/SUPER%20NETS%20KAIZO%20WORLD%202.zip</v>
          </cell>
        </row>
        <row r="2175">
          <cell r="A2175" t="str">
            <v>Super N3TS Kaizo World 3 ( Revenge Of The Lost Shells )</v>
          </cell>
          <cell r="B2175" t="str">
            <v>Super N3TS Kaizo World 3 ( Revenge Of The Lost Shells )</v>
          </cell>
          <cell r="C2175" t="str">
            <v>nets</v>
          </cell>
          <cell r="D2175">
            <v>30</v>
          </cell>
          <cell r="E2175" t="str">
            <v>Master</v>
          </cell>
          <cell r="F2175" t="str">
            <v>Kaizo</v>
          </cell>
          <cell r="G2175">
            <v>46000</v>
          </cell>
          <cell r="H2175" t="str">
            <v>41228</v>
          </cell>
          <cell r="I2175" t="str">
            <v>https://www.smwcentral.net/?a=details&amp;id=41228&amp;p=section</v>
          </cell>
          <cell r="J2175" t="str">
            <v>https://dl.smwcentral.net/41228/NETS%203.zip</v>
          </cell>
        </row>
        <row r="2176">
          <cell r="A2176" t="str">
            <v>Super N450 World</v>
          </cell>
          <cell r="B2176" t="str">
            <v>Super N450 World</v>
          </cell>
          <cell r="C2176" t="str">
            <v>N450</v>
          </cell>
          <cell r="D2176">
            <v>10</v>
          </cell>
          <cell r="E2176" t="str">
            <v>Casual</v>
          </cell>
          <cell r="F2176" t="str">
            <v>Standard</v>
          </cell>
          <cell r="G2176">
            <v>44205</v>
          </cell>
          <cell r="H2176" t="str">
            <v>25559</v>
          </cell>
          <cell r="I2176" t="str">
            <v>https://www.smwcentral.net/?a=details&amp;id=25559&amp;p=section</v>
          </cell>
          <cell r="J2176" t="str">
            <v>https://dl.smwcentral.net/25559/Super%20N450%20World%20Demo%201.1.zip</v>
          </cell>
        </row>
        <row r="2177">
          <cell r="A2177" t="str">
            <v>Super Nambona World</v>
          </cell>
          <cell r="B2177" t="str">
            <v>Super Nambona World</v>
          </cell>
          <cell r="C2177" t="str">
            <v>nambona890</v>
          </cell>
          <cell r="D2177">
            <v>1</v>
          </cell>
          <cell r="E2177" t="str">
            <v>Expert</v>
          </cell>
          <cell r="F2177" t="str">
            <v>Kaizo, Tool-Assisted</v>
          </cell>
          <cell r="G2177">
            <v>42599</v>
          </cell>
          <cell r="H2177" t="str">
            <v>14096</v>
          </cell>
          <cell r="I2177" t="str">
            <v>https://www.smwcentral.net/?a=details&amp;id=14096&amp;p=section</v>
          </cell>
          <cell r="J2177" t="str">
            <v>https://dl.smwcentral.net/14096/Super%20Nambona%20World%201%20Level%20Demo.zip</v>
          </cell>
        </row>
        <row r="2178">
          <cell r="A2178" t="str">
            <v>Super Nana World</v>
          </cell>
          <cell r="B2178" t="str">
            <v>Super Nana World</v>
          </cell>
          <cell r="C2178" t="str">
            <v>Firstnamebutt</v>
          </cell>
          <cell r="D2178">
            <v>14</v>
          </cell>
          <cell r="E2178" t="str">
            <v>Expert</v>
          </cell>
          <cell r="F2178" t="str">
            <v>Kaizo</v>
          </cell>
          <cell r="G2178">
            <v>45762</v>
          </cell>
          <cell r="H2178" t="str">
            <v>39725</v>
          </cell>
          <cell r="I2178" t="str">
            <v>https://www.smwcentral.net/?a=details&amp;id=39725&amp;p=section</v>
          </cell>
          <cell r="J2178" t="str">
            <v>https://dl.smwcentral.net/39725/SuperNanaWorld.zip</v>
          </cell>
        </row>
        <row r="2179">
          <cell r="A2179" t="str">
            <v>Super Nantucket World</v>
          </cell>
          <cell r="B2179" t="str">
            <v>Super Nantucket World</v>
          </cell>
          <cell r="C2179" t="str">
            <v>fome82</v>
          </cell>
          <cell r="D2179">
            <v>8</v>
          </cell>
          <cell r="E2179" t="str">
            <v>Intermediate</v>
          </cell>
          <cell r="F2179" t="str">
            <v>Kaizo</v>
          </cell>
          <cell r="G2179">
            <v>44748</v>
          </cell>
          <cell r="H2179" t="str">
            <v>29058</v>
          </cell>
          <cell r="I2179" t="str">
            <v>https://www.smwcentral.net/?a=details&amp;id=29058&amp;p=section</v>
          </cell>
          <cell r="J2179" t="str">
            <v>https://dl.smwcentral.net/29058/SuperNantucketWorld_011.zip</v>
          </cell>
        </row>
        <row r="2180">
          <cell r="A2180" t="str">
            <v>Super Napu World</v>
          </cell>
          <cell r="B2180" t="str">
            <v>Super Napu World</v>
          </cell>
          <cell r="C2180" t="str">
            <v>MrNapkino</v>
          </cell>
          <cell r="D2180">
            <v>22</v>
          </cell>
          <cell r="E2180" t="str">
            <v>Advanced</v>
          </cell>
          <cell r="F2180" t="str">
            <v>Kaizo</v>
          </cell>
          <cell r="G2180">
            <v>45752</v>
          </cell>
          <cell r="H2180" t="str">
            <v>39689</v>
          </cell>
          <cell r="I2180" t="str">
            <v>https://www.smwcentral.net/?a=details&amp;id=39689&amp;p=section</v>
          </cell>
          <cell r="J2180" t="str">
            <v>https://dl.smwcentral.net/39689/NapuWorldV1.1.zip</v>
          </cell>
        </row>
        <row r="2181">
          <cell r="A2181" t="str">
            <v>Super Nario World</v>
          </cell>
          <cell r="B2181" t="str">
            <v>Super Nario World</v>
          </cell>
          <cell r="C2181" t="str">
            <v>Nario31415</v>
          </cell>
          <cell r="D2181">
            <v>10</v>
          </cell>
          <cell r="E2181" t="str">
            <v>Intermediate</v>
          </cell>
          <cell r="F2181" t="str">
            <v>Standard</v>
          </cell>
          <cell r="G2181">
            <v>45532</v>
          </cell>
          <cell r="H2181" t="str">
            <v>38086</v>
          </cell>
          <cell r="I2181" t="str">
            <v>https://www.smwcentral.net/?a=details&amp;id=38086&amp;p=section</v>
          </cell>
          <cell r="J2181" t="str">
            <v>https://dl.smwcentral.net/38086/Super%20Nario%20World%28v1.1%29.zip</v>
          </cell>
        </row>
        <row r="2182">
          <cell r="A2182" t="str">
            <v>Super NemMeViu World</v>
          </cell>
          <cell r="B2182" t="str">
            <v>Super NemMeViu World</v>
          </cell>
          <cell r="C2182" t="str">
            <v>P1JDS, TheMURAmatsu</v>
          </cell>
          <cell r="D2182">
            <v>23</v>
          </cell>
          <cell r="E2182" t="str">
            <v>Intermediate</v>
          </cell>
          <cell r="F2182" t="str">
            <v>Standard</v>
          </cell>
          <cell r="G2182">
            <v>44545</v>
          </cell>
          <cell r="H2182" t="str">
            <v>28977</v>
          </cell>
          <cell r="I2182" t="str">
            <v>https://www.smwcentral.net/?a=details&amp;id=28977&amp;p=section</v>
          </cell>
          <cell r="J2182" t="str">
            <v>https://dl.smwcentral.net/28977/Super%20NemMeViu%20World%201.1.zip</v>
          </cell>
        </row>
        <row r="2183">
          <cell r="A2183" t="str">
            <v>Super NemMeViu World 2</v>
          </cell>
          <cell r="B2183" t="str">
            <v>Super NemMeViu World 2</v>
          </cell>
          <cell r="C2183" t="str">
            <v>P1JDS, TheMURAmatsu</v>
          </cell>
          <cell r="D2183">
            <v>21</v>
          </cell>
          <cell r="E2183" t="str">
            <v>Intermediate</v>
          </cell>
          <cell r="F2183" t="str">
            <v>Standard, Kaizo</v>
          </cell>
          <cell r="G2183">
            <v>44739</v>
          </cell>
          <cell r="H2183" t="str">
            <v>31128</v>
          </cell>
          <cell r="I2183" t="str">
            <v>https://www.smwcentral.net/?a=details&amp;id=31128&amp;p=section</v>
          </cell>
          <cell r="J2183" t="str">
            <v>https://dl.smwcentral.net/31128/_Super%20NemMeViu%20World%202%20%28V.1.2%29.zip</v>
          </cell>
        </row>
        <row r="2184">
          <cell r="A2184" t="str">
            <v>Super Nessy World</v>
          </cell>
          <cell r="B2184" t="str">
            <v>Super Nessy World</v>
          </cell>
          <cell r="C2184" t="str">
            <v>paper ness</v>
          </cell>
          <cell r="D2184">
            <v>4</v>
          </cell>
          <cell r="E2184" t="str">
            <v>Master</v>
          </cell>
          <cell r="F2184" t="str">
            <v>Kaizo</v>
          </cell>
          <cell r="G2184">
            <v>44768</v>
          </cell>
          <cell r="H2184" t="str">
            <v>31577</v>
          </cell>
          <cell r="I2184" t="str">
            <v>https://www.smwcentral.net/?a=details&amp;id=31577&amp;p=section</v>
          </cell>
          <cell r="J2184" t="str">
            <v>https://dl.smwcentral.net/31577/Super%20Nessy%20World.zip</v>
          </cell>
        </row>
        <row r="2185">
          <cell r="A2185" t="str">
            <v>Super Nessy World 2</v>
          </cell>
          <cell r="B2185" t="str">
            <v>Super Nessy World 2</v>
          </cell>
          <cell r="C2185" t="str">
            <v>paper ness</v>
          </cell>
          <cell r="D2185">
            <v>10</v>
          </cell>
          <cell r="E2185" t="str">
            <v>Expert</v>
          </cell>
          <cell r="F2185" t="str">
            <v>Standard, Kaizo</v>
          </cell>
          <cell r="G2185">
            <v>45142</v>
          </cell>
          <cell r="H2185" t="str">
            <v>34369</v>
          </cell>
          <cell r="I2185" t="str">
            <v>https://www.smwcentral.net/?a=details&amp;id=34369&amp;p=section</v>
          </cell>
          <cell r="J2185" t="str">
            <v>https://dl.smwcentral.net/34369/Super%20Nessy%20World%202.zip</v>
          </cell>
        </row>
        <row r="2186">
          <cell r="A2186" t="str">
            <v>Super Ninji Land</v>
          </cell>
          <cell r="B2186" t="str">
            <v>Super Ninji Land</v>
          </cell>
          <cell r="C2186" t="str">
            <v>Idunno</v>
          </cell>
          <cell r="D2186">
            <v>30</v>
          </cell>
          <cell r="E2186" t="str">
            <v>Casual</v>
          </cell>
          <cell r="F2186" t="str">
            <v>Standard</v>
          </cell>
          <cell r="G2186">
            <v>44007</v>
          </cell>
          <cell r="H2186" t="str">
            <v>23434</v>
          </cell>
          <cell r="I2186" t="str">
            <v>https://www.smwcentral.net/?a=details&amp;id=23434&amp;p=section</v>
          </cell>
          <cell r="J2186" t="str">
            <v>https://dl.smwcentral.net/23434/SuperNinjiLand1.1.zip</v>
          </cell>
        </row>
        <row r="2187">
          <cell r="A2187" t="str">
            <v>Super Ninji Land 2: A Ninji's Journey</v>
          </cell>
          <cell r="B2187" t="str">
            <v>Super Ninji Land 2: A Ninji's Journey</v>
          </cell>
          <cell r="C2187" t="str">
            <v>Idunno</v>
          </cell>
          <cell r="D2187">
            <v>42</v>
          </cell>
          <cell r="E2187" t="str">
            <v>Intermediate</v>
          </cell>
          <cell r="F2187" t="str">
            <v>Standard</v>
          </cell>
          <cell r="G2187">
            <v>44375</v>
          </cell>
          <cell r="H2187" t="str">
            <v>27137</v>
          </cell>
          <cell r="I2187" t="str">
            <v>https://www.smwcentral.net/?a=details&amp;id=27137&amp;p=section</v>
          </cell>
          <cell r="J2187" t="str">
            <v>https://dl.smwcentral.net/27137/SuperNinjiLand%20-%20V%201.2%20.zip</v>
          </cell>
        </row>
        <row r="2188">
          <cell r="A2188" t="str">
            <v>Super Ninji Land Reawakened</v>
          </cell>
          <cell r="B2188" t="str">
            <v>Super Ninji Land Reawakened</v>
          </cell>
          <cell r="C2188" t="str">
            <v>Idunno</v>
          </cell>
          <cell r="D2188">
            <v>50</v>
          </cell>
          <cell r="E2188" t="str">
            <v>Casual</v>
          </cell>
          <cell r="F2188" t="str">
            <v>Standard</v>
          </cell>
          <cell r="G2188">
            <v>45876</v>
          </cell>
          <cell r="H2188" t="str">
            <v>40217</v>
          </cell>
          <cell r="I2188" t="str">
            <v>https://www.smwcentral.net/?a=details&amp;id=40217&amp;p=section</v>
          </cell>
          <cell r="J2188" t="str">
            <v>https://dl.smwcentral.net/40217/SuperNinjiLandReawakened%20V1.1.zip</v>
          </cell>
        </row>
        <row r="2189">
          <cell r="A2189" t="str">
            <v>Super Normal World</v>
          </cell>
          <cell r="B2189" t="str">
            <v>Super Normal World</v>
          </cell>
          <cell r="C2189" t="str">
            <v>IceFreaki</v>
          </cell>
          <cell r="D2189">
            <v>14</v>
          </cell>
          <cell r="E2189" t="str">
            <v>Intermediate</v>
          </cell>
          <cell r="F2189" t="str">
            <v>Standard</v>
          </cell>
          <cell r="G2189">
            <v>42219</v>
          </cell>
          <cell r="H2189" t="str">
            <v>9882</v>
          </cell>
          <cell r="I2189" t="str">
            <v>https://www.smwcentral.net/?a=details&amp;id=9882&amp;p=section</v>
          </cell>
          <cell r="J2189" t="str">
            <v>https://dl.smwcentral.net/9882/super%20normal%20world.zip</v>
          </cell>
        </row>
        <row r="2190">
          <cell r="A2190" t="str">
            <v>Super Nostalgia World</v>
          </cell>
          <cell r="B2190" t="str">
            <v>Super Nostalgia World</v>
          </cell>
          <cell r="C2190" t="str">
            <v>bandicoot</v>
          </cell>
          <cell r="D2190">
            <v>7</v>
          </cell>
          <cell r="E2190" t="str">
            <v>Newcomer</v>
          </cell>
          <cell r="F2190" t="str">
            <v>Standard</v>
          </cell>
          <cell r="G2190">
            <v>41856</v>
          </cell>
          <cell r="H2190" t="str">
            <v>6965</v>
          </cell>
          <cell r="I2190" t="str">
            <v>https://www.smwcentral.net/?a=details&amp;id=6965&amp;p=section</v>
          </cell>
          <cell r="J2190" t="str">
            <v>https://dl.smwcentral.net/6965/SNW%20c3%20DEMO%201.zip</v>
          </cell>
        </row>
        <row r="2191">
          <cell r="A2191" t="str">
            <v>Super Nothing World</v>
          </cell>
          <cell r="B2191" t="str">
            <v>Super Nothing World</v>
          </cell>
          <cell r="C2191" t="str">
            <v>NewPointless</v>
          </cell>
          <cell r="D2191">
            <v>25</v>
          </cell>
          <cell r="E2191" t="str">
            <v>Advanced</v>
          </cell>
          <cell r="F2191" t="str">
            <v>Standard, Kaizo</v>
          </cell>
          <cell r="G2191">
            <v>44595</v>
          </cell>
          <cell r="H2191" t="str">
            <v>29680</v>
          </cell>
          <cell r="I2191" t="str">
            <v>https://www.smwcentral.net/?a=details&amp;id=29680&amp;p=section</v>
          </cell>
          <cell r="J2191" t="str">
            <v>https://dl.smwcentral.net/29680/SuperNothingWorld1_2.zip</v>
          </cell>
        </row>
        <row r="2192">
          <cell r="A2192" t="str">
            <v>Super Nova</v>
          </cell>
          <cell r="B2192" t="str">
            <v>Super Nova</v>
          </cell>
          <cell r="C2192" t="str">
            <v>Yagami</v>
          </cell>
          <cell r="D2192">
            <v>18</v>
          </cell>
          <cell r="E2192" t="str">
            <v>Expert</v>
          </cell>
          <cell r="F2192" t="str">
            <v>Kaizo</v>
          </cell>
          <cell r="G2192">
            <v>44095</v>
          </cell>
          <cell r="H2192" t="str">
            <v>24397</v>
          </cell>
          <cell r="I2192" t="str">
            <v>https://www.smwcentral.net/?a=details&amp;id=24397&amp;p=section</v>
          </cell>
          <cell r="J2192" t="str">
            <v>https://dl.smwcentral.net/24397/Super%20Nova%201.21.zip</v>
          </cell>
        </row>
        <row r="2193">
          <cell r="A2193" t="str">
            <v>Super Nova Deluxe</v>
          </cell>
          <cell r="B2193" t="str">
            <v>Super Nova Deluxe</v>
          </cell>
          <cell r="C2193" t="str">
            <v>Yagami</v>
          </cell>
          <cell r="D2193">
            <v>18</v>
          </cell>
          <cell r="E2193" t="str">
            <v>Advanced</v>
          </cell>
          <cell r="F2193" t="str">
            <v>Kaizo</v>
          </cell>
          <cell r="G2193">
            <v>44113</v>
          </cell>
          <cell r="H2193" t="str">
            <v>24704</v>
          </cell>
          <cell r="I2193" t="str">
            <v>https://www.smwcentral.net/?a=details&amp;id=24704&amp;p=section</v>
          </cell>
          <cell r="J2193" t="str">
            <v>https://dl.smwcentral.net/24704/Super%20Nova%20Deluxe.zip</v>
          </cell>
        </row>
        <row r="2194">
          <cell r="A2194" t="str">
            <v>Super Nova World</v>
          </cell>
          <cell r="B2194" t="str">
            <v>Super Nova World</v>
          </cell>
          <cell r="C2194" t="str">
            <v>Domokun007</v>
          </cell>
          <cell r="D2194">
            <v>19</v>
          </cell>
          <cell r="E2194" t="str">
            <v>Intermediate</v>
          </cell>
          <cell r="F2194" t="str">
            <v>Standard</v>
          </cell>
          <cell r="G2194">
            <v>44514</v>
          </cell>
          <cell r="H2194" t="str">
            <v>28782</v>
          </cell>
          <cell r="I2194" t="str">
            <v>https://www.smwcentral.net/?a=details&amp;id=28782&amp;p=section</v>
          </cell>
          <cell r="J2194" t="str">
            <v>https://dl.smwcentral.net/28782/Super%20Nova%20World%201.1.zip</v>
          </cell>
        </row>
        <row r="2195">
          <cell r="A2195" t="str">
            <v>Super Odd World</v>
          </cell>
          <cell r="B2195" t="str">
            <v>Super Odd World</v>
          </cell>
          <cell r="C2195" t="str">
            <v>Arobam</v>
          </cell>
          <cell r="D2195">
            <v>21</v>
          </cell>
          <cell r="E2195" t="str">
            <v>Expert</v>
          </cell>
          <cell r="F2195" t="str">
            <v>Kaizo</v>
          </cell>
          <cell r="G2195">
            <v>44650</v>
          </cell>
          <cell r="H2195" t="str">
            <v>30237</v>
          </cell>
          <cell r="I2195" t="str">
            <v>https://www.smwcentral.net/?a=details&amp;id=30237&amp;p=section</v>
          </cell>
          <cell r="J2195" t="str">
            <v>https://dl.smwcentral.net/30237/Super%20Odd%20World.zip</v>
          </cell>
        </row>
        <row r="2196">
          <cell r="A2196" t="str">
            <v>Super Odd World 2</v>
          </cell>
          <cell r="B2196" t="str">
            <v>Super Odd World 2</v>
          </cell>
          <cell r="C2196" t="str">
            <v>Pirate Yoshi</v>
          </cell>
          <cell r="D2196">
            <v>5</v>
          </cell>
          <cell r="E2196" t="str">
            <v>Newcomer</v>
          </cell>
          <cell r="F2196" t="str">
            <v>Standard</v>
          </cell>
          <cell r="G2196">
            <v>42221</v>
          </cell>
          <cell r="H2196" t="str">
            <v>9879</v>
          </cell>
          <cell r="I2196" t="str">
            <v>https://www.smwcentral.net/?a=details&amp;id=9879&amp;p=section</v>
          </cell>
          <cell r="J2196" t="str">
            <v>https://dl.smwcentral.net/9879/Super%20Odd%20World%202.zip</v>
          </cell>
        </row>
        <row r="2197">
          <cell r="A2197" t="str">
            <v>Super Omelette World</v>
          </cell>
          <cell r="B2197" t="str">
            <v>Super Omelette World</v>
          </cell>
          <cell r="C2197" t="str">
            <v>Whoamme</v>
          </cell>
          <cell r="D2197">
            <v>29</v>
          </cell>
          <cell r="E2197" t="str">
            <v>Newcomer</v>
          </cell>
          <cell r="F2197" t="str">
            <v>Standard</v>
          </cell>
          <cell r="G2197">
            <v>42277</v>
          </cell>
          <cell r="H2197" t="str">
            <v>10045</v>
          </cell>
          <cell r="I2197" t="str">
            <v>https://www.smwcentral.net/?a=details&amp;id=10045&amp;p=section</v>
          </cell>
          <cell r="J2197" t="str">
            <v>https://dl.smwcentral.net/10045/Super%20Omelette%20World.zip</v>
          </cell>
        </row>
        <row r="2198">
          <cell r="A2198" t="str">
            <v>Super One Point Oh</v>
          </cell>
          <cell r="B2198" t="str">
            <v>Super One Point Oh</v>
          </cell>
          <cell r="C2198" t="str">
            <v>MDBattleFrog</v>
          </cell>
          <cell r="D2198">
            <v>6</v>
          </cell>
          <cell r="E2198" t="str">
            <v>Expert</v>
          </cell>
          <cell r="F2198" t="str">
            <v>Kaizo</v>
          </cell>
          <cell r="G2198">
            <v>43928</v>
          </cell>
          <cell r="H2198" t="str">
            <v>22591</v>
          </cell>
          <cell r="I2198" t="str">
            <v>https://www.smwcentral.net/?a=details&amp;id=22591&amp;p=section</v>
          </cell>
          <cell r="J2198" t="str">
            <v>https://dl.smwcentral.net/22591/SuperOnePointOh.zip</v>
          </cell>
        </row>
        <row r="2199">
          <cell r="A2199" t="str">
            <v>Super Only Up with Fennet Boddy's Jump Prince</v>
          </cell>
          <cell r="B2199" t="str">
            <v>Super Only Up with Fennet Boddy's Jump Prince</v>
          </cell>
          <cell r="C2199" t="str">
            <v>The_Uber_Camper</v>
          </cell>
          <cell r="D2199">
            <v>0</v>
          </cell>
          <cell r="E2199" t="str">
            <v>Master</v>
          </cell>
          <cell r="F2199" t="str">
            <v>Kaizo</v>
          </cell>
          <cell r="G2199">
            <v>45146</v>
          </cell>
          <cell r="H2199" t="str">
            <v>34768</v>
          </cell>
          <cell r="I2199" t="str">
            <v>https://www.smwcentral.net/?a=details&amp;id=34768&amp;p=section</v>
          </cell>
          <cell r="J2199" t="str">
            <v>https://dl.smwcentral.net/34768/Super%20Maybe%20Upwards.zip</v>
          </cell>
        </row>
        <row r="2200">
          <cell r="A2200" t="str">
            <v>Super Ordinary World</v>
          </cell>
          <cell r="B2200" t="str">
            <v>Super Ordinary World</v>
          </cell>
          <cell r="C2200" t="str">
            <v>Pottsie</v>
          </cell>
          <cell r="D2200">
            <v>14</v>
          </cell>
          <cell r="E2200" t="str">
            <v>Expert</v>
          </cell>
          <cell r="F2200" t="str">
            <v>Kaizo</v>
          </cell>
          <cell r="G2200">
            <v>46088</v>
          </cell>
          <cell r="H2200" t="str">
            <v>41828</v>
          </cell>
          <cell r="I2200" t="str">
            <v>https://www.smwcentral.net/?a=details&amp;id=41828&amp;p=section</v>
          </cell>
          <cell r="J2200" t="str">
            <v>https://dl.smwcentral.net/41828/Super%20Ordinary%20World.zip</v>
          </cell>
        </row>
        <row r="2201">
          <cell r="A2201" t="str">
            <v>Super Oreetv World</v>
          </cell>
          <cell r="B2201" t="str">
            <v>Super Oreetv World</v>
          </cell>
          <cell r="C2201" t="str">
            <v>MarioFan1337</v>
          </cell>
          <cell r="D2201">
            <v>23</v>
          </cell>
          <cell r="E2201" t="str">
            <v>Expert</v>
          </cell>
          <cell r="F2201" t="str">
            <v>Kaizo</v>
          </cell>
          <cell r="G2201">
            <v>45953</v>
          </cell>
          <cell r="H2201" t="str">
            <v>40758</v>
          </cell>
          <cell r="I2201" t="str">
            <v>https://www.smwcentral.net/?a=details&amp;id=40758&amp;p=section</v>
          </cell>
          <cell r="J2201" t="str">
            <v>https://dl.smwcentral.net/40758/Super%20Oreetv%20World.zip</v>
          </cell>
        </row>
        <row r="2202">
          <cell r="A2202" t="str">
            <v>Super Panga World</v>
          </cell>
          <cell r="B2202" t="str">
            <v>Super Panga World</v>
          </cell>
          <cell r="C2202" t="str">
            <v>Linkdeadx2</v>
          </cell>
          <cell r="D2202">
            <v>12</v>
          </cell>
          <cell r="E2202" t="str">
            <v>Master</v>
          </cell>
          <cell r="F2202" t="str">
            <v>Kaizo</v>
          </cell>
          <cell r="G2202">
            <v>42875</v>
          </cell>
          <cell r="H2202" t="str">
            <v>15561</v>
          </cell>
          <cell r="I2202" t="str">
            <v>https://www.smwcentral.net/?a=details&amp;id=15561&amp;p=section</v>
          </cell>
          <cell r="J2202" t="str">
            <v>https://dl.smwcentral.net/15561/Super%20Panga%20World%20v1.2.zip</v>
          </cell>
        </row>
        <row r="2203">
          <cell r="A2203" t="str">
            <v>Super Paper Luigi</v>
          </cell>
          <cell r="B2203" t="str">
            <v>Super Paper Luigi</v>
          </cell>
          <cell r="C2203" t="str">
            <v>General Ike</v>
          </cell>
          <cell r="D2203">
            <v>4</v>
          </cell>
          <cell r="E2203" t="str">
            <v>Newcomer</v>
          </cell>
          <cell r="F2203" t="str">
            <v>Standard</v>
          </cell>
          <cell r="G2203">
            <v>42044</v>
          </cell>
          <cell r="H2203" t="str">
            <v>9771</v>
          </cell>
          <cell r="I2203" t="str">
            <v>https://www.smwcentral.net/?a=details&amp;id=9771&amp;p=section</v>
          </cell>
          <cell r="J2203" t="str">
            <v>https://dl.smwcentral.net/9771/Paper%20Luigi.zip</v>
          </cell>
        </row>
        <row r="2204">
          <cell r="A2204" t="str">
            <v>Super pcclub88 World</v>
          </cell>
          <cell r="B2204" t="str">
            <v>Super pcclub88 World</v>
          </cell>
          <cell r="C2204" t="str">
            <v>PopCorn181</v>
          </cell>
          <cell r="D2204">
            <v>9</v>
          </cell>
          <cell r="E2204" t="str">
            <v>Expert</v>
          </cell>
          <cell r="F2204" t="str">
            <v>Kaizo</v>
          </cell>
          <cell r="G2204">
            <v>45730</v>
          </cell>
          <cell r="H2204" t="str">
            <v>39546</v>
          </cell>
          <cell r="I2204" t="str">
            <v>https://www.smwcentral.net/?a=details&amp;id=39546&amp;p=section</v>
          </cell>
          <cell r="J2204" t="str">
            <v>https://dl.smwcentral.net/39546/Super%20pcclub88%20World.zip</v>
          </cell>
        </row>
        <row r="2205">
          <cell r="A2205" t="str">
            <v>Super pcclub88 World II: The Return of the Fog</v>
          </cell>
          <cell r="B2205" t="str">
            <v>Super pcclub88 World II: The Return of the Fog</v>
          </cell>
          <cell r="C2205" t="str">
            <v>PopCorn181</v>
          </cell>
          <cell r="D2205">
            <v>7</v>
          </cell>
          <cell r="E2205" t="str">
            <v>Master</v>
          </cell>
          <cell r="F2205" t="str">
            <v>Kaizo</v>
          </cell>
          <cell r="G2205">
            <v>45868</v>
          </cell>
          <cell r="H2205" t="str">
            <v>40175</v>
          </cell>
          <cell r="I2205" t="str">
            <v>https://www.smwcentral.net/?a=details&amp;id=40175&amp;p=section</v>
          </cell>
          <cell r="J2205" t="str">
            <v>https://dl.smwcentral.net/40175/Super_pcclub88_World_II_.zip</v>
          </cell>
        </row>
        <row r="2206">
          <cell r="A2206" t="str">
            <v>Super Peach World</v>
          </cell>
          <cell r="B2206" t="str">
            <v>Super Peach World</v>
          </cell>
          <cell r="C2206" t="str">
            <v>TheGremlin</v>
          </cell>
          <cell r="D2206">
            <v>35</v>
          </cell>
          <cell r="E2206" t="str">
            <v>Advanced</v>
          </cell>
          <cell r="F2206" t="str">
            <v>Standard</v>
          </cell>
          <cell r="G2206">
            <v>44212</v>
          </cell>
          <cell r="H2206" t="str">
            <v>25501</v>
          </cell>
          <cell r="I2206" t="str">
            <v>https://www.smwcentral.net/?a=details&amp;id=25501&amp;p=section</v>
          </cell>
          <cell r="J2206" t="str">
            <v>https://dl.smwcentral.net/25501/Super%20Peach%20World.zip</v>
          </cell>
        </row>
        <row r="2207">
          <cell r="A2207" t="str">
            <v>Super Peggy World</v>
          </cell>
          <cell r="B2207" t="str">
            <v>Super Peggy World</v>
          </cell>
          <cell r="C2207" t="str">
            <v>smasken</v>
          </cell>
          <cell r="D2207">
            <v>13</v>
          </cell>
          <cell r="E2207" t="str">
            <v>Intermediate</v>
          </cell>
          <cell r="F2207" t="str">
            <v>Kaizo</v>
          </cell>
          <cell r="G2207">
            <v>43559</v>
          </cell>
          <cell r="H2207" t="str">
            <v>19565</v>
          </cell>
          <cell r="I2207" t="str">
            <v>https://www.smwcentral.net/?a=details&amp;id=19565&amp;p=section</v>
          </cell>
          <cell r="J2207" t="str">
            <v>https://dl.smwcentral.net/19565/SuperPeggyWorld1.4.zip</v>
          </cell>
        </row>
        <row r="2208">
          <cell r="A2208" t="str">
            <v>Super Penny World</v>
          </cell>
          <cell r="B2208" t="str">
            <v>Super Penny World</v>
          </cell>
          <cell r="C2208" t="str">
            <v>Blaagon</v>
          </cell>
          <cell r="D2208">
            <v>16</v>
          </cell>
          <cell r="E2208" t="str">
            <v>Expert</v>
          </cell>
          <cell r="F2208" t="str">
            <v>Kaizo</v>
          </cell>
          <cell r="G2208">
            <v>44396</v>
          </cell>
          <cell r="H2208" t="str">
            <v>27712</v>
          </cell>
          <cell r="I2208" t="str">
            <v>https://www.smwcentral.net/?a=details&amp;id=27712&amp;p=section</v>
          </cell>
          <cell r="J2208" t="str">
            <v>https://dl.smwcentral.net/27712/Super%20Penny%20World%20v1.0.zip</v>
          </cell>
        </row>
        <row r="2209">
          <cell r="A2209" t="str">
            <v>Super Pika Land Ultra: Chocolate Version</v>
          </cell>
          <cell r="B2209" t="str">
            <v>Super Pika Land Ultra: Chocolate Version</v>
          </cell>
          <cell r="C2209" t="str">
            <v>Doownayr89</v>
          </cell>
          <cell r="D2209">
            <v>60</v>
          </cell>
          <cell r="E2209" t="str">
            <v>Advanced</v>
          </cell>
          <cell r="F2209" t="str">
            <v>Standard</v>
          </cell>
          <cell r="G2209">
            <v>41705</v>
          </cell>
          <cell r="H2209" t="str">
            <v>6351</v>
          </cell>
          <cell r="I2209" t="str">
            <v>https://www.smwcentral.net/?a=details&amp;id=6351&amp;p=section</v>
          </cell>
          <cell r="J2209" t="str">
            <v>https://dl.smwcentral.net/6351/SpluC_FINAL4.3.zip</v>
          </cell>
        </row>
        <row r="2210">
          <cell r="A2210" t="str">
            <v>Super Pika Land Ultra: Vanilla Version</v>
          </cell>
          <cell r="B2210" t="str">
            <v>Super Pika Land Ultra: Vanilla Version</v>
          </cell>
          <cell r="C2210" t="str">
            <v>Doownayr89</v>
          </cell>
          <cell r="D2210">
            <v>78</v>
          </cell>
          <cell r="E2210" t="str">
            <v>Intermediate</v>
          </cell>
          <cell r="F2210" t="str">
            <v>Standard</v>
          </cell>
          <cell r="G2210">
            <v>41600</v>
          </cell>
          <cell r="H2210" t="str">
            <v>5494</v>
          </cell>
          <cell r="I2210" t="str">
            <v>https://www.smwcentral.net/?a=details&amp;id=5494&amp;p=section</v>
          </cell>
          <cell r="J2210" t="str">
            <v>https://dl.smwcentral.net/5494/SPLU%20patch.zip</v>
          </cell>
        </row>
        <row r="2211">
          <cell r="A2211" t="str">
            <v>Super PKlepek World</v>
          </cell>
          <cell r="B2211" t="str">
            <v>Super PKlepek World</v>
          </cell>
          <cell r="C2211" t="str">
            <v>akkanben</v>
          </cell>
          <cell r="D2211">
            <v>9</v>
          </cell>
          <cell r="E2211" t="str">
            <v>Advanced</v>
          </cell>
          <cell r="F2211" t="str">
            <v>Kaizo</v>
          </cell>
          <cell r="G2211">
            <v>43962</v>
          </cell>
          <cell r="H2211" t="str">
            <v>22794</v>
          </cell>
          <cell r="I2211" t="str">
            <v>https://www.smwcentral.net/?a=details&amp;id=22794&amp;p=section</v>
          </cell>
          <cell r="J2211" t="str">
            <v>https://dl.smwcentral.net/22794/Super%20PKlepek%20World.zip</v>
          </cell>
        </row>
        <row r="2212">
          <cell r="A2212" t="str">
            <v>super place land!</v>
          </cell>
          <cell r="B2212" t="str">
            <v>super place land!</v>
          </cell>
          <cell r="C2212" t="str">
            <v>mufbin</v>
          </cell>
          <cell r="D2212">
            <v>5</v>
          </cell>
          <cell r="E2212" t="str">
            <v>Newcomer</v>
          </cell>
          <cell r="F2212" t="str">
            <v>Standard</v>
          </cell>
          <cell r="G2212">
            <v>43185</v>
          </cell>
          <cell r="H2212" t="str">
            <v>17292</v>
          </cell>
          <cell r="I2212" t="str">
            <v>https://www.smwcentral.net/?a=details&amp;id=17292&amp;p=section</v>
          </cell>
          <cell r="J2212" t="str">
            <v>https://dl.smwcentral.net/17292/super%20place%20land%21.zip</v>
          </cell>
        </row>
        <row r="2213">
          <cell r="A2213" t="str">
            <v>Super Plinko World</v>
          </cell>
          <cell r="B2213" t="str">
            <v>Super Plinko World</v>
          </cell>
          <cell r="C2213" t="str">
            <v>AmperSam, Various Authors</v>
          </cell>
          <cell r="D2213">
            <v>75</v>
          </cell>
          <cell r="E2213" t="str">
            <v>Casual</v>
          </cell>
          <cell r="F2213" t="str">
            <v>Standard</v>
          </cell>
          <cell r="G2213">
            <v>45932</v>
          </cell>
          <cell r="H2213" t="str">
            <v>40658</v>
          </cell>
          <cell r="I2213" t="str">
            <v>https://www.smwcentral.net/?a=details&amp;id=40658&amp;p=section</v>
          </cell>
          <cell r="J2213" t="str">
            <v>https://dl.smwcentral.net/40658/fish_plinko-1.5.zip</v>
          </cell>
        </row>
        <row r="2214">
          <cell r="A2214" t="str">
            <v>Super Plumber Mario World</v>
          </cell>
          <cell r="B2214" t="str">
            <v>Super Plumber Mario World</v>
          </cell>
          <cell r="C2214" t="str">
            <v>Major Flare</v>
          </cell>
          <cell r="D2214">
            <v>18</v>
          </cell>
          <cell r="E2214" t="str">
            <v>Casual</v>
          </cell>
          <cell r="F2214" t="str">
            <v>Standard</v>
          </cell>
          <cell r="G2214">
            <v>42087</v>
          </cell>
          <cell r="H2214" t="str">
            <v>9780</v>
          </cell>
          <cell r="I2214" t="str">
            <v>https://www.smwcentral.net/?a=details&amp;id=9780&amp;p=section</v>
          </cell>
          <cell r="J2214" t="str">
            <v>https://dl.smwcentral.net/9780/Super%20Plumber%20Mario%20World%201%20%28Demo%201%29.zip</v>
          </cell>
        </row>
        <row r="2215">
          <cell r="A2215" t="str">
            <v>Super Practice World</v>
          </cell>
          <cell r="B2215" t="str">
            <v>Super Practice World</v>
          </cell>
          <cell r="C2215" t="str">
            <v>djEnby</v>
          </cell>
          <cell r="D2215">
            <v>4</v>
          </cell>
          <cell r="E2215" t="str">
            <v>Intermediate</v>
          </cell>
          <cell r="F2215" t="str">
            <v>Kaizo</v>
          </cell>
          <cell r="G2215">
            <v>45100</v>
          </cell>
          <cell r="H2215" t="str">
            <v>34158</v>
          </cell>
          <cell r="I2215" t="str">
            <v>https://www.smwcentral.net/?a=details&amp;id=34158&amp;p=section</v>
          </cell>
          <cell r="J2215" t="str">
            <v>https://dl.smwcentral.net/34158/Super%20Practice%20World.zip</v>
          </cell>
        </row>
        <row r="2216">
          <cell r="A2216" t="str">
            <v>Super Puzzle Land 2 - Remastered</v>
          </cell>
          <cell r="B2216" t="str">
            <v>Super Puzzle Land 2 - Remastered</v>
          </cell>
          <cell r="C2216" t="str">
            <v>natnew</v>
          </cell>
          <cell r="D2216">
            <v>28</v>
          </cell>
          <cell r="E2216" t="str">
            <v>Expert</v>
          </cell>
          <cell r="F2216" t="str">
            <v>Kaizo, Puzzle</v>
          </cell>
          <cell r="G2216">
            <v>42738</v>
          </cell>
          <cell r="H2216" t="str">
            <v>14874</v>
          </cell>
          <cell r="I2216" t="str">
            <v>https://www.smwcentral.net/?a=details&amp;id=14874&amp;p=section</v>
          </cell>
          <cell r="J2216" t="str">
            <v>https://dl.smwcentral.net/14874/SPL2RN1.zip</v>
          </cell>
        </row>
        <row r="2217">
          <cell r="A2217" t="str">
            <v>Super Race World</v>
          </cell>
          <cell r="B2217" t="str">
            <v>Super Race World</v>
          </cell>
          <cell r="C2217" t="str">
            <v>The insane little elf</v>
          </cell>
          <cell r="D2217">
            <v>5</v>
          </cell>
          <cell r="E2217" t="str">
            <v>Intermediate</v>
          </cell>
          <cell r="F2217" t="str">
            <v>Standard</v>
          </cell>
          <cell r="G2217">
            <v>42081</v>
          </cell>
          <cell r="H2217" t="str">
            <v>9781</v>
          </cell>
          <cell r="I2217" t="str">
            <v>https://www.smwcentral.net/?a=details&amp;id=9781&amp;p=section</v>
          </cell>
          <cell r="J2217" t="str">
            <v>https://dl.smwcentral.net/9781/Super%20race%20world.zip</v>
          </cell>
        </row>
        <row r="2218">
          <cell r="A2218" t="str">
            <v>Super RDK</v>
          </cell>
          <cell r="B2218" t="str">
            <v>Super RDK</v>
          </cell>
          <cell r="C2218" t="str">
            <v>redkiller</v>
          </cell>
          <cell r="D2218">
            <v>15</v>
          </cell>
          <cell r="E2218" t="str">
            <v>Advanced</v>
          </cell>
          <cell r="F2218" t="str">
            <v>Kaizo</v>
          </cell>
          <cell r="G2218">
            <v>44441</v>
          </cell>
          <cell r="H2218" t="str">
            <v>28166</v>
          </cell>
          <cell r="I2218" t="str">
            <v>https://www.smwcentral.net/?a=details&amp;id=28166&amp;p=section</v>
          </cell>
          <cell r="J2218" t="str">
            <v>https://dl.smwcentral.net/28166/RDK.zip</v>
          </cell>
        </row>
        <row r="2219">
          <cell r="A2219" t="str">
            <v>Super Reasonable World</v>
          </cell>
          <cell r="B2219" t="str">
            <v>Super Reasonable World</v>
          </cell>
          <cell r="C2219" t="str">
            <v>ThirdWall</v>
          </cell>
          <cell r="D2219">
            <v>16</v>
          </cell>
          <cell r="E2219" t="str">
            <v>Master</v>
          </cell>
          <cell r="F2219" t="str">
            <v>Kaizo</v>
          </cell>
          <cell r="G2219">
            <v>45802</v>
          </cell>
          <cell r="H2219" t="str">
            <v>39863</v>
          </cell>
          <cell r="I2219" t="str">
            <v>https://www.smwcentral.net/?a=details&amp;id=39863&amp;p=section</v>
          </cell>
          <cell r="J2219" t="str">
            <v>https://dl.smwcentral.net/39863/SuperReasonableWorld.zip</v>
          </cell>
        </row>
        <row r="2220">
          <cell r="A2220" t="str">
            <v>Super Refund World</v>
          </cell>
          <cell r="B2220" t="str">
            <v>Super Refund World</v>
          </cell>
          <cell r="C2220" t="str">
            <v>Arobam</v>
          </cell>
          <cell r="D2220">
            <v>22</v>
          </cell>
          <cell r="E2220" t="str">
            <v>Grandmaster</v>
          </cell>
          <cell r="F2220" t="str">
            <v>Kaizo</v>
          </cell>
          <cell r="G2220">
            <v>46095</v>
          </cell>
          <cell r="H2220" t="str">
            <v>41864</v>
          </cell>
          <cell r="I2220" t="str">
            <v>https://www.smwcentral.net/?a=details&amp;id=41864&amp;p=section</v>
          </cell>
          <cell r="J2220" t="str">
            <v>https://dl.smwcentral.net/41864/Super%20Refund%20World%201.02.zip</v>
          </cell>
        </row>
        <row r="2221">
          <cell r="A2221" t="str">
            <v>Super Regiane-se</v>
          </cell>
          <cell r="B2221" t="str">
            <v>Super Regiane-se</v>
          </cell>
          <cell r="C2221" t="str">
            <v>Deivid Borba</v>
          </cell>
          <cell r="D2221">
            <v>19</v>
          </cell>
          <cell r="E2221" t="str">
            <v>Advanced</v>
          </cell>
          <cell r="F2221" t="str">
            <v>Kaizo</v>
          </cell>
          <cell r="G2221">
            <v>46163</v>
          </cell>
          <cell r="H2221" t="str">
            <v>42386</v>
          </cell>
          <cell r="I2221" t="str">
            <v>https://www.smwcentral.net/?a=details&amp;id=42386&amp;p=section</v>
          </cell>
          <cell r="J2221" t="str">
            <v>https://dl.smwcentral.net/42386/Super%20Regiane-se.zip</v>
          </cell>
        </row>
        <row r="2222">
          <cell r="A2222" t="str">
            <v>Super Reimu World Return To Hack</v>
          </cell>
          <cell r="B2222" t="str">
            <v>Super Reimu World Return To Hack</v>
          </cell>
          <cell r="C2222" t="str">
            <v>tfpivman</v>
          </cell>
          <cell r="D2222">
            <v>77</v>
          </cell>
          <cell r="E2222" t="str">
            <v>Intermediate</v>
          </cell>
          <cell r="F2222" t="str">
            <v>Standard</v>
          </cell>
          <cell r="G2222">
            <v>44764</v>
          </cell>
          <cell r="H2222" t="str">
            <v>31608</v>
          </cell>
          <cell r="I2222" t="str">
            <v>https://www.smwcentral.net/?a=details&amp;id=31608&amp;p=section</v>
          </cell>
          <cell r="J2222" t="str">
            <v>https://dl.smwcentral.net/31608/SRW%20return%20to%20hack%20%28final%29.zip</v>
          </cell>
        </row>
        <row r="2223">
          <cell r="A2223" t="str">
            <v>Super Responsible World</v>
          </cell>
          <cell r="B2223" t="str">
            <v>Super Responsible World</v>
          </cell>
          <cell r="C2223" t="str">
            <v>ft029</v>
          </cell>
          <cell r="D2223">
            <v>20</v>
          </cell>
          <cell r="E2223" t="str">
            <v>Grandmaster</v>
          </cell>
          <cell r="F2223" t="str">
            <v>Kaizo</v>
          </cell>
          <cell r="G2223">
            <v>42458</v>
          </cell>
          <cell r="H2223" t="str">
            <v>12979</v>
          </cell>
          <cell r="I2223" t="str">
            <v>https://www.smwcentral.net/?a=details&amp;id=12979&amp;p=section</v>
          </cell>
          <cell r="J2223" t="str">
            <v>https://dl.smwcentral.net/12979/Super%20Responsible%20World.zip</v>
          </cell>
        </row>
        <row r="2224">
          <cell r="A2224" t="str">
            <v>Super Riff World</v>
          </cell>
          <cell r="B2224" t="str">
            <v>Super Riff World</v>
          </cell>
          <cell r="C2224" t="str">
            <v>Freakin_HA</v>
          </cell>
          <cell r="D2224">
            <v>26</v>
          </cell>
          <cell r="E2224" t="str">
            <v>Master</v>
          </cell>
          <cell r="F2224" t="str">
            <v>Kaizo</v>
          </cell>
          <cell r="G2224">
            <v>43830</v>
          </cell>
          <cell r="H2224" t="str">
            <v>21703</v>
          </cell>
          <cell r="I2224" t="str">
            <v>https://www.smwcentral.net/?a=details&amp;id=21703&amp;p=section</v>
          </cell>
          <cell r="J2224" t="str">
            <v>https://dl.smwcentral.net/21703/Super%20Riff%20World.zip</v>
          </cell>
        </row>
        <row r="2225">
          <cell r="A2225" t="str">
            <v>Super Rtyuio World: Part 1</v>
          </cell>
          <cell r="B2225" t="str">
            <v>Super Rtyuio World: Part 1</v>
          </cell>
          <cell r="C2225" t="str">
            <v>rtyuio54321</v>
          </cell>
          <cell r="D2225">
            <v>34</v>
          </cell>
          <cell r="E2225" t="str">
            <v>Casual</v>
          </cell>
          <cell r="F2225" t="str">
            <v>Standard</v>
          </cell>
          <cell r="G2225">
            <v>42278</v>
          </cell>
          <cell r="H2225" t="str">
            <v>9972</v>
          </cell>
          <cell r="I2225" t="str">
            <v>https://www.smwcentral.net/?a=details&amp;id=9972&amp;p=section</v>
          </cell>
          <cell r="J2225" t="str">
            <v>https://dl.smwcentral.net/9972/Rtyuio.zip</v>
          </cell>
        </row>
        <row r="2226">
          <cell r="A2226" t="str">
            <v>Super Run World</v>
          </cell>
          <cell r="B2226" t="str">
            <v>Super Run World</v>
          </cell>
          <cell r="C2226" t="str">
            <v>00frank</v>
          </cell>
          <cell r="D2226">
            <v>25</v>
          </cell>
          <cell r="E2226" t="str">
            <v>Advanced</v>
          </cell>
          <cell r="F2226" t="str">
            <v>Kaizo</v>
          </cell>
          <cell r="G2226">
            <v>43447</v>
          </cell>
          <cell r="H2226" t="str">
            <v>18529</v>
          </cell>
          <cell r="I2226" t="str">
            <v>https://www.smwcentral.net/?a=details&amp;id=18529&amp;p=section</v>
          </cell>
          <cell r="J2226" t="str">
            <v>https://dl.smwcentral.net/18529/Super%20Run%20World%20v1.2.zip</v>
          </cell>
        </row>
        <row r="2227">
          <cell r="A2227" t="str">
            <v>Super Russian World</v>
          </cell>
          <cell r="B2227" t="str">
            <v>Super Russian World</v>
          </cell>
          <cell r="C2227" t="str">
            <v>RussianMan</v>
          </cell>
          <cell r="D2227">
            <v>23</v>
          </cell>
          <cell r="E2227" t="str">
            <v>Advanced</v>
          </cell>
          <cell r="F2227" t="str">
            <v>Standard</v>
          </cell>
          <cell r="G2227">
            <v>43899</v>
          </cell>
          <cell r="H2227" t="str">
            <v>22278</v>
          </cell>
          <cell r="I2227" t="str">
            <v>https://www.smwcentral.net/?a=details&amp;id=22278&amp;p=section</v>
          </cell>
          <cell r="J2227" t="str">
            <v>https://dl.smwcentral.net/22278/SRW%20Demo%201.3.zip</v>
          </cell>
        </row>
        <row r="2228">
          <cell r="A2228" t="str">
            <v>Super Russian World Prequel</v>
          </cell>
          <cell r="B2228" t="str">
            <v>Super Russian World Prequel</v>
          </cell>
          <cell r="C2228" t="str">
            <v>RussianMan</v>
          </cell>
          <cell r="D2228">
            <v>10</v>
          </cell>
          <cell r="E2228" t="str">
            <v>Advanced</v>
          </cell>
          <cell r="F2228" t="str">
            <v>Standard</v>
          </cell>
          <cell r="G2228">
            <v>44037</v>
          </cell>
          <cell r="H2228" t="str">
            <v>23981</v>
          </cell>
          <cell r="I2228" t="str">
            <v>https://www.smwcentral.net/?a=details&amp;id=23981&amp;p=section</v>
          </cell>
          <cell r="J2228" t="str">
            <v>https://dl.smwcentral.net/23981/SRW%20Prequel.zip</v>
          </cell>
        </row>
        <row r="2229">
          <cell r="A2229" t="str">
            <v>Super Ryu World</v>
          </cell>
          <cell r="B2229" t="str">
            <v>Super Ryu World</v>
          </cell>
          <cell r="C2229" t="str">
            <v>Aguni_</v>
          </cell>
          <cell r="D2229">
            <v>14</v>
          </cell>
          <cell r="E2229" t="str">
            <v>Advanced</v>
          </cell>
          <cell r="F2229" t="str">
            <v>Kaizo</v>
          </cell>
          <cell r="G2229">
            <v>43383</v>
          </cell>
          <cell r="H2229" t="str">
            <v>18268</v>
          </cell>
          <cell r="I2229" t="str">
            <v>https://www.smwcentral.net/?a=details&amp;id=18268&amp;p=section</v>
          </cell>
          <cell r="J2229" t="str">
            <v>https://dl.smwcentral.net/18268/Super%20Ryu%20World%201.zip</v>
          </cell>
        </row>
        <row r="2230">
          <cell r="A2230" t="str">
            <v>Super Ryu World 2</v>
          </cell>
          <cell r="B2230" t="str">
            <v>Super Ryu World 2</v>
          </cell>
          <cell r="C2230" t="str">
            <v>Aguni_</v>
          </cell>
          <cell r="D2230">
            <v>17</v>
          </cell>
          <cell r="E2230" t="str">
            <v>Expert</v>
          </cell>
          <cell r="F2230" t="str">
            <v>Kaizo</v>
          </cell>
          <cell r="G2230">
            <v>43679</v>
          </cell>
          <cell r="H2230" t="str">
            <v>20717</v>
          </cell>
          <cell r="I2230" t="str">
            <v>https://www.smwcentral.net/?a=details&amp;id=20717&amp;p=section</v>
          </cell>
          <cell r="J2230" t="str">
            <v>https://dl.smwcentral.net/20717/SRW2.zip</v>
          </cell>
        </row>
        <row r="2231">
          <cell r="A2231" t="str">
            <v>Super Sabor World Deluxe</v>
          </cell>
          <cell r="B2231" t="str">
            <v>Super Sabor World Deluxe</v>
          </cell>
          <cell r="C2231" t="str">
            <v>Valdio</v>
          </cell>
          <cell r="D2231">
            <v>22</v>
          </cell>
          <cell r="E2231" t="str">
            <v>Expert</v>
          </cell>
          <cell r="F2231" t="str">
            <v>Kaizo</v>
          </cell>
          <cell r="G2231">
            <v>43409</v>
          </cell>
          <cell r="H2231" t="str">
            <v>18369</v>
          </cell>
          <cell r="I2231" t="str">
            <v>https://www.smwcentral.net/?a=details&amp;id=18369&amp;p=section</v>
          </cell>
          <cell r="J2231" t="str">
            <v>https://dl.smwcentral.net/18369/Super%20Sabor%20World%20Deluxe.zip</v>
          </cell>
        </row>
        <row r="2232">
          <cell r="A2232" t="str">
            <v>Super Salary World</v>
          </cell>
          <cell r="B2232" t="str">
            <v>Super Salary World</v>
          </cell>
          <cell r="C2232" t="str">
            <v>PopCorn181</v>
          </cell>
          <cell r="D2232">
            <v>4</v>
          </cell>
          <cell r="E2232" t="str">
            <v>Expert</v>
          </cell>
          <cell r="F2232" t="str">
            <v>Kaizo</v>
          </cell>
          <cell r="G2232">
            <v>45820</v>
          </cell>
          <cell r="H2232" t="str">
            <v>39968</v>
          </cell>
          <cell r="I2232" t="str">
            <v>https://www.smwcentral.net/?a=details&amp;id=39968&amp;p=section</v>
          </cell>
          <cell r="J2232" t="str">
            <v>https://dl.smwcentral.net/39968/supersalaryworld.zip</v>
          </cell>
        </row>
        <row r="2233">
          <cell r="A2233" t="str">
            <v>Super Samuroy Adventures</v>
          </cell>
          <cell r="B2233" t="str">
            <v>Super Samuroy Adventures</v>
          </cell>
          <cell r="C2233" t="str">
            <v>Stivi</v>
          </cell>
          <cell r="D2233">
            <v>11</v>
          </cell>
          <cell r="E2233" t="str">
            <v>Intermediate</v>
          </cell>
          <cell r="F2233" t="str">
            <v>Kaizo, Tool-Assisted</v>
          </cell>
          <cell r="G2233">
            <v>43102</v>
          </cell>
          <cell r="H2233" t="str">
            <v>16863</v>
          </cell>
          <cell r="I2233" t="str">
            <v>https://www.smwcentral.net/?a=details&amp;id=16863&amp;p=section</v>
          </cell>
          <cell r="J2233" t="str">
            <v>https://dl.smwcentral.net/16863/Super%20Samuroy%20Adventures.zip</v>
          </cell>
        </row>
        <row r="2234">
          <cell r="A2234" t="str">
            <v>Super Sauce Search</v>
          </cell>
          <cell r="B2234" t="str">
            <v>Super Sauce Search</v>
          </cell>
          <cell r="C2234" t="str">
            <v>Falconpunch, Giga, Impetus, LucasRCD</v>
          </cell>
          <cell r="D2234">
            <v>10</v>
          </cell>
          <cell r="E2234" t="str">
            <v>Casual</v>
          </cell>
          <cell r="F2234" t="str">
            <v>Standard</v>
          </cell>
          <cell r="G2234">
            <v>44580</v>
          </cell>
          <cell r="H2234" t="str">
            <v>29464</v>
          </cell>
          <cell r="I2234" t="str">
            <v>https://www.smwcentral.net/?a=details&amp;id=29464&amp;p=section</v>
          </cell>
          <cell r="J2234" t="str">
            <v>https://dl.smwcentral.net/29464/Super%20Sauce%20Search%20-As%20Intended%21-.zip</v>
          </cell>
        </row>
        <row r="2235">
          <cell r="A2235" t="str">
            <v>Super Schrausch World</v>
          </cell>
          <cell r="B2235" t="str">
            <v>Super Schrausch World</v>
          </cell>
          <cell r="C2235" t="str">
            <v>Rudi_Schrausch</v>
          </cell>
          <cell r="D2235">
            <v>23</v>
          </cell>
          <cell r="E2235" t="str">
            <v>Expert</v>
          </cell>
          <cell r="F2235" t="str">
            <v>Kaizo</v>
          </cell>
          <cell r="G2235">
            <v>44677</v>
          </cell>
          <cell r="H2235" t="str">
            <v>30548</v>
          </cell>
          <cell r="I2235" t="str">
            <v>https://www.smwcentral.net/?a=details&amp;id=30548&amp;p=section</v>
          </cell>
          <cell r="J2235" t="str">
            <v>https://dl.smwcentral.net/30548/Super%20Schrausch%20WORLD.zip</v>
          </cell>
        </row>
        <row r="2236">
          <cell r="A2236" t="str">
            <v>Super Schrausch World 2</v>
          </cell>
          <cell r="B2236" t="str">
            <v>Super Schrausch World 2</v>
          </cell>
          <cell r="C2236" t="str">
            <v>Rudi_Schrausch</v>
          </cell>
          <cell r="D2236">
            <v>18</v>
          </cell>
          <cell r="E2236" t="str">
            <v>Expert</v>
          </cell>
          <cell r="F2236" t="str">
            <v>Kaizo</v>
          </cell>
          <cell r="G2236">
            <v>44858</v>
          </cell>
          <cell r="H2236" t="str">
            <v>32345</v>
          </cell>
          <cell r="I2236" t="str">
            <v>https://www.smwcentral.net/?a=details&amp;id=32345&amp;p=section</v>
          </cell>
          <cell r="J2236" t="str">
            <v>https://dl.smwcentral.net/32345/SSW2%20RoS.zip</v>
          </cell>
        </row>
        <row r="2237">
          <cell r="A2237" t="str">
            <v>Super Sekai World</v>
          </cell>
          <cell r="B2237" t="str">
            <v>Super Sekai World</v>
          </cell>
          <cell r="C2237" t="str">
            <v>ShadoWingx</v>
          </cell>
          <cell r="D2237">
            <v>25</v>
          </cell>
          <cell r="E2237" t="str">
            <v>Expert</v>
          </cell>
          <cell r="F2237" t="str">
            <v>Kaizo</v>
          </cell>
          <cell r="G2237">
            <v>43232</v>
          </cell>
          <cell r="H2237" t="str">
            <v>17489</v>
          </cell>
          <cell r="I2237" t="str">
            <v>https://www.smwcentral.net/?a=details&amp;id=17489&amp;p=section</v>
          </cell>
          <cell r="J2237" t="str">
            <v>https://dl.smwcentral.net/17489/Super%20Sekai%20World%201.5.zip</v>
          </cell>
        </row>
        <row r="2238">
          <cell r="A2238" t="str">
            <v>Super SGES Races season 1+2</v>
          </cell>
          <cell r="B2238" t="str">
            <v>Super SGES Races season 1+2</v>
          </cell>
          <cell r="C2238" t="str">
            <v>RedKitsune</v>
          </cell>
          <cell r="D2238">
            <v>10</v>
          </cell>
          <cell r="E2238" t="str">
            <v>Intermediate</v>
          </cell>
          <cell r="F2238" t="str">
            <v>Kaizo</v>
          </cell>
          <cell r="G2238">
            <v>44300</v>
          </cell>
          <cell r="H2238" t="str">
            <v>26747</v>
          </cell>
          <cell r="I2238" t="str">
            <v>https://www.smwcentral.net/?a=details&amp;id=26747&amp;p=section</v>
          </cell>
          <cell r="J2238" t="str">
            <v>https://dl.smwcentral.net/26747/SSGESRs2.zip</v>
          </cell>
        </row>
        <row r="2239">
          <cell r="A2239" t="str">
            <v>Super Sheffy World 2: The Quest for 5 Shells</v>
          </cell>
          <cell r="B2239" t="str">
            <v>Super Sheffy World 2: The Quest for 5 Shells</v>
          </cell>
          <cell r="C2239" t="str">
            <v>westslasher2</v>
          </cell>
          <cell r="D2239">
            <v>13</v>
          </cell>
          <cell r="E2239" t="str">
            <v>Master</v>
          </cell>
          <cell r="F2239" t="str">
            <v>Kaizo</v>
          </cell>
          <cell r="G2239">
            <v>43527</v>
          </cell>
          <cell r="H2239" t="str">
            <v>18698</v>
          </cell>
          <cell r="I2239" t="str">
            <v>https://www.smwcentral.net/?a=details&amp;id=18698&amp;p=section</v>
          </cell>
          <cell r="J2239" t="str">
            <v>https://dl.smwcentral.net/18698/Super%20Sheffy%20World%202%20The%20Quest%20for%20the%205%20Shells%201.04.zip</v>
          </cell>
        </row>
        <row r="2240">
          <cell r="A2240" t="str">
            <v>Super Sheffy World Deluxe</v>
          </cell>
          <cell r="B2240" t="str">
            <v>Super Sheffy World Deluxe</v>
          </cell>
          <cell r="C2240" t="str">
            <v>westslasher2</v>
          </cell>
          <cell r="D2240">
            <v>15</v>
          </cell>
          <cell r="E2240" t="str">
            <v>Expert</v>
          </cell>
          <cell r="F2240" t="str">
            <v>Kaizo</v>
          </cell>
          <cell r="G2240">
            <v>43446</v>
          </cell>
          <cell r="H2240" t="str">
            <v>18422</v>
          </cell>
          <cell r="I2240" t="str">
            <v>https://www.smwcentral.net/?a=details&amp;id=18422&amp;p=section</v>
          </cell>
          <cell r="J2240" t="str">
            <v>https://dl.smwcentral.net/18422/SuperSheffyWorldDeluxe.zip</v>
          </cell>
        </row>
        <row r="2241">
          <cell r="A2241" t="str">
            <v>Super shell world</v>
          </cell>
          <cell r="B2241" t="str">
            <v>Super shell world</v>
          </cell>
          <cell r="C2241" t="str">
            <v>Pizzagamer9791</v>
          </cell>
          <cell r="D2241">
            <v>11</v>
          </cell>
          <cell r="E2241" t="str">
            <v>Advanced</v>
          </cell>
          <cell r="F2241" t="str">
            <v>Kaizo</v>
          </cell>
          <cell r="G2241">
            <v>45377</v>
          </cell>
          <cell r="H2241" t="str">
            <v>37427</v>
          </cell>
          <cell r="I2241" t="str">
            <v>https://www.smwcentral.net/?a=details&amp;id=37427&amp;p=section</v>
          </cell>
          <cell r="J2241" t="str">
            <v>https://dl.smwcentral.net/37427/super%20shell%20world%20v1.2.zip</v>
          </cell>
        </row>
        <row r="2242">
          <cell r="A2242" t="str">
            <v>Super ShyGuy's Epic Journey</v>
          </cell>
          <cell r="B2242" t="str">
            <v>Super ShyGuy's Epic Journey</v>
          </cell>
          <cell r="C2242" t="str">
            <v>Captain Domas</v>
          </cell>
          <cell r="D2242">
            <v>9</v>
          </cell>
          <cell r="E2242" t="str">
            <v>Advanced</v>
          </cell>
          <cell r="F2242" t="str">
            <v>Kaizo</v>
          </cell>
          <cell r="G2242">
            <v>44291</v>
          </cell>
          <cell r="H2242" t="str">
            <v>26670</v>
          </cell>
          <cell r="I2242" t="str">
            <v>https://www.smwcentral.net/?a=details&amp;id=26670&amp;p=section</v>
          </cell>
          <cell r="J2242" t="str">
            <v>https://dl.smwcentral.net/26670/Super%20ShyGuys%20Journey.zip</v>
          </cell>
        </row>
        <row r="2243">
          <cell r="A2243" t="str">
            <v>Super Sickos World</v>
          </cell>
          <cell r="B2243" t="str">
            <v>Super Sickos World</v>
          </cell>
          <cell r="C2243" t="str">
            <v>Heraga, Nanako, Nitrogen, RussianMan, margot</v>
          </cell>
          <cell r="D2243">
            <v>11</v>
          </cell>
          <cell r="E2243" t="str">
            <v>Advanced</v>
          </cell>
          <cell r="F2243" t="str">
            <v>Standard</v>
          </cell>
          <cell r="G2243">
            <v>44554</v>
          </cell>
          <cell r="H2243" t="str">
            <v>29004</v>
          </cell>
          <cell r="I2243" t="str">
            <v>https://www.smwcentral.net/?a=details&amp;id=29004&amp;p=section</v>
          </cell>
          <cell r="J2243" t="str">
            <v>https://dl.smwcentral.net/29004/Sickos1.2.zip</v>
          </cell>
        </row>
        <row r="2244">
          <cell r="A2244" t="str">
            <v>Super Sigma World</v>
          </cell>
          <cell r="B2244" t="str">
            <v>Super Sigma World</v>
          </cell>
          <cell r="C2244" t="str">
            <v>Firstnamebutt</v>
          </cell>
          <cell r="D2244">
            <v>14</v>
          </cell>
          <cell r="E2244" t="str">
            <v>Intermediate</v>
          </cell>
          <cell r="F2244" t="str">
            <v>Kaizo</v>
          </cell>
          <cell r="G2244">
            <v>45509</v>
          </cell>
          <cell r="H2244" t="str">
            <v>38184</v>
          </cell>
          <cell r="I2244" t="str">
            <v>https://www.smwcentral.net/?a=details&amp;id=38184&amp;p=section</v>
          </cell>
          <cell r="J2244" t="str">
            <v>https://dl.smwcentral.net/38184/SuperSigmaWorld.zip</v>
          </cell>
        </row>
        <row r="2245">
          <cell r="A2245" t="str">
            <v>Super Skyler World</v>
          </cell>
          <cell r="B2245" t="str">
            <v>Super Skyler World</v>
          </cell>
          <cell r="C2245" t="str">
            <v>Uncle_Bones</v>
          </cell>
          <cell r="D2245">
            <v>3</v>
          </cell>
          <cell r="E2245" t="str">
            <v>Casual</v>
          </cell>
          <cell r="F2245" t="str">
            <v>Standard</v>
          </cell>
          <cell r="G2245">
            <v>42044</v>
          </cell>
          <cell r="H2245" t="str">
            <v>9794</v>
          </cell>
          <cell r="I2245" t="str">
            <v>https://www.smwcentral.net/?a=details&amp;id=9794&amp;p=section</v>
          </cell>
          <cell r="J2245" t="str">
            <v>https://dl.smwcentral.net/9794/Super%20Skyler%20World.zip</v>
          </cell>
        </row>
        <row r="2246">
          <cell r="A2246" t="str">
            <v>Super Slider World</v>
          </cell>
          <cell r="B2246" t="str">
            <v>Super Slider World</v>
          </cell>
          <cell r="C2246" t="str">
            <v>ItIzEcks</v>
          </cell>
          <cell r="D2246">
            <v>7</v>
          </cell>
          <cell r="E2246" t="str">
            <v>Intermediate</v>
          </cell>
          <cell r="F2246" t="str">
            <v>Kaizo</v>
          </cell>
          <cell r="G2246">
            <v>44683</v>
          </cell>
          <cell r="H2246" t="str">
            <v>30661</v>
          </cell>
          <cell r="I2246" t="str">
            <v>https://www.smwcentral.net/?a=details&amp;id=30661&amp;p=section</v>
          </cell>
          <cell r="J2246" t="str">
            <v>https://dl.smwcentral.net/30661/SliderWorld.zip</v>
          </cell>
        </row>
        <row r="2247">
          <cell r="A2247" t="str">
            <v>Super Slim World</v>
          </cell>
          <cell r="B2247" t="str">
            <v>Super Slim World</v>
          </cell>
          <cell r="C2247" t="str">
            <v>duders</v>
          </cell>
          <cell r="D2247">
            <v>18</v>
          </cell>
          <cell r="E2247" t="str">
            <v>Intermediate</v>
          </cell>
          <cell r="F2247" t="str">
            <v>Kaizo</v>
          </cell>
          <cell r="G2247">
            <v>43646</v>
          </cell>
          <cell r="H2247" t="str">
            <v>20223</v>
          </cell>
          <cell r="I2247" t="str">
            <v>https://www.smwcentral.net/?a=details&amp;id=20223&amp;p=section</v>
          </cell>
          <cell r="J2247" t="str">
            <v>https://dl.smwcentral.net/20223/Super%20Slim%20World%20v1.5.zip</v>
          </cell>
        </row>
        <row r="2248">
          <cell r="A2248" t="str">
            <v>Super Smile Face World</v>
          </cell>
          <cell r="B2248" t="str">
            <v>Super Smile Face World</v>
          </cell>
          <cell r="C2248" t="str">
            <v>Captain_Hacko</v>
          </cell>
          <cell r="D2248">
            <v>20</v>
          </cell>
          <cell r="E2248" t="str">
            <v>Newcomer</v>
          </cell>
          <cell r="F2248" t="str">
            <v>Standard</v>
          </cell>
          <cell r="G2248">
            <v>44065</v>
          </cell>
          <cell r="H2248" t="str">
            <v>24342</v>
          </cell>
          <cell r="I2248" t="str">
            <v>https://www.smwcentral.net/?a=details&amp;id=24342&amp;p=section</v>
          </cell>
          <cell r="J2248" t="str">
            <v>https://dl.smwcentral.net/24342/Super_Smile_Face_World.zip</v>
          </cell>
        </row>
        <row r="2249">
          <cell r="A2249" t="str">
            <v>Super Special World</v>
          </cell>
          <cell r="B2249" t="str">
            <v>Super Special World</v>
          </cell>
          <cell r="C2249" t="str">
            <v>SMWizard</v>
          </cell>
          <cell r="D2249">
            <v>105</v>
          </cell>
          <cell r="E2249" t="str">
            <v>Intermediate</v>
          </cell>
          <cell r="F2249" t="str">
            <v>Standard</v>
          </cell>
          <cell r="G2249">
            <v>44541</v>
          </cell>
          <cell r="H2249" t="str">
            <v>28669</v>
          </cell>
          <cell r="I2249" t="str">
            <v>https://www.smwcentral.net/?a=details&amp;id=28669&amp;p=section</v>
          </cell>
          <cell r="J2249" t="str">
            <v>https://dl.smwcentral.net/28669/SSW_v01.zip</v>
          </cell>
        </row>
        <row r="2250">
          <cell r="A2250" t="str">
            <v>Super Speed World</v>
          </cell>
          <cell r="B2250" t="str">
            <v>Super Speed World</v>
          </cell>
          <cell r="C2250" t="str">
            <v>Revenge319</v>
          </cell>
          <cell r="D2250">
            <v>4</v>
          </cell>
          <cell r="E2250" t="str">
            <v>Intermediate</v>
          </cell>
          <cell r="F2250" t="str">
            <v>Standard, Kaizo</v>
          </cell>
          <cell r="G2250">
            <v>45021</v>
          </cell>
          <cell r="H2250" t="str">
            <v>33637</v>
          </cell>
          <cell r="I2250" t="str">
            <v>https://www.smwcentral.net/?a=details&amp;id=33637&amp;p=section</v>
          </cell>
          <cell r="J2250" t="str">
            <v>https://dl.smwcentral.net/33637/Super%20Speed%20World%20DEMO.zip</v>
          </cell>
        </row>
        <row r="2251">
          <cell r="A2251" t="str">
            <v>Super Spice World</v>
          </cell>
          <cell r="B2251" t="str">
            <v>Super Spice World</v>
          </cell>
          <cell r="C2251" t="str">
            <v>Randomiser</v>
          </cell>
          <cell r="D2251">
            <v>6</v>
          </cell>
          <cell r="E2251" t="str">
            <v>Casual</v>
          </cell>
          <cell r="F2251" t="str">
            <v>Standard</v>
          </cell>
          <cell r="G2251">
            <v>43021</v>
          </cell>
          <cell r="H2251" t="str">
            <v>16432</v>
          </cell>
          <cell r="I2251" t="str">
            <v>https://www.smwcentral.net/?a=details&amp;id=16432&amp;p=section</v>
          </cell>
          <cell r="J2251" t="str">
            <v>https://dl.smwcentral.net/16432/Super%20Spice%20World.zip</v>
          </cell>
        </row>
        <row r="2252">
          <cell r="A2252" t="str">
            <v>Super Sponge World</v>
          </cell>
          <cell r="B2252" t="str">
            <v>Super Sponge World</v>
          </cell>
          <cell r="C2252" t="str">
            <v>TheGremlin</v>
          </cell>
          <cell r="D2252">
            <v>5</v>
          </cell>
          <cell r="E2252" t="str">
            <v>Intermediate</v>
          </cell>
          <cell r="F2252" t="str">
            <v>Standard</v>
          </cell>
          <cell r="G2252">
            <v>43604</v>
          </cell>
          <cell r="H2252" t="str">
            <v>19988</v>
          </cell>
          <cell r="I2252" t="str">
            <v>https://www.smwcentral.net/?a=details&amp;id=19988&amp;p=section</v>
          </cell>
          <cell r="J2252" t="str">
            <v>https://dl.smwcentral.net/19988/SuperSpongeWorld.zip</v>
          </cell>
        </row>
        <row r="2253">
          <cell r="A2253" t="str">
            <v>Super Stacey World</v>
          </cell>
          <cell r="B2253" t="str">
            <v>Super Stacey World</v>
          </cell>
          <cell r="C2253" t="str">
            <v>dylanofinsanity</v>
          </cell>
          <cell r="D2253">
            <v>15</v>
          </cell>
          <cell r="E2253" t="str">
            <v>Advanced</v>
          </cell>
          <cell r="F2253" t="str">
            <v>Kaizo</v>
          </cell>
          <cell r="G2253">
            <v>43409</v>
          </cell>
          <cell r="H2253" t="str">
            <v>18426</v>
          </cell>
          <cell r="I2253" t="str">
            <v>https://www.smwcentral.net/?a=details&amp;id=18426&amp;p=section</v>
          </cell>
          <cell r="J2253" t="str">
            <v>https://dl.smwcentral.net/18426/Super_Stacey_World_1.2.zip</v>
          </cell>
        </row>
        <row r="2254">
          <cell r="A2254" t="str">
            <v>Super Struggler World</v>
          </cell>
          <cell r="B2254" t="str">
            <v>Super Struggler World</v>
          </cell>
          <cell r="C2254" t="str">
            <v>RecToR_24</v>
          </cell>
          <cell r="D2254">
            <v>13</v>
          </cell>
          <cell r="E2254" t="str">
            <v>Intermediate</v>
          </cell>
          <cell r="F2254" t="str">
            <v>Kaizo</v>
          </cell>
          <cell r="G2254">
            <v>45072</v>
          </cell>
          <cell r="H2254" t="str">
            <v>34008</v>
          </cell>
          <cell r="I2254" t="str">
            <v>https://www.smwcentral.net/?a=details&amp;id=34008&amp;p=section</v>
          </cell>
          <cell r="J2254" t="str">
            <v>https://dl.smwcentral.net/34008/Super%20Struggler%20World.zip</v>
          </cell>
        </row>
        <row r="2255">
          <cell r="A2255" t="str">
            <v>super super com</v>
          </cell>
          <cell r="B2255" t="str">
            <v>super super com</v>
          </cell>
          <cell r="C2255" t="str">
            <v>HeroBr, Togmyoa</v>
          </cell>
          <cell r="D2255">
            <v>18</v>
          </cell>
          <cell r="E2255" t="str">
            <v>Casual</v>
          </cell>
          <cell r="F2255" t="str">
            <v>Standard</v>
          </cell>
          <cell r="G2255">
            <v>46099</v>
          </cell>
          <cell r="H2255" t="str">
            <v>41925</v>
          </cell>
          <cell r="I2255" t="str">
            <v>https://www.smwcentral.net/?a=details&amp;id=41925&amp;p=section</v>
          </cell>
          <cell r="J2255" t="str">
            <v>https://dl.smwcentral.net/41925/fire.zip</v>
          </cell>
        </row>
        <row r="2256">
          <cell r="A2256" t="str">
            <v>Super Super Duper World</v>
          </cell>
          <cell r="B2256" t="str">
            <v>Super Super Duper World</v>
          </cell>
          <cell r="C2256" t="str">
            <v>ihaveonebigeye</v>
          </cell>
          <cell r="D2256">
            <v>8</v>
          </cell>
          <cell r="E2256" t="str">
            <v>Expert</v>
          </cell>
          <cell r="F2256" t="str">
            <v>Kaizo</v>
          </cell>
          <cell r="G2256">
            <v>45931</v>
          </cell>
          <cell r="H2256" t="str">
            <v>40699</v>
          </cell>
          <cell r="I2256" t="str">
            <v>https://www.smwcentral.net/?a=details&amp;id=40699&amp;p=section</v>
          </cell>
          <cell r="J2256" t="str">
            <v>https://dl.smwcentral.net/40699/ssdw%201.1.zip</v>
          </cell>
        </row>
        <row r="2257">
          <cell r="A2257" t="str">
            <v>Super Sweg World</v>
          </cell>
          <cell r="B2257" t="str">
            <v>Super Sweg World</v>
          </cell>
          <cell r="C2257" t="str">
            <v>ElSturge</v>
          </cell>
          <cell r="D2257">
            <v>8</v>
          </cell>
          <cell r="E2257" t="str">
            <v>Casual</v>
          </cell>
          <cell r="F2257" t="str">
            <v>Standard</v>
          </cell>
          <cell r="G2257">
            <v>43886</v>
          </cell>
          <cell r="H2257" t="str">
            <v>22141</v>
          </cell>
          <cell r="I2257" t="str">
            <v>https://www.smwcentral.net/?a=details&amp;id=22141&amp;p=section</v>
          </cell>
          <cell r="J2257" t="str">
            <v>https://dl.smwcentral.net/22141/Super%20Sweg%20World.zip</v>
          </cell>
        </row>
        <row r="2258">
          <cell r="A2258" t="str">
            <v>Super Swordi World</v>
          </cell>
          <cell r="B2258" t="str">
            <v>Super Swordi World</v>
          </cell>
          <cell r="C2258" t="str">
            <v>Sir_Danny_TM</v>
          </cell>
          <cell r="D2258">
            <v>33</v>
          </cell>
          <cell r="E2258" t="str">
            <v>Expert</v>
          </cell>
          <cell r="F2258" t="str">
            <v>Kaizo</v>
          </cell>
          <cell r="G2258">
            <v>44159</v>
          </cell>
          <cell r="H2258" t="str">
            <v>25145</v>
          </cell>
          <cell r="I2258" t="str">
            <v>https://www.smwcentral.net/?a=details&amp;id=25145&amp;p=section</v>
          </cell>
          <cell r="J2258" t="str">
            <v>https://dl.smwcentral.net/25145/SuperSwordiWorld%20Vers.%201.0.zip</v>
          </cell>
        </row>
        <row r="2259">
          <cell r="A2259" t="str">
            <v>Super Swordi World 2</v>
          </cell>
          <cell r="B2259" t="str">
            <v>Super Swordi World 2</v>
          </cell>
          <cell r="C2259" t="str">
            <v>Sir_Danny_TM</v>
          </cell>
          <cell r="D2259">
            <v>14</v>
          </cell>
          <cell r="E2259" t="str">
            <v>Expert</v>
          </cell>
          <cell r="F2259" t="str">
            <v>Kaizo</v>
          </cell>
          <cell r="G2259">
            <v>44652</v>
          </cell>
          <cell r="H2259" t="str">
            <v>29988</v>
          </cell>
          <cell r="I2259" t="str">
            <v>https://www.smwcentral.net/?a=details&amp;id=29988&amp;p=section</v>
          </cell>
          <cell r="J2259" t="str">
            <v>https://dl.smwcentral.net/29988/Swordi%20World%202%201.1.zip</v>
          </cell>
        </row>
        <row r="2260">
          <cell r="A2260" t="str">
            <v>Super Swunsh World</v>
          </cell>
          <cell r="B2260" t="str">
            <v>Super Swunsh World</v>
          </cell>
          <cell r="C2260" t="str">
            <v>ChrizStylez</v>
          </cell>
          <cell r="D2260">
            <v>11</v>
          </cell>
          <cell r="E2260" t="str">
            <v>Expert</v>
          </cell>
          <cell r="F2260" t="str">
            <v>Kaizo</v>
          </cell>
          <cell r="G2260">
            <v>43928</v>
          </cell>
          <cell r="H2260" t="str">
            <v>22253</v>
          </cell>
          <cell r="I2260" t="str">
            <v>https://www.smwcentral.net/?a=details&amp;id=22253&amp;p=section</v>
          </cell>
          <cell r="J2260" t="str">
            <v>https://dl.smwcentral.net/22253/Super_Swunsh_World1.1.zip</v>
          </cell>
        </row>
        <row r="2261">
          <cell r="A2261" t="str">
            <v>Super Swunsh World 2</v>
          </cell>
          <cell r="B2261" t="str">
            <v>Super Swunsh World 2</v>
          </cell>
          <cell r="C2261" t="str">
            <v>ChrizStylez</v>
          </cell>
          <cell r="D2261">
            <v>17</v>
          </cell>
          <cell r="E2261" t="str">
            <v>Expert</v>
          </cell>
          <cell r="F2261" t="str">
            <v>Kaizo</v>
          </cell>
          <cell r="G2261">
            <v>44235</v>
          </cell>
          <cell r="H2261" t="str">
            <v>26113</v>
          </cell>
          <cell r="I2261" t="str">
            <v>https://www.smwcentral.net/?a=details&amp;id=26113&amp;p=section</v>
          </cell>
          <cell r="J2261" t="str">
            <v>https://dl.smwcentral.net/26113/Super%20Swunsh%20World%202.zip</v>
          </cell>
        </row>
        <row r="2262">
          <cell r="A2262" t="str">
            <v>Super Tanoshii World</v>
          </cell>
          <cell r="B2262" t="str">
            <v>Super Tanoshii World</v>
          </cell>
          <cell r="C2262" t="str">
            <v>Firstnamebutt</v>
          </cell>
          <cell r="D2262">
            <v>9</v>
          </cell>
          <cell r="E2262" t="str">
            <v>Intermediate</v>
          </cell>
          <cell r="F2262" t="str">
            <v>Kaizo</v>
          </cell>
          <cell r="G2262">
            <v>45632</v>
          </cell>
          <cell r="H2262" t="str">
            <v>38881</v>
          </cell>
          <cell r="I2262" t="str">
            <v>https://www.smwcentral.net/?a=details&amp;id=38881&amp;p=section</v>
          </cell>
          <cell r="J2262" t="str">
            <v>https://dl.smwcentral.net/38881/SuperTanoshiiWorldV2.zip</v>
          </cell>
        </row>
        <row r="2263">
          <cell r="A2263" t="str">
            <v>Super Tapes World</v>
          </cell>
          <cell r="B2263" t="str">
            <v>Super Tapes World</v>
          </cell>
          <cell r="C2263" t="str">
            <v>Anonymous</v>
          </cell>
          <cell r="D2263">
            <v>9</v>
          </cell>
          <cell r="E2263" t="str">
            <v>Advanced</v>
          </cell>
          <cell r="F2263" t="str">
            <v>Kaizo</v>
          </cell>
          <cell r="G2263">
            <v>45819</v>
          </cell>
          <cell r="H2263" t="str">
            <v>39927</v>
          </cell>
          <cell r="I2263" t="str">
            <v>https://www.smwcentral.net/?a=details&amp;id=39927&amp;p=section</v>
          </cell>
          <cell r="J2263" t="str">
            <v>https://dl.smwcentral.net/39927/Super%20Tapes%20World.zip</v>
          </cell>
        </row>
        <row r="2264">
          <cell r="A2264" t="str">
            <v>Super Tesla World</v>
          </cell>
          <cell r="B2264" t="str">
            <v>Super Tesla World</v>
          </cell>
          <cell r="C2264" t="str">
            <v>MarkAlarm</v>
          </cell>
          <cell r="D2264">
            <v>20</v>
          </cell>
          <cell r="E2264" t="str">
            <v>Expert</v>
          </cell>
          <cell r="F2264" t="str">
            <v>Kaizo</v>
          </cell>
          <cell r="G2264">
            <v>43124</v>
          </cell>
          <cell r="H2264" t="str">
            <v>16894</v>
          </cell>
          <cell r="I2264" t="str">
            <v>https://www.smwcentral.net/?a=details&amp;id=16894&amp;p=section</v>
          </cell>
          <cell r="J2264" t="str">
            <v>https://dl.smwcentral.net/16894/Super%20Tesla%20World%20v1.3.zip</v>
          </cell>
        </row>
        <row r="2265">
          <cell r="A2265" t="str">
            <v>Super Thesis World</v>
          </cell>
          <cell r="B2265" t="str">
            <v>Super Thesis World</v>
          </cell>
          <cell r="C2265" t="str">
            <v>Nikono</v>
          </cell>
          <cell r="D2265">
            <v>11</v>
          </cell>
          <cell r="E2265" t="str">
            <v>Expert</v>
          </cell>
          <cell r="F2265" t="str">
            <v>Kaizo</v>
          </cell>
          <cell r="G2265">
            <v>45509</v>
          </cell>
          <cell r="H2265" t="str">
            <v>38166</v>
          </cell>
          <cell r="I2265" t="str">
            <v>https://www.smwcentral.net/?a=details&amp;id=38166&amp;p=section</v>
          </cell>
          <cell r="J2265" t="str">
            <v>https://dl.smwcentral.net/38166/Super_Thesis_World_v1_22.zip</v>
          </cell>
        </row>
        <row r="2266">
          <cell r="A2266" t="str">
            <v>Super This Hack Is Registered As Leathal Weapon World</v>
          </cell>
          <cell r="B2266" t="str">
            <v>Super This Hack Is Registered As Leathal Weapon World</v>
          </cell>
          <cell r="C2266" t="str">
            <v>51690</v>
          </cell>
          <cell r="D2266">
            <v>9</v>
          </cell>
          <cell r="E2266" t="str">
            <v>Master</v>
          </cell>
          <cell r="F2266" t="str">
            <v>Kaizo</v>
          </cell>
          <cell r="G2266">
            <v>44662</v>
          </cell>
          <cell r="H2266" t="str">
            <v>30270</v>
          </cell>
          <cell r="I2266" t="str">
            <v>https://www.smwcentral.net/?a=details&amp;id=30270&amp;p=section</v>
          </cell>
          <cell r="J2266" t="str">
            <v>https://dl.smwcentral.net/30270/Leathal%20W.zip</v>
          </cell>
        </row>
        <row r="2267">
          <cell r="A2267" t="str">
            <v>Super Toest World</v>
          </cell>
          <cell r="B2267" t="str">
            <v>Super Toest World</v>
          </cell>
          <cell r="C2267" t="str">
            <v>Anonymous</v>
          </cell>
          <cell r="D2267">
            <v>12</v>
          </cell>
          <cell r="E2267" t="str">
            <v>Expert</v>
          </cell>
          <cell r="F2267" t="str">
            <v>Kaizo</v>
          </cell>
          <cell r="G2267">
            <v>45668</v>
          </cell>
          <cell r="H2267" t="str">
            <v>39025</v>
          </cell>
          <cell r="I2267" t="str">
            <v>https://www.smwcentral.net/?a=details&amp;id=39025&amp;p=section</v>
          </cell>
          <cell r="J2267" t="str">
            <v>https://dl.smwcentral.net/39025/Super_Toest_World.zip</v>
          </cell>
        </row>
        <row r="2268">
          <cell r="A2268" t="str">
            <v>Super Toshio World</v>
          </cell>
          <cell r="B2268" t="str">
            <v>Super Toshio World</v>
          </cell>
          <cell r="C2268" t="str">
            <v>megaBC333</v>
          </cell>
          <cell r="D2268">
            <v>14</v>
          </cell>
          <cell r="E2268" t="str">
            <v>Expert</v>
          </cell>
          <cell r="F2268" t="str">
            <v>Kaizo</v>
          </cell>
          <cell r="G2268">
            <v>44690</v>
          </cell>
          <cell r="H2268" t="str">
            <v>30836</v>
          </cell>
          <cell r="I2268" t="str">
            <v>https://www.smwcentral.net/?a=details&amp;id=30836&amp;p=section</v>
          </cell>
          <cell r="J2268" t="str">
            <v>https://dl.smwcentral.net/30836/Super_Toshio_World_v1_1.zip</v>
          </cell>
        </row>
        <row r="2269">
          <cell r="A2269" t="str">
            <v>Super Tr-lol World</v>
          </cell>
          <cell r="B2269" t="str">
            <v>Super Tr-lol World</v>
          </cell>
          <cell r="C2269" t="str">
            <v>Gato_co</v>
          </cell>
          <cell r="D2269">
            <v>7</v>
          </cell>
          <cell r="E2269" t="str">
            <v>Casual</v>
          </cell>
          <cell r="F2269" t="str">
            <v>Standard</v>
          </cell>
          <cell r="G2269">
            <v>45877</v>
          </cell>
          <cell r="H2269" t="str">
            <v>40212</v>
          </cell>
          <cell r="I2269" t="str">
            <v>https://www.smwcentral.net/?a=details&amp;id=40212&amp;p=section</v>
          </cell>
          <cell r="J2269" t="str">
            <v>https://dl.smwcentral.net/40212/Super_Trlol_World.zip</v>
          </cell>
        </row>
        <row r="2270">
          <cell r="A2270" t="str">
            <v>Super UltiMario World</v>
          </cell>
          <cell r="B2270" t="str">
            <v>Super UltiMario World</v>
          </cell>
          <cell r="C2270" t="str">
            <v>UltiMario</v>
          </cell>
          <cell r="D2270">
            <v>19</v>
          </cell>
          <cell r="E2270" t="str">
            <v>Casual</v>
          </cell>
          <cell r="F2270" t="str">
            <v>Standard</v>
          </cell>
          <cell r="G2270">
            <v>42003</v>
          </cell>
          <cell r="H2270" t="str">
            <v>9806</v>
          </cell>
          <cell r="I2270" t="str">
            <v>https://www.smwcentral.net/?a=details&amp;id=9806&amp;p=section</v>
          </cell>
          <cell r="J2270" t="str">
            <v>https://dl.smwcentral.net/9806/UltiMario.zip</v>
          </cell>
        </row>
        <row r="2271">
          <cell r="A2271" t="str">
            <v>Super Unethical Stuff I Built for GlitchCat7 Because He Told Me To World</v>
          </cell>
          <cell r="B2271" t="str">
            <v>Super Unethical Stuff I Built for GlitchCat7 Because He Told Me To World</v>
          </cell>
          <cell r="C2271" t="str">
            <v>shovda</v>
          </cell>
          <cell r="D2271">
            <v>11</v>
          </cell>
          <cell r="E2271" t="str">
            <v>Master</v>
          </cell>
          <cell r="F2271" t="str">
            <v>Kaizo</v>
          </cell>
          <cell r="G2271">
            <v>44107</v>
          </cell>
          <cell r="H2271" t="str">
            <v>24457</v>
          </cell>
          <cell r="I2271" t="str">
            <v>https://www.smwcentral.net/?a=details&amp;id=24457&amp;p=section</v>
          </cell>
          <cell r="J2271" t="str">
            <v>https://dl.smwcentral.net/24457/Unethical%201.1.zip</v>
          </cell>
        </row>
        <row r="2272">
          <cell r="A2272" t="str">
            <v>Super Unethical Stuff I Built for Thabeast721 Because He Told Me To World</v>
          </cell>
          <cell r="B2272" t="str">
            <v>Super Unethical Stuff I Built for Thabeast721 Because He Told Me To World</v>
          </cell>
          <cell r="C2272" t="str">
            <v>shovda</v>
          </cell>
          <cell r="D2272">
            <v>11</v>
          </cell>
          <cell r="E2272" t="str">
            <v>Master</v>
          </cell>
          <cell r="F2272" t="str">
            <v>Kaizo</v>
          </cell>
          <cell r="G2272">
            <v>45300</v>
          </cell>
          <cell r="H2272" t="str">
            <v>35795</v>
          </cell>
          <cell r="I2272" t="str">
            <v>https://www.smwcentral.net/?a=details&amp;id=35795&amp;p=section</v>
          </cell>
          <cell r="J2272" t="str">
            <v>https://dl.smwcentral.net/35795/Unethical2.zip</v>
          </cell>
        </row>
        <row r="2273">
          <cell r="A2273" t="str">
            <v>Super Vanilla World</v>
          </cell>
          <cell r="B2273" t="str">
            <v>Super Vanilla World</v>
          </cell>
          <cell r="C2273" t="str">
            <v>Nanashi</v>
          </cell>
          <cell r="D2273">
            <v>23</v>
          </cell>
          <cell r="E2273" t="str">
            <v>Casual</v>
          </cell>
          <cell r="F2273" t="str">
            <v>Standard</v>
          </cell>
          <cell r="G2273">
            <v>43473</v>
          </cell>
          <cell r="H2273" t="str">
            <v>18860</v>
          </cell>
          <cell r="I2273" t="str">
            <v>https://www.smwcentral.net/?a=details&amp;id=18860&amp;p=section</v>
          </cell>
          <cell r="J2273" t="str">
            <v>https://dl.smwcentral.net/18860/Super%20Vanilla%20World%20%28v1.1%29.zip</v>
          </cell>
        </row>
        <row r="2274">
          <cell r="A2274" t="str">
            <v>Super Video World</v>
          </cell>
          <cell r="B2274" t="str">
            <v>Super Video World</v>
          </cell>
          <cell r="C2274" t="str">
            <v>FantasticFox</v>
          </cell>
          <cell r="D2274">
            <v>17</v>
          </cell>
          <cell r="E2274" t="str">
            <v>Intermediate</v>
          </cell>
          <cell r="F2274" t="str">
            <v>Kaizo</v>
          </cell>
          <cell r="G2274">
            <v>45146</v>
          </cell>
          <cell r="H2274" t="str">
            <v>34766</v>
          </cell>
          <cell r="I2274" t="str">
            <v>https://www.smwcentral.net/?a=details&amp;id=34766&amp;p=section</v>
          </cell>
          <cell r="J2274" t="str">
            <v>https://dl.smwcentral.net/34766/svw%201.5.zip</v>
          </cell>
        </row>
        <row r="2275">
          <cell r="A2275" t="str">
            <v>Super Video World 2</v>
          </cell>
          <cell r="B2275" t="str">
            <v>Super Video World 2</v>
          </cell>
          <cell r="C2275" t="str">
            <v>FantasticFox</v>
          </cell>
          <cell r="D2275">
            <v>11</v>
          </cell>
          <cell r="E2275" t="str">
            <v>Advanced</v>
          </cell>
          <cell r="F2275" t="str">
            <v>Kaizo</v>
          </cell>
          <cell r="G2275">
            <v>45301</v>
          </cell>
          <cell r="H2275" t="str">
            <v>36587</v>
          </cell>
          <cell r="I2275" t="str">
            <v>https://www.smwcentral.net/?a=details&amp;id=36587&amp;p=section</v>
          </cell>
          <cell r="J2275" t="str">
            <v>https://dl.smwcentral.net/36587/Super%20Video%20World%202.zip</v>
          </cell>
        </row>
        <row r="2276">
          <cell r="A2276" t="str">
            <v>Super Wahnthac World</v>
          </cell>
          <cell r="B2276" t="str">
            <v>Super Wahnthac World</v>
          </cell>
          <cell r="C2276" t="str">
            <v>westslasher2</v>
          </cell>
          <cell r="D2276">
            <v>11</v>
          </cell>
          <cell r="E2276" t="str">
            <v>Expert</v>
          </cell>
          <cell r="F2276" t="str">
            <v>Kaizo</v>
          </cell>
          <cell r="G2276">
            <v>43409</v>
          </cell>
          <cell r="H2276" t="str">
            <v>18368</v>
          </cell>
          <cell r="I2276" t="str">
            <v>https://www.smwcentral.net/?a=details&amp;id=18368&amp;p=section</v>
          </cell>
          <cell r="J2276" t="str">
            <v>https://dl.smwcentral.net/18368/SuperWahnthacWorld1.4.zip</v>
          </cell>
        </row>
        <row r="2277">
          <cell r="A2277" t="str">
            <v>Super Wahnthac World 2</v>
          </cell>
          <cell r="B2277" t="str">
            <v>Super Wahnthac World 2</v>
          </cell>
          <cell r="C2277" t="str">
            <v>westslasher2</v>
          </cell>
          <cell r="D2277">
            <v>12</v>
          </cell>
          <cell r="E2277" t="str">
            <v>Expert</v>
          </cell>
          <cell r="F2277" t="str">
            <v>Kaizo</v>
          </cell>
          <cell r="G2277">
            <v>43405</v>
          </cell>
          <cell r="H2277" t="str">
            <v>18297</v>
          </cell>
          <cell r="I2277" t="str">
            <v>https://www.smwcentral.net/?a=details&amp;id=18297&amp;p=section</v>
          </cell>
          <cell r="J2277" t="str">
            <v>https://dl.smwcentral.net/18297/Super%20Wahnthac%20World%202%20Demo.zip</v>
          </cell>
        </row>
        <row r="2278">
          <cell r="A2278" t="str">
            <v>Super Wakana Land</v>
          </cell>
          <cell r="B2278" t="str">
            <v>Super Wakana Land</v>
          </cell>
          <cell r="C2278" t="str">
            <v>Wakana</v>
          </cell>
          <cell r="D2278">
            <v>69</v>
          </cell>
          <cell r="E2278" t="str">
            <v>Advanced</v>
          </cell>
          <cell r="F2278" t="str">
            <v>Standard</v>
          </cell>
          <cell r="G2278">
            <v>43314</v>
          </cell>
          <cell r="H2278" t="str">
            <v>17982</v>
          </cell>
          <cell r="I2278" t="str">
            <v>https://www.smwcentral.net/?a=details&amp;id=17982&amp;p=section</v>
          </cell>
          <cell r="J2278" t="str">
            <v>https://dl.smwcentral.net/17982/SWL2.1.1.zip</v>
          </cell>
        </row>
        <row r="2279">
          <cell r="A2279" t="str">
            <v>Super Waluigi World Thwompz Fortress</v>
          </cell>
          <cell r="B2279" t="str">
            <v>Super Waluigi World Thwompz Fortress</v>
          </cell>
          <cell r="C2279" t="str">
            <v>Cartridge King</v>
          </cell>
          <cell r="D2279">
            <v>11</v>
          </cell>
          <cell r="E2279" t="str">
            <v>Intermediate</v>
          </cell>
          <cell r="F2279" t="str">
            <v>Kaizo</v>
          </cell>
          <cell r="G2279">
            <v>44452</v>
          </cell>
          <cell r="H2279" t="str">
            <v>28294</v>
          </cell>
          <cell r="I2279" t="str">
            <v>https://www.smwcentral.net/?a=details&amp;id=28294&amp;p=section</v>
          </cell>
          <cell r="J2279" t="str">
            <v>https://dl.smwcentral.net/28294/Super_Waluigi_World.zip</v>
          </cell>
        </row>
        <row r="2280">
          <cell r="A2280" t="str">
            <v>Super Waluigi: Rescue Wario</v>
          </cell>
          <cell r="B2280" t="str">
            <v>Super Waluigi: Rescue Wario</v>
          </cell>
          <cell r="C2280" t="str">
            <v>Green Jerry</v>
          </cell>
          <cell r="D2280">
            <v>11</v>
          </cell>
          <cell r="E2280" t="str">
            <v>Casual</v>
          </cell>
          <cell r="F2280" t="str">
            <v>Standard</v>
          </cell>
          <cell r="G2280">
            <v>46215</v>
          </cell>
          <cell r="H2280" t="str">
            <v>42614</v>
          </cell>
          <cell r="I2280" t="str">
            <v>https://www.smwcentral.net/?a=details&amp;id=42614&amp;p=section</v>
          </cell>
          <cell r="J2280" t="str">
            <v>https://dl.smwcentral.net/42614/Super%20Waluigi%20-%20Rescue%20Wario%20v1.4.zip</v>
          </cell>
        </row>
        <row r="2281">
          <cell r="A2281" t="str">
            <v>Super Wario World</v>
          </cell>
          <cell r="B2281" t="str">
            <v>Super Wario World</v>
          </cell>
          <cell r="C2281" t="str">
            <v>Magmatic</v>
          </cell>
          <cell r="D2281">
            <v>31</v>
          </cell>
          <cell r="E2281" t="str">
            <v>Advanced</v>
          </cell>
          <cell r="F2281" t="str">
            <v>Kaizo</v>
          </cell>
          <cell r="G2281">
            <v>43735</v>
          </cell>
          <cell r="H2281" t="str">
            <v>21088</v>
          </cell>
          <cell r="I2281" t="str">
            <v>https://www.smwcentral.net/?a=details&amp;id=21088&amp;p=section</v>
          </cell>
          <cell r="J2281" t="str">
            <v>https://dl.smwcentral.net/21088/Super%20Wario%20World.zip</v>
          </cell>
        </row>
        <row r="2282">
          <cell r="A2282" t="str">
            <v>Super Wario World 2: The Four Castles</v>
          </cell>
          <cell r="B2282" t="str">
            <v>Super Wario World 2: The Four Castles</v>
          </cell>
          <cell r="C2282" t="str">
            <v>Magmatic</v>
          </cell>
          <cell r="D2282">
            <v>22</v>
          </cell>
          <cell r="E2282" t="str">
            <v>Expert</v>
          </cell>
          <cell r="F2282" t="str">
            <v>Kaizo</v>
          </cell>
          <cell r="G2282">
            <v>43977</v>
          </cell>
          <cell r="H2282" t="str">
            <v>23049</v>
          </cell>
          <cell r="I2282" t="str">
            <v>https://www.smwcentral.net/?a=details&amp;id=23049&amp;p=section</v>
          </cell>
          <cell r="J2282" t="str">
            <v>https://dl.smwcentral.net/23049/Super%20Wario%20World%202%20-%20The%20Four%20Castles.zip</v>
          </cell>
        </row>
        <row r="2283">
          <cell r="A2283" t="str">
            <v>Super Wario World Mini Quest Update 2 + Bonus Pack</v>
          </cell>
          <cell r="B2283" t="str">
            <v>Super Wario World Mini Quest Update 2 + Bonus Pack</v>
          </cell>
          <cell r="C2283" t="str">
            <v>Alex No</v>
          </cell>
          <cell r="D2283">
            <v>23</v>
          </cell>
          <cell r="E2283" t="str">
            <v>Casual</v>
          </cell>
          <cell r="F2283" t="str">
            <v>Standard</v>
          </cell>
          <cell r="G2283">
            <v>41563</v>
          </cell>
          <cell r="H2283" t="str">
            <v>5003</v>
          </cell>
          <cell r="I2283" t="str">
            <v>https://www.smwcentral.net/?a=details&amp;id=5003&amp;p=section</v>
          </cell>
          <cell r="J2283" t="str">
            <v>https://dl.smwcentral.net/5003/Super%20Wario%20World%20Mini%20Quest%20Update%202%20%2B%202%20Bonus%20Games%20%28You%20need%20SMB%201%20and%20SMB%202%20roms%20and%20emulator%20for%20play%29%20%281%29.zip</v>
          </cell>
        </row>
        <row r="2284">
          <cell r="A2284" t="str">
            <v>Super Weekend World</v>
          </cell>
          <cell r="B2284" t="str">
            <v>Super Weekend World</v>
          </cell>
          <cell r="C2284" t="str">
            <v>AmazingChest</v>
          </cell>
          <cell r="D2284">
            <v>3</v>
          </cell>
          <cell r="E2284" t="str">
            <v>Intermediate</v>
          </cell>
          <cell r="F2284" t="str">
            <v>Kaizo</v>
          </cell>
          <cell r="G2284">
            <v>43866</v>
          </cell>
          <cell r="H2284" t="str">
            <v>22088</v>
          </cell>
          <cell r="I2284" t="str">
            <v>https://www.smwcentral.net/?a=details&amp;id=22088&amp;p=section</v>
          </cell>
          <cell r="J2284" t="str">
            <v>https://dl.smwcentral.net/22088/super-weekend-world_v10.zip</v>
          </cell>
        </row>
        <row r="2285">
          <cell r="A2285" t="str">
            <v>Super What World</v>
          </cell>
          <cell r="B2285" t="str">
            <v>Super What World</v>
          </cell>
          <cell r="C2285" t="str">
            <v>SolveForX</v>
          </cell>
          <cell r="D2285">
            <v>3</v>
          </cell>
          <cell r="E2285" t="str">
            <v>Master</v>
          </cell>
          <cell r="F2285" t="str">
            <v>Kaizo, Puzzle</v>
          </cell>
          <cell r="G2285">
            <v>45424</v>
          </cell>
          <cell r="H2285" t="str">
            <v>37763</v>
          </cell>
          <cell r="I2285" t="str">
            <v>https://www.smwcentral.net/?a=details&amp;id=37763&amp;p=section</v>
          </cell>
          <cell r="J2285" t="str">
            <v>https://dl.smwcentral.net/37763/SuperWhatWorld.zip</v>
          </cell>
        </row>
        <row r="2286">
          <cell r="A2286" t="str">
            <v>Super Whatever Quest!!!</v>
          </cell>
          <cell r="B2286" t="str">
            <v>Super Whatever Quest!!!</v>
          </cell>
          <cell r="C2286" t="str">
            <v>NewPointless</v>
          </cell>
          <cell r="D2286">
            <v>36</v>
          </cell>
          <cell r="E2286" t="str">
            <v>Advanced</v>
          </cell>
          <cell r="F2286" t="str">
            <v>Standard, Kaizo</v>
          </cell>
          <cell r="G2286">
            <v>45732</v>
          </cell>
          <cell r="H2286" t="str">
            <v>39555</v>
          </cell>
          <cell r="I2286" t="str">
            <v>https://www.smwcentral.net/?a=details&amp;id=39555&amp;p=section</v>
          </cell>
          <cell r="J2286" t="str">
            <v>https://dl.smwcentral.net/39555/SuperWhateverQuest1_1.zip</v>
          </cell>
        </row>
        <row r="2287">
          <cell r="A2287" t="str">
            <v>Super Wisdom Quest</v>
          </cell>
          <cell r="B2287" t="str">
            <v>Super Wisdom Quest</v>
          </cell>
          <cell r="C2287" t="str">
            <v>Tracchete</v>
          </cell>
          <cell r="D2287">
            <v>25</v>
          </cell>
          <cell r="E2287" t="str">
            <v>Intermediate</v>
          </cell>
          <cell r="F2287" t="str">
            <v>Standard</v>
          </cell>
          <cell r="G2287">
            <v>44372</v>
          </cell>
          <cell r="H2287" t="str">
            <v>26783</v>
          </cell>
          <cell r="I2287" t="str">
            <v>https://www.smwcentral.net/?a=details&amp;id=26783&amp;p=section</v>
          </cell>
          <cell r="J2287" t="str">
            <v>https://dl.smwcentral.net/26783/Super%20Wisdom%20Quest.zip</v>
          </cell>
        </row>
        <row r="2288">
          <cell r="A2288" t="str">
            <v>Super World</v>
          </cell>
          <cell r="B2288" t="str">
            <v>Super World</v>
          </cell>
          <cell r="C2288" t="str">
            <v>MMXWL</v>
          </cell>
          <cell r="D2288">
            <v>14</v>
          </cell>
          <cell r="E2288" t="str">
            <v>Advanced</v>
          </cell>
          <cell r="F2288" t="str">
            <v>Kaizo</v>
          </cell>
          <cell r="G2288">
            <v>44364</v>
          </cell>
          <cell r="H2288" t="str">
            <v>27303</v>
          </cell>
          <cell r="I2288" t="str">
            <v>https://www.smwcentral.net/?a=details&amp;id=27303&amp;p=section</v>
          </cell>
          <cell r="J2288" t="str">
            <v>https://dl.smwcentral.net/27303/Super_World.zip</v>
          </cell>
        </row>
        <row r="2289">
          <cell r="A2289" t="str">
            <v>Super Wow</v>
          </cell>
          <cell r="B2289" t="str">
            <v>Super Wow</v>
          </cell>
          <cell r="C2289" t="str">
            <v>Firstnamebutt</v>
          </cell>
          <cell r="D2289">
            <v>13</v>
          </cell>
          <cell r="E2289" t="str">
            <v>Intermediate</v>
          </cell>
          <cell r="F2289" t="str">
            <v>Kaizo</v>
          </cell>
          <cell r="G2289">
            <v>45819</v>
          </cell>
          <cell r="H2289" t="str">
            <v>39972</v>
          </cell>
          <cell r="I2289" t="str">
            <v>https://www.smwcentral.net/?a=details&amp;id=39972&amp;p=section</v>
          </cell>
          <cell r="J2289" t="str">
            <v>https://dl.smwcentral.net/39972/SuperWow1.1.zip</v>
          </cell>
        </row>
        <row r="2290">
          <cell r="A2290" t="str">
            <v>Super Xtreme World</v>
          </cell>
          <cell r="B2290" t="str">
            <v>Super Xtreme World</v>
          </cell>
          <cell r="C2290" t="str">
            <v>Infrared</v>
          </cell>
          <cell r="D2290">
            <v>11</v>
          </cell>
          <cell r="E2290" t="str">
            <v>Casual</v>
          </cell>
          <cell r="F2290" t="str">
            <v>Standard</v>
          </cell>
          <cell r="G2290">
            <v>42266</v>
          </cell>
          <cell r="H2290" t="str">
            <v>9995</v>
          </cell>
          <cell r="I2290" t="str">
            <v>https://www.smwcentral.net/?a=details&amp;id=9995&amp;p=section</v>
          </cell>
          <cell r="J2290" t="str">
            <v>https://dl.smwcentral.net/9995/Super%20Xtreme%20World.zip</v>
          </cell>
        </row>
        <row r="2291">
          <cell r="A2291" t="str">
            <v>Super Yeet World</v>
          </cell>
          <cell r="B2291" t="str">
            <v>Super Yeet World</v>
          </cell>
          <cell r="C2291" t="str">
            <v>KennyJ</v>
          </cell>
          <cell r="D2291">
            <v>7</v>
          </cell>
          <cell r="E2291" t="str">
            <v>Expert</v>
          </cell>
          <cell r="F2291" t="str">
            <v>Kaizo</v>
          </cell>
          <cell r="G2291">
            <v>44518</v>
          </cell>
          <cell r="H2291" t="str">
            <v>28837</v>
          </cell>
          <cell r="I2291" t="str">
            <v>https://www.smwcentral.net/?a=details&amp;id=28837&amp;p=section</v>
          </cell>
          <cell r="J2291" t="str">
            <v>https://dl.smwcentral.net/28837/Super%20Yeet%20World.zip</v>
          </cell>
        </row>
        <row r="2292">
          <cell r="A2292" t="str">
            <v>Super Yoshi's Land 1 – An Adventure to Rescue Mario!</v>
          </cell>
          <cell r="B2292" t="str">
            <v>Super Yoshi's Land 1 – An Adventure to Rescue Mario!</v>
          </cell>
          <cell r="C2292" t="str">
            <v>Major Flare</v>
          </cell>
          <cell r="D2292">
            <v>25</v>
          </cell>
          <cell r="E2292" t="str">
            <v>Casual</v>
          </cell>
          <cell r="F2292" t="str">
            <v>Standard</v>
          </cell>
          <cell r="G2292">
            <v>42266</v>
          </cell>
          <cell r="H2292" t="str">
            <v>10009</v>
          </cell>
          <cell r="I2292" t="str">
            <v>https://www.smwcentral.net/?a=details&amp;id=10009&amp;p=section</v>
          </cell>
          <cell r="J2292" t="str">
            <v>https://dl.smwcentral.net/10009/Yoshi%27s%20Land%201.zip</v>
          </cell>
        </row>
        <row r="2293">
          <cell r="A2293" t="str">
            <v>super you are the best</v>
          </cell>
          <cell r="B2293" t="str">
            <v>super you are the best</v>
          </cell>
          <cell r="C2293" t="str">
            <v>thejhonny-ador</v>
          </cell>
          <cell r="D2293">
            <v>16</v>
          </cell>
          <cell r="E2293" t="str">
            <v>Expert</v>
          </cell>
          <cell r="F2293" t="str">
            <v>Kaizo</v>
          </cell>
          <cell r="G2293">
            <v>43750</v>
          </cell>
          <cell r="H2293" t="str">
            <v>21303</v>
          </cell>
          <cell r="I2293" t="str">
            <v>https://www.smwcentral.net/?a=details&amp;id=21303&amp;p=section</v>
          </cell>
          <cell r="J2293" t="str">
            <v>https://dl.smwcentral.net/21303/SYATB.zip</v>
          </cell>
        </row>
        <row r="2294">
          <cell r="A2294" t="str">
            <v>Super Zoulzi World</v>
          </cell>
          <cell r="B2294" t="str">
            <v>Super Zoulzi World</v>
          </cell>
          <cell r="C2294" t="str">
            <v>Dreekius</v>
          </cell>
          <cell r="D2294">
            <v>3</v>
          </cell>
          <cell r="E2294" t="str">
            <v>Advanced</v>
          </cell>
          <cell r="F2294" t="str">
            <v>Kaizo</v>
          </cell>
          <cell r="G2294">
            <v>43917</v>
          </cell>
          <cell r="H2294" t="str">
            <v>22479</v>
          </cell>
          <cell r="I2294" t="str">
            <v>https://www.smwcentral.net/?a=details&amp;id=22479&amp;p=section</v>
          </cell>
          <cell r="J2294" t="str">
            <v>https://dl.smwcentral.net/22479/SuperZoulziWorld.zip</v>
          </cell>
        </row>
        <row r="2295">
          <cell r="A2295" t="str">
            <v>Super “Dark” World</v>
          </cell>
          <cell r="B2295" t="str">
            <v>Super “Dark” World</v>
          </cell>
          <cell r="C2295" t="str">
            <v>Deoxys594</v>
          </cell>
          <cell r="D2295">
            <v>6</v>
          </cell>
          <cell r="E2295" t="str">
            <v>Casual</v>
          </cell>
          <cell r="F2295" t="str">
            <v>Standard</v>
          </cell>
          <cell r="G2295">
            <v>42265</v>
          </cell>
          <cell r="H2295" t="str">
            <v>10020</v>
          </cell>
          <cell r="I2295" t="str">
            <v>https://www.smwcentral.net/?a=details&amp;id=10020&amp;p=section</v>
          </cell>
          <cell r="J2295" t="str">
            <v>https://dl.smwcentral.net/10020/super%20dark%20world%20%281st%20demo%29.zip</v>
          </cell>
        </row>
        <row r="2296">
          <cell r="A2296" t="str">
            <v>Supercontinent World</v>
          </cell>
          <cell r="B2296" t="str">
            <v>Supercontinent World</v>
          </cell>
          <cell r="C2296" t="str">
            <v>Morsel</v>
          </cell>
          <cell r="D2296">
            <v>12</v>
          </cell>
          <cell r="E2296" t="str">
            <v>Master</v>
          </cell>
          <cell r="F2296" t="str">
            <v>Kaizo</v>
          </cell>
          <cell r="G2296">
            <v>43843</v>
          </cell>
          <cell r="H2296" t="str">
            <v>21910</v>
          </cell>
          <cell r="I2296" t="str">
            <v>https://www.smwcentral.net/?a=details&amp;id=21910&amp;p=section</v>
          </cell>
          <cell r="J2296" t="str">
            <v>https://dl.smwcentral.net/21910/supercontinent1.1.zip</v>
          </cell>
        </row>
        <row r="2297">
          <cell r="A2297" t="str">
            <v>SuperKazuWorld</v>
          </cell>
          <cell r="B2297" t="str">
            <v>SuperKazuWorld</v>
          </cell>
          <cell r="C2297" t="str">
            <v>Wieus96</v>
          </cell>
          <cell r="D2297">
            <v>9</v>
          </cell>
          <cell r="E2297" t="str">
            <v>Expert</v>
          </cell>
          <cell r="F2297" t="str">
            <v>Kaizo</v>
          </cell>
          <cell r="G2297">
            <v>42959</v>
          </cell>
          <cell r="H2297" t="str">
            <v>16029</v>
          </cell>
          <cell r="I2297" t="str">
            <v>https://www.smwcentral.net/?a=details&amp;id=16029&amp;p=section</v>
          </cell>
          <cell r="J2297" t="str">
            <v>https://dl.smwcentral.net/16029/SuperKazuWorld%20V1.3.zip</v>
          </cell>
        </row>
        <row r="2298">
          <cell r="A2298" t="str">
            <v>supernaydropzsmm2</v>
          </cell>
          <cell r="B2298" t="str">
            <v>supernaydropzsmm2</v>
          </cell>
          <cell r="C2298" t="str">
            <v>MiamidropzSMM2</v>
          </cell>
          <cell r="D2298">
            <v>15</v>
          </cell>
          <cell r="E2298" t="str">
            <v>Intermediate</v>
          </cell>
          <cell r="F2298" t="str">
            <v>Kaizo</v>
          </cell>
          <cell r="G2298">
            <v>45815</v>
          </cell>
          <cell r="H2298" t="str">
            <v>39957</v>
          </cell>
          <cell r="I2298" t="str">
            <v>https://www.smwcentral.net/?a=details&amp;id=39957&amp;p=section</v>
          </cell>
          <cell r="J2298" t="str">
            <v>https://dl.smwcentral.net/39957/supernaydropzsmm2.zip</v>
          </cell>
        </row>
        <row r="2299">
          <cell r="A2299" t="str">
            <v>Superstar Mario World</v>
          </cell>
          <cell r="B2299" t="str">
            <v>Superstar Mario World</v>
          </cell>
          <cell r="C2299" t="str">
            <v>Stivi</v>
          </cell>
          <cell r="D2299">
            <v>63</v>
          </cell>
          <cell r="E2299" t="str">
            <v>Intermediate</v>
          </cell>
          <cell r="F2299" t="str">
            <v>Standard</v>
          </cell>
          <cell r="G2299">
            <v>43576</v>
          </cell>
          <cell r="H2299" t="str">
            <v>19369</v>
          </cell>
          <cell r="I2299" t="str">
            <v>https://www.smwcentral.net/?a=details&amp;id=19369&amp;p=section</v>
          </cell>
          <cell r="J2299" t="str">
            <v>https://dl.smwcentral.net/19369/Superstar%20Mario%20World%201.5.zip</v>
          </cell>
        </row>
        <row r="2300">
          <cell r="A2300" t="str">
            <v>Survivor</v>
          </cell>
          <cell r="B2300" t="str">
            <v>Survivor</v>
          </cell>
          <cell r="C2300" t="str">
            <v>Dan2point5</v>
          </cell>
          <cell r="D2300">
            <v>1</v>
          </cell>
          <cell r="E2300" t="str">
            <v>Advanced</v>
          </cell>
          <cell r="F2300" t="str">
            <v>Kaizo</v>
          </cell>
          <cell r="G2300">
            <v>44832</v>
          </cell>
          <cell r="H2300" t="str">
            <v>32222</v>
          </cell>
          <cell r="I2300" t="str">
            <v>https://www.smwcentral.net/?a=details&amp;id=32222&amp;p=section</v>
          </cell>
          <cell r="J2300" t="str">
            <v>https://dl.smwcentral.net/32222/Survivor.zip</v>
          </cell>
        </row>
        <row r="2301">
          <cell r="A2301" t="str">
            <v>Suupaa Mario-sama Seken</v>
          </cell>
          <cell r="B2301" t="str">
            <v>Suupaa Mario-sama Seken</v>
          </cell>
          <cell r="C2301" t="str">
            <v>Ashura</v>
          </cell>
          <cell r="D2301">
            <v>6</v>
          </cell>
          <cell r="E2301" t="str">
            <v>Casual</v>
          </cell>
          <cell r="F2301" t="str">
            <v>Standard</v>
          </cell>
          <cell r="G2301">
            <v>42220</v>
          </cell>
          <cell r="H2301" t="str">
            <v>9829</v>
          </cell>
          <cell r="I2301" t="str">
            <v>https://www.smwcentral.net/?a=details&amp;id=9829&amp;p=section</v>
          </cell>
          <cell r="J2301" t="str">
            <v>https://dl.smwcentral.net/9829/SMWJ%28H%29.zip</v>
          </cell>
        </row>
        <row r="2302">
          <cell r="A2302" t="str">
            <v>SV Bounce World</v>
          </cell>
          <cell r="B2302" t="str">
            <v>SV Bounce World</v>
          </cell>
          <cell r="C2302" t="str">
            <v>RenanSV, arantes</v>
          </cell>
          <cell r="D2302">
            <v>15</v>
          </cell>
          <cell r="E2302" t="str">
            <v>Master</v>
          </cell>
          <cell r="F2302" t="str">
            <v>Kaizo</v>
          </cell>
          <cell r="G2302">
            <v>44607</v>
          </cell>
          <cell r="H2302" t="str">
            <v>29722</v>
          </cell>
          <cell r="I2302" t="str">
            <v>https://www.smwcentral.net/?a=details&amp;id=29722&amp;p=section</v>
          </cell>
          <cell r="J2302" t="str">
            <v>https://dl.smwcentral.net/29722/Renan%20SV%20Games%20atual.zip</v>
          </cell>
        </row>
        <row r="2303">
          <cell r="A2303" t="str">
            <v>SV Bounce World 2</v>
          </cell>
          <cell r="B2303" t="str">
            <v>SV Bounce World 2</v>
          </cell>
          <cell r="C2303" t="str">
            <v>RenanSV</v>
          </cell>
          <cell r="D2303">
            <v>10</v>
          </cell>
          <cell r="E2303" t="str">
            <v>Master</v>
          </cell>
          <cell r="F2303" t="str">
            <v>Kaizo</v>
          </cell>
          <cell r="G2303">
            <v>44772</v>
          </cell>
          <cell r="H2303" t="str">
            <v>31469</v>
          </cell>
          <cell r="I2303" t="str">
            <v>https://www.smwcentral.net/?a=details&amp;id=31469&amp;p=section</v>
          </cell>
          <cell r="J2303" t="str">
            <v>https://dl.smwcentral.net/31469/SV%20Bounce%20World%202.zip</v>
          </cell>
        </row>
        <row r="2304">
          <cell r="A2304" t="str">
            <v>SV Practice World</v>
          </cell>
          <cell r="B2304" t="str">
            <v>SV Practice World</v>
          </cell>
          <cell r="C2304" t="str">
            <v>RenanSV</v>
          </cell>
          <cell r="D2304">
            <v>13</v>
          </cell>
          <cell r="E2304" t="str">
            <v>Intermediate</v>
          </cell>
          <cell r="F2304" t="str">
            <v>Kaizo</v>
          </cell>
          <cell r="G2304">
            <v>44644</v>
          </cell>
          <cell r="H2304" t="str">
            <v>30221</v>
          </cell>
          <cell r="I2304" t="str">
            <v>https://www.smwcentral.net/?a=details&amp;id=30221&amp;p=section</v>
          </cell>
          <cell r="J2304" t="str">
            <v>https://dl.smwcentral.net/30221/SV%20Practice%20World.zip</v>
          </cell>
        </row>
        <row r="2305">
          <cell r="A2305" t="str">
            <v>SV State World</v>
          </cell>
          <cell r="B2305" t="str">
            <v>SV State World</v>
          </cell>
          <cell r="C2305" t="str">
            <v>RenanSV</v>
          </cell>
          <cell r="D2305">
            <v>13</v>
          </cell>
          <cell r="E2305" t="str">
            <v>Expert</v>
          </cell>
          <cell r="F2305" t="str">
            <v>Kaizo</v>
          </cell>
          <cell r="G2305">
            <v>44707</v>
          </cell>
          <cell r="H2305" t="str">
            <v>30971</v>
          </cell>
          <cell r="I2305" t="str">
            <v>https://www.smwcentral.net/?a=details&amp;id=30971&amp;p=section</v>
          </cell>
          <cell r="J2305" t="str">
            <v>https://dl.smwcentral.net/30971/SV%20State%20World.zip</v>
          </cell>
        </row>
        <row r="2306">
          <cell r="A2306" t="str">
            <v>Sweet Dream Agnes</v>
          </cell>
          <cell r="B2306" t="str">
            <v>Sweet Dream Agnes</v>
          </cell>
          <cell r="C2306" t="str">
            <v>elsaiz117</v>
          </cell>
          <cell r="D2306">
            <v>14</v>
          </cell>
          <cell r="E2306" t="str">
            <v>Expert</v>
          </cell>
          <cell r="F2306" t="str">
            <v>Kaizo</v>
          </cell>
          <cell r="G2306">
            <v>45071</v>
          </cell>
          <cell r="H2306" t="str">
            <v>33999</v>
          </cell>
          <cell r="I2306" t="str">
            <v>https://www.smwcentral.net/?a=details&amp;id=33999&amp;p=section</v>
          </cell>
          <cell r="J2306" t="str">
            <v>https://dl.smwcentral.net/33999/Sweet%20Dream%20Agnes%20v1.0.zip</v>
          </cell>
        </row>
        <row r="2307">
          <cell r="A2307" t="str">
            <v>Sweet n' Sour</v>
          </cell>
          <cell r="B2307" t="str">
            <v>Sweet n' Sour</v>
          </cell>
          <cell r="C2307" t="str">
            <v>Lush_50, bsolt</v>
          </cell>
          <cell r="D2307">
            <v>27</v>
          </cell>
          <cell r="E2307" t="str">
            <v>Expert</v>
          </cell>
          <cell r="F2307" t="str">
            <v>Kaizo</v>
          </cell>
          <cell r="G2307">
            <v>44085</v>
          </cell>
          <cell r="H2307" t="str">
            <v>24498</v>
          </cell>
          <cell r="I2307" t="str">
            <v>https://www.smwcentral.net/?a=details&amp;id=24498&amp;p=section</v>
          </cell>
          <cell r="J2307" t="str">
            <v>https://dl.smwcentral.net/24498/Sweet%20n%27%20Sour%20v1.1.zip</v>
          </cell>
        </row>
        <row r="2308">
          <cell r="A2308" t="str">
            <v>Sweet Shell</v>
          </cell>
          <cell r="B2308" t="str">
            <v>Sweet Shell</v>
          </cell>
          <cell r="C2308" t="str">
            <v>Firstnamebutt</v>
          </cell>
          <cell r="D2308">
            <v>13</v>
          </cell>
          <cell r="E2308" t="str">
            <v>Intermediate</v>
          </cell>
          <cell r="F2308" t="str">
            <v>Kaizo</v>
          </cell>
          <cell r="G2308">
            <v>45405</v>
          </cell>
          <cell r="H2308" t="str">
            <v>37677</v>
          </cell>
          <cell r="I2308" t="str">
            <v>https://www.smwcentral.net/?a=details&amp;id=37677&amp;p=section</v>
          </cell>
          <cell r="J2308" t="str">
            <v>https://dl.smwcentral.net/37677/SweetShell.zip</v>
          </cell>
        </row>
        <row r="2309">
          <cell r="A2309" t="str">
            <v>Sweet World</v>
          </cell>
          <cell r="B2309" t="str">
            <v>Sweet World</v>
          </cell>
          <cell r="C2309" t="str">
            <v>Firstnamebutt</v>
          </cell>
          <cell r="D2309">
            <v>12</v>
          </cell>
          <cell r="E2309" t="str">
            <v>Intermediate</v>
          </cell>
          <cell r="F2309" t="str">
            <v>Kaizo</v>
          </cell>
          <cell r="G2309">
            <v>45211</v>
          </cell>
          <cell r="H2309" t="str">
            <v>35215</v>
          </cell>
          <cell r="I2309" t="str">
            <v>https://www.smwcentral.net/?a=details&amp;id=35215&amp;p=section</v>
          </cell>
          <cell r="J2309" t="str">
            <v>https://dl.smwcentral.net/35215/SweetWorld.zip</v>
          </cell>
        </row>
        <row r="2310">
          <cell r="A2310" t="str">
            <v>Swiftly 17</v>
          </cell>
          <cell r="B2310" t="str">
            <v>Swiftly 17</v>
          </cell>
          <cell r="C2310" t="str">
            <v>Lee12UK</v>
          </cell>
          <cell r="D2310">
            <v>17</v>
          </cell>
          <cell r="E2310" t="str">
            <v>Advanced</v>
          </cell>
          <cell r="F2310" t="str">
            <v>Kaizo</v>
          </cell>
          <cell r="G2310">
            <v>45014</v>
          </cell>
          <cell r="H2310" t="str">
            <v>33640</v>
          </cell>
          <cell r="I2310" t="str">
            <v>https://www.smwcentral.net/?a=details&amp;id=33640&amp;p=section</v>
          </cell>
          <cell r="J2310" t="str">
            <v>https://dl.smwcentral.net/33640/Swiftly17.zip</v>
          </cell>
        </row>
        <row r="2311">
          <cell r="A2311" t="str">
            <v>T3rminus: Journey´s End</v>
          </cell>
          <cell r="B2311" t="str">
            <v>T3rminus: Journey´s End</v>
          </cell>
          <cell r="C2311" t="str">
            <v>Kr00mmi</v>
          </cell>
          <cell r="D2311">
            <v>9</v>
          </cell>
          <cell r="E2311" t="str">
            <v>Expert</v>
          </cell>
          <cell r="F2311" t="str">
            <v>Kaizo</v>
          </cell>
          <cell r="G2311">
            <v>43818</v>
          </cell>
          <cell r="H2311" t="str">
            <v>21634</v>
          </cell>
          <cell r="I2311" t="str">
            <v>https://www.smwcentral.net/?a=details&amp;id=21634&amp;p=section</v>
          </cell>
          <cell r="J2311" t="str">
            <v>https://dl.smwcentral.net/21634/T3rminus%20Journey%C2%B4s%20End.zip</v>
          </cell>
        </row>
        <row r="2312">
          <cell r="A2312" t="str">
            <v>Tajna and the Mana Seeds</v>
          </cell>
          <cell r="B2312" t="str">
            <v>Tajna and the Mana Seeds</v>
          </cell>
          <cell r="C2312" t="str">
            <v>Tob</v>
          </cell>
          <cell r="D2312">
            <v>6</v>
          </cell>
          <cell r="E2312" t="str">
            <v>Casual</v>
          </cell>
          <cell r="F2312" t="str">
            <v>Standard</v>
          </cell>
          <cell r="G2312">
            <v>45931</v>
          </cell>
          <cell r="H2312" t="str">
            <v>40708</v>
          </cell>
          <cell r="I2312" t="str">
            <v>https://www.smwcentral.net/?a=details&amp;id=40708&amp;p=section</v>
          </cell>
          <cell r="J2312" t="str">
            <v>https://dl.smwcentral.net/40708/tajna1.31.zip</v>
          </cell>
        </row>
        <row r="2313">
          <cell r="A2313" t="str">
            <v>Take It Easy World</v>
          </cell>
          <cell r="B2313" t="str">
            <v>Take It Easy World</v>
          </cell>
          <cell r="C2313" t="str">
            <v>frx</v>
          </cell>
          <cell r="D2313">
            <v>17</v>
          </cell>
          <cell r="E2313" t="str">
            <v>Advanced</v>
          </cell>
          <cell r="F2313" t="str">
            <v>Kaizo</v>
          </cell>
          <cell r="G2313">
            <v>44001</v>
          </cell>
          <cell r="H2313" t="str">
            <v>23272</v>
          </cell>
          <cell r="I2313" t="str">
            <v>https://www.smwcentral.net/?a=details&amp;id=23272&amp;p=section</v>
          </cell>
          <cell r="J2313" t="str">
            <v>https://dl.smwcentral.net/23272/take_it_easy_1.2.zip</v>
          </cell>
        </row>
        <row r="2314">
          <cell r="A2314" t="str">
            <v>Takemoto Inspired</v>
          </cell>
          <cell r="B2314" t="str">
            <v>Takemoto Inspired</v>
          </cell>
          <cell r="C2314" t="str">
            <v>Desert</v>
          </cell>
          <cell r="D2314">
            <v>2</v>
          </cell>
          <cell r="E2314" t="str">
            <v>Advanced</v>
          </cell>
          <cell r="F2314" t="str">
            <v>Kaizo</v>
          </cell>
          <cell r="G2314">
            <v>45279</v>
          </cell>
          <cell r="H2314" t="str">
            <v>35716</v>
          </cell>
          <cell r="I2314" t="str">
            <v>https://www.smwcentral.net/?a=details&amp;id=35716&amp;p=section</v>
          </cell>
          <cell r="J2314" t="str">
            <v>https://dl.smwcentral.net/35716/Takemoto_Inspired.zip</v>
          </cell>
        </row>
        <row r="2315">
          <cell r="A2315" t="str">
            <v>Takeshi Yumping Simulator</v>
          </cell>
          <cell r="B2315" t="str">
            <v>Takeshi Yumping Simulator</v>
          </cell>
          <cell r="C2315" t="str">
            <v>Hwailaluta</v>
          </cell>
          <cell r="D2315">
            <v>1</v>
          </cell>
          <cell r="E2315" t="str">
            <v>Master</v>
          </cell>
          <cell r="F2315" t="str">
            <v>Kaizo</v>
          </cell>
          <cell r="G2315">
            <v>44447</v>
          </cell>
          <cell r="H2315" t="str">
            <v>28222</v>
          </cell>
          <cell r="I2315" t="str">
            <v>https://www.smwcentral.net/?a=details&amp;id=28222&amp;p=section</v>
          </cell>
          <cell r="J2315" t="str">
            <v>https://dl.smwcentral.net/28222/TakeshiYumpingSimulator.zip</v>
          </cell>
        </row>
        <row r="2316">
          <cell r="A2316" t="str">
            <v>Tales of Nean</v>
          </cell>
          <cell r="B2316" t="str">
            <v>Tales of Nean</v>
          </cell>
          <cell r="C2316" t="str">
            <v>Senjan</v>
          </cell>
          <cell r="D2316">
            <v>24</v>
          </cell>
          <cell r="E2316" t="str">
            <v>Casual</v>
          </cell>
          <cell r="F2316" t="str">
            <v>Standard</v>
          </cell>
          <cell r="G2316">
            <v>42310</v>
          </cell>
          <cell r="H2316" t="str">
            <v>10163</v>
          </cell>
          <cell r="I2316" t="str">
            <v>https://www.smwcentral.net/?a=details&amp;id=10163&amp;p=section</v>
          </cell>
          <cell r="J2316" t="str">
            <v>https://dl.smwcentral.net/10163/Tales%20of%20Nean.zip</v>
          </cell>
        </row>
        <row r="2317">
          <cell r="A2317" t="str">
            <v>TaleSpin</v>
          </cell>
          <cell r="B2317" t="str">
            <v>TaleSpin</v>
          </cell>
          <cell r="C2317" t="str">
            <v>uriel2k3</v>
          </cell>
          <cell r="D2317">
            <v>11</v>
          </cell>
          <cell r="E2317" t="str">
            <v>Grandmaster</v>
          </cell>
          <cell r="F2317" t="str">
            <v>Kaizo</v>
          </cell>
          <cell r="G2317">
            <v>46086</v>
          </cell>
          <cell r="H2317" t="str">
            <v>41830</v>
          </cell>
          <cell r="I2317" t="str">
            <v>https://www.smwcentral.net/?a=details&amp;id=41830&amp;p=section</v>
          </cell>
          <cell r="J2317" t="str">
            <v>https://dl.smwcentral.net/41830/TaleSpin.zip</v>
          </cell>
        </row>
        <row r="2318">
          <cell r="A2318" t="str">
            <v>Talikuu Quest</v>
          </cell>
          <cell r="B2318" t="str">
            <v>Talikuu Quest</v>
          </cell>
          <cell r="C2318" t="str">
            <v>Zerio</v>
          </cell>
          <cell r="D2318">
            <v>14</v>
          </cell>
          <cell r="E2318" t="str">
            <v>Newcomer</v>
          </cell>
          <cell r="F2318" t="str">
            <v>Standard</v>
          </cell>
          <cell r="G2318">
            <v>42294</v>
          </cell>
          <cell r="H2318" t="str">
            <v>10090</v>
          </cell>
          <cell r="I2318" t="str">
            <v>https://www.smwcentral.net/?a=details&amp;id=10090&amp;p=section</v>
          </cell>
          <cell r="J2318" t="str">
            <v>https://dl.smwcentral.net/10090/Talikuu%20Quest%20C3%20Demo.zip</v>
          </cell>
        </row>
        <row r="2319">
          <cell r="A2319" t="str">
            <v>Tangle's Trip</v>
          </cell>
          <cell r="B2319" t="str">
            <v>Tangle's Trip</v>
          </cell>
          <cell r="C2319" t="str">
            <v>sholmes</v>
          </cell>
          <cell r="D2319">
            <v>11</v>
          </cell>
          <cell r="E2319" t="str">
            <v>Advanced</v>
          </cell>
          <cell r="F2319" t="str">
            <v>Standard</v>
          </cell>
          <cell r="G2319">
            <v>46112</v>
          </cell>
          <cell r="H2319" t="str">
            <v>41987</v>
          </cell>
          <cell r="I2319" t="str">
            <v>https://www.smwcentral.net/?a=details&amp;id=41987&amp;p=section</v>
          </cell>
          <cell r="J2319" t="str">
            <v>https://dl.smwcentral.net/41987/Tangle%27s%20Trip%20Update.zip</v>
          </cell>
        </row>
        <row r="2320">
          <cell r="A2320" t="str">
            <v>Tartastrophe: a very sticky hack</v>
          </cell>
          <cell r="B2320" t="str">
            <v>Tartastrophe: a very sticky hack</v>
          </cell>
          <cell r="C2320" t="str">
            <v>GRIMMKIN</v>
          </cell>
          <cell r="D2320">
            <v>1</v>
          </cell>
          <cell r="E2320" t="str">
            <v>Grandmaster</v>
          </cell>
          <cell r="F2320" t="str">
            <v>Kaizo</v>
          </cell>
          <cell r="G2320">
            <v>44376</v>
          </cell>
          <cell r="H2320" t="str">
            <v>27304</v>
          </cell>
          <cell r="I2320" t="str">
            <v>https://www.smwcentral.net/?a=details&amp;id=27304&amp;p=section</v>
          </cell>
          <cell r="J2320" t="str">
            <v>https://dl.smwcentral.net/27304/Tartastrophe.zip</v>
          </cell>
        </row>
        <row r="2321">
          <cell r="A2321" t="str">
            <v>Tatsujin Mario part 1</v>
          </cell>
          <cell r="B2321" t="str">
            <v>Tatsujin Mario part 1</v>
          </cell>
          <cell r="C2321" t="str">
            <v>abc_ore</v>
          </cell>
          <cell r="D2321">
            <v>89</v>
          </cell>
          <cell r="E2321" t="str">
            <v>Grandmaster</v>
          </cell>
          <cell r="F2321" t="str">
            <v>Kaizo</v>
          </cell>
          <cell r="G2321">
            <v>42788</v>
          </cell>
          <cell r="H2321" t="str">
            <v>15147</v>
          </cell>
          <cell r="I2321" t="str">
            <v>https://www.smwcentral.net/?a=details&amp;id=15147&amp;p=section</v>
          </cell>
          <cell r="J2321" t="str">
            <v>https://dl.smwcentral.net/15147/Tatsujin%20Mario%20part%201.zip</v>
          </cell>
        </row>
        <row r="2322">
          <cell r="A2322" t="str">
            <v>Tatsujin Mario part 2</v>
          </cell>
          <cell r="B2322" t="str">
            <v>Tatsujin Mario part 2</v>
          </cell>
          <cell r="C2322" t="str">
            <v>abc_ore</v>
          </cell>
          <cell r="D2322">
            <v>89</v>
          </cell>
          <cell r="E2322" t="str">
            <v>Grandmaster</v>
          </cell>
          <cell r="F2322" t="str">
            <v>Kaizo</v>
          </cell>
          <cell r="G2322">
            <v>44946</v>
          </cell>
          <cell r="H2322" t="str">
            <v>32910</v>
          </cell>
          <cell r="I2322" t="str">
            <v>https://www.smwcentral.net/?a=details&amp;id=32910&amp;p=section</v>
          </cell>
          <cell r="J2322" t="str">
            <v>https://dl.smwcentral.net/32910/Tatsujin%20Mario%20part%202%20v13.zip</v>
          </cell>
        </row>
        <row r="2323">
          <cell r="A2323" t="str">
            <v>TDC Shells Edition</v>
          </cell>
          <cell r="B2323" t="str">
            <v>TDC Shells Edition</v>
          </cell>
          <cell r="C2323" t="str">
            <v>Deivid Borba</v>
          </cell>
          <cell r="D2323">
            <v>0</v>
          </cell>
          <cell r="E2323" t="str">
            <v>Advanced</v>
          </cell>
          <cell r="F2323" t="str">
            <v>Kaizo</v>
          </cell>
          <cell r="G2323">
            <v>44309</v>
          </cell>
          <cell r="H2323" t="str">
            <v>26826</v>
          </cell>
          <cell r="I2323" t="str">
            <v>https://www.smwcentral.net/?a=details&amp;id=26826&amp;p=section</v>
          </cell>
          <cell r="J2323" t="str">
            <v>https://dl.smwcentral.net/26826/TDCShellsEdition.zip</v>
          </cell>
        </row>
        <row r="2324">
          <cell r="A2324" t="str">
            <v>te's Exo</v>
          </cell>
          <cell r="B2324" t="str">
            <v>te's Exo</v>
          </cell>
          <cell r="C2324" t="str">
            <v>Daizo Dee Von, EvilGuy0613</v>
          </cell>
          <cell r="D2324">
            <v>0</v>
          </cell>
          <cell r="E2324" t="str">
            <v>Intermediate</v>
          </cell>
          <cell r="F2324" t="str">
            <v>Standard</v>
          </cell>
          <cell r="G2324">
            <v>45762</v>
          </cell>
          <cell r="H2324" t="str">
            <v>39548</v>
          </cell>
          <cell r="I2324" t="str">
            <v>https://www.smwcentral.net/?a=details&amp;id=39548&amp;p=section</v>
          </cell>
          <cell r="J2324" t="str">
            <v>https://dl.smwcentral.net/39548/%5BHack%5D%20TE%27S%20EXO%20%28v1.01%29.zip</v>
          </cell>
        </row>
        <row r="2325">
          <cell r="A2325" t="str">
            <v>Teamwork Mario</v>
          </cell>
          <cell r="B2325" t="str">
            <v>Teamwork Mario</v>
          </cell>
          <cell r="C2325" t="str">
            <v>Sammmoo</v>
          </cell>
          <cell r="D2325">
            <v>8</v>
          </cell>
          <cell r="E2325" t="str">
            <v>Expert</v>
          </cell>
          <cell r="F2325" t="str">
            <v>Kaizo</v>
          </cell>
          <cell r="G2325">
            <v>45244</v>
          </cell>
          <cell r="H2325" t="str">
            <v>35502</v>
          </cell>
          <cell r="I2325" t="str">
            <v>https://www.smwcentral.net/?a=details&amp;id=35502&amp;p=section</v>
          </cell>
          <cell r="J2325" t="str">
            <v>https://dl.smwcentral.net/35502/Teamwork%20Mario.zip</v>
          </cell>
        </row>
        <row r="2326">
          <cell r="A2326" t="str">
            <v>Tears Joy and Happiness v1.1</v>
          </cell>
          <cell r="B2326" t="str">
            <v>Tears Joy and Happiness v1.1</v>
          </cell>
          <cell r="C2326" t="str">
            <v>Jukeboxi_</v>
          </cell>
          <cell r="D2326">
            <v>21</v>
          </cell>
          <cell r="E2326" t="str">
            <v>Master</v>
          </cell>
          <cell r="F2326" t="str">
            <v>Kaizo</v>
          </cell>
          <cell r="G2326">
            <v>46215</v>
          </cell>
          <cell r="H2326" t="str">
            <v>42509</v>
          </cell>
          <cell r="I2326" t="str">
            <v>https://www.smwcentral.net/?a=details&amp;id=42509&amp;p=section</v>
          </cell>
          <cell r="J2326" t="str">
            <v>https://dl.smwcentral.net/42509/tearsjoyandhappiness.zip</v>
          </cell>
        </row>
        <row r="2327">
          <cell r="A2327" t="str">
            <v>Tebeo</v>
          </cell>
          <cell r="B2327" t="str">
            <v>Tebeo</v>
          </cell>
          <cell r="C2327" t="str">
            <v>Nirv</v>
          </cell>
          <cell r="D2327">
            <v>24</v>
          </cell>
          <cell r="E2327" t="str">
            <v>Expert</v>
          </cell>
          <cell r="F2327" t="str">
            <v>Kaizo</v>
          </cell>
          <cell r="G2327">
            <v>44163</v>
          </cell>
          <cell r="H2327" t="str">
            <v>25215</v>
          </cell>
          <cell r="I2327" t="str">
            <v>https://www.smwcentral.net/?a=details&amp;id=25215&amp;p=section</v>
          </cell>
          <cell r="J2327" t="str">
            <v>https://dl.smwcentral.net/25215/Tebeo.bps.zip</v>
          </cell>
        </row>
        <row r="2328">
          <cell r="A2328" t="str">
            <v>Tebeo 2</v>
          </cell>
          <cell r="B2328" t="str">
            <v>Tebeo 2</v>
          </cell>
          <cell r="C2328" t="str">
            <v>Nirv</v>
          </cell>
          <cell r="D2328">
            <v>20</v>
          </cell>
          <cell r="E2328" t="str">
            <v>Expert</v>
          </cell>
          <cell r="F2328" t="str">
            <v>Kaizo</v>
          </cell>
          <cell r="G2328">
            <v>44366</v>
          </cell>
          <cell r="H2328" t="str">
            <v>27311</v>
          </cell>
          <cell r="I2328" t="str">
            <v>https://www.smwcentral.net/?a=details&amp;id=27311&amp;p=section</v>
          </cell>
          <cell r="J2328" t="str">
            <v>https://dl.smwcentral.net/27311/Tebeo%202.zip</v>
          </cell>
        </row>
        <row r="2329">
          <cell r="A2329" t="str">
            <v>Technicolor Mario World</v>
          </cell>
          <cell r="B2329" t="str">
            <v>Technicolor Mario World</v>
          </cell>
          <cell r="C2329" t="str">
            <v>Green Jerry</v>
          </cell>
          <cell r="D2329">
            <v>16</v>
          </cell>
          <cell r="E2329" t="str">
            <v>Casual</v>
          </cell>
          <cell r="F2329" t="str">
            <v>Standard</v>
          </cell>
          <cell r="G2329">
            <v>43859</v>
          </cell>
          <cell r="H2329" t="str">
            <v>21873</v>
          </cell>
          <cell r="I2329" t="str">
            <v>https://www.smwcentral.net/?a=details&amp;id=21873&amp;p=section</v>
          </cell>
          <cell r="J2329" t="str">
            <v>https://dl.smwcentral.net/21873/Technicolor%20Mario%20World%20-%20Demo%202%20%28Bug%20Fix%203%29.zip</v>
          </cell>
        </row>
        <row r="2330">
          <cell r="A2330" t="str">
            <v>Teh Hack</v>
          </cell>
          <cell r="B2330" t="str">
            <v>Teh Hack</v>
          </cell>
          <cell r="C2330" t="str">
            <v>sugar</v>
          </cell>
          <cell r="D2330">
            <v>5</v>
          </cell>
          <cell r="E2330" t="str">
            <v>Casual</v>
          </cell>
          <cell r="F2330" t="str">
            <v>Standard</v>
          </cell>
          <cell r="G2330">
            <v>42248</v>
          </cell>
          <cell r="H2330" t="str">
            <v>10071</v>
          </cell>
          <cell r="I2330" t="str">
            <v>https://www.smwcentral.net/?a=details&amp;id=10071&amp;p=section</v>
          </cell>
          <cell r="J2330" t="str">
            <v>https://dl.smwcentral.net/10071/Teh%20Hack.zip</v>
          </cell>
        </row>
        <row r="2331">
          <cell r="A2331" t="str">
            <v>Teh Hack 2</v>
          </cell>
          <cell r="B2331" t="str">
            <v>Teh Hack 2</v>
          </cell>
          <cell r="C2331" t="str">
            <v>sugar</v>
          </cell>
          <cell r="D2331">
            <v>26</v>
          </cell>
          <cell r="E2331" t="str">
            <v>Casual</v>
          </cell>
          <cell r="F2331" t="str">
            <v>Standard</v>
          </cell>
          <cell r="G2331">
            <v>42223</v>
          </cell>
          <cell r="H2331" t="str">
            <v>10169</v>
          </cell>
          <cell r="I2331" t="str">
            <v>https://www.smwcentral.net/?a=details&amp;id=10169&amp;p=section</v>
          </cell>
          <cell r="J2331" t="str">
            <v>https://dl.smwcentral.net/10169/tehhack.zip</v>
          </cell>
        </row>
        <row r="2332">
          <cell r="A2332" t="str">
            <v>Ten</v>
          </cell>
          <cell r="B2332" t="str">
            <v>Ten</v>
          </cell>
          <cell r="C2332" t="str">
            <v>Gamma V</v>
          </cell>
          <cell r="D2332">
            <v>10</v>
          </cell>
          <cell r="E2332" t="str">
            <v>Casual</v>
          </cell>
          <cell r="F2332" t="str">
            <v>Standard</v>
          </cell>
          <cell r="G2332">
            <v>43904</v>
          </cell>
          <cell r="H2332" t="str">
            <v>22304</v>
          </cell>
          <cell r="I2332" t="str">
            <v>https://www.smwcentral.net/?a=details&amp;id=22304&amp;p=section</v>
          </cell>
          <cell r="J2332" t="str">
            <v>https://dl.smwcentral.net/22304/TEN.zip</v>
          </cell>
        </row>
        <row r="2333">
          <cell r="A2333" t="str">
            <v>TEN A-Side</v>
          </cell>
          <cell r="B2333" t="str">
            <v>TEN A-Side</v>
          </cell>
          <cell r="C2333" t="str">
            <v>Big Brawler</v>
          </cell>
          <cell r="D2333">
            <v>10</v>
          </cell>
          <cell r="E2333" t="str">
            <v>Advanced</v>
          </cell>
          <cell r="F2333" t="str">
            <v>Standard</v>
          </cell>
          <cell r="G2333">
            <v>44927</v>
          </cell>
          <cell r="H2333" t="str">
            <v>32788</v>
          </cell>
          <cell r="I2333" t="str">
            <v>https://www.smwcentral.net/?a=details&amp;id=32788&amp;p=section</v>
          </cell>
          <cell r="J2333" t="str">
            <v>https://dl.smwcentral.net/32788/TEN%20v1.2b.zip</v>
          </cell>
        </row>
        <row r="2334">
          <cell r="A2334" t="str">
            <v>TEN B-Side</v>
          </cell>
          <cell r="B2334" t="str">
            <v>TEN B-Side</v>
          </cell>
          <cell r="C2334" t="str">
            <v>Big Brawler</v>
          </cell>
          <cell r="D2334">
            <v>10</v>
          </cell>
          <cell r="E2334" t="str">
            <v>Advanced</v>
          </cell>
          <cell r="F2334" t="str">
            <v>Standard</v>
          </cell>
          <cell r="G2334">
            <v>44980</v>
          </cell>
          <cell r="H2334" t="str">
            <v>33142</v>
          </cell>
          <cell r="I2334" t="str">
            <v>https://www.smwcentral.net/?a=details&amp;id=33142&amp;p=section</v>
          </cell>
          <cell r="J2334" t="str">
            <v>https://dl.smwcentral.net/33142/Ten%20B-Side.zip</v>
          </cell>
        </row>
        <row r="2335">
          <cell r="A2335" t="str">
            <v>Terminus</v>
          </cell>
          <cell r="B2335" t="str">
            <v>Terminus</v>
          </cell>
          <cell r="C2335" t="str">
            <v>Kr00mmi</v>
          </cell>
          <cell r="D2335">
            <v>11</v>
          </cell>
          <cell r="E2335" t="str">
            <v>Advanced</v>
          </cell>
          <cell r="F2335" t="str">
            <v>Kaizo</v>
          </cell>
          <cell r="G2335">
            <v>43532</v>
          </cell>
          <cell r="H2335" t="str">
            <v>19261</v>
          </cell>
          <cell r="I2335" t="str">
            <v>https://www.smwcentral.net/?a=details&amp;id=19261&amp;p=section</v>
          </cell>
          <cell r="J2335" t="str">
            <v>https://dl.smwcentral.net/19261/Terminus1.1.zip</v>
          </cell>
        </row>
        <row r="2336">
          <cell r="A2336" t="str">
            <v>Terminus 2</v>
          </cell>
          <cell r="B2336" t="str">
            <v>Terminus 2</v>
          </cell>
          <cell r="C2336" t="str">
            <v>Kr00mmi</v>
          </cell>
          <cell r="D2336">
            <v>15</v>
          </cell>
          <cell r="E2336" t="str">
            <v>Expert</v>
          </cell>
          <cell r="F2336" t="str">
            <v>Kaizo</v>
          </cell>
          <cell r="G2336">
            <v>43637</v>
          </cell>
          <cell r="H2336" t="str">
            <v>20208</v>
          </cell>
          <cell r="I2336" t="str">
            <v>https://www.smwcentral.net/?a=details&amp;id=20208&amp;p=section</v>
          </cell>
          <cell r="J2336" t="str">
            <v>https://dl.smwcentral.net/20208/Terminus2RealWithOW.zip</v>
          </cell>
        </row>
        <row r="2337">
          <cell r="A2337" t="str">
            <v>Terra</v>
          </cell>
          <cell r="B2337" t="str">
            <v>Terra</v>
          </cell>
          <cell r="C2337" t="str">
            <v>Dobosco</v>
          </cell>
          <cell r="D2337">
            <v>21</v>
          </cell>
          <cell r="E2337" t="str">
            <v>Expert</v>
          </cell>
          <cell r="F2337" t="str">
            <v>Kaizo</v>
          </cell>
          <cell r="G2337">
            <v>44183</v>
          </cell>
          <cell r="H2337" t="str">
            <v>25475</v>
          </cell>
          <cell r="I2337" t="str">
            <v>https://www.smwcentral.net/?a=details&amp;id=25475&amp;p=section</v>
          </cell>
          <cell r="J2337" t="str">
            <v>https://dl.smwcentral.net/25475/Terra1.0.zip</v>
          </cell>
        </row>
        <row r="2338">
          <cell r="A2338" t="str">
            <v>Terraria</v>
          </cell>
          <cell r="B2338" t="str">
            <v>Terraria</v>
          </cell>
          <cell r="C2338" t="str">
            <v>Windveil</v>
          </cell>
          <cell r="D2338">
            <v>4</v>
          </cell>
          <cell r="E2338" t="str">
            <v>Casual</v>
          </cell>
          <cell r="F2338" t="str">
            <v>Standard</v>
          </cell>
          <cell r="G2338">
            <v>42207</v>
          </cell>
          <cell r="H2338" t="str">
            <v>10031</v>
          </cell>
          <cell r="I2338" t="str">
            <v>https://www.smwcentral.net/?a=details&amp;id=10031&amp;p=section</v>
          </cell>
          <cell r="J2338" t="str">
            <v>https://dl.smwcentral.net/10031/Terraria.zip</v>
          </cell>
        </row>
        <row r="2339">
          <cell r="A2339" t="str">
            <v>TERRIBLE</v>
          </cell>
          <cell r="B2339" t="str">
            <v>TERRIBLE</v>
          </cell>
          <cell r="C2339" t="str">
            <v>Lmao</v>
          </cell>
          <cell r="D2339">
            <v>12</v>
          </cell>
          <cell r="E2339" t="str">
            <v>Casual</v>
          </cell>
          <cell r="F2339" t="str">
            <v>Standard</v>
          </cell>
          <cell r="G2339">
            <v>45461</v>
          </cell>
          <cell r="H2339" t="str">
            <v>37971</v>
          </cell>
          <cell r="I2339" t="str">
            <v>https://www.smwcentral.net/?a=details&amp;id=37971&amp;p=section</v>
          </cell>
          <cell r="J2339" t="str">
            <v>https://dl.smwcentral.net/37971/Tbuild11.zip</v>
          </cell>
        </row>
        <row r="2340">
          <cell r="A2340" t="str">
            <v>test.smc | The old and new Mario World</v>
          </cell>
          <cell r="B2340" t="str">
            <v>test.smc | The old and new Mario World</v>
          </cell>
          <cell r="C2340" t="str">
            <v>yogui</v>
          </cell>
          <cell r="D2340">
            <v>41</v>
          </cell>
          <cell r="E2340" t="str">
            <v>Intermediate</v>
          </cell>
          <cell r="F2340" t="str">
            <v>Standard</v>
          </cell>
          <cell r="G2340">
            <v>42348</v>
          </cell>
          <cell r="H2340" t="str">
            <v>12810</v>
          </cell>
          <cell r="I2340" t="str">
            <v>https://www.smwcentral.net/?a=details&amp;id=12810&amp;p=section</v>
          </cell>
          <cell r="J2340" t="str">
            <v>https://dl.smwcentral.net/12810/test.zip</v>
          </cell>
        </row>
        <row r="2341">
          <cell r="A2341" t="str">
            <v>Thanks, I hate it</v>
          </cell>
          <cell r="B2341" t="str">
            <v>Thanks, I hate it</v>
          </cell>
          <cell r="C2341" t="str">
            <v>Captain_Hacko</v>
          </cell>
          <cell r="D2341">
            <v>5</v>
          </cell>
          <cell r="E2341" t="str">
            <v>Advanced</v>
          </cell>
          <cell r="F2341" t="str">
            <v>Kaizo</v>
          </cell>
          <cell r="G2341">
            <v>44760</v>
          </cell>
          <cell r="H2341" t="str">
            <v>31520</v>
          </cell>
          <cell r="I2341" t="str">
            <v>https://www.smwcentral.net/?a=details&amp;id=31520&amp;p=section</v>
          </cell>
          <cell r="J2341" t="str">
            <v>https://dl.smwcentral.net/31520/TIHI.zip</v>
          </cell>
        </row>
        <row r="2342">
          <cell r="A2342" t="str">
            <v>Thanksgiving Hack</v>
          </cell>
          <cell r="B2342" t="str">
            <v>Thanksgiving Hack</v>
          </cell>
          <cell r="C2342" t="str">
            <v>Golden Yoshi</v>
          </cell>
          <cell r="D2342">
            <v>6</v>
          </cell>
          <cell r="E2342" t="str">
            <v>Intermediate</v>
          </cell>
          <cell r="F2342" t="str">
            <v>Standard</v>
          </cell>
          <cell r="G2342">
            <v>45960</v>
          </cell>
          <cell r="H2342" t="str">
            <v>40909</v>
          </cell>
          <cell r="I2342" t="str">
            <v>https://www.smwcentral.net/?a=details&amp;id=40909&amp;p=section</v>
          </cell>
          <cell r="J2342" t="str">
            <v>https://dl.smwcentral.net/40909/Thanksgiving%20Hack.zip</v>
          </cell>
        </row>
        <row r="2343">
          <cell r="A2343" t="str">
            <v>The 11th Annual Vanilla Level Design Contest: Compilation Hack</v>
          </cell>
          <cell r="B2343" t="str">
            <v>The 11th Annual Vanilla Level Design Contest: Compilation Hack</v>
          </cell>
          <cell r="C2343" t="str">
            <v>AnEvilGhost, SMW Central, Stivi</v>
          </cell>
          <cell r="D2343">
            <v>116</v>
          </cell>
          <cell r="E2343" t="str">
            <v>Intermediate</v>
          </cell>
          <cell r="F2343" t="str">
            <v>Standard</v>
          </cell>
          <cell r="G2343">
            <v>44706</v>
          </cell>
          <cell r="H2343" t="str">
            <v>30173</v>
          </cell>
          <cell r="I2343" t="str">
            <v>https://www.smwcentral.net/?a=details&amp;id=30173&amp;p=section</v>
          </cell>
          <cell r="J2343" t="str">
            <v>https://dl.smwcentral.net/30173/VLDC11_1.4.zip</v>
          </cell>
        </row>
        <row r="2344">
          <cell r="A2344" t="str">
            <v>The 12th Annual Vanilla Level Design Contest: Compilation Hack</v>
          </cell>
          <cell r="B2344" t="str">
            <v>The 12th Annual Vanilla Level Design Contest: Compilation Hack</v>
          </cell>
          <cell r="C2344" t="str">
            <v>AnEvilGhost, SMW Central, Stivi</v>
          </cell>
          <cell r="D2344">
            <v>131</v>
          </cell>
          <cell r="E2344" t="str">
            <v>Intermediate</v>
          </cell>
          <cell r="F2344" t="str">
            <v>Standard</v>
          </cell>
          <cell r="G2344">
            <v>44879</v>
          </cell>
          <cell r="H2344" t="str">
            <v>32572</v>
          </cell>
          <cell r="I2344" t="str">
            <v>https://www.smwcentral.net/?a=details&amp;id=32572&amp;p=section</v>
          </cell>
          <cell r="J2344" t="str">
            <v>https://dl.smwcentral.net/32572/VLDC12_1.07.zip</v>
          </cell>
        </row>
        <row r="2345">
          <cell r="A2345" t="str">
            <v>The 1st Annual Vanilla Level Design Contest: Compilation Hack</v>
          </cell>
          <cell r="B2345" t="str">
            <v>The 1st Annual Vanilla Level Design Contest: Compilation Hack</v>
          </cell>
          <cell r="C2345" t="str">
            <v>SMW Central</v>
          </cell>
          <cell r="D2345">
            <v>76</v>
          </cell>
          <cell r="E2345" t="str">
            <v>Intermediate</v>
          </cell>
          <cell r="F2345" t="str">
            <v>Standard</v>
          </cell>
          <cell r="G2345">
            <v>42583</v>
          </cell>
          <cell r="H2345" t="str">
            <v>13947</v>
          </cell>
          <cell r="I2345" t="str">
            <v>https://www.smwcentral.net/?a=details&amp;id=13947&amp;p=section</v>
          </cell>
          <cell r="J2345" t="str">
            <v>https://dl.smwcentral.net/13947/VLDC1.zip</v>
          </cell>
        </row>
        <row r="2346">
          <cell r="A2346" t="str">
            <v>The 1st Old-School Level Design Contest: Compilation Hack</v>
          </cell>
          <cell r="B2346" t="str">
            <v>The 1st Old-School Level Design Contest: Compilation Hack</v>
          </cell>
          <cell r="C2346" t="str">
            <v>SMW Central</v>
          </cell>
          <cell r="D2346">
            <v>113</v>
          </cell>
          <cell r="E2346" t="str">
            <v>Intermediate</v>
          </cell>
          <cell r="F2346" t="str">
            <v>Standard</v>
          </cell>
          <cell r="G2346">
            <v>43280</v>
          </cell>
          <cell r="H2346" t="str">
            <v>17706</v>
          </cell>
          <cell r="I2346" t="str">
            <v>https://www.smwcentral.net/?a=details&amp;id=17706&amp;p=section</v>
          </cell>
          <cell r="J2346" t="str">
            <v>https://dl.smwcentral.net/17706/2017%20OLDC%20v1.1.zip</v>
          </cell>
        </row>
        <row r="2347">
          <cell r="A2347" t="str">
            <v>The 2nd Old-School Level Design Contest: Compilation Hack</v>
          </cell>
          <cell r="B2347" t="str">
            <v>The 2nd Old-School Level Design Contest: Compilation Hack</v>
          </cell>
          <cell r="C2347" t="str">
            <v>SMW Central</v>
          </cell>
          <cell r="D2347">
            <v>150</v>
          </cell>
          <cell r="E2347" t="str">
            <v>Intermediate</v>
          </cell>
          <cell r="F2347" t="str">
            <v>Standard</v>
          </cell>
          <cell r="G2347">
            <v>44868</v>
          </cell>
          <cell r="H2347" t="str">
            <v>32409</v>
          </cell>
          <cell r="I2347" t="str">
            <v>https://www.smwcentral.net/?a=details&amp;id=32409&amp;p=section</v>
          </cell>
          <cell r="J2347" t="str">
            <v>https://dl.smwcentral.net/32409/OLDC2_1.02.zip</v>
          </cell>
        </row>
        <row r="2348">
          <cell r="A2348" t="str">
            <v>The 3 Little Princesses</v>
          </cell>
          <cell r="B2348" t="str">
            <v>The 3 Little Princesses</v>
          </cell>
          <cell r="C2348" t="str">
            <v>Batata Douce, OrangeBronzeDaisy</v>
          </cell>
          <cell r="D2348">
            <v>27</v>
          </cell>
          <cell r="E2348" t="str">
            <v>Intermediate</v>
          </cell>
          <cell r="F2348" t="str">
            <v>Standard</v>
          </cell>
          <cell r="G2348">
            <v>44581</v>
          </cell>
          <cell r="H2348" t="str">
            <v>29409</v>
          </cell>
          <cell r="I2348" t="str">
            <v>https://www.smwcentral.net/?a=details&amp;id=29409&amp;p=section</v>
          </cell>
          <cell r="J2348" t="str">
            <v>https://dl.smwcentral.net/29409/The_3_Little_Princesses.zip</v>
          </cell>
        </row>
        <row r="2349">
          <cell r="A2349" t="str">
            <v>The 4 Heroes Of The Great Land</v>
          </cell>
          <cell r="B2349" t="str">
            <v>The 4 Heroes Of The Great Land</v>
          </cell>
          <cell r="C2349" t="str">
            <v>Gamet2004</v>
          </cell>
          <cell r="D2349">
            <v>37</v>
          </cell>
          <cell r="E2349" t="str">
            <v>Advanced</v>
          </cell>
          <cell r="F2349" t="str">
            <v>Standard</v>
          </cell>
          <cell r="G2349">
            <v>45900</v>
          </cell>
          <cell r="H2349" t="str">
            <v>40281</v>
          </cell>
          <cell r="I2349" t="str">
            <v>https://www.smwcentral.net/?a=details&amp;id=40281&amp;p=section</v>
          </cell>
          <cell r="J2349" t="str">
            <v>https://dl.smwcentral.net/40281/4heroesforever.zip</v>
          </cell>
        </row>
        <row r="2350">
          <cell r="A2350" t="str">
            <v>The 4 Keys of Safety</v>
          </cell>
          <cell r="B2350" t="str">
            <v>The 4 Keys of Safety</v>
          </cell>
          <cell r="C2350" t="str">
            <v>Koelkast</v>
          </cell>
          <cell r="D2350">
            <v>6</v>
          </cell>
          <cell r="E2350" t="str">
            <v>Newcomer</v>
          </cell>
          <cell r="F2350" t="str">
            <v>Standard</v>
          </cell>
          <cell r="G2350">
            <v>42235</v>
          </cell>
          <cell r="H2350" t="str">
            <v>9907</v>
          </cell>
          <cell r="I2350" t="str">
            <v>https://www.smwcentral.net/?a=details&amp;id=9907&amp;p=section</v>
          </cell>
          <cell r="J2350" t="str">
            <v>https://dl.smwcentral.net/9907/The%204%20Keys%20of%20Safety%20Demo%20FIX.zip</v>
          </cell>
        </row>
        <row r="2351">
          <cell r="A2351" t="str">
            <v>The 5 Dragon Gems</v>
          </cell>
          <cell r="B2351" t="str">
            <v>The 5 Dragon Gems</v>
          </cell>
          <cell r="C2351" t="str">
            <v>Robju</v>
          </cell>
          <cell r="D2351">
            <v>10</v>
          </cell>
          <cell r="E2351" t="str">
            <v>Casual</v>
          </cell>
          <cell r="F2351" t="str">
            <v>Standard</v>
          </cell>
          <cell r="G2351">
            <v>42102</v>
          </cell>
          <cell r="H2351" t="str">
            <v>9779</v>
          </cell>
          <cell r="I2351" t="str">
            <v>https://www.smwcentral.net/?a=details&amp;id=9779&amp;p=section</v>
          </cell>
          <cell r="J2351" t="str">
            <v>https://dl.smwcentral.net/9779/5%20Dragon%20Gems.zip</v>
          </cell>
        </row>
        <row r="2352">
          <cell r="A2352" t="str">
            <v>The 5 Keys</v>
          </cell>
          <cell r="B2352" t="str">
            <v>The 5 Keys</v>
          </cell>
          <cell r="C2352" t="str">
            <v>iyanzakai10</v>
          </cell>
          <cell r="D2352">
            <v>5</v>
          </cell>
          <cell r="E2352" t="str">
            <v>Newcomer</v>
          </cell>
          <cell r="F2352" t="str">
            <v>Standard</v>
          </cell>
          <cell r="G2352">
            <v>42311</v>
          </cell>
          <cell r="H2352" t="str">
            <v>10158</v>
          </cell>
          <cell r="I2352" t="str">
            <v>https://www.smwcentral.net/?a=details&amp;id=10158&amp;p=section</v>
          </cell>
          <cell r="J2352" t="str">
            <v>https://dl.smwcentral.net/10158/The%205%20Keys%20-%28DEMO%29-.zip</v>
          </cell>
        </row>
        <row r="2353">
          <cell r="A2353" t="str">
            <v>The 6th Annual Vanilla Level Design Contest: Compilation Hack</v>
          </cell>
          <cell r="B2353" t="str">
            <v>The 6th Annual Vanilla Level Design Contest: Compilation Hack</v>
          </cell>
          <cell r="C2353" t="str">
            <v>SMW Central</v>
          </cell>
          <cell r="D2353">
            <v>114</v>
          </cell>
          <cell r="E2353" t="str">
            <v>Intermediate</v>
          </cell>
          <cell r="F2353" t="str">
            <v>Standard</v>
          </cell>
          <cell r="G2353">
            <v>45498</v>
          </cell>
          <cell r="H2353" t="str">
            <v>38000</v>
          </cell>
          <cell r="I2353" t="str">
            <v>https://www.smwcentral.net/?a=details&amp;id=38000&amp;p=section</v>
          </cell>
          <cell r="J2353" t="str">
            <v>https://dl.smwcentral.net/38000/vldc6%20v1.1.zip</v>
          </cell>
        </row>
        <row r="2354">
          <cell r="A2354" t="str">
            <v>The 7th Annual Vanilla Level Design Contest: Compilation Hack</v>
          </cell>
          <cell r="B2354" t="str">
            <v>The 7th Annual Vanilla Level Design Contest: Compilation Hack</v>
          </cell>
          <cell r="C2354" t="str">
            <v>SMW Central</v>
          </cell>
          <cell r="D2354">
            <v>86</v>
          </cell>
          <cell r="E2354" t="str">
            <v>Intermediate</v>
          </cell>
          <cell r="F2354" t="str">
            <v>Standard</v>
          </cell>
          <cell r="G2354">
            <v>41831</v>
          </cell>
          <cell r="H2354" t="str">
            <v>6872</v>
          </cell>
          <cell r="I2354" t="str">
            <v>https://www.smwcentral.net/?a=details&amp;id=6872&amp;p=section</v>
          </cell>
          <cell r="J2354" t="str">
            <v>https://dl.smwcentral.net/6872/VLDC_2014.zip</v>
          </cell>
        </row>
        <row r="2355">
          <cell r="A2355" t="str">
            <v>The 8th Annual Vanilla Level Design Contest: Compilation Hack</v>
          </cell>
          <cell r="B2355" t="str">
            <v>The 8th Annual Vanilla Level Design Contest: Compilation Hack</v>
          </cell>
          <cell r="C2355" t="str">
            <v>SMW Central</v>
          </cell>
          <cell r="D2355">
            <v>121</v>
          </cell>
          <cell r="E2355" t="str">
            <v>Advanced</v>
          </cell>
          <cell r="F2355" t="str">
            <v>Standard</v>
          </cell>
          <cell r="G2355">
            <v>42121</v>
          </cell>
          <cell r="H2355" t="str">
            <v>11254</v>
          </cell>
          <cell r="I2355" t="str">
            <v>https://www.smwcentral.net/?a=details&amp;id=11254&amp;p=section</v>
          </cell>
          <cell r="J2355" t="str">
            <v>https://dl.smwcentral.net/11254/vldc8_1.2.zip</v>
          </cell>
        </row>
        <row r="2356">
          <cell r="A2356" t="str">
            <v>The 9th Annual Vanilla Level Design Contest: Compilation Hack</v>
          </cell>
          <cell r="B2356" t="str">
            <v>The 9th Annual Vanilla Level Design Contest: Compilation Hack</v>
          </cell>
          <cell r="C2356" t="str">
            <v>SMW Central</v>
          </cell>
          <cell r="D2356">
            <v>152</v>
          </cell>
          <cell r="E2356" t="str">
            <v>Advanced</v>
          </cell>
          <cell r="F2356" t="str">
            <v>Standard</v>
          </cell>
          <cell r="G2356">
            <v>42725</v>
          </cell>
          <cell r="H2356" t="str">
            <v>14812</v>
          </cell>
          <cell r="I2356" t="str">
            <v>https://www.smwcentral.net/?a=details&amp;id=14812&amp;p=section</v>
          </cell>
          <cell r="J2356" t="str">
            <v>https://dl.smwcentral.net/14812/VLDC9%20v1.11.zip</v>
          </cell>
        </row>
        <row r="2357">
          <cell r="A2357" t="str">
            <v>The Adventures of Bucken Berry and Ala-Gold</v>
          </cell>
          <cell r="B2357" t="str">
            <v>The Adventures of Bucken Berry and Ala-Gold</v>
          </cell>
          <cell r="C2357" t="str">
            <v>bandicoot</v>
          </cell>
          <cell r="D2357">
            <v>93</v>
          </cell>
          <cell r="E2357" t="str">
            <v>Intermediate</v>
          </cell>
          <cell r="F2357" t="str">
            <v>Standard</v>
          </cell>
          <cell r="G2357">
            <v>45800</v>
          </cell>
          <cell r="H2357" t="str">
            <v>39808</v>
          </cell>
          <cell r="I2357" t="str">
            <v>https://www.smwcentral.net/?a=details&amp;id=39808&amp;p=section</v>
          </cell>
          <cell r="J2357" t="str">
            <v>https://dl.smwcentral.net/39808/The%20Adventures%20of%20Bucken%20Berry%20and%20ala-Gold%201.3.zip</v>
          </cell>
        </row>
        <row r="2358">
          <cell r="A2358" t="str">
            <v>The Adventures Of Super Mario</v>
          </cell>
          <cell r="B2358" t="str">
            <v>The Adventures Of Super Mario</v>
          </cell>
          <cell r="C2358" t="str">
            <v>1xsonic</v>
          </cell>
          <cell r="D2358">
            <v>6</v>
          </cell>
          <cell r="E2358" t="str">
            <v>Newcomer</v>
          </cell>
          <cell r="F2358" t="str">
            <v>Standard</v>
          </cell>
          <cell r="G2358">
            <v>42339</v>
          </cell>
          <cell r="H2358" t="str">
            <v>10195</v>
          </cell>
          <cell r="I2358" t="str">
            <v>https://www.smwcentral.net/?a=details&amp;id=10195&amp;p=section</v>
          </cell>
          <cell r="J2358" t="str">
            <v>https://dl.smwcentral.net/10195/The%20Adventures%20Of%20Super%20Mario.zip</v>
          </cell>
        </row>
        <row r="2359">
          <cell r="A2359" t="str">
            <v>The Amazing Autowalk Adventure</v>
          </cell>
          <cell r="B2359" t="str">
            <v>The Amazing Autowalk Adventure</v>
          </cell>
          <cell r="C2359" t="str">
            <v>xHF01x</v>
          </cell>
          <cell r="D2359">
            <v>14</v>
          </cell>
          <cell r="E2359" t="str">
            <v>Master</v>
          </cell>
          <cell r="F2359" t="str">
            <v>Kaizo</v>
          </cell>
          <cell r="G2359">
            <v>45447</v>
          </cell>
          <cell r="H2359" t="str">
            <v>37781</v>
          </cell>
          <cell r="I2359" t="str">
            <v>https://www.smwcentral.net/?a=details&amp;id=37781&amp;p=section</v>
          </cell>
          <cell r="J2359" t="str">
            <v>https://dl.smwcentral.net/37781/Autowalk_1.1.zip</v>
          </cell>
        </row>
        <row r="2360">
          <cell r="A2360" t="str">
            <v>The Art of Shells</v>
          </cell>
          <cell r="B2360" t="str">
            <v>The Art of Shells</v>
          </cell>
          <cell r="C2360" t="str">
            <v>Riu_69</v>
          </cell>
          <cell r="D2360">
            <v>10</v>
          </cell>
          <cell r="E2360" t="str">
            <v>Expert</v>
          </cell>
          <cell r="F2360" t="str">
            <v>Kaizo</v>
          </cell>
          <cell r="G2360">
            <v>45941</v>
          </cell>
          <cell r="H2360" t="str">
            <v>40765</v>
          </cell>
          <cell r="I2360" t="str">
            <v>https://www.smwcentral.net/?a=details&amp;id=40765&amp;p=section</v>
          </cell>
          <cell r="J2360" t="str">
            <v>https://dl.smwcentral.net/40765/The%20Art%20of%20Shells.zip</v>
          </cell>
        </row>
        <row r="2361">
          <cell r="A2361" t="str">
            <v>The artifacts of marvelous birds</v>
          </cell>
          <cell r="B2361" t="str">
            <v>The artifacts of marvelous birds</v>
          </cell>
          <cell r="C2361" t="str">
            <v>exit1337</v>
          </cell>
          <cell r="D2361">
            <v>45</v>
          </cell>
          <cell r="E2361" t="str">
            <v>Casual</v>
          </cell>
          <cell r="F2361" t="str">
            <v>Standard</v>
          </cell>
          <cell r="G2361">
            <v>43218</v>
          </cell>
          <cell r="H2361" t="str">
            <v>17437</v>
          </cell>
          <cell r="I2361" t="str">
            <v>https://www.smwcentral.net/?a=details&amp;id=17437&amp;p=section</v>
          </cell>
          <cell r="J2361" t="str">
            <v>https://dl.smwcentral.net/17437/The%20artifacts%20of%20marvelous%20birds%20-%20Demo%203.zip</v>
          </cell>
        </row>
        <row r="2362">
          <cell r="A2362" t="str">
            <v>The Baby Rescue - Starring Yoshi &amp; Friends!</v>
          </cell>
          <cell r="B2362" t="str">
            <v>The Baby Rescue - Starring Yoshi &amp; Friends!</v>
          </cell>
          <cell r="C2362" t="str">
            <v>P1JDS</v>
          </cell>
          <cell r="D2362">
            <v>10</v>
          </cell>
          <cell r="E2362" t="str">
            <v>Advanced</v>
          </cell>
          <cell r="F2362" t="str">
            <v>Kaizo</v>
          </cell>
          <cell r="G2362">
            <v>45078</v>
          </cell>
          <cell r="H2362" t="str">
            <v>34022</v>
          </cell>
          <cell r="I2362" t="str">
            <v>https://www.smwcentral.net/?a=details&amp;id=34022&amp;p=section</v>
          </cell>
          <cell r="J2362" t="str">
            <v>https://dl.smwcentral.net/34022/The%20Baby%20Rescue%20-%20Starring%20Yoshi%20%26%20Friends%21.zip</v>
          </cell>
        </row>
        <row r="2363">
          <cell r="A2363" t="str">
            <v>The Big Boo's Legion</v>
          </cell>
          <cell r="B2363" t="str">
            <v>The Big Boo's Legion</v>
          </cell>
          <cell r="C2363" t="str">
            <v>Hadron</v>
          </cell>
          <cell r="D2363">
            <v>10</v>
          </cell>
          <cell r="E2363" t="str">
            <v>Newcomer</v>
          </cell>
          <cell r="F2363" t="str">
            <v>Standard</v>
          </cell>
          <cell r="G2363">
            <v>41545</v>
          </cell>
          <cell r="H2363" t="str">
            <v>5260</v>
          </cell>
          <cell r="I2363" t="str">
            <v>https://www.smwcentral.net/?a=details&amp;id=5260&amp;p=section</v>
          </cell>
          <cell r="J2363" t="str">
            <v>https://dl.smwcentral.net/5260/The%20Big%20Boo%27s%20Legion.zip</v>
          </cell>
        </row>
        <row r="2364">
          <cell r="A2364" t="str">
            <v>The Big Boo's Legion 2: The Curse of the Magic Wand</v>
          </cell>
          <cell r="B2364" t="str">
            <v>The Big Boo's Legion 2: The Curse of the Magic Wand</v>
          </cell>
          <cell r="C2364" t="str">
            <v>Hadron</v>
          </cell>
          <cell r="D2364">
            <v>8</v>
          </cell>
          <cell r="E2364" t="str">
            <v>Casual</v>
          </cell>
          <cell r="F2364" t="str">
            <v>Standard</v>
          </cell>
          <cell r="G2364">
            <v>41573</v>
          </cell>
          <cell r="H2364" t="str">
            <v>5106</v>
          </cell>
          <cell r="I2364" t="str">
            <v>https://www.smwcentral.net/?a=details&amp;id=5106&amp;p=section</v>
          </cell>
          <cell r="J2364" t="str">
            <v>https://dl.smwcentral.net/5106/The%20Big%20Boo%27s%20Legion%202%20demo.zip</v>
          </cell>
        </row>
        <row r="2365">
          <cell r="A2365" t="str">
            <v>The Big Fish Chrisis</v>
          </cell>
          <cell r="B2365" t="str">
            <v>The Big Fish Chrisis</v>
          </cell>
          <cell r="C2365" t="str">
            <v>Klopenator</v>
          </cell>
          <cell r="D2365">
            <v>3</v>
          </cell>
          <cell r="E2365" t="str">
            <v>Casual</v>
          </cell>
          <cell r="F2365" t="str">
            <v>Standard</v>
          </cell>
          <cell r="G2365">
            <v>42040</v>
          </cell>
          <cell r="H2365" t="str">
            <v>9788</v>
          </cell>
          <cell r="I2365" t="str">
            <v>https://www.smwcentral.net/?a=details&amp;id=9788&amp;p=section</v>
          </cell>
          <cell r="J2365" t="str">
            <v>https://dl.smwcentral.net/9788/The%20Big%20Fish%20Chrisis.zip</v>
          </cell>
        </row>
        <row r="2366">
          <cell r="A2366" t="str">
            <v>The Big Five</v>
          </cell>
          <cell r="B2366" t="str">
            <v>The Big Five</v>
          </cell>
          <cell r="C2366" t="str">
            <v>Atomic-Citrus</v>
          </cell>
          <cell r="D2366">
            <v>5</v>
          </cell>
          <cell r="E2366" t="str">
            <v>Intermediate</v>
          </cell>
          <cell r="F2366" t="str">
            <v>Kaizo, Tool-Assisted</v>
          </cell>
          <cell r="G2366">
            <v>43520</v>
          </cell>
          <cell r="H2366" t="str">
            <v>18962</v>
          </cell>
          <cell r="I2366" t="str">
            <v>https://www.smwcentral.net/?a=details&amp;id=18962&amp;p=section</v>
          </cell>
          <cell r="J2366" t="str">
            <v>https://dl.smwcentral.net/18962/The%20Big%20Five.zip</v>
          </cell>
        </row>
        <row r="2367">
          <cell r="A2367" t="str">
            <v>The Bonus Rooms</v>
          </cell>
          <cell r="B2367" t="str">
            <v>The Bonus Rooms</v>
          </cell>
          <cell r="C2367" t="str">
            <v>Daizo Dee Von</v>
          </cell>
          <cell r="D2367">
            <v>0</v>
          </cell>
          <cell r="E2367" t="str">
            <v>Newcomer</v>
          </cell>
          <cell r="F2367" t="str">
            <v>Standard</v>
          </cell>
          <cell r="G2367">
            <v>45604</v>
          </cell>
          <cell r="H2367" t="str">
            <v>38710</v>
          </cell>
          <cell r="I2367" t="str">
            <v>https://www.smwcentral.net/?a=details&amp;id=38710&amp;p=section</v>
          </cell>
          <cell r="J2367" t="str">
            <v>https://dl.smwcentral.net/38710/%5BHack%5D%20The%20Bonus%20Rooms%20%28Official%29.zip</v>
          </cell>
        </row>
        <row r="2368">
          <cell r="A2368" t="str">
            <v>The Cave of Loathing</v>
          </cell>
          <cell r="B2368" t="str">
            <v>The Cave of Loathing</v>
          </cell>
          <cell r="C2368" t="str">
            <v>NixKillsMyths</v>
          </cell>
          <cell r="D2368">
            <v>1</v>
          </cell>
          <cell r="E2368" t="str">
            <v>Master</v>
          </cell>
          <cell r="F2368" t="str">
            <v>Kaizo</v>
          </cell>
          <cell r="G2368">
            <v>45074</v>
          </cell>
          <cell r="H2368" t="str">
            <v>33977</v>
          </cell>
          <cell r="I2368" t="str">
            <v>https://www.smwcentral.net/?a=details&amp;id=33977&amp;p=section</v>
          </cell>
          <cell r="J2368" t="str">
            <v>https://dl.smwcentral.net/33977/The%20Cave%20of%20Loathing%20%281.0%29.zip</v>
          </cell>
        </row>
        <row r="2369">
          <cell r="A2369" t="str">
            <v>The Cave of Loathing 2</v>
          </cell>
          <cell r="B2369" t="str">
            <v>The Cave of Loathing 2</v>
          </cell>
          <cell r="C2369" t="str">
            <v>NixKillsMyths</v>
          </cell>
          <cell r="D2369">
            <v>1</v>
          </cell>
          <cell r="E2369" t="str">
            <v>Grandmaster</v>
          </cell>
          <cell r="F2369" t="str">
            <v>Kaizo</v>
          </cell>
          <cell r="G2369">
            <v>46000</v>
          </cell>
          <cell r="H2369" t="str">
            <v>40774</v>
          </cell>
          <cell r="I2369" t="str">
            <v>https://www.smwcentral.net/?a=details&amp;id=40774&amp;p=section</v>
          </cell>
          <cell r="J2369" t="str">
            <v>https://dl.smwcentral.net/40774/The%20Cave%20of%20Loathing%202%20%281.0%29.zip</v>
          </cell>
        </row>
        <row r="2370">
          <cell r="A2370" t="str">
            <v>The Chamber of 32 Doors</v>
          </cell>
          <cell r="B2370" t="str">
            <v>The Chamber of 32 Doors</v>
          </cell>
          <cell r="C2370" t="str">
            <v>oyok</v>
          </cell>
          <cell r="D2370">
            <v>0</v>
          </cell>
          <cell r="E2370" t="str">
            <v>Expert</v>
          </cell>
          <cell r="F2370" t="str">
            <v>Kaizo</v>
          </cell>
          <cell r="G2370">
            <v>46090</v>
          </cell>
          <cell r="H2370" t="str">
            <v>41814</v>
          </cell>
          <cell r="I2370" t="str">
            <v>https://www.smwcentral.net/?a=details&amp;id=41814&amp;p=section</v>
          </cell>
          <cell r="J2370" t="str">
            <v>https://dl.smwcentral.net/41814/32.zip</v>
          </cell>
        </row>
        <row r="2371">
          <cell r="A2371" t="str">
            <v>The Clockwork Chronicles</v>
          </cell>
          <cell r="B2371" t="str">
            <v>The Clockwork Chronicles</v>
          </cell>
          <cell r="C2371" t="str">
            <v>Atomic-Citrus</v>
          </cell>
          <cell r="D2371">
            <v>12</v>
          </cell>
          <cell r="E2371" t="str">
            <v>Expert</v>
          </cell>
          <cell r="F2371" t="str">
            <v>Kaizo</v>
          </cell>
          <cell r="G2371">
            <v>43696</v>
          </cell>
          <cell r="H2371" t="str">
            <v>20855</v>
          </cell>
          <cell r="I2371" t="str">
            <v>https://www.smwcentral.net/?a=details&amp;id=20855&amp;p=section</v>
          </cell>
          <cell r="J2371" t="str">
            <v>https://dl.smwcentral.net/20855/The%20Clockwork%20Chronicles.zip</v>
          </cell>
        </row>
        <row r="2372">
          <cell r="A2372" t="str">
            <v>The Coin Hunt</v>
          </cell>
          <cell r="B2372" t="str">
            <v>The Coin Hunt</v>
          </cell>
          <cell r="C2372" t="str">
            <v>wye</v>
          </cell>
          <cell r="D2372">
            <v>6</v>
          </cell>
          <cell r="E2372" t="str">
            <v>Newcomer</v>
          </cell>
          <cell r="F2372" t="str">
            <v>Standard</v>
          </cell>
          <cell r="G2372">
            <v>42027</v>
          </cell>
          <cell r="H2372" t="str">
            <v>10557</v>
          </cell>
          <cell r="I2372" t="str">
            <v>https://www.smwcentral.net/?a=details&amp;id=10557&amp;p=section</v>
          </cell>
          <cell r="J2372" t="str">
            <v>https://dl.smwcentral.net/10557/TheCoinHunt_v1.zip</v>
          </cell>
        </row>
        <row r="2373">
          <cell r="A2373" t="str">
            <v>The Coin Hunt 2</v>
          </cell>
          <cell r="B2373" t="str">
            <v>The Coin Hunt 2</v>
          </cell>
          <cell r="C2373" t="str">
            <v>wye</v>
          </cell>
          <cell r="D2373">
            <v>9</v>
          </cell>
          <cell r="E2373" t="str">
            <v>Casual</v>
          </cell>
          <cell r="F2373" t="str">
            <v>Standard</v>
          </cell>
          <cell r="G2373">
            <v>41701</v>
          </cell>
          <cell r="H2373" t="str">
            <v>6331</v>
          </cell>
          <cell r="I2373" t="str">
            <v>https://www.smwcentral.net/?a=details&amp;id=6331&amp;p=section</v>
          </cell>
          <cell r="J2373" t="str">
            <v>https://dl.smwcentral.net/6331/TheCoinHunt2.zip</v>
          </cell>
        </row>
        <row r="2374">
          <cell r="A2374" t="str">
            <v>The Conventional Isle</v>
          </cell>
          <cell r="B2374" t="str">
            <v>The Conventional Isle</v>
          </cell>
          <cell r="C2374" t="str">
            <v>JeepySol</v>
          </cell>
          <cell r="D2374">
            <v>12</v>
          </cell>
          <cell r="E2374" t="str">
            <v>Expert</v>
          </cell>
          <cell r="F2374" t="str">
            <v>Kaizo</v>
          </cell>
          <cell r="G2374">
            <v>45603</v>
          </cell>
          <cell r="H2374" t="str">
            <v>38682</v>
          </cell>
          <cell r="I2374" t="str">
            <v>https://www.smwcentral.net/?a=details&amp;id=38682&amp;p=section</v>
          </cell>
          <cell r="J2374" t="str">
            <v>https://dl.smwcentral.net/38682/The%20Conventional%20Isle%20v1_1.zip</v>
          </cell>
        </row>
        <row r="2375">
          <cell r="A2375" t="str">
            <v>The Crimson Castle</v>
          </cell>
          <cell r="B2375" t="str">
            <v>The Crimson Castle</v>
          </cell>
          <cell r="C2375" t="str">
            <v>Redspyda9</v>
          </cell>
          <cell r="D2375">
            <v>14</v>
          </cell>
          <cell r="E2375" t="str">
            <v>Master</v>
          </cell>
          <cell r="F2375" t="str">
            <v>Kaizo</v>
          </cell>
          <cell r="G2375">
            <v>46101</v>
          </cell>
          <cell r="H2375" t="str">
            <v>41949</v>
          </cell>
          <cell r="I2375" t="str">
            <v>https://www.smwcentral.net/?a=details&amp;id=41949&amp;p=section</v>
          </cell>
          <cell r="J2375" t="str">
            <v>https://dl.smwcentral.net/41949/The%20Crimson%20Castle.zip</v>
          </cell>
        </row>
        <row r="2376">
          <cell r="A2376" t="str">
            <v>The Darkside REMASTERED</v>
          </cell>
          <cell r="B2376" t="str">
            <v>The Darkside REMASTERED</v>
          </cell>
          <cell r="C2376" t="str">
            <v>Insanit</v>
          </cell>
          <cell r="D2376">
            <v>12</v>
          </cell>
          <cell r="E2376" t="str">
            <v>Expert</v>
          </cell>
          <cell r="F2376" t="str">
            <v>Kaizo</v>
          </cell>
          <cell r="G2376">
            <v>45389</v>
          </cell>
          <cell r="H2376" t="str">
            <v>37477</v>
          </cell>
          <cell r="I2376" t="str">
            <v>https://www.smwcentral.net/?a=details&amp;id=37477&amp;p=section</v>
          </cell>
          <cell r="J2376" t="str">
            <v>https://dl.smwcentral.net/37477/The%20Darkside%20REMASTERED%5B1.3%5D.zip</v>
          </cell>
        </row>
        <row r="2377">
          <cell r="A2377" t="str">
            <v>The Devious Four Chronicles 3: The Crater</v>
          </cell>
          <cell r="B2377" t="str">
            <v>The Devious Four Chronicles 3: The Crater</v>
          </cell>
          <cell r="C2377" t="str">
            <v>Skewer, amhunter</v>
          </cell>
          <cell r="D2377">
            <v>100</v>
          </cell>
          <cell r="E2377" t="str">
            <v>Intermediate</v>
          </cell>
          <cell r="F2377" t="str">
            <v>Standard</v>
          </cell>
          <cell r="G2377">
            <v>42167</v>
          </cell>
          <cell r="H2377" t="str">
            <v>11441</v>
          </cell>
          <cell r="I2377" t="str">
            <v>https://www.smwcentral.net/?a=details&amp;id=11441&amp;p=section</v>
          </cell>
          <cell r="J2377" t="str">
            <v>https://dl.smwcentral.net/11441/Crater%201_32.zip</v>
          </cell>
        </row>
        <row r="2378">
          <cell r="A2378" t="str">
            <v>The Devious Four Chronicles 4: Hunter's Revenge ReVised</v>
          </cell>
          <cell r="B2378" t="str">
            <v>The Devious Four Chronicles 4: Hunter's Revenge ReVised</v>
          </cell>
          <cell r="C2378" t="str">
            <v>Skewer, amhunter</v>
          </cell>
          <cell r="D2378">
            <v>107</v>
          </cell>
          <cell r="E2378" t="str">
            <v>Intermediate</v>
          </cell>
          <cell r="F2378" t="str">
            <v>Standard</v>
          </cell>
          <cell r="G2378">
            <v>42594</v>
          </cell>
          <cell r="H2378" t="str">
            <v>13915</v>
          </cell>
          <cell r="I2378" t="str">
            <v>https://www.smwcentral.net/?a=details&amp;id=13915&amp;p=section</v>
          </cell>
          <cell r="J2378" t="str">
            <v>https://dl.smwcentral.net/13915/%234-Hunter%27sRevenge%201_1.zip</v>
          </cell>
        </row>
        <row r="2379">
          <cell r="A2379" t="str">
            <v>The Devious Four Chronicles 6 : The Fourth Sector</v>
          </cell>
          <cell r="B2379" t="str">
            <v>The Devious Four Chronicles 6 : The Fourth Sector</v>
          </cell>
          <cell r="C2379" t="str">
            <v>Skewer</v>
          </cell>
          <cell r="D2379">
            <v>102</v>
          </cell>
          <cell r="E2379" t="str">
            <v>Intermediate</v>
          </cell>
          <cell r="F2379" t="str">
            <v>Standard</v>
          </cell>
          <cell r="G2379">
            <v>41916</v>
          </cell>
          <cell r="H2379" t="str">
            <v>9170</v>
          </cell>
          <cell r="I2379" t="str">
            <v>https://www.smwcentral.net/?a=details&amp;id=9170&amp;p=section</v>
          </cell>
          <cell r="J2379" t="str">
            <v>https://dl.smwcentral.net/9170/%236-FourthSector1_7.zip</v>
          </cell>
        </row>
        <row r="2380">
          <cell r="A2380" t="str">
            <v>The Devious Four Chronicles 8 : Goddess Robes</v>
          </cell>
          <cell r="B2380" t="str">
            <v>The Devious Four Chronicles 8 : Goddess Robes</v>
          </cell>
          <cell r="C2380" t="str">
            <v>Skewer</v>
          </cell>
          <cell r="D2380">
            <v>23</v>
          </cell>
          <cell r="E2380" t="str">
            <v>Casual</v>
          </cell>
          <cell r="F2380" t="str">
            <v>Standard</v>
          </cell>
          <cell r="G2380">
            <v>41808</v>
          </cell>
          <cell r="H2380" t="str">
            <v>6693</v>
          </cell>
          <cell r="I2380" t="str">
            <v>https://www.smwcentral.net/?a=details&amp;id=6693&amp;p=section</v>
          </cell>
          <cell r="J2380" t="str">
            <v>https://dl.smwcentral.net/6693/TD4C%238-GoddessRobesDemo1_5.zip</v>
          </cell>
        </row>
        <row r="2381">
          <cell r="A2381" t="str">
            <v>The Dimensional Castle Starring Aeron</v>
          </cell>
          <cell r="B2381" t="str">
            <v>The Dimensional Castle Starring Aeron</v>
          </cell>
          <cell r="C2381" t="str">
            <v>Anorakun</v>
          </cell>
          <cell r="D2381">
            <v>4</v>
          </cell>
          <cell r="E2381" t="str">
            <v>Advanced</v>
          </cell>
          <cell r="F2381" t="str">
            <v>Standard, Kaizo</v>
          </cell>
          <cell r="G2381">
            <v>46113</v>
          </cell>
          <cell r="H2381" t="str">
            <v>41893</v>
          </cell>
          <cell r="I2381" t="str">
            <v>https://www.smwcentral.net/?a=details&amp;id=41893&amp;p=section</v>
          </cell>
          <cell r="J2381" t="str">
            <v>https://dl.smwcentral.net/41893/The%20Dimensional%20Castle%20Starring%20Aeron%20%28version%201.3.8.2%29.zip</v>
          </cell>
        </row>
        <row r="2382">
          <cell r="A2382" t="str">
            <v>The Duality of Mario</v>
          </cell>
          <cell r="B2382" t="str">
            <v>The Duality of Mario</v>
          </cell>
          <cell r="C2382" t="str">
            <v>AmazingChest</v>
          </cell>
          <cell r="D2382">
            <v>4</v>
          </cell>
          <cell r="E2382" t="str">
            <v>Expert</v>
          </cell>
          <cell r="F2382" t="str">
            <v>Kaizo</v>
          </cell>
          <cell r="G2382">
            <v>44592</v>
          </cell>
          <cell r="H2382" t="str">
            <v>29661</v>
          </cell>
          <cell r="I2382" t="str">
            <v>https://www.smwcentral.net/?a=details&amp;id=29661&amp;p=section</v>
          </cell>
          <cell r="J2382" t="str">
            <v>https://dl.smwcentral.net/29661/the-duality-of-mario.zip</v>
          </cell>
        </row>
        <row r="2383">
          <cell r="A2383" t="str">
            <v>The Eggs Of Saear</v>
          </cell>
          <cell r="B2383" t="str">
            <v>The Eggs Of Saear</v>
          </cell>
          <cell r="C2383" t="str">
            <v>Spade</v>
          </cell>
          <cell r="D2383">
            <v>32</v>
          </cell>
          <cell r="E2383" t="str">
            <v>Newcomer</v>
          </cell>
          <cell r="F2383" t="str">
            <v>Standard</v>
          </cell>
          <cell r="G2383">
            <v>41570</v>
          </cell>
          <cell r="H2383" t="str">
            <v>5161</v>
          </cell>
          <cell r="I2383" t="str">
            <v>https://www.smwcentral.net/?a=details&amp;id=5161&amp;p=section</v>
          </cell>
          <cell r="J2383" t="str">
            <v>https://dl.smwcentral.net/5161/TEOS%20Demo%204.zip</v>
          </cell>
        </row>
        <row r="2384">
          <cell r="A2384" t="str">
            <v>The Epic Quest Of Birdo The Pink Dinosaur</v>
          </cell>
          <cell r="B2384" t="str">
            <v>The Epic Quest Of Birdo The Pink Dinosaur</v>
          </cell>
          <cell r="C2384" t="str">
            <v>AjaTheVampire</v>
          </cell>
          <cell r="D2384">
            <v>34</v>
          </cell>
          <cell r="E2384" t="str">
            <v>Intermediate</v>
          </cell>
          <cell r="F2384" t="str">
            <v>Standard</v>
          </cell>
          <cell r="G2384">
            <v>44655</v>
          </cell>
          <cell r="H2384" t="str">
            <v>30186</v>
          </cell>
          <cell r="I2384" t="str">
            <v>https://www.smwcentral.net/?a=details&amp;id=30186&amp;p=section</v>
          </cell>
          <cell r="J2384" t="str">
            <v>https://dl.smwcentral.net/30186/TEQOBirdoThePinkDinsosaur%20v1.1.zip</v>
          </cell>
        </row>
        <row r="2385">
          <cell r="A2385" t="str">
            <v>The Epic Quest Of Birdo The Pink Dinosaur Dark Behaviours</v>
          </cell>
          <cell r="B2385" t="str">
            <v>The Epic Quest Of Birdo The Pink Dinosaur Dark Behaviours</v>
          </cell>
          <cell r="C2385" t="str">
            <v>AjaTheVampire</v>
          </cell>
          <cell r="D2385">
            <v>41</v>
          </cell>
          <cell r="E2385" t="str">
            <v>Intermediate</v>
          </cell>
          <cell r="F2385" t="str">
            <v>Standard</v>
          </cell>
          <cell r="G2385">
            <v>44736</v>
          </cell>
          <cell r="H2385" t="str">
            <v>31168</v>
          </cell>
          <cell r="I2385" t="str">
            <v>https://www.smwcentral.net/?a=details&amp;id=31168&amp;p=section</v>
          </cell>
          <cell r="J2385" t="str">
            <v>https://dl.smwcentral.net/31168/TEQOBirdoThePinkDinosaurDarkBehaviours%201.1.zip</v>
          </cell>
        </row>
        <row r="2386">
          <cell r="A2386" t="str">
            <v>The Epic Quest Of Birdo The Vampire Subcon Journey</v>
          </cell>
          <cell r="B2386" t="str">
            <v>The Epic Quest Of Birdo The Vampire Subcon Journey</v>
          </cell>
          <cell r="C2386" t="str">
            <v>AjaTheVampire</v>
          </cell>
          <cell r="D2386">
            <v>44</v>
          </cell>
          <cell r="E2386" t="str">
            <v>Intermediate</v>
          </cell>
          <cell r="F2386" t="str">
            <v>Standard</v>
          </cell>
          <cell r="G2386">
            <v>44914</v>
          </cell>
          <cell r="H2386" t="str">
            <v>32750</v>
          </cell>
          <cell r="I2386" t="str">
            <v>https://www.smwcentral.net/?a=details&amp;id=32750&amp;p=section</v>
          </cell>
          <cell r="J2386" t="str">
            <v>https://dl.smwcentral.net/32750/TEQOBirdoTheVampire%201.1.zip</v>
          </cell>
        </row>
        <row r="2387">
          <cell r="A2387" t="str">
            <v>The Evil Maze</v>
          </cell>
          <cell r="B2387" t="str">
            <v>The Evil Maze</v>
          </cell>
          <cell r="C2387" t="str">
            <v>limepie20</v>
          </cell>
          <cell r="D2387">
            <v>4</v>
          </cell>
          <cell r="E2387" t="str">
            <v>Intermediate</v>
          </cell>
          <cell r="F2387" t="str">
            <v>Standard</v>
          </cell>
          <cell r="G2387">
            <v>42345</v>
          </cell>
          <cell r="H2387" t="str">
            <v>10064</v>
          </cell>
          <cell r="I2387" t="str">
            <v>https://www.smwcentral.net/?a=details&amp;id=10064&amp;p=section</v>
          </cell>
          <cell r="J2387" t="str">
            <v>https://dl.smwcentral.net/10064/EvilMaze2.4.zip</v>
          </cell>
        </row>
        <row r="2388">
          <cell r="A2388" t="str">
            <v>The Expansion of the Combat Zone</v>
          </cell>
          <cell r="B2388" t="str">
            <v>The Expansion of the Combat Zone</v>
          </cell>
          <cell r="C2388" t="str">
            <v>Eden_</v>
          </cell>
          <cell r="D2388">
            <v>8</v>
          </cell>
          <cell r="E2388" t="str">
            <v>Grandmaster</v>
          </cell>
          <cell r="F2388" t="str">
            <v>Kaizo</v>
          </cell>
          <cell r="G2388">
            <v>45883</v>
          </cell>
          <cell r="H2388" t="str">
            <v>39986</v>
          </cell>
          <cell r="I2388" t="str">
            <v>https://www.smwcentral.net/?a=details&amp;id=39986&amp;p=section</v>
          </cell>
          <cell r="J2388" t="str">
            <v>https://dl.smwcentral.net/39986/CombatZone.zip</v>
          </cell>
        </row>
        <row r="2389">
          <cell r="A2389" t="str">
            <v>The Fallen Star</v>
          </cell>
          <cell r="B2389" t="str">
            <v>The Fallen Star</v>
          </cell>
          <cell r="C2389" t="str">
            <v>Ringo</v>
          </cell>
          <cell r="D2389">
            <v>8</v>
          </cell>
          <cell r="E2389" t="str">
            <v>Casual</v>
          </cell>
          <cell r="F2389" t="str">
            <v>Standard</v>
          </cell>
          <cell r="G2389">
            <v>45391</v>
          </cell>
          <cell r="H2389" t="str">
            <v>37607</v>
          </cell>
          <cell r="I2389" t="str">
            <v>https://www.smwcentral.net/?a=details&amp;id=37607&amp;p=section</v>
          </cell>
          <cell r="J2389" t="str">
            <v>https://dl.smwcentral.net/37607/TFSDemo1v1.3.zip</v>
          </cell>
        </row>
        <row r="2390">
          <cell r="A2390" t="str">
            <v>The Fellership</v>
          </cell>
          <cell r="B2390" t="str">
            <v>The Fellership</v>
          </cell>
          <cell r="C2390" t="str">
            <v>SolveForX, Team Slop</v>
          </cell>
          <cell r="D2390">
            <v>12</v>
          </cell>
          <cell r="E2390" t="str">
            <v>Expert</v>
          </cell>
          <cell r="F2390" t="str">
            <v>Kaizo</v>
          </cell>
          <cell r="G2390">
            <v>44972</v>
          </cell>
          <cell r="H2390" t="str">
            <v>33105</v>
          </cell>
          <cell r="I2390" t="str">
            <v>https://www.smwcentral.net/?a=details&amp;id=33105&amp;p=section</v>
          </cell>
          <cell r="J2390" t="str">
            <v>https://dl.smwcentral.net/33105/TheFellership.zip</v>
          </cell>
        </row>
        <row r="2391">
          <cell r="A2391" t="str">
            <v>The First Round</v>
          </cell>
          <cell r="B2391" t="str">
            <v>The First Round</v>
          </cell>
          <cell r="C2391" t="str">
            <v>GamesInTweed</v>
          </cell>
          <cell r="D2391">
            <v>0</v>
          </cell>
          <cell r="E2391" t="str">
            <v>Intermediate</v>
          </cell>
          <cell r="F2391" t="str">
            <v>Kaizo</v>
          </cell>
          <cell r="G2391">
            <v>45307</v>
          </cell>
          <cell r="H2391" t="str">
            <v>35612</v>
          </cell>
          <cell r="I2391" t="str">
            <v>https://www.smwcentral.net/?a=details&amp;id=35612&amp;p=section</v>
          </cell>
          <cell r="J2391" t="str">
            <v>https://dl.smwcentral.net/35612/The%20First%20Round%20v1.11.zip</v>
          </cell>
        </row>
        <row r="2392">
          <cell r="A2392" t="str">
            <v>the first smw hack that will ever be so lucky as to gain the luxury of leaving my pc</v>
          </cell>
          <cell r="B2392" t="str">
            <v>the first smw hack that will ever be so lucky as to gain the luxury of leaving my pc</v>
          </cell>
          <cell r="C2392" t="str">
            <v>DynastyLobster</v>
          </cell>
          <cell r="D2392">
            <v>13</v>
          </cell>
          <cell r="E2392" t="str">
            <v>Casual</v>
          </cell>
          <cell r="F2392" t="str">
            <v>Standard</v>
          </cell>
          <cell r="G2392">
            <v>42976</v>
          </cell>
          <cell r="H2392" t="str">
            <v>16046</v>
          </cell>
          <cell r="I2392" t="str">
            <v>https://www.smwcentral.net/?a=details&amp;id=16046&amp;p=section</v>
          </cell>
          <cell r="J2392" t="str">
            <v>https://dl.smwcentral.net/16046/TFSMWHTWEBSLATGTLOLMPC.zip</v>
          </cell>
        </row>
        <row r="2393">
          <cell r="A2393" t="str">
            <v>The Five "Five Room" Room Castle</v>
          </cell>
          <cell r="B2393" t="str">
            <v>The Five "Five Room" Room Castle</v>
          </cell>
          <cell r="C2393" t="str">
            <v>StayAtHomeStegosaurus</v>
          </cell>
          <cell r="D2393">
            <v>5</v>
          </cell>
          <cell r="E2393" t="str">
            <v>Master</v>
          </cell>
          <cell r="F2393" t="str">
            <v>Kaizo</v>
          </cell>
          <cell r="G2393">
            <v>45054</v>
          </cell>
          <cell r="H2393" t="str">
            <v>33734</v>
          </cell>
          <cell r="I2393" t="str">
            <v>https://www.smwcentral.net/?a=details&amp;id=33734&amp;p=section</v>
          </cell>
          <cell r="J2393" t="str">
            <v>https://dl.smwcentral.net/33734/TheFiveFiveRoomRoomCastle_V1.0.zip</v>
          </cell>
        </row>
        <row r="2394">
          <cell r="A2394" t="str">
            <v>The Forest of Rovaki</v>
          </cell>
          <cell r="B2394" t="str">
            <v>The Forest of Rovaki</v>
          </cell>
          <cell r="C2394" t="str">
            <v>Windveil</v>
          </cell>
          <cell r="D2394">
            <v>8</v>
          </cell>
          <cell r="E2394" t="str">
            <v>Newcomer</v>
          </cell>
          <cell r="F2394" t="str">
            <v>Standard</v>
          </cell>
          <cell r="G2394">
            <v>42259</v>
          </cell>
          <cell r="H2394" t="str">
            <v>9986</v>
          </cell>
          <cell r="I2394" t="str">
            <v>https://www.smwcentral.net/?a=details&amp;id=9986&amp;p=section</v>
          </cell>
          <cell r="J2394" t="str">
            <v>https://dl.smwcentral.net/9986/The%20Forest%20of%20Rovaki.zip</v>
          </cell>
        </row>
        <row r="2395">
          <cell r="A2395" t="str">
            <v>The Forever Mystery, Part One: Rescue!</v>
          </cell>
          <cell r="B2395" t="str">
            <v>The Forever Mystery, Part One: Rescue!</v>
          </cell>
          <cell r="C2395" t="str">
            <v>FPzero</v>
          </cell>
          <cell r="D2395">
            <v>49</v>
          </cell>
          <cell r="E2395" t="str">
            <v>Casual</v>
          </cell>
          <cell r="F2395" t="str">
            <v>Standard</v>
          </cell>
          <cell r="G2395">
            <v>42218</v>
          </cell>
          <cell r="H2395" t="str">
            <v>9824</v>
          </cell>
          <cell r="I2395" t="str">
            <v>https://www.smwcentral.net/?a=details&amp;id=9824&amp;p=section</v>
          </cell>
          <cell r="J2395" t="str">
            <v>https://dl.smwcentral.net/9824/Super%20Mario%20Eternity%200.7.1.zip</v>
          </cell>
        </row>
        <row r="2396">
          <cell r="A2396" t="str">
            <v>The Forever Mystery, Part Zero: Prologue</v>
          </cell>
          <cell r="B2396" t="str">
            <v>The Forever Mystery, Part Zero: Prologue</v>
          </cell>
          <cell r="C2396" t="str">
            <v>FPzero</v>
          </cell>
          <cell r="D2396">
            <v>7</v>
          </cell>
          <cell r="E2396" t="str">
            <v>Newcomer</v>
          </cell>
          <cell r="F2396" t="str">
            <v>Standard</v>
          </cell>
          <cell r="G2396">
            <v>41445</v>
          </cell>
          <cell r="H2396" t="str">
            <v>4972</v>
          </cell>
          <cell r="I2396" t="str">
            <v>https://www.smwcentral.net/?a=details&amp;id=4972&amp;p=section</v>
          </cell>
          <cell r="J2396" t="str">
            <v>https://dl.smwcentral.net/4972/Forever%20Mystery%20Prologue.zip</v>
          </cell>
        </row>
        <row r="2397">
          <cell r="A2397" t="str">
            <v>The Forgotten Island</v>
          </cell>
          <cell r="B2397" t="str">
            <v>The Forgotten Island</v>
          </cell>
          <cell r="C2397" t="str">
            <v>I8Strudel</v>
          </cell>
          <cell r="D2397">
            <v>22</v>
          </cell>
          <cell r="E2397" t="str">
            <v>Casual</v>
          </cell>
          <cell r="F2397" t="str">
            <v>Standard</v>
          </cell>
          <cell r="G2397">
            <v>42243</v>
          </cell>
          <cell r="H2397" t="str">
            <v>9935</v>
          </cell>
          <cell r="I2397" t="str">
            <v>https://www.smwcentral.net/?a=details&amp;id=9935&amp;p=section</v>
          </cell>
          <cell r="J2397" t="str">
            <v>https://dl.smwcentral.net/9935/The_Forgotten_Island.zip</v>
          </cell>
        </row>
        <row r="2398">
          <cell r="A2398" t="str">
            <v>The Fort</v>
          </cell>
          <cell r="B2398" t="str">
            <v>The Fort</v>
          </cell>
          <cell r="C2398" t="str">
            <v>Ostix, Silverfox, Trollope</v>
          </cell>
          <cell r="D2398">
            <v>1</v>
          </cell>
          <cell r="E2398" t="str">
            <v>Intermediate</v>
          </cell>
          <cell r="F2398" t="str">
            <v>Kaizo, Tool-Assisted</v>
          </cell>
          <cell r="G2398">
            <v>41808</v>
          </cell>
          <cell r="H2398" t="str">
            <v>6130</v>
          </cell>
          <cell r="I2398" t="str">
            <v>https://www.smwcentral.net/?a=details&amp;id=6130&amp;p=section</v>
          </cell>
          <cell r="J2398" t="str">
            <v>https://dl.smwcentral.net/6130/The_Fort.zip</v>
          </cell>
        </row>
        <row r="2399">
          <cell r="A2399" t="str">
            <v>The Found Levels featuring Aeron</v>
          </cell>
          <cell r="B2399" t="str">
            <v>The Found Levels featuring Aeron</v>
          </cell>
          <cell r="C2399" t="str">
            <v>Anorakun</v>
          </cell>
          <cell r="D2399">
            <v>9</v>
          </cell>
          <cell r="E2399" t="str">
            <v>Advanced</v>
          </cell>
          <cell r="F2399" t="str">
            <v>Standard, Kaizo</v>
          </cell>
          <cell r="G2399">
            <v>46132</v>
          </cell>
          <cell r="H2399" t="str">
            <v>42166</v>
          </cell>
          <cell r="I2399" t="str">
            <v>https://www.smwcentral.net/?a=details&amp;id=42166&amp;p=section</v>
          </cell>
          <cell r="J2399" t="str">
            <v>https://dl.smwcentral.net/42166/The%20Found%20Levels%20featuring%20Aeron%20%28version%201.4.5%29.zip</v>
          </cell>
        </row>
        <row r="2400">
          <cell r="A2400" t="str">
            <v>The Four Boos of the Apocalypse</v>
          </cell>
          <cell r="B2400" t="str">
            <v>The Four Boos of the Apocalypse</v>
          </cell>
          <cell r="C2400" t="str">
            <v>Redspyda9</v>
          </cell>
          <cell r="D2400">
            <v>16</v>
          </cell>
          <cell r="E2400" t="str">
            <v>Grandmaster</v>
          </cell>
          <cell r="F2400" t="str">
            <v>Kaizo</v>
          </cell>
          <cell r="G2400">
            <v>46116</v>
          </cell>
          <cell r="H2400" t="str">
            <v>42107</v>
          </cell>
          <cell r="I2400" t="str">
            <v>https://www.smwcentral.net/?a=details&amp;id=42107&amp;p=section</v>
          </cell>
          <cell r="J2400" t="str">
            <v>https://dl.smwcentral.net/42107/4BoosOfTheApocalypse.zip</v>
          </cell>
        </row>
        <row r="2401">
          <cell r="A2401" t="str">
            <v>The Fragmented Realm</v>
          </cell>
          <cell r="B2401" t="str">
            <v>The Fragmented Realm</v>
          </cell>
          <cell r="C2401" t="str">
            <v>Dan</v>
          </cell>
          <cell r="D2401">
            <v>12</v>
          </cell>
          <cell r="E2401" t="str">
            <v>Casual</v>
          </cell>
          <cell r="F2401" t="str">
            <v>Standard</v>
          </cell>
          <cell r="G2401">
            <v>42783</v>
          </cell>
          <cell r="H2401" t="str">
            <v>15202</v>
          </cell>
          <cell r="I2401" t="str">
            <v>https://www.smwcentral.net/?a=details&amp;id=15202&amp;p=section</v>
          </cell>
          <cell r="J2401" t="str">
            <v>https://dl.smwcentral.net/15202/The_Fragmented_Realm_-_Demo_2.zip</v>
          </cell>
        </row>
        <row r="2402">
          <cell r="A2402" t="str">
            <v>The Friends We Made</v>
          </cell>
          <cell r="B2402" t="str">
            <v>The Friends We Made</v>
          </cell>
          <cell r="C2402" t="str">
            <v>Jibjig</v>
          </cell>
          <cell r="D2402">
            <v>18</v>
          </cell>
          <cell r="E2402" t="str">
            <v>Master</v>
          </cell>
          <cell r="F2402" t="str">
            <v>Kaizo</v>
          </cell>
          <cell r="G2402">
            <v>44670</v>
          </cell>
          <cell r="H2402" t="str">
            <v>30014</v>
          </cell>
          <cell r="I2402" t="str">
            <v>https://www.smwcentral.net/?a=details&amp;id=30014&amp;p=section</v>
          </cell>
          <cell r="J2402" t="str">
            <v>https://dl.smwcentral.net/30014/TFWM1.1.zip</v>
          </cell>
        </row>
        <row r="2403">
          <cell r="A2403" t="str">
            <v>The Fugue</v>
          </cell>
          <cell r="B2403" t="str">
            <v>The Fugue</v>
          </cell>
          <cell r="C2403" t="str">
            <v>NewPointless</v>
          </cell>
          <cell r="D2403">
            <v>0</v>
          </cell>
          <cell r="E2403" t="str">
            <v>Newcomer</v>
          </cell>
          <cell r="F2403" t="str">
            <v>Standard</v>
          </cell>
          <cell r="G2403">
            <v>45961</v>
          </cell>
          <cell r="H2403" t="str">
            <v>40917</v>
          </cell>
          <cell r="I2403" t="str">
            <v>https://www.smwcentral.net/?a=details&amp;id=40917&amp;p=section</v>
          </cell>
          <cell r="J2403" t="str">
            <v>https://dl.smwcentral.net/40917/TheFugue1_1.zip</v>
          </cell>
        </row>
        <row r="2404">
          <cell r="A2404" t="str">
            <v>The Gatekeeper Strikes Again!!!</v>
          </cell>
          <cell r="B2404" t="str">
            <v>The Gatekeeper Strikes Again!!!</v>
          </cell>
          <cell r="C2404" t="str">
            <v>Gamet2004</v>
          </cell>
          <cell r="D2404">
            <v>17</v>
          </cell>
          <cell r="E2404" t="str">
            <v>Intermediate</v>
          </cell>
          <cell r="F2404" t="str">
            <v>Standard</v>
          </cell>
          <cell r="G2404">
            <v>45696</v>
          </cell>
          <cell r="H2404" t="str">
            <v>39021</v>
          </cell>
          <cell r="I2404" t="str">
            <v>https://www.smwcentral.net/?a=details&amp;id=39021&amp;p=section</v>
          </cell>
          <cell r="J2404" t="str">
            <v>https://dl.smwcentral.net/39021/Gatekeeper.zip</v>
          </cell>
        </row>
        <row r="2405">
          <cell r="A2405" t="str">
            <v>The Getaway</v>
          </cell>
          <cell r="B2405" t="str">
            <v>The Getaway</v>
          </cell>
          <cell r="C2405" t="str">
            <v>Parahax</v>
          </cell>
          <cell r="D2405">
            <v>8</v>
          </cell>
          <cell r="E2405" t="str">
            <v>Expert</v>
          </cell>
          <cell r="F2405" t="str">
            <v>Kaizo</v>
          </cell>
          <cell r="G2405">
            <v>44736</v>
          </cell>
          <cell r="H2405" t="str">
            <v>31221</v>
          </cell>
          <cell r="I2405" t="str">
            <v>https://www.smwcentral.net/?a=details&amp;id=31221&amp;p=section</v>
          </cell>
          <cell r="J2405" t="str">
            <v>https://dl.smwcentral.net/31221/The%20Getaway%201.12.zip</v>
          </cell>
        </row>
        <row r="2406">
          <cell r="A2406" t="str">
            <v>The Grassy Plains</v>
          </cell>
          <cell r="B2406" t="str">
            <v>The Grassy Plains</v>
          </cell>
          <cell r="C2406" t="str">
            <v>pieguy184</v>
          </cell>
          <cell r="D2406">
            <v>4</v>
          </cell>
          <cell r="E2406" t="str">
            <v>Casual</v>
          </cell>
          <cell r="F2406" t="str">
            <v>Standard</v>
          </cell>
          <cell r="G2406">
            <v>42163</v>
          </cell>
          <cell r="H2406" t="str">
            <v>9955</v>
          </cell>
          <cell r="I2406" t="str">
            <v>https://www.smwcentral.net/?a=details&amp;id=9955&amp;p=section</v>
          </cell>
          <cell r="J2406" t="str">
            <v>https://dl.smwcentral.net/9955/TheGrassyPlains.zip</v>
          </cell>
        </row>
        <row r="2407">
          <cell r="A2407" t="str">
            <v>The Great Giana Sisters</v>
          </cell>
          <cell r="B2407" t="str">
            <v>The Great Giana Sisters</v>
          </cell>
          <cell r="C2407" t="str">
            <v>Big Brawler</v>
          </cell>
          <cell r="D2407">
            <v>33</v>
          </cell>
          <cell r="E2407" t="str">
            <v>Newcomer</v>
          </cell>
          <cell r="F2407" t="str">
            <v>Standard</v>
          </cell>
          <cell r="G2407">
            <v>42445</v>
          </cell>
          <cell r="H2407" t="str">
            <v>13430</v>
          </cell>
          <cell r="I2407" t="str">
            <v>https://www.smwcentral.net/?a=details&amp;id=13430&amp;p=section</v>
          </cell>
          <cell r="J2407" t="str">
            <v>https://dl.smwcentral.net/13430/The%20Great%20Giana%20Sisters.zip</v>
          </cell>
        </row>
        <row r="2408">
          <cell r="A2408" t="str">
            <v>The Great Giana Sisters 2: Another Generical Hack</v>
          </cell>
          <cell r="B2408" t="str">
            <v>The Great Giana Sisters 2: Another Generical Hack</v>
          </cell>
          <cell r="C2408" t="str">
            <v>Big Brawler</v>
          </cell>
          <cell r="D2408">
            <v>28</v>
          </cell>
          <cell r="E2408" t="str">
            <v>Advanced</v>
          </cell>
          <cell r="F2408" t="str">
            <v>Standard</v>
          </cell>
          <cell r="G2408">
            <v>42695</v>
          </cell>
          <cell r="H2408" t="str">
            <v>14627</v>
          </cell>
          <cell r="I2408" t="str">
            <v>https://www.smwcentral.net/?a=details&amp;id=14627&amp;p=section</v>
          </cell>
          <cell r="J2408" t="str">
            <v>https://dl.smwcentral.net/14627/The%20Great%20Giana%20Sisters%202%20-%20Another%20Generical%20Hack.zip</v>
          </cell>
        </row>
        <row r="2409">
          <cell r="A2409" t="str">
            <v>The Great Giana Sisters 3: The Forgotten Dream</v>
          </cell>
          <cell r="B2409" t="str">
            <v>The Great Giana Sisters 3: The Forgotten Dream</v>
          </cell>
          <cell r="C2409" t="str">
            <v>Big Brawler</v>
          </cell>
          <cell r="D2409">
            <v>5</v>
          </cell>
          <cell r="E2409" t="str">
            <v>Advanced</v>
          </cell>
          <cell r="F2409" t="str">
            <v>Standard</v>
          </cell>
          <cell r="G2409">
            <v>42697</v>
          </cell>
          <cell r="H2409" t="str">
            <v>14671</v>
          </cell>
          <cell r="I2409" t="str">
            <v>https://www.smwcentral.net/?a=details&amp;id=14671&amp;p=section</v>
          </cell>
          <cell r="J2409" t="str">
            <v>https://dl.smwcentral.net/14671/The%20Great%20Giana%20Sisters%203%20-%20The%20Forrgoten%20Dream%20Demo1.zip</v>
          </cell>
        </row>
        <row r="2410">
          <cell r="A2410" t="str">
            <v>The Great Search</v>
          </cell>
          <cell r="B2410" t="str">
            <v>The Great Search</v>
          </cell>
          <cell r="C2410" t="str">
            <v>Easy Difficulty</v>
          </cell>
          <cell r="D2410">
            <v>0</v>
          </cell>
          <cell r="E2410" t="str">
            <v>Intermediate</v>
          </cell>
          <cell r="F2410" t="str">
            <v>Standard</v>
          </cell>
          <cell r="G2410">
            <v>45177</v>
          </cell>
          <cell r="H2410" t="str">
            <v>34298</v>
          </cell>
          <cell r="I2410" t="str">
            <v>https://www.smwcentral.net/?a=details&amp;id=34298&amp;p=section</v>
          </cell>
          <cell r="J2410" t="str">
            <v>https://dl.smwcentral.net/34298/The%20Great%20Search.zip</v>
          </cell>
        </row>
        <row r="2411">
          <cell r="A2411" t="str">
            <v>The Green Plumber's Adventure: A Future Prequel</v>
          </cell>
          <cell r="B2411" t="str">
            <v>The Green Plumber's Adventure: A Future Prequel</v>
          </cell>
          <cell r="C2411" t="str">
            <v>Super Buzzy Yoshi, TheOrangeToad</v>
          </cell>
          <cell r="D2411">
            <v>12</v>
          </cell>
          <cell r="E2411" t="str">
            <v>Casual</v>
          </cell>
          <cell r="F2411" t="str">
            <v>Standard</v>
          </cell>
          <cell r="G2411">
            <v>44428</v>
          </cell>
          <cell r="H2411" t="str">
            <v>27980</v>
          </cell>
          <cell r="I2411" t="str">
            <v>https://www.smwcentral.net/?a=details&amp;id=27980&amp;p=section</v>
          </cell>
          <cell r="J2411" t="str">
            <v>https://dl.smwcentral.net/27980/TGPAAFPDemo.zip</v>
          </cell>
        </row>
        <row r="2412">
          <cell r="A2412" t="str">
            <v>The grey chapter</v>
          </cell>
          <cell r="B2412" t="str">
            <v>The grey chapter</v>
          </cell>
          <cell r="C2412" t="str">
            <v>Lush_50</v>
          </cell>
          <cell r="D2412">
            <v>4</v>
          </cell>
          <cell r="E2412" t="str">
            <v>Expert</v>
          </cell>
          <cell r="F2412" t="str">
            <v>Kaizo</v>
          </cell>
          <cell r="G2412">
            <v>44613</v>
          </cell>
          <cell r="H2412" t="str">
            <v>29915</v>
          </cell>
          <cell r="I2412" t="str">
            <v>https://www.smwcentral.net/?a=details&amp;id=29915&amp;p=section</v>
          </cell>
          <cell r="J2412" t="str">
            <v>https://dl.smwcentral.net/29915/The%20grey%20chapter.zip</v>
          </cell>
        </row>
        <row r="2413">
          <cell r="A2413" t="str">
            <v>The Hackening</v>
          </cell>
          <cell r="B2413" t="str">
            <v>The Hackening</v>
          </cell>
          <cell r="C2413" t="str">
            <v>Captain_Hacko</v>
          </cell>
          <cell r="D2413">
            <v>7</v>
          </cell>
          <cell r="E2413" t="str">
            <v>Expert</v>
          </cell>
          <cell r="F2413" t="str">
            <v>Kaizo</v>
          </cell>
          <cell r="G2413">
            <v>44519</v>
          </cell>
          <cell r="H2413" t="str">
            <v>28709</v>
          </cell>
          <cell r="I2413" t="str">
            <v>https://www.smwcentral.net/?a=details&amp;id=28709&amp;p=section</v>
          </cell>
          <cell r="J2413" t="str">
            <v>https://dl.smwcentral.net/28709/The%20Hackening.zip</v>
          </cell>
        </row>
        <row r="2414">
          <cell r="A2414" t="str">
            <v>The Hackrooms</v>
          </cell>
          <cell r="B2414" t="str">
            <v>The Hackrooms</v>
          </cell>
          <cell r="C2414" t="str">
            <v>Donut</v>
          </cell>
          <cell r="D2414">
            <v>0</v>
          </cell>
          <cell r="E2414" t="str">
            <v>Advanced</v>
          </cell>
          <cell r="F2414" t="str">
            <v>Standard</v>
          </cell>
          <cell r="G2414">
            <v>45898</v>
          </cell>
          <cell r="H2414" t="str">
            <v>40345</v>
          </cell>
          <cell r="I2414" t="str">
            <v>https://www.smwcentral.net/?a=details&amp;id=40345&amp;p=section</v>
          </cell>
          <cell r="J2414" t="str">
            <v>https://dl.smwcentral.net/40345/The_Hackrooms.zip</v>
          </cell>
        </row>
        <row r="2415">
          <cell r="A2415" t="str">
            <v>The Halloween Island</v>
          </cell>
          <cell r="B2415" t="str">
            <v>The Halloween Island</v>
          </cell>
          <cell r="C2415" t="str">
            <v>Green Jerry</v>
          </cell>
          <cell r="D2415">
            <v>9</v>
          </cell>
          <cell r="E2415" t="str">
            <v>Casual</v>
          </cell>
          <cell r="F2415" t="str">
            <v>Standard</v>
          </cell>
          <cell r="G2415">
            <v>43770</v>
          </cell>
          <cell r="H2415" t="str">
            <v>21388</v>
          </cell>
          <cell r="I2415" t="str">
            <v>https://www.smwcentral.net/?a=details&amp;id=21388&amp;p=section</v>
          </cell>
          <cell r="J2415" t="str">
            <v>https://dl.smwcentral.net/21388/The%20Halloween%20Island%20V1.2.zip</v>
          </cell>
        </row>
        <row r="2416">
          <cell r="A2416" t="str">
            <v>The Hand Of Chaos</v>
          </cell>
          <cell r="B2416" t="str">
            <v>The Hand Of Chaos</v>
          </cell>
          <cell r="C2416" t="str">
            <v>Forsequad</v>
          </cell>
          <cell r="D2416">
            <v>9</v>
          </cell>
          <cell r="E2416" t="str">
            <v>Casual</v>
          </cell>
          <cell r="F2416" t="str">
            <v>Standard</v>
          </cell>
          <cell r="G2416">
            <v>41545</v>
          </cell>
          <cell r="H2416" t="str">
            <v>5588</v>
          </cell>
          <cell r="I2416" t="str">
            <v>https://www.smwcentral.net/?a=details&amp;id=5588&amp;p=section</v>
          </cell>
          <cell r="J2416" t="str">
            <v>https://dl.smwcentral.net/5588/THOCDEMOFIXED.zip</v>
          </cell>
        </row>
        <row r="2417">
          <cell r="A2417" t="str">
            <v>The Hangover</v>
          </cell>
          <cell r="B2417" t="str">
            <v>The Hangover</v>
          </cell>
          <cell r="C2417" t="str">
            <v>TheMorganah</v>
          </cell>
          <cell r="D2417">
            <v>53</v>
          </cell>
          <cell r="E2417" t="str">
            <v>Casual</v>
          </cell>
          <cell r="F2417" t="str">
            <v>Standard</v>
          </cell>
          <cell r="G2417">
            <v>42484</v>
          </cell>
          <cell r="H2417" t="str">
            <v>13602</v>
          </cell>
          <cell r="I2417" t="str">
            <v>https://www.smwcentral.net/?a=details&amp;id=13602&amp;p=section</v>
          </cell>
          <cell r="J2417" t="str">
            <v>https://dl.smwcentral.net/13602/The%20Hangover%20V1.0.zip</v>
          </cell>
        </row>
        <row r="2418">
          <cell r="A2418" t="str">
            <v>The Hard</v>
          </cell>
          <cell r="B2418" t="str">
            <v>The Hard</v>
          </cell>
          <cell r="C2418" t="str">
            <v>kurtistrydiz</v>
          </cell>
          <cell r="D2418">
            <v>13</v>
          </cell>
          <cell r="E2418" t="str">
            <v>Grandmaster</v>
          </cell>
          <cell r="F2418" t="str">
            <v>Kaizo</v>
          </cell>
          <cell r="G2418">
            <v>45377</v>
          </cell>
          <cell r="H2418" t="str">
            <v>34341</v>
          </cell>
          <cell r="I2418" t="str">
            <v>https://www.smwcentral.net/?a=details&amp;id=34341&amp;p=section</v>
          </cell>
          <cell r="J2418" t="str">
            <v>https://dl.smwcentral.net/34341/The%20The%20Hard.zip</v>
          </cell>
        </row>
        <row r="2419">
          <cell r="A2419" t="str">
            <v>The Haunt</v>
          </cell>
          <cell r="B2419" t="str">
            <v>The Haunt</v>
          </cell>
          <cell r="C2419" t="str">
            <v>CaseP</v>
          </cell>
          <cell r="D2419">
            <v>2</v>
          </cell>
          <cell r="E2419" t="str">
            <v>Casual</v>
          </cell>
          <cell r="F2419" t="str">
            <v>Standard</v>
          </cell>
          <cell r="G2419">
            <v>41521</v>
          </cell>
          <cell r="H2419" t="str">
            <v>5082</v>
          </cell>
          <cell r="I2419" t="str">
            <v>https://www.smwcentral.net/?a=details&amp;id=5082&amp;p=section</v>
          </cell>
          <cell r="J2419" t="str">
            <v>https://dl.smwcentral.net/5082/The%20Haunt.zip</v>
          </cell>
        </row>
        <row r="2420">
          <cell r="A2420" t="str">
            <v>The Haunted Desert: OLD EDITION</v>
          </cell>
          <cell r="B2420" t="str">
            <v>The Haunted Desert: OLD EDITION</v>
          </cell>
          <cell r="C2420" t="str">
            <v>Crispy, Dan, Hadron</v>
          </cell>
          <cell r="D2420">
            <v>1</v>
          </cell>
          <cell r="E2420" t="str">
            <v>Intermediate</v>
          </cell>
          <cell r="F2420" t="str">
            <v>Standard</v>
          </cell>
          <cell r="G2420">
            <v>42691</v>
          </cell>
          <cell r="H2420" t="str">
            <v>14657</v>
          </cell>
          <cell r="I2420" t="str">
            <v>https://www.smwcentral.net/?a=details&amp;id=14657&amp;p=section</v>
          </cell>
          <cell r="J2420" t="str">
            <v>https://dl.smwcentral.net/14657/The%20Haunted%20Desert%20OLD%20EDITION.zip</v>
          </cell>
        </row>
        <row r="2421">
          <cell r="A2421" t="str">
            <v>The Haunted Desert: REMASTERED</v>
          </cell>
          <cell r="B2421" t="str">
            <v>The Haunted Desert: REMASTERED</v>
          </cell>
          <cell r="C2421" t="str">
            <v>Dan</v>
          </cell>
          <cell r="D2421">
            <v>0</v>
          </cell>
          <cell r="E2421" t="str">
            <v>Casual</v>
          </cell>
          <cell r="F2421" t="str">
            <v>Standard</v>
          </cell>
          <cell r="G2421">
            <v>42691</v>
          </cell>
          <cell r="H2421" t="str">
            <v>14592</v>
          </cell>
          <cell r="I2421" t="str">
            <v>https://www.smwcentral.net/?a=details&amp;id=14592&amp;p=section</v>
          </cell>
          <cell r="J2421" t="str">
            <v>https://dl.smwcentral.net/14592/The%20Haunted%20Desert%20REMASTERED.zip</v>
          </cell>
        </row>
        <row r="2422">
          <cell r="A2422" t="str">
            <v>The Hodgepodge: A Collection of Would Be Scrapped Levels</v>
          </cell>
          <cell r="B2422" t="str">
            <v>The Hodgepodge: A Collection of Would Be Scrapped Levels</v>
          </cell>
          <cell r="C2422" t="str">
            <v>Jamie, Kr00mmi</v>
          </cell>
          <cell r="D2422">
            <v>10</v>
          </cell>
          <cell r="E2422" t="str">
            <v>Expert</v>
          </cell>
          <cell r="F2422" t="str">
            <v>Kaizo</v>
          </cell>
          <cell r="G2422">
            <v>45047</v>
          </cell>
          <cell r="H2422" t="str">
            <v>33813</v>
          </cell>
          <cell r="I2422" t="str">
            <v>https://www.smwcentral.net/?a=details&amp;id=33813&amp;p=section</v>
          </cell>
          <cell r="J2422" t="str">
            <v>https://dl.smwcentral.net/33813/The%20Hodgepodge.zip</v>
          </cell>
        </row>
        <row r="2423">
          <cell r="A2423" t="str">
            <v>The Hooray! - Fishing Season</v>
          </cell>
          <cell r="B2423" t="str">
            <v>The Hooray! - Fishing Season</v>
          </cell>
          <cell r="C2423" t="str">
            <v>MellyMellouange</v>
          </cell>
          <cell r="D2423">
            <v>14</v>
          </cell>
          <cell r="E2423" t="str">
            <v>Casual</v>
          </cell>
          <cell r="F2423" t="str">
            <v>Standard</v>
          </cell>
          <cell r="G2423">
            <v>42458</v>
          </cell>
          <cell r="H2423" t="str">
            <v>13496</v>
          </cell>
          <cell r="I2423" t="str">
            <v>https://www.smwcentral.net/?a=details&amp;id=13496&amp;p=section</v>
          </cell>
          <cell r="J2423" t="str">
            <v>https://dl.smwcentral.net/13496/The%20Hooray%21%20-%20Fishing%20Season%20%28v1.01.1%29.zip</v>
          </cell>
        </row>
        <row r="2424">
          <cell r="A2424" t="str">
            <v>The House of Many Trolls</v>
          </cell>
          <cell r="B2424" t="str">
            <v>The House of Many Trolls</v>
          </cell>
          <cell r="C2424" t="str">
            <v>GoldenSpiny</v>
          </cell>
          <cell r="D2424">
            <v>1</v>
          </cell>
          <cell r="E2424" t="str">
            <v>Casual</v>
          </cell>
          <cell r="F2424" t="str">
            <v>Standard</v>
          </cell>
          <cell r="G2424">
            <v>46036</v>
          </cell>
          <cell r="H2424" t="str">
            <v>41392</v>
          </cell>
          <cell r="I2424" t="str">
            <v>https://www.smwcentral.net/?a=details&amp;id=41392&amp;p=section</v>
          </cell>
          <cell r="J2424" t="str">
            <v>https://dl.smwcentral.net/41392/TheHouseOfManyTrolls.zip</v>
          </cell>
        </row>
        <row r="2425">
          <cell r="A2425" t="str">
            <v>The Hungrymumbles Project</v>
          </cell>
          <cell r="B2425" t="str">
            <v>The Hungrymumbles Project</v>
          </cell>
          <cell r="C2425" t="str">
            <v>Hungrymumbles</v>
          </cell>
          <cell r="D2425">
            <v>16</v>
          </cell>
          <cell r="E2425" t="str">
            <v>Advanced</v>
          </cell>
          <cell r="F2425" t="str">
            <v>Kaizo</v>
          </cell>
          <cell r="G2425">
            <v>44133</v>
          </cell>
          <cell r="H2425" t="str">
            <v>24997</v>
          </cell>
          <cell r="I2425" t="str">
            <v>https://www.smwcentral.net/?a=details&amp;id=24997&amp;p=section</v>
          </cell>
          <cell r="J2425" t="str">
            <v>https://dl.smwcentral.net/24997/The%20Hungrymumbles%20Project%20V1.3.zip</v>
          </cell>
        </row>
        <row r="2426">
          <cell r="A2426" t="str">
            <v>The Hunt for the Chocolate Egg</v>
          </cell>
          <cell r="B2426" t="str">
            <v>The Hunt for the Chocolate Egg</v>
          </cell>
          <cell r="C2426" t="str">
            <v>Green Jerry</v>
          </cell>
          <cell r="D2426">
            <v>8</v>
          </cell>
          <cell r="E2426" t="str">
            <v>Casual</v>
          </cell>
          <cell r="F2426" t="str">
            <v>Standard</v>
          </cell>
          <cell r="G2426">
            <v>43569</v>
          </cell>
          <cell r="H2426" t="str">
            <v>19664</v>
          </cell>
          <cell r="I2426" t="str">
            <v>https://www.smwcentral.net/?a=details&amp;id=19664&amp;p=section</v>
          </cell>
          <cell r="J2426" t="str">
            <v>https://dl.smwcentral.net/19664/The_Hunt_for_the_Chocolate_Egg.zip</v>
          </cell>
        </row>
        <row r="2427">
          <cell r="A2427" t="str">
            <v>The Joy of Kaizo</v>
          </cell>
          <cell r="B2427" t="str">
            <v>The Joy of Kaizo</v>
          </cell>
          <cell r="C2427" t="str">
            <v>NaroGugul</v>
          </cell>
          <cell r="D2427">
            <v>54</v>
          </cell>
          <cell r="E2427" t="str">
            <v>Master</v>
          </cell>
          <cell r="F2427" t="str">
            <v>Kaizo</v>
          </cell>
          <cell r="G2427">
            <v>43374</v>
          </cell>
          <cell r="H2427" t="str">
            <v>18200</v>
          </cell>
          <cell r="I2427" t="str">
            <v>https://www.smwcentral.net/?a=details&amp;id=18200&amp;p=section</v>
          </cell>
          <cell r="J2427" t="str">
            <v>https://dl.smwcentral.net/18200/Joy%20of%20Kaizo%201.6.zip</v>
          </cell>
        </row>
        <row r="2428">
          <cell r="A2428" t="str">
            <v>The Junkbox</v>
          </cell>
          <cell r="B2428" t="str">
            <v>The Junkbox</v>
          </cell>
          <cell r="C2428" t="str">
            <v>Wind Fish</v>
          </cell>
          <cell r="D2428">
            <v>6</v>
          </cell>
          <cell r="E2428" t="str">
            <v>Casual</v>
          </cell>
          <cell r="F2428" t="str">
            <v>Standard</v>
          </cell>
          <cell r="G2428">
            <v>43178</v>
          </cell>
          <cell r="H2428" t="str">
            <v>17256</v>
          </cell>
          <cell r="I2428" t="str">
            <v>https://www.smwcentral.net/?a=details&amp;id=17256&amp;p=section</v>
          </cell>
          <cell r="J2428" t="str">
            <v>https://dl.smwcentral.net/17256/The%20Junkbox%201.1.zip</v>
          </cell>
        </row>
        <row r="2429">
          <cell r="A2429" t="str">
            <v>The Last Journey</v>
          </cell>
          <cell r="B2429" t="str">
            <v>The Last Journey</v>
          </cell>
          <cell r="C2429" t="str">
            <v>TheMURAmatsu</v>
          </cell>
          <cell r="D2429">
            <v>16</v>
          </cell>
          <cell r="E2429" t="str">
            <v>Expert</v>
          </cell>
          <cell r="F2429" t="str">
            <v>Kaizo</v>
          </cell>
          <cell r="G2429">
            <v>44456</v>
          </cell>
          <cell r="H2429" t="str">
            <v>28336</v>
          </cell>
          <cell r="I2429" t="str">
            <v>https://www.smwcentral.net/?a=details&amp;id=28336&amp;p=section</v>
          </cell>
          <cell r="J2429" t="str">
            <v>https://dl.smwcentral.net/28336/TheLastJourney_V1.1.zip</v>
          </cell>
        </row>
        <row r="2430">
          <cell r="A2430" t="str">
            <v>The Last Straw</v>
          </cell>
          <cell r="B2430" t="str">
            <v>The Last Straw</v>
          </cell>
          <cell r="C2430" t="str">
            <v>Diego</v>
          </cell>
          <cell r="D2430">
            <v>14</v>
          </cell>
          <cell r="E2430" t="str">
            <v>Casual</v>
          </cell>
          <cell r="F2430" t="str">
            <v>Standard</v>
          </cell>
          <cell r="G2430">
            <v>44098</v>
          </cell>
          <cell r="H2430" t="str">
            <v>24693</v>
          </cell>
          <cell r="I2430" t="str">
            <v>https://www.smwcentral.net/?a=details&amp;id=24693&amp;p=section</v>
          </cell>
          <cell r="J2430" t="str">
            <v>https://dl.smwcentral.net/24693/TLS%20v2.2.zip</v>
          </cell>
        </row>
        <row r="2431">
          <cell r="A2431" t="str">
            <v>The Left Hand of Rosalina</v>
          </cell>
          <cell r="B2431" t="str">
            <v>The Left Hand of Rosalina</v>
          </cell>
          <cell r="C2431" t="str">
            <v>Buzbee, GrumpyWalrus</v>
          </cell>
          <cell r="D2431">
            <v>13</v>
          </cell>
          <cell r="E2431" t="str">
            <v>Expert</v>
          </cell>
          <cell r="F2431" t="str">
            <v>Kaizo</v>
          </cell>
          <cell r="G2431">
            <v>45323</v>
          </cell>
          <cell r="H2431" t="str">
            <v>36686</v>
          </cell>
          <cell r="I2431" t="str">
            <v>https://www.smwcentral.net/?a=details&amp;id=36686&amp;p=section</v>
          </cell>
          <cell r="J2431" t="str">
            <v>https://dl.smwcentral.net/36686/TheLeftHandOfRosalina_2.zip</v>
          </cell>
        </row>
        <row r="2432">
          <cell r="A2432" t="str">
            <v>The Legend of Randorland 1 - The Rise of Randor - Resurrected</v>
          </cell>
          <cell r="B2432" t="str">
            <v>The Legend of Randorland 1 - The Rise of Randor - Resurrected</v>
          </cell>
          <cell r="C2432" t="str">
            <v>Chikane</v>
          </cell>
          <cell r="D2432">
            <v>37</v>
          </cell>
          <cell r="E2432" t="str">
            <v>Casual</v>
          </cell>
          <cell r="F2432" t="str">
            <v>Standard</v>
          </cell>
          <cell r="G2432">
            <v>42304</v>
          </cell>
          <cell r="H2432" t="str">
            <v>10152</v>
          </cell>
          <cell r="I2432" t="str">
            <v>https://www.smwcentral.net/?a=details&amp;id=10152&amp;p=section</v>
          </cell>
          <cell r="J2432" t="str">
            <v>https://dl.smwcentral.net/10152/The%20Legend%20of%20Randorland%201%20-%20The%20Rise%20of%20Randor%20V1.2.zip</v>
          </cell>
        </row>
        <row r="2433">
          <cell r="A2433" t="str">
            <v>The Legend of Randorland 3 - Randor's Eternal Empire</v>
          </cell>
          <cell r="B2433" t="str">
            <v>The Legend of Randorland 3 - Randor's Eternal Empire</v>
          </cell>
          <cell r="C2433" t="str">
            <v>Chikane</v>
          </cell>
          <cell r="D2433">
            <v>36</v>
          </cell>
          <cell r="E2433" t="str">
            <v>Casual</v>
          </cell>
          <cell r="F2433" t="str">
            <v>Standard</v>
          </cell>
          <cell r="G2433">
            <v>42281</v>
          </cell>
          <cell r="H2433" t="str">
            <v>10002</v>
          </cell>
          <cell r="I2433" t="str">
            <v>https://www.smwcentral.net/?a=details&amp;id=10002&amp;p=section</v>
          </cell>
          <cell r="J2433" t="str">
            <v>https://dl.smwcentral.net/10002/The%20Legend%20of%20Randorland%203.zip</v>
          </cell>
        </row>
        <row r="2434">
          <cell r="A2434" t="str">
            <v>The Legend Of Red Plumber</v>
          </cell>
          <cell r="B2434" t="str">
            <v>The Legend Of Red Plumber</v>
          </cell>
          <cell r="C2434" t="str">
            <v>Jukeboxi_</v>
          </cell>
          <cell r="D2434">
            <v>22</v>
          </cell>
          <cell r="E2434" t="str">
            <v>Master</v>
          </cell>
          <cell r="F2434" t="str">
            <v>Kaizo</v>
          </cell>
          <cell r="G2434">
            <v>45721</v>
          </cell>
          <cell r="H2434" t="str">
            <v>39497</v>
          </cell>
          <cell r="I2434" t="str">
            <v>https://www.smwcentral.net/?a=details&amp;id=39497&amp;p=section</v>
          </cell>
          <cell r="J2434" t="str">
            <v>https://dl.smwcentral.net/39497/thelegendofredplumber.zip</v>
          </cell>
        </row>
        <row r="2435">
          <cell r="A2435" t="str">
            <v>The Legend of Zelda - The Mini Quest</v>
          </cell>
          <cell r="B2435" t="str">
            <v>The Legend of Zelda - The Mini Quest</v>
          </cell>
          <cell r="C2435" t="str">
            <v>MaxwelHacks</v>
          </cell>
          <cell r="D2435">
            <v>14</v>
          </cell>
          <cell r="E2435" t="str">
            <v>Intermediate</v>
          </cell>
          <cell r="F2435" t="str">
            <v>Standard</v>
          </cell>
          <cell r="G2435">
            <v>44607</v>
          </cell>
          <cell r="H2435" t="str">
            <v>29774</v>
          </cell>
          <cell r="I2435" t="str">
            <v>https://www.smwcentral.net/?a=details&amp;id=29774&amp;p=section</v>
          </cell>
          <cell r="J2435" t="str">
            <v>https://dl.smwcentral.net/29774/The%20Legend%20of%20Zelda%20-%20The%20Mini%20Quest.zip</v>
          </cell>
        </row>
        <row r="2436">
          <cell r="A2436" t="str">
            <v>The Legendary Bros.</v>
          </cell>
          <cell r="B2436" t="str">
            <v>The Legendary Bros.</v>
          </cell>
          <cell r="C2436" t="str">
            <v>Stivi</v>
          </cell>
          <cell r="D2436">
            <v>15</v>
          </cell>
          <cell r="E2436" t="str">
            <v>Casual</v>
          </cell>
          <cell r="F2436" t="str">
            <v>Standard</v>
          </cell>
          <cell r="G2436">
            <v>42628</v>
          </cell>
          <cell r="H2436" t="str">
            <v>14419</v>
          </cell>
          <cell r="I2436" t="str">
            <v>https://www.smwcentral.net/?a=details&amp;id=14419&amp;p=section</v>
          </cell>
          <cell r="J2436" t="str">
            <v>https://dl.smwcentral.net/14419/The%20Legendary%20Bros.%20Demo%202.zip</v>
          </cell>
        </row>
        <row r="2437">
          <cell r="A2437" t="str">
            <v>The Level</v>
          </cell>
          <cell r="B2437" t="str">
            <v>The Level</v>
          </cell>
          <cell r="C2437" t="str">
            <v>TheGremlin</v>
          </cell>
          <cell r="D2437">
            <v>2</v>
          </cell>
          <cell r="E2437" t="str">
            <v>Intermediate</v>
          </cell>
          <cell r="F2437" t="str">
            <v>Standard</v>
          </cell>
          <cell r="G2437">
            <v>41974</v>
          </cell>
          <cell r="H2437" t="str">
            <v>9525</v>
          </cell>
          <cell r="I2437" t="str">
            <v>https://www.smwcentral.net/?a=details&amp;id=9525&amp;p=section</v>
          </cell>
          <cell r="J2437" t="str">
            <v>https://dl.smwcentral.net/9525/TheLevel1.2.zip</v>
          </cell>
        </row>
        <row r="2438">
          <cell r="A2438" t="str">
            <v>The long way home</v>
          </cell>
          <cell r="B2438" t="str">
            <v>The long way home</v>
          </cell>
          <cell r="C2438" t="str">
            <v>Lush_50</v>
          </cell>
          <cell r="D2438">
            <v>20</v>
          </cell>
          <cell r="E2438" t="str">
            <v>Advanced</v>
          </cell>
          <cell r="F2438" t="str">
            <v>Kaizo</v>
          </cell>
          <cell r="G2438">
            <v>45145</v>
          </cell>
          <cell r="H2438" t="str">
            <v>34659</v>
          </cell>
          <cell r="I2438" t="str">
            <v>https://www.smwcentral.net/?a=details&amp;id=34659&amp;p=section</v>
          </cell>
          <cell r="J2438" t="str">
            <v>https://dl.smwcentral.net/34659/The%20long%20way%20home%20v1.1.zip</v>
          </cell>
        </row>
        <row r="2439">
          <cell r="A2439" t="str">
            <v>The long way home 2</v>
          </cell>
          <cell r="B2439" t="str">
            <v>The long way home 2</v>
          </cell>
          <cell r="C2439" t="str">
            <v>Lush_50</v>
          </cell>
          <cell r="D2439">
            <v>18</v>
          </cell>
          <cell r="E2439" t="str">
            <v>Advanced</v>
          </cell>
          <cell r="F2439" t="str">
            <v>Kaizo</v>
          </cell>
          <cell r="G2439">
            <v>45195</v>
          </cell>
          <cell r="H2439" t="str">
            <v>35088</v>
          </cell>
          <cell r="I2439" t="str">
            <v>https://www.smwcentral.net/?a=details&amp;id=35088&amp;p=section</v>
          </cell>
          <cell r="J2439" t="str">
            <v>https://dl.smwcentral.net/35088/The%20long%20way%20home%20II%20V1.1.zip</v>
          </cell>
        </row>
        <row r="2440">
          <cell r="A2440" t="str">
            <v>The Lost Chapters - Chapter 1: Reminiscence</v>
          </cell>
          <cell r="B2440" t="str">
            <v>The Lost Chapters - Chapter 1: Reminiscence</v>
          </cell>
          <cell r="C2440" t="str">
            <v>Lumy</v>
          </cell>
          <cell r="D2440">
            <v>77</v>
          </cell>
          <cell r="E2440" t="str">
            <v>Intermediate</v>
          </cell>
          <cell r="F2440" t="str">
            <v>Standard</v>
          </cell>
          <cell r="G2440">
            <v>41620</v>
          </cell>
          <cell r="H2440" t="str">
            <v>5965</v>
          </cell>
          <cell r="I2440" t="str">
            <v>https://www.smwcentral.net/?a=details&amp;id=5965&amp;p=section</v>
          </cell>
          <cell r="J2440" t="str">
            <v>https://dl.smwcentral.net/5965/TLC%20-%20Chapter%201%20Demo%203.zip</v>
          </cell>
        </row>
        <row r="2441">
          <cell r="A2441" t="str">
            <v>The Lost Land</v>
          </cell>
          <cell r="B2441" t="str">
            <v>The Lost Land</v>
          </cell>
          <cell r="C2441" t="str">
            <v>Tahixham</v>
          </cell>
          <cell r="D2441">
            <v>2</v>
          </cell>
          <cell r="E2441" t="str">
            <v>Casual</v>
          </cell>
          <cell r="F2441" t="str">
            <v>Standard</v>
          </cell>
          <cell r="G2441">
            <v>42018</v>
          </cell>
          <cell r="H2441" t="str">
            <v>10244</v>
          </cell>
          <cell r="I2441" t="str">
            <v>https://www.smwcentral.net/?a=details&amp;id=10244&amp;p=section</v>
          </cell>
          <cell r="J2441" t="str">
            <v>https://dl.smwcentral.net/10244/The%20Lost%20Land.zip</v>
          </cell>
        </row>
        <row r="2442">
          <cell r="A2442" t="str">
            <v>The Lost Land 2: The 4 Switches</v>
          </cell>
          <cell r="B2442" t="str">
            <v>The Lost Land 2: The 4 Switches</v>
          </cell>
          <cell r="C2442" t="str">
            <v>Tahixham</v>
          </cell>
          <cell r="D2442">
            <v>6</v>
          </cell>
          <cell r="E2442" t="str">
            <v>Casual</v>
          </cell>
          <cell r="F2442" t="str">
            <v>Standard</v>
          </cell>
          <cell r="G2442">
            <v>41533</v>
          </cell>
          <cell r="H2442" t="str">
            <v>5256</v>
          </cell>
          <cell r="I2442" t="str">
            <v>https://www.smwcentral.net/?a=details&amp;id=5256&amp;p=section</v>
          </cell>
          <cell r="J2442" t="str">
            <v>https://dl.smwcentral.net/5256/The%20Lost%20Land%202%20-%20The%204%20Switches.zip</v>
          </cell>
        </row>
        <row r="2443">
          <cell r="A2443" t="str">
            <v>The Lost Land 3</v>
          </cell>
          <cell r="B2443" t="str">
            <v>The Lost Land 3</v>
          </cell>
          <cell r="C2443" t="str">
            <v>Tahixham</v>
          </cell>
          <cell r="D2443">
            <v>15</v>
          </cell>
          <cell r="E2443" t="str">
            <v>Casual</v>
          </cell>
          <cell r="F2443" t="str">
            <v>Standard</v>
          </cell>
          <cell r="G2443">
            <v>41563</v>
          </cell>
          <cell r="H2443" t="str">
            <v>5543</v>
          </cell>
          <cell r="I2443" t="str">
            <v>https://www.smwcentral.net/?a=details&amp;id=5543&amp;p=section</v>
          </cell>
          <cell r="J2443" t="str">
            <v>https://dl.smwcentral.net/5543/The%20Lost%20Land%203.zip</v>
          </cell>
        </row>
        <row r="2444">
          <cell r="A2444" t="str">
            <v>The Lost Levels Enhanced</v>
          </cell>
          <cell r="B2444" t="str">
            <v>The Lost Levels Enhanced</v>
          </cell>
          <cell r="C2444" t="str">
            <v>Pac</v>
          </cell>
          <cell r="D2444">
            <v>54</v>
          </cell>
          <cell r="E2444" t="str">
            <v>Intermediate</v>
          </cell>
          <cell r="F2444" t="str">
            <v>Standard</v>
          </cell>
          <cell r="G2444">
            <v>42299</v>
          </cell>
          <cell r="H2444" t="str">
            <v>10229</v>
          </cell>
          <cell r="I2444" t="str">
            <v>https://www.smwcentral.net/?a=details&amp;id=10229&amp;p=section</v>
          </cell>
          <cell r="J2444" t="str">
            <v>https://dl.smwcentral.net/10229/tlle.zip</v>
          </cell>
        </row>
        <row r="2445">
          <cell r="A2445" t="str">
            <v>The Lost Woods</v>
          </cell>
          <cell r="B2445" t="str">
            <v>The Lost Woods</v>
          </cell>
          <cell r="C2445" t="str">
            <v>K1ngHacks</v>
          </cell>
          <cell r="D2445">
            <v>6</v>
          </cell>
          <cell r="E2445" t="str">
            <v>Casual</v>
          </cell>
          <cell r="F2445" t="str">
            <v>Standard</v>
          </cell>
          <cell r="G2445">
            <v>41535</v>
          </cell>
          <cell r="H2445" t="str">
            <v>5603</v>
          </cell>
          <cell r="I2445" t="str">
            <v>https://www.smwcentral.net/?a=details&amp;id=5603&amp;p=section</v>
          </cell>
          <cell r="J2445" t="str">
            <v>https://dl.smwcentral.net/5603/The%20Lost%20Woods.zip</v>
          </cell>
        </row>
        <row r="2446">
          <cell r="A2446" t="str">
            <v>The Lost World Journey</v>
          </cell>
          <cell r="B2446" t="str">
            <v>The Lost World Journey</v>
          </cell>
          <cell r="C2446" t="str">
            <v>Team Haunted</v>
          </cell>
          <cell r="D2446">
            <v>4</v>
          </cell>
          <cell r="E2446" t="str">
            <v>Casual</v>
          </cell>
          <cell r="F2446" t="str">
            <v>Standard</v>
          </cell>
          <cell r="G2446">
            <v>42066</v>
          </cell>
          <cell r="H2446" t="str">
            <v>9922</v>
          </cell>
          <cell r="I2446" t="str">
            <v>https://www.smwcentral.net/?a=details&amp;id=9922&amp;p=section</v>
          </cell>
          <cell r="J2446" t="str">
            <v>https://dl.smwcentral.net/9922/The%20Lost%20World%20Journey.zip</v>
          </cell>
        </row>
        <row r="2447">
          <cell r="A2447" t="str">
            <v>The Magic Cooking Pot</v>
          </cell>
          <cell r="B2447" t="str">
            <v>The Magic Cooking Pot</v>
          </cell>
          <cell r="C2447" t="str">
            <v>Goobie Doobie</v>
          </cell>
          <cell r="D2447">
            <v>32</v>
          </cell>
          <cell r="E2447" t="str">
            <v>Casual</v>
          </cell>
          <cell r="F2447" t="str">
            <v>Standard</v>
          </cell>
          <cell r="G2447">
            <v>45138</v>
          </cell>
          <cell r="H2447" t="str">
            <v>34379</v>
          </cell>
          <cell r="I2447" t="str">
            <v>https://www.smwcentral.net/?a=details&amp;id=34379&amp;p=section</v>
          </cell>
          <cell r="J2447" t="str">
            <v>https://dl.smwcentral.net/34379/MCP.zip</v>
          </cell>
        </row>
        <row r="2448">
          <cell r="A2448" t="str">
            <v>The Mario World</v>
          </cell>
          <cell r="B2448" t="str">
            <v>The Mario World</v>
          </cell>
          <cell r="C2448" t="str">
            <v>Mariogoon</v>
          </cell>
          <cell r="D2448">
            <v>6</v>
          </cell>
          <cell r="E2448" t="str">
            <v>Newcomer</v>
          </cell>
          <cell r="F2448" t="str">
            <v>Standard</v>
          </cell>
          <cell r="G2448">
            <v>42317</v>
          </cell>
          <cell r="H2448" t="str">
            <v>10084</v>
          </cell>
          <cell r="I2448" t="str">
            <v>https://www.smwcentral.net/?a=details&amp;id=10084&amp;p=section</v>
          </cell>
          <cell r="J2448" t="str">
            <v>https://dl.smwcentral.net/10084/The%20Mario%20World.zip</v>
          </cell>
        </row>
        <row r="2449">
          <cell r="A2449" t="str">
            <v>The Mario's Greatest Adventure</v>
          </cell>
          <cell r="B2449" t="str">
            <v>The Mario's Greatest Adventure</v>
          </cell>
          <cell r="C2449" t="str">
            <v>Brutapode89</v>
          </cell>
          <cell r="D2449">
            <v>25</v>
          </cell>
          <cell r="E2449" t="str">
            <v>Intermediate</v>
          </cell>
          <cell r="F2449" t="str">
            <v>Standard</v>
          </cell>
          <cell r="G2449">
            <v>44167</v>
          </cell>
          <cell r="H2449" t="str">
            <v>25281</v>
          </cell>
          <cell r="I2449" t="str">
            <v>https://www.smwcentral.net/?a=details&amp;id=25281&amp;p=section</v>
          </cell>
          <cell r="J2449" t="str">
            <v>https://dl.smwcentral.net/25281/The%20Mario%27s%20Greatest%20Adventure%20%28Demo%202.1%29.zip</v>
          </cell>
        </row>
        <row r="2450">
          <cell r="A2450" t="str">
            <v>The Mirror Border</v>
          </cell>
          <cell r="B2450" t="str">
            <v>The Mirror Border</v>
          </cell>
          <cell r="C2450" t="str">
            <v>Ckristina, Kixune, Masterlink, Mentholeus, yupilongas</v>
          </cell>
          <cell r="D2450">
            <v>0</v>
          </cell>
          <cell r="E2450" t="str">
            <v>Casual</v>
          </cell>
          <cell r="F2450" t="str">
            <v>Standard</v>
          </cell>
          <cell r="G2450">
            <v>44676</v>
          </cell>
          <cell r="H2450" t="str">
            <v>30156</v>
          </cell>
          <cell r="I2450" t="str">
            <v>https://www.smwcentral.net/?a=details&amp;id=30156&amp;p=section</v>
          </cell>
          <cell r="J2450" t="str">
            <v>https://dl.smwcentral.net/30156/The%20Mirror%20Border.zip</v>
          </cell>
        </row>
        <row r="2451">
          <cell r="A2451" t="str">
            <v>The Misfortunes of Little Denise</v>
          </cell>
          <cell r="B2451" t="str">
            <v>The Misfortunes of Little Denise</v>
          </cell>
          <cell r="C2451" t="str">
            <v>Mpereira</v>
          </cell>
          <cell r="D2451">
            <v>44</v>
          </cell>
          <cell r="E2451" t="str">
            <v>Casual</v>
          </cell>
          <cell r="F2451" t="str">
            <v>Standard</v>
          </cell>
          <cell r="G2451">
            <v>43955</v>
          </cell>
          <cell r="H2451" t="str">
            <v>22858</v>
          </cell>
          <cell r="I2451" t="str">
            <v>https://www.smwcentral.net/?a=details&amp;id=22858&amp;p=section</v>
          </cell>
          <cell r="J2451" t="str">
            <v>https://dl.smwcentral.net/22858/Little%20Denise.zip</v>
          </cell>
        </row>
        <row r="2452">
          <cell r="A2452" t="str">
            <v>The Missing Eggs</v>
          </cell>
          <cell r="B2452" t="str">
            <v>The Missing Eggs</v>
          </cell>
          <cell r="C2452" t="str">
            <v>AHawk</v>
          </cell>
          <cell r="D2452">
            <v>11</v>
          </cell>
          <cell r="E2452" t="str">
            <v>Casual</v>
          </cell>
          <cell r="F2452" t="str">
            <v>Standard</v>
          </cell>
          <cell r="G2452">
            <v>42276</v>
          </cell>
          <cell r="H2452" t="str">
            <v>10261</v>
          </cell>
          <cell r="I2452" t="str">
            <v>https://www.smwcentral.net/?a=details&amp;id=10261&amp;p=section</v>
          </cell>
          <cell r="J2452" t="str">
            <v>https://dl.smwcentral.net/10261/megayoshi%20patch.zip</v>
          </cell>
        </row>
        <row r="2453">
          <cell r="A2453" t="str">
            <v>The Missing Plot</v>
          </cell>
          <cell r="B2453" t="str">
            <v>The Missing Plot</v>
          </cell>
          <cell r="C2453" t="str">
            <v>Huxellberger</v>
          </cell>
          <cell r="D2453">
            <v>13</v>
          </cell>
          <cell r="E2453" t="str">
            <v>Casual</v>
          </cell>
          <cell r="F2453" t="str">
            <v>Standard</v>
          </cell>
          <cell r="G2453">
            <v>42302</v>
          </cell>
          <cell r="H2453" t="str">
            <v>10096</v>
          </cell>
          <cell r="I2453" t="str">
            <v>https://www.smwcentral.net/?a=details&amp;id=10096&amp;p=section</v>
          </cell>
          <cell r="J2453" t="str">
            <v>https://dl.smwcentral.net/10096/Missing%20Plot.zip</v>
          </cell>
        </row>
        <row r="2454">
          <cell r="A2454" t="str">
            <v>The Most Pointless Hack Ever</v>
          </cell>
          <cell r="B2454" t="str">
            <v>The Most Pointless Hack Ever</v>
          </cell>
          <cell r="C2454" t="str">
            <v>Diddy Kong</v>
          </cell>
          <cell r="D2454">
            <v>2</v>
          </cell>
          <cell r="E2454" t="str">
            <v>Newcomer</v>
          </cell>
          <cell r="F2454" t="str">
            <v>Standard</v>
          </cell>
          <cell r="G2454">
            <v>42018</v>
          </cell>
          <cell r="H2454" t="str">
            <v>9835</v>
          </cell>
          <cell r="I2454" t="str">
            <v>https://www.smwcentral.net/?a=details&amp;id=9835&amp;p=section</v>
          </cell>
          <cell r="J2454" t="str">
            <v>https://dl.smwcentral.net/9835/tMPHE.zip</v>
          </cell>
        </row>
        <row r="2455">
          <cell r="A2455" t="str">
            <v>The Mountain Adventure</v>
          </cell>
          <cell r="B2455" t="str">
            <v>The Mountain Adventure</v>
          </cell>
          <cell r="C2455" t="str">
            <v>Delta</v>
          </cell>
          <cell r="D2455">
            <v>5</v>
          </cell>
          <cell r="E2455" t="str">
            <v>Newcomer</v>
          </cell>
          <cell r="F2455" t="str">
            <v>Standard</v>
          </cell>
          <cell r="G2455">
            <v>42265</v>
          </cell>
          <cell r="H2455" t="str">
            <v>9684</v>
          </cell>
          <cell r="I2455" t="str">
            <v>https://www.smwcentral.net/?a=details&amp;id=9684&amp;p=section</v>
          </cell>
          <cell r="J2455" t="str">
            <v>https://dl.smwcentral.net/9684/The%20Mountain%20Adventure.zip</v>
          </cell>
        </row>
        <row r="2456">
          <cell r="A2456" t="str">
            <v>The Muncher Run</v>
          </cell>
          <cell r="B2456" t="str">
            <v>The Muncher Run</v>
          </cell>
          <cell r="C2456" t="str">
            <v>Ersanio</v>
          </cell>
          <cell r="D2456">
            <v>1</v>
          </cell>
          <cell r="E2456" t="str">
            <v>Casual</v>
          </cell>
          <cell r="F2456" t="str">
            <v>Standard</v>
          </cell>
          <cell r="G2456">
            <v>42017</v>
          </cell>
          <cell r="H2456" t="str">
            <v>9876</v>
          </cell>
          <cell r="I2456" t="str">
            <v>https://www.smwcentral.net/?a=details&amp;id=9876&amp;p=section</v>
          </cell>
          <cell r="J2456" t="str">
            <v>https://dl.smwcentral.net/9876/TMR.zip</v>
          </cell>
        </row>
        <row r="2457">
          <cell r="A2457" t="str">
            <v>The Muncher Run 2</v>
          </cell>
          <cell r="B2457" t="str">
            <v>The Muncher Run 2</v>
          </cell>
          <cell r="C2457" t="str">
            <v>Bad luck man, Ersanio</v>
          </cell>
          <cell r="D2457">
            <v>4</v>
          </cell>
          <cell r="E2457" t="str">
            <v>Expert</v>
          </cell>
          <cell r="F2457" t="str">
            <v>Kaizo</v>
          </cell>
          <cell r="G2457">
            <v>42222</v>
          </cell>
          <cell r="H2457" t="str">
            <v>9695</v>
          </cell>
          <cell r="I2457" t="str">
            <v>https://www.smwcentral.net/?a=details&amp;id=9695&amp;p=section</v>
          </cell>
          <cell r="J2457" t="str">
            <v>https://dl.smwcentral.net/9695/The_Muncher_Run_2_V1.1.zip</v>
          </cell>
        </row>
        <row r="2458">
          <cell r="A2458" t="str">
            <v>The Mushroom Factor</v>
          </cell>
          <cell r="B2458" t="str">
            <v>The Mushroom Factor</v>
          </cell>
          <cell r="C2458" t="str">
            <v>pablopeach</v>
          </cell>
          <cell r="D2458">
            <v>12</v>
          </cell>
          <cell r="E2458" t="str">
            <v>Casual</v>
          </cell>
          <cell r="F2458" t="str">
            <v>Standard</v>
          </cell>
          <cell r="G2458">
            <v>41567</v>
          </cell>
          <cell r="H2458" t="str">
            <v>5557</v>
          </cell>
          <cell r="I2458" t="str">
            <v>https://www.smwcentral.net/?a=details&amp;id=5557&amp;p=section</v>
          </cell>
          <cell r="J2458" t="str">
            <v>https://dl.smwcentral.net/5557/tmf.zip</v>
          </cell>
        </row>
        <row r="2459">
          <cell r="A2459" t="str">
            <v>The Mushroom Manifold</v>
          </cell>
          <cell r="B2459" t="str">
            <v>The Mushroom Manifold</v>
          </cell>
          <cell r="C2459" t="str">
            <v>FerpyMcFrosting, FridayFables, Hwailaluta, Mithrillionaire, Prestinator13</v>
          </cell>
          <cell r="D2459">
            <v>11</v>
          </cell>
          <cell r="E2459" t="str">
            <v>Master</v>
          </cell>
          <cell r="F2459" t="str">
            <v>Kaizo</v>
          </cell>
          <cell r="G2459">
            <v>44631</v>
          </cell>
          <cell r="H2459" t="str">
            <v>30029</v>
          </cell>
          <cell r="I2459" t="str">
            <v>https://www.smwcentral.net/?a=details&amp;id=30029&amp;p=section</v>
          </cell>
          <cell r="J2459" t="str">
            <v>https://dl.smwcentral.net/30029/TheMushroomManifold.zip</v>
          </cell>
        </row>
        <row r="2460">
          <cell r="A2460" t="str">
            <v>The New Comfort Zone</v>
          </cell>
          <cell r="B2460" t="str">
            <v>The New Comfort Zone</v>
          </cell>
          <cell r="C2460" t="str">
            <v>orka-bln</v>
          </cell>
          <cell r="D2460">
            <v>19</v>
          </cell>
          <cell r="E2460" t="str">
            <v>Expert</v>
          </cell>
          <cell r="F2460" t="str">
            <v>Kaizo</v>
          </cell>
          <cell r="G2460">
            <v>44480</v>
          </cell>
          <cell r="H2460" t="str">
            <v>28543</v>
          </cell>
          <cell r="I2460" t="str">
            <v>https://www.smwcentral.net/?a=details&amp;id=28543&amp;p=section</v>
          </cell>
          <cell r="J2460" t="str">
            <v>https://dl.smwcentral.net/28543/NewComfy1.02.zip</v>
          </cell>
        </row>
        <row r="2461">
          <cell r="A2461" t="str">
            <v>The New Mario World</v>
          </cell>
          <cell r="B2461" t="str">
            <v>The New Mario World</v>
          </cell>
          <cell r="C2461" t="str">
            <v>OnlineVideoSurfer</v>
          </cell>
          <cell r="D2461">
            <v>96</v>
          </cell>
          <cell r="E2461" t="str">
            <v>Master</v>
          </cell>
          <cell r="F2461" t="str">
            <v>Standard</v>
          </cell>
          <cell r="G2461">
            <v>41582</v>
          </cell>
          <cell r="H2461" t="str">
            <v>5294</v>
          </cell>
          <cell r="I2461" t="str">
            <v>https://www.smwcentral.net/?a=details&amp;id=5294&amp;p=section</v>
          </cell>
          <cell r="J2461" t="str">
            <v>https://dl.smwcentral.net/5294/The%20New%20Mario%20World%20V1.1.zip</v>
          </cell>
        </row>
        <row r="2462">
          <cell r="A2462" t="str">
            <v>The Ninji Saga</v>
          </cell>
          <cell r="B2462" t="str">
            <v>The Ninji Saga</v>
          </cell>
          <cell r="C2462" t="str">
            <v>The Kins</v>
          </cell>
          <cell r="D2462">
            <v>9</v>
          </cell>
          <cell r="E2462" t="str">
            <v>Intermediate</v>
          </cell>
          <cell r="F2462" t="str">
            <v>Standard</v>
          </cell>
          <cell r="G2462">
            <v>42040</v>
          </cell>
          <cell r="H2462" t="str">
            <v>9710</v>
          </cell>
          <cell r="I2462" t="str">
            <v>https://www.smwcentral.net/?a=details&amp;id=9710&amp;p=section</v>
          </cell>
          <cell r="J2462" t="str">
            <v>https://dl.smwcentral.net/9710/ninjisaga.zip</v>
          </cell>
        </row>
        <row r="2463">
          <cell r="A2463" t="str">
            <v>The Old Mansion</v>
          </cell>
          <cell r="B2463" t="str">
            <v>The Old Mansion</v>
          </cell>
          <cell r="C2463" t="str">
            <v>MaiK</v>
          </cell>
          <cell r="D2463">
            <v>1</v>
          </cell>
          <cell r="E2463" t="str">
            <v>Intermediate</v>
          </cell>
          <cell r="F2463" t="str">
            <v>Standard</v>
          </cell>
          <cell r="G2463">
            <v>42155</v>
          </cell>
          <cell r="H2463" t="str">
            <v>10121</v>
          </cell>
          <cell r="I2463" t="str">
            <v>https://www.smwcentral.net/?a=details&amp;id=10121&amp;p=section</v>
          </cell>
          <cell r="J2463" t="str">
            <v>https://dl.smwcentral.net/10121/The%20Old%20Mansion.zip</v>
          </cell>
        </row>
        <row r="2464">
          <cell r="A2464" t="str">
            <v>The Path from Prisminia</v>
          </cell>
          <cell r="B2464" t="str">
            <v>The Path from Prisminia</v>
          </cell>
          <cell r="C2464" t="str">
            <v>Sayuri</v>
          </cell>
          <cell r="D2464">
            <v>15</v>
          </cell>
          <cell r="E2464" t="str">
            <v>Intermediate</v>
          </cell>
          <cell r="F2464" t="str">
            <v>Standard</v>
          </cell>
          <cell r="G2464">
            <v>45407</v>
          </cell>
          <cell r="H2464" t="str">
            <v>37627</v>
          </cell>
          <cell r="I2464" t="str">
            <v>https://www.smwcentral.net/?a=details&amp;id=37627&amp;p=section</v>
          </cell>
          <cell r="J2464" t="str">
            <v>https://dl.smwcentral.net/37627/The%20Path%20from%20Prisminia%20%28Chapter%201%2B2%20Demo%2C%20v2.1%29.zip</v>
          </cell>
        </row>
        <row r="2465">
          <cell r="A2465" t="str">
            <v>The Pit Level 2</v>
          </cell>
          <cell r="B2465" t="str">
            <v>The Pit Level 2</v>
          </cell>
          <cell r="C2465" t="str">
            <v>IgorS777</v>
          </cell>
          <cell r="D2465">
            <v>1</v>
          </cell>
          <cell r="E2465" t="str">
            <v>Master</v>
          </cell>
          <cell r="F2465" t="str">
            <v>Tool-Assisted, Pit</v>
          </cell>
          <cell r="G2465">
            <v>42939</v>
          </cell>
          <cell r="H2465" t="str">
            <v>15823</v>
          </cell>
          <cell r="I2465" t="str">
            <v>https://www.smwcentral.net/?a=details&amp;id=15823&amp;p=section</v>
          </cell>
          <cell r="J2465" t="str">
            <v>https://dl.smwcentral.net/15823/TPL2.zip</v>
          </cell>
        </row>
        <row r="2466">
          <cell r="A2466" t="str">
            <v>The Pit Level 2 REMASTERED</v>
          </cell>
          <cell r="B2466" t="str">
            <v>The Pit Level 2 REMASTERED</v>
          </cell>
          <cell r="C2466" t="str">
            <v>IgorOliveira666</v>
          </cell>
          <cell r="D2466">
            <v>1</v>
          </cell>
          <cell r="E2466" t="str">
            <v>Master</v>
          </cell>
          <cell r="F2466" t="str">
            <v>Tool-Assisted, Pit</v>
          </cell>
          <cell r="G2466">
            <v>45209</v>
          </cell>
          <cell r="H2466" t="str">
            <v>32607</v>
          </cell>
          <cell r="I2466" t="str">
            <v>https://www.smwcentral.net/?a=details&amp;id=32607&amp;p=section</v>
          </cell>
          <cell r="J2466" t="str">
            <v>https://dl.smwcentral.net/32607/The%20Pit%20Level%202%20REMASTERED.zip</v>
          </cell>
        </row>
        <row r="2467">
          <cell r="A2467" t="str">
            <v>The Plumber Saga</v>
          </cell>
          <cell r="B2467" t="str">
            <v>The Plumber Saga</v>
          </cell>
          <cell r="C2467" t="str">
            <v>E-Man</v>
          </cell>
          <cell r="D2467">
            <v>17</v>
          </cell>
          <cell r="E2467" t="str">
            <v>Newcomer</v>
          </cell>
          <cell r="F2467" t="str">
            <v>Standard</v>
          </cell>
          <cell r="G2467">
            <v>42256</v>
          </cell>
          <cell r="H2467" t="str">
            <v>9982</v>
          </cell>
          <cell r="I2467" t="str">
            <v>https://www.smwcentral.net/?a=details&amp;id=9982&amp;p=section</v>
          </cell>
          <cell r="J2467" t="str">
            <v>https://dl.smwcentral.net/9982/The%20Plumber%20Saga.zip</v>
          </cell>
        </row>
        <row r="2468">
          <cell r="A2468" t="str">
            <v>The Possibility Of An Island</v>
          </cell>
          <cell r="B2468" t="str">
            <v>The Possibility Of An Island</v>
          </cell>
          <cell r="C2468" t="str">
            <v>Eden_</v>
          </cell>
          <cell r="D2468">
            <v>5</v>
          </cell>
          <cell r="E2468" t="str">
            <v>Grandmaster</v>
          </cell>
          <cell r="F2468" t="str">
            <v>Kaizo</v>
          </cell>
          <cell r="G2468">
            <v>45127</v>
          </cell>
          <cell r="H2468" t="str">
            <v>34219</v>
          </cell>
          <cell r="I2468" t="str">
            <v>https://www.smwcentral.net/?a=details&amp;id=34219&amp;p=section</v>
          </cell>
          <cell r="J2468" t="str">
            <v>https://dl.smwcentral.net/34219/ThePossibilityOfAnIsland.zip</v>
          </cell>
        </row>
        <row r="2469">
          <cell r="A2469" t="str">
            <v>The Power Beneath</v>
          </cell>
          <cell r="B2469" t="str">
            <v>The Power Beneath</v>
          </cell>
          <cell r="C2469" t="str">
            <v>Nint</v>
          </cell>
          <cell r="D2469">
            <v>22</v>
          </cell>
          <cell r="E2469" t="str">
            <v>Expert</v>
          </cell>
          <cell r="F2469" t="str">
            <v>Kaizo</v>
          </cell>
          <cell r="G2469">
            <v>44384</v>
          </cell>
          <cell r="H2469" t="str">
            <v>27443</v>
          </cell>
          <cell r="I2469" t="str">
            <v>https://www.smwcentral.net/?a=details&amp;id=27443&amp;p=section</v>
          </cell>
          <cell r="J2469" t="str">
            <v>https://dl.smwcentral.net/27443/The%20Power%20Beneath.zip</v>
          </cell>
        </row>
        <row r="2470">
          <cell r="A2470" t="str">
            <v>The Precise Is Right</v>
          </cell>
          <cell r="B2470" t="str">
            <v>The Precise Is Right</v>
          </cell>
          <cell r="C2470" t="str">
            <v>pixlrik</v>
          </cell>
          <cell r="D2470">
            <v>8</v>
          </cell>
          <cell r="E2470" t="str">
            <v>Expert</v>
          </cell>
          <cell r="F2470" t="str">
            <v>Kaizo</v>
          </cell>
          <cell r="G2470">
            <v>46194</v>
          </cell>
          <cell r="H2470" t="str">
            <v>42566</v>
          </cell>
          <cell r="I2470" t="str">
            <v>https://www.smwcentral.net/?a=details&amp;id=42566&amp;p=section</v>
          </cell>
          <cell r="J2470" t="str">
            <v>https://dl.smwcentral.net/42566/The%20Precise%20Is%20Right%20V1.1.zip</v>
          </cell>
        </row>
        <row r="2471">
          <cell r="A2471" t="str">
            <v>The Princess Was Kidnapped Again DEMO</v>
          </cell>
          <cell r="B2471" t="str">
            <v>The Princess Was Kidnapped Again DEMO</v>
          </cell>
          <cell r="C2471" t="str">
            <v>Gabriel BR</v>
          </cell>
          <cell r="D2471">
            <v>24</v>
          </cell>
          <cell r="E2471" t="str">
            <v>Casual</v>
          </cell>
          <cell r="F2471" t="str">
            <v>Standard</v>
          </cell>
          <cell r="G2471">
            <v>44152</v>
          </cell>
          <cell r="H2471" t="str">
            <v>25186</v>
          </cell>
          <cell r="I2471" t="str">
            <v>https://www.smwcentral.net/?a=details&amp;id=25186&amp;p=section</v>
          </cell>
          <cell r="J2471" t="str">
            <v>https://dl.smwcentral.net/25186/The%20Princess%20Was%20Kidnapped%20Again%20DEMO.zip</v>
          </cell>
        </row>
        <row r="2472">
          <cell r="A2472" t="str">
            <v>The Prodigy's Last Stand</v>
          </cell>
          <cell r="B2472" t="str">
            <v>The Prodigy's Last Stand</v>
          </cell>
          <cell r="C2472" t="str">
            <v>SMGamer</v>
          </cell>
          <cell r="D2472">
            <v>7</v>
          </cell>
          <cell r="E2472" t="str">
            <v>Casual</v>
          </cell>
          <cell r="F2472" t="str">
            <v>Standard</v>
          </cell>
          <cell r="G2472">
            <v>41451</v>
          </cell>
          <cell r="H2472" t="str">
            <v>5133</v>
          </cell>
          <cell r="I2472" t="str">
            <v>https://www.smwcentral.net/?a=details&amp;id=5133&amp;p=section</v>
          </cell>
          <cell r="J2472" t="str">
            <v>https://dl.smwcentral.net/5133/The%20Prodigy%27s%20Last%20Stand.zip</v>
          </cell>
        </row>
        <row r="2473">
          <cell r="A2473" t="str">
            <v>The Quest for the Candies</v>
          </cell>
          <cell r="B2473" t="str">
            <v>The Quest for the Candies</v>
          </cell>
          <cell r="C2473" t="str">
            <v>Green Jerry</v>
          </cell>
          <cell r="D2473">
            <v>34</v>
          </cell>
          <cell r="E2473" t="str">
            <v>Intermediate</v>
          </cell>
          <cell r="F2473" t="str">
            <v>Standard</v>
          </cell>
          <cell r="G2473">
            <v>44868</v>
          </cell>
          <cell r="H2473" t="str">
            <v>32483</v>
          </cell>
          <cell r="I2473" t="str">
            <v>https://www.smwcentral.net/?a=details&amp;id=32483&amp;p=section</v>
          </cell>
          <cell r="J2473" t="str">
            <v>https://dl.smwcentral.net/32483/The%20Quest%20for%20the%20Candies%20%28V1.1.1%29.zip</v>
          </cell>
        </row>
        <row r="2474">
          <cell r="A2474" t="str">
            <v>The Quiet Island Quest Starring Mario</v>
          </cell>
          <cell r="B2474" t="str">
            <v>The Quiet Island Quest Starring Mario</v>
          </cell>
          <cell r="C2474" t="str">
            <v>DatGuyT</v>
          </cell>
          <cell r="D2474">
            <v>62</v>
          </cell>
          <cell r="E2474" t="str">
            <v>Casual</v>
          </cell>
          <cell r="F2474" t="str">
            <v>Standard</v>
          </cell>
          <cell r="G2474">
            <v>42300</v>
          </cell>
          <cell r="H2474" t="str">
            <v>10093</v>
          </cell>
          <cell r="I2474" t="str">
            <v>https://www.smwcentral.net/?a=details&amp;id=10093&amp;p=section</v>
          </cell>
          <cell r="J2474" t="str">
            <v>https://dl.smwcentral.net/10093/Quiet%20Island%20%28Final%29.zip</v>
          </cell>
        </row>
        <row r="2475">
          <cell r="A2475" t="str">
            <v>The Reapers Shells</v>
          </cell>
          <cell r="B2475" t="str">
            <v>The Reapers Shells</v>
          </cell>
          <cell r="C2475" t="str">
            <v>Deivid Borba</v>
          </cell>
          <cell r="D2475">
            <v>15</v>
          </cell>
          <cell r="E2475" t="str">
            <v>Master</v>
          </cell>
          <cell r="F2475" t="str">
            <v>Kaizo</v>
          </cell>
          <cell r="G2475">
            <v>44302</v>
          </cell>
          <cell r="H2475" t="str">
            <v>26558</v>
          </cell>
          <cell r="I2475" t="str">
            <v>https://www.smwcentral.net/?a=details&amp;id=26558&amp;p=section</v>
          </cell>
          <cell r="J2475" t="str">
            <v>https://dl.smwcentral.net/26558/TheReaperShells.zip</v>
          </cell>
        </row>
        <row r="2476">
          <cell r="A2476" t="str">
            <v>The Reapers Shells 2</v>
          </cell>
          <cell r="B2476" t="str">
            <v>The Reapers Shells 2</v>
          </cell>
          <cell r="C2476" t="str">
            <v>Deivid Borba</v>
          </cell>
          <cell r="D2476">
            <v>10</v>
          </cell>
          <cell r="E2476" t="str">
            <v>Master</v>
          </cell>
          <cell r="F2476" t="str">
            <v>Kaizo</v>
          </cell>
          <cell r="G2476">
            <v>44656</v>
          </cell>
          <cell r="H2476" t="str">
            <v>30170</v>
          </cell>
          <cell r="I2476" t="str">
            <v>https://www.smwcentral.net/?a=details&amp;id=30170&amp;p=section</v>
          </cell>
          <cell r="J2476" t="str">
            <v>https://dl.smwcentral.net/30170/TheReapersShells2.zip</v>
          </cell>
        </row>
        <row r="2477">
          <cell r="A2477" t="str">
            <v>The Rebuilding of the Star Palace</v>
          </cell>
          <cell r="B2477" t="str">
            <v>The Rebuilding of the Star Palace</v>
          </cell>
          <cell r="C2477" t="str">
            <v>IsoFrieze</v>
          </cell>
          <cell r="D2477">
            <v>13</v>
          </cell>
          <cell r="E2477" t="str">
            <v>Casual</v>
          </cell>
          <cell r="F2477" t="str">
            <v>Standard</v>
          </cell>
          <cell r="G2477">
            <v>42209</v>
          </cell>
          <cell r="H2477" t="str">
            <v>9722</v>
          </cell>
          <cell r="I2477" t="str">
            <v>https://www.smwcentral.net/?a=details&amp;id=9722&amp;p=section</v>
          </cell>
          <cell r="J2477" t="str">
            <v>https://dl.smwcentral.net/9722/vb0.35TheRebuildingofthestarpalace.zip</v>
          </cell>
        </row>
        <row r="2478">
          <cell r="A2478" t="str">
            <v>The Reconciliation of Ascension</v>
          </cell>
          <cell r="B2478" t="str">
            <v>The Reconciliation of Ascension</v>
          </cell>
          <cell r="C2478" t="str">
            <v>LightAligns, Saela</v>
          </cell>
          <cell r="D2478">
            <v>22</v>
          </cell>
          <cell r="E2478" t="str">
            <v>Expert</v>
          </cell>
          <cell r="F2478" t="str">
            <v>Kaizo</v>
          </cell>
          <cell r="G2478">
            <v>44962</v>
          </cell>
          <cell r="H2478" t="str">
            <v>33033</v>
          </cell>
          <cell r="I2478" t="str">
            <v>https://www.smwcentral.net/?a=details&amp;id=33033&amp;p=section</v>
          </cell>
          <cell r="J2478" t="str">
            <v>https://dl.smwcentral.net/33033/The%20Reconciliation%20of%20Ascension.zip</v>
          </cell>
        </row>
        <row r="2479">
          <cell r="A2479" t="str">
            <v>The Repetitive Adventure of a Distended Plumber</v>
          </cell>
          <cell r="B2479" t="str">
            <v>The Repetitive Adventure of a Distended Plumber</v>
          </cell>
          <cell r="C2479" t="str">
            <v>The Blue Yoshi</v>
          </cell>
          <cell r="D2479">
            <v>7</v>
          </cell>
          <cell r="E2479" t="str">
            <v>Newcomer</v>
          </cell>
          <cell r="F2479" t="str">
            <v>Standard</v>
          </cell>
          <cell r="G2479">
            <v>42279</v>
          </cell>
          <cell r="H2479" t="str">
            <v>9909</v>
          </cell>
          <cell r="I2479" t="str">
            <v>https://www.smwcentral.net/?a=details&amp;id=9909&amp;p=section</v>
          </cell>
          <cell r="J2479" t="str">
            <v>https://dl.smwcentral.net/9909/TRAoaDP.zip</v>
          </cell>
        </row>
        <row r="2480">
          <cell r="A2480" t="str">
            <v>The Return to Super Mario World</v>
          </cell>
          <cell r="B2480" t="str">
            <v>The Return to Super Mario World</v>
          </cell>
          <cell r="C2480" t="str">
            <v>nnn</v>
          </cell>
          <cell r="D2480">
            <v>96</v>
          </cell>
          <cell r="E2480" t="str">
            <v>Intermediate</v>
          </cell>
          <cell r="F2480" t="str">
            <v>Standard</v>
          </cell>
          <cell r="G2480">
            <v>42339</v>
          </cell>
          <cell r="H2480" t="str">
            <v>10135</v>
          </cell>
          <cell r="I2480" t="str">
            <v>https://www.smwcentral.net/?a=details&amp;id=10135&amp;p=section</v>
          </cell>
          <cell r="J2480" t="str">
            <v>https://dl.smwcentral.net/10135/SMW%20EXP%20v3.2%20The%20return%20to%20SMW%20%28Fixed%29.zip</v>
          </cell>
        </row>
        <row r="2481">
          <cell r="A2481" t="str">
            <v>The Rituals Of Resurrection</v>
          </cell>
          <cell r="B2481" t="str">
            <v>The Rituals Of Resurrection</v>
          </cell>
          <cell r="C2481" t="str">
            <v>SyStemkraSh</v>
          </cell>
          <cell r="D2481">
            <v>14</v>
          </cell>
          <cell r="E2481" t="str">
            <v>Casual</v>
          </cell>
          <cell r="F2481" t="str">
            <v>Standard</v>
          </cell>
          <cell r="G2481">
            <v>42207</v>
          </cell>
          <cell r="H2481" t="str">
            <v>9848</v>
          </cell>
          <cell r="I2481" t="str">
            <v>https://www.smwcentral.net/?a=details&amp;id=9848&amp;p=section</v>
          </cell>
          <cell r="J2481" t="str">
            <v>https://dl.smwcentral.net/9848/The_Rituals_of_Resurrection.zip</v>
          </cell>
        </row>
        <row r="2482">
          <cell r="A2482" t="str">
            <v>The Rock 'n' Roll Mario Show: Set 1</v>
          </cell>
          <cell r="B2482" t="str">
            <v>The Rock 'n' Roll Mario Show: Set 1</v>
          </cell>
          <cell r="C2482" t="str">
            <v>kaigem</v>
          </cell>
          <cell r="D2482">
            <v>15</v>
          </cell>
          <cell r="E2482" t="str">
            <v>Expert</v>
          </cell>
          <cell r="F2482" t="str">
            <v>Kaizo</v>
          </cell>
          <cell r="G2482">
            <v>44113</v>
          </cell>
          <cell r="H2482" t="str">
            <v>24625</v>
          </cell>
          <cell r="I2482" t="str">
            <v>https://www.smwcentral.net/?a=details&amp;id=24625&amp;p=section</v>
          </cell>
          <cell r="J2482" t="str">
            <v>https://dl.smwcentral.net/24625/Rock%20n%20Roll%20Mario%20Show%20set%201%20v1.13.zip</v>
          </cell>
        </row>
        <row r="2483">
          <cell r="A2483" t="str">
            <v>The Rock 'n' Roll Mario Show: Set Two</v>
          </cell>
          <cell r="B2483" t="str">
            <v>The Rock 'n' Roll Mario Show: Set Two</v>
          </cell>
          <cell r="C2483" t="str">
            <v>kaigem</v>
          </cell>
          <cell r="D2483">
            <v>20</v>
          </cell>
          <cell r="E2483" t="str">
            <v>Master</v>
          </cell>
          <cell r="F2483" t="str">
            <v>Kaizo</v>
          </cell>
          <cell r="G2483">
            <v>44600</v>
          </cell>
          <cell r="H2483" t="str">
            <v>29606</v>
          </cell>
          <cell r="I2483" t="str">
            <v>https://www.smwcentral.net/?a=details&amp;id=29606&amp;p=section</v>
          </cell>
          <cell r="J2483" t="str">
            <v>https://dl.smwcentral.net/29606/The%20Rock%20n%20Roll%20Mario%20Show%20Set%20Two%20v1.1.zip</v>
          </cell>
        </row>
        <row r="2484">
          <cell r="A2484" t="str">
            <v>The Ruin</v>
          </cell>
          <cell r="B2484" t="str">
            <v>The Ruin</v>
          </cell>
          <cell r="C2484" t="str">
            <v>Mao</v>
          </cell>
          <cell r="D2484">
            <v>1</v>
          </cell>
          <cell r="E2484" t="str">
            <v>Casual</v>
          </cell>
          <cell r="F2484" t="str">
            <v>Standard</v>
          </cell>
          <cell r="G2484">
            <v>45320</v>
          </cell>
          <cell r="H2484" t="str">
            <v>36673</v>
          </cell>
          <cell r="I2484" t="str">
            <v>https://www.smwcentral.net/?a=details&amp;id=36673&amp;p=section</v>
          </cell>
          <cell r="J2484" t="str">
            <v>https://dl.smwcentral.net/36673/The%20Ruin.zip</v>
          </cell>
        </row>
        <row r="2485">
          <cell r="A2485" t="str">
            <v>The Saga - Kame</v>
          </cell>
          <cell r="B2485" t="str">
            <v>The Saga - Kame</v>
          </cell>
          <cell r="C2485" t="str">
            <v>Rauy Style</v>
          </cell>
          <cell r="D2485">
            <v>7</v>
          </cell>
          <cell r="E2485" t="str">
            <v>Intermediate</v>
          </cell>
          <cell r="F2485" t="str">
            <v>Standard</v>
          </cell>
          <cell r="G2485">
            <v>42231</v>
          </cell>
          <cell r="H2485" t="str">
            <v>9875</v>
          </cell>
          <cell r="I2485" t="str">
            <v>https://www.smwcentral.net/?a=details&amp;id=9875&amp;p=section</v>
          </cell>
          <cell r="J2485" t="str">
            <v>https://dl.smwcentral.net/9875/The%20Saga%20-%20Kame.zip</v>
          </cell>
        </row>
        <row r="2486">
          <cell r="A2486" t="str">
            <v>The Sapphire</v>
          </cell>
          <cell r="B2486" t="str">
            <v>The Sapphire</v>
          </cell>
          <cell r="C2486" t="str">
            <v>Atari2.0</v>
          </cell>
          <cell r="D2486">
            <v>12</v>
          </cell>
          <cell r="E2486" t="str">
            <v>Expert</v>
          </cell>
          <cell r="F2486" t="str">
            <v>Kaizo</v>
          </cell>
          <cell r="G2486">
            <v>43444</v>
          </cell>
          <cell r="H2486" t="str">
            <v>18601</v>
          </cell>
          <cell r="I2486" t="str">
            <v>https://www.smwcentral.net/?a=details&amp;id=18601&amp;p=section</v>
          </cell>
          <cell r="J2486" t="str">
            <v>https://dl.smwcentral.net/18601/TheSapphireV1.1%281%29.zip</v>
          </cell>
        </row>
        <row r="2487">
          <cell r="A2487" t="str">
            <v>The Search for Salmon</v>
          </cell>
          <cell r="B2487" t="str">
            <v>The Search for Salmon</v>
          </cell>
          <cell r="C2487" t="str">
            <v>GlitchCat7</v>
          </cell>
          <cell r="D2487">
            <v>11</v>
          </cell>
          <cell r="E2487" t="str">
            <v>Master</v>
          </cell>
          <cell r="F2487" t="str">
            <v>Kaizo</v>
          </cell>
          <cell r="G2487">
            <v>43260</v>
          </cell>
          <cell r="H2487" t="str">
            <v>17555</v>
          </cell>
          <cell r="I2487" t="str">
            <v>https://www.smwcentral.net/?a=details&amp;id=17555&amp;p=section</v>
          </cell>
          <cell r="J2487" t="str">
            <v>https://dl.smwcentral.net/17555/The%20Search%20for%20Salmon%201.2.zip</v>
          </cell>
        </row>
        <row r="2488">
          <cell r="A2488" t="str">
            <v>The Second Reality Project</v>
          </cell>
          <cell r="B2488" t="str">
            <v>The Second Reality Project</v>
          </cell>
          <cell r="C2488" t="str">
            <v>FPI</v>
          </cell>
          <cell r="D2488">
            <v>96</v>
          </cell>
          <cell r="E2488" t="str">
            <v>Expert</v>
          </cell>
          <cell r="F2488" t="str">
            <v>Standard</v>
          </cell>
          <cell r="G2488">
            <v>41455</v>
          </cell>
          <cell r="H2488" t="str">
            <v>4983</v>
          </cell>
          <cell r="I2488" t="str">
            <v>https://www.smwcentral.net/?a=details&amp;id=4983&amp;p=section</v>
          </cell>
          <cell r="J2488" t="str">
            <v>https://dl.smwcentral.net/4983/TSRP1.zip</v>
          </cell>
        </row>
        <row r="2489">
          <cell r="A2489" t="str">
            <v>The Second Reality Project 2 Reloaded: Zycloboo's Challenge</v>
          </cell>
          <cell r="B2489" t="str">
            <v>The Second Reality Project 2 Reloaded: Zycloboo's Challenge</v>
          </cell>
          <cell r="C2489" t="str">
            <v>FPI</v>
          </cell>
          <cell r="D2489">
            <v>112</v>
          </cell>
          <cell r="E2489" t="str">
            <v>Advanced</v>
          </cell>
          <cell r="F2489" t="str">
            <v>Standard</v>
          </cell>
          <cell r="G2489">
            <v>41967</v>
          </cell>
          <cell r="H2489" t="str">
            <v>9543</v>
          </cell>
          <cell r="I2489" t="str">
            <v>https://www.smwcentral.net/?a=details&amp;id=9543&amp;p=section</v>
          </cell>
          <cell r="J2489" t="str">
            <v>https://dl.smwcentral.net/9543/TSRP2v2.2.zip</v>
          </cell>
        </row>
        <row r="2490">
          <cell r="A2490" t="str">
            <v>The Second Reality Project 2: Zycloboo's Challenge</v>
          </cell>
          <cell r="B2490" t="str">
            <v>The Second Reality Project 2: Zycloboo's Challenge</v>
          </cell>
          <cell r="C2490" t="str">
            <v>FPI</v>
          </cell>
          <cell r="D2490">
            <v>109</v>
          </cell>
          <cell r="E2490" t="str">
            <v>Advanced</v>
          </cell>
          <cell r="F2490" t="str">
            <v>Standard</v>
          </cell>
          <cell r="G2490">
            <v>41455</v>
          </cell>
          <cell r="H2490" t="str">
            <v>4974</v>
          </cell>
          <cell r="I2490" t="str">
            <v>https://www.smwcentral.net/?a=details&amp;id=4974&amp;p=section</v>
          </cell>
          <cell r="J2490" t="str">
            <v>https://dl.smwcentral.net/4974/TSRP2vers1.2.zip</v>
          </cell>
        </row>
        <row r="2491">
          <cell r="A2491" t="str">
            <v>The Second Reality Project Reloaded</v>
          </cell>
          <cell r="B2491" t="str">
            <v>The Second Reality Project Reloaded</v>
          </cell>
          <cell r="C2491" t="str">
            <v>FPI</v>
          </cell>
          <cell r="D2491">
            <v>117</v>
          </cell>
          <cell r="E2491" t="str">
            <v>Advanced</v>
          </cell>
          <cell r="F2491" t="str">
            <v>Standard</v>
          </cell>
          <cell r="G2491">
            <v>43071</v>
          </cell>
          <cell r="H2491" t="str">
            <v>16696</v>
          </cell>
          <cell r="I2491" t="str">
            <v>https://www.smwcentral.net/?a=details&amp;id=16696&amp;p=section</v>
          </cell>
          <cell r="J2491" t="str">
            <v>https://dl.smwcentral.net/16696/TSRPR%20v1.2.zip</v>
          </cell>
        </row>
        <row r="2492">
          <cell r="A2492" t="str">
            <v>The Secret Islands</v>
          </cell>
          <cell r="B2492" t="str">
            <v>The Secret Islands</v>
          </cell>
          <cell r="C2492" t="str">
            <v>Mario is the best</v>
          </cell>
          <cell r="D2492">
            <v>10</v>
          </cell>
          <cell r="E2492" t="str">
            <v>Casual</v>
          </cell>
          <cell r="F2492" t="str">
            <v>Standard</v>
          </cell>
          <cell r="G2492">
            <v>44084</v>
          </cell>
          <cell r="H2492" t="str">
            <v>24565</v>
          </cell>
          <cell r="I2492" t="str">
            <v>https://www.smwcentral.net/?a=details&amp;id=24565&amp;p=section</v>
          </cell>
          <cell r="J2492" t="str">
            <v>https://dl.smwcentral.net/24565/Secret%20Island.zip</v>
          </cell>
        </row>
        <row r="2493">
          <cell r="A2493" t="str">
            <v>The Secret of the Switches</v>
          </cell>
          <cell r="B2493" t="str">
            <v>The Secret of the Switches</v>
          </cell>
          <cell r="C2493" t="str">
            <v>arotenbe</v>
          </cell>
          <cell r="D2493">
            <v>11</v>
          </cell>
          <cell r="E2493" t="str">
            <v>Newcomer</v>
          </cell>
          <cell r="F2493" t="str">
            <v>Standard</v>
          </cell>
          <cell r="G2493">
            <v>42241</v>
          </cell>
          <cell r="H2493" t="str">
            <v>9902</v>
          </cell>
          <cell r="I2493" t="str">
            <v>https://www.smwcentral.net/?a=details&amp;id=9902&amp;p=section</v>
          </cell>
          <cell r="J2493" t="str">
            <v>https://dl.smwcentral.net/9902/The%20Secret%20of%20the%20Switches%20%28Demo%201.1%29.zip</v>
          </cell>
        </row>
        <row r="2494">
          <cell r="A2494" t="str">
            <v>The Senate</v>
          </cell>
          <cell r="B2494" t="str">
            <v>The Senate</v>
          </cell>
          <cell r="C2494" t="str">
            <v>Fornaxus</v>
          </cell>
          <cell r="D2494">
            <v>85</v>
          </cell>
          <cell r="E2494" t="str">
            <v>Intermediate</v>
          </cell>
          <cell r="F2494" t="str">
            <v>Standard</v>
          </cell>
          <cell r="G2494">
            <v>41657</v>
          </cell>
          <cell r="H2494" t="str">
            <v>6161</v>
          </cell>
          <cell r="I2494" t="str">
            <v>https://www.smwcentral.net/?a=details&amp;id=6161&amp;p=section</v>
          </cell>
          <cell r="J2494" t="str">
            <v>https://dl.smwcentral.net/6161/The%20Senate%20v1.3.zip</v>
          </cell>
        </row>
        <row r="2495">
          <cell r="A2495" t="str">
            <v>The Seven Hurdles</v>
          </cell>
          <cell r="B2495" t="str">
            <v>The Seven Hurdles</v>
          </cell>
          <cell r="C2495" t="str">
            <v>Wind Fish</v>
          </cell>
          <cell r="D2495">
            <v>7</v>
          </cell>
          <cell r="E2495" t="str">
            <v>Newcomer</v>
          </cell>
          <cell r="F2495" t="str">
            <v>Standard</v>
          </cell>
          <cell r="G2495">
            <v>42211</v>
          </cell>
          <cell r="H2495" t="str">
            <v>11848</v>
          </cell>
          <cell r="I2495" t="str">
            <v>https://www.smwcentral.net/?a=details&amp;id=11848&amp;p=section</v>
          </cell>
          <cell r="J2495" t="str">
            <v>https://dl.smwcentral.net/11848/The%20Seven%20Hurdles%20v1.1.zip</v>
          </cell>
        </row>
        <row r="2496">
          <cell r="A2496" t="str">
            <v>The Seven Hurdles 2</v>
          </cell>
          <cell r="B2496" t="str">
            <v>The Seven Hurdles 2</v>
          </cell>
          <cell r="C2496" t="str">
            <v>Wind Fish</v>
          </cell>
          <cell r="D2496">
            <v>10</v>
          </cell>
          <cell r="E2496" t="str">
            <v>Casual</v>
          </cell>
          <cell r="F2496" t="str">
            <v>Standard</v>
          </cell>
          <cell r="G2496">
            <v>42546</v>
          </cell>
          <cell r="H2496" t="str">
            <v>13850</v>
          </cell>
          <cell r="I2496" t="str">
            <v>https://www.smwcentral.net/?a=details&amp;id=13850&amp;p=section</v>
          </cell>
          <cell r="J2496" t="str">
            <v>https://dl.smwcentral.net/13850/TSH2v121.zip</v>
          </cell>
        </row>
        <row r="2497">
          <cell r="A2497" t="str">
            <v>The Seven Star Pieces</v>
          </cell>
          <cell r="B2497" t="str">
            <v>The Seven Star Pieces</v>
          </cell>
          <cell r="C2497" t="str">
            <v>pieguy1372</v>
          </cell>
          <cell r="D2497">
            <v>10</v>
          </cell>
          <cell r="E2497" t="str">
            <v>Newcomer</v>
          </cell>
          <cell r="F2497" t="str">
            <v>Standard</v>
          </cell>
          <cell r="G2497">
            <v>41447</v>
          </cell>
          <cell r="H2497" t="str">
            <v>4989</v>
          </cell>
          <cell r="I2497" t="str">
            <v>https://www.smwcentral.net/?a=details&amp;id=4989&amp;p=section</v>
          </cell>
          <cell r="J2497" t="str">
            <v>https://dl.smwcentral.net/4989/7star_demo1.zip</v>
          </cell>
        </row>
        <row r="2498">
          <cell r="A2498" t="str">
            <v>The Sixty-four Trials</v>
          </cell>
          <cell r="B2498" t="str">
            <v>The Sixty-four Trials</v>
          </cell>
          <cell r="C2498" t="str">
            <v>Mariowings77</v>
          </cell>
          <cell r="D2498">
            <v>18</v>
          </cell>
          <cell r="E2498" t="str">
            <v>Newcomer</v>
          </cell>
          <cell r="F2498" t="str">
            <v>Standard</v>
          </cell>
          <cell r="G2498">
            <v>42312</v>
          </cell>
          <cell r="H2498" t="str">
            <v>9992</v>
          </cell>
          <cell r="I2498" t="str">
            <v>https://www.smwcentral.net/?a=details&amp;id=9992&amp;p=section</v>
          </cell>
          <cell r="J2498" t="str">
            <v>https://dl.smwcentral.net/9992/The%20Sixty-four%20Trials%20Demo%201.zip</v>
          </cell>
        </row>
        <row r="2499">
          <cell r="A2499" t="str">
            <v>The Stinky Black Banana Peel</v>
          </cell>
          <cell r="B2499" t="str">
            <v>The Stinky Black Banana Peel</v>
          </cell>
          <cell r="C2499" t="str">
            <v>xMANGRAVYx</v>
          </cell>
          <cell r="D2499">
            <v>8</v>
          </cell>
          <cell r="E2499" t="str">
            <v>Advanced</v>
          </cell>
          <cell r="F2499" t="str">
            <v>Kaizo</v>
          </cell>
          <cell r="G2499">
            <v>45585</v>
          </cell>
          <cell r="H2499" t="str">
            <v>38660</v>
          </cell>
          <cell r="I2499" t="str">
            <v>https://www.smwcentral.net/?a=details&amp;id=38660&amp;p=section</v>
          </cell>
          <cell r="J2499" t="str">
            <v>https://dl.smwcentral.net/38660/the%20stinky%20black%20banana%20peel.zip</v>
          </cell>
        </row>
        <row r="2500">
          <cell r="A2500" t="str">
            <v>The Stolen Yoshi Coins</v>
          </cell>
          <cell r="B2500" t="str">
            <v>The Stolen Yoshi Coins</v>
          </cell>
          <cell r="C2500" t="str">
            <v>super pokemon world</v>
          </cell>
          <cell r="D2500">
            <v>4</v>
          </cell>
          <cell r="E2500" t="str">
            <v>Newcomer</v>
          </cell>
          <cell r="F2500" t="str">
            <v>Standard</v>
          </cell>
          <cell r="G2500">
            <v>42209</v>
          </cell>
          <cell r="H2500" t="str">
            <v>9970</v>
          </cell>
          <cell r="I2500" t="str">
            <v>https://www.smwcentral.net/?a=details&amp;id=9970&amp;p=section</v>
          </cell>
          <cell r="J2500" t="str">
            <v>https://dl.smwcentral.net/9970/the%20stolen%20yoshi%20coins.zip</v>
          </cell>
        </row>
        <row r="2501">
          <cell r="A2501" t="str">
            <v>The Sweet Sweet Love</v>
          </cell>
          <cell r="B2501" t="str">
            <v>The Sweet Sweet Love</v>
          </cell>
          <cell r="C2501" t="str">
            <v>Beefy Chud</v>
          </cell>
          <cell r="D2501">
            <v>16</v>
          </cell>
          <cell r="E2501" t="str">
            <v>Intermediate</v>
          </cell>
          <cell r="F2501" t="str">
            <v>Kaizo</v>
          </cell>
          <cell r="G2501">
            <v>44487</v>
          </cell>
          <cell r="H2501" t="str">
            <v>28591</v>
          </cell>
          <cell r="I2501" t="str">
            <v>https://www.smwcentral.net/?a=details&amp;id=28591&amp;p=section</v>
          </cell>
          <cell r="J2501" t="str">
            <v>https://dl.smwcentral.net/28591/The_Sweet_Sweet_Love_V1.1.zip</v>
          </cell>
        </row>
        <row r="2502">
          <cell r="A2502" t="str">
            <v>The Sweet Sweet Love Forever</v>
          </cell>
          <cell r="B2502" t="str">
            <v>The Sweet Sweet Love Forever</v>
          </cell>
          <cell r="C2502" t="str">
            <v>Beefy Chud</v>
          </cell>
          <cell r="D2502">
            <v>12</v>
          </cell>
          <cell r="E2502" t="str">
            <v>Intermediate</v>
          </cell>
          <cell r="F2502" t="str">
            <v>Kaizo</v>
          </cell>
          <cell r="G2502">
            <v>44797</v>
          </cell>
          <cell r="H2502" t="str">
            <v>31894</v>
          </cell>
          <cell r="I2502" t="str">
            <v>https://www.smwcentral.net/?a=details&amp;id=31894&amp;p=section</v>
          </cell>
          <cell r="J2502" t="str">
            <v>https://dl.smwcentral.net/31894/The_Sweet_Sweet_Love_Forever.zip</v>
          </cell>
        </row>
        <row r="2503">
          <cell r="A2503" t="str">
            <v>The Sweet Sweet Love Returns</v>
          </cell>
          <cell r="B2503" t="str">
            <v>The Sweet Sweet Love Returns</v>
          </cell>
          <cell r="C2503" t="str">
            <v>Beefy Chud</v>
          </cell>
          <cell r="D2503">
            <v>13</v>
          </cell>
          <cell r="E2503" t="str">
            <v>Advanced</v>
          </cell>
          <cell r="F2503" t="str">
            <v>Kaizo</v>
          </cell>
          <cell r="G2503">
            <v>44613</v>
          </cell>
          <cell r="H2503" t="str">
            <v>29914</v>
          </cell>
          <cell r="I2503" t="str">
            <v>https://www.smwcentral.net/?a=details&amp;id=29914&amp;p=section</v>
          </cell>
          <cell r="J2503" t="str">
            <v>https://dl.smwcentral.net/29914/The_Sweet_Sweet_Love_Returns.zip</v>
          </cell>
        </row>
        <row r="2504">
          <cell r="A2504" t="str">
            <v>The Swift Skooter Parallelogram</v>
          </cell>
          <cell r="B2504" t="str">
            <v>The Swift Skooter Parallelogram</v>
          </cell>
          <cell r="C2504" t="str">
            <v>placeholdertest</v>
          </cell>
          <cell r="D2504">
            <v>1</v>
          </cell>
          <cell r="E2504" t="str">
            <v>Expert</v>
          </cell>
          <cell r="F2504" t="str">
            <v>Kaizo</v>
          </cell>
          <cell r="G2504">
            <v>45215</v>
          </cell>
          <cell r="H2504" t="str">
            <v>35279</v>
          </cell>
          <cell r="I2504" t="str">
            <v>https://www.smwcentral.net/?a=details&amp;id=35279&amp;p=section</v>
          </cell>
          <cell r="J2504" t="str">
            <v>https://dl.smwcentral.net/35279/pht.zip</v>
          </cell>
        </row>
        <row r="2505">
          <cell r="A2505" t="str">
            <v>The Tale of Elementia</v>
          </cell>
          <cell r="B2505" t="str">
            <v>The Tale of Elementia</v>
          </cell>
          <cell r="C2505" t="str">
            <v>Supertails</v>
          </cell>
          <cell r="D2505">
            <v>38</v>
          </cell>
          <cell r="E2505" t="str">
            <v>Newcomer</v>
          </cell>
          <cell r="F2505" t="str">
            <v>Standard</v>
          </cell>
          <cell r="G2505">
            <v>42972</v>
          </cell>
          <cell r="H2505" t="str">
            <v>16068</v>
          </cell>
          <cell r="I2505" t="str">
            <v>https://www.smwcentral.net/?a=details&amp;id=16068&amp;p=section</v>
          </cell>
          <cell r="J2505" t="str">
            <v>https://dl.smwcentral.net/16068/ttoedemo2-fixed.zip</v>
          </cell>
        </row>
        <row r="2506">
          <cell r="A2506" t="str">
            <v>The Team Shell Hack</v>
          </cell>
          <cell r="B2506" t="str">
            <v>The Team Shell Hack</v>
          </cell>
          <cell r="C2506" t="str">
            <v>Jikurein, Team Shell, xamexer</v>
          </cell>
          <cell r="D2506">
            <v>38</v>
          </cell>
          <cell r="E2506" t="str">
            <v>Master</v>
          </cell>
          <cell r="F2506" t="str">
            <v>Kaizo</v>
          </cell>
          <cell r="G2506">
            <v>45349</v>
          </cell>
          <cell r="H2506" t="str">
            <v>36961</v>
          </cell>
          <cell r="I2506" t="str">
            <v>https://www.smwcentral.net/?a=details&amp;id=36961&amp;p=section</v>
          </cell>
          <cell r="J2506" t="str">
            <v>https://dl.smwcentral.net/36961/TEAM_SHELL_3.0.zip</v>
          </cell>
        </row>
        <row r="2507">
          <cell r="A2507" t="str">
            <v>The Temple of Dinosaurs</v>
          </cell>
          <cell r="B2507" t="str">
            <v>The Temple of Dinosaurs</v>
          </cell>
          <cell r="C2507" t="str">
            <v>Multibella</v>
          </cell>
          <cell r="D2507">
            <v>5</v>
          </cell>
          <cell r="E2507" t="str">
            <v>Casual</v>
          </cell>
          <cell r="F2507" t="str">
            <v>Standard</v>
          </cell>
          <cell r="G2507">
            <v>42293</v>
          </cell>
          <cell r="H2507" t="str">
            <v>9960</v>
          </cell>
          <cell r="I2507" t="str">
            <v>https://www.smwcentral.net/?a=details&amp;id=9960&amp;p=section</v>
          </cell>
          <cell r="J2507" t="str">
            <v>https://dl.smwcentral.net/9960/Temple.zip</v>
          </cell>
        </row>
        <row r="2508">
          <cell r="A2508" t="str">
            <v>The Thousand Year Castle: A Sholmes Adventure</v>
          </cell>
          <cell r="B2508" t="str">
            <v>The Thousand Year Castle: A Sholmes Adventure</v>
          </cell>
          <cell r="C2508" t="str">
            <v>sholmes</v>
          </cell>
          <cell r="D2508">
            <v>12</v>
          </cell>
          <cell r="E2508" t="str">
            <v>Master</v>
          </cell>
          <cell r="F2508" t="str">
            <v>Kaizo</v>
          </cell>
          <cell r="G2508">
            <v>46004</v>
          </cell>
          <cell r="H2508" t="str">
            <v>41257</v>
          </cell>
          <cell r="I2508" t="str">
            <v>https://www.smwcentral.net/?a=details&amp;id=41257&amp;p=section</v>
          </cell>
          <cell r="J2508" t="str">
            <v>https://dl.smwcentral.net/41257/Sholmes%20Adventure%20updated.zip</v>
          </cell>
        </row>
        <row r="2509">
          <cell r="A2509" t="str">
            <v>The Title is Irrelevant</v>
          </cell>
          <cell r="B2509" t="str">
            <v>The Title is Irrelevant</v>
          </cell>
          <cell r="C2509" t="str">
            <v>Forty2</v>
          </cell>
          <cell r="D2509">
            <v>47</v>
          </cell>
          <cell r="E2509" t="str">
            <v>Casual</v>
          </cell>
          <cell r="F2509" t="str">
            <v>Standard</v>
          </cell>
          <cell r="G2509">
            <v>42219</v>
          </cell>
          <cell r="H2509" t="str">
            <v>10136</v>
          </cell>
          <cell r="I2509" t="str">
            <v>https://www.smwcentral.net/?a=details&amp;id=10136&amp;p=section</v>
          </cell>
          <cell r="J2509" t="str">
            <v>https://dl.smwcentral.net/10136/tTiI-demo2.zip</v>
          </cell>
        </row>
        <row r="2510">
          <cell r="A2510" t="str">
            <v>The Tower Tyrant</v>
          </cell>
          <cell r="B2510" t="str">
            <v>The Tower Tyrant</v>
          </cell>
          <cell r="C2510" t="str">
            <v>Mtb4000</v>
          </cell>
          <cell r="D2510">
            <v>6</v>
          </cell>
          <cell r="E2510" t="str">
            <v>Casual</v>
          </cell>
          <cell r="F2510" t="str">
            <v>Standard</v>
          </cell>
          <cell r="G2510">
            <v>42288</v>
          </cell>
          <cell r="H2510" t="str">
            <v>10200</v>
          </cell>
          <cell r="I2510" t="str">
            <v>https://www.smwcentral.net/?a=details&amp;id=10200&amp;p=section</v>
          </cell>
          <cell r="J2510" t="str">
            <v>https://dl.smwcentral.net/10200/The%20Tower%20Tyrant%20DEMO.zip</v>
          </cell>
        </row>
        <row r="2511">
          <cell r="A2511" t="str">
            <v>The Treasure Hunt</v>
          </cell>
          <cell r="B2511" t="str">
            <v>The Treasure Hunt</v>
          </cell>
          <cell r="C2511" t="str">
            <v>Joshua</v>
          </cell>
          <cell r="D2511">
            <v>39</v>
          </cell>
          <cell r="E2511" t="str">
            <v>Intermediate</v>
          </cell>
          <cell r="F2511" t="str">
            <v>Standard</v>
          </cell>
          <cell r="G2511">
            <v>42397</v>
          </cell>
          <cell r="H2511" t="str">
            <v>13148</v>
          </cell>
          <cell r="I2511" t="str">
            <v>https://www.smwcentral.net/?a=details&amp;id=13148&amp;p=section</v>
          </cell>
          <cell r="J2511" t="str">
            <v>https://dl.smwcentral.net/13148/The%20Treasure%20Huntv1.1.zip</v>
          </cell>
        </row>
        <row r="2512">
          <cell r="A2512" t="str">
            <v>The unbearable lightness of being</v>
          </cell>
          <cell r="B2512" t="str">
            <v>The unbearable lightness of being</v>
          </cell>
          <cell r="C2512" t="str">
            <v>dotCoockie</v>
          </cell>
          <cell r="D2512">
            <v>7</v>
          </cell>
          <cell r="E2512" t="str">
            <v>Expert</v>
          </cell>
          <cell r="F2512" t="str">
            <v>Kaizo</v>
          </cell>
          <cell r="G2512">
            <v>44683</v>
          </cell>
          <cell r="H2512" t="str">
            <v>30657</v>
          </cell>
          <cell r="I2512" t="str">
            <v>https://www.smwcentral.net/?a=details&amp;id=30657&amp;p=section</v>
          </cell>
          <cell r="J2512" t="str">
            <v>https://dl.smwcentral.net/30657/Release.zip</v>
          </cell>
        </row>
        <row r="2513">
          <cell r="A2513" t="str">
            <v>The Underground</v>
          </cell>
          <cell r="B2513" t="str">
            <v>The Underground</v>
          </cell>
          <cell r="C2513" t="str">
            <v>algae5</v>
          </cell>
          <cell r="D2513">
            <v>11</v>
          </cell>
          <cell r="E2513" t="str">
            <v>Expert</v>
          </cell>
          <cell r="F2513" t="str">
            <v>Kaizo</v>
          </cell>
          <cell r="G2513">
            <v>43630</v>
          </cell>
          <cell r="H2513" t="str">
            <v>20204</v>
          </cell>
          <cell r="I2513" t="str">
            <v>https://www.smwcentral.net/?a=details&amp;id=20204&amp;p=section</v>
          </cell>
          <cell r="J2513" t="str">
            <v>https://dl.smwcentral.net/20204/The%20Underground.zip</v>
          </cell>
        </row>
        <row r="2514">
          <cell r="A2514" t="str">
            <v>The United States of Mario</v>
          </cell>
          <cell r="B2514" t="str">
            <v>The United States of Mario</v>
          </cell>
          <cell r="C2514" t="str">
            <v>marathonx</v>
          </cell>
          <cell r="D2514">
            <v>26</v>
          </cell>
          <cell r="E2514" t="str">
            <v>Expert</v>
          </cell>
          <cell r="F2514" t="str">
            <v>Kaizo</v>
          </cell>
          <cell r="G2514">
            <v>44365</v>
          </cell>
          <cell r="H2514" t="str">
            <v>27225</v>
          </cell>
          <cell r="I2514" t="str">
            <v>https://www.smwcentral.net/?a=details&amp;id=27225&amp;p=section</v>
          </cell>
          <cell r="J2514" t="str">
            <v>https://dl.smwcentral.net/27225/USM%20v1.04a.zip</v>
          </cell>
        </row>
        <row r="2515">
          <cell r="A2515" t="str">
            <v>The Unknown</v>
          </cell>
          <cell r="B2515" t="str">
            <v>The Unknown</v>
          </cell>
          <cell r="C2515" t="str">
            <v>Jordan</v>
          </cell>
          <cell r="D2515">
            <v>42</v>
          </cell>
          <cell r="E2515" t="str">
            <v>Advanced</v>
          </cell>
          <cell r="F2515" t="str">
            <v>Kaizo</v>
          </cell>
          <cell r="G2515">
            <v>44617</v>
          </cell>
          <cell r="H2515" t="str">
            <v>29951</v>
          </cell>
          <cell r="I2515" t="str">
            <v>https://www.smwcentral.net/?a=details&amp;id=29951&amp;p=section</v>
          </cell>
          <cell r="J2515" t="str">
            <v>https://dl.smwcentral.net/29951/The%20Unknown.zip</v>
          </cell>
        </row>
        <row r="2516">
          <cell r="A2516" t="str">
            <v>The Unworld</v>
          </cell>
          <cell r="B2516" t="str">
            <v>The Unworld</v>
          </cell>
          <cell r="C2516" t="str">
            <v>PrincessEmilu</v>
          </cell>
          <cell r="D2516">
            <v>92</v>
          </cell>
          <cell r="E2516" t="str">
            <v>Casual</v>
          </cell>
          <cell r="F2516" t="str">
            <v>Standard</v>
          </cell>
          <cell r="G2516">
            <v>42229</v>
          </cell>
          <cell r="H2516" t="str">
            <v>9653</v>
          </cell>
          <cell r="I2516" t="str">
            <v>https://www.smwcentral.net/?a=details&amp;id=9653&amp;p=section</v>
          </cell>
          <cell r="J2516" t="str">
            <v>https://dl.smwcentral.net/9653/The%20Unworld.zip</v>
          </cell>
        </row>
        <row r="2517">
          <cell r="A2517" t="str">
            <v>The Unworld: Recharged</v>
          </cell>
          <cell r="B2517" t="str">
            <v>The Unworld: Recharged</v>
          </cell>
          <cell r="C2517" t="str">
            <v>PrincessEmilu</v>
          </cell>
          <cell r="D2517">
            <v>93</v>
          </cell>
          <cell r="E2517" t="str">
            <v>Casual</v>
          </cell>
          <cell r="F2517" t="str">
            <v>Standard</v>
          </cell>
          <cell r="G2517">
            <v>41667</v>
          </cell>
          <cell r="H2517" t="str">
            <v>6230</v>
          </cell>
          <cell r="I2517" t="str">
            <v>https://www.smwcentral.net/?a=details&amp;id=6230&amp;p=section</v>
          </cell>
          <cell r="J2517" t="str">
            <v>https://dl.smwcentral.net/6230/The%20Unworld%20Recharged.zip</v>
          </cell>
        </row>
        <row r="2518">
          <cell r="A2518" t="str">
            <v>The Vanilla</v>
          </cell>
          <cell r="B2518" t="str">
            <v>The Vanilla</v>
          </cell>
          <cell r="C2518" t="str">
            <v>Robju</v>
          </cell>
          <cell r="D2518">
            <v>8</v>
          </cell>
          <cell r="E2518" t="str">
            <v>Newcomer</v>
          </cell>
          <cell r="F2518" t="str">
            <v>Standard</v>
          </cell>
          <cell r="G2518">
            <v>42845</v>
          </cell>
          <cell r="H2518" t="str">
            <v>15486</v>
          </cell>
          <cell r="I2518" t="str">
            <v>https://www.smwcentral.net/?a=details&amp;id=15486&amp;p=section</v>
          </cell>
          <cell r="J2518" t="str">
            <v>https://dl.smwcentral.net/15486/TheVanilla%201.3.zip</v>
          </cell>
        </row>
        <row r="2519">
          <cell r="A2519" t="str">
            <v>The Wahn Stew Race</v>
          </cell>
          <cell r="B2519" t="str">
            <v>The Wahn Stew Race</v>
          </cell>
          <cell r="C2519" t="str">
            <v>Captain_Hacko, Erik_The_Swift, Para_0, VLSkoot, Yetibucca, placeholdertest, user_36733</v>
          </cell>
          <cell r="D2519">
            <v>6</v>
          </cell>
          <cell r="E2519" t="str">
            <v>Advanced</v>
          </cell>
          <cell r="F2519" t="str">
            <v>Kaizo</v>
          </cell>
          <cell r="G2519">
            <v>44060</v>
          </cell>
          <cell r="H2519" t="str">
            <v>23816</v>
          </cell>
          <cell r="I2519" t="str">
            <v>https://www.smwcentral.net/?a=details&amp;id=23816&amp;p=section</v>
          </cell>
          <cell r="J2519" t="str">
            <v>https://dl.smwcentral.net/23816/The_Wahn_Stew_Race.zip</v>
          </cell>
        </row>
        <row r="2520">
          <cell r="A2520" t="str">
            <v>The Way</v>
          </cell>
          <cell r="B2520" t="str">
            <v>The Way</v>
          </cell>
          <cell r="C2520" t="str">
            <v>jdero</v>
          </cell>
          <cell r="D2520">
            <v>15</v>
          </cell>
          <cell r="E2520" t="str">
            <v>Expert</v>
          </cell>
          <cell r="F2520" t="str">
            <v>Kaizo</v>
          </cell>
          <cell r="G2520">
            <v>45313</v>
          </cell>
          <cell r="H2520" t="str">
            <v>36599</v>
          </cell>
          <cell r="I2520" t="str">
            <v>https://www.smwcentral.net/?a=details&amp;id=36599&amp;p=section</v>
          </cell>
          <cell r="J2520" t="str">
            <v>https://dl.smwcentral.net/36599/The%20Way.zip</v>
          </cell>
        </row>
        <row r="2521">
          <cell r="A2521" t="str">
            <v>The Way of The M</v>
          </cell>
          <cell r="B2521" t="str">
            <v>The Way of The M</v>
          </cell>
          <cell r="C2521" t="str">
            <v>levelengine</v>
          </cell>
          <cell r="D2521">
            <v>80</v>
          </cell>
          <cell r="E2521" t="str">
            <v>Advanced</v>
          </cell>
          <cell r="F2521" t="str">
            <v>Standard</v>
          </cell>
          <cell r="G2521">
            <v>41717</v>
          </cell>
          <cell r="H2521" t="str">
            <v>6225</v>
          </cell>
          <cell r="I2521" t="str">
            <v>https://www.smwcentral.net/?a=details&amp;id=6225&amp;p=section</v>
          </cell>
          <cell r="J2521" t="str">
            <v>https://dl.smwcentral.net/6225/The%20Way%20of%20The%20M%20%28Epsilon%29.zip</v>
          </cell>
        </row>
        <row r="2522">
          <cell r="A2522" t="str">
            <v>The Winter Island</v>
          </cell>
          <cell r="B2522" t="str">
            <v>The Winter Island</v>
          </cell>
          <cell r="C2522" t="str">
            <v>Mario is the best</v>
          </cell>
          <cell r="D2522">
            <v>3</v>
          </cell>
          <cell r="E2522" t="str">
            <v>Casual</v>
          </cell>
          <cell r="F2522" t="str">
            <v>Standard</v>
          </cell>
          <cell r="G2522">
            <v>44155</v>
          </cell>
          <cell r="H2522" t="str">
            <v>25206</v>
          </cell>
          <cell r="I2522" t="str">
            <v>https://www.smwcentral.net/?a=details&amp;id=25206&amp;p=section</v>
          </cell>
          <cell r="J2522" t="str">
            <v>https://dl.smwcentral.net/25206/The%20Winter%20Island.zip</v>
          </cell>
        </row>
        <row r="2523">
          <cell r="A2523" t="str">
            <v>The Worlds Longest Shelljump</v>
          </cell>
          <cell r="B2523" t="str">
            <v>The Worlds Longest Shelljump</v>
          </cell>
          <cell r="C2523" t="str">
            <v>HoorayForJay</v>
          </cell>
          <cell r="D2523">
            <v>1</v>
          </cell>
          <cell r="E2523" t="str">
            <v>Grandmaster</v>
          </cell>
          <cell r="F2523" t="str">
            <v>Tool-Assisted, Pit</v>
          </cell>
          <cell r="G2523">
            <v>42854</v>
          </cell>
          <cell r="H2523" t="str">
            <v>15340</v>
          </cell>
          <cell r="I2523" t="str">
            <v>https://www.smwcentral.net/?a=details&amp;id=15340&amp;p=section</v>
          </cell>
          <cell r="J2523" t="str">
            <v>https://dl.smwcentral.net/15340/WorldsLongestShellJump.zip</v>
          </cell>
        </row>
        <row r="2524">
          <cell r="A2524" t="str">
            <v>The Yoshi Egg: A Mission in Miniature</v>
          </cell>
          <cell r="B2524" t="str">
            <v>The Yoshi Egg: A Mission in Miniature</v>
          </cell>
          <cell r="C2524" t="str">
            <v>Noivern</v>
          </cell>
          <cell r="D2524">
            <v>5</v>
          </cell>
          <cell r="E2524" t="str">
            <v>Newcomer</v>
          </cell>
          <cell r="F2524" t="str">
            <v>Standard</v>
          </cell>
          <cell r="G2524">
            <v>41491</v>
          </cell>
          <cell r="H2524" t="str">
            <v>5344</v>
          </cell>
          <cell r="I2524" t="str">
            <v>https://www.smwcentral.net/?a=details&amp;id=5344&amp;p=section</v>
          </cell>
          <cell r="J2524" t="str">
            <v>https://dl.smwcentral.net/5344/The%20Yoshi%20Egg.zip</v>
          </cell>
        </row>
        <row r="2525">
          <cell r="A2525" t="str">
            <v>The Yoshi Trilogy: Part 1 - Dawn of the Darkness</v>
          </cell>
          <cell r="B2525" t="str">
            <v>The Yoshi Trilogy: Part 1 - Dawn of the Darkness</v>
          </cell>
          <cell r="C2525" t="str">
            <v>DarthYoshi492</v>
          </cell>
          <cell r="D2525">
            <v>43</v>
          </cell>
          <cell r="E2525" t="str">
            <v>Intermediate</v>
          </cell>
          <cell r="F2525" t="str">
            <v>Standard</v>
          </cell>
          <cell r="G2525">
            <v>42276</v>
          </cell>
          <cell r="H2525" t="str">
            <v>10025</v>
          </cell>
          <cell r="I2525" t="str">
            <v>https://www.smwcentral.net/?a=details&amp;id=10025&amp;p=section</v>
          </cell>
          <cell r="J2525" t="str">
            <v>https://dl.smwcentral.net/10025/Yoshi%20-%20Dawn%20of%20the%20Darkness%20demo2.zip</v>
          </cell>
        </row>
        <row r="2526">
          <cell r="A2526" t="str">
            <v>TheIslands</v>
          </cell>
          <cell r="B2526" t="str">
            <v>TheIslands</v>
          </cell>
          <cell r="C2526" t="str">
            <v>SonofSolaire</v>
          </cell>
          <cell r="D2526">
            <v>13</v>
          </cell>
          <cell r="E2526" t="str">
            <v>Expert</v>
          </cell>
          <cell r="F2526" t="str">
            <v>Kaizo</v>
          </cell>
          <cell r="G2526">
            <v>46199</v>
          </cell>
          <cell r="H2526" t="str">
            <v>42594</v>
          </cell>
          <cell r="I2526" t="str">
            <v>https://www.smwcentral.net/?a=details&amp;id=42594&amp;p=section</v>
          </cell>
          <cell r="J2526" t="str">
            <v>https://dl.smwcentral.net/42594/TheIslandsv1.1.zip</v>
          </cell>
        </row>
        <row r="2527">
          <cell r="A2527" t="str">
            <v>theplumber'sodyssey</v>
          </cell>
          <cell r="B2527" t="str">
            <v>theplumber'sodyssey</v>
          </cell>
          <cell r="C2527" t="str">
            <v>Angel Miranda</v>
          </cell>
          <cell r="D2527">
            <v>13</v>
          </cell>
          <cell r="E2527" t="str">
            <v>Intermediate</v>
          </cell>
          <cell r="F2527" t="str">
            <v>Standard</v>
          </cell>
          <cell r="G2527">
            <v>45076</v>
          </cell>
          <cell r="H2527" t="str">
            <v>33848</v>
          </cell>
          <cell r="I2527" t="str">
            <v>https://www.smwcentral.net/?a=details&amp;id=33848&amp;p=section</v>
          </cell>
          <cell r="J2527" t="str">
            <v>https://dl.smwcentral.net/33848/theplumber%27sodyssey.zip</v>
          </cell>
        </row>
        <row r="2528">
          <cell r="A2528" t="str">
            <v>therapy!</v>
          </cell>
          <cell r="B2528" t="str">
            <v>therapy!</v>
          </cell>
          <cell r="C2528" t="str">
            <v>TheGremlin</v>
          </cell>
          <cell r="D2528">
            <v>10</v>
          </cell>
          <cell r="E2528" t="str">
            <v>Master</v>
          </cell>
          <cell r="F2528" t="str">
            <v>Kaizo</v>
          </cell>
          <cell r="G2528">
            <v>44455</v>
          </cell>
          <cell r="H2528" t="str">
            <v>28332</v>
          </cell>
          <cell r="I2528" t="str">
            <v>https://www.smwcentral.net/?a=details&amp;id=28332&amp;p=section</v>
          </cell>
          <cell r="J2528" t="str">
            <v>https://dl.smwcentral.net/28332/therapy%21.zip</v>
          </cell>
        </row>
        <row r="2529">
          <cell r="A2529" t="str">
            <v>Things.smc</v>
          </cell>
          <cell r="B2529" t="str">
            <v>Things.smc</v>
          </cell>
          <cell r="C2529" t="str">
            <v>Sweetdude</v>
          </cell>
          <cell r="D2529">
            <v>80</v>
          </cell>
          <cell r="E2529" t="str">
            <v>Expert</v>
          </cell>
          <cell r="F2529" t="str">
            <v>Kaizo</v>
          </cell>
          <cell r="G2529">
            <v>44545</v>
          </cell>
          <cell r="H2529" t="str">
            <v>28936</v>
          </cell>
          <cell r="I2529" t="str">
            <v>https://www.smwcentral.net/?a=details&amp;id=28936&amp;p=section</v>
          </cell>
          <cell r="J2529" t="str">
            <v>https://dl.smwcentral.net/28936/Things4U2Play.zip</v>
          </cell>
        </row>
        <row r="2530">
          <cell r="A2530" t="str">
            <v>Think Fast</v>
          </cell>
          <cell r="B2530" t="str">
            <v>Think Fast</v>
          </cell>
          <cell r="C2530" t="str">
            <v>Desert</v>
          </cell>
          <cell r="D2530">
            <v>14</v>
          </cell>
          <cell r="E2530" t="str">
            <v>Intermediate</v>
          </cell>
          <cell r="F2530" t="str">
            <v>Kaizo</v>
          </cell>
          <cell r="G2530">
            <v>44272</v>
          </cell>
          <cell r="H2530" t="str">
            <v>26277</v>
          </cell>
          <cell r="I2530" t="str">
            <v>https://www.smwcentral.net/?a=details&amp;id=26277&amp;p=section</v>
          </cell>
          <cell r="J2530" t="str">
            <v>https://dl.smwcentral.net/26277/Think%20Fast.zip</v>
          </cell>
        </row>
        <row r="2531">
          <cell r="A2531" t="str">
            <v>Third Whistle</v>
          </cell>
          <cell r="B2531" t="str">
            <v>Third Whistle</v>
          </cell>
          <cell r="C2531" t="str">
            <v>Edidoo</v>
          </cell>
          <cell r="D2531">
            <v>15</v>
          </cell>
          <cell r="E2531" t="str">
            <v>Advanced</v>
          </cell>
          <cell r="F2531" t="str">
            <v>Kaizo</v>
          </cell>
          <cell r="G2531">
            <v>44864</v>
          </cell>
          <cell r="H2531" t="str">
            <v>32464</v>
          </cell>
          <cell r="I2531" t="str">
            <v>https://www.smwcentral.net/?a=details&amp;id=32464&amp;p=section</v>
          </cell>
          <cell r="J2531" t="str">
            <v>https://dl.smwcentral.net/32464/ThirdWhistle.zip</v>
          </cell>
        </row>
        <row r="2532">
          <cell r="A2532" t="str">
            <v>This Hack Contains EVERY Switch Palace Switch</v>
          </cell>
          <cell r="B2532" t="str">
            <v>This Hack Contains EVERY Switch Palace Switch</v>
          </cell>
          <cell r="C2532" t="str">
            <v>Daizo Dee Von</v>
          </cell>
          <cell r="D2532">
            <v>56</v>
          </cell>
          <cell r="E2532" t="str">
            <v>Newcomer</v>
          </cell>
          <cell r="F2532" t="str">
            <v>Standard</v>
          </cell>
          <cell r="G2532">
            <v>44661</v>
          </cell>
          <cell r="H2532" t="str">
            <v>30338</v>
          </cell>
          <cell r="I2532" t="str">
            <v>https://www.smwcentral.net/?a=details&amp;id=30338&amp;p=section</v>
          </cell>
          <cell r="J2532" t="str">
            <v>https://dl.smwcentral.net/30338/%5BHack%5D%20This%20Hack%20Contains%20EVERY%20Switch%20Palace%20Switch.zip</v>
          </cell>
        </row>
        <row r="2533">
          <cell r="A2533" t="str">
            <v>This Hack Needs a Name</v>
          </cell>
          <cell r="B2533" t="str">
            <v>This Hack Needs a Name</v>
          </cell>
          <cell r="C2533" t="str">
            <v>yeahman</v>
          </cell>
          <cell r="D2533">
            <v>118</v>
          </cell>
          <cell r="E2533" t="str">
            <v>Intermediate</v>
          </cell>
          <cell r="F2533" t="str">
            <v>Standard</v>
          </cell>
          <cell r="G2533">
            <v>45081</v>
          </cell>
          <cell r="H2533" t="str">
            <v>33796</v>
          </cell>
          <cell r="I2533" t="str">
            <v>https://www.smwcentral.net/?a=details&amp;id=33796&amp;p=section</v>
          </cell>
          <cell r="J2533" t="str">
            <v>https://dl.smwcentral.net/33796/this%20hack%20needs%20a%20name.zip</v>
          </cell>
        </row>
        <row r="2534">
          <cell r="A2534" t="str">
            <v>This Hack Was Made in 2 Hours</v>
          </cell>
          <cell r="B2534" t="str">
            <v>This Hack Was Made in 2 Hours</v>
          </cell>
          <cell r="C2534" t="str">
            <v>ft029</v>
          </cell>
          <cell r="D2534">
            <v>7</v>
          </cell>
          <cell r="E2534" t="str">
            <v>Intermediate</v>
          </cell>
          <cell r="F2534" t="str">
            <v>Standard</v>
          </cell>
          <cell r="G2534">
            <v>42744</v>
          </cell>
          <cell r="H2534" t="str">
            <v>14930</v>
          </cell>
          <cell r="I2534" t="str">
            <v>https://www.smwcentral.net/?a=details&amp;id=14930&amp;p=section</v>
          </cell>
          <cell r="J2534" t="str">
            <v>https://dl.smwcentral.net/14930/This%20Hack%20Was%20Made%20in%202%20Hours.zip</v>
          </cell>
        </row>
        <row r="2535">
          <cell r="A2535" t="str">
            <v>This is a Good Hack to Play if You Just Started Playing Kaizo... World</v>
          </cell>
          <cell r="B2535" t="str">
            <v>This is a Good Hack to Play if You Just Started Playing Kaizo... World</v>
          </cell>
          <cell r="C2535" t="str">
            <v>BabaYegha, LouisDoucet, Magmatic, StayAtHomeStegosaurus, Sweetdude, gui</v>
          </cell>
          <cell r="D2535">
            <v>26</v>
          </cell>
          <cell r="E2535" t="str">
            <v>Advanced</v>
          </cell>
          <cell r="F2535" t="str">
            <v>Kaizo</v>
          </cell>
          <cell r="G2535">
            <v>44396</v>
          </cell>
          <cell r="H2535" t="str">
            <v>27729</v>
          </cell>
          <cell r="I2535" t="str">
            <v>https://www.smwcentral.net/?a=details&amp;id=27729&amp;p=section</v>
          </cell>
          <cell r="J2535" t="str">
            <v>https://dl.smwcentral.net/27729/TIAGHTPIYJSPKW_V1.1.1.zip</v>
          </cell>
        </row>
        <row r="2536">
          <cell r="A2536" t="str">
            <v>This Is Why We Kaizo</v>
          </cell>
          <cell r="B2536" t="str">
            <v>This Is Why We Kaizo</v>
          </cell>
          <cell r="C2536" t="str">
            <v>Firstnamebutt</v>
          </cell>
          <cell r="D2536">
            <v>9</v>
          </cell>
          <cell r="E2536" t="str">
            <v>Casual</v>
          </cell>
          <cell r="F2536" t="str">
            <v>Kaizo</v>
          </cell>
          <cell r="G2536">
            <v>46167</v>
          </cell>
          <cell r="H2536" t="str">
            <v>42425</v>
          </cell>
          <cell r="I2536" t="str">
            <v>https://www.smwcentral.net/?a=details&amp;id=42425&amp;p=section</v>
          </cell>
          <cell r="J2536" t="str">
            <v>https://dl.smwcentral.net/42425/ThisIsWhyWeKaizo.zip</v>
          </cell>
        </row>
        <row r="2537">
          <cell r="A2537" t="str">
            <v>Those Darn Plumbers</v>
          </cell>
          <cell r="B2537" t="str">
            <v>Those Darn Plumbers</v>
          </cell>
          <cell r="C2537" t="str">
            <v>nintendofreck</v>
          </cell>
          <cell r="D2537">
            <v>21</v>
          </cell>
          <cell r="E2537" t="str">
            <v>Newcomer</v>
          </cell>
          <cell r="F2537" t="str">
            <v>Standard</v>
          </cell>
          <cell r="G2537">
            <v>42230</v>
          </cell>
          <cell r="H2537" t="str">
            <v>9697</v>
          </cell>
          <cell r="I2537" t="str">
            <v>https://www.smwcentral.net/?a=details&amp;id=9697&amp;p=section</v>
          </cell>
          <cell r="J2537" t="str">
            <v>https://dl.smwcentral.net/9697/TDPV03.zip</v>
          </cell>
        </row>
        <row r="2538">
          <cell r="A2538" t="str">
            <v>Thread the Needle</v>
          </cell>
          <cell r="B2538" t="str">
            <v>Thread the Needle</v>
          </cell>
          <cell r="C2538" t="str">
            <v>NixKillsMyths</v>
          </cell>
          <cell r="D2538">
            <v>1</v>
          </cell>
          <cell r="E2538" t="str">
            <v>Master</v>
          </cell>
          <cell r="F2538" t="str">
            <v>Kaizo</v>
          </cell>
          <cell r="G2538">
            <v>45214</v>
          </cell>
          <cell r="H2538" t="str">
            <v>35044</v>
          </cell>
          <cell r="I2538" t="str">
            <v>https://www.smwcentral.net/?a=details&amp;id=35044&amp;p=section</v>
          </cell>
          <cell r="J2538" t="str">
            <v>https://dl.smwcentral.net/35044/Thread%20the%20Needle%201.3.zip</v>
          </cell>
        </row>
        <row r="2539">
          <cell r="A2539" t="str">
            <v>THROWING HANDS</v>
          </cell>
          <cell r="B2539" t="str">
            <v>THROWING HANDS</v>
          </cell>
          <cell r="C2539" t="str">
            <v>Samantha</v>
          </cell>
          <cell r="D2539">
            <v>12</v>
          </cell>
          <cell r="E2539" t="str">
            <v>Intermediate</v>
          </cell>
          <cell r="F2539" t="str">
            <v>Standard</v>
          </cell>
          <cell r="G2539">
            <v>45941</v>
          </cell>
          <cell r="H2539" t="str">
            <v>40657</v>
          </cell>
          <cell r="I2539" t="str">
            <v>https://www.smwcentral.net/?a=details&amp;id=40657&amp;p=section</v>
          </cell>
          <cell r="J2539" t="str">
            <v>https://dl.smwcentral.net/40657/THROWING%20HANDS.zip</v>
          </cell>
        </row>
        <row r="2540">
          <cell r="A2540" t="str">
            <v>Thunderstruck Mario</v>
          </cell>
          <cell r="B2540" t="str">
            <v>Thunderstruck Mario</v>
          </cell>
          <cell r="C2540" t="str">
            <v>Mr Esc</v>
          </cell>
          <cell r="D2540">
            <v>22</v>
          </cell>
          <cell r="E2540" t="str">
            <v>Casual</v>
          </cell>
          <cell r="F2540" t="str">
            <v>Standard</v>
          </cell>
          <cell r="G2540">
            <v>42326</v>
          </cell>
          <cell r="H2540" t="str">
            <v>10241</v>
          </cell>
          <cell r="I2540" t="str">
            <v>https://www.smwcentral.net/?a=details&amp;id=10241&amp;p=section</v>
          </cell>
          <cell r="J2540" t="str">
            <v>https://dl.smwcentral.net/10241/Thunderstruck%20demo%202012%20v1A.zip</v>
          </cell>
        </row>
        <row r="2541">
          <cell r="A2541" t="str">
            <v>TILIA</v>
          </cell>
          <cell r="B2541" t="str">
            <v>TILIA</v>
          </cell>
          <cell r="C2541" t="str">
            <v>neidoodle</v>
          </cell>
          <cell r="D2541">
            <v>17</v>
          </cell>
          <cell r="E2541" t="str">
            <v>Advanced</v>
          </cell>
          <cell r="F2541" t="str">
            <v>Kaizo</v>
          </cell>
          <cell r="G2541">
            <v>46075</v>
          </cell>
          <cell r="H2541" t="str">
            <v>41580</v>
          </cell>
          <cell r="I2541" t="str">
            <v>https://www.smwcentral.net/?a=details&amp;id=41580&amp;p=section</v>
          </cell>
          <cell r="J2541" t="str">
            <v>https://dl.smwcentral.net/41580/TILIA%202.3.zip</v>
          </cell>
        </row>
        <row r="2542">
          <cell r="A2542" t="str">
            <v>Time Out!</v>
          </cell>
          <cell r="B2542" t="str">
            <v>Time Out!</v>
          </cell>
          <cell r="C2542" t="str">
            <v>GlitchyR-01</v>
          </cell>
          <cell r="D2542">
            <v>11</v>
          </cell>
          <cell r="E2542" t="str">
            <v>Casual</v>
          </cell>
          <cell r="F2542" t="str">
            <v>Standard</v>
          </cell>
          <cell r="G2542">
            <v>44467</v>
          </cell>
          <cell r="H2542" t="str">
            <v>28440</v>
          </cell>
          <cell r="I2542" t="str">
            <v>https://www.smwcentral.net/?a=details&amp;id=28440&amp;p=section</v>
          </cell>
          <cell r="J2542" t="str">
            <v>https://dl.smwcentral.net/28440/Time%20Out%21%20%5BDemo%202%5D.zip</v>
          </cell>
        </row>
        <row r="2543">
          <cell r="A2543" t="str">
            <v>TIME UP!</v>
          </cell>
          <cell r="B2543" t="str">
            <v>TIME UP!</v>
          </cell>
          <cell r="C2543" t="str">
            <v>Scarfley</v>
          </cell>
          <cell r="D2543">
            <v>12</v>
          </cell>
          <cell r="E2543" t="str">
            <v>Advanced</v>
          </cell>
          <cell r="F2543" t="str">
            <v>Standard</v>
          </cell>
          <cell r="G2543">
            <v>45717</v>
          </cell>
          <cell r="H2543" t="str">
            <v>39398</v>
          </cell>
          <cell r="I2543" t="str">
            <v>https://www.smwcentral.net/?a=details&amp;id=39398&amp;p=section</v>
          </cell>
          <cell r="J2543" t="str">
            <v>https://dl.smwcentral.net/39398/TIME%20UP.zip</v>
          </cell>
        </row>
        <row r="2544">
          <cell r="A2544" t="str">
            <v>Timeline Death Challenge</v>
          </cell>
          <cell r="B2544" t="str">
            <v>Timeline Death Challenge</v>
          </cell>
          <cell r="C2544" t="str">
            <v>Deivid Borba</v>
          </cell>
          <cell r="D2544">
            <v>4</v>
          </cell>
          <cell r="E2544" t="str">
            <v>Advanced</v>
          </cell>
          <cell r="F2544" t="str">
            <v>Kaizo</v>
          </cell>
          <cell r="G2544">
            <v>44305</v>
          </cell>
          <cell r="H2544" t="str">
            <v>26719</v>
          </cell>
          <cell r="I2544" t="str">
            <v>https://www.smwcentral.net/?a=details&amp;id=26719&amp;p=section</v>
          </cell>
          <cell r="J2544" t="str">
            <v>https://dl.smwcentral.net/26719/TimelineDeathChallenge.zip</v>
          </cell>
        </row>
        <row r="2545">
          <cell r="A2545" t="str">
            <v>Timeline World</v>
          </cell>
          <cell r="B2545" t="str">
            <v>Timeline World</v>
          </cell>
          <cell r="C2545" t="str">
            <v>Natsuz2, TheReaper</v>
          </cell>
          <cell r="D2545">
            <v>9</v>
          </cell>
          <cell r="E2545" t="str">
            <v>Master</v>
          </cell>
          <cell r="F2545" t="str">
            <v>Kaizo</v>
          </cell>
          <cell r="G2545">
            <v>44523</v>
          </cell>
          <cell r="H2545" t="str">
            <v>28647</v>
          </cell>
          <cell r="I2545" t="str">
            <v>https://www.smwcentral.net/?a=details&amp;id=28647&amp;p=section</v>
          </cell>
          <cell r="J2545" t="str">
            <v>https://dl.smwcentral.net/28647/Timeline%20World%201.2.zip</v>
          </cell>
        </row>
        <row r="2546">
          <cell r="A2546" t="str">
            <v>Tiny Variety World</v>
          </cell>
          <cell r="B2546" t="str">
            <v>Tiny Variety World</v>
          </cell>
          <cell r="C2546" t="str">
            <v>Snifit</v>
          </cell>
          <cell r="D2546">
            <v>4</v>
          </cell>
          <cell r="E2546" t="str">
            <v>Intermediate</v>
          </cell>
          <cell r="F2546" t="str">
            <v>Standard</v>
          </cell>
          <cell r="G2546">
            <v>42044</v>
          </cell>
          <cell r="H2546" t="str">
            <v>10250</v>
          </cell>
          <cell r="I2546" t="str">
            <v>https://www.smwcentral.net/?a=details&amp;id=10250&amp;p=section</v>
          </cell>
          <cell r="J2546" t="str">
            <v>https://dl.smwcentral.net/10250/TVW.zip</v>
          </cell>
        </row>
        <row r="2547">
          <cell r="A2547" t="str">
            <v>Tired Mario World</v>
          </cell>
          <cell r="B2547" t="str">
            <v>Tired Mario World</v>
          </cell>
          <cell r="C2547" t="str">
            <v>Wyatt</v>
          </cell>
          <cell r="D2547">
            <v>10</v>
          </cell>
          <cell r="E2547" t="str">
            <v>Master</v>
          </cell>
          <cell r="F2547" t="str">
            <v>Kaizo</v>
          </cell>
          <cell r="G2547">
            <v>44983</v>
          </cell>
          <cell r="H2547" t="str">
            <v>33137</v>
          </cell>
          <cell r="I2547" t="str">
            <v>https://www.smwcentral.net/?a=details&amp;id=33137&amp;p=section</v>
          </cell>
          <cell r="J2547" t="str">
            <v>https://dl.smwcentral.net/33137/Tired%20Mario%20World.zip</v>
          </cell>
        </row>
        <row r="2548">
          <cell r="A2548" t="str">
            <v>Titan Mario</v>
          </cell>
          <cell r="B2548" t="str">
            <v>Titan Mario</v>
          </cell>
          <cell r="C2548" t="str">
            <v>orka-bln</v>
          </cell>
          <cell r="D2548">
            <v>11</v>
          </cell>
          <cell r="E2548" t="str">
            <v>Master</v>
          </cell>
          <cell r="F2548" t="str">
            <v>Kaizo</v>
          </cell>
          <cell r="G2548">
            <v>44449</v>
          </cell>
          <cell r="H2548" t="str">
            <v>28247</v>
          </cell>
          <cell r="I2548" t="str">
            <v>https://www.smwcentral.net/?a=details&amp;id=28247&amp;p=section</v>
          </cell>
          <cell r="J2548" t="str">
            <v>https://dl.smwcentral.net/28247/titan1.1.zip</v>
          </cell>
        </row>
        <row r="2549">
          <cell r="A2549" t="str">
            <v>Titan Mario 2</v>
          </cell>
          <cell r="B2549" t="str">
            <v>Titan Mario 2</v>
          </cell>
          <cell r="C2549" t="str">
            <v>orka-bln</v>
          </cell>
          <cell r="D2549">
            <v>14</v>
          </cell>
          <cell r="E2549" t="str">
            <v>Master</v>
          </cell>
          <cell r="F2549" t="str">
            <v>Kaizo</v>
          </cell>
          <cell r="G2549">
            <v>45424</v>
          </cell>
          <cell r="H2549" t="str">
            <v>37767</v>
          </cell>
          <cell r="I2549" t="str">
            <v>https://www.smwcentral.net/?a=details&amp;id=37767&amp;p=section</v>
          </cell>
          <cell r="J2549" t="str">
            <v>https://dl.smwcentral.net/37767/Titan2_1.1.zip</v>
          </cell>
        </row>
        <row r="2550">
          <cell r="A2550" t="str">
            <v>Tithered Mario</v>
          </cell>
          <cell r="B2550" t="str">
            <v>Tithered Mario</v>
          </cell>
          <cell r="C2550" t="str">
            <v>Anonymous</v>
          </cell>
          <cell r="D2550">
            <v>13</v>
          </cell>
          <cell r="E2550" t="str">
            <v>Master</v>
          </cell>
          <cell r="F2550" t="str">
            <v>Standard, Kaizo</v>
          </cell>
          <cell r="G2550">
            <v>43965</v>
          </cell>
          <cell r="H2550" t="str">
            <v>22845</v>
          </cell>
          <cell r="I2550" t="str">
            <v>https://www.smwcentral.net/?a=details&amp;id=22845&amp;p=section</v>
          </cell>
          <cell r="J2550" t="str">
            <v>https://dl.smwcentral.net/22845/Tithered_Mario.zip</v>
          </cell>
        </row>
        <row r="2551">
          <cell r="A2551" t="str">
            <v>Title</v>
          </cell>
          <cell r="B2551" t="str">
            <v>Title</v>
          </cell>
          <cell r="C2551" t="str">
            <v>Noivern</v>
          </cell>
          <cell r="D2551">
            <v>12</v>
          </cell>
          <cell r="E2551" t="str">
            <v>Casual</v>
          </cell>
          <cell r="F2551" t="str">
            <v>Standard</v>
          </cell>
          <cell r="G2551">
            <v>41445</v>
          </cell>
          <cell r="H2551" t="str">
            <v>5577</v>
          </cell>
          <cell r="I2551" t="str">
            <v>https://www.smwcentral.net/?a=details&amp;id=5577&amp;p=section</v>
          </cell>
          <cell r="J2551" t="str">
            <v>https://dl.smwcentral.net/5577/%5Btitle%5D.zip</v>
          </cell>
        </row>
        <row r="2552">
          <cell r="A2552" t="str">
            <v>TmD</v>
          </cell>
          <cell r="B2552" t="str">
            <v>TmD</v>
          </cell>
          <cell r="C2552" t="str">
            <v>Kazefbr</v>
          </cell>
          <cell r="D2552">
            <v>6</v>
          </cell>
          <cell r="E2552" t="str">
            <v>Intermediate</v>
          </cell>
          <cell r="F2552" t="str">
            <v>Kaizo</v>
          </cell>
          <cell r="G2552">
            <v>44677</v>
          </cell>
          <cell r="H2552" t="str">
            <v>30607</v>
          </cell>
          <cell r="I2552" t="str">
            <v>https://www.smwcentral.net/?a=details&amp;id=30607&amp;p=section</v>
          </cell>
          <cell r="J2552" t="str">
            <v>https://dl.smwcentral.net/30607/TmD.zip</v>
          </cell>
        </row>
        <row r="2553">
          <cell r="A2553" t="str">
            <v>TMFC3EYHEP&amp;K - Q2BDB</v>
          </cell>
          <cell r="B2553" t="str">
            <v>TMFC3EYHEP&amp;K - Q2BDB</v>
          </cell>
          <cell r="C2553" t="str">
            <v>S.N.N.</v>
          </cell>
          <cell r="D2553">
            <v>5</v>
          </cell>
          <cell r="E2553" t="str">
            <v>Newcomer</v>
          </cell>
          <cell r="F2553" t="str">
            <v>Standard</v>
          </cell>
          <cell r="G2553">
            <v>42178</v>
          </cell>
          <cell r="H2553" t="str">
            <v>11499</v>
          </cell>
          <cell r="I2553" t="str">
            <v>https://www.smwcentral.net/?a=details&amp;id=11499&amp;p=section</v>
          </cell>
          <cell r="J2553" t="str">
            <v>https://dl.smwcentral.net/11499/TMFC3EYHAP%26K%20-%20Q2BDB.zip</v>
          </cell>
        </row>
        <row r="2554">
          <cell r="A2554" t="str">
            <v>To Shell And Back!</v>
          </cell>
          <cell r="B2554" t="str">
            <v>To Shell And Back!</v>
          </cell>
          <cell r="C2554" t="str">
            <v>Bux</v>
          </cell>
          <cell r="D2554">
            <v>11</v>
          </cell>
          <cell r="E2554" t="str">
            <v>Master</v>
          </cell>
          <cell r="F2554" t="str">
            <v>Kaizo</v>
          </cell>
          <cell r="G2554">
            <v>45386</v>
          </cell>
          <cell r="H2554" t="str">
            <v>36780</v>
          </cell>
          <cell r="I2554" t="str">
            <v>https://www.smwcentral.net/?a=details&amp;id=36780&amp;p=section</v>
          </cell>
          <cell r="J2554" t="str">
            <v>https://dl.smwcentral.net/36780/To%20Shell%20And%20Back%21%201.3.zip</v>
          </cell>
        </row>
        <row r="2555">
          <cell r="A2555" t="str">
            <v>Toad Kaizo World</v>
          </cell>
          <cell r="B2555" t="str">
            <v>Toad Kaizo World</v>
          </cell>
          <cell r="C2555" t="str">
            <v>Bruno Peixoto</v>
          </cell>
          <cell r="D2555">
            <v>22</v>
          </cell>
          <cell r="E2555" t="str">
            <v>Advanced</v>
          </cell>
          <cell r="F2555" t="str">
            <v>Kaizo</v>
          </cell>
          <cell r="G2555">
            <v>43970</v>
          </cell>
          <cell r="H2555" t="str">
            <v>22869</v>
          </cell>
          <cell r="I2555" t="str">
            <v>https://www.smwcentral.net/?a=details&amp;id=22869&amp;p=section</v>
          </cell>
          <cell r="J2555" t="str">
            <v>https://dl.smwcentral.net/22869/Toad%20Kaizo%20World.zip</v>
          </cell>
        </row>
        <row r="2556">
          <cell r="A2556" t="str">
            <v>Toad Kaizo World 2</v>
          </cell>
          <cell r="B2556" t="str">
            <v>Toad Kaizo World 2</v>
          </cell>
          <cell r="C2556" t="str">
            <v>Bruno_Peixoto</v>
          </cell>
          <cell r="D2556">
            <v>17</v>
          </cell>
          <cell r="E2556" t="str">
            <v>Advanced</v>
          </cell>
          <cell r="F2556" t="str">
            <v>Kaizo</v>
          </cell>
          <cell r="G2556">
            <v>44318</v>
          </cell>
          <cell r="H2556" t="str">
            <v>26862</v>
          </cell>
          <cell r="I2556" t="str">
            <v>https://www.smwcentral.net/?a=details&amp;id=26862&amp;p=section</v>
          </cell>
          <cell r="J2556" t="str">
            <v>https://dl.smwcentral.net/26862/Toad%20Kaizo%20World%202.zip</v>
          </cell>
        </row>
        <row r="2557">
          <cell r="A2557" t="str">
            <v>Toad's cherry tracker</v>
          </cell>
          <cell r="B2557" t="str">
            <v>Toad's cherry tracker</v>
          </cell>
          <cell r="C2557" t="str">
            <v>Lush_50</v>
          </cell>
          <cell r="D2557">
            <v>18</v>
          </cell>
          <cell r="E2557" t="str">
            <v>Intermediate</v>
          </cell>
          <cell r="F2557" t="str">
            <v>Standard</v>
          </cell>
          <cell r="G2557">
            <v>45573</v>
          </cell>
          <cell r="H2557" t="str">
            <v>38570</v>
          </cell>
          <cell r="I2557" t="str">
            <v>https://www.smwcentral.net/?a=details&amp;id=38570&amp;p=section</v>
          </cell>
          <cell r="J2557" t="str">
            <v>https://dl.smwcentral.net/38570/Toad%27s%20Cherry%20Tracker%20V1.3.zip</v>
          </cell>
        </row>
        <row r="2558">
          <cell r="A2558" t="str">
            <v>Toad's World</v>
          </cell>
          <cell r="B2558" t="str">
            <v>Toad's World</v>
          </cell>
          <cell r="C2558" t="str">
            <v>FPI, Ice Man, ghettoyouth</v>
          </cell>
          <cell r="D2558">
            <v>56</v>
          </cell>
          <cell r="E2558" t="str">
            <v>Advanced</v>
          </cell>
          <cell r="F2558" t="str">
            <v>Standard</v>
          </cell>
          <cell r="G2558">
            <v>46222</v>
          </cell>
          <cell r="H2558" t="str">
            <v>42620</v>
          </cell>
          <cell r="I2558" t="str">
            <v>https://www.smwcentral.net/?a=details&amp;id=42620&amp;p=section</v>
          </cell>
          <cell r="J2558" t="str">
            <v>https://dl.smwcentral.net/42620/Toad%27s%20World%20%282026%20Version%201.2%29.zip</v>
          </cell>
        </row>
        <row r="2559">
          <cell r="A2559" t="str">
            <v>Toad's World 2</v>
          </cell>
          <cell r="B2559" t="str">
            <v>Toad's World 2</v>
          </cell>
          <cell r="C2559" t="str">
            <v>Ice Man</v>
          </cell>
          <cell r="D2559">
            <v>65</v>
          </cell>
          <cell r="E2559" t="str">
            <v>Intermediate</v>
          </cell>
          <cell r="F2559" t="str">
            <v>Standard</v>
          </cell>
          <cell r="G2559">
            <v>45725</v>
          </cell>
          <cell r="H2559" t="str">
            <v>39167</v>
          </cell>
          <cell r="I2559" t="str">
            <v>https://www.smwcentral.net/?a=details&amp;id=39167&amp;p=section</v>
          </cell>
          <cell r="J2559" t="str">
            <v>https://dl.smwcentral.net/39167/Toad%27s%20World%202%20v1.2%20%28Normal%20%2B%20Hard%20Mode%29.zip</v>
          </cell>
        </row>
        <row r="2560">
          <cell r="A2560" t="str">
            <v>Toadette's Adventure</v>
          </cell>
          <cell r="B2560" t="str">
            <v>Toadette's Adventure</v>
          </cell>
          <cell r="C2560" t="str">
            <v>I don't know a good name.</v>
          </cell>
          <cell r="D2560">
            <v>9</v>
          </cell>
          <cell r="E2560" t="str">
            <v>Newcomer</v>
          </cell>
          <cell r="F2560" t="str">
            <v>Standard</v>
          </cell>
          <cell r="G2560">
            <v>43783</v>
          </cell>
          <cell r="H2560" t="str">
            <v>21476</v>
          </cell>
          <cell r="I2560" t="str">
            <v>https://www.smwcentral.net/?a=details&amp;id=21476&amp;p=section</v>
          </cell>
          <cell r="J2560" t="str">
            <v>https://dl.smwcentral.net/21476/Toadette.zip</v>
          </cell>
        </row>
        <row r="2561">
          <cell r="A2561" t="str">
            <v>Toadette's Kaizo Tuesday</v>
          </cell>
          <cell r="B2561" t="str">
            <v>Toadette's Kaizo Tuesday</v>
          </cell>
          <cell r="C2561" t="str">
            <v>Hwailaluta</v>
          </cell>
          <cell r="D2561">
            <v>27</v>
          </cell>
          <cell r="E2561" t="str">
            <v>Master</v>
          </cell>
          <cell r="F2561" t="str">
            <v>Kaizo</v>
          </cell>
          <cell r="G2561">
            <v>44872</v>
          </cell>
          <cell r="H2561" t="str">
            <v>31771</v>
          </cell>
          <cell r="I2561" t="str">
            <v>https://www.smwcentral.net/?a=details&amp;id=31771&amp;p=section</v>
          </cell>
          <cell r="J2561" t="str">
            <v>https://dl.smwcentral.net/31771/ToadettesKaizoTuesday.zip</v>
          </cell>
        </row>
        <row r="2562">
          <cell r="A2562" t="str">
            <v>Toadventure</v>
          </cell>
          <cell r="B2562" t="str">
            <v>Toadventure</v>
          </cell>
          <cell r="C2562" t="str">
            <v>Captain Domas</v>
          </cell>
          <cell r="D2562">
            <v>10</v>
          </cell>
          <cell r="E2562" t="str">
            <v>Advanced</v>
          </cell>
          <cell r="F2562" t="str">
            <v>Kaizo</v>
          </cell>
          <cell r="G2562">
            <v>44449</v>
          </cell>
          <cell r="H2562" t="str">
            <v>28264</v>
          </cell>
          <cell r="I2562" t="str">
            <v>https://www.smwcentral.net/?a=details&amp;id=28264&amp;p=section</v>
          </cell>
          <cell r="J2562" t="str">
            <v>https://dl.smwcentral.net/28264/Toadventure.zip</v>
          </cell>
        </row>
        <row r="2563">
          <cell r="A2563" t="str">
            <v>Tomorrow, Together</v>
          </cell>
          <cell r="B2563" t="str">
            <v>Tomorrow, Together</v>
          </cell>
          <cell r="C2563" t="str">
            <v>dotCoockie</v>
          </cell>
          <cell r="D2563">
            <v>9</v>
          </cell>
          <cell r="E2563" t="str">
            <v>Master</v>
          </cell>
          <cell r="F2563" t="str">
            <v>Kaizo</v>
          </cell>
          <cell r="G2563">
            <v>44909</v>
          </cell>
          <cell r="H2563" t="str">
            <v>32718</v>
          </cell>
          <cell r="I2563" t="str">
            <v>https://www.smwcentral.net/?a=details&amp;id=32718&amp;p=section</v>
          </cell>
          <cell r="J2563" t="str">
            <v>https://dl.smwcentral.net/32718/Tomorrow.zip</v>
          </cell>
        </row>
        <row r="2564">
          <cell r="A2564" t="str">
            <v>Toothpaste World</v>
          </cell>
          <cell r="B2564" t="str">
            <v>Toothpaste World</v>
          </cell>
          <cell r="C2564" t="str">
            <v>TheRedCrystal</v>
          </cell>
          <cell r="D2564">
            <v>20</v>
          </cell>
          <cell r="E2564" t="str">
            <v>Advanced</v>
          </cell>
          <cell r="F2564" t="str">
            <v>Standard</v>
          </cell>
          <cell r="G2564">
            <v>45859</v>
          </cell>
          <cell r="H2564" t="str">
            <v>40125</v>
          </cell>
          <cell r="I2564" t="str">
            <v>https://www.smwcentral.net/?a=details&amp;id=40125&amp;p=section</v>
          </cell>
          <cell r="J2564" t="str">
            <v>https://dl.smwcentral.net/40125/toothpaste%20world.zip</v>
          </cell>
        </row>
        <row r="2565">
          <cell r="A2565" t="str">
            <v>Torkiyello</v>
          </cell>
          <cell r="B2565" t="str">
            <v>Torkiyello</v>
          </cell>
          <cell r="C2565" t="str">
            <v>OEO6</v>
          </cell>
          <cell r="D2565">
            <v>8</v>
          </cell>
          <cell r="E2565" t="str">
            <v>Expert</v>
          </cell>
          <cell r="F2565" t="str">
            <v>Kaizo</v>
          </cell>
          <cell r="G2565">
            <v>43666</v>
          </cell>
          <cell r="H2565" t="str">
            <v>20120</v>
          </cell>
          <cell r="I2565" t="str">
            <v>https://www.smwcentral.net/?a=details&amp;id=20120&amp;p=section</v>
          </cell>
          <cell r="J2565" t="str">
            <v>https://dl.smwcentral.net/20120/Torkiyello%20v1.zip</v>
          </cell>
        </row>
        <row r="2566">
          <cell r="A2566" t="str">
            <v>torkiyello extra pack</v>
          </cell>
          <cell r="B2566" t="str">
            <v>torkiyello extra pack</v>
          </cell>
          <cell r="C2566" t="str">
            <v>OEO6</v>
          </cell>
          <cell r="D2566">
            <v>5</v>
          </cell>
          <cell r="E2566" t="str">
            <v>Expert</v>
          </cell>
          <cell r="F2566" t="str">
            <v>Kaizo</v>
          </cell>
          <cell r="G2566">
            <v>44147</v>
          </cell>
          <cell r="H2566" t="str">
            <v>25031</v>
          </cell>
          <cell r="I2566" t="str">
            <v>https://www.smwcentral.net/?a=details&amp;id=25031&amp;p=section</v>
          </cell>
          <cell r="J2566" t="str">
            <v>https://dl.smwcentral.net/25031/torkiyello%20extra%20pack%20new%20update.zip</v>
          </cell>
        </row>
        <row r="2567">
          <cell r="A2567" t="str">
            <v>torkiyello iki</v>
          </cell>
          <cell r="B2567" t="str">
            <v>torkiyello iki</v>
          </cell>
          <cell r="C2567" t="str">
            <v>OEO6</v>
          </cell>
          <cell r="D2567">
            <v>7</v>
          </cell>
          <cell r="E2567" t="str">
            <v>Expert</v>
          </cell>
          <cell r="F2567" t="str">
            <v>Kaizo</v>
          </cell>
          <cell r="G2567">
            <v>44146</v>
          </cell>
          <cell r="H2567" t="str">
            <v>25030</v>
          </cell>
          <cell r="I2567" t="str">
            <v>https://www.smwcentral.net/?a=details&amp;id=25030&amp;p=section</v>
          </cell>
          <cell r="J2567" t="str">
            <v>https://dl.smwcentral.net/25030/torkiyello%20iki%20new%20update.zip</v>
          </cell>
        </row>
        <row r="2568">
          <cell r="A2568" t="str">
            <v>Tortured Souls</v>
          </cell>
          <cell r="B2568" t="str">
            <v>Tortured Souls</v>
          </cell>
          <cell r="C2568" t="str">
            <v>RZRider</v>
          </cell>
          <cell r="D2568">
            <v>33</v>
          </cell>
          <cell r="E2568" t="str">
            <v>Expert</v>
          </cell>
          <cell r="F2568" t="str">
            <v>Kaizo</v>
          </cell>
          <cell r="G2568">
            <v>44735</v>
          </cell>
          <cell r="H2568" t="str">
            <v>31160</v>
          </cell>
          <cell r="I2568" t="str">
            <v>https://www.smwcentral.net/?a=details&amp;id=31160&amp;p=section</v>
          </cell>
          <cell r="J2568" t="str">
            <v>https://dl.smwcentral.net/31160/TorturedSouls1.2.zip</v>
          </cell>
        </row>
        <row r="2569">
          <cell r="A2569" t="str">
            <v>Tortured Souls 3 DEMO</v>
          </cell>
          <cell r="B2569" t="str">
            <v>Tortured Souls 3 DEMO</v>
          </cell>
          <cell r="C2569" t="str">
            <v>RZRider</v>
          </cell>
          <cell r="D2569">
            <v>23</v>
          </cell>
          <cell r="E2569" t="str">
            <v>Master</v>
          </cell>
          <cell r="F2569" t="str">
            <v>Kaizo</v>
          </cell>
          <cell r="G2569">
            <v>45642</v>
          </cell>
          <cell r="H2569" t="str">
            <v>38917</v>
          </cell>
          <cell r="I2569" t="str">
            <v>https://www.smwcentral.net/?a=details&amp;id=38917&amp;p=section</v>
          </cell>
          <cell r="J2569" t="str">
            <v>https://dl.smwcentral.net/38917/TS3Demo1.1.zip</v>
          </cell>
        </row>
        <row r="2570">
          <cell r="A2570" t="str">
            <v>Tortured Souls II: Rapture</v>
          </cell>
          <cell r="B2570" t="str">
            <v>Tortured Souls II: Rapture</v>
          </cell>
          <cell r="C2570" t="str">
            <v>RZRider</v>
          </cell>
          <cell r="D2570">
            <v>44</v>
          </cell>
          <cell r="E2570" t="str">
            <v>Expert</v>
          </cell>
          <cell r="F2570" t="str">
            <v>Kaizo</v>
          </cell>
          <cell r="G2570">
            <v>45383</v>
          </cell>
          <cell r="H2570" t="str">
            <v>37513</v>
          </cell>
          <cell r="I2570" t="str">
            <v>https://www.smwcentral.net/?a=details&amp;id=37513&amp;p=section</v>
          </cell>
          <cell r="J2570" t="str">
            <v>https://dl.smwcentral.net/37513/TorturedSoulsIIRapture.zip</v>
          </cell>
        </row>
        <row r="2571">
          <cell r="A2571" t="str">
            <v>Total Jotary World</v>
          </cell>
          <cell r="B2571" t="str">
            <v>Total Jotary World</v>
          </cell>
          <cell r="C2571" t="str">
            <v>Narcologer</v>
          </cell>
          <cell r="D2571">
            <v>26</v>
          </cell>
          <cell r="E2571" t="str">
            <v>Intermediate</v>
          </cell>
          <cell r="F2571" t="str">
            <v>Standard</v>
          </cell>
          <cell r="G2571">
            <v>44726</v>
          </cell>
          <cell r="H2571" t="str">
            <v>31032</v>
          </cell>
          <cell r="I2571" t="str">
            <v>https://www.smwcentral.net/?a=details&amp;id=31032&amp;p=section</v>
          </cell>
          <cell r="J2571" t="str">
            <v>https://dl.smwcentral.net/31032/Total%20Jotary%20World.zip</v>
          </cell>
        </row>
        <row r="2572">
          <cell r="A2572" t="str">
            <v>Total Mario World</v>
          </cell>
          <cell r="B2572" t="str">
            <v>Total Mario World</v>
          </cell>
          <cell r="C2572" t="str">
            <v>Narcologer</v>
          </cell>
          <cell r="D2572">
            <v>23</v>
          </cell>
          <cell r="E2572" t="str">
            <v>Casual</v>
          </cell>
          <cell r="F2572" t="str">
            <v>Standard</v>
          </cell>
          <cell r="G2572">
            <v>43449</v>
          </cell>
          <cell r="H2572" t="str">
            <v>18665</v>
          </cell>
          <cell r="I2572" t="str">
            <v>https://www.smwcentral.net/?a=details&amp;id=18665&amp;p=section</v>
          </cell>
          <cell r="J2572" t="str">
            <v>https://dl.smwcentral.net/18665/TMW.zip</v>
          </cell>
        </row>
        <row r="2573">
          <cell r="A2573" t="str">
            <v>Totally Vanilla</v>
          </cell>
          <cell r="B2573" t="str">
            <v>Totally Vanilla</v>
          </cell>
          <cell r="C2573" t="str">
            <v>RussianMan</v>
          </cell>
          <cell r="D2573">
            <v>9</v>
          </cell>
          <cell r="E2573" t="str">
            <v>Intermediate</v>
          </cell>
          <cell r="F2573" t="str">
            <v>Standard</v>
          </cell>
          <cell r="G2573">
            <v>44035</v>
          </cell>
          <cell r="H2573" t="str">
            <v>23974</v>
          </cell>
          <cell r="I2573" t="str">
            <v>https://www.smwcentral.net/?a=details&amp;id=23974&amp;p=section</v>
          </cell>
          <cell r="J2573" t="str">
            <v>https://dl.smwcentral.net/23974/Totally%20Vanilla.zip</v>
          </cell>
        </row>
        <row r="2574">
          <cell r="A2574" t="str">
            <v>Totemo Tanoshii World</v>
          </cell>
          <cell r="B2574" t="str">
            <v>Totemo Tanoshii World</v>
          </cell>
          <cell r="C2574" t="str">
            <v>StayAtHomeStegosaurus</v>
          </cell>
          <cell r="D2574">
            <v>19</v>
          </cell>
          <cell r="E2574" t="str">
            <v>Master</v>
          </cell>
          <cell r="F2574" t="str">
            <v>Kaizo</v>
          </cell>
          <cell r="G2574">
            <v>44268</v>
          </cell>
          <cell r="H2574" t="str">
            <v>26296</v>
          </cell>
          <cell r="I2574" t="str">
            <v>https://www.smwcentral.net/?a=details&amp;id=26296&amp;p=section</v>
          </cell>
          <cell r="J2574" t="str">
            <v>https://dl.smwcentral.net/26296/TotemoTanoshiWorld_v1.02.zip</v>
          </cell>
        </row>
        <row r="2575">
          <cell r="A2575" t="str">
            <v>Touhou Mario: Imperishable Night</v>
          </cell>
          <cell r="B2575" t="str">
            <v>Touhou Mario: Imperishable Night</v>
          </cell>
          <cell r="C2575" t="str">
            <v>Vitor Vilela, Wakana</v>
          </cell>
          <cell r="D2575">
            <v>18</v>
          </cell>
          <cell r="E2575" t="str">
            <v>Intermediate</v>
          </cell>
          <cell r="F2575" t="str">
            <v>Standard</v>
          </cell>
          <cell r="G2575">
            <v>41650</v>
          </cell>
          <cell r="H2575" t="str">
            <v>6059</v>
          </cell>
          <cell r="I2575" t="str">
            <v>https://www.smwcentral.net/?a=details&amp;id=6059&amp;p=section</v>
          </cell>
          <cell r="J2575" t="str">
            <v>https://dl.smwcentral.net/6059/Touhou%20Mario.zip</v>
          </cell>
        </row>
        <row r="2576">
          <cell r="A2576" t="str">
            <v>Tower of Facades</v>
          </cell>
          <cell r="B2576" t="str">
            <v>Tower of Facades</v>
          </cell>
          <cell r="C2576" t="str">
            <v>GbreezeSunset</v>
          </cell>
          <cell r="D2576">
            <v>1</v>
          </cell>
          <cell r="E2576" t="str">
            <v>Expert</v>
          </cell>
          <cell r="F2576" t="str">
            <v>Puzzle</v>
          </cell>
          <cell r="G2576">
            <v>45736</v>
          </cell>
          <cell r="H2576" t="str">
            <v>39332</v>
          </cell>
          <cell r="I2576" t="str">
            <v>https://www.smwcentral.net/?a=details&amp;id=39332&amp;p=section</v>
          </cell>
          <cell r="J2576" t="str">
            <v>https://dl.smwcentral.net/39332/Tower%20of%20Facades.zip</v>
          </cell>
        </row>
        <row r="2577">
          <cell r="A2577" t="str">
            <v>Tower Of Glory</v>
          </cell>
          <cell r="B2577" t="str">
            <v>Tower Of Glory</v>
          </cell>
          <cell r="C2577" t="str">
            <v>ShoopDaWhoop</v>
          </cell>
          <cell r="D2577">
            <v>1</v>
          </cell>
          <cell r="E2577" t="str">
            <v>Advanced</v>
          </cell>
          <cell r="F2577" t="str">
            <v>Kaizo</v>
          </cell>
          <cell r="G2577">
            <v>45481</v>
          </cell>
          <cell r="H2577" t="str">
            <v>38036</v>
          </cell>
          <cell r="I2577" t="str">
            <v>https://www.smwcentral.net/?a=details&amp;id=38036&amp;p=section</v>
          </cell>
          <cell r="J2577" t="str">
            <v>https://dl.smwcentral.net/38036/Tower%20of%20Glory.zip</v>
          </cell>
        </row>
        <row r="2578">
          <cell r="A2578" t="str">
            <v>Tower Of Glory 2</v>
          </cell>
          <cell r="B2578" t="str">
            <v>Tower Of Glory 2</v>
          </cell>
          <cell r="C2578" t="str">
            <v>ShoopDaWhoop</v>
          </cell>
          <cell r="D2578">
            <v>0</v>
          </cell>
          <cell r="E2578" t="str">
            <v>Advanced</v>
          </cell>
          <cell r="F2578" t="str">
            <v>Kaizo</v>
          </cell>
          <cell r="G2578">
            <v>46191</v>
          </cell>
          <cell r="H2578" t="str">
            <v>42504</v>
          </cell>
          <cell r="I2578" t="str">
            <v>https://www.smwcentral.net/?a=details&amp;id=42504&amp;p=section</v>
          </cell>
          <cell r="J2578" t="str">
            <v>https://dl.smwcentral.net/42504/Tower%20of%20Glory%202%20%281%29.zip</v>
          </cell>
        </row>
        <row r="2579">
          <cell r="A2579" t="str">
            <v>Tower Of Keys</v>
          </cell>
          <cell r="B2579" t="str">
            <v>Tower Of Keys</v>
          </cell>
          <cell r="C2579" t="str">
            <v>lolyoshi</v>
          </cell>
          <cell r="D2579">
            <v>1</v>
          </cell>
          <cell r="E2579" t="str">
            <v>Expert</v>
          </cell>
          <cell r="F2579" t="str">
            <v>Kaizo</v>
          </cell>
          <cell r="G2579">
            <v>42638</v>
          </cell>
          <cell r="H2579" t="str">
            <v>14452</v>
          </cell>
          <cell r="I2579" t="str">
            <v>https://www.smwcentral.net/?a=details&amp;id=14452&amp;p=section</v>
          </cell>
          <cell r="J2579" t="str">
            <v>https://dl.smwcentral.net/14452/tower%20of%20keys.zip</v>
          </cell>
        </row>
        <row r="2580">
          <cell r="A2580" t="str">
            <v>Tower Of Nopecr</v>
          </cell>
          <cell r="B2580" t="str">
            <v>Tower Of Nopecr</v>
          </cell>
          <cell r="C2580" t="str">
            <v>MarioFan1337</v>
          </cell>
          <cell r="D2580">
            <v>1</v>
          </cell>
          <cell r="E2580" t="str">
            <v>Expert</v>
          </cell>
          <cell r="F2580" t="str">
            <v>Kaizo</v>
          </cell>
          <cell r="G2580">
            <v>45613</v>
          </cell>
          <cell r="H2580" t="str">
            <v>38786</v>
          </cell>
          <cell r="I2580" t="str">
            <v>https://www.smwcentral.net/?a=details&amp;id=38786&amp;p=section</v>
          </cell>
          <cell r="J2580" t="str">
            <v>https://dl.smwcentral.net/38786/Tower_Of_Nopecr.zip</v>
          </cell>
        </row>
        <row r="2581">
          <cell r="A2581" t="str">
            <v>Tower of Shells 2: True Insanity</v>
          </cell>
          <cell r="B2581" t="str">
            <v>Tower of Shells 2: True Insanity</v>
          </cell>
          <cell r="C2581" t="str">
            <v>Insanit</v>
          </cell>
          <cell r="D2581">
            <v>2</v>
          </cell>
          <cell r="E2581" t="str">
            <v>Master</v>
          </cell>
          <cell r="F2581" t="str">
            <v>Kaizo</v>
          </cell>
          <cell r="G2581">
            <v>44816</v>
          </cell>
          <cell r="H2581" t="str">
            <v>32042</v>
          </cell>
          <cell r="I2581" t="str">
            <v>https://www.smwcentral.net/?a=details&amp;id=32042&amp;p=section</v>
          </cell>
          <cell r="J2581" t="str">
            <v>https://dl.smwcentral.net/32042/TowerOfShells2TrueInsanity.zip</v>
          </cell>
        </row>
        <row r="2582">
          <cell r="A2582" t="str">
            <v>Tower of Shells DELUXE</v>
          </cell>
          <cell r="B2582" t="str">
            <v>Tower of Shells DELUXE</v>
          </cell>
          <cell r="C2582" t="str">
            <v>Insanit</v>
          </cell>
          <cell r="D2582">
            <v>1</v>
          </cell>
          <cell r="E2582" t="str">
            <v>Expert</v>
          </cell>
          <cell r="F2582" t="str">
            <v>Kaizo</v>
          </cell>
          <cell r="G2582">
            <v>44400</v>
          </cell>
          <cell r="H2582" t="str">
            <v>27801</v>
          </cell>
          <cell r="I2582" t="str">
            <v>https://www.smwcentral.net/?a=details&amp;id=27801&amp;p=section</v>
          </cell>
          <cell r="J2582" t="str">
            <v>https://dl.smwcentral.net/27801/Tower%20of%20Shells%20DELUXE.zip</v>
          </cell>
        </row>
        <row r="2583">
          <cell r="A2583" t="str">
            <v>Trans Liberation Forever</v>
          </cell>
          <cell r="B2583" t="str">
            <v>Trans Liberation Forever</v>
          </cell>
          <cell r="C2583" t="str">
            <v>MarsAmPear</v>
          </cell>
          <cell r="D2583">
            <v>5</v>
          </cell>
          <cell r="E2583" t="str">
            <v>Grandmaster</v>
          </cell>
          <cell r="F2583" t="str">
            <v>Kaizo</v>
          </cell>
          <cell r="G2583">
            <v>44953</v>
          </cell>
          <cell r="H2583" t="str">
            <v>33007</v>
          </cell>
          <cell r="I2583" t="str">
            <v>https://www.smwcentral.net/?a=details&amp;id=33007&amp;p=section</v>
          </cell>
          <cell r="J2583" t="str">
            <v>https://dl.smwcentral.net/33007/Trans%20Liberation%20Forever%202.04.zip</v>
          </cell>
        </row>
        <row r="2584">
          <cell r="A2584" t="str">
            <v>Transatlantic Flights</v>
          </cell>
          <cell r="B2584" t="str">
            <v>Transatlantic Flights</v>
          </cell>
          <cell r="C2584" t="str">
            <v>l337f00l</v>
          </cell>
          <cell r="D2584">
            <v>9</v>
          </cell>
          <cell r="E2584" t="str">
            <v>Master</v>
          </cell>
          <cell r="F2584" t="str">
            <v>Kaizo</v>
          </cell>
          <cell r="G2584">
            <v>45462</v>
          </cell>
          <cell r="H2584" t="str">
            <v>37885</v>
          </cell>
          <cell r="I2584" t="str">
            <v>https://www.smwcentral.net/?a=details&amp;id=37885&amp;p=section</v>
          </cell>
          <cell r="J2584" t="str">
            <v>https://dl.smwcentral.net/37885/Transatlantic_Flight-V1.1.zip</v>
          </cell>
        </row>
        <row r="2585">
          <cell r="A2585" t="str">
            <v>Transmission Chain Experiment</v>
          </cell>
          <cell r="B2585" t="str">
            <v>Transmission Chain Experiment</v>
          </cell>
          <cell r="C2585" t="str">
            <v>Various Authors</v>
          </cell>
          <cell r="D2585">
            <v>6</v>
          </cell>
          <cell r="E2585" t="str">
            <v>Expert</v>
          </cell>
          <cell r="F2585" t="str">
            <v>Standard, Kaizo</v>
          </cell>
          <cell r="G2585">
            <v>44623</v>
          </cell>
          <cell r="H2585" t="str">
            <v>29659</v>
          </cell>
          <cell r="I2585" t="str">
            <v>https://www.smwcentral.net/?a=details&amp;id=29659&amp;p=section</v>
          </cell>
          <cell r="J2585" t="str">
            <v>https://dl.smwcentral.net/29659/TransmissionChainExperiment.zip</v>
          </cell>
        </row>
        <row r="2586">
          <cell r="A2586" t="str">
            <v>Transylvania Fable- Legacy of Archaic Arcanum</v>
          </cell>
          <cell r="B2586" t="str">
            <v>Transylvania Fable- Legacy of Archaic Arcanum</v>
          </cell>
          <cell r="C2586" t="str">
            <v>Vamperumbra</v>
          </cell>
          <cell r="D2586">
            <v>20</v>
          </cell>
          <cell r="E2586" t="str">
            <v>Intermediate</v>
          </cell>
          <cell r="F2586" t="str">
            <v>Standard</v>
          </cell>
          <cell r="G2586">
            <v>42977</v>
          </cell>
          <cell r="H2586" t="str">
            <v>16080</v>
          </cell>
          <cell r="I2586" t="str">
            <v>https://www.smwcentral.net/?a=details&amp;id=16080&amp;p=section</v>
          </cell>
          <cell r="J2586" t="str">
            <v>https://dl.smwcentral.net/16080/TF.zip</v>
          </cell>
        </row>
        <row r="2587">
          <cell r="A2587" t="str">
            <v>trashdumb</v>
          </cell>
          <cell r="B2587" t="str">
            <v>trashdumb</v>
          </cell>
          <cell r="C2587" t="str">
            <v>OEO6</v>
          </cell>
          <cell r="D2587">
            <v>29</v>
          </cell>
          <cell r="E2587" t="str">
            <v>Advanced</v>
          </cell>
          <cell r="F2587" t="str">
            <v>Standard</v>
          </cell>
          <cell r="G2587">
            <v>44312</v>
          </cell>
          <cell r="H2587" t="str">
            <v>26737</v>
          </cell>
          <cell r="I2587" t="str">
            <v>https://www.smwcentral.net/?a=details&amp;id=26737&amp;p=section</v>
          </cell>
          <cell r="J2587" t="str">
            <v>https://dl.smwcentral.net/26737/trashdumb.zip</v>
          </cell>
        </row>
        <row r="2588">
          <cell r="A2588" t="str">
            <v>TRAWASBNONASYACTNISGAS</v>
          </cell>
          <cell r="B2588" t="str">
            <v>TRAWASBNONASYACTNISGAS</v>
          </cell>
          <cell r="C2588" t="str">
            <v>Shizufuzu</v>
          </cell>
          <cell r="D2588">
            <v>5</v>
          </cell>
          <cell r="E2588" t="str">
            <v>Casual</v>
          </cell>
          <cell r="F2588" t="str">
            <v>Standard</v>
          </cell>
          <cell r="G2588">
            <v>42482</v>
          </cell>
          <cell r="H2588" t="str">
            <v>13554</v>
          </cell>
          <cell r="I2588" t="str">
            <v>https://www.smwcentral.net/?a=details&amp;id=13554&amp;p=section</v>
          </cell>
          <cell r="J2588" t="str">
            <v>https://dl.smwcentral.net/13554/TRAWASBNONASYACTNISGAS.zip</v>
          </cell>
        </row>
        <row r="2589">
          <cell r="A2589" t="str">
            <v>Tribute</v>
          </cell>
          <cell r="B2589" t="str">
            <v>Tribute</v>
          </cell>
          <cell r="C2589" t="str">
            <v>JakAttack</v>
          </cell>
          <cell r="D2589">
            <v>16</v>
          </cell>
          <cell r="E2589" t="str">
            <v>Intermediate</v>
          </cell>
          <cell r="F2589" t="str">
            <v>Kaizo</v>
          </cell>
          <cell r="G2589">
            <v>46220</v>
          </cell>
          <cell r="H2589" t="str">
            <v>42703</v>
          </cell>
          <cell r="I2589" t="str">
            <v>https://www.smwcentral.net/?a=details&amp;id=42703&amp;p=section</v>
          </cell>
          <cell r="J2589" t="str">
            <v>https://dl.smwcentral.net/42703/Tribute.zip</v>
          </cell>
        </row>
        <row r="2590">
          <cell r="A2590" t="str">
            <v>Tricky Mario</v>
          </cell>
          <cell r="B2590" t="str">
            <v>Tricky Mario</v>
          </cell>
          <cell r="C2590" t="str">
            <v>tomato jonson</v>
          </cell>
          <cell r="D2590">
            <v>8</v>
          </cell>
          <cell r="E2590" t="str">
            <v>Expert</v>
          </cell>
          <cell r="F2590" t="str">
            <v>Kaizo</v>
          </cell>
          <cell r="G2590">
            <v>43957</v>
          </cell>
          <cell r="H2590" t="str">
            <v>22832</v>
          </cell>
          <cell r="I2590" t="str">
            <v>https://www.smwcentral.net/?a=details&amp;id=22832&amp;p=section</v>
          </cell>
          <cell r="J2590" t="str">
            <v>https://dl.smwcentral.net/22832/tricky%20mario.zip</v>
          </cell>
        </row>
        <row r="2591">
          <cell r="A2591" t="str">
            <v>Tricky Mario 2</v>
          </cell>
          <cell r="B2591" t="str">
            <v>Tricky Mario 2</v>
          </cell>
          <cell r="C2591" t="str">
            <v>tomato jonson</v>
          </cell>
          <cell r="D2591">
            <v>7</v>
          </cell>
          <cell r="E2591" t="str">
            <v>Master</v>
          </cell>
          <cell r="F2591" t="str">
            <v>Kaizo</v>
          </cell>
          <cell r="G2591">
            <v>44506</v>
          </cell>
          <cell r="H2591" t="str">
            <v>28235</v>
          </cell>
          <cell r="I2591" t="str">
            <v>https://www.smwcentral.net/?a=details&amp;id=28235&amp;p=section</v>
          </cell>
          <cell r="J2591" t="str">
            <v>https://dl.smwcentral.net/28235/tm2.zip</v>
          </cell>
        </row>
        <row r="2592">
          <cell r="A2592" t="str">
            <v>Trinity Shells</v>
          </cell>
          <cell r="B2592" t="str">
            <v>Trinity Shells</v>
          </cell>
          <cell r="C2592" t="str">
            <v>arantes</v>
          </cell>
          <cell r="D2592">
            <v>14</v>
          </cell>
          <cell r="E2592" t="str">
            <v>Expert</v>
          </cell>
          <cell r="F2592" t="str">
            <v>Kaizo</v>
          </cell>
          <cell r="G2592">
            <v>45022</v>
          </cell>
          <cell r="H2592" t="str">
            <v>33538</v>
          </cell>
          <cell r="I2592" t="str">
            <v>https://www.smwcentral.net/?a=details&amp;id=33538&amp;p=section</v>
          </cell>
          <cell r="J2592" t="str">
            <v>https://dl.smwcentral.net/33538/Trinity%20Shells%20V1.1.zip</v>
          </cell>
        </row>
        <row r="2593">
          <cell r="A2593" t="str">
            <v>Trouble at Snow Land</v>
          </cell>
          <cell r="B2593" t="str">
            <v>Trouble at Snow Land</v>
          </cell>
          <cell r="C2593" t="str">
            <v>P1JDS</v>
          </cell>
          <cell r="D2593">
            <v>10</v>
          </cell>
          <cell r="E2593" t="str">
            <v>Intermediate</v>
          </cell>
          <cell r="F2593" t="str">
            <v>Standard</v>
          </cell>
          <cell r="G2593">
            <v>45295</v>
          </cell>
          <cell r="H2593" t="str">
            <v>35774</v>
          </cell>
          <cell r="I2593" t="str">
            <v>https://www.smwcentral.net/?a=details&amp;id=35774&amp;p=section</v>
          </cell>
          <cell r="J2593" t="str">
            <v>https://dl.smwcentral.net/35774/Trouble%20at%20Snow%20Land%201.1.zip</v>
          </cell>
        </row>
        <row r="2594">
          <cell r="A2594" t="str">
            <v>Trouble in Truffle Islands</v>
          </cell>
          <cell r="B2594" t="str">
            <v>Trouble in Truffle Islands</v>
          </cell>
          <cell r="C2594" t="str">
            <v>Cydrius</v>
          </cell>
          <cell r="D2594">
            <v>17</v>
          </cell>
          <cell r="E2594" t="str">
            <v>Casual</v>
          </cell>
          <cell r="F2594" t="str">
            <v>Standard</v>
          </cell>
          <cell r="G2594">
            <v>42611</v>
          </cell>
          <cell r="H2594" t="str">
            <v>14167</v>
          </cell>
          <cell r="I2594" t="str">
            <v>https://www.smwcentral.net/?a=details&amp;id=14167&amp;p=section</v>
          </cell>
          <cell r="J2594" t="str">
            <v>https://dl.smwcentral.net/14167/SMW%20-%20Trouble%20in%20Truffle%20Islands.zip</v>
          </cell>
        </row>
        <row r="2595">
          <cell r="A2595" t="str">
            <v>Truc Bidule</v>
          </cell>
          <cell r="B2595" t="str">
            <v>Truc Bidule</v>
          </cell>
          <cell r="C2595" t="str">
            <v>yogui</v>
          </cell>
          <cell r="D2595">
            <v>43</v>
          </cell>
          <cell r="E2595" t="str">
            <v>Advanced</v>
          </cell>
          <cell r="F2595" t="str">
            <v>Standard</v>
          </cell>
          <cell r="G2595">
            <v>45314</v>
          </cell>
          <cell r="H2595" t="str">
            <v>35741</v>
          </cell>
          <cell r="I2595" t="str">
            <v>https://www.smwcentral.net/?a=details&amp;id=35741&amp;p=section</v>
          </cell>
          <cell r="J2595" t="str">
            <v>https://dl.smwcentral.net/35741/Truc_Bidule.zip</v>
          </cell>
        </row>
        <row r="2596">
          <cell r="A2596" t="str">
            <v>TSG's Obligatory Ice Level</v>
          </cell>
          <cell r="B2596" t="str">
            <v>TSG's Obligatory Ice Level</v>
          </cell>
          <cell r="C2596" t="str">
            <v>Doseianasan</v>
          </cell>
          <cell r="D2596">
            <v>1</v>
          </cell>
          <cell r="E2596" t="str">
            <v>Casual</v>
          </cell>
          <cell r="F2596" t="str">
            <v>Standard</v>
          </cell>
          <cell r="G2596">
            <v>42128</v>
          </cell>
          <cell r="H2596" t="str">
            <v>10120</v>
          </cell>
          <cell r="I2596" t="str">
            <v>https://www.smwcentral.net/?a=details&amp;id=10120&amp;p=section</v>
          </cell>
          <cell r="J2596" t="str">
            <v>https://dl.smwcentral.net/10120/OILDL.zip</v>
          </cell>
        </row>
        <row r="2597">
          <cell r="A2597" t="str">
            <v>Tsunami Island</v>
          </cell>
          <cell r="B2597" t="str">
            <v>Tsunami Island</v>
          </cell>
          <cell r="C2597" t="str">
            <v>PROMETHEUS</v>
          </cell>
          <cell r="D2597">
            <v>9</v>
          </cell>
          <cell r="E2597" t="str">
            <v>Casual</v>
          </cell>
          <cell r="F2597" t="str">
            <v>Standard</v>
          </cell>
          <cell r="G2597">
            <v>41445</v>
          </cell>
          <cell r="H2597" t="str">
            <v>5609</v>
          </cell>
          <cell r="I2597" t="str">
            <v>https://www.smwcentral.net/?a=details&amp;id=5609&amp;p=section</v>
          </cell>
          <cell r="J2597" t="str">
            <v>https://dl.smwcentral.net/5609/Tsunami%20Island.zip</v>
          </cell>
        </row>
        <row r="2598">
          <cell r="A2598" t="str">
            <v>Twisted Plains</v>
          </cell>
          <cell r="B2598" t="str">
            <v>Twisted Plains</v>
          </cell>
          <cell r="C2598" t="str">
            <v>TheBiob</v>
          </cell>
          <cell r="D2598">
            <v>1</v>
          </cell>
          <cell r="E2598" t="str">
            <v>Master</v>
          </cell>
          <cell r="F2598" t="str">
            <v>Kaizo</v>
          </cell>
          <cell r="G2598">
            <v>44197</v>
          </cell>
          <cell r="H2598" t="str">
            <v>25564</v>
          </cell>
          <cell r="I2598" t="str">
            <v>https://www.smwcentral.net/?a=details&amp;id=25564&amp;p=section</v>
          </cell>
          <cell r="J2598" t="str">
            <v>https://dl.smwcentral.net/25564/Twisted%20Plains.zip</v>
          </cell>
        </row>
        <row r="2599">
          <cell r="A2599" t="str">
            <v>U N O R I G I N A L (C3 2020 Demo)</v>
          </cell>
          <cell r="B2599" t="str">
            <v>U N O R I G I N A L (C3 2020 Demo)</v>
          </cell>
          <cell r="C2599" t="str">
            <v>92</v>
          </cell>
          <cell r="D2599">
            <v>4</v>
          </cell>
          <cell r="E2599" t="str">
            <v>Casual</v>
          </cell>
          <cell r="F2599" t="str">
            <v>Standard</v>
          </cell>
          <cell r="G2599">
            <v>44021</v>
          </cell>
          <cell r="H2599" t="str">
            <v>23741</v>
          </cell>
          <cell r="I2599" t="str">
            <v>https://www.smwcentral.net/?a=details&amp;id=23741&amp;p=section</v>
          </cell>
          <cell r="J2599" t="str">
            <v>https://dl.smwcentral.net/23741/UNORIGINAL_C3_2020_v1.1.zip</v>
          </cell>
        </row>
        <row r="2600">
          <cell r="A2600" t="str">
            <v>Ukraine, Detroit</v>
          </cell>
          <cell r="B2600" t="str">
            <v>Ukraine, Detroit</v>
          </cell>
          <cell r="C2600" t="str">
            <v>tamano</v>
          </cell>
          <cell r="D2600">
            <v>11</v>
          </cell>
          <cell r="E2600" t="str">
            <v>Advanced</v>
          </cell>
          <cell r="F2600" t="str">
            <v>Kaizo</v>
          </cell>
          <cell r="G2600">
            <v>44595</v>
          </cell>
          <cell r="H2600" t="str">
            <v>29669</v>
          </cell>
          <cell r="I2600" t="str">
            <v>https://www.smwcentral.net/?a=details&amp;id=29669&amp;p=section</v>
          </cell>
          <cell r="J2600" t="str">
            <v>https://dl.smwcentral.net/29669/ukraine%20detroit.zip</v>
          </cell>
        </row>
        <row r="2601">
          <cell r="A2601" t="str">
            <v>Ultima Kiwi Winter Demo</v>
          </cell>
          <cell r="B2601" t="str">
            <v>Ultima Kiwi Winter Demo</v>
          </cell>
          <cell r="C2601" t="str">
            <v>ModernKiwi</v>
          </cell>
          <cell r="D2601">
            <v>31</v>
          </cell>
          <cell r="E2601" t="str">
            <v>Casual</v>
          </cell>
          <cell r="F2601" t="str">
            <v>Standard</v>
          </cell>
          <cell r="G2601">
            <v>45370</v>
          </cell>
          <cell r="H2601" t="str">
            <v>35863</v>
          </cell>
          <cell r="I2601" t="str">
            <v>https://www.smwcentral.net/?a=details&amp;id=35863&amp;p=section</v>
          </cell>
          <cell r="J2601" t="str">
            <v>https://dl.smwcentral.net/35863/Ultima%20Kiwi%20Winter%20Demo.zip</v>
          </cell>
        </row>
        <row r="2602">
          <cell r="A2602" t="str">
            <v>Ultimate Carl Heaven</v>
          </cell>
          <cell r="B2602" t="str">
            <v>Ultimate Carl Heaven</v>
          </cell>
          <cell r="C2602" t="str">
            <v>Anonymous</v>
          </cell>
          <cell r="D2602">
            <v>12</v>
          </cell>
          <cell r="E2602" t="str">
            <v>Advanced</v>
          </cell>
          <cell r="F2602" t="str">
            <v>Kaizo</v>
          </cell>
          <cell r="G2602">
            <v>45680</v>
          </cell>
          <cell r="H2602" t="str">
            <v>39095</v>
          </cell>
          <cell r="I2602" t="str">
            <v>https://www.smwcentral.net/?a=details&amp;id=39095&amp;p=section</v>
          </cell>
          <cell r="J2602" t="str">
            <v>https://dl.smwcentral.net/39095/Ultimate_Carl_Heaven.zip</v>
          </cell>
        </row>
        <row r="2603">
          <cell r="A2603" t="str">
            <v>Ultimate Kaizo Tutorial Hack</v>
          </cell>
          <cell r="B2603" t="str">
            <v>Ultimate Kaizo Tutorial Hack</v>
          </cell>
          <cell r="C2603" t="str">
            <v>ageVerrly</v>
          </cell>
          <cell r="D2603">
            <v>34</v>
          </cell>
          <cell r="E2603" t="str">
            <v>Master</v>
          </cell>
          <cell r="F2603" t="str">
            <v>Kaizo</v>
          </cell>
          <cell r="G2603">
            <v>45665</v>
          </cell>
          <cell r="H2603" t="str">
            <v>38769</v>
          </cell>
          <cell r="I2603" t="str">
            <v>https://www.smwcentral.net/?a=details&amp;id=38769&amp;p=section</v>
          </cell>
          <cell r="J2603" t="str">
            <v>https://dl.smwcentral.net/38769/zip.zip</v>
          </cell>
        </row>
        <row r="2604">
          <cell r="A2604" t="str">
            <v>Ultimate Mario World</v>
          </cell>
          <cell r="B2604" t="str">
            <v>Ultimate Mario World</v>
          </cell>
          <cell r="C2604" t="str">
            <v>Master_Owens</v>
          </cell>
          <cell r="D2604">
            <v>4</v>
          </cell>
          <cell r="E2604" t="str">
            <v>Casual</v>
          </cell>
          <cell r="F2604" t="str">
            <v>Standard</v>
          </cell>
          <cell r="G2604">
            <v>42211</v>
          </cell>
          <cell r="H2604" t="str">
            <v>9826</v>
          </cell>
          <cell r="I2604" t="str">
            <v>https://www.smwcentral.net/?a=details&amp;id=9826&amp;p=section</v>
          </cell>
          <cell r="J2604" t="str">
            <v>https://dl.smwcentral.net/9826/Ultimate%20Mario%20World.zip</v>
          </cell>
        </row>
        <row r="2605">
          <cell r="A2605" t="str">
            <v>Ultra Kaizo World</v>
          </cell>
          <cell r="B2605" t="str">
            <v>Ultra Kaizo World</v>
          </cell>
          <cell r="C2605" t="str">
            <v>Arobam</v>
          </cell>
          <cell r="D2605">
            <v>25</v>
          </cell>
          <cell r="E2605" t="str">
            <v>Master</v>
          </cell>
          <cell r="F2605" t="str">
            <v>Kaizo</v>
          </cell>
          <cell r="G2605">
            <v>43449</v>
          </cell>
          <cell r="H2605" t="str">
            <v>18664</v>
          </cell>
          <cell r="I2605" t="str">
            <v>https://www.smwcentral.net/?a=details&amp;id=18664&amp;p=section</v>
          </cell>
          <cell r="J2605" t="str">
            <v>https://dl.smwcentral.net/18664/Ultra%20Kaizo%20World1.1.zip</v>
          </cell>
        </row>
        <row r="2606">
          <cell r="A2606" t="str">
            <v>Ultra Kaizo World 2</v>
          </cell>
          <cell r="B2606" t="str">
            <v>Ultra Kaizo World 2</v>
          </cell>
          <cell r="C2606" t="str">
            <v>Arobam</v>
          </cell>
          <cell r="D2606">
            <v>20</v>
          </cell>
          <cell r="E2606" t="str">
            <v>Master</v>
          </cell>
          <cell r="F2606" t="str">
            <v>Kaizo</v>
          </cell>
          <cell r="G2606">
            <v>43962</v>
          </cell>
          <cell r="H2606" t="str">
            <v>22676</v>
          </cell>
          <cell r="I2606" t="str">
            <v>https://www.smwcentral.net/?a=details&amp;id=22676&amp;p=section</v>
          </cell>
          <cell r="J2606" t="str">
            <v>https://dl.smwcentral.net/22676/UKW2%20Version%201.2.zip</v>
          </cell>
        </row>
        <row r="2607">
          <cell r="A2607" t="str">
            <v>Ultra Luigi World: Luigi in... Destiny</v>
          </cell>
          <cell r="B2607" t="str">
            <v>Ultra Luigi World: Luigi in... Destiny</v>
          </cell>
          <cell r="C2607" t="str">
            <v>Uncle_Bones</v>
          </cell>
          <cell r="D2607">
            <v>2</v>
          </cell>
          <cell r="E2607" t="str">
            <v>Casual</v>
          </cell>
          <cell r="F2607" t="str">
            <v>Standard</v>
          </cell>
          <cell r="G2607">
            <v>42108</v>
          </cell>
          <cell r="H2607" t="str">
            <v>9732</v>
          </cell>
          <cell r="I2607" t="str">
            <v>https://www.smwcentral.net/?a=details&amp;id=9732&amp;p=section</v>
          </cell>
          <cell r="J2607" t="str">
            <v>https://dl.smwcentral.net/9732/ULWD1.zip</v>
          </cell>
        </row>
        <row r="2608">
          <cell r="A2608" t="str">
            <v>Ultraviolet</v>
          </cell>
          <cell r="B2608" t="str">
            <v>Ultraviolet</v>
          </cell>
          <cell r="C2608" t="str">
            <v>MDBattleFrog</v>
          </cell>
          <cell r="D2608">
            <v>11</v>
          </cell>
          <cell r="E2608" t="str">
            <v>Master</v>
          </cell>
          <cell r="F2608" t="str">
            <v>Kaizo</v>
          </cell>
          <cell r="G2608">
            <v>44063</v>
          </cell>
          <cell r="H2608" t="str">
            <v>24272</v>
          </cell>
          <cell r="I2608" t="str">
            <v>https://www.smwcentral.net/?a=details&amp;id=24272&amp;p=section</v>
          </cell>
          <cell r="J2608" t="str">
            <v>https://dl.smwcentral.net/24272/UV2.0.zip</v>
          </cell>
        </row>
        <row r="2609">
          <cell r="A2609" t="str">
            <v>Uma Aventura Xalabaias</v>
          </cell>
          <cell r="B2609" t="str">
            <v>Uma Aventura Xalabaias</v>
          </cell>
          <cell r="C2609" t="str">
            <v>MaxwelHacks</v>
          </cell>
          <cell r="D2609">
            <v>38</v>
          </cell>
          <cell r="E2609" t="str">
            <v>Intermediate</v>
          </cell>
          <cell r="F2609" t="str">
            <v>Standard</v>
          </cell>
          <cell r="G2609">
            <v>43723</v>
          </cell>
          <cell r="H2609" t="str">
            <v>21058</v>
          </cell>
          <cell r="I2609" t="str">
            <v>https://www.smwcentral.net/?a=details&amp;id=21058&amp;p=section</v>
          </cell>
          <cell r="J2609" t="str">
            <v>https://dl.smwcentral.net/21058/Aventura%20Xalabaias.zip</v>
          </cell>
        </row>
        <row r="2610">
          <cell r="A2610" t="str">
            <v>Uncharted World</v>
          </cell>
          <cell r="B2610" t="str">
            <v>Uncharted World</v>
          </cell>
          <cell r="C2610" t="str">
            <v>will___</v>
          </cell>
          <cell r="D2610">
            <v>63</v>
          </cell>
          <cell r="E2610" t="str">
            <v>Advanced</v>
          </cell>
          <cell r="F2610" t="str">
            <v>Standard, Kaizo</v>
          </cell>
          <cell r="G2610">
            <v>46026</v>
          </cell>
          <cell r="H2610" t="str">
            <v>41359</v>
          </cell>
          <cell r="I2610" t="str">
            <v>https://www.smwcentral.net/?a=details&amp;id=41359&amp;p=section</v>
          </cell>
          <cell r="J2610" t="str">
            <v>https://dl.smwcentral.net/41359/UnchartedWorld.zip</v>
          </cell>
        </row>
        <row r="2611">
          <cell r="A2611" t="str">
            <v>Under Control</v>
          </cell>
          <cell r="B2611" t="str">
            <v>Under Control</v>
          </cell>
          <cell r="C2611" t="str">
            <v>WoxicTaste</v>
          </cell>
          <cell r="D2611">
            <v>11</v>
          </cell>
          <cell r="E2611" t="str">
            <v>Grandmaster</v>
          </cell>
          <cell r="F2611" t="str">
            <v>Kaizo</v>
          </cell>
          <cell r="G2611">
            <v>45867</v>
          </cell>
          <cell r="H2611" t="str">
            <v>40070</v>
          </cell>
          <cell r="I2611" t="str">
            <v>https://www.smwcentral.net/?a=details&amp;id=40070&amp;p=section</v>
          </cell>
          <cell r="J2611" t="str">
            <v>https://dl.smwcentral.net/40070/uc_1.1_final.zip</v>
          </cell>
        </row>
        <row r="2612">
          <cell r="A2612" t="str">
            <v>Under the Rose</v>
          </cell>
          <cell r="B2612" t="str">
            <v>Under the Rose</v>
          </cell>
          <cell r="C2612" t="str">
            <v>Cianureto</v>
          </cell>
          <cell r="D2612">
            <v>8</v>
          </cell>
          <cell r="E2612" t="str">
            <v>Newcomer</v>
          </cell>
          <cell r="F2612" t="str">
            <v>Standard</v>
          </cell>
          <cell r="G2612">
            <v>43721</v>
          </cell>
          <cell r="H2612" t="str">
            <v>21138</v>
          </cell>
          <cell r="I2612" t="str">
            <v>https://www.smwcentral.net/?a=details&amp;id=21138&amp;p=section</v>
          </cell>
          <cell r="J2612" t="str">
            <v>https://dl.smwcentral.net/21138/Under%20the%20Rose.zip</v>
          </cell>
        </row>
        <row r="2613">
          <cell r="A2613" t="str">
            <v>Underworld</v>
          </cell>
          <cell r="B2613" t="str">
            <v>Underworld</v>
          </cell>
          <cell r="C2613" t="str">
            <v>cyphermur9t</v>
          </cell>
          <cell r="D2613">
            <v>2</v>
          </cell>
          <cell r="E2613" t="str">
            <v>Casual</v>
          </cell>
          <cell r="F2613" t="str">
            <v>Standard</v>
          </cell>
          <cell r="G2613">
            <v>42744</v>
          </cell>
          <cell r="H2613" t="str">
            <v>14932</v>
          </cell>
          <cell r="I2613" t="str">
            <v>https://www.smwcentral.net/?a=details&amp;id=14932&amp;p=section</v>
          </cell>
          <cell r="J2613" t="str">
            <v>https://dl.smwcentral.net/14932/Underworld.zip</v>
          </cell>
        </row>
        <row r="2614">
          <cell r="A2614" t="str">
            <v>Unforgiving Tower</v>
          </cell>
          <cell r="B2614" t="str">
            <v>Unforgiving Tower</v>
          </cell>
          <cell r="C2614" t="str">
            <v>Easy Difficulty</v>
          </cell>
          <cell r="D2614">
            <v>39</v>
          </cell>
          <cell r="E2614" t="str">
            <v>Master</v>
          </cell>
          <cell r="F2614" t="str">
            <v>Standard, Kaizo</v>
          </cell>
          <cell r="G2614">
            <v>44571</v>
          </cell>
          <cell r="H2614" t="str">
            <v>28912</v>
          </cell>
          <cell r="I2614" t="str">
            <v>https://www.smwcentral.net/?a=details&amp;id=28912&amp;p=section</v>
          </cell>
          <cell r="J2614" t="str">
            <v>https://dl.smwcentral.net/28912/Unforgiving%20Tower.zip</v>
          </cell>
        </row>
        <row r="2615">
          <cell r="A2615" t="str">
            <v>Unforgiving Tower 2</v>
          </cell>
          <cell r="B2615" t="str">
            <v>Unforgiving Tower 2</v>
          </cell>
          <cell r="C2615" t="str">
            <v>Easy Difficulty</v>
          </cell>
          <cell r="D2615">
            <v>27</v>
          </cell>
          <cell r="E2615" t="str">
            <v>Intermediate</v>
          </cell>
          <cell r="F2615" t="str">
            <v>Standard</v>
          </cell>
          <cell r="G2615">
            <v>44888</v>
          </cell>
          <cell r="H2615" t="str">
            <v>32546</v>
          </cell>
          <cell r="I2615" t="str">
            <v>https://www.smwcentral.net/?a=details&amp;id=32546&amp;p=section</v>
          </cell>
          <cell r="J2615" t="str">
            <v>https://dl.smwcentral.net/32546/Unforgiving%20Tower%202.zip</v>
          </cell>
        </row>
        <row r="2616">
          <cell r="A2616" t="str">
            <v>Unforgiving Tower 3</v>
          </cell>
          <cell r="B2616" t="str">
            <v>Unforgiving Tower 3</v>
          </cell>
          <cell r="C2616" t="str">
            <v>Easy Difficulty</v>
          </cell>
          <cell r="D2616">
            <v>25</v>
          </cell>
          <cell r="E2616" t="str">
            <v>Intermediate</v>
          </cell>
          <cell r="F2616" t="str">
            <v>Standard</v>
          </cell>
          <cell r="G2616">
            <v>45189</v>
          </cell>
          <cell r="H2616" t="str">
            <v>35081</v>
          </cell>
          <cell r="I2616" t="str">
            <v>https://www.smwcentral.net/?a=details&amp;id=35081&amp;p=section</v>
          </cell>
          <cell r="J2616" t="str">
            <v>https://dl.smwcentral.net/35081/Unforgiving%20Tower%203.zip</v>
          </cell>
        </row>
        <row r="2617">
          <cell r="A2617" t="str">
            <v>Unforgiving Tower 4</v>
          </cell>
          <cell r="B2617" t="str">
            <v>Unforgiving Tower 4</v>
          </cell>
          <cell r="C2617" t="str">
            <v>Easy Difficulty</v>
          </cell>
          <cell r="D2617">
            <v>37</v>
          </cell>
          <cell r="E2617" t="str">
            <v>Advanced</v>
          </cell>
          <cell r="F2617" t="str">
            <v>Standard</v>
          </cell>
          <cell r="G2617">
            <v>45443</v>
          </cell>
          <cell r="H2617" t="str">
            <v>37636</v>
          </cell>
          <cell r="I2617" t="str">
            <v>https://www.smwcentral.net/?a=details&amp;id=37636&amp;p=section</v>
          </cell>
          <cell r="J2617" t="str">
            <v>https://dl.smwcentral.net/37636/Unforgiving%20Tower%204.zip</v>
          </cell>
        </row>
        <row r="2618">
          <cell r="A2618" t="str">
            <v>Unfriendly Afterlives Demo</v>
          </cell>
          <cell r="B2618" t="str">
            <v>Unfriendly Afterlives Demo</v>
          </cell>
          <cell r="C2618" t="str">
            <v>AntonioAntonio</v>
          </cell>
          <cell r="D2618">
            <v>1</v>
          </cell>
          <cell r="E2618" t="str">
            <v>Expert</v>
          </cell>
          <cell r="F2618" t="str">
            <v>Kaizo</v>
          </cell>
          <cell r="G2618">
            <v>44789</v>
          </cell>
          <cell r="H2618" t="str">
            <v>31800</v>
          </cell>
          <cell r="I2618" t="str">
            <v>https://www.smwcentral.net/?a=details&amp;id=31800&amp;p=section</v>
          </cell>
          <cell r="J2618" t="str">
            <v>https://dl.smwcentral.net/31800/Unfriendly%20Demos.zip</v>
          </cell>
        </row>
        <row r="2619">
          <cell r="A2619" t="str">
            <v>Unintended Behavior</v>
          </cell>
          <cell r="B2619" t="str">
            <v>Unintended Behavior</v>
          </cell>
          <cell r="C2619" t="str">
            <v>GbreezeSunset</v>
          </cell>
          <cell r="D2619">
            <v>11</v>
          </cell>
          <cell r="E2619" t="str">
            <v>Expert</v>
          </cell>
          <cell r="F2619" t="str">
            <v>Kaizo</v>
          </cell>
          <cell r="G2619">
            <v>44172</v>
          </cell>
          <cell r="H2619" t="str">
            <v>25406</v>
          </cell>
          <cell r="I2619" t="str">
            <v>https://www.smwcentral.net/?a=details&amp;id=25406&amp;p=section</v>
          </cell>
          <cell r="J2619" t="str">
            <v>https://dl.smwcentral.net/25406/UnintendedBehavior.zip</v>
          </cell>
        </row>
        <row r="2620">
          <cell r="A2620" t="str">
            <v>Unintended Behavior 2</v>
          </cell>
          <cell r="B2620" t="str">
            <v>Unintended Behavior 2</v>
          </cell>
          <cell r="C2620" t="str">
            <v>GbreezeSunset</v>
          </cell>
          <cell r="D2620">
            <v>10</v>
          </cell>
          <cell r="E2620" t="str">
            <v>Expert</v>
          </cell>
          <cell r="F2620" t="str">
            <v>Kaizo</v>
          </cell>
          <cell r="G2620">
            <v>44369</v>
          </cell>
          <cell r="H2620" t="str">
            <v>27338</v>
          </cell>
          <cell r="I2620" t="str">
            <v>https://www.smwcentral.net/?a=details&amp;id=27338&amp;p=section</v>
          </cell>
          <cell r="J2620" t="str">
            <v>https://dl.smwcentral.net/27338/Unintended_Behavior_2.zip</v>
          </cell>
        </row>
        <row r="2621">
          <cell r="A2621" t="str">
            <v>Unintended Behavior 3</v>
          </cell>
          <cell r="B2621" t="str">
            <v>Unintended Behavior 3</v>
          </cell>
          <cell r="C2621" t="str">
            <v>GbreezeSunset</v>
          </cell>
          <cell r="D2621">
            <v>9</v>
          </cell>
          <cell r="E2621" t="str">
            <v>Expert</v>
          </cell>
          <cell r="F2621" t="str">
            <v>Kaizo</v>
          </cell>
          <cell r="G2621">
            <v>44833</v>
          </cell>
          <cell r="H2621" t="str">
            <v>32166</v>
          </cell>
          <cell r="I2621" t="str">
            <v>https://www.smwcentral.net/?a=details&amp;id=32166&amp;p=section</v>
          </cell>
          <cell r="J2621" t="str">
            <v>https://dl.smwcentral.net/32166/Unintended%20Behavior%203%20v1.1.zip</v>
          </cell>
        </row>
        <row r="2622">
          <cell r="A2622" t="str">
            <v>Unknown Islandz</v>
          </cell>
          <cell r="B2622" t="str">
            <v>Unknown Islandz</v>
          </cell>
          <cell r="C2622" t="str">
            <v>xIque</v>
          </cell>
          <cell r="D2622">
            <v>31</v>
          </cell>
          <cell r="E2622" t="str">
            <v>Expert</v>
          </cell>
          <cell r="F2622" t="str">
            <v>Standard</v>
          </cell>
          <cell r="G2622">
            <v>44167</v>
          </cell>
          <cell r="H2622" t="str">
            <v>25234</v>
          </cell>
          <cell r="I2622" t="str">
            <v>https://www.smwcentral.net/?a=details&amp;id=25234&amp;p=section</v>
          </cell>
          <cell r="J2622" t="str">
            <v>https://dl.smwcentral.net/25234/UnknownIslandz.zip</v>
          </cell>
        </row>
        <row r="2623">
          <cell r="A2623" t="str">
            <v>Unlit Candles</v>
          </cell>
          <cell r="B2623" t="str">
            <v>Unlit Candles</v>
          </cell>
          <cell r="C2623" t="str">
            <v>NaroGugul</v>
          </cell>
          <cell r="D2623">
            <v>6</v>
          </cell>
          <cell r="E2623" t="str">
            <v>Master</v>
          </cell>
          <cell r="F2623" t="str">
            <v>Kaizo</v>
          </cell>
          <cell r="G2623">
            <v>44161</v>
          </cell>
          <cell r="H2623" t="str">
            <v>25250</v>
          </cell>
          <cell r="I2623" t="str">
            <v>https://www.smwcentral.net/?a=details&amp;id=25250&amp;p=section</v>
          </cell>
          <cell r="J2623" t="str">
            <v>https://dl.smwcentral.net/25250/Unlit%20Candles%201.2.zip</v>
          </cell>
        </row>
        <row r="2624">
          <cell r="A2624" t="str">
            <v>Unnamed 2D Mario Game</v>
          </cell>
          <cell r="B2624" t="str">
            <v>Unnamed 2D Mario Game</v>
          </cell>
          <cell r="C2624" t="str">
            <v>Dominicentek</v>
          </cell>
          <cell r="D2624">
            <v>12</v>
          </cell>
          <cell r="E2624" t="str">
            <v>Intermediate</v>
          </cell>
          <cell r="F2624" t="str">
            <v>Standard</v>
          </cell>
          <cell r="G2624">
            <v>43944</v>
          </cell>
          <cell r="H2624" t="str">
            <v>22495</v>
          </cell>
          <cell r="I2624" t="str">
            <v>https://www.smwcentral.net/?a=details&amp;id=22495&amp;p=section</v>
          </cell>
          <cell r="J2624" t="str">
            <v>https://dl.smwcentral.net/22495/Unnamed%202D%20Mario%20Game%20Beta%202.2.zip</v>
          </cell>
        </row>
        <row r="2625">
          <cell r="A2625" t="str">
            <v>Unnamed Pit</v>
          </cell>
          <cell r="B2625" t="str">
            <v>Unnamed Pit</v>
          </cell>
          <cell r="C2625" t="str">
            <v>IgorOliveira666</v>
          </cell>
          <cell r="D2625">
            <v>1</v>
          </cell>
          <cell r="E2625" t="str">
            <v>Master</v>
          </cell>
          <cell r="F2625" t="str">
            <v>Tool-Assisted, Pit</v>
          </cell>
          <cell r="G2625">
            <v>43228</v>
          </cell>
          <cell r="H2625" t="str">
            <v>17473</v>
          </cell>
          <cell r="I2625" t="str">
            <v>https://www.smwcentral.net/?a=details&amp;id=17473&amp;p=section</v>
          </cell>
          <cell r="J2625" t="str">
            <v>https://dl.smwcentral.net/17473/Unnamed%20Pit.zip</v>
          </cell>
        </row>
        <row r="2626">
          <cell r="A2626" t="str">
            <v>Unnamed Precision</v>
          </cell>
          <cell r="B2626" t="str">
            <v>Unnamed Precision</v>
          </cell>
          <cell r="C2626" t="str">
            <v>Zoreo</v>
          </cell>
          <cell r="D2626">
            <v>2</v>
          </cell>
          <cell r="E2626" t="str">
            <v>Advanced</v>
          </cell>
          <cell r="F2626" t="str">
            <v>Kaizo</v>
          </cell>
          <cell r="G2626">
            <v>44593</v>
          </cell>
          <cell r="H2626" t="str">
            <v>29660</v>
          </cell>
          <cell r="I2626" t="str">
            <v>https://www.smwcentral.net/?a=details&amp;id=29660&amp;p=section</v>
          </cell>
          <cell r="J2626" t="str">
            <v>https://dl.smwcentral.net/29660/UnnamedPrecision.zip</v>
          </cell>
        </row>
        <row r="2627">
          <cell r="A2627" t="str">
            <v>Unnormal</v>
          </cell>
          <cell r="B2627" t="str">
            <v>Unnormal</v>
          </cell>
          <cell r="C2627" t="str">
            <v>ageVerrly</v>
          </cell>
          <cell r="D2627">
            <v>10</v>
          </cell>
          <cell r="E2627" t="str">
            <v>Grandmaster</v>
          </cell>
          <cell r="F2627" t="str">
            <v>Kaizo</v>
          </cell>
          <cell r="G2627">
            <v>44893</v>
          </cell>
          <cell r="H2627" t="str">
            <v>32500</v>
          </cell>
          <cell r="I2627" t="str">
            <v>https://www.smwcentral.net/?a=details&amp;id=32500&amp;p=section</v>
          </cell>
          <cell r="J2627" t="str">
            <v>https://dl.smwcentral.net/32500/keyB.zip</v>
          </cell>
        </row>
        <row r="2628">
          <cell r="A2628" t="str">
            <v>Untamed</v>
          </cell>
          <cell r="B2628" t="str">
            <v>Untamed</v>
          </cell>
          <cell r="C2628" t="str">
            <v>goosedajuice</v>
          </cell>
          <cell r="D2628">
            <v>15</v>
          </cell>
          <cell r="E2628" t="str">
            <v>Advanced</v>
          </cell>
          <cell r="F2628" t="str">
            <v>Kaizo</v>
          </cell>
          <cell r="G2628">
            <v>44882</v>
          </cell>
          <cell r="H2628" t="str">
            <v>32577</v>
          </cell>
          <cell r="I2628" t="str">
            <v>https://www.smwcentral.net/?a=details&amp;id=32577&amp;p=section</v>
          </cell>
          <cell r="J2628" t="str">
            <v>https://dl.smwcentral.net/32577/Untamed_v2.zip</v>
          </cell>
        </row>
        <row r="2629">
          <cell r="A2629" t="str">
            <v>UNTITLED DOOM</v>
          </cell>
          <cell r="B2629" t="str">
            <v>UNTITLED DOOM</v>
          </cell>
          <cell r="C2629" t="str">
            <v>MercuryPenny</v>
          </cell>
          <cell r="D2629">
            <v>6</v>
          </cell>
          <cell r="E2629" t="str">
            <v>Expert</v>
          </cell>
          <cell r="F2629" t="str">
            <v>Kaizo</v>
          </cell>
          <cell r="G2629">
            <v>41780</v>
          </cell>
          <cell r="H2629" t="str">
            <v>6386</v>
          </cell>
          <cell r="I2629" t="str">
            <v>https://www.smwcentral.net/?a=details&amp;id=6386&amp;p=section</v>
          </cell>
          <cell r="J2629" t="str">
            <v>https://dl.smwcentral.net/6386/UNTITLED%20DOOM%20demo%201.zip</v>
          </cell>
        </row>
        <row r="2630">
          <cell r="A2630" t="str">
            <v>Untitled Hack</v>
          </cell>
          <cell r="B2630" t="str">
            <v>Untitled Hack</v>
          </cell>
          <cell r="C2630" t="str">
            <v>PinkSatan</v>
          </cell>
          <cell r="D2630">
            <v>8</v>
          </cell>
          <cell r="E2630" t="str">
            <v>Expert</v>
          </cell>
          <cell r="F2630" t="str">
            <v>Kaizo</v>
          </cell>
          <cell r="G2630">
            <v>43964</v>
          </cell>
          <cell r="H2630" t="str">
            <v>22946</v>
          </cell>
          <cell r="I2630" t="str">
            <v>https://www.smwcentral.net/?a=details&amp;id=22946&amp;p=section</v>
          </cell>
          <cell r="J2630" t="str">
            <v>https://dl.smwcentral.net/22946/Untitled%20Hack.zip</v>
          </cell>
        </row>
        <row r="2631">
          <cell r="A2631" t="str">
            <v>Untitled ROM Hack</v>
          </cell>
          <cell r="B2631" t="str">
            <v>Untitled ROM Hack</v>
          </cell>
          <cell r="C2631" t="str">
            <v>Caped Mario2</v>
          </cell>
          <cell r="D2631">
            <v>5</v>
          </cell>
          <cell r="E2631" t="str">
            <v>Advanced</v>
          </cell>
          <cell r="F2631" t="str">
            <v>Kaizo</v>
          </cell>
          <cell r="G2631">
            <v>42093</v>
          </cell>
          <cell r="H2631" t="str">
            <v>9783</v>
          </cell>
          <cell r="I2631" t="str">
            <v>https://www.smwcentral.net/?a=details&amp;id=9783&amp;p=section</v>
          </cell>
          <cell r="J2631" t="str">
            <v>https://dl.smwcentral.net/9783/Hack.zip</v>
          </cell>
        </row>
        <row r="2632">
          <cell r="A2632" t="str">
            <v>UP ᵀʰᵉ ᴿᵒᵐʰᵃᶜᵏ</v>
          </cell>
          <cell r="B2632" t="str">
            <v>UP ᵀʰᵉ ᴿᵒᵐʰᵃᶜᵏ</v>
          </cell>
          <cell r="C2632" t="str">
            <v>Sweetdude</v>
          </cell>
          <cell r="D2632">
            <v>8</v>
          </cell>
          <cell r="E2632" t="str">
            <v>Expert</v>
          </cell>
          <cell r="F2632" t="str">
            <v>Kaizo</v>
          </cell>
          <cell r="G2632">
            <v>45404</v>
          </cell>
          <cell r="H2632" t="str">
            <v>37640</v>
          </cell>
          <cell r="I2632" t="str">
            <v>https://www.smwcentral.net/?a=details&amp;id=37640&amp;p=section</v>
          </cell>
          <cell r="J2632" t="str">
            <v>https://dl.smwcentral.net/37640/What%27sUpDog.zip</v>
          </cell>
        </row>
        <row r="2633">
          <cell r="A2633" t="str">
            <v>Vah Knee Yah</v>
          </cell>
          <cell r="B2633" t="str">
            <v>Vah Knee Yah</v>
          </cell>
          <cell r="C2633" t="str">
            <v>Scags</v>
          </cell>
          <cell r="D2633">
            <v>8</v>
          </cell>
          <cell r="E2633" t="str">
            <v>Expert</v>
          </cell>
          <cell r="F2633" t="str">
            <v>Kaizo</v>
          </cell>
          <cell r="G2633">
            <v>45254</v>
          </cell>
          <cell r="H2633" t="str">
            <v>35565</v>
          </cell>
          <cell r="I2633" t="str">
            <v>https://www.smwcentral.net/?a=details&amp;id=35565&amp;p=section</v>
          </cell>
          <cell r="J2633" t="str">
            <v>https://dl.smwcentral.net/35565/Vah%20Knee%20Yah.zip</v>
          </cell>
        </row>
        <row r="2634">
          <cell r="A2634" t="str">
            <v>Valuable and Beautiful</v>
          </cell>
          <cell r="B2634" t="str">
            <v>Valuable and Beautiful</v>
          </cell>
          <cell r="C2634" t="str">
            <v>CarlSagan42</v>
          </cell>
          <cell r="D2634">
            <v>11</v>
          </cell>
          <cell r="E2634" t="str">
            <v>Master</v>
          </cell>
          <cell r="F2634" t="str">
            <v>Kaizo</v>
          </cell>
          <cell r="G2634">
            <v>46080</v>
          </cell>
          <cell r="H2634" t="str">
            <v>41548</v>
          </cell>
          <cell r="I2634" t="str">
            <v>https://www.smwcentral.net/?a=details&amp;id=41548&amp;p=section</v>
          </cell>
          <cell r="J2634" t="str">
            <v>https://dl.smwcentral.net/41548/ValuableAndBeautiful.zip</v>
          </cell>
        </row>
        <row r="2635">
          <cell r="A2635" t="str">
            <v>Vampire Hunter Savior Of The Kingdom</v>
          </cell>
          <cell r="B2635" t="str">
            <v>Vampire Hunter Savior Of The Kingdom</v>
          </cell>
          <cell r="C2635" t="str">
            <v>AjaTheVampire</v>
          </cell>
          <cell r="D2635">
            <v>39</v>
          </cell>
          <cell r="E2635" t="str">
            <v>Intermediate</v>
          </cell>
          <cell r="F2635" t="str">
            <v>Standard</v>
          </cell>
          <cell r="G2635">
            <v>45042</v>
          </cell>
          <cell r="H2635" t="str">
            <v>33795</v>
          </cell>
          <cell r="I2635" t="str">
            <v>https://www.smwcentral.net/?a=details&amp;id=33795&amp;p=section</v>
          </cell>
          <cell r="J2635" t="str">
            <v>https://dl.smwcentral.net/33795/Vampire%20Hunter%20Savior%20Of%20The%20Kingdom.zip</v>
          </cell>
        </row>
        <row r="2636">
          <cell r="A2636" t="str">
            <v>Vanilla Failure: Blind Devil's Final Stand</v>
          </cell>
          <cell r="B2636" t="str">
            <v>Vanilla Failure: Blind Devil's Final Stand</v>
          </cell>
          <cell r="C2636" t="str">
            <v>Blind Devil</v>
          </cell>
          <cell r="D2636">
            <v>7</v>
          </cell>
          <cell r="E2636" t="str">
            <v>Newcomer</v>
          </cell>
          <cell r="F2636" t="str">
            <v>Standard</v>
          </cell>
          <cell r="G2636">
            <v>41445</v>
          </cell>
          <cell r="H2636" t="str">
            <v>5493</v>
          </cell>
          <cell r="I2636" t="str">
            <v>https://www.smwcentral.net/?a=details&amp;id=5493&amp;p=section</v>
          </cell>
          <cell r="J2636" t="str">
            <v>https://dl.smwcentral.net/5493/Vanilla%20Failure%20C3%20Demo%20v1.1.zip</v>
          </cell>
        </row>
        <row r="2637">
          <cell r="A2637" t="str">
            <v>Vanilla Flavour</v>
          </cell>
          <cell r="B2637" t="str">
            <v>Vanilla Flavour</v>
          </cell>
          <cell r="C2637" t="str">
            <v>niko</v>
          </cell>
          <cell r="D2637">
            <v>74</v>
          </cell>
          <cell r="E2637" t="str">
            <v>Intermediate</v>
          </cell>
          <cell r="F2637" t="str">
            <v>Standard</v>
          </cell>
          <cell r="G2637">
            <v>45753</v>
          </cell>
          <cell r="H2637" t="str">
            <v>39643</v>
          </cell>
          <cell r="I2637" t="str">
            <v>https://www.smwcentral.net/?a=details&amp;id=39643&amp;p=section</v>
          </cell>
          <cell r="J2637" t="str">
            <v>https://dl.smwcentral.net/39643/Vanilla%20Flavour%20V.%201.30.zip</v>
          </cell>
        </row>
        <row r="2638">
          <cell r="A2638" t="str">
            <v>Vanilla Hour - a collection of one-hour levels</v>
          </cell>
          <cell r="B2638" t="str">
            <v>Vanilla Hour - a collection of one-hour levels</v>
          </cell>
          <cell r="C2638" t="str">
            <v>Nitrogen</v>
          </cell>
          <cell r="D2638">
            <v>12</v>
          </cell>
          <cell r="E2638" t="str">
            <v>Advanced</v>
          </cell>
          <cell r="F2638" t="str">
            <v>Standard</v>
          </cell>
          <cell r="G2638">
            <v>46079</v>
          </cell>
          <cell r="H2638" t="str">
            <v>41740</v>
          </cell>
          <cell r="I2638" t="str">
            <v>https://www.smwcentral.net/?a=details&amp;id=41740&amp;p=section</v>
          </cell>
          <cell r="J2638" t="str">
            <v>https://dl.smwcentral.net/41740/Vanilla%20Hour%20-%20a%20collection%20of%20one-hour%20levels.zip</v>
          </cell>
        </row>
        <row r="2639">
          <cell r="A2639" t="str">
            <v>Vanilla Kaizo World</v>
          </cell>
          <cell r="B2639" t="str">
            <v>Vanilla Kaizo World</v>
          </cell>
          <cell r="C2639" t="str">
            <v>MassPunishment</v>
          </cell>
          <cell r="D2639">
            <v>27</v>
          </cell>
          <cell r="E2639" t="str">
            <v>Expert</v>
          </cell>
          <cell r="F2639" t="str">
            <v>Kaizo</v>
          </cell>
          <cell r="G2639">
            <v>44151</v>
          </cell>
          <cell r="H2639" t="str">
            <v>24833</v>
          </cell>
          <cell r="I2639" t="str">
            <v>https://www.smwcentral.net/?a=details&amp;id=24833&amp;p=section</v>
          </cell>
          <cell r="J2639" t="str">
            <v>https://dl.smwcentral.net/24833/VKW1.1.zip</v>
          </cell>
        </row>
        <row r="2640">
          <cell r="A2640" t="str">
            <v>Vanilla Mario World</v>
          </cell>
          <cell r="B2640" t="str">
            <v>Vanilla Mario World</v>
          </cell>
          <cell r="C2640" t="str">
            <v>monkey03297</v>
          </cell>
          <cell r="D2640">
            <v>17</v>
          </cell>
          <cell r="E2640" t="str">
            <v>Casual</v>
          </cell>
          <cell r="F2640" t="str">
            <v>Standard</v>
          </cell>
          <cell r="G2640">
            <v>44101</v>
          </cell>
          <cell r="H2640" t="str">
            <v>24708</v>
          </cell>
          <cell r="I2640" t="str">
            <v>https://www.smwcentral.net/?a=details&amp;id=24708&amp;p=section</v>
          </cell>
          <cell r="J2640" t="str">
            <v>https://dl.smwcentral.net/24708/VMW%20v0.01.zip</v>
          </cell>
        </row>
        <row r="2641">
          <cell r="A2641" t="str">
            <v>Vanilla Shakedown</v>
          </cell>
          <cell r="B2641" t="str">
            <v>Vanilla Shakedown</v>
          </cell>
          <cell r="C2641" t="str">
            <v>DoktorGroove</v>
          </cell>
          <cell r="D2641">
            <v>31</v>
          </cell>
          <cell r="E2641" t="str">
            <v>Expert</v>
          </cell>
          <cell r="F2641" t="str">
            <v>Kaizo</v>
          </cell>
          <cell r="G2641">
            <v>44691</v>
          </cell>
          <cell r="H2641" t="str">
            <v>30669</v>
          </cell>
          <cell r="I2641" t="str">
            <v>https://www.smwcentral.net/?a=details&amp;id=30669&amp;p=section</v>
          </cell>
          <cell r="J2641" t="str">
            <v>https://dl.smwcentral.net/30669/VanillaShakedown.zip</v>
          </cell>
        </row>
        <row r="2642">
          <cell r="A2642" t="str">
            <v>Vanilla Twist!</v>
          </cell>
          <cell r="B2642" t="str">
            <v>Vanilla Twist!</v>
          </cell>
          <cell r="C2642" t="str">
            <v>Anonymous</v>
          </cell>
          <cell r="D2642">
            <v>23</v>
          </cell>
          <cell r="E2642" t="str">
            <v>Casual</v>
          </cell>
          <cell r="F2642" t="str">
            <v>Standard</v>
          </cell>
          <cell r="G2642">
            <v>41811</v>
          </cell>
          <cell r="H2642" t="str">
            <v>6692</v>
          </cell>
          <cell r="I2642" t="str">
            <v>https://www.smwcentral.net/?a=details&amp;id=6692&amp;p=section</v>
          </cell>
          <cell r="J2642" t="str">
            <v>https://dl.smwcentral.net/6692/VTv3.1.zip</v>
          </cell>
        </row>
        <row r="2643">
          <cell r="A2643" t="str">
            <v>Vanilla: Made to Order</v>
          </cell>
          <cell r="B2643" t="str">
            <v>Vanilla: Made to Order</v>
          </cell>
          <cell r="C2643" t="str">
            <v>Gamma V</v>
          </cell>
          <cell r="D2643">
            <v>14</v>
          </cell>
          <cell r="E2643" t="str">
            <v>Casual</v>
          </cell>
          <cell r="F2643" t="str">
            <v>Standard</v>
          </cell>
          <cell r="G2643">
            <v>43501</v>
          </cell>
          <cell r="H2643" t="str">
            <v>19028</v>
          </cell>
          <cell r="I2643" t="str">
            <v>https://www.smwcentral.net/?a=details&amp;id=19028&amp;p=section</v>
          </cell>
          <cell r="J2643" t="str">
            <v>https://dl.smwcentral.net/19028/Vanilla%20Made%20to%20Order.zip</v>
          </cell>
        </row>
        <row r="2644">
          <cell r="A2644" t="str">
            <v>VanillaCraft</v>
          </cell>
          <cell r="B2644" t="str">
            <v>VanillaCraft</v>
          </cell>
          <cell r="C2644" t="str">
            <v>oneframejames</v>
          </cell>
          <cell r="D2644">
            <v>9</v>
          </cell>
          <cell r="E2644" t="str">
            <v>Master</v>
          </cell>
          <cell r="F2644" t="str">
            <v>Kaizo</v>
          </cell>
          <cell r="G2644">
            <v>44453</v>
          </cell>
          <cell r="H2644" t="str">
            <v>28289</v>
          </cell>
          <cell r="I2644" t="str">
            <v>https://www.smwcentral.net/?a=details&amp;id=28289&amp;p=section</v>
          </cell>
          <cell r="J2644" t="str">
            <v>https://dl.smwcentral.net/28289/VanillaCraft.zip</v>
          </cell>
        </row>
        <row r="2645">
          <cell r="A2645" t="str">
            <v>Varndts Castle</v>
          </cell>
          <cell r="B2645" t="str">
            <v>Varndts Castle</v>
          </cell>
          <cell r="C2645" t="str">
            <v>Hellbourne</v>
          </cell>
          <cell r="D2645">
            <v>7</v>
          </cell>
          <cell r="E2645" t="str">
            <v>Newcomer</v>
          </cell>
          <cell r="F2645" t="str">
            <v>Standard</v>
          </cell>
          <cell r="G2645">
            <v>42265</v>
          </cell>
          <cell r="H2645" t="str">
            <v>10019</v>
          </cell>
          <cell r="I2645" t="str">
            <v>https://www.smwcentral.net/?a=details&amp;id=10019&amp;p=section</v>
          </cell>
          <cell r="J2645" t="str">
            <v>https://dl.smwcentral.net/10019/Varndts%20Castle.zip</v>
          </cell>
        </row>
        <row r="2646">
          <cell r="A2646" t="str">
            <v>Vast Minutiae</v>
          </cell>
          <cell r="B2646" t="str">
            <v>Vast Minutiae</v>
          </cell>
          <cell r="C2646" t="str">
            <v>GlitchCat7</v>
          </cell>
          <cell r="D2646">
            <v>8</v>
          </cell>
          <cell r="E2646" t="str">
            <v>Grandmaster</v>
          </cell>
          <cell r="F2646" t="str">
            <v>Kaizo</v>
          </cell>
          <cell r="G2646">
            <v>45384</v>
          </cell>
          <cell r="H2646" t="str">
            <v>36796</v>
          </cell>
          <cell r="I2646" t="str">
            <v>https://www.smwcentral.net/?a=details&amp;id=36796&amp;p=section</v>
          </cell>
          <cell r="J2646" t="str">
            <v>https://dl.smwcentral.net/36796/Vast%20Minutiae%201.2%20by%20GlitchCat7.zip</v>
          </cell>
        </row>
        <row r="2647">
          <cell r="A2647" t="str">
            <v>Vengeful Mario</v>
          </cell>
          <cell r="B2647" t="str">
            <v>Vengeful Mario</v>
          </cell>
          <cell r="C2647" t="str">
            <v>Easy Difficulty</v>
          </cell>
          <cell r="D2647">
            <v>72</v>
          </cell>
          <cell r="E2647" t="str">
            <v>Master</v>
          </cell>
          <cell r="F2647" t="str">
            <v>Standard, Kaizo</v>
          </cell>
          <cell r="G2647">
            <v>45724</v>
          </cell>
          <cell r="H2647" t="str">
            <v>38882</v>
          </cell>
          <cell r="I2647" t="str">
            <v>https://www.smwcentral.net/?a=details&amp;id=38882&amp;p=section</v>
          </cell>
          <cell r="J2647" t="str">
            <v>https://dl.smwcentral.net/38882/reasonably%20long%20kaizo%20game%20but%20it%27s%20version%201.1.1%20now.zip</v>
          </cell>
        </row>
        <row r="2648">
          <cell r="A2648" t="str">
            <v>Venture</v>
          </cell>
          <cell r="B2648" t="str">
            <v>Venture</v>
          </cell>
          <cell r="C2648" t="str">
            <v>jirok1</v>
          </cell>
          <cell r="D2648">
            <v>10</v>
          </cell>
          <cell r="E2648" t="str">
            <v>Expert</v>
          </cell>
          <cell r="F2648" t="str">
            <v>Kaizo</v>
          </cell>
          <cell r="G2648">
            <v>45419</v>
          </cell>
          <cell r="H2648" t="str">
            <v>37735</v>
          </cell>
          <cell r="I2648" t="str">
            <v>https://www.smwcentral.net/?a=details&amp;id=37735&amp;p=section</v>
          </cell>
          <cell r="J2648" t="str">
            <v>https://dl.smwcentral.net/37735/Venture1_2.zip</v>
          </cell>
        </row>
        <row r="2649">
          <cell r="A2649" t="str">
            <v>Very Fun World</v>
          </cell>
          <cell r="B2649" t="str">
            <v>Very Fun World</v>
          </cell>
          <cell r="C2649" t="str">
            <v>tomato jonson</v>
          </cell>
          <cell r="D2649">
            <v>6</v>
          </cell>
          <cell r="E2649" t="str">
            <v>Casual</v>
          </cell>
          <cell r="F2649" t="str">
            <v>Standard</v>
          </cell>
          <cell r="G2649">
            <v>43731</v>
          </cell>
          <cell r="H2649" t="str">
            <v>21080</v>
          </cell>
          <cell r="I2649" t="str">
            <v>https://www.smwcentral.net/?a=details&amp;id=21080&amp;p=section</v>
          </cell>
          <cell r="J2649" t="str">
            <v>https://dl.smwcentral.net/21080/Very%20Fun%20World.zip</v>
          </cell>
        </row>
        <row r="2650">
          <cell r="A2650" t="str">
            <v>Very Hard Mario</v>
          </cell>
          <cell r="B2650" t="str">
            <v>Very Hard Mario</v>
          </cell>
          <cell r="C2650" t="str">
            <v>lolyoshi</v>
          </cell>
          <cell r="D2650">
            <v>13</v>
          </cell>
          <cell r="E2650" t="str">
            <v>Master</v>
          </cell>
          <cell r="F2650" t="str">
            <v>Kaizo</v>
          </cell>
          <cell r="G2650">
            <v>45853</v>
          </cell>
          <cell r="H2650" t="str">
            <v>40105</v>
          </cell>
          <cell r="I2650" t="str">
            <v>https://www.smwcentral.net/?a=details&amp;id=40105&amp;p=section</v>
          </cell>
          <cell r="J2650" t="str">
            <v>https://dl.smwcentral.net/40105/veryhard.zip</v>
          </cell>
        </row>
        <row r="2651">
          <cell r="A2651" t="str">
            <v>Vincere</v>
          </cell>
          <cell r="B2651" t="str">
            <v>Vincere</v>
          </cell>
          <cell r="C2651" t="str">
            <v>Wolfguy423</v>
          </cell>
          <cell r="D2651">
            <v>14</v>
          </cell>
          <cell r="E2651" t="str">
            <v>Expert</v>
          </cell>
          <cell r="F2651" t="str">
            <v>Kaizo</v>
          </cell>
          <cell r="G2651">
            <v>44741</v>
          </cell>
          <cell r="H2651" t="str">
            <v>31246</v>
          </cell>
          <cell r="I2651" t="str">
            <v>https://www.smwcentral.net/?a=details&amp;id=31246&amp;p=section</v>
          </cell>
          <cell r="J2651" t="str">
            <v>https://dl.smwcentral.net/31246/Vincere.zip</v>
          </cell>
        </row>
        <row r="2652">
          <cell r="A2652" t="str">
            <v>VIP and Wall Mix 1</v>
          </cell>
          <cell r="B2652" t="str">
            <v>VIP and Wall Mix 1</v>
          </cell>
          <cell r="C2652" t="str">
            <v>Vipper</v>
          </cell>
          <cell r="D2652">
            <v>78</v>
          </cell>
          <cell r="E2652" t="str">
            <v>Expert</v>
          </cell>
          <cell r="F2652" t="str">
            <v>Standard</v>
          </cell>
          <cell r="G2652">
            <v>42234</v>
          </cell>
          <cell r="H2652" t="str">
            <v>9706</v>
          </cell>
          <cell r="I2652" t="str">
            <v>https://www.smwcentral.net/?a=details&amp;id=9706&amp;p=section</v>
          </cell>
          <cell r="J2652" t="str">
            <v>https://dl.smwcentral.net/9706/VIP1.zip</v>
          </cell>
        </row>
        <row r="2653">
          <cell r="A2653" t="str">
            <v>VIP and Wall Mix 1: Mario Edition</v>
          </cell>
          <cell r="B2653" t="str">
            <v>VIP and Wall Mix 1: Mario Edition</v>
          </cell>
          <cell r="C2653" t="str">
            <v>Vipper</v>
          </cell>
          <cell r="D2653">
            <v>78</v>
          </cell>
          <cell r="E2653" t="str">
            <v>Expert</v>
          </cell>
          <cell r="F2653" t="str">
            <v>Standard</v>
          </cell>
          <cell r="G2653">
            <v>42234</v>
          </cell>
          <cell r="H2653" t="str">
            <v>10005</v>
          </cell>
          <cell r="I2653" t="str">
            <v>https://www.smwcentral.net/?a=details&amp;id=10005&amp;p=section</v>
          </cell>
          <cell r="J2653" t="str">
            <v>https://dl.smwcentral.net/10005/Vip%20mario%20-%20mario%20edition.zip</v>
          </cell>
        </row>
        <row r="2654">
          <cell r="A2654" t="str">
            <v>VIP and Wall Mix 2</v>
          </cell>
          <cell r="B2654" t="str">
            <v>VIP and Wall Mix 2</v>
          </cell>
          <cell r="C2654" t="str">
            <v>Vipper</v>
          </cell>
          <cell r="D2654">
            <v>103</v>
          </cell>
          <cell r="E2654" t="str">
            <v>Expert</v>
          </cell>
          <cell r="F2654" t="str">
            <v>Standard</v>
          </cell>
          <cell r="G2654">
            <v>42280</v>
          </cell>
          <cell r="H2654" t="str">
            <v>9821</v>
          </cell>
          <cell r="I2654" t="str">
            <v>https://www.smwcentral.net/?a=details&amp;id=9821&amp;p=section</v>
          </cell>
          <cell r="J2654" t="str">
            <v>https://dl.smwcentral.net/9821/SMW2-By%20Vipper.zip</v>
          </cell>
        </row>
        <row r="2655">
          <cell r="A2655" t="str">
            <v>VIP and Wall Mix 2: Mario Edition</v>
          </cell>
          <cell r="B2655" t="str">
            <v>VIP and Wall Mix 2: Mario Edition</v>
          </cell>
          <cell r="C2655" t="str">
            <v>Vipper</v>
          </cell>
          <cell r="D2655">
            <v>103</v>
          </cell>
          <cell r="E2655" t="str">
            <v>Expert</v>
          </cell>
          <cell r="F2655" t="str">
            <v>Standard</v>
          </cell>
          <cell r="G2655">
            <v>42280</v>
          </cell>
          <cell r="H2655" t="str">
            <v>10123</v>
          </cell>
          <cell r="I2655" t="str">
            <v>https://www.smwcentral.net/?a=details&amp;id=10123&amp;p=section</v>
          </cell>
          <cell r="J2655" t="str">
            <v>https://dl.smwcentral.net/10123/vip%20mario%202%20-%20mario%20edition.zip</v>
          </cell>
        </row>
        <row r="2656">
          <cell r="A2656" t="str">
            <v>VIP and Wall Mix 3</v>
          </cell>
          <cell r="B2656" t="str">
            <v>VIP and Wall Mix 3</v>
          </cell>
          <cell r="C2656" t="str">
            <v>Vipper</v>
          </cell>
          <cell r="D2656">
            <v>100</v>
          </cell>
          <cell r="E2656" t="str">
            <v>Advanced</v>
          </cell>
          <cell r="F2656" t="str">
            <v>Standard</v>
          </cell>
          <cell r="G2656">
            <v>42325</v>
          </cell>
          <cell r="H2656" t="str">
            <v>10027</v>
          </cell>
          <cell r="I2656" t="str">
            <v>https://www.smwcentral.net/?a=details&amp;id=10027&amp;p=section</v>
          </cell>
          <cell r="J2656" t="str">
            <v>https://dl.smwcentral.net/10027/VIP%26%2312510%3B%26%2312522%3B%26%2312458%3B3AAE%20ver.1.48.zip</v>
          </cell>
        </row>
        <row r="2657">
          <cell r="A2657" t="str">
            <v>VIP and Wall Mix 3: Mario Edition</v>
          </cell>
          <cell r="B2657" t="str">
            <v>VIP and Wall Mix 3: Mario Edition</v>
          </cell>
          <cell r="C2657" t="str">
            <v>Vipper</v>
          </cell>
          <cell r="D2657">
            <v>99</v>
          </cell>
          <cell r="E2657" t="str">
            <v>Advanced</v>
          </cell>
          <cell r="F2657" t="str">
            <v>Standard</v>
          </cell>
          <cell r="G2657">
            <v>42325</v>
          </cell>
          <cell r="H2657" t="str">
            <v>9812</v>
          </cell>
          <cell r="I2657" t="str">
            <v>https://www.smwcentral.net/?a=details&amp;id=9812&amp;p=section</v>
          </cell>
          <cell r="J2657" t="str">
            <v>https://dl.smwcentral.net/9812/SMW3-%20By%20Vipper.zip</v>
          </cell>
        </row>
        <row r="2658">
          <cell r="A2658" t="str">
            <v>VIP and Wall Mix 4</v>
          </cell>
          <cell r="B2658" t="str">
            <v>VIP and Wall Mix 4</v>
          </cell>
          <cell r="C2658" t="str">
            <v>Vipper</v>
          </cell>
          <cell r="D2658">
            <v>115</v>
          </cell>
          <cell r="E2658" t="str">
            <v>Advanced</v>
          </cell>
          <cell r="F2658" t="str">
            <v>Standard</v>
          </cell>
          <cell r="G2658">
            <v>42337</v>
          </cell>
          <cell r="H2658" t="str">
            <v>9799</v>
          </cell>
          <cell r="I2658" t="str">
            <v>https://www.smwcentral.net/?a=details&amp;id=9799&amp;p=section</v>
          </cell>
          <cell r="J2658" t="str">
            <v>https://dl.smwcentral.net/9799/MIX4AAE.zip</v>
          </cell>
        </row>
        <row r="2659">
          <cell r="A2659" t="str">
            <v>VIP and Wall Mix 4: Mario Edition</v>
          </cell>
          <cell r="B2659" t="str">
            <v>VIP and Wall Mix 4: Mario Edition</v>
          </cell>
          <cell r="C2659" t="str">
            <v>Vipper</v>
          </cell>
          <cell r="D2659">
            <v>115</v>
          </cell>
          <cell r="E2659" t="str">
            <v>Advanced</v>
          </cell>
          <cell r="F2659" t="str">
            <v>Standard</v>
          </cell>
          <cell r="G2659">
            <v>42337</v>
          </cell>
          <cell r="H2659" t="str">
            <v>9778</v>
          </cell>
          <cell r="I2659" t="str">
            <v>https://www.smwcentral.net/?a=details&amp;id=9778&amp;p=section</v>
          </cell>
          <cell r="J2659" t="str">
            <v>https://dl.smwcentral.net/9778/vip%20mario%204%20-%20mario%20edition.zip</v>
          </cell>
        </row>
        <row r="2660">
          <cell r="A2660" t="str">
            <v>VOQBON.smc</v>
          </cell>
          <cell r="B2660" t="str">
            <v>VOQBON.smc</v>
          </cell>
          <cell r="C2660" t="str">
            <v>Phyll</v>
          </cell>
          <cell r="D2660">
            <v>13</v>
          </cell>
          <cell r="E2660" t="str">
            <v>Master</v>
          </cell>
          <cell r="F2660" t="str">
            <v>Kaizo</v>
          </cell>
          <cell r="G2660">
            <v>45316</v>
          </cell>
          <cell r="H2660" t="str">
            <v>36682</v>
          </cell>
          <cell r="I2660" t="str">
            <v>https://www.smwcentral.net/?a=details&amp;id=36682&amp;p=section</v>
          </cell>
          <cell r="J2660" t="str">
            <v>https://dl.smwcentral.net/36682/VOQBON.zip</v>
          </cell>
        </row>
        <row r="2661">
          <cell r="A2661" t="str">
            <v>Voyager</v>
          </cell>
          <cell r="B2661" t="str">
            <v>Voyager</v>
          </cell>
          <cell r="C2661" t="str">
            <v>Parahax</v>
          </cell>
          <cell r="D2661">
            <v>24</v>
          </cell>
          <cell r="E2661" t="str">
            <v>Expert</v>
          </cell>
          <cell r="F2661" t="str">
            <v>Kaizo</v>
          </cell>
          <cell r="G2661">
            <v>44505</v>
          </cell>
          <cell r="H2661" t="str">
            <v>28513</v>
          </cell>
          <cell r="I2661" t="str">
            <v>https://www.smwcentral.net/?a=details&amp;id=28513&amp;p=section</v>
          </cell>
          <cell r="J2661" t="str">
            <v>https://dl.smwcentral.net/28513/Voyager%20v1.27.zip</v>
          </cell>
        </row>
        <row r="2662">
          <cell r="A2662" t="str">
            <v>VP</v>
          </cell>
          <cell r="B2662" t="str">
            <v>VP</v>
          </cell>
          <cell r="C2662" t="str">
            <v>gameboyjeremy</v>
          </cell>
          <cell r="D2662">
            <v>22</v>
          </cell>
          <cell r="E2662" t="str">
            <v>Expert</v>
          </cell>
          <cell r="F2662" t="str">
            <v>Kaizo, Puzzle</v>
          </cell>
          <cell r="G2662">
            <v>42473</v>
          </cell>
          <cell r="H2662" t="str">
            <v>13214</v>
          </cell>
          <cell r="I2662" t="str">
            <v>https://www.smwcentral.net/?a=details&amp;id=13214&amp;p=section</v>
          </cell>
          <cell r="J2662" t="str">
            <v>https://dl.smwcentral.net/13214/VP.zip</v>
          </cell>
        </row>
        <row r="2663">
          <cell r="A2663" t="str">
            <v>Vuit Grups</v>
          </cell>
          <cell r="B2663" t="str">
            <v>Vuit Grups</v>
          </cell>
          <cell r="C2663" t="str">
            <v>Nirv</v>
          </cell>
          <cell r="D2663">
            <v>8</v>
          </cell>
          <cell r="E2663" t="str">
            <v>Expert</v>
          </cell>
          <cell r="F2663" t="str">
            <v>Kaizo</v>
          </cell>
          <cell r="G2663">
            <v>45929</v>
          </cell>
          <cell r="H2663" t="str">
            <v>40549</v>
          </cell>
          <cell r="I2663" t="str">
            <v>https://www.smwcentral.net/?a=details&amp;id=40549&amp;p=section</v>
          </cell>
          <cell r="J2663" t="str">
            <v>https://dl.smwcentral.net/40549/VuitGrups.zip</v>
          </cell>
        </row>
        <row r="2664">
          <cell r="A2664" t="str">
            <v>Wake Up Call</v>
          </cell>
          <cell r="B2664" t="str">
            <v>Wake Up Call</v>
          </cell>
          <cell r="C2664" t="str">
            <v>lustreflux</v>
          </cell>
          <cell r="D2664">
            <v>28</v>
          </cell>
          <cell r="E2664" t="str">
            <v>Advanced</v>
          </cell>
          <cell r="F2664" t="str">
            <v>Standard, Kaizo</v>
          </cell>
          <cell r="G2664">
            <v>45216</v>
          </cell>
          <cell r="H2664" t="str">
            <v>35030</v>
          </cell>
          <cell r="I2664" t="str">
            <v>https://www.smwcentral.net/?a=details&amp;id=35030&amp;p=section</v>
          </cell>
          <cell r="J2664" t="str">
            <v>https://dl.smwcentral.net/35030/WakeUpCall.zip</v>
          </cell>
        </row>
        <row r="2665">
          <cell r="A2665" t="str">
            <v>Wake Up Call Re-Mix</v>
          </cell>
          <cell r="B2665" t="str">
            <v>Wake Up Call Re-Mix</v>
          </cell>
          <cell r="C2665" t="str">
            <v>lustreflux</v>
          </cell>
          <cell r="D2665">
            <v>15</v>
          </cell>
          <cell r="E2665" t="str">
            <v>Advanced</v>
          </cell>
          <cell r="F2665" t="str">
            <v>Standard, Kaizo</v>
          </cell>
          <cell r="G2665">
            <v>45327</v>
          </cell>
          <cell r="H2665" t="str">
            <v>35849</v>
          </cell>
          <cell r="I2665" t="str">
            <v>https://www.smwcentral.net/?a=details&amp;id=35849&amp;p=section</v>
          </cell>
          <cell r="J2665" t="str">
            <v>https://dl.smwcentral.net/35849/wakeupcallREMIX1.2.zip</v>
          </cell>
        </row>
        <row r="2666">
          <cell r="A2666" t="str">
            <v>Walkabout</v>
          </cell>
          <cell r="B2666" t="str">
            <v>Walkabout</v>
          </cell>
          <cell r="C2666" t="str">
            <v>SgN4T4N</v>
          </cell>
          <cell r="D2666">
            <v>33</v>
          </cell>
          <cell r="E2666" t="str">
            <v>Casual</v>
          </cell>
          <cell r="F2666" t="str">
            <v>Standard</v>
          </cell>
          <cell r="G2666">
            <v>46094</v>
          </cell>
          <cell r="H2666" t="str">
            <v>41906</v>
          </cell>
          <cell r="I2666" t="str">
            <v>https://www.smwcentral.net/?a=details&amp;id=41906&amp;p=section</v>
          </cell>
          <cell r="J2666" t="str">
            <v>https://dl.smwcentral.net/41906/Walkabout.zip</v>
          </cell>
        </row>
        <row r="2667">
          <cell r="A2667" t="str">
            <v>Wall Mario 1</v>
          </cell>
          <cell r="B2667" t="str">
            <v>Wall Mario 1</v>
          </cell>
          <cell r="C2667" t="str">
            <v>TanookiMan</v>
          </cell>
          <cell r="D2667">
            <v>10</v>
          </cell>
          <cell r="E2667" t="str">
            <v>Casual</v>
          </cell>
          <cell r="F2667" t="str">
            <v>Standard</v>
          </cell>
          <cell r="G2667">
            <v>42315</v>
          </cell>
          <cell r="H2667" t="str">
            <v>10259</v>
          </cell>
          <cell r="I2667" t="str">
            <v>https://www.smwcentral.net/?a=details&amp;id=10259&amp;p=section</v>
          </cell>
          <cell r="J2667" t="str">
            <v>https://dl.smwcentral.net/10259/Wall%20Mario%201%20%28Demo%201%29.zip</v>
          </cell>
        </row>
        <row r="2668">
          <cell r="A2668" t="str">
            <v>Waluigi's Quest to Become Known</v>
          </cell>
          <cell r="B2668" t="str">
            <v>Waluigi's Quest to Become Known</v>
          </cell>
          <cell r="C2668" t="str">
            <v>NAM</v>
          </cell>
          <cell r="D2668">
            <v>16</v>
          </cell>
          <cell r="E2668" t="str">
            <v>Casual</v>
          </cell>
          <cell r="F2668" t="str">
            <v>Standard</v>
          </cell>
          <cell r="G2668">
            <v>42292</v>
          </cell>
          <cell r="H2668" t="str">
            <v>9751</v>
          </cell>
          <cell r="I2668" t="str">
            <v>https://www.smwcentral.net/?a=details&amp;id=9751&amp;p=section</v>
          </cell>
          <cell r="J2668" t="str">
            <v>https://dl.smwcentral.net/9751/WQtBK-Demo1.zip</v>
          </cell>
        </row>
        <row r="2669">
          <cell r="A2669" t="str">
            <v>Waluigi's Road to Glory 2 - Azathomura</v>
          </cell>
          <cell r="B2669" t="str">
            <v>Waluigi's Road to Glory 2 - Azathomura</v>
          </cell>
          <cell r="C2669" t="str">
            <v>Roberto zampari</v>
          </cell>
          <cell r="D2669">
            <v>104</v>
          </cell>
          <cell r="E2669" t="str">
            <v>Intermediate</v>
          </cell>
          <cell r="F2669" t="str">
            <v>Standard</v>
          </cell>
          <cell r="G2669">
            <v>45968</v>
          </cell>
          <cell r="H2669" t="str">
            <v>40960</v>
          </cell>
          <cell r="I2669" t="str">
            <v>https://www.smwcentral.net/?a=details&amp;id=40960&amp;p=section</v>
          </cell>
          <cell r="J2669" t="str">
            <v>https://dl.smwcentral.net/40960/waluigi02-f02b.zip</v>
          </cell>
        </row>
        <row r="2670">
          <cell r="A2670" t="str">
            <v>Waluigi's road to glory: Horlogic will go on</v>
          </cell>
          <cell r="B2670" t="str">
            <v>Waluigi's road to glory: Horlogic will go on</v>
          </cell>
          <cell r="C2670" t="str">
            <v>Roberto zampari</v>
          </cell>
          <cell r="D2670">
            <v>112</v>
          </cell>
          <cell r="E2670" t="str">
            <v>Intermediate</v>
          </cell>
          <cell r="F2670" t="str">
            <v>Standard</v>
          </cell>
          <cell r="G2670">
            <v>44439</v>
          </cell>
          <cell r="H2670" t="str">
            <v>27018</v>
          </cell>
          <cell r="I2670" t="str">
            <v>https://www.smwcentral.net/?a=details&amp;id=27018&amp;p=section</v>
          </cell>
          <cell r="J2670" t="str">
            <v>https://dl.smwcentral.net/27018/WaluigiRoad01.zip</v>
          </cell>
        </row>
        <row r="2671">
          <cell r="A2671" t="str">
            <v>Waluigi's Wadventure</v>
          </cell>
          <cell r="B2671" t="str">
            <v>Waluigi's Wadventure</v>
          </cell>
          <cell r="C2671" t="str">
            <v>Galactic Spear</v>
          </cell>
          <cell r="D2671">
            <v>11</v>
          </cell>
          <cell r="E2671" t="str">
            <v>Casual</v>
          </cell>
          <cell r="F2671" t="str">
            <v>Standard</v>
          </cell>
          <cell r="G2671">
            <v>43293</v>
          </cell>
          <cell r="H2671" t="str">
            <v>17837</v>
          </cell>
          <cell r="I2671" t="str">
            <v>https://www.smwcentral.net/?a=details&amp;id=17837&amp;p=section</v>
          </cell>
          <cell r="J2671" t="str">
            <v>https://dl.smwcentral.net/17837/Waluigi%27s%20Wadventure%20-%20Demo%202.1.zip</v>
          </cell>
        </row>
        <row r="2672">
          <cell r="A2672" t="str">
            <v>Wario Land 5</v>
          </cell>
          <cell r="B2672" t="str">
            <v>Wario Land 5</v>
          </cell>
          <cell r="C2672" t="str">
            <v>Dylan Yoshi</v>
          </cell>
          <cell r="D2672">
            <v>6</v>
          </cell>
          <cell r="E2672" t="str">
            <v>Casual</v>
          </cell>
          <cell r="F2672" t="str">
            <v>Standard</v>
          </cell>
          <cell r="G2672">
            <v>42108</v>
          </cell>
          <cell r="H2672" t="str">
            <v>9650</v>
          </cell>
          <cell r="I2672" t="str">
            <v>https://www.smwcentral.net/?a=details&amp;id=9650&amp;p=section</v>
          </cell>
          <cell r="J2672" t="str">
            <v>https://dl.smwcentral.net/9650/Wario%20Land%205.zip</v>
          </cell>
        </row>
        <row r="2673">
          <cell r="A2673" t="str">
            <v>Wario Land 6</v>
          </cell>
          <cell r="B2673" t="str">
            <v>Wario Land 6</v>
          </cell>
          <cell r="C2673" t="str">
            <v>mariomaster13</v>
          </cell>
          <cell r="D2673">
            <v>5</v>
          </cell>
          <cell r="E2673" t="str">
            <v>Newcomer</v>
          </cell>
          <cell r="F2673" t="str">
            <v>Standard</v>
          </cell>
          <cell r="G2673">
            <v>42220</v>
          </cell>
          <cell r="H2673" t="str">
            <v>10112</v>
          </cell>
          <cell r="I2673" t="str">
            <v>https://www.smwcentral.net/?a=details&amp;id=10112&amp;p=section</v>
          </cell>
          <cell r="J2673" t="str">
            <v>https://dl.smwcentral.net/10112/wario%20land.zip</v>
          </cell>
        </row>
        <row r="2674">
          <cell r="A2674" t="str">
            <v>Wario World: Between The Dimensions</v>
          </cell>
          <cell r="B2674" t="str">
            <v>Wario World: Between The Dimensions</v>
          </cell>
          <cell r="C2674" t="str">
            <v>SLBros.</v>
          </cell>
          <cell r="D2674">
            <v>7</v>
          </cell>
          <cell r="E2674" t="str">
            <v>Newcomer</v>
          </cell>
          <cell r="F2674" t="str">
            <v>Standard</v>
          </cell>
          <cell r="G2674">
            <v>41445</v>
          </cell>
          <cell r="H2674" t="str">
            <v>5500</v>
          </cell>
          <cell r="I2674" t="str">
            <v>https://www.smwcentral.net/?a=details&amp;id=5500&amp;p=section</v>
          </cell>
          <cell r="J2674" t="str">
            <v>https://dl.smwcentral.net/5500/Wario%20World%20-%20Between%20The%20Dimensions%20%28Ver1.5b%29.zip</v>
          </cell>
        </row>
        <row r="2675">
          <cell r="A2675" t="str">
            <v>Wario's Adventure</v>
          </cell>
          <cell r="B2675" t="str">
            <v>Wario's Adventure</v>
          </cell>
          <cell r="C2675" t="str">
            <v>Retrodeath</v>
          </cell>
          <cell r="D2675">
            <v>77</v>
          </cell>
          <cell r="E2675" t="str">
            <v>Expert</v>
          </cell>
          <cell r="F2675" t="str">
            <v>Standard</v>
          </cell>
          <cell r="G2675">
            <v>42098</v>
          </cell>
          <cell r="H2675" t="str">
            <v>11026</v>
          </cell>
          <cell r="I2675" t="str">
            <v>https://www.smwcentral.net/?a=details&amp;id=11026&amp;p=section</v>
          </cell>
          <cell r="J2675" t="str">
            <v>https://dl.smwcentral.net/11026/Wario%27s%20Adventure%201.4.zip</v>
          </cell>
        </row>
        <row r="2676">
          <cell r="A2676" t="str">
            <v>Wario's Return</v>
          </cell>
          <cell r="B2676" t="str">
            <v>Wario's Return</v>
          </cell>
          <cell r="C2676" t="str">
            <v>Retired Man</v>
          </cell>
          <cell r="D2676">
            <v>7</v>
          </cell>
          <cell r="E2676" t="str">
            <v>Casual</v>
          </cell>
          <cell r="F2676" t="str">
            <v>Standard</v>
          </cell>
          <cell r="G2676">
            <v>41445</v>
          </cell>
          <cell r="H2676" t="str">
            <v>5372</v>
          </cell>
          <cell r="I2676" t="str">
            <v>https://www.smwcentral.net/?a=details&amp;id=5372&amp;p=section</v>
          </cell>
          <cell r="J2676" t="str">
            <v>https://dl.smwcentral.net/5372/Wario%C2%B4s%20Return.zip</v>
          </cell>
        </row>
        <row r="2677">
          <cell r="A2677" t="str">
            <v>Warios Wonderful Walk</v>
          </cell>
          <cell r="B2677" t="str">
            <v>Warios Wonderful Walk</v>
          </cell>
          <cell r="C2677" t="str">
            <v>Captain Domas</v>
          </cell>
          <cell r="D2677">
            <v>10</v>
          </cell>
          <cell r="E2677" t="str">
            <v>Advanced</v>
          </cell>
          <cell r="F2677" t="str">
            <v>Kaizo</v>
          </cell>
          <cell r="G2677">
            <v>44664</v>
          </cell>
          <cell r="H2677" t="str">
            <v>30365</v>
          </cell>
          <cell r="I2677" t="str">
            <v>https://www.smwcentral.net/?a=details&amp;id=30365&amp;p=section</v>
          </cell>
          <cell r="J2677" t="str">
            <v>https://dl.smwcentral.net/30365/WWW.zip</v>
          </cell>
        </row>
        <row r="2678">
          <cell r="A2678" t="str">
            <v>Watch Mario</v>
          </cell>
          <cell r="B2678" t="str">
            <v>Watch Mario</v>
          </cell>
          <cell r="C2678" t="str">
            <v>ANDCo., BabyCan</v>
          </cell>
          <cell r="D2678">
            <v>77</v>
          </cell>
          <cell r="E2678" t="str">
            <v>Casual</v>
          </cell>
          <cell r="F2678" t="str">
            <v>Standard</v>
          </cell>
          <cell r="G2678">
            <v>43300</v>
          </cell>
          <cell r="H2678" t="str">
            <v>17731</v>
          </cell>
          <cell r="I2678" t="str">
            <v>https://www.smwcentral.net/?a=details&amp;id=17731&amp;p=section</v>
          </cell>
          <cell r="J2678" t="str">
            <v>https://dl.smwcentral.net/17731/Watch%20Mario%20Bundle.zip</v>
          </cell>
        </row>
        <row r="2679">
          <cell r="A2679" t="str">
            <v>Watermelon World</v>
          </cell>
          <cell r="B2679" t="str">
            <v>Watermelon World</v>
          </cell>
          <cell r="C2679" t="str">
            <v>MIRANHA</v>
          </cell>
          <cell r="D2679">
            <v>21</v>
          </cell>
          <cell r="E2679" t="str">
            <v>Intermediate</v>
          </cell>
          <cell r="F2679" t="str">
            <v>Kaizo</v>
          </cell>
          <cell r="G2679">
            <v>43549</v>
          </cell>
          <cell r="H2679" t="str">
            <v>19397</v>
          </cell>
          <cell r="I2679" t="str">
            <v>https://www.smwcentral.net/?a=details&amp;id=19397&amp;p=section</v>
          </cell>
          <cell r="J2679" t="str">
            <v>https://dl.smwcentral.net/19397/Watermelon%20World.zip</v>
          </cell>
        </row>
        <row r="2680">
          <cell r="A2680" t="str">
            <v>Waterworld</v>
          </cell>
          <cell r="B2680" t="str">
            <v>Waterworld</v>
          </cell>
          <cell r="C2680" t="str">
            <v>BabaYegha</v>
          </cell>
          <cell r="D2680">
            <v>14</v>
          </cell>
          <cell r="E2680" t="str">
            <v>Master</v>
          </cell>
          <cell r="F2680" t="str">
            <v>Kaizo</v>
          </cell>
          <cell r="G2680">
            <v>44336</v>
          </cell>
          <cell r="H2680" t="str">
            <v>27024</v>
          </cell>
          <cell r="I2680" t="str">
            <v>https://www.smwcentral.net/?a=details&amp;id=27024&amp;p=section</v>
          </cell>
          <cell r="J2680" t="str">
            <v>https://dl.smwcentral.net/27024/Waterworld.zip</v>
          </cell>
        </row>
        <row r="2681">
          <cell r="A2681" t="str">
            <v>Way of the Tempest</v>
          </cell>
          <cell r="B2681" t="str">
            <v>Way of the Tempest</v>
          </cell>
          <cell r="C2681" t="str">
            <v>gui</v>
          </cell>
          <cell r="D2681">
            <v>5</v>
          </cell>
          <cell r="E2681" t="str">
            <v>Master</v>
          </cell>
          <cell r="F2681" t="str">
            <v>Kaizo</v>
          </cell>
          <cell r="G2681">
            <v>45175</v>
          </cell>
          <cell r="H2681" t="str">
            <v>34920</v>
          </cell>
          <cell r="I2681" t="str">
            <v>https://www.smwcentral.net/?a=details&amp;id=34920&amp;p=section</v>
          </cell>
          <cell r="J2681" t="str">
            <v>https://dl.smwcentral.net/34920/tempest1.2.zip</v>
          </cell>
        </row>
        <row r="2682">
          <cell r="A2682" t="str">
            <v>We all end up here</v>
          </cell>
          <cell r="B2682" t="str">
            <v>We all end up here</v>
          </cell>
          <cell r="C2682" t="str">
            <v>dotCoockie</v>
          </cell>
          <cell r="D2682">
            <v>21</v>
          </cell>
          <cell r="E2682" t="str">
            <v>Grandmaster</v>
          </cell>
          <cell r="F2682" t="str">
            <v>Kaizo</v>
          </cell>
          <cell r="G2682">
            <v>45572</v>
          </cell>
          <cell r="H2682" t="str">
            <v>38468</v>
          </cell>
          <cell r="I2682" t="str">
            <v>https://www.smwcentral.net/?a=details&amp;id=38468&amp;p=section</v>
          </cell>
          <cell r="J2682" t="str">
            <v>https://dl.smwcentral.net/38468/kuso.zip</v>
          </cell>
        </row>
        <row r="2683">
          <cell r="A2683" t="str">
            <v>We Like It Here</v>
          </cell>
          <cell r="B2683" t="str">
            <v>We Like It Here</v>
          </cell>
          <cell r="C2683" t="str">
            <v>Brakkie, Buflen, Donkeymint, JeepySol, NewPointless, Scags, mmmdoggy, revolug</v>
          </cell>
          <cell r="D2683">
            <v>43</v>
          </cell>
          <cell r="E2683" t="str">
            <v>Expert</v>
          </cell>
          <cell r="F2683" t="str">
            <v>Kaizo</v>
          </cell>
          <cell r="G2683">
            <v>45449</v>
          </cell>
          <cell r="H2683" t="str">
            <v>37880</v>
          </cell>
          <cell r="I2683" t="str">
            <v>https://www.smwcentral.net/?a=details&amp;id=37880&amp;p=section</v>
          </cell>
          <cell r="J2683" t="str">
            <v>https://dl.smwcentral.net/37880/WeLikeItHere1_1.zip</v>
          </cell>
        </row>
        <row r="2684">
          <cell r="A2684" t="str">
            <v>We Must Go Steeper</v>
          </cell>
          <cell r="B2684" t="str">
            <v>We Must Go Steeper</v>
          </cell>
          <cell r="C2684" t="str">
            <v>tOaO</v>
          </cell>
          <cell r="D2684">
            <v>6</v>
          </cell>
          <cell r="E2684" t="str">
            <v>Expert</v>
          </cell>
          <cell r="F2684" t="str">
            <v>Kaizo</v>
          </cell>
          <cell r="G2684">
            <v>45807</v>
          </cell>
          <cell r="H2684" t="str">
            <v>39891</v>
          </cell>
          <cell r="I2684" t="str">
            <v>https://www.smwcentral.net/?a=details&amp;id=39891&amp;p=section</v>
          </cell>
          <cell r="J2684" t="str">
            <v>https://dl.smwcentral.net/39891/We_Must_Go_Steeper_1.0.zip</v>
          </cell>
        </row>
        <row r="2685">
          <cell r="A2685" t="str">
            <v>Weather Report</v>
          </cell>
          <cell r="B2685" t="str">
            <v>Weather Report</v>
          </cell>
          <cell r="C2685" t="str">
            <v>gui</v>
          </cell>
          <cell r="D2685">
            <v>6</v>
          </cell>
          <cell r="E2685" t="str">
            <v>Master</v>
          </cell>
          <cell r="F2685" t="str">
            <v>Kaizo</v>
          </cell>
          <cell r="G2685">
            <v>45516</v>
          </cell>
          <cell r="H2685" t="str">
            <v>38150</v>
          </cell>
          <cell r="I2685" t="str">
            <v>https://www.smwcentral.net/?a=details&amp;id=38150&amp;p=section</v>
          </cell>
          <cell r="J2685" t="str">
            <v>https://dl.smwcentral.net/38150/WeatherReport.zip</v>
          </cell>
        </row>
        <row r="2686">
          <cell r="A2686" t="str">
            <v>Weekend</v>
          </cell>
          <cell r="B2686" t="str">
            <v>Weekend</v>
          </cell>
          <cell r="C2686" t="str">
            <v>Overcrow03</v>
          </cell>
          <cell r="D2686">
            <v>6</v>
          </cell>
          <cell r="E2686" t="str">
            <v>Expert</v>
          </cell>
          <cell r="F2686" t="str">
            <v>Kaizo</v>
          </cell>
          <cell r="G2686">
            <v>45733</v>
          </cell>
          <cell r="H2686" t="str">
            <v>39553</v>
          </cell>
          <cell r="I2686" t="str">
            <v>https://www.smwcentral.net/?a=details&amp;id=39553&amp;p=section</v>
          </cell>
          <cell r="J2686" t="str">
            <v>https://dl.smwcentral.net/39553/Weekend.zip</v>
          </cell>
        </row>
        <row r="2687">
          <cell r="A2687" t="str">
            <v>Weekend at Luigi's</v>
          </cell>
          <cell r="B2687" t="str">
            <v>Weekend at Luigi's</v>
          </cell>
          <cell r="C2687" t="str">
            <v>AmazingChest, PinkDad</v>
          </cell>
          <cell r="D2687">
            <v>26</v>
          </cell>
          <cell r="E2687" t="str">
            <v>Expert</v>
          </cell>
          <cell r="F2687" t="str">
            <v>Kaizo</v>
          </cell>
          <cell r="G2687">
            <v>44418</v>
          </cell>
          <cell r="H2687" t="str">
            <v>27869</v>
          </cell>
          <cell r="I2687" t="str">
            <v>https://www.smwcentral.net/?a=details&amp;id=27869&amp;p=section</v>
          </cell>
          <cell r="J2687" t="str">
            <v>https://dl.smwcentral.net/27869/weekend-at-luigis-v111%20%281%29.zip</v>
          </cell>
        </row>
        <row r="2688">
          <cell r="A2688" t="str">
            <v>Wendy's Ten Fights</v>
          </cell>
          <cell r="B2688" t="str">
            <v>Wendy's Ten Fights</v>
          </cell>
          <cell r="C2688" t="str">
            <v>Shuttles</v>
          </cell>
          <cell r="D2688">
            <v>10</v>
          </cell>
          <cell r="E2688" t="str">
            <v>Intermediate</v>
          </cell>
          <cell r="F2688" t="str">
            <v>Standard</v>
          </cell>
          <cell r="G2688">
            <v>44252</v>
          </cell>
          <cell r="H2688" t="str">
            <v>26183</v>
          </cell>
          <cell r="I2688" t="str">
            <v>https://www.smwcentral.net/?a=details&amp;id=26183&amp;p=section</v>
          </cell>
          <cell r="J2688" t="str">
            <v>https://dl.smwcentral.net/26183/WTF.zip</v>
          </cell>
        </row>
        <row r="2689">
          <cell r="A2689" t="str">
            <v>What did Mario do?</v>
          </cell>
          <cell r="B2689" t="str">
            <v>What did Mario do?</v>
          </cell>
          <cell r="C2689" t="str">
            <v>eltiolavara9, woop</v>
          </cell>
          <cell r="D2689">
            <v>69</v>
          </cell>
          <cell r="E2689" t="str">
            <v>Intermediate</v>
          </cell>
          <cell r="F2689" t="str">
            <v>Standard, Kaizo</v>
          </cell>
          <cell r="G2689">
            <v>45558</v>
          </cell>
          <cell r="H2689" t="str">
            <v>38285</v>
          </cell>
          <cell r="I2689" t="str">
            <v>https://www.smwcentral.net/?a=details&amp;id=38285&amp;p=section</v>
          </cell>
          <cell r="J2689" t="str">
            <v>https://dl.smwcentral.net/38285/WDMD.zip</v>
          </cell>
        </row>
        <row r="2690">
          <cell r="A2690" t="str">
            <v>What The Heck 2</v>
          </cell>
          <cell r="B2690" t="str">
            <v>What The Heck 2</v>
          </cell>
          <cell r="C2690" t="str">
            <v>lolyoshi</v>
          </cell>
          <cell r="D2690">
            <v>9</v>
          </cell>
          <cell r="E2690" t="str">
            <v>Intermediate</v>
          </cell>
          <cell r="F2690" t="str">
            <v>Standard</v>
          </cell>
          <cell r="G2690">
            <v>41729</v>
          </cell>
          <cell r="H2690" t="str">
            <v>6421</v>
          </cell>
          <cell r="I2690" t="str">
            <v>https://www.smwcentral.net/?a=details&amp;id=6421&amp;p=section</v>
          </cell>
          <cell r="J2690" t="str">
            <v>https://dl.smwcentral.net/6421/WTH2.zip</v>
          </cell>
        </row>
        <row r="2691">
          <cell r="A2691" t="str">
            <v>What The Shell!</v>
          </cell>
          <cell r="B2691" t="str">
            <v>What The Shell!</v>
          </cell>
          <cell r="C2691" t="str">
            <v>GrenudoGames</v>
          </cell>
          <cell r="D2691">
            <v>15</v>
          </cell>
          <cell r="E2691" t="str">
            <v>Expert</v>
          </cell>
          <cell r="F2691" t="str">
            <v>Kaizo</v>
          </cell>
          <cell r="G2691">
            <v>44363</v>
          </cell>
          <cell r="H2691" t="str">
            <v>27263</v>
          </cell>
          <cell r="I2691" t="str">
            <v>https://www.smwcentral.net/?a=details&amp;id=27263&amp;p=section</v>
          </cell>
          <cell r="J2691" t="str">
            <v>https://dl.smwcentral.net/27263/What%20The%20Shell%21.zip</v>
          </cell>
        </row>
        <row r="2692">
          <cell r="A2692" t="str">
            <v>What the... Hack?</v>
          </cell>
          <cell r="B2692" t="str">
            <v>What the... Hack?</v>
          </cell>
          <cell r="C2692" t="str">
            <v>Hellbourne</v>
          </cell>
          <cell r="D2692">
            <v>8</v>
          </cell>
          <cell r="E2692" t="str">
            <v>Casual</v>
          </cell>
          <cell r="F2692" t="str">
            <v>Standard</v>
          </cell>
          <cell r="G2692">
            <v>42266</v>
          </cell>
          <cell r="H2692" t="str">
            <v>10021</v>
          </cell>
          <cell r="I2692" t="str">
            <v>https://www.smwcentral.net/?a=details&amp;id=10021&amp;p=section</v>
          </cell>
          <cell r="J2692" t="str">
            <v>https://dl.smwcentral.net/10021/What%20the...%20Hack.zip</v>
          </cell>
        </row>
        <row r="2693">
          <cell r="A2693" t="str">
            <v>What's Thanksgiving Without Turkey?</v>
          </cell>
          <cell r="B2693" t="str">
            <v>What's Thanksgiving Without Turkey?</v>
          </cell>
          <cell r="C2693" t="str">
            <v>OmegaLuigi</v>
          </cell>
          <cell r="D2693">
            <v>2</v>
          </cell>
          <cell r="E2693" t="str">
            <v>Newcomer</v>
          </cell>
          <cell r="F2693" t="str">
            <v>Standard</v>
          </cell>
          <cell r="G2693">
            <v>43871</v>
          </cell>
          <cell r="H2693" t="str">
            <v>22073</v>
          </cell>
          <cell r="I2693" t="str">
            <v>https://www.smwcentral.net/?a=details&amp;id=22073&amp;p=section</v>
          </cell>
          <cell r="J2693" t="str">
            <v>https://dl.smwcentral.net/22073/Whats%20Thanksgiving%20Without%20Turkey%20%28Music%20Fixed%29.zip</v>
          </cell>
        </row>
        <row r="2694">
          <cell r="A2694" t="str">
            <v>What's The Name of This Hack?</v>
          </cell>
          <cell r="B2694" t="str">
            <v>What's The Name of This Hack?</v>
          </cell>
          <cell r="C2694" t="str">
            <v>dtothefourth</v>
          </cell>
          <cell r="D2694">
            <v>1</v>
          </cell>
          <cell r="E2694" t="str">
            <v>Intermediate</v>
          </cell>
          <cell r="F2694" t="str">
            <v>Standard, Kaizo</v>
          </cell>
          <cell r="G2694">
            <v>43688</v>
          </cell>
          <cell r="H2694" t="str">
            <v>20891</v>
          </cell>
          <cell r="I2694" t="str">
            <v>https://www.smwcentral.net/?a=details&amp;id=20891&amp;p=section</v>
          </cell>
          <cell r="J2694" t="str">
            <v>https://dl.smwcentral.net/20891/Whats_The_Name_Of_This_Hack_v1_7.zip</v>
          </cell>
        </row>
        <row r="2695">
          <cell r="A2695" t="str">
            <v>Where the universe breaks</v>
          </cell>
          <cell r="B2695" t="str">
            <v>Where the universe breaks</v>
          </cell>
          <cell r="C2695" t="str">
            <v>dotCoockie</v>
          </cell>
          <cell r="D2695">
            <v>6</v>
          </cell>
          <cell r="E2695" t="str">
            <v>Grandmaster</v>
          </cell>
          <cell r="F2695" t="str">
            <v>Kaizo</v>
          </cell>
          <cell r="G2695">
            <v>45394</v>
          </cell>
          <cell r="H2695" t="str">
            <v>37046</v>
          </cell>
          <cell r="I2695" t="str">
            <v>https://www.smwcentral.net/?a=details&amp;id=37046&amp;p=section</v>
          </cell>
          <cell r="J2695" t="str">
            <v>https://dl.smwcentral.net/37046/Edge.zip</v>
          </cell>
        </row>
        <row r="2696">
          <cell r="A2696" t="str">
            <v>White Men Can´t Toss</v>
          </cell>
          <cell r="B2696" t="str">
            <v>White Men Can´t Toss</v>
          </cell>
          <cell r="C2696" t="str">
            <v>uriel2k3</v>
          </cell>
          <cell r="D2696">
            <v>9</v>
          </cell>
          <cell r="E2696" t="str">
            <v>Grandmaster</v>
          </cell>
          <cell r="F2696" t="str">
            <v>Kaizo</v>
          </cell>
          <cell r="G2696">
            <v>46207</v>
          </cell>
          <cell r="H2696" t="str">
            <v>42624</v>
          </cell>
          <cell r="I2696" t="str">
            <v>https://www.smwcentral.net/?a=details&amp;id=42624&amp;p=section</v>
          </cell>
          <cell r="J2696" t="str">
            <v>https://dl.smwcentral.net/42624/WhiteMenCantToss.zip</v>
          </cell>
        </row>
        <row r="2697">
          <cell r="A2697" t="str">
            <v>Why Do Coins Float?</v>
          </cell>
          <cell r="B2697" t="str">
            <v>Why Do Coins Float?</v>
          </cell>
          <cell r="C2697" t="str">
            <v>FalseCircus</v>
          </cell>
          <cell r="D2697">
            <v>12</v>
          </cell>
          <cell r="E2697" t="str">
            <v>Master</v>
          </cell>
          <cell r="F2697" t="str">
            <v>Kaizo</v>
          </cell>
          <cell r="G2697">
            <v>44609</v>
          </cell>
          <cell r="H2697" t="str">
            <v>28807</v>
          </cell>
          <cell r="I2697" t="str">
            <v>https://www.smwcentral.net/?a=details&amp;id=28807&amp;p=section</v>
          </cell>
          <cell r="J2697" t="str">
            <v>https://dl.smwcentral.net/28807/Why%20Do%20Coins%20Float.zip</v>
          </cell>
        </row>
        <row r="2698">
          <cell r="A2698" t="str">
            <v>Windows Mario World</v>
          </cell>
          <cell r="B2698" t="str">
            <v>Windows Mario World</v>
          </cell>
          <cell r="C2698" t="str">
            <v>BetaMaster64</v>
          </cell>
          <cell r="D2698">
            <v>13</v>
          </cell>
          <cell r="E2698" t="str">
            <v>Casual</v>
          </cell>
          <cell r="F2698" t="str">
            <v>Standard</v>
          </cell>
          <cell r="G2698">
            <v>42013</v>
          </cell>
          <cell r="H2698" t="str">
            <v>10412</v>
          </cell>
          <cell r="I2698" t="str">
            <v>https://www.smwcentral.net/?a=details&amp;id=10412&amp;p=section</v>
          </cell>
          <cell r="J2698" t="str">
            <v>https://dl.smwcentral.net/10412/WMW.zip</v>
          </cell>
        </row>
        <row r="2699">
          <cell r="A2699" t="str">
            <v>Winter Season</v>
          </cell>
          <cell r="B2699" t="str">
            <v>Winter Season</v>
          </cell>
          <cell r="C2699" t="str">
            <v>RussianMan</v>
          </cell>
          <cell r="D2699">
            <v>11</v>
          </cell>
          <cell r="E2699" t="str">
            <v>Intermediate</v>
          </cell>
          <cell r="F2699" t="str">
            <v>Standard</v>
          </cell>
          <cell r="G2699">
            <v>42799</v>
          </cell>
          <cell r="H2699" t="str">
            <v>15265</v>
          </cell>
          <cell r="I2699" t="str">
            <v>https://www.smwcentral.net/?a=details&amp;id=15265&amp;p=section</v>
          </cell>
          <cell r="J2699" t="str">
            <v>https://dl.smwcentral.net/15265/Winter%20season.zip</v>
          </cell>
        </row>
        <row r="2700">
          <cell r="A2700" t="str">
            <v>Winter Season 2</v>
          </cell>
          <cell r="B2700" t="str">
            <v>Winter Season 2</v>
          </cell>
          <cell r="C2700" t="str">
            <v>RussianMan</v>
          </cell>
          <cell r="D2700">
            <v>6</v>
          </cell>
          <cell r="E2700" t="str">
            <v>Advanced</v>
          </cell>
          <cell r="F2700" t="str">
            <v>Standard</v>
          </cell>
          <cell r="G2700">
            <v>44990</v>
          </cell>
          <cell r="H2700" t="str">
            <v>33326</v>
          </cell>
          <cell r="I2700" t="str">
            <v>https://www.smwcentral.net/?a=details&amp;id=33326&amp;p=section</v>
          </cell>
          <cell r="J2700" t="str">
            <v>https://dl.smwcentral.net/33326/WinterSeason2.zip</v>
          </cell>
        </row>
        <row r="2701">
          <cell r="A2701" t="str">
            <v>Woji World</v>
          </cell>
          <cell r="B2701" t="str">
            <v>Woji World</v>
          </cell>
          <cell r="C2701" t="str">
            <v>MarkAlarm</v>
          </cell>
          <cell r="D2701">
            <v>20</v>
          </cell>
          <cell r="E2701" t="str">
            <v>Advanced</v>
          </cell>
          <cell r="F2701" t="str">
            <v>Kaizo</v>
          </cell>
          <cell r="G2701">
            <v>43140</v>
          </cell>
          <cell r="H2701" t="str">
            <v>16890</v>
          </cell>
          <cell r="I2701" t="str">
            <v>https://www.smwcentral.net/?a=details&amp;id=16890&amp;p=section</v>
          </cell>
          <cell r="J2701" t="str">
            <v>https://dl.smwcentral.net/16890/Woji%20World%20v1.3.zip</v>
          </cell>
        </row>
        <row r="2702">
          <cell r="A2702" t="str">
            <v>Wonders of Kaizo!</v>
          </cell>
          <cell r="B2702" t="str">
            <v>Wonders of Kaizo!</v>
          </cell>
          <cell r="C2702" t="str">
            <v>Vanessa</v>
          </cell>
          <cell r="D2702">
            <v>18</v>
          </cell>
          <cell r="E2702" t="str">
            <v>Expert</v>
          </cell>
          <cell r="F2702" t="str">
            <v>Kaizo, Tool-Assisted</v>
          </cell>
          <cell r="G2702">
            <v>44545</v>
          </cell>
          <cell r="H2702" t="str">
            <v>28323</v>
          </cell>
          <cell r="I2702" t="str">
            <v>https://www.smwcentral.net/?a=details&amp;id=28323&amp;p=section</v>
          </cell>
          <cell r="J2702" t="str">
            <v>https://dl.smwcentral.net/28323/Wonders%20of%20Kaizo%21%21.zip</v>
          </cell>
        </row>
        <row r="2703">
          <cell r="A2703" t="str">
            <v>Worl's World</v>
          </cell>
          <cell r="B2703" t="str">
            <v>Worl's World</v>
          </cell>
          <cell r="C2703" t="str">
            <v>Worl</v>
          </cell>
          <cell r="D2703">
            <v>10</v>
          </cell>
          <cell r="E2703" t="str">
            <v>Expert</v>
          </cell>
          <cell r="F2703" t="str">
            <v>Kaizo</v>
          </cell>
          <cell r="G2703">
            <v>44070</v>
          </cell>
          <cell r="H2703" t="str">
            <v>24118</v>
          </cell>
          <cell r="I2703" t="str">
            <v>https://www.smwcentral.net/?a=details&amp;id=24118&amp;p=section</v>
          </cell>
          <cell r="J2703" t="str">
            <v>https://dl.smwcentral.net/24118/Worls%20World%201.3.zip</v>
          </cell>
        </row>
        <row r="2704">
          <cell r="A2704" t="str">
            <v>Worl's World 2: The Rebellion</v>
          </cell>
          <cell r="B2704" t="str">
            <v>Worl's World 2: The Rebellion</v>
          </cell>
          <cell r="C2704" t="str">
            <v>Worl</v>
          </cell>
          <cell r="D2704">
            <v>24</v>
          </cell>
          <cell r="E2704" t="str">
            <v>Advanced</v>
          </cell>
          <cell r="F2704" t="str">
            <v>Kaizo</v>
          </cell>
          <cell r="G2704">
            <v>44275</v>
          </cell>
          <cell r="H2704" t="str">
            <v>26447</v>
          </cell>
          <cell r="I2704" t="str">
            <v>https://www.smwcentral.net/?a=details&amp;id=26447&amp;p=section</v>
          </cell>
          <cell r="J2704" t="str">
            <v>https://dl.smwcentral.net/26447/Worls%20World%202%20v1.1.zip</v>
          </cell>
        </row>
        <row r="2705">
          <cell r="A2705" t="str">
            <v>World Of Illusion</v>
          </cell>
          <cell r="B2705" t="str">
            <v>World Of Illusion</v>
          </cell>
          <cell r="C2705" t="str">
            <v>Azure</v>
          </cell>
          <cell r="D2705">
            <v>34</v>
          </cell>
          <cell r="E2705" t="str">
            <v>Advanced</v>
          </cell>
          <cell r="F2705" t="str">
            <v>Standard</v>
          </cell>
          <cell r="G2705">
            <v>41445</v>
          </cell>
          <cell r="H2705" t="str">
            <v>4980</v>
          </cell>
          <cell r="I2705" t="str">
            <v>https://www.smwcentral.net/?a=details&amp;id=4980&amp;p=section</v>
          </cell>
          <cell r="J2705" t="str">
            <v>https://dl.smwcentral.net/4980/World%20of%20Illusion.zip</v>
          </cell>
        </row>
        <row r="2706">
          <cell r="A2706" t="str">
            <v>World of Jumps</v>
          </cell>
          <cell r="B2706" t="str">
            <v>World of Jumps</v>
          </cell>
          <cell r="C2706" t="str">
            <v>Maltz</v>
          </cell>
          <cell r="D2706">
            <v>29</v>
          </cell>
          <cell r="E2706" t="str">
            <v>Expert</v>
          </cell>
          <cell r="F2706" t="str">
            <v>Kaizo</v>
          </cell>
          <cell r="G2706">
            <v>46030</v>
          </cell>
          <cell r="H2706" t="str">
            <v>41374</v>
          </cell>
          <cell r="I2706" t="str">
            <v>https://www.smwcentral.net/?a=details&amp;id=41374&amp;p=section</v>
          </cell>
          <cell r="J2706" t="str">
            <v>https://dl.smwcentral.net/41374/WorldOfJumps.zip</v>
          </cell>
        </row>
        <row r="2707">
          <cell r="A2707" t="str">
            <v>World of Shells</v>
          </cell>
          <cell r="B2707" t="str">
            <v>World of Shells</v>
          </cell>
          <cell r="C2707" t="str">
            <v>Riu_69</v>
          </cell>
          <cell r="D2707">
            <v>11</v>
          </cell>
          <cell r="E2707" t="str">
            <v>Master</v>
          </cell>
          <cell r="F2707" t="str">
            <v>Kaizo</v>
          </cell>
          <cell r="G2707">
            <v>44929</v>
          </cell>
          <cell r="H2707" t="str">
            <v>32844</v>
          </cell>
          <cell r="I2707" t="str">
            <v>https://www.smwcentral.net/?a=details&amp;id=32844&amp;p=section</v>
          </cell>
          <cell r="J2707" t="str">
            <v>https://dl.smwcentral.net/32844/World%20of%20Shells%20V%201.4.zip</v>
          </cell>
        </row>
        <row r="2708">
          <cell r="A2708" t="str">
            <v>World's Hardest Hack</v>
          </cell>
          <cell r="B2708" t="str">
            <v>World's Hardest Hack</v>
          </cell>
          <cell r="C2708" t="str">
            <v>Sweetdude</v>
          </cell>
          <cell r="D2708">
            <v>0</v>
          </cell>
          <cell r="E2708" t="str">
            <v>Advanced</v>
          </cell>
          <cell r="F2708" t="str">
            <v>Kaizo</v>
          </cell>
          <cell r="G2708">
            <v>44943</v>
          </cell>
          <cell r="H2708" t="str">
            <v>32940</v>
          </cell>
          <cell r="I2708" t="str">
            <v>https://www.smwcentral.net/?a=details&amp;id=32940&amp;p=section</v>
          </cell>
          <cell r="J2708" t="str">
            <v>https://dl.smwcentral.net/32940/CoolMathHacks.zip</v>
          </cell>
        </row>
        <row r="2709">
          <cell r="A2709" t="str">
            <v>worm</v>
          </cell>
          <cell r="B2709" t="str">
            <v>worm</v>
          </cell>
          <cell r="C2709" t="str">
            <v>PopCorn181</v>
          </cell>
          <cell r="D2709">
            <v>4</v>
          </cell>
          <cell r="E2709" t="str">
            <v>Intermediate</v>
          </cell>
          <cell r="F2709" t="str">
            <v>Kaizo</v>
          </cell>
          <cell r="G2709">
            <v>45802</v>
          </cell>
          <cell r="H2709" t="str">
            <v>39888</v>
          </cell>
          <cell r="I2709" t="str">
            <v>https://www.smwcentral.net/?a=details&amp;id=39888&amp;p=section</v>
          </cell>
          <cell r="J2709" t="str">
            <v>https://dl.smwcentral.net/39888/worm.zip</v>
          </cell>
        </row>
        <row r="2710">
          <cell r="A2710" t="str">
            <v>Wrath of Bowser</v>
          </cell>
          <cell r="B2710" t="str">
            <v>Wrath of Bowser</v>
          </cell>
          <cell r="C2710" t="str">
            <v>Tubbaluvin</v>
          </cell>
          <cell r="D2710">
            <v>10</v>
          </cell>
          <cell r="E2710" t="str">
            <v>Master</v>
          </cell>
          <cell r="F2710" t="str">
            <v>Kaizo</v>
          </cell>
          <cell r="G2710">
            <v>43860</v>
          </cell>
          <cell r="H2710" t="str">
            <v>22025</v>
          </cell>
          <cell r="I2710" t="str">
            <v>https://www.smwcentral.net/?a=details&amp;id=22025&amp;p=section</v>
          </cell>
          <cell r="J2710" t="str">
            <v>https://dl.smwcentral.net/22025/WrathOfBowserV1_1.zip</v>
          </cell>
        </row>
        <row r="2711">
          <cell r="A2711" t="str">
            <v>Wrecking Crew '98</v>
          </cell>
          <cell r="B2711" t="str">
            <v>Wrecking Crew '98</v>
          </cell>
          <cell r="C2711" t="str">
            <v>Big Brawler</v>
          </cell>
          <cell r="D2711">
            <v>18</v>
          </cell>
          <cell r="E2711" t="str">
            <v>Intermediate</v>
          </cell>
          <cell r="F2711" t="str">
            <v>Standard</v>
          </cell>
          <cell r="G2711">
            <v>42523</v>
          </cell>
          <cell r="H2711" t="str">
            <v>13765</v>
          </cell>
          <cell r="I2711" t="str">
            <v>https://www.smwcentral.net/?a=details&amp;id=13765&amp;p=section</v>
          </cell>
          <cell r="J2711" t="str">
            <v>https://dl.smwcentral.net/13765/Wrecking%20Crew%20%2798%20v1.3.zip</v>
          </cell>
        </row>
        <row r="2712">
          <cell r="A2712" t="str">
            <v>X-Drive</v>
          </cell>
          <cell r="B2712" t="str">
            <v>X-Drive</v>
          </cell>
          <cell r="C2712" t="str">
            <v>Aurel509, Kourauh, MrJ'lien</v>
          </cell>
          <cell r="D2712">
            <v>67</v>
          </cell>
          <cell r="E2712" t="str">
            <v>Advanced</v>
          </cell>
          <cell r="F2712" t="str">
            <v>Standard</v>
          </cell>
          <cell r="G2712">
            <v>45039</v>
          </cell>
          <cell r="H2712" t="str">
            <v>33559</v>
          </cell>
          <cell r="I2712" t="str">
            <v>https://www.smwcentral.net/?a=details&amp;id=33559&amp;p=section</v>
          </cell>
          <cell r="J2712" t="str">
            <v>https://dl.smwcentral.net/33559/XDrive%20-%20v1.0.2.zip</v>
          </cell>
        </row>
        <row r="2713">
          <cell r="A2713" t="str">
            <v>Xka Shack</v>
          </cell>
          <cell r="B2713" t="str">
            <v>Xka Shack</v>
          </cell>
          <cell r="C2713" t="str">
            <v>Smallhacker, smkdan</v>
          </cell>
          <cell r="D2713">
            <v>4</v>
          </cell>
          <cell r="E2713" t="str">
            <v>Casual</v>
          </cell>
          <cell r="F2713" t="str">
            <v>Standard</v>
          </cell>
          <cell r="G2713">
            <v>43221</v>
          </cell>
          <cell r="H2713" t="str">
            <v>17482</v>
          </cell>
          <cell r="I2713" t="str">
            <v>https://www.smwcentral.net/?a=details&amp;id=17482&amp;p=section</v>
          </cell>
          <cell r="J2713" t="str">
            <v>https://dl.smwcentral.net/17482/xka_shack.zip</v>
          </cell>
        </row>
        <row r="2714">
          <cell r="A2714" t="str">
            <v>Xulaph Kaizo World</v>
          </cell>
          <cell r="B2714" t="str">
            <v>Xulaph Kaizo World</v>
          </cell>
          <cell r="C2714" t="str">
            <v>TheMURAmatsu</v>
          </cell>
          <cell r="D2714">
            <v>14</v>
          </cell>
          <cell r="E2714" t="str">
            <v>Expert</v>
          </cell>
          <cell r="F2714" t="str">
            <v>Kaizo</v>
          </cell>
          <cell r="G2714">
            <v>43922</v>
          </cell>
          <cell r="H2714" t="str">
            <v>22346</v>
          </cell>
          <cell r="I2714" t="str">
            <v>https://www.smwcentral.net/?a=details&amp;id=22346&amp;p=section</v>
          </cell>
          <cell r="J2714" t="str">
            <v>https://dl.smwcentral.net/22346/Xulaph_Kaizo_World.zip</v>
          </cell>
        </row>
        <row r="2715">
          <cell r="A2715" t="str">
            <v>Yahoo!!</v>
          </cell>
          <cell r="B2715" t="str">
            <v>Yahoo!!</v>
          </cell>
          <cell r="C2715" t="str">
            <v>Mousejuggler</v>
          </cell>
          <cell r="D2715">
            <v>2</v>
          </cell>
          <cell r="E2715" t="str">
            <v>Advanced</v>
          </cell>
          <cell r="F2715" t="str">
            <v>Standard, Kaizo</v>
          </cell>
          <cell r="G2715">
            <v>45765</v>
          </cell>
          <cell r="H2715" t="str">
            <v>39510</v>
          </cell>
          <cell r="I2715" t="str">
            <v>https://www.smwcentral.net/?a=details&amp;id=39510&amp;p=section</v>
          </cell>
          <cell r="J2715" t="str">
            <v>https://dl.smwcentral.net/39510/Yahoo%21%21.zip</v>
          </cell>
        </row>
        <row r="2716">
          <cell r="A2716" t="str">
            <v>Yank 2</v>
          </cell>
          <cell r="B2716" t="str">
            <v>Yank 2</v>
          </cell>
          <cell r="C2716" t="str">
            <v>placeholdertest</v>
          </cell>
          <cell r="D2716">
            <v>12</v>
          </cell>
          <cell r="E2716" t="str">
            <v>Advanced</v>
          </cell>
          <cell r="F2716" t="str">
            <v>Kaizo</v>
          </cell>
          <cell r="G2716">
            <v>44318</v>
          </cell>
          <cell r="H2716" t="str">
            <v>26899</v>
          </cell>
          <cell r="I2716" t="str">
            <v>https://www.smwcentral.net/?a=details&amp;id=26899&amp;p=section</v>
          </cell>
          <cell r="J2716" t="str">
            <v>https://dl.smwcentral.net/26899/Yank%202.zip</v>
          </cell>
        </row>
        <row r="2717">
          <cell r="A2717" t="str">
            <v>Yet Another SMW Hack</v>
          </cell>
          <cell r="B2717" t="str">
            <v>Yet Another SMW Hack</v>
          </cell>
          <cell r="C2717" t="str">
            <v>JP32</v>
          </cell>
          <cell r="D2717">
            <v>33</v>
          </cell>
          <cell r="E2717" t="str">
            <v>Intermediate</v>
          </cell>
          <cell r="F2717" t="str">
            <v>Standard</v>
          </cell>
          <cell r="G2717">
            <v>42946</v>
          </cell>
          <cell r="H2717" t="str">
            <v>15893</v>
          </cell>
          <cell r="I2717" t="str">
            <v>https://www.smwcentral.net/?a=details&amp;id=15893&amp;p=section</v>
          </cell>
          <cell r="J2717" t="str">
            <v>https://dl.smwcentral.net/15893/YASH%20F1.0.zip</v>
          </cell>
        </row>
        <row r="2718">
          <cell r="A2718" t="str">
            <v>Yet Another Super Mario Adventure</v>
          </cell>
          <cell r="B2718" t="str">
            <v>Yet Another Super Mario Adventure</v>
          </cell>
          <cell r="C2718" t="str">
            <v>Anonymous</v>
          </cell>
          <cell r="D2718">
            <v>10</v>
          </cell>
          <cell r="E2718" t="str">
            <v>Intermediate</v>
          </cell>
          <cell r="F2718" t="str">
            <v>Standard</v>
          </cell>
          <cell r="G2718">
            <v>44153</v>
          </cell>
          <cell r="H2718" t="str">
            <v>25198</v>
          </cell>
          <cell r="I2718" t="str">
            <v>https://www.smwcentral.net/?a=details&amp;id=25198&amp;p=section</v>
          </cell>
          <cell r="J2718" t="str">
            <v>https://dl.smwcentral.net/25198/Yet%20Another%20Super%20Mario%20Adventure%20Demo.zip</v>
          </cell>
        </row>
        <row r="2719">
          <cell r="A2719" t="str">
            <v>YF10CBTTHNTDWTL</v>
          </cell>
          <cell r="B2719" t="str">
            <v>YF10CBTTHNTDWTL</v>
          </cell>
          <cell r="C2719" t="str">
            <v>Shizufuzu</v>
          </cell>
          <cell r="D2719">
            <v>1</v>
          </cell>
          <cell r="E2719" t="str">
            <v>Intermediate</v>
          </cell>
          <cell r="F2719" t="str">
            <v>Standard</v>
          </cell>
          <cell r="G2719">
            <v>42209</v>
          </cell>
          <cell r="H2719" t="str">
            <v>11769</v>
          </cell>
          <cell r="I2719" t="str">
            <v>https://www.smwcentral.net/?a=details&amp;id=11769&amp;p=section</v>
          </cell>
          <cell r="J2719" t="str">
            <v>https://dl.smwcentral.net/11769/YF10CBTTHNTDWTL.zip</v>
          </cell>
        </row>
        <row r="2720">
          <cell r="A2720" t="str">
            <v>Yikes Kaizo World</v>
          </cell>
          <cell r="B2720" t="str">
            <v>Yikes Kaizo World</v>
          </cell>
          <cell r="C2720" t="str">
            <v>jquery861</v>
          </cell>
          <cell r="D2720">
            <v>15</v>
          </cell>
          <cell r="E2720" t="str">
            <v>Expert</v>
          </cell>
          <cell r="F2720" t="str">
            <v>Kaizo</v>
          </cell>
          <cell r="G2720">
            <v>44504</v>
          </cell>
          <cell r="H2720" t="str">
            <v>28710</v>
          </cell>
          <cell r="I2720" t="str">
            <v>https://www.smwcentral.net/?a=details&amp;id=28710&amp;p=section</v>
          </cell>
          <cell r="J2720" t="str">
            <v>https://dl.smwcentral.net/28710/YikesKaizoWorld_v1.0.zip</v>
          </cell>
        </row>
        <row r="2721">
          <cell r="A2721" t="str">
            <v>YNT MARIO</v>
          </cell>
          <cell r="B2721" t="str">
            <v>YNT MARIO</v>
          </cell>
          <cell r="C2721" t="str">
            <v>YNT, astm</v>
          </cell>
          <cell r="D2721">
            <v>113</v>
          </cell>
          <cell r="E2721" t="str">
            <v>Expert</v>
          </cell>
          <cell r="F2721" t="str">
            <v>Standard</v>
          </cell>
          <cell r="G2721">
            <v>46201</v>
          </cell>
          <cell r="H2721" t="str">
            <v>42427</v>
          </cell>
          <cell r="I2721" t="str">
            <v>https://www.smwcentral.net/?a=details&amp;id=42427&amp;p=section</v>
          </cell>
          <cell r="J2721" t="str">
            <v>https://dl.smwcentral.net/42427/ynt_mario_en_v1.0.6.zip</v>
          </cell>
        </row>
        <row r="2722">
          <cell r="A2722" t="str">
            <v>Yo mama is fat</v>
          </cell>
          <cell r="B2722" t="str">
            <v>Yo mama is fat</v>
          </cell>
          <cell r="C2722" t="str">
            <v>Aguni_</v>
          </cell>
          <cell r="D2722">
            <v>11</v>
          </cell>
          <cell r="E2722" t="str">
            <v>Intermediate</v>
          </cell>
          <cell r="F2722" t="str">
            <v>Standard</v>
          </cell>
          <cell r="G2722">
            <v>43272</v>
          </cell>
          <cell r="H2722" t="str">
            <v>17614</v>
          </cell>
          <cell r="I2722" t="str">
            <v>https://www.smwcentral.net/?a=details&amp;id=17614&amp;p=section</v>
          </cell>
          <cell r="J2722" t="str">
            <v>https://dl.smwcentral.net/17614/Yo%20mama%20is%20fat.zip</v>
          </cell>
        </row>
        <row r="2723">
          <cell r="A2723" t="str">
            <v>YoHo</v>
          </cell>
          <cell r="B2723" t="str">
            <v>YoHo</v>
          </cell>
          <cell r="C2723" t="str">
            <v>neidoodle</v>
          </cell>
          <cell r="D2723">
            <v>4</v>
          </cell>
          <cell r="E2723" t="str">
            <v>Master</v>
          </cell>
          <cell r="F2723" t="str">
            <v>Kaizo</v>
          </cell>
          <cell r="G2723">
            <v>44284</v>
          </cell>
          <cell r="H2723" t="str">
            <v>26473</v>
          </cell>
          <cell r="I2723" t="str">
            <v>https://www.smwcentral.net/?a=details&amp;id=26473&amp;p=section</v>
          </cell>
          <cell r="J2723" t="str">
            <v>https://dl.smwcentral.net/26473/YoHo1.4.zip</v>
          </cell>
        </row>
        <row r="2724">
          <cell r="A2724" t="str">
            <v>YoHo Adventure</v>
          </cell>
          <cell r="B2724" t="str">
            <v>YoHo Adventure</v>
          </cell>
          <cell r="C2724" t="str">
            <v>neidoodle</v>
          </cell>
          <cell r="D2724">
            <v>7</v>
          </cell>
          <cell r="E2724" t="str">
            <v>Casual</v>
          </cell>
          <cell r="F2724" t="str">
            <v>Standard</v>
          </cell>
          <cell r="G2724">
            <v>44314</v>
          </cell>
          <cell r="H2724" t="str">
            <v>26657</v>
          </cell>
          <cell r="I2724" t="str">
            <v>https://www.smwcentral.net/?a=details&amp;id=26657&amp;p=section</v>
          </cell>
          <cell r="J2724" t="str">
            <v>https://dl.smwcentral.net/26657/YoHo%20Adventure.zip</v>
          </cell>
        </row>
        <row r="2725">
          <cell r="A2725" t="str">
            <v>Yoshi Is Missing!</v>
          </cell>
          <cell r="B2725" t="str">
            <v>Yoshi Is Missing!</v>
          </cell>
          <cell r="C2725" t="str">
            <v>S.L</v>
          </cell>
          <cell r="D2725">
            <v>14</v>
          </cell>
          <cell r="E2725" t="str">
            <v>Newcomer</v>
          </cell>
          <cell r="F2725" t="str">
            <v>Standard</v>
          </cell>
          <cell r="G2725">
            <v>42210</v>
          </cell>
          <cell r="H2725" t="str">
            <v>9770</v>
          </cell>
          <cell r="I2725" t="str">
            <v>https://www.smwcentral.net/?a=details&amp;id=9770&amp;p=section</v>
          </cell>
          <cell r="J2725" t="str">
            <v>https://dl.smwcentral.net/9770/Yoshi%20is%20missing%20%21.zip</v>
          </cell>
        </row>
        <row r="2726">
          <cell r="A2726" t="str">
            <v>Yoshi Saves Summer Vacation</v>
          </cell>
          <cell r="B2726" t="str">
            <v>Yoshi Saves Summer Vacation</v>
          </cell>
          <cell r="C2726" t="str">
            <v>El Cuh Fermin</v>
          </cell>
          <cell r="D2726">
            <v>11</v>
          </cell>
          <cell r="E2726" t="str">
            <v>Casual</v>
          </cell>
          <cell r="F2726" t="str">
            <v>Standard</v>
          </cell>
          <cell r="G2726">
            <v>45093</v>
          </cell>
          <cell r="H2726" t="str">
            <v>34071</v>
          </cell>
          <cell r="I2726" t="str">
            <v>https://www.smwcentral.net/?a=details&amp;id=34071&amp;p=section</v>
          </cell>
          <cell r="J2726" t="str">
            <v>https://dl.smwcentral.net/34071/Yoshi%20Saves%20Summer%20Vacation.zip</v>
          </cell>
        </row>
        <row r="2727">
          <cell r="A2727" t="str">
            <v>Yoshi Surfer 5000</v>
          </cell>
          <cell r="B2727" t="str">
            <v>Yoshi Surfer 5000</v>
          </cell>
          <cell r="C2727" t="str">
            <v>VLSkoot</v>
          </cell>
          <cell r="D2727">
            <v>5</v>
          </cell>
          <cell r="E2727" t="str">
            <v>Expert</v>
          </cell>
          <cell r="F2727" t="str">
            <v>Kaizo</v>
          </cell>
          <cell r="G2727">
            <v>43588</v>
          </cell>
          <cell r="H2727" t="str">
            <v>19699</v>
          </cell>
          <cell r="I2727" t="str">
            <v>https://www.smwcentral.net/?a=details&amp;id=19699&amp;p=section</v>
          </cell>
          <cell r="J2727" t="str">
            <v>https://dl.smwcentral.net/19699/Yoshi%20Surfer%205000.zip</v>
          </cell>
        </row>
        <row r="2728">
          <cell r="A2728" t="str">
            <v>Yoshi's Crack House</v>
          </cell>
          <cell r="B2728" t="str">
            <v>Yoshi's Crack House</v>
          </cell>
          <cell r="C2728" t="str">
            <v>MilkyMooer</v>
          </cell>
          <cell r="D2728">
            <v>12</v>
          </cell>
          <cell r="E2728" t="str">
            <v>Advanced</v>
          </cell>
          <cell r="F2728" t="str">
            <v>Standard</v>
          </cell>
          <cell r="G2728">
            <v>44586</v>
          </cell>
          <cell r="H2728" t="str">
            <v>29590</v>
          </cell>
          <cell r="I2728" t="str">
            <v>https://www.smwcentral.net/?a=details&amp;id=29590&amp;p=section</v>
          </cell>
          <cell r="J2728" t="str">
            <v>https://dl.smwcentral.net/29590/Yoshis_Crack_House.zip</v>
          </cell>
        </row>
        <row r="2729">
          <cell r="A2729" t="str">
            <v>Yoshi's Emergency</v>
          </cell>
          <cell r="B2729" t="str">
            <v>Yoshi's Emergency</v>
          </cell>
          <cell r="C2729" t="str">
            <v>Brad172</v>
          </cell>
          <cell r="D2729">
            <v>21</v>
          </cell>
          <cell r="E2729" t="str">
            <v>Newcomer</v>
          </cell>
          <cell r="F2729" t="str">
            <v>Standard</v>
          </cell>
          <cell r="G2729">
            <v>42277</v>
          </cell>
          <cell r="H2729" t="str">
            <v>10072</v>
          </cell>
          <cell r="I2729" t="str">
            <v>https://www.smwcentral.net/?a=details&amp;id=10072&amp;p=section</v>
          </cell>
          <cell r="J2729" t="str">
            <v>https://dl.smwcentral.net/10072/Yoshi%27s%20Emergency.zip</v>
          </cell>
        </row>
        <row r="2730">
          <cell r="A2730" t="str">
            <v>Yoshi's rescue run</v>
          </cell>
          <cell r="B2730" t="str">
            <v>Yoshi's rescue run</v>
          </cell>
          <cell r="C2730" t="str">
            <v>mikeeeeee83</v>
          </cell>
          <cell r="D2730">
            <v>13</v>
          </cell>
          <cell r="E2730" t="str">
            <v>Advanced</v>
          </cell>
          <cell r="F2730" t="str">
            <v>Kaizo</v>
          </cell>
          <cell r="G2730">
            <v>45324</v>
          </cell>
          <cell r="H2730" t="str">
            <v>36719</v>
          </cell>
          <cell r="I2730" t="str">
            <v>https://www.smwcentral.net/?a=details&amp;id=36719&amp;p=section</v>
          </cell>
          <cell r="J2730" t="str">
            <v>https://dl.smwcentral.net/36719/Yoshisrescuerun1.2%20%282%29.zip</v>
          </cell>
        </row>
        <row r="2731">
          <cell r="A2731" t="str">
            <v>Yoshi's Revenge</v>
          </cell>
          <cell r="B2731" t="str">
            <v>Yoshi's Revenge</v>
          </cell>
          <cell r="C2731" t="str">
            <v>Oskise</v>
          </cell>
          <cell r="D2731">
            <v>46</v>
          </cell>
          <cell r="E2731" t="str">
            <v>Master</v>
          </cell>
          <cell r="F2731" t="str">
            <v>Kaizo</v>
          </cell>
          <cell r="G2731">
            <v>46198</v>
          </cell>
          <cell r="H2731" t="str">
            <v>42385</v>
          </cell>
          <cell r="I2731" t="str">
            <v>https://www.smwcentral.net/?a=details&amp;id=42385&amp;p=section</v>
          </cell>
          <cell r="J2731" t="str">
            <v>https://dl.smwcentral.net/42385/Yoshi%27s%20Revenge%201.1.1.zip</v>
          </cell>
        </row>
        <row r="2732">
          <cell r="A2732" t="str">
            <v>Yoshi's Strange Quest</v>
          </cell>
          <cell r="B2732" t="str">
            <v>Yoshi's Strange Quest</v>
          </cell>
          <cell r="C2732" t="str">
            <v>yoshifanatic</v>
          </cell>
          <cell r="D2732">
            <v>100</v>
          </cell>
          <cell r="E2732" t="str">
            <v>Master</v>
          </cell>
          <cell r="F2732" t="str">
            <v>Standard</v>
          </cell>
          <cell r="G2732">
            <v>42069</v>
          </cell>
          <cell r="H2732" t="str">
            <v>10302</v>
          </cell>
          <cell r="I2732" t="str">
            <v>https://www.smwcentral.net/?a=details&amp;id=10302&amp;p=section</v>
          </cell>
          <cell r="J2732" t="str">
            <v>https://dl.smwcentral.net/10302/YSQ%20V1.3.zip</v>
          </cell>
        </row>
        <row r="2733">
          <cell r="A2733" t="str">
            <v>Yoshi: Super Dinosaur</v>
          </cell>
          <cell r="B2733" t="str">
            <v>Yoshi: Super Dinosaur</v>
          </cell>
          <cell r="C2733" t="str">
            <v>Kyouken</v>
          </cell>
          <cell r="D2733">
            <v>5</v>
          </cell>
          <cell r="E2733" t="str">
            <v>Intermediate</v>
          </cell>
          <cell r="F2733" t="str">
            <v>Standard</v>
          </cell>
          <cell r="G2733">
            <v>42264</v>
          </cell>
          <cell r="H2733" t="str">
            <v>10029</v>
          </cell>
          <cell r="I2733" t="str">
            <v>https://www.smwcentral.net/?a=details&amp;id=10029&amp;p=section</v>
          </cell>
          <cell r="J2733" t="str">
            <v>https://dl.smwcentral.net/10029/Yoshi%20-%20Super%20Dinosaur.zip</v>
          </cell>
        </row>
        <row r="2734">
          <cell r="A2734" t="str">
            <v>Yoshiro</v>
          </cell>
          <cell r="B2734" t="str">
            <v>Yoshiro</v>
          </cell>
          <cell r="C2734" t="str">
            <v>Yoshiro</v>
          </cell>
          <cell r="D2734">
            <v>30</v>
          </cell>
          <cell r="E2734" t="str">
            <v>Casual</v>
          </cell>
          <cell r="F2734" t="str">
            <v>Standard</v>
          </cell>
          <cell r="G2734">
            <v>42268</v>
          </cell>
          <cell r="H2734" t="str">
            <v>10024</v>
          </cell>
          <cell r="I2734" t="str">
            <v>https://www.smwcentral.net/?a=details&amp;id=10024&amp;p=section</v>
          </cell>
          <cell r="J2734" t="str">
            <v>https://dl.smwcentral.net/10024/Yoshirofullversion1.1.zip</v>
          </cell>
        </row>
        <row r="2735">
          <cell r="A2735" t="str">
            <v>You Are Just A Blue Switch</v>
          </cell>
          <cell r="B2735" t="str">
            <v>You Are Just A Blue Switch</v>
          </cell>
          <cell r="C2735" t="str">
            <v>Daizo Dee Von</v>
          </cell>
          <cell r="D2735">
            <v>0</v>
          </cell>
          <cell r="E2735" t="str">
            <v>Intermediate</v>
          </cell>
          <cell r="F2735" t="str">
            <v>Standard</v>
          </cell>
          <cell r="G2735">
            <v>45853</v>
          </cell>
          <cell r="H2735" t="str">
            <v>40107</v>
          </cell>
          <cell r="I2735" t="str">
            <v>https://www.smwcentral.net/?a=details&amp;id=40107&amp;p=section</v>
          </cell>
          <cell r="J2735" t="str">
            <v>https://dl.smwcentral.net/40107/%5BHack%5D%20You%20Are%20Just%20A%20Blue%20Switch%20v1.03.zip</v>
          </cell>
        </row>
        <row r="2736">
          <cell r="A2736" t="str">
            <v>You Have No Life</v>
          </cell>
          <cell r="B2736" t="str">
            <v>You Have No Life</v>
          </cell>
          <cell r="C2736" t="str">
            <v>Anonymous</v>
          </cell>
          <cell r="D2736">
            <v>5</v>
          </cell>
          <cell r="E2736" t="str">
            <v>Expert</v>
          </cell>
          <cell r="F2736" t="str">
            <v>Kaizo</v>
          </cell>
          <cell r="G2736">
            <v>45768</v>
          </cell>
          <cell r="H2736" t="str">
            <v>39741</v>
          </cell>
          <cell r="I2736" t="str">
            <v>https://www.smwcentral.net/?a=details&amp;id=39741&amp;p=section</v>
          </cell>
          <cell r="J2736" t="str">
            <v>https://dl.smwcentral.net/39741/You%20Have%20No%20Life%20-%20SMW.zip</v>
          </cell>
        </row>
        <row r="2737">
          <cell r="A2737" t="str">
            <v>You Shell Not Pass</v>
          </cell>
          <cell r="B2737" t="str">
            <v>You Shell Not Pass</v>
          </cell>
          <cell r="C2737" t="str">
            <v>Firstnamebutt, Inflagrandy, robbstermusic</v>
          </cell>
          <cell r="D2737">
            <v>15</v>
          </cell>
          <cell r="E2737" t="str">
            <v>Expert</v>
          </cell>
          <cell r="F2737" t="str">
            <v>Kaizo</v>
          </cell>
          <cell r="G2737">
            <v>45534</v>
          </cell>
          <cell r="H2737" t="str">
            <v>38263</v>
          </cell>
          <cell r="I2737" t="str">
            <v>https://www.smwcentral.net/?a=details&amp;id=38263&amp;p=section</v>
          </cell>
          <cell r="J2737" t="str">
            <v>https://dl.smwcentral.net/38263/You%20Shell%20Not%20Pass%201.2.zip</v>
          </cell>
        </row>
        <row r="2738">
          <cell r="A2738" t="str">
            <v>Yuki Mario</v>
          </cell>
          <cell r="B2738" t="str">
            <v>Yuki Mario</v>
          </cell>
          <cell r="C2738" t="str">
            <v>Rouge</v>
          </cell>
          <cell r="D2738">
            <v>5</v>
          </cell>
          <cell r="E2738" t="str">
            <v>Casual</v>
          </cell>
          <cell r="F2738" t="str">
            <v>Standard</v>
          </cell>
          <cell r="G2738">
            <v>44920</v>
          </cell>
          <cell r="H2738" t="str">
            <v>32596</v>
          </cell>
          <cell r="I2738" t="str">
            <v>https://www.smwcentral.net/?a=details&amp;id=32596&amp;p=section</v>
          </cell>
          <cell r="J2738" t="str">
            <v>https://dl.smwcentral.net/32596/Yuki%20Mario%20World%201.zip</v>
          </cell>
        </row>
        <row r="2739">
          <cell r="A2739" t="str">
            <v>YUMP</v>
          </cell>
          <cell r="B2739" t="str">
            <v>YUMP</v>
          </cell>
          <cell r="C2739" t="str">
            <v>Christina Hendricks, JUMP Team, Lazy</v>
          </cell>
          <cell r="D2739">
            <v>120</v>
          </cell>
          <cell r="E2739" t="str">
            <v>Expert</v>
          </cell>
          <cell r="F2739" t="str">
            <v>Standard, Kaizo</v>
          </cell>
          <cell r="G2739">
            <v>42933</v>
          </cell>
          <cell r="H2739" t="str">
            <v>15892</v>
          </cell>
          <cell r="I2739" t="str">
            <v>https://www.smwcentral.net/?a=details&amp;id=15892&amp;p=section</v>
          </cell>
          <cell r="J2739" t="str">
            <v>https://dl.smwcentral.net/15892/yumpy%20boy.zip</v>
          </cell>
        </row>
        <row r="2740">
          <cell r="A2740" t="str">
            <v>YUMP 2</v>
          </cell>
          <cell r="B2740" t="str">
            <v>YUMP 2</v>
          </cell>
          <cell r="C2740" t="str">
            <v>JUMP Team, Lazy</v>
          </cell>
          <cell r="D2740">
            <v>104</v>
          </cell>
          <cell r="E2740" t="str">
            <v>Expert</v>
          </cell>
          <cell r="F2740" t="str">
            <v>Standard, Kaizo</v>
          </cell>
          <cell r="G2740">
            <v>44030</v>
          </cell>
          <cell r="H2740" t="str">
            <v>23778</v>
          </cell>
          <cell r="I2740" t="str">
            <v>https://www.smwcentral.net/?a=details&amp;id=23778&amp;p=section</v>
          </cell>
          <cell r="J2740" t="str">
            <v>https://dl.smwcentral.net/23778/YUMP%202.zip</v>
          </cell>
        </row>
        <row r="2741">
          <cell r="A2741" t="str">
            <v>Zap &amp; Lena Adventures</v>
          </cell>
          <cell r="B2741" t="str">
            <v>Zap &amp; Lena Adventures</v>
          </cell>
          <cell r="C2741" t="str">
            <v>LucasMegaStriker</v>
          </cell>
          <cell r="D2741">
            <v>19</v>
          </cell>
          <cell r="E2741" t="str">
            <v>Intermediate</v>
          </cell>
          <cell r="F2741" t="str">
            <v>Standard</v>
          </cell>
          <cell r="G2741">
            <v>43971</v>
          </cell>
          <cell r="H2741" t="str">
            <v>23031</v>
          </cell>
          <cell r="I2741" t="str">
            <v>https://www.smwcentral.net/?a=details&amp;id=23031&amp;p=section</v>
          </cell>
          <cell r="J2741" t="str">
            <v>https://dl.smwcentral.net/23031/ZapLenaAdventures.zip</v>
          </cell>
        </row>
        <row r="2742">
          <cell r="A2742" t="str">
            <v>Zap Lena World</v>
          </cell>
          <cell r="B2742" t="str">
            <v>Zap Lena World</v>
          </cell>
          <cell r="C2742" t="str">
            <v>SKAW Adri</v>
          </cell>
          <cell r="D2742">
            <v>13</v>
          </cell>
          <cell r="E2742" t="str">
            <v>Advanced</v>
          </cell>
          <cell r="F2742" t="str">
            <v>Kaizo</v>
          </cell>
          <cell r="G2742">
            <v>44084</v>
          </cell>
          <cell r="H2742" t="str">
            <v>24421</v>
          </cell>
          <cell r="I2742" t="str">
            <v>https://www.smwcentral.net/?a=details&amp;id=24421&amp;p=section</v>
          </cell>
          <cell r="J2742" t="str">
            <v>https://dl.smwcentral.net/24421/Zap%20Lena%20World%20v1.2.zip</v>
          </cell>
        </row>
        <row r="2743">
          <cell r="A2743" t="str">
            <v>Zeldara's Glitch City v147</v>
          </cell>
          <cell r="B2743" t="str">
            <v>Zeldara's Glitch City v147</v>
          </cell>
          <cell r="C2743" t="str">
            <v>Karisa</v>
          </cell>
          <cell r="D2743">
            <v>64</v>
          </cell>
          <cell r="E2743" t="str">
            <v>Casual</v>
          </cell>
          <cell r="F2743" t="str">
            <v>Standard</v>
          </cell>
          <cell r="G2743">
            <v>42939</v>
          </cell>
          <cell r="H2743" t="str">
            <v>15935</v>
          </cell>
          <cell r="I2743" t="str">
            <v>https://www.smwcentral.net/?a=details&amp;id=15935&amp;p=section</v>
          </cell>
          <cell r="J2743" t="str">
            <v>https://dl.smwcentral.net/15935/zgc147.zip</v>
          </cell>
        </row>
        <row r="2744">
          <cell r="A2744" t="str">
            <v>~ Sure Shot ~ featuring Sonic the Hedgehog DELUXE EDITION</v>
          </cell>
          <cell r="B2744" t="str">
            <v>~ Sure Shot ~ featuring Sonic the Hedgehog DELUXE EDITION</v>
          </cell>
          <cell r="C2744" t="str">
            <v>YMM, margot</v>
          </cell>
          <cell r="D2744">
            <v>11</v>
          </cell>
          <cell r="E2744" t="str">
            <v>Advanced</v>
          </cell>
          <cell r="F2744" t="str">
            <v>Kaizo</v>
          </cell>
          <cell r="G2744">
            <v>44886</v>
          </cell>
          <cell r="H2744" t="str">
            <v>32587</v>
          </cell>
          <cell r="I2744" t="str">
            <v>https://www.smwcentral.net/?a=details&amp;id=32587&amp;p=section</v>
          </cell>
          <cell r="J2744" t="str">
            <v>https://dl.smwcentral.net/32587/Sure%20Shot.zip</v>
          </cell>
        </row>
        <row r="2745">
          <cell r="A2745" t="str">
            <v>~omh~</v>
          </cell>
          <cell r="B2745" t="str">
            <v>~omh~</v>
          </cell>
          <cell r="C2745" t="str">
            <v>Daizo Dee Von, Squirrelyman157, Team JANK</v>
          </cell>
          <cell r="D2745">
            <v>100</v>
          </cell>
          <cell r="E2745" t="str">
            <v>Expert</v>
          </cell>
          <cell r="F2745" t="str">
            <v>Standard</v>
          </cell>
          <cell r="G2745">
            <v>45452</v>
          </cell>
          <cell r="H2745" t="str">
            <v>35050</v>
          </cell>
          <cell r="I2745" t="str">
            <v>https://www.smwcentral.net/?a=details&amp;id=35050&amp;p=section</v>
          </cell>
          <cell r="J2745" t="str">
            <v>https://dl.smwcentral.net/35050/~omh~%20-%20original%20mario%20hack.zip</v>
          </cell>
        </row>
        <row r="2746">
          <cell r="A2746" t="str">
            <v>⏱︎ Slow Motion Mario</v>
          </cell>
          <cell r="B2746" t="str">
            <v>⏱︎ Slow Motion Mario</v>
          </cell>
          <cell r="C2746" t="str">
            <v>TheSpreee333</v>
          </cell>
          <cell r="D2746">
            <v>4</v>
          </cell>
          <cell r="E2746" t="str">
            <v>Expert</v>
          </cell>
          <cell r="F2746" t="str">
            <v>Kaizo</v>
          </cell>
          <cell r="G2746">
            <v>45716</v>
          </cell>
          <cell r="H2746" t="str">
            <v>39168</v>
          </cell>
          <cell r="I2746" t="str">
            <v>https://www.smwcentral.net/?a=details&amp;id=39168&amp;p=section</v>
          </cell>
          <cell r="J2746" t="str">
            <v>https://dl.smwcentral.net/39168/%E2%8F%B1%EF%B8%8E%20Slow%20Motion%20Mario.zip</v>
          </cell>
        </row>
        <row r="2747">
          <cell r="A2747" t="str">
            <v>🐭 So 2 Mice Walk Into a Bar... 🐭</v>
          </cell>
          <cell r="B2747" t="str">
            <v>🐭 So 2 Mice Walk Into a Bar... 🐭</v>
          </cell>
          <cell r="C2747" t="str">
            <v>Christina Hendricks, S.N.N.</v>
          </cell>
          <cell r="D2747">
            <v>18</v>
          </cell>
          <cell r="E2747" t="str">
            <v>Intermediate</v>
          </cell>
          <cell r="F2747" t="str">
            <v>Standard</v>
          </cell>
          <cell r="G2747">
            <v>43846</v>
          </cell>
          <cell r="H2747" t="str">
            <v>21950</v>
          </cell>
          <cell r="I2747" t="str">
            <v>https://www.smwcentral.net/?a=details&amp;id=21950&amp;p=section</v>
          </cell>
          <cell r="J2747" t="str">
            <v>https://dl.smwcentral.net/21950/so_2_mice_walk_into_a_bar_v1.1.zip</v>
          </cell>
        </row>
        <row r="2748">
          <cell r="A2748" t="str">
            <v>🐸🥣</v>
          </cell>
          <cell r="B2748" t="str">
            <v>🐸🥣</v>
          </cell>
          <cell r="C2748" t="str">
            <v>Squirrelyman157</v>
          </cell>
          <cell r="D2748">
            <v>13</v>
          </cell>
          <cell r="E2748" t="str">
            <v>Expert</v>
          </cell>
          <cell r="F2748" t="str">
            <v>Kaizo</v>
          </cell>
          <cell r="G2748">
            <v>44938</v>
          </cell>
          <cell r="H2748" t="str">
            <v>32897</v>
          </cell>
          <cell r="I2748" t="str">
            <v>https://www.smwcentral.net/?a=details&amp;id=32897&amp;p=section</v>
          </cell>
          <cell r="J2748" t="str">
            <v>https://dl.smwcentral.net/32897/meep.zip</v>
          </cell>
        </row>
      </sheetData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827" Type="http://schemas.openxmlformats.org/officeDocument/2006/relationships/hyperlink" Target="https://www.smwcentral.net/?a=details&amp;id=26519&amp;p=section" TargetMode="External"/><Relationship Id="rId3182" Type="http://schemas.openxmlformats.org/officeDocument/2006/relationships/hyperlink" Target="https://dl.smwcentral.net/28702/Sleepy%20World%201.2.zip" TargetMode="External"/><Relationship Id="rId4233" Type="http://schemas.openxmlformats.org/officeDocument/2006/relationships/hyperlink" Target="https://www.smwcentral.net/?a=details&amp;id=9847&amp;p=section" TargetMode="External"/><Relationship Id="rId3999" Type="http://schemas.openxmlformats.org/officeDocument/2006/relationships/hyperlink" Target="https://www.smwcentral.net/?a=details&amp;id=10192&amp;p=section" TargetMode="External"/><Relationship Id="rId4300" Type="http://schemas.openxmlformats.org/officeDocument/2006/relationships/hyperlink" Target="https://dl.smwcentral.net/10017/Egg_Rescue_V1.2.zip" TargetMode="External"/><Relationship Id="rId170" Type="http://schemas.openxmlformats.org/officeDocument/2006/relationships/hyperlink" Target="https://dl.smwcentral.net/10089/A%20SMW%20HACK%20DEMO%20V1.2.zip" TargetMode="External"/><Relationship Id="rId5074" Type="http://schemas.openxmlformats.org/officeDocument/2006/relationships/hyperlink" Target="https://dl.smwcentral.net/35044/Thread%20the%20Needle%201.3.zip" TargetMode="External"/><Relationship Id="rId987" Type="http://schemas.openxmlformats.org/officeDocument/2006/relationships/hyperlink" Target="https://www.smwcentral.net/?a=details&amp;id=21512&amp;p=section" TargetMode="External"/><Relationship Id="rId2668" Type="http://schemas.openxmlformats.org/officeDocument/2006/relationships/hyperlink" Target="https://dl.smwcentral.net/34773/only%20up.zip" TargetMode="External"/><Relationship Id="rId3719" Type="http://schemas.openxmlformats.org/officeDocument/2006/relationships/hyperlink" Target="https://www.smwcentral.net/?a=details&amp;id=5248&amp;p=section" TargetMode="External"/><Relationship Id="rId4090" Type="http://schemas.openxmlformats.org/officeDocument/2006/relationships/hyperlink" Target="https://dl.smwcentral.net/29698/Super_Mario_World_Master_Quest_Reborn_2.3.zip" TargetMode="External"/><Relationship Id="rId1684" Type="http://schemas.openxmlformats.org/officeDocument/2006/relationships/hyperlink" Target="https://dl.smwcentral.net/31391/Hidden%20Thwimple%201.1.zip" TargetMode="External"/><Relationship Id="rId2735" Type="http://schemas.openxmlformats.org/officeDocument/2006/relationships/hyperlink" Target="https://www.smwcentral.net/?a=details&amp;id=9961&amp;p=section" TargetMode="External"/><Relationship Id="rId5141" Type="http://schemas.openxmlformats.org/officeDocument/2006/relationships/hyperlink" Target="https://www.smwcentral.net/?a=details&amp;id=18665&amp;p=section" TargetMode="External"/><Relationship Id="rId707" Type="http://schemas.openxmlformats.org/officeDocument/2006/relationships/hyperlink" Target="https://www.smwcentral.net/?a=details&amp;id=17620&amp;p=section" TargetMode="External"/><Relationship Id="rId1337" Type="http://schemas.openxmlformats.org/officeDocument/2006/relationships/hyperlink" Target="https://www.smwcentral.net/?a=details&amp;id=9965&amp;p=section" TargetMode="External"/><Relationship Id="rId1751" Type="http://schemas.openxmlformats.org/officeDocument/2006/relationships/hyperlink" Target="https://www.smwcentral.net/?a=details&amp;id=31167&amp;p=section" TargetMode="External"/><Relationship Id="rId2802" Type="http://schemas.openxmlformats.org/officeDocument/2006/relationships/hyperlink" Target="https://dl.smwcentral.net/39121/Poked.zip" TargetMode="External"/><Relationship Id="rId43" Type="http://schemas.openxmlformats.org/officeDocument/2006/relationships/hyperlink" Target="https://www.smwcentral.net/?a=details&amp;id=20319&amp;p=section" TargetMode="External"/><Relationship Id="rId1404" Type="http://schemas.openxmlformats.org/officeDocument/2006/relationships/hyperlink" Target="https://dl.smwcentral.net/35610/INFERNVM_v1.02.zip" TargetMode="External"/><Relationship Id="rId3576" Type="http://schemas.openxmlformats.org/officeDocument/2006/relationships/hyperlink" Target="https://dl.smwcentral.net/35698/Super%20Hark%20Bros%202.zip" TargetMode="External"/><Relationship Id="rId4627" Type="http://schemas.openxmlformats.org/officeDocument/2006/relationships/hyperlink" Target="https://www.smwcentral.net/?a=details&amp;id=28222&amp;p=section" TargetMode="External"/><Relationship Id="rId4974" Type="http://schemas.openxmlformats.org/officeDocument/2006/relationships/hyperlink" Target="https://dl.smwcentral.net/4983/TSRP1.zip" TargetMode="External"/><Relationship Id="rId497" Type="http://schemas.openxmlformats.org/officeDocument/2006/relationships/hyperlink" Target="https://www.smwcentral.net/?a=details&amp;id=5582&amp;p=section" TargetMode="External"/><Relationship Id="rId2178" Type="http://schemas.openxmlformats.org/officeDocument/2006/relationships/hyperlink" Target="https://dl.smwcentral.net/5435/MLT.zip" TargetMode="External"/><Relationship Id="rId3229" Type="http://schemas.openxmlformats.org/officeDocument/2006/relationships/hyperlink" Target="https://www.smwcentral.net/?a=details&amp;id=22627&amp;p=section" TargetMode="External"/><Relationship Id="rId3990" Type="http://schemas.openxmlformats.org/officeDocument/2006/relationships/hyperlink" Target="https://dl.smwcentral.net/16452/SMW%20-%20Bowser%27s%20Last%20Revenge%20DEMO%202.0.zip" TargetMode="External"/><Relationship Id="rId1194" Type="http://schemas.openxmlformats.org/officeDocument/2006/relationships/hyperlink" Target="https://dl.smwcentral.net/5981/GrandChaos%27%20Mario%20World%20%28v0.25%20Alpha%20-%20Demo%202%29.zip" TargetMode="External"/><Relationship Id="rId2592" Type="http://schemas.openxmlformats.org/officeDocument/2006/relationships/hyperlink" Target="https://dl.smwcentral.net/26287/NTC_2.0.zip" TargetMode="External"/><Relationship Id="rId3643" Type="http://schemas.openxmlformats.org/officeDocument/2006/relationships/hyperlink" Target="https://www.smwcentral.net/?a=details&amp;id=12923&amp;p=section" TargetMode="External"/><Relationship Id="rId217" Type="http://schemas.openxmlformats.org/officeDocument/2006/relationships/hyperlink" Target="https://www.smwcentral.net/?a=details&amp;id=41504&amp;p=section" TargetMode="External"/><Relationship Id="rId564" Type="http://schemas.openxmlformats.org/officeDocument/2006/relationships/hyperlink" Target="https://dl.smwcentral.net/31895/NSMW1%20%28Fixed%29.zip" TargetMode="External"/><Relationship Id="rId2245" Type="http://schemas.openxmlformats.org/officeDocument/2006/relationships/hyperlink" Target="https://www.smwcentral.net/?a=details&amp;id=12884&amp;p=section" TargetMode="External"/><Relationship Id="rId3710" Type="http://schemas.openxmlformats.org/officeDocument/2006/relationships/hyperlink" Target="https://dl.smwcentral.net/6068/Super%20Mario%202D%20Land%20fix%20Desember%202013.zip" TargetMode="External"/><Relationship Id="rId631" Type="http://schemas.openxmlformats.org/officeDocument/2006/relationships/hyperlink" Target="https://www.smwcentral.net/?a=details&amp;id=21933&amp;p=section" TargetMode="External"/><Relationship Id="rId1261" Type="http://schemas.openxmlformats.org/officeDocument/2006/relationships/hyperlink" Target="https://www.smwcentral.net/?a=details&amp;id=17741&amp;p=section" TargetMode="External"/><Relationship Id="rId2312" Type="http://schemas.openxmlformats.org/officeDocument/2006/relationships/hyperlink" Target="https://dl.smwcentral.net/40715/Masterpiece%20v1.2.8.zip" TargetMode="External"/><Relationship Id="rId5468" Type="http://schemas.openxmlformats.org/officeDocument/2006/relationships/hyperlink" Target="https://dl.smwcentral.net/40107/%5BHack%5D%20You%20Are%20Just%20A%20Blue%20Switch%20v1.03.zip" TargetMode="External"/><Relationship Id="rId4484" Type="http://schemas.openxmlformats.org/officeDocument/2006/relationships/hyperlink" Target="https://dl.smwcentral.net/29004/Sickos1.2.zip" TargetMode="External"/><Relationship Id="rId3086" Type="http://schemas.openxmlformats.org/officeDocument/2006/relationships/hyperlink" Target="https://dl.smwcentral.net/38108/Shell%20Reaper.zip" TargetMode="External"/><Relationship Id="rId4137" Type="http://schemas.openxmlformats.org/officeDocument/2006/relationships/hyperlink" Target="https://www.smwcentral.net/?a=details&amp;id=6437&amp;p=section" TargetMode="External"/><Relationship Id="rId4551" Type="http://schemas.openxmlformats.org/officeDocument/2006/relationships/hyperlink" Target="https://www.smwcentral.net/?a=details&amp;id=18297&amp;p=section" TargetMode="External"/><Relationship Id="rId3153" Type="http://schemas.openxmlformats.org/officeDocument/2006/relationships/hyperlink" Target="https://www.smwcentral.net/?a=details&amp;id=30144&amp;p=section" TargetMode="External"/><Relationship Id="rId4204" Type="http://schemas.openxmlformats.org/officeDocument/2006/relationships/hyperlink" Target="https://dl.smwcentral.net/33456/SMW%20The%20Lost%20Adventure%20Episode%20I%20REMASTERED.zip" TargetMode="External"/><Relationship Id="rId141" Type="http://schemas.openxmlformats.org/officeDocument/2006/relationships/hyperlink" Target="https://www.smwcentral.net/?a=details&amp;id=10051&amp;p=section" TargetMode="External"/><Relationship Id="rId3220" Type="http://schemas.openxmlformats.org/officeDocument/2006/relationships/hyperlink" Target="https://dl.smwcentral.net/28851/SMW%20Remade%20from%20Memory.zip" TargetMode="External"/><Relationship Id="rId7" Type="http://schemas.openxmlformats.org/officeDocument/2006/relationships/hyperlink" Target="https://www.smwcentral.net/?a=details&amp;id=41112&amp;p=section" TargetMode="External"/><Relationship Id="rId2986" Type="http://schemas.openxmlformats.org/officeDocument/2006/relationships/hyperlink" Target="https://dl.smwcentral.net/41533/Rooms%20for%20Kids.zip" TargetMode="External"/><Relationship Id="rId5392" Type="http://schemas.openxmlformats.org/officeDocument/2006/relationships/hyperlink" Target="https://dl.smwcentral.net/28807/Why%20Do%20Coins%20Float.zip" TargetMode="External"/><Relationship Id="rId958" Type="http://schemas.openxmlformats.org/officeDocument/2006/relationships/hyperlink" Target="https://dl.smwcentral.net/40018/Eh%20v1.2.zip" TargetMode="External"/><Relationship Id="rId1588" Type="http://schemas.openxmlformats.org/officeDocument/2006/relationships/hyperlink" Target="https://dl.smwcentral.net/5184/Kid%20Adventure%202%20%28English%29.zip" TargetMode="External"/><Relationship Id="rId2639" Type="http://schemas.openxmlformats.org/officeDocument/2006/relationships/hyperlink" Target="https://www.smwcentral.net/?a=details&amp;id=38848&amp;p=section" TargetMode="External"/><Relationship Id="rId5045" Type="http://schemas.openxmlformats.org/officeDocument/2006/relationships/hyperlink" Target="https://www.smwcentral.net/?a=details&amp;id=5344&amp;p=section" TargetMode="External"/><Relationship Id="rId1655" Type="http://schemas.openxmlformats.org/officeDocument/2006/relationships/hyperlink" Target="https://www.smwcentral.net/?a=details&amp;id=37629&amp;p=section" TargetMode="External"/><Relationship Id="rId2706" Type="http://schemas.openxmlformats.org/officeDocument/2006/relationships/hyperlink" Target="https://dl.smwcentral.net/39513/Pactos%20v1.0.zip" TargetMode="External"/><Relationship Id="rId4061" Type="http://schemas.openxmlformats.org/officeDocument/2006/relationships/hyperlink" Target="https://www.smwcentral.net/?a=details&amp;id=30718&amp;p=section" TargetMode="External"/><Relationship Id="rId5112" Type="http://schemas.openxmlformats.org/officeDocument/2006/relationships/hyperlink" Target="https://dl.smwcentral.net/38570/Toad%27s%20Cherry%20Tracker%20V1.3.zip" TargetMode="External"/><Relationship Id="rId1308" Type="http://schemas.openxmlformats.org/officeDocument/2006/relationships/hyperlink" Target="https://dl.smwcentral.net/24549/HellWizardry1.4.zip" TargetMode="External"/><Relationship Id="rId1722" Type="http://schemas.openxmlformats.org/officeDocument/2006/relationships/hyperlink" Target="https://dl.smwcentral.net/17903/Lord%20Pickle%20World%20v1.3.zip" TargetMode="External"/><Relationship Id="rId4878" Type="http://schemas.openxmlformats.org/officeDocument/2006/relationships/hyperlink" Target="https://dl.smwcentral.net/5965/TLC%20-%20Chapter%201%20Demo%203.zip" TargetMode="External"/><Relationship Id="rId14" Type="http://schemas.openxmlformats.org/officeDocument/2006/relationships/hyperlink" Target="https://dl.smwcentral.net/15342/1SquarePuzzle.zip" TargetMode="External"/><Relationship Id="rId3894" Type="http://schemas.openxmlformats.org/officeDocument/2006/relationships/hyperlink" Target="https://dl.smwcentral.net/8983/Super%20Mario%20Justice%20-%20Demo%20I.zip" TargetMode="External"/><Relationship Id="rId4945" Type="http://schemas.openxmlformats.org/officeDocument/2006/relationships/hyperlink" Target="https://www.smwcentral.net/?a=details&amp;id=10093&amp;p=section" TargetMode="External"/><Relationship Id="rId2496" Type="http://schemas.openxmlformats.org/officeDocument/2006/relationships/hyperlink" Target="https://dl.smwcentral.net/33777/NEW%20Nightmare%20cafe%204%20V1.0.zip" TargetMode="External"/><Relationship Id="rId3547" Type="http://schemas.openxmlformats.org/officeDocument/2006/relationships/hyperlink" Target="https://www.smwcentral.net/?a=details&amp;id=38458&amp;p=section" TargetMode="External"/><Relationship Id="rId3961" Type="http://schemas.openxmlformats.org/officeDocument/2006/relationships/hyperlink" Target="https://www.smwcentral.net/?a=details&amp;id=30265&amp;p=section" TargetMode="External"/><Relationship Id="rId468" Type="http://schemas.openxmlformats.org/officeDocument/2006/relationships/hyperlink" Target="https://dl.smwcentral.net/14376/Bomberman_X%20final%20patch.zip" TargetMode="External"/><Relationship Id="rId882" Type="http://schemas.openxmlformats.org/officeDocument/2006/relationships/hyperlink" Target="https://dl.smwcentral.net/26179/DontPanic.zip" TargetMode="External"/><Relationship Id="rId1098" Type="http://schemas.openxmlformats.org/officeDocument/2006/relationships/hyperlink" Target="https://dl.smwcentral.net/41980/Freak%20City.zip" TargetMode="External"/><Relationship Id="rId2149" Type="http://schemas.openxmlformats.org/officeDocument/2006/relationships/hyperlink" Target="https://www.smwcentral.net/?a=details&amp;id=33315&amp;p=section" TargetMode="External"/><Relationship Id="rId2563" Type="http://schemas.openxmlformats.org/officeDocument/2006/relationships/hyperlink" Target="https://www.smwcentral.net/?a=details&amp;id=27732&amp;p=section" TargetMode="External"/><Relationship Id="rId3614" Type="http://schemas.openxmlformats.org/officeDocument/2006/relationships/hyperlink" Target="https://dl.smwcentral.net/39039/SKN.zip" TargetMode="External"/><Relationship Id="rId535" Type="http://schemas.openxmlformats.org/officeDocument/2006/relationships/hyperlink" Target="https://www.smwcentral.net/?a=details&amp;id=35504&amp;p=section" TargetMode="External"/><Relationship Id="rId1165" Type="http://schemas.openxmlformats.org/officeDocument/2006/relationships/hyperlink" Target="https://www.smwcentral.net/?a=details&amp;id=26791&amp;p=section" TargetMode="External"/><Relationship Id="rId2216" Type="http://schemas.openxmlformats.org/officeDocument/2006/relationships/hyperlink" Target="https://dl.smwcentral.net/12947/Mario%27s%20Quest-%20The%20Legend%20of%20Darmi.zip" TargetMode="External"/><Relationship Id="rId2630" Type="http://schemas.openxmlformats.org/officeDocument/2006/relationships/hyperlink" Target="https://dl.smwcentral.net/29614/Obscure.zip" TargetMode="External"/><Relationship Id="rId602" Type="http://schemas.openxmlformats.org/officeDocument/2006/relationships/hyperlink" Target="https://dl.smwcentral.net/33805/Capirotada%20Land%202.zip" TargetMode="External"/><Relationship Id="rId1232" Type="http://schemas.openxmlformats.org/officeDocument/2006/relationships/hyperlink" Target="https://dl.smwcentral.net/25268/Hack%201%202.zip" TargetMode="External"/><Relationship Id="rId4388" Type="http://schemas.openxmlformats.org/officeDocument/2006/relationships/hyperlink" Target="https://dl.smwcentral.net/30237/Super%20Odd%20World.zip" TargetMode="External"/><Relationship Id="rId5439" Type="http://schemas.openxmlformats.org/officeDocument/2006/relationships/hyperlink" Target="https://www.smwcentral.net/?a=details&amp;id=42427&amp;p=section" TargetMode="External"/><Relationship Id="rId3057" Type="http://schemas.openxmlformats.org/officeDocument/2006/relationships/hyperlink" Target="https://www.smwcentral.net/?a=details&amp;id=38878&amp;p=section" TargetMode="External"/><Relationship Id="rId4108" Type="http://schemas.openxmlformats.org/officeDocument/2006/relationships/hyperlink" Target="https://dl.smwcentral.net/18631/SMWTPV.zip" TargetMode="External"/><Relationship Id="rId4455" Type="http://schemas.openxmlformats.org/officeDocument/2006/relationships/hyperlink" Target="https://www.smwcentral.net/?a=details&amp;id=18268&amp;p=section" TargetMode="External"/><Relationship Id="rId3471" Type="http://schemas.openxmlformats.org/officeDocument/2006/relationships/hyperlink" Target="https://www.smwcentral.net/?a=details&amp;id=39936&amp;p=section" TargetMode="External"/><Relationship Id="rId4522" Type="http://schemas.openxmlformats.org/officeDocument/2006/relationships/hyperlink" Target="https://dl.smwcentral.net/38881/SuperTanoshiiWorldV2.zip" TargetMode="External"/><Relationship Id="rId392" Type="http://schemas.openxmlformats.org/officeDocument/2006/relationships/hyperlink" Target="https://dl.smwcentral.net/34021/baron.zip" TargetMode="External"/><Relationship Id="rId2073" Type="http://schemas.openxmlformats.org/officeDocument/2006/relationships/hyperlink" Target="https://www.smwcentral.net/?a=details&amp;id=23422&amp;p=section" TargetMode="External"/><Relationship Id="rId3124" Type="http://schemas.openxmlformats.org/officeDocument/2006/relationships/hyperlink" Target="https://dl.smwcentral.net/5997/Shipwrecked_V1.21.zip" TargetMode="External"/><Relationship Id="rId2140" Type="http://schemas.openxmlformats.org/officeDocument/2006/relationships/hyperlink" Target="https://dl.smwcentral.net/39635/MariosDyingSimulator.zip" TargetMode="External"/><Relationship Id="rId5296" Type="http://schemas.openxmlformats.org/officeDocument/2006/relationships/hyperlink" Target="https://dl.smwcentral.net/21080/Very%20Fun%20World.zip" TargetMode="External"/><Relationship Id="rId112" Type="http://schemas.openxmlformats.org/officeDocument/2006/relationships/hyperlink" Target="https://dl.smwcentral.net/10928/a%20hack%20thing%202.zip" TargetMode="External"/><Relationship Id="rId5363" Type="http://schemas.openxmlformats.org/officeDocument/2006/relationships/hyperlink" Target="https://www.smwcentral.net/?a=details&amp;id=37880&amp;p=section" TargetMode="External"/><Relationship Id="rId2957" Type="http://schemas.openxmlformats.org/officeDocument/2006/relationships/hyperlink" Target="https://www.smwcentral.net/?a=details&amp;id=22513&amp;p=section" TargetMode="External"/><Relationship Id="rId5016" Type="http://schemas.openxmlformats.org/officeDocument/2006/relationships/hyperlink" Target="https://dl.smwcentral.net/10136/tTiI-demo2.zip" TargetMode="External"/><Relationship Id="rId929" Type="http://schemas.openxmlformats.org/officeDocument/2006/relationships/hyperlink" Target="https://www.smwcentral.net/?a=details&amp;id=40965&amp;p=section" TargetMode="External"/><Relationship Id="rId1559" Type="http://schemas.openxmlformats.org/officeDocument/2006/relationships/hyperlink" Target="https://www.smwcentral.net/?a=details&amp;id=12161&amp;p=section" TargetMode="External"/><Relationship Id="rId1973" Type="http://schemas.openxmlformats.org/officeDocument/2006/relationships/hyperlink" Target="https://www.smwcentral.net/?a=details&amp;id=14422&amp;p=section" TargetMode="External"/><Relationship Id="rId4032" Type="http://schemas.openxmlformats.org/officeDocument/2006/relationships/hyperlink" Target="https://dl.smwcentral.net/39482/Super%20Mario%20World%202025.zip" TargetMode="External"/><Relationship Id="rId5430" Type="http://schemas.openxmlformats.org/officeDocument/2006/relationships/hyperlink" Target="https://dl.smwcentral.net/26899/Yank%202.zip" TargetMode="External"/><Relationship Id="rId1626" Type="http://schemas.openxmlformats.org/officeDocument/2006/relationships/hyperlink" Target="https://dl.smwcentral.net/10066/Kris%27%20Adventure.zip" TargetMode="External"/><Relationship Id="rId3798" Type="http://schemas.openxmlformats.org/officeDocument/2006/relationships/hyperlink" Target="https://dl.smwcentral.net/29052/JAM_ALERT.zip" TargetMode="External"/><Relationship Id="rId4849" Type="http://schemas.openxmlformats.org/officeDocument/2006/relationships/hyperlink" Target="https://www.smwcentral.net/?a=details&amp;id=19664&amp;p=section" TargetMode="External"/><Relationship Id="rId3865" Type="http://schemas.openxmlformats.org/officeDocument/2006/relationships/hyperlink" Target="https://www.smwcentral.net/?a=details&amp;id=28153&amp;p=section" TargetMode="External"/><Relationship Id="rId4916" Type="http://schemas.openxmlformats.org/officeDocument/2006/relationships/hyperlink" Target="https://dl.smwcentral.net/30029/TheMushroomManifold.zip" TargetMode="External"/><Relationship Id="rId786" Type="http://schemas.openxmlformats.org/officeDocument/2006/relationships/hyperlink" Target="https://dl.smwcentral.net/30915/CuterKaizo.zip" TargetMode="External"/><Relationship Id="rId2467" Type="http://schemas.openxmlformats.org/officeDocument/2006/relationships/hyperlink" Target="https://www.smwcentral.net/?a=details&amp;id=31683&amp;p=section" TargetMode="External"/><Relationship Id="rId3518" Type="http://schemas.openxmlformats.org/officeDocument/2006/relationships/hyperlink" Target="https://dl.smwcentral.net/23960/Super%20Enan%20World%20-%20Demo%203.2.4.zip" TargetMode="External"/><Relationship Id="rId439" Type="http://schemas.openxmlformats.org/officeDocument/2006/relationships/hyperlink" Target="https://www.smwcentral.net/?a=details&amp;id=42683&amp;p=section" TargetMode="External"/><Relationship Id="rId1069" Type="http://schemas.openxmlformats.org/officeDocument/2006/relationships/hyperlink" Target="https://www.smwcentral.net/?a=details&amp;id=28341&amp;p=section" TargetMode="External"/><Relationship Id="rId1483" Type="http://schemas.openxmlformats.org/officeDocument/2006/relationships/hyperlink" Target="https://www.smwcentral.net/?a=details&amp;id=42470&amp;p=section" TargetMode="External"/><Relationship Id="rId2881" Type="http://schemas.openxmlformats.org/officeDocument/2006/relationships/hyperlink" Target="https://www.smwcentral.net/?a=details&amp;id=19279&amp;p=section" TargetMode="External"/><Relationship Id="rId3932" Type="http://schemas.openxmlformats.org/officeDocument/2006/relationships/hyperlink" Target="https://dl.smwcentral.net/5175/Super%20Mario%20Place.zip" TargetMode="External"/><Relationship Id="rId506" Type="http://schemas.openxmlformats.org/officeDocument/2006/relationships/hyperlink" Target="https://dl.smwcentral.net/13982/Bowser%27s%20Castle.zip" TargetMode="External"/><Relationship Id="rId853" Type="http://schemas.openxmlformats.org/officeDocument/2006/relationships/hyperlink" Target="https://www.smwcentral.net/?a=details&amp;id=40873&amp;p=section" TargetMode="External"/><Relationship Id="rId1136" Type="http://schemas.openxmlformats.org/officeDocument/2006/relationships/hyperlink" Target="https://dl.smwcentral.net/37652/Gambol_2_v1.1.zip" TargetMode="External"/><Relationship Id="rId2534" Type="http://schemas.openxmlformats.org/officeDocument/2006/relationships/hyperlink" Target="https://dl.smwcentral.net/13845/NSMLR%20demo.zip" TargetMode="External"/><Relationship Id="rId920" Type="http://schemas.openxmlformats.org/officeDocument/2006/relationships/hyperlink" Target="https://dl.smwcentral.net/9978/DriveTheDesertBus.zip" TargetMode="External"/><Relationship Id="rId1550" Type="http://schemas.openxmlformats.org/officeDocument/2006/relationships/hyperlink" Target="https://dl.smwcentral.net/16058/Kaizo%20Mario%20World%202.zip" TargetMode="External"/><Relationship Id="rId2601" Type="http://schemas.openxmlformats.org/officeDocument/2006/relationships/hyperlink" Target="https://www.smwcentral.net/?a=details&amp;id=37560&amp;p=section" TargetMode="External"/><Relationship Id="rId1203" Type="http://schemas.openxmlformats.org/officeDocument/2006/relationships/hyperlink" Target="https://www.smwcentral.net/?a=details&amp;id=24481&amp;p=section" TargetMode="External"/><Relationship Id="rId4359" Type="http://schemas.openxmlformats.org/officeDocument/2006/relationships/hyperlink" Target="https://www.smwcentral.net/?a=details&amp;id=38086&amp;p=section" TargetMode="External"/><Relationship Id="rId4773" Type="http://schemas.openxmlformats.org/officeDocument/2006/relationships/hyperlink" Target="https://www.smwcentral.net/?a=details&amp;id=39986&amp;p=section" TargetMode="External"/><Relationship Id="rId3375" Type="http://schemas.openxmlformats.org/officeDocument/2006/relationships/hyperlink" Target="https://www.smwcentral.net/?a=details&amp;id=12718&amp;p=section" TargetMode="External"/><Relationship Id="rId4426" Type="http://schemas.openxmlformats.org/officeDocument/2006/relationships/hyperlink" Target="https://dl.smwcentral.net/9780/Super%20Plumber%20Mario%20World%201%20%28Demo%201%29.zip" TargetMode="External"/><Relationship Id="rId4840" Type="http://schemas.openxmlformats.org/officeDocument/2006/relationships/hyperlink" Target="https://dl.smwcentral.net/14592/The%20Haunted%20Desert%20REMASTERED.zip" TargetMode="External"/><Relationship Id="rId296" Type="http://schemas.openxmlformats.org/officeDocument/2006/relationships/hyperlink" Target="https://dl.smwcentral.net/10160/marventurev131.zip" TargetMode="External"/><Relationship Id="rId2391" Type="http://schemas.openxmlformats.org/officeDocument/2006/relationships/hyperlink" Target="https://www.smwcentral.net/?a=details&amp;id=18890&amp;p=section" TargetMode="External"/><Relationship Id="rId3028" Type="http://schemas.openxmlformats.org/officeDocument/2006/relationships/hyperlink" Target="https://dl.smwcentral.net/39701/Saphros_Blindrace_2.zip" TargetMode="External"/><Relationship Id="rId3442" Type="http://schemas.openxmlformats.org/officeDocument/2006/relationships/hyperlink" Target="https://dl.smwcentral.net/17898/butt2.zip" TargetMode="External"/><Relationship Id="rId363" Type="http://schemas.openxmlformats.org/officeDocument/2006/relationships/hyperlink" Target="https://www.smwcentral.net/?a=details&amp;id=19145&amp;p=section" TargetMode="External"/><Relationship Id="rId2044" Type="http://schemas.openxmlformats.org/officeDocument/2006/relationships/hyperlink" Target="https://dl.smwcentral.net/32809/Mario%20Rescues%20Santa%20Claus%20%28V1.0.2%29.zip" TargetMode="External"/><Relationship Id="rId430" Type="http://schemas.openxmlformats.org/officeDocument/2006/relationships/hyperlink" Target="https://dl.smwcentral.net/35070/Binary.zip" TargetMode="External"/><Relationship Id="rId1060" Type="http://schemas.openxmlformats.org/officeDocument/2006/relationships/hyperlink" Target="https://dl.smwcentral.net/9807/FF-SMW.zip" TargetMode="External"/><Relationship Id="rId2111" Type="http://schemas.openxmlformats.org/officeDocument/2006/relationships/hyperlink" Target="https://www.smwcentral.net/?a=details&amp;id=9785&amp;p=section" TargetMode="External"/><Relationship Id="rId5267" Type="http://schemas.openxmlformats.org/officeDocument/2006/relationships/hyperlink" Target="https://www.smwcentral.net/?a=details&amp;id=33795&amp;p=section" TargetMode="External"/><Relationship Id="rId1877" Type="http://schemas.openxmlformats.org/officeDocument/2006/relationships/hyperlink" Target="https://www.smwcentral.net/?a=details&amp;id=9913&amp;p=section" TargetMode="External"/><Relationship Id="rId2928" Type="http://schemas.openxmlformats.org/officeDocument/2006/relationships/hyperlink" Target="https://dl.smwcentral.net/11902/rescue.v1.0.zip" TargetMode="External"/><Relationship Id="rId4283" Type="http://schemas.openxmlformats.org/officeDocument/2006/relationships/hyperlink" Target="https://www.smwcentral.net/?a=details&amp;id=10149&amp;p=section" TargetMode="External"/><Relationship Id="rId5334" Type="http://schemas.openxmlformats.org/officeDocument/2006/relationships/hyperlink" Target="https://dl.smwcentral.net/9751/WQtBK-Demo1.zip" TargetMode="External"/><Relationship Id="rId1944" Type="http://schemas.openxmlformats.org/officeDocument/2006/relationships/hyperlink" Target="https://dl.smwcentral.net/39995/mario%20goes%20to%20the%20store.zip" TargetMode="External"/><Relationship Id="rId4350" Type="http://schemas.openxmlformats.org/officeDocument/2006/relationships/hyperlink" Target="https://dl.smwcentral.net/25559/Super%20N450%20World%20Demo%201.1.zip" TargetMode="External"/><Relationship Id="rId5401" Type="http://schemas.openxmlformats.org/officeDocument/2006/relationships/hyperlink" Target="https://www.smwcentral.net/?a=details&amp;id=28323&amp;p=section" TargetMode="External"/><Relationship Id="rId4003" Type="http://schemas.openxmlformats.org/officeDocument/2006/relationships/hyperlink" Target="https://www.smwcentral.net/?a=details&amp;id=9787&amp;p=section" TargetMode="External"/><Relationship Id="rId3769" Type="http://schemas.openxmlformats.org/officeDocument/2006/relationships/hyperlink" Target="https://www.smwcentral.net/?a=details&amp;id=9762&amp;p=section" TargetMode="External"/><Relationship Id="rId5191" Type="http://schemas.openxmlformats.org/officeDocument/2006/relationships/hyperlink" Target="https://www.smwcentral.net/?a=details&amp;id=5609&amp;p=section" TargetMode="External"/><Relationship Id="rId2785" Type="http://schemas.openxmlformats.org/officeDocument/2006/relationships/hyperlink" Target="https://www.smwcentral.net/?a=details&amp;id=32693&amp;p=section" TargetMode="External"/><Relationship Id="rId3836" Type="http://schemas.openxmlformats.org/officeDocument/2006/relationships/hyperlink" Target="https://dl.smwcentral.net/9888/Super%20Mario%20Del%20Lago.zip" TargetMode="External"/><Relationship Id="rId757" Type="http://schemas.openxmlformats.org/officeDocument/2006/relationships/hyperlink" Target="https://www.smwcentral.net/?a=details&amp;id=42500&amp;p=section" TargetMode="External"/><Relationship Id="rId1387" Type="http://schemas.openxmlformats.org/officeDocument/2006/relationships/hyperlink" Target="https://www.smwcentral.net/?a=details&amp;id=39816&amp;p=section" TargetMode="External"/><Relationship Id="rId2438" Type="http://schemas.openxmlformats.org/officeDocument/2006/relationships/hyperlink" Target="https://dl.smwcentral.net/14080/My%20little%20Puzzles%202%20-%20The%20Continents%20of%20Knowledge.zip" TargetMode="External"/><Relationship Id="rId2852" Type="http://schemas.openxmlformats.org/officeDocument/2006/relationships/hyperlink" Target="https://dl.smwcentral.net/28223/Teyla%20-%20Project%20Underscore.zip" TargetMode="External"/><Relationship Id="rId3903" Type="http://schemas.openxmlformats.org/officeDocument/2006/relationships/hyperlink" Target="https://www.smwcentral.net/?a=details&amp;id=38127&amp;p=section" TargetMode="External"/><Relationship Id="rId93" Type="http://schemas.openxmlformats.org/officeDocument/2006/relationships/hyperlink" Target="https://www.smwcentral.net/?a=details&amp;id=35663&amp;p=section" TargetMode="External"/><Relationship Id="rId824" Type="http://schemas.openxmlformats.org/officeDocument/2006/relationships/hyperlink" Target="https://dl.smwcentral.net/11304/deadman_mario.zip" TargetMode="External"/><Relationship Id="rId1454" Type="http://schemas.openxmlformats.org/officeDocument/2006/relationships/hyperlink" Target="https://dl.smwcentral.net/20730/Jigoku%20Mario%20World%20Remastered.zip" TargetMode="External"/><Relationship Id="rId2505" Type="http://schemas.openxmlformats.org/officeDocument/2006/relationships/hyperlink" Target="https://www.smwcentral.net/?a=details&amp;id=19180&amp;p=section" TargetMode="External"/><Relationship Id="rId1107" Type="http://schemas.openxmlformats.org/officeDocument/2006/relationships/hyperlink" Target="https://www.smwcentral.net/?a=details&amp;id=37897&amp;p=section" TargetMode="External"/><Relationship Id="rId1521" Type="http://schemas.openxmlformats.org/officeDocument/2006/relationships/hyperlink" Target="https://www.smwcentral.net/?a=details&amp;id=38232&amp;p=section" TargetMode="External"/><Relationship Id="rId4677" Type="http://schemas.openxmlformats.org/officeDocument/2006/relationships/hyperlink" Target="https://www.smwcentral.net/?a=details&amp;id=12810&amp;p=section" TargetMode="External"/><Relationship Id="rId3279" Type="http://schemas.openxmlformats.org/officeDocument/2006/relationships/hyperlink" Target="https://www.smwcentral.net/?a=details&amp;id=23383&amp;p=section" TargetMode="External"/><Relationship Id="rId3693" Type="http://schemas.openxmlformats.org/officeDocument/2006/relationships/hyperlink" Target="https://www.smwcentral.net/?a=details&amp;id=16893&amp;p=section" TargetMode="External"/><Relationship Id="rId2295" Type="http://schemas.openxmlformats.org/officeDocument/2006/relationships/hyperlink" Target="https://www.smwcentral.net/?a=details&amp;id=10183&amp;p=section" TargetMode="External"/><Relationship Id="rId3346" Type="http://schemas.openxmlformats.org/officeDocument/2006/relationships/hyperlink" Target="https://dl.smwcentral.net/28370/Staccato.zip" TargetMode="External"/><Relationship Id="rId4744" Type="http://schemas.openxmlformats.org/officeDocument/2006/relationships/hyperlink" Target="https://dl.smwcentral.net/6331/TheCoinHunt2.zip" TargetMode="External"/><Relationship Id="rId267" Type="http://schemas.openxmlformats.org/officeDocument/2006/relationships/hyperlink" Target="https://www.smwcentral.net/?a=details&amp;id=34112&amp;p=section" TargetMode="External"/><Relationship Id="rId3760" Type="http://schemas.openxmlformats.org/officeDocument/2006/relationships/hyperlink" Target="https://dl.smwcentral.net/17554/Super%20Mario%20Bros%202%20Mega%20Mario%20X%20version%201.2.zip" TargetMode="External"/><Relationship Id="rId4811" Type="http://schemas.openxmlformats.org/officeDocument/2006/relationships/hyperlink" Target="https://www.smwcentral.net/?a=details&amp;id=13430&amp;p=section" TargetMode="External"/><Relationship Id="rId681" Type="http://schemas.openxmlformats.org/officeDocument/2006/relationships/hyperlink" Target="https://www.smwcentral.net/?a=details&amp;id=38345&amp;p=section" TargetMode="External"/><Relationship Id="rId2362" Type="http://schemas.openxmlformats.org/officeDocument/2006/relationships/hyperlink" Target="https://dl.smwcentral.net/25100/Minerva1.5.zip" TargetMode="External"/><Relationship Id="rId3413" Type="http://schemas.openxmlformats.org/officeDocument/2006/relationships/hyperlink" Target="https://www.smwcentral.net/?a=details&amp;id=9945&amp;p=section" TargetMode="External"/><Relationship Id="rId334" Type="http://schemas.openxmlformats.org/officeDocument/2006/relationships/hyperlink" Target="https://dl.smwcentral.net/42100/Arcyria%201.1.zip" TargetMode="External"/><Relationship Id="rId2015" Type="http://schemas.openxmlformats.org/officeDocument/2006/relationships/hyperlink" Target="https://www.smwcentral.net/?a=details&amp;id=27426&amp;p=section" TargetMode="External"/><Relationship Id="rId401" Type="http://schemas.openxmlformats.org/officeDocument/2006/relationships/hyperlink" Target="https://www.smwcentral.net/?a=details&amp;id=29528&amp;p=section" TargetMode="External"/><Relationship Id="rId1031" Type="http://schemas.openxmlformats.org/officeDocument/2006/relationships/hyperlink" Target="https://www.smwcentral.net/?a=details&amp;id=17732&amp;p=section" TargetMode="External"/><Relationship Id="rId4187" Type="http://schemas.openxmlformats.org/officeDocument/2006/relationships/hyperlink" Target="https://www.smwcentral.net/?a=details&amp;id=23028&amp;p=section" TargetMode="External"/><Relationship Id="rId5238" Type="http://schemas.openxmlformats.org/officeDocument/2006/relationships/hyperlink" Target="https://dl.smwcentral.net/27338/Unintended_Behavior_2.zip" TargetMode="External"/><Relationship Id="rId4254" Type="http://schemas.openxmlformats.org/officeDocument/2006/relationships/hyperlink" Target="https://dl.smwcentral.net/23762/Super_Marios_Legend_Quest_FIXED.zip" TargetMode="External"/><Relationship Id="rId5305" Type="http://schemas.openxmlformats.org/officeDocument/2006/relationships/hyperlink" Target="https://www.smwcentral.net/?a=details&amp;id=9821&amp;p=section" TargetMode="External"/><Relationship Id="rId1848" Type="http://schemas.openxmlformats.org/officeDocument/2006/relationships/hyperlink" Target="https://dl.smwcentral.net/15940/KKQFixedIntros.zip" TargetMode="External"/><Relationship Id="rId3270" Type="http://schemas.openxmlformats.org/officeDocument/2006/relationships/hyperlink" Target="https://dl.smwcentral.net/39103/SMW%20Yoshis%20Super%20Adventure%20v1.0.1.zip" TargetMode="External"/><Relationship Id="rId4321" Type="http://schemas.openxmlformats.org/officeDocument/2006/relationships/hyperlink" Target="https://www.smwcentral.net/?a=details&amp;id=38515&amp;p=section" TargetMode="External"/><Relationship Id="rId191" Type="http://schemas.openxmlformats.org/officeDocument/2006/relationships/hyperlink" Target="https://www.smwcentral.net/?a=details&amp;id=39767&amp;p=section" TargetMode="External"/><Relationship Id="rId1915" Type="http://schemas.openxmlformats.org/officeDocument/2006/relationships/hyperlink" Target="https://www.smwcentral.net/?a=details&amp;id=10122&amp;p=section" TargetMode="External"/><Relationship Id="rId5095" Type="http://schemas.openxmlformats.org/officeDocument/2006/relationships/hyperlink" Target="https://www.smwcentral.net/?a=details&amp;id=37767&amp;p=section" TargetMode="External"/><Relationship Id="rId2689" Type="http://schemas.openxmlformats.org/officeDocument/2006/relationships/hyperlink" Target="https://www.smwcentral.net/?a=details&amp;id=10283&amp;p=section" TargetMode="External"/><Relationship Id="rId2756" Type="http://schemas.openxmlformats.org/officeDocument/2006/relationships/hyperlink" Target="https://dl.smwcentral.net/15521/Pin%27s%20Grand%20Adventure.zip" TargetMode="External"/><Relationship Id="rId3807" Type="http://schemas.openxmlformats.org/officeDocument/2006/relationships/hyperlink" Target="https://www.smwcentral.net/?a=details&amp;id=10095&amp;p=section" TargetMode="External"/><Relationship Id="rId5162" Type="http://schemas.openxmlformats.org/officeDocument/2006/relationships/hyperlink" Target="https://dl.smwcentral.net/27801/Tower%20of%20Shells%20DELUXE.zip" TargetMode="External"/><Relationship Id="rId728" Type="http://schemas.openxmlformats.org/officeDocument/2006/relationships/hyperlink" Target="https://dl.smwcentral.net/11776/Colossus%20final%203.zip" TargetMode="External"/><Relationship Id="rId1358" Type="http://schemas.openxmlformats.org/officeDocument/2006/relationships/hyperlink" Target="https://dl.smwcentral.net/13943/I%20HATE%20YOU.zip" TargetMode="External"/><Relationship Id="rId1772" Type="http://schemas.openxmlformats.org/officeDocument/2006/relationships/hyperlink" Target="https://dl.smwcentral.net/27196/Luigi%27s%20Adventure%20OSE%20-%20The%20Lost%20Levels%20-%20Fixed.zip" TargetMode="External"/><Relationship Id="rId2409" Type="http://schemas.openxmlformats.org/officeDocument/2006/relationships/hyperlink" Target="https://www.smwcentral.net/?a=details&amp;id=21516&amp;p=section" TargetMode="External"/><Relationship Id="rId64" Type="http://schemas.openxmlformats.org/officeDocument/2006/relationships/hyperlink" Target="https://dl.smwcentral.net/32431/4th%20Chamber.zip" TargetMode="External"/><Relationship Id="rId1425" Type="http://schemas.openxmlformats.org/officeDocument/2006/relationships/hyperlink" Target="https://www.smwcentral.net/?a=details&amp;id=42315&amp;p=section" TargetMode="External"/><Relationship Id="rId2823" Type="http://schemas.openxmlformats.org/officeDocument/2006/relationships/hyperlink" Target="https://www.smwcentral.net/?a=details&amp;id=37624&amp;p=section" TargetMode="External"/><Relationship Id="rId4995" Type="http://schemas.openxmlformats.org/officeDocument/2006/relationships/hyperlink" Target="https://www.smwcentral.net/?a=details&amp;id=38660&amp;p=section" TargetMode="External"/><Relationship Id="rId2199" Type="http://schemas.openxmlformats.org/officeDocument/2006/relationships/hyperlink" Target="https://www.smwcentral.net/?a=details&amp;id=26149&amp;p=section" TargetMode="External"/><Relationship Id="rId3597" Type="http://schemas.openxmlformats.org/officeDocument/2006/relationships/hyperlink" Target="https://www.smwcentral.net/?a=details&amp;id=28880&amp;p=section" TargetMode="External"/><Relationship Id="rId4648" Type="http://schemas.openxmlformats.org/officeDocument/2006/relationships/hyperlink" Target="https://dl.smwcentral.net/35502/Teamwork%20Mario.zip" TargetMode="External"/><Relationship Id="rId3664" Type="http://schemas.openxmlformats.org/officeDocument/2006/relationships/hyperlink" Target="https://dl.smwcentral.net/5594/Super%20Luigi%20Bros%20m7j%20demo2%20%28fixed%29.zip" TargetMode="External"/><Relationship Id="rId4715" Type="http://schemas.openxmlformats.org/officeDocument/2006/relationships/hyperlink" Target="https://www.smwcentral.net/?a=details&amp;id=37781&amp;p=section" TargetMode="External"/><Relationship Id="rId585" Type="http://schemas.openxmlformats.org/officeDocument/2006/relationships/hyperlink" Target="https://www.smwcentral.net/?a=details&amp;id=31877&amp;p=section" TargetMode="External"/><Relationship Id="rId2266" Type="http://schemas.openxmlformats.org/officeDocument/2006/relationships/hyperlink" Target="https://dl.smwcentral.net/13486/Mario%27s%20Way%20To%20Be%20a%20Legend%20Demo%200.1.1.zip" TargetMode="External"/><Relationship Id="rId2680" Type="http://schemas.openxmlformats.org/officeDocument/2006/relationships/hyperlink" Target="https://dl.smwcentral.net/39798/Oops%2CTrials%20Mario.zip" TargetMode="External"/><Relationship Id="rId3317" Type="http://schemas.openxmlformats.org/officeDocument/2006/relationships/hyperlink" Target="https://www.smwcentral.net/?a=details&amp;id=41361&amp;p=section" TargetMode="External"/><Relationship Id="rId3731" Type="http://schemas.openxmlformats.org/officeDocument/2006/relationships/hyperlink" Target="https://www.smwcentral.net/?a=details&amp;id=5034&amp;p=section" TargetMode="External"/><Relationship Id="rId238" Type="http://schemas.openxmlformats.org/officeDocument/2006/relationships/hyperlink" Target="https://dl.smwcentral.net/31365/Aeron_Returns_ver._1.8.zip" TargetMode="External"/><Relationship Id="rId652" Type="http://schemas.openxmlformats.org/officeDocument/2006/relationships/hyperlink" Target="https://dl.smwcentral.net/35560/Chaotic%20Realm%20V1.22_fixed.zip" TargetMode="External"/><Relationship Id="rId1282" Type="http://schemas.openxmlformats.org/officeDocument/2006/relationships/hyperlink" Target="https://dl.smwcentral.net/32170/Halo%2014%20Side%20A.zip" TargetMode="External"/><Relationship Id="rId2333" Type="http://schemas.openxmlformats.org/officeDocument/2006/relationships/hyperlink" Target="https://www.smwcentral.net/?a=details&amp;id=9773&amp;p=section" TargetMode="External"/><Relationship Id="rId5489" Type="http://schemas.openxmlformats.org/officeDocument/2006/relationships/hyperlink" Target="https://www.smwcentral.net/?a=details&amp;id=39168&amp;p=section" TargetMode="External"/><Relationship Id="rId305" Type="http://schemas.openxmlformats.org/officeDocument/2006/relationships/hyperlink" Target="https://www.smwcentral.net/?a=details&amp;id=15710&amp;p=section" TargetMode="External"/><Relationship Id="rId2400" Type="http://schemas.openxmlformats.org/officeDocument/2006/relationships/hyperlink" Target="https://dl.smwcentral.net/17305/Mortons_Empire.zip" TargetMode="External"/><Relationship Id="rId1002" Type="http://schemas.openxmlformats.org/officeDocument/2006/relationships/hyperlink" Target="https://dl.smwcentral.net/9734/EVERY%20LEVEL%20IGGY%21.zip" TargetMode="External"/><Relationship Id="rId4158" Type="http://schemas.openxmlformats.org/officeDocument/2006/relationships/hyperlink" Target="https://dl.smwcentral.net/13168/SMW%20Hehey%21.zip" TargetMode="External"/><Relationship Id="rId5209" Type="http://schemas.openxmlformats.org/officeDocument/2006/relationships/hyperlink" Target="https://www.smwcentral.net/?a=details&amp;id=22676&amp;p=section" TargetMode="External"/><Relationship Id="rId3174" Type="http://schemas.openxmlformats.org/officeDocument/2006/relationships/hyperlink" Target="https://dl.smwcentral.net/28512/Sio%27s%20Dino%20Mayhem.zip" TargetMode="External"/><Relationship Id="rId4572" Type="http://schemas.openxmlformats.org/officeDocument/2006/relationships/hyperlink" Target="https://dl.smwcentral.net/26783/Super%20Wisdom%20Quest.zip" TargetMode="External"/><Relationship Id="rId1819" Type="http://schemas.openxmlformats.org/officeDocument/2006/relationships/hyperlink" Target="https://www.smwcentral.net/?a=details&amp;id=30107&amp;p=section" TargetMode="External"/><Relationship Id="rId4225" Type="http://schemas.openxmlformats.org/officeDocument/2006/relationships/hyperlink" Target="https://www.smwcentral.net/?a=details&amp;id=6084&amp;p=section" TargetMode="External"/><Relationship Id="rId2190" Type="http://schemas.openxmlformats.org/officeDocument/2006/relationships/hyperlink" Target="https://dl.smwcentral.net/10225/Marios%20Mission.zip" TargetMode="External"/><Relationship Id="rId3241" Type="http://schemas.openxmlformats.org/officeDocument/2006/relationships/hyperlink" Target="https://www.smwcentral.net/?a=details&amp;id=35294&amp;p=section" TargetMode="External"/><Relationship Id="rId162" Type="http://schemas.openxmlformats.org/officeDocument/2006/relationships/hyperlink" Target="https://dl.smwcentral.net/32575/A%20short%20Journey.zip" TargetMode="External"/><Relationship Id="rId979" Type="http://schemas.openxmlformats.org/officeDocument/2006/relationships/hyperlink" Target="https://www.smwcentral.net/?a=details&amp;id=34714&amp;p=section" TargetMode="External"/><Relationship Id="rId5066" Type="http://schemas.openxmlformats.org/officeDocument/2006/relationships/hyperlink" Target="https://dl.smwcentral.net/14930/This%20Hack%20Was%20Made%20in%202%20Hours.zip" TargetMode="External"/><Relationship Id="rId5480" Type="http://schemas.openxmlformats.org/officeDocument/2006/relationships/hyperlink" Target="https://dl.smwcentral.net/23031/ZapLenaAdventures.zip" TargetMode="External"/><Relationship Id="rId4082" Type="http://schemas.openxmlformats.org/officeDocument/2006/relationships/hyperlink" Target="https://dl.smwcentral.net/9690/Super%20Mario%20World%20Master%20Quest%202%20%28Update%201.3%29.zip" TargetMode="External"/><Relationship Id="rId5133" Type="http://schemas.openxmlformats.org/officeDocument/2006/relationships/hyperlink" Target="https://www.smwcentral.net/?a=details&amp;id=31160&amp;p=section" TargetMode="External"/><Relationship Id="rId1676" Type="http://schemas.openxmlformats.org/officeDocument/2006/relationships/hyperlink" Target="https://dl.smwcentral.net/40002/Learn%20To%20Shell%20Jump.zip" TargetMode="External"/><Relationship Id="rId2727" Type="http://schemas.openxmlformats.org/officeDocument/2006/relationships/hyperlink" Target="https://www.smwcentral.net/?a=details&amp;id=40444&amp;p=section" TargetMode="External"/><Relationship Id="rId1329" Type="http://schemas.openxmlformats.org/officeDocument/2006/relationships/hyperlink" Target="https://www.smwcentral.net/?a=details&amp;id=9956&amp;p=section" TargetMode="External"/><Relationship Id="rId1743" Type="http://schemas.openxmlformats.org/officeDocument/2006/relationships/hyperlink" Target="https://www.smwcentral.net/?a=details&amp;id=40069&amp;p=section" TargetMode="External"/><Relationship Id="rId4899" Type="http://schemas.openxmlformats.org/officeDocument/2006/relationships/hyperlink" Target="https://www.smwcentral.net/?a=details&amp;id=22858&amp;p=section" TargetMode="External"/><Relationship Id="rId5200" Type="http://schemas.openxmlformats.org/officeDocument/2006/relationships/hyperlink" Target="https://dl.smwcentral.net/35863/Ultima%20Kiwi%20Winter%20Demo.zip" TargetMode="External"/><Relationship Id="rId35" Type="http://schemas.openxmlformats.org/officeDocument/2006/relationships/hyperlink" Target="https://www.smwcentral.net/?a=details&amp;id=38585&amp;p=section" TargetMode="External"/><Relationship Id="rId1810" Type="http://schemas.openxmlformats.org/officeDocument/2006/relationships/hyperlink" Target="https://dl.smwcentral.net/6498/LL%20-%20C3%20Demo.zip" TargetMode="External"/><Relationship Id="rId4966" Type="http://schemas.openxmlformats.org/officeDocument/2006/relationships/hyperlink" Target="https://dl.smwcentral.net/36673/The%20Ruin.zip" TargetMode="External"/><Relationship Id="rId3568" Type="http://schemas.openxmlformats.org/officeDocument/2006/relationships/hyperlink" Target="https://dl.smwcentral.net/40585/SuperGooberWorld.zip" TargetMode="External"/><Relationship Id="rId3982" Type="http://schemas.openxmlformats.org/officeDocument/2006/relationships/hyperlink" Target="https://dl.smwcentral.net/29968/SuperMarioUniverseDELUXE.zip" TargetMode="External"/><Relationship Id="rId4619" Type="http://schemas.openxmlformats.org/officeDocument/2006/relationships/hyperlink" Target="https://www.smwcentral.net/?a=details&amp;id=21634&amp;p=section" TargetMode="External"/><Relationship Id="rId489" Type="http://schemas.openxmlformats.org/officeDocument/2006/relationships/hyperlink" Target="https://www.smwcentral.net/?a=details&amp;id=11682&amp;p=section" TargetMode="External"/><Relationship Id="rId2584" Type="http://schemas.openxmlformats.org/officeDocument/2006/relationships/hyperlink" Target="https://dl.smwcentral.net/27585/Ninji%20story%20v1.1%20%2B%20Mario%20mode.zip" TargetMode="External"/><Relationship Id="rId3635" Type="http://schemas.openxmlformats.org/officeDocument/2006/relationships/hyperlink" Target="https://www.smwcentral.net/?a=details&amp;id=39964&amp;p=section" TargetMode="External"/><Relationship Id="rId556" Type="http://schemas.openxmlformats.org/officeDocument/2006/relationships/hyperlink" Target="https://dl.smwcentral.net/6099/Brutal%20Mario%20Demo%207.zip" TargetMode="External"/><Relationship Id="rId1186" Type="http://schemas.openxmlformats.org/officeDocument/2006/relationships/hyperlink" Target="https://dl.smwcentral.net/17289/GPW1.2.zip" TargetMode="External"/><Relationship Id="rId2237" Type="http://schemas.openxmlformats.org/officeDocument/2006/relationships/hyperlink" Target="https://www.smwcentral.net/?a=details&amp;id=5258&amp;p=section" TargetMode="External"/><Relationship Id="rId209" Type="http://schemas.openxmlformats.org/officeDocument/2006/relationships/hyperlink" Target="https://www.smwcentral.net/?a=details&amp;id=32964&amp;p=section" TargetMode="External"/><Relationship Id="rId970" Type="http://schemas.openxmlformats.org/officeDocument/2006/relationships/hyperlink" Target="https://dl.smwcentral.net/30888/Elysium%20Shells%20v2.0.zip" TargetMode="External"/><Relationship Id="rId1253" Type="http://schemas.openxmlformats.org/officeDocument/2006/relationships/hyperlink" Target="https://www.smwcentral.net/?a=details&amp;id=25061&amp;p=section" TargetMode="External"/><Relationship Id="rId2651" Type="http://schemas.openxmlformats.org/officeDocument/2006/relationships/hyperlink" Target="https://www.smwcentral.net/?a=details&amp;id=37912&amp;p=section" TargetMode="External"/><Relationship Id="rId3702" Type="http://schemas.openxmlformats.org/officeDocument/2006/relationships/hyperlink" Target="https://dl.smwcentral.net/9910/Super%20Mario%20-%20Bowser%27s%20Secret%20Weapon%20Demo%201%20By%20Zerio.zip" TargetMode="External"/><Relationship Id="rId623" Type="http://schemas.openxmlformats.org/officeDocument/2006/relationships/hyperlink" Target="https://www.smwcentral.net/?a=details&amp;id=42285&amp;p=section" TargetMode="External"/><Relationship Id="rId2304" Type="http://schemas.openxmlformats.org/officeDocument/2006/relationships/hyperlink" Target="https://dl.smwcentral.net/27626/MarisaAndReimuC3_V.1.02.zip" TargetMode="External"/><Relationship Id="rId1320" Type="http://schemas.openxmlformats.org/officeDocument/2006/relationships/hyperlink" Target="https://dl.smwcentral.net/30172/hops.r.2.0.bps.zip" TargetMode="External"/><Relationship Id="rId4476" Type="http://schemas.openxmlformats.org/officeDocument/2006/relationships/hyperlink" Target="https://dl.smwcentral.net/18698/Super%20Sheffy%20World%202%20The%20Quest%20for%20the%205%20Shells%201.04.zip" TargetMode="External"/><Relationship Id="rId4890" Type="http://schemas.openxmlformats.org/officeDocument/2006/relationships/hyperlink" Target="https://dl.smwcentral.net/9922/The%20Lost%20World%20Journey.zip" TargetMode="External"/><Relationship Id="rId3078" Type="http://schemas.openxmlformats.org/officeDocument/2006/relationships/hyperlink" Target="https://dl.smwcentral.net/25999/Shell%20is%20Cool.zip" TargetMode="External"/><Relationship Id="rId3492" Type="http://schemas.openxmlformats.org/officeDocument/2006/relationships/hyperlink" Target="https://dl.smwcentral.net/9679/demoworld.zip" TargetMode="External"/><Relationship Id="rId4129" Type="http://schemas.openxmlformats.org/officeDocument/2006/relationships/hyperlink" Target="https://www.smwcentral.net/?a=details&amp;id=40321&amp;p=section" TargetMode="External"/><Relationship Id="rId4543" Type="http://schemas.openxmlformats.org/officeDocument/2006/relationships/hyperlink" Target="https://www.smwcentral.net/?a=details&amp;id=18860&amp;p=section" TargetMode="External"/><Relationship Id="rId2094" Type="http://schemas.openxmlformats.org/officeDocument/2006/relationships/hyperlink" Target="https://dl.smwcentral.net/33308/Mario%20Vs.%20The%20Deadly%20Alliance%28V2.5%29.zip" TargetMode="External"/><Relationship Id="rId3145" Type="http://schemas.openxmlformats.org/officeDocument/2006/relationships/hyperlink" Target="https://www.smwcentral.net/?a=details&amp;id=29653&amp;p=section" TargetMode="External"/><Relationship Id="rId4610" Type="http://schemas.openxmlformats.org/officeDocument/2006/relationships/hyperlink" Target="https://dl.smwcentral.net/33999/Sweet%20Dream%20Agnes%20v1.0.zip" TargetMode="External"/><Relationship Id="rId480" Type="http://schemas.openxmlformats.org/officeDocument/2006/relationships/hyperlink" Target="https://dl.smwcentral.net/40521/Borealis%20Sh%27El.zip" TargetMode="External"/><Relationship Id="rId2161" Type="http://schemas.openxmlformats.org/officeDocument/2006/relationships/hyperlink" Target="https://www.smwcentral.net/?a=details&amp;id=27808&amp;p=section" TargetMode="External"/><Relationship Id="rId3212" Type="http://schemas.openxmlformats.org/officeDocument/2006/relationships/hyperlink" Target="https://dl.smwcentral.net/11604/SMW%20Legends%20%282nd%20Demo%20version%29.zip" TargetMode="External"/><Relationship Id="rId133" Type="http://schemas.openxmlformats.org/officeDocument/2006/relationships/hyperlink" Target="https://www.smwcentral.net/?a=details&amp;id=5480&amp;p=section" TargetMode="External"/><Relationship Id="rId5384" Type="http://schemas.openxmlformats.org/officeDocument/2006/relationships/hyperlink" Target="https://dl.smwcentral.net/22073/Whats%20Thanksgiving%20Without%20Turkey%20%28Music%20Fixed%29.zip" TargetMode="External"/><Relationship Id="rId200" Type="http://schemas.openxmlformats.org/officeDocument/2006/relationships/hyperlink" Target="https://dl.smwcentral.net/15587/avsmw.zip" TargetMode="External"/><Relationship Id="rId2978" Type="http://schemas.openxmlformats.org/officeDocument/2006/relationships/hyperlink" Target="https://dl.smwcentral.net/19684/RHRS2.zip" TargetMode="External"/><Relationship Id="rId5037" Type="http://schemas.openxmlformats.org/officeDocument/2006/relationships/hyperlink" Target="https://www.smwcentral.net/?a=details&amp;id=36599&amp;p=section" TargetMode="External"/><Relationship Id="rId1994" Type="http://schemas.openxmlformats.org/officeDocument/2006/relationships/hyperlink" Target="https://dl.smwcentral.net/15922/marioisscrewed.zip" TargetMode="External"/><Relationship Id="rId5451" Type="http://schemas.openxmlformats.org/officeDocument/2006/relationships/hyperlink" Target="https://www.smwcentral.net/?a=details&amp;id=19699&amp;p=section" TargetMode="External"/><Relationship Id="rId1647" Type="http://schemas.openxmlformats.org/officeDocument/2006/relationships/hyperlink" Target="https://www.smwcentral.net/?a=details&amp;id=15476&amp;p=section" TargetMode="External"/><Relationship Id="rId4053" Type="http://schemas.openxmlformats.org/officeDocument/2006/relationships/hyperlink" Target="https://www.smwcentral.net/?a=details&amp;id=23276&amp;p=section" TargetMode="External"/><Relationship Id="rId5104" Type="http://schemas.openxmlformats.org/officeDocument/2006/relationships/hyperlink" Target="https://dl.smwcentral.net/11499/TMFC3EYHAP%26K%20-%20Q2BDB.zip" TargetMode="External"/><Relationship Id="rId1714" Type="http://schemas.openxmlformats.org/officeDocument/2006/relationships/hyperlink" Target="https://dl.smwcentral.net/38428/LiquidMetal2.0.zip" TargetMode="External"/><Relationship Id="rId4120" Type="http://schemas.openxmlformats.org/officeDocument/2006/relationships/hyperlink" Target="https://dl.smwcentral.net/10267/SMW%20A%20New%20Adventure%202.zip" TargetMode="External"/><Relationship Id="rId2488" Type="http://schemas.openxmlformats.org/officeDocument/2006/relationships/hyperlink" Target="https://dl.smwcentral.net/15438/New%20Mario%27s%20Adventure.zip" TargetMode="External"/><Relationship Id="rId3886" Type="http://schemas.openxmlformats.org/officeDocument/2006/relationships/hyperlink" Target="https://dl.smwcentral.net/10187/YRV1-4.zip" TargetMode="External"/><Relationship Id="rId4937" Type="http://schemas.openxmlformats.org/officeDocument/2006/relationships/hyperlink" Target="https://www.smwcentral.net/?a=details&amp;id=42566&amp;p=section" TargetMode="External"/><Relationship Id="rId3539" Type="http://schemas.openxmlformats.org/officeDocument/2006/relationships/hyperlink" Target="https://www.smwcentral.net/?a=details&amp;id=31166&amp;p=section" TargetMode="External"/><Relationship Id="rId3953" Type="http://schemas.openxmlformats.org/officeDocument/2006/relationships/hyperlink" Target="https://www.smwcentral.net/?a=details&amp;id=38051&amp;p=section" TargetMode="External"/><Relationship Id="rId874" Type="http://schemas.openxmlformats.org/officeDocument/2006/relationships/hyperlink" Target="https://dl.smwcentral.net/29956/domenyXGenerations.zip" TargetMode="External"/><Relationship Id="rId2555" Type="http://schemas.openxmlformats.org/officeDocument/2006/relationships/hyperlink" Target="https://www.smwcentral.net/?a=details&amp;id=27735&amp;p=section" TargetMode="External"/><Relationship Id="rId3606" Type="http://schemas.openxmlformats.org/officeDocument/2006/relationships/hyperlink" Target="https://dl.smwcentral.net/42097/Super%20Jars%20World.zip" TargetMode="External"/><Relationship Id="rId527" Type="http://schemas.openxmlformats.org/officeDocument/2006/relationships/hyperlink" Target="https://www.smwcentral.net/?a=details&amp;id=36606&amp;p=section" TargetMode="External"/><Relationship Id="rId941" Type="http://schemas.openxmlformats.org/officeDocument/2006/relationships/hyperlink" Target="https://www.smwcentral.net/?a=details&amp;id=37583&amp;p=section" TargetMode="External"/><Relationship Id="rId1157" Type="http://schemas.openxmlformats.org/officeDocument/2006/relationships/hyperlink" Target="https://www.smwcentral.net/?a=details&amp;id=39837&amp;p=section" TargetMode="External"/><Relationship Id="rId1571" Type="http://schemas.openxmlformats.org/officeDocument/2006/relationships/hyperlink" Target="https://www.smwcentral.net/?a=details&amp;id=23041&amp;p=section" TargetMode="External"/><Relationship Id="rId2208" Type="http://schemas.openxmlformats.org/officeDocument/2006/relationships/hyperlink" Target="https://dl.smwcentral.net/18975/%5BMoaNA%21%20up1%5D.zip" TargetMode="External"/><Relationship Id="rId2622" Type="http://schemas.openxmlformats.org/officeDocument/2006/relationships/hyperlink" Target="https://dl.smwcentral.net/14556/ONN.zip" TargetMode="External"/><Relationship Id="rId1224" Type="http://schemas.openxmlformats.org/officeDocument/2006/relationships/hyperlink" Target="https://dl.smwcentral.net/35730/HackNegative12.zip" TargetMode="External"/><Relationship Id="rId4794" Type="http://schemas.openxmlformats.org/officeDocument/2006/relationships/hyperlink" Target="https://dl.smwcentral.net/6130/The_Fort.zip" TargetMode="External"/><Relationship Id="rId3396" Type="http://schemas.openxmlformats.org/officeDocument/2006/relationships/hyperlink" Target="https://dl.smwcentral.net/14202/Summer%20Season%20V.1.05.zip" TargetMode="External"/><Relationship Id="rId4447" Type="http://schemas.openxmlformats.org/officeDocument/2006/relationships/hyperlink" Target="https://www.smwcentral.net/?a=details&amp;id=9972&amp;p=section" TargetMode="External"/><Relationship Id="rId3049" Type="http://schemas.openxmlformats.org/officeDocument/2006/relationships/hyperlink" Target="https://www.smwcentral.net/?a=details&amp;id=20200&amp;p=section" TargetMode="External"/><Relationship Id="rId3463" Type="http://schemas.openxmlformats.org/officeDocument/2006/relationships/hyperlink" Target="https://www.smwcentral.net/?a=details&amp;id=18067&amp;p=section" TargetMode="External"/><Relationship Id="rId4861" Type="http://schemas.openxmlformats.org/officeDocument/2006/relationships/hyperlink" Target="https://www.smwcentral.net/?a=details&amp;id=10152&amp;p=section" TargetMode="External"/><Relationship Id="rId384" Type="http://schemas.openxmlformats.org/officeDocument/2006/relationships/hyperlink" Target="https://dl.smwcentral.net/38857/B%27SQ.zip" TargetMode="External"/><Relationship Id="rId2065" Type="http://schemas.openxmlformats.org/officeDocument/2006/relationships/hyperlink" Target="https://www.smwcentral.net/?a=details&amp;id=30183&amp;p=section" TargetMode="External"/><Relationship Id="rId3116" Type="http://schemas.openxmlformats.org/officeDocument/2006/relationships/hyperlink" Target="https://dl.smwcentral.net/33434/Shelltopia.zip" TargetMode="External"/><Relationship Id="rId4514" Type="http://schemas.openxmlformats.org/officeDocument/2006/relationships/hyperlink" Target="https://dl.smwcentral.net/25145/SuperSwordiWorld%20Vers.%201.0.zip" TargetMode="External"/><Relationship Id="rId1081" Type="http://schemas.openxmlformats.org/officeDocument/2006/relationships/hyperlink" Target="https://www.smwcentral.net/?a=details&amp;id=34953&amp;p=section" TargetMode="External"/><Relationship Id="rId3530" Type="http://schemas.openxmlformats.org/officeDocument/2006/relationships/hyperlink" Target="https://dl.smwcentral.net/16099/Super%20Fedora%20World.zip" TargetMode="External"/><Relationship Id="rId451" Type="http://schemas.openxmlformats.org/officeDocument/2006/relationships/hyperlink" Target="https://www.smwcentral.net/?a=details&amp;id=31843&amp;p=section" TargetMode="External"/><Relationship Id="rId2132" Type="http://schemas.openxmlformats.org/officeDocument/2006/relationships/hyperlink" Target="https://dl.smwcentral.net/10239/Mario%27s%20Cookie%20Catastrophe%20V1.2.zip" TargetMode="External"/><Relationship Id="rId5288" Type="http://schemas.openxmlformats.org/officeDocument/2006/relationships/hyperlink" Target="https://dl.smwcentral.net/10019/Varndts%20Castle.zip" TargetMode="External"/><Relationship Id="rId104" Type="http://schemas.openxmlformats.org/officeDocument/2006/relationships/hyperlink" Target="https://dl.smwcentral.net/14688/frivolous.zip" TargetMode="External"/><Relationship Id="rId1898" Type="http://schemas.openxmlformats.org/officeDocument/2006/relationships/hyperlink" Target="https://dl.smwcentral.net/9917/PoP.zip" TargetMode="External"/><Relationship Id="rId2949" Type="http://schemas.openxmlformats.org/officeDocument/2006/relationships/hyperlink" Target="https://www.smwcentral.net/?a=details&amp;id=26042&amp;p=section" TargetMode="External"/><Relationship Id="rId5355" Type="http://schemas.openxmlformats.org/officeDocument/2006/relationships/hyperlink" Target="https://www.smwcentral.net/?a=details&amp;id=19397&amp;p=section" TargetMode="External"/><Relationship Id="rId4371" Type="http://schemas.openxmlformats.org/officeDocument/2006/relationships/hyperlink" Target="https://www.smwcentral.net/?a=details&amp;id=27137&amp;p=section" TargetMode="External"/><Relationship Id="rId5008" Type="http://schemas.openxmlformats.org/officeDocument/2006/relationships/hyperlink" Target="https://dl.smwcentral.net/16068/ttoedemo2-fixed.zip" TargetMode="External"/><Relationship Id="rId5422" Type="http://schemas.openxmlformats.org/officeDocument/2006/relationships/hyperlink" Target="https://dl.smwcentral.net/33559/XDrive%20-%20v1.0.2.zip" TargetMode="External"/><Relationship Id="rId1965" Type="http://schemas.openxmlformats.org/officeDocument/2006/relationships/hyperlink" Target="https://www.smwcentral.net/?a=details&amp;id=25552&amp;p=section" TargetMode="External"/><Relationship Id="rId4024" Type="http://schemas.openxmlformats.org/officeDocument/2006/relationships/hyperlink" Target="https://dl.smwcentral.net/15187/Super%20Mario%20World.The%20Secret%20Levels.zip" TargetMode="External"/><Relationship Id="rId1618" Type="http://schemas.openxmlformats.org/officeDocument/2006/relationships/hyperlink" Target="https://dl.smwcentral.net/21542/SPONGEBOB%20ME%20BOY.zip" TargetMode="External"/><Relationship Id="rId3040" Type="http://schemas.openxmlformats.org/officeDocument/2006/relationships/hyperlink" Target="https://dl.smwcentral.net/31276/Sayonara%20Mario%20World%202.zip" TargetMode="External"/><Relationship Id="rId3857" Type="http://schemas.openxmlformats.org/officeDocument/2006/relationships/hyperlink" Target="https://www.smwcentral.net/?a=details&amp;id=34419&amp;p=section" TargetMode="External"/><Relationship Id="rId4908" Type="http://schemas.openxmlformats.org/officeDocument/2006/relationships/hyperlink" Target="https://dl.smwcentral.net/9684/The%20Mountain%20Adventure.zip" TargetMode="External"/><Relationship Id="rId778" Type="http://schemas.openxmlformats.org/officeDocument/2006/relationships/hyperlink" Target="https://dl.smwcentral.net/34784/CubesKaizoWorld4_1.1.zip" TargetMode="External"/><Relationship Id="rId2459" Type="http://schemas.openxmlformats.org/officeDocument/2006/relationships/hyperlink" Target="https://www.smwcentral.net/?a=details&amp;id=19044&amp;p=section" TargetMode="External"/><Relationship Id="rId2873" Type="http://schemas.openxmlformats.org/officeDocument/2006/relationships/hyperlink" Target="https://www.smwcentral.net/?a=details&amp;id=5399&amp;p=section" TargetMode="External"/><Relationship Id="rId3924" Type="http://schemas.openxmlformats.org/officeDocument/2006/relationships/hyperlink" Target="https://dl.smwcentral.net/5252/Super%20Mario%20Omega%20V1.07.zip" TargetMode="External"/><Relationship Id="rId845" Type="http://schemas.openxmlformats.org/officeDocument/2006/relationships/hyperlink" Target="https://www.smwcentral.net/?a=details&amp;id=41773&amp;p=section" TargetMode="External"/><Relationship Id="rId1475" Type="http://schemas.openxmlformats.org/officeDocument/2006/relationships/hyperlink" Target="https://www.smwcentral.net/?a=details&amp;id=20758&amp;p=section" TargetMode="External"/><Relationship Id="rId2526" Type="http://schemas.openxmlformats.org/officeDocument/2006/relationships/hyperlink" Target="https://dl.smwcentral.net/37998/NSMW2%20v2.2.1%20%28update%29.zip" TargetMode="External"/><Relationship Id="rId1128" Type="http://schemas.openxmlformats.org/officeDocument/2006/relationships/hyperlink" Target="https://dl.smwcentral.net/24981/Gaia%20v1.2.zip" TargetMode="External"/><Relationship Id="rId1542" Type="http://schemas.openxmlformats.org/officeDocument/2006/relationships/hyperlink" Target="https://dl.smwcentral.net/30642/Kaizo%20Kidz%20V1.2.zip" TargetMode="External"/><Relationship Id="rId2940" Type="http://schemas.openxmlformats.org/officeDocument/2006/relationships/hyperlink" Target="https://dl.smwcentral.net/14026/ROS.zip" TargetMode="External"/><Relationship Id="rId4698" Type="http://schemas.openxmlformats.org/officeDocument/2006/relationships/hyperlink" Target="https://dl.smwcentral.net/9907/The%204%20Keys%20of%20Safety%20Demo%20FIX.zip" TargetMode="External"/><Relationship Id="rId912" Type="http://schemas.openxmlformats.org/officeDocument/2006/relationships/hyperlink" Target="https://dl.smwcentral.net/33031/Dream%20Collider.zip" TargetMode="External"/><Relationship Id="rId4765" Type="http://schemas.openxmlformats.org/officeDocument/2006/relationships/hyperlink" Target="https://www.smwcentral.net/?a=details&amp;id=30186&amp;p=section" TargetMode="External"/><Relationship Id="rId288" Type="http://schemas.openxmlformats.org/officeDocument/2006/relationships/hyperlink" Target="https://dl.smwcentral.net/10106/Another%20adventure%20of%20Mario.zip" TargetMode="External"/><Relationship Id="rId3367" Type="http://schemas.openxmlformats.org/officeDocument/2006/relationships/hyperlink" Target="https://www.smwcentral.net/?a=details&amp;id=35213&amp;p=section" TargetMode="External"/><Relationship Id="rId3781" Type="http://schemas.openxmlformats.org/officeDocument/2006/relationships/hyperlink" Target="https://www.smwcentral.net/?a=details&amp;id=6195&amp;p=section" TargetMode="External"/><Relationship Id="rId4418" Type="http://schemas.openxmlformats.org/officeDocument/2006/relationships/hyperlink" Target="https://dl.smwcentral.net/5494/SPLU%20patch.zip" TargetMode="External"/><Relationship Id="rId4832" Type="http://schemas.openxmlformats.org/officeDocument/2006/relationships/hyperlink" Target="https://dl.smwcentral.net/13602/The%20Hangover%20V1.0.zip" TargetMode="External"/><Relationship Id="rId2383" Type="http://schemas.openxmlformats.org/officeDocument/2006/relationships/hyperlink" Target="https://www.smwcentral.net/?a=details&amp;id=27521&amp;p=section" TargetMode="External"/><Relationship Id="rId3434" Type="http://schemas.openxmlformats.org/officeDocument/2006/relationships/hyperlink" Target="https://dl.smwcentral.net/38415/Super%20Boonie%20World%20V1.2.zip" TargetMode="External"/><Relationship Id="rId355" Type="http://schemas.openxmlformats.org/officeDocument/2006/relationships/hyperlink" Target="https://www.smwcentral.net/?a=details&amp;id=10346&amp;p=section" TargetMode="External"/><Relationship Id="rId2036" Type="http://schemas.openxmlformats.org/officeDocument/2006/relationships/hyperlink" Target="https://dl.smwcentral.net/28324/Mario%20On%20The%20Moon.zip" TargetMode="External"/><Relationship Id="rId2450" Type="http://schemas.openxmlformats.org/officeDocument/2006/relationships/hyperlink" Target="https://dl.smwcentral.net/9738/MOTSO.zip" TargetMode="External"/><Relationship Id="rId3501" Type="http://schemas.openxmlformats.org/officeDocument/2006/relationships/hyperlink" Target="https://www.smwcentral.net/?a=details&amp;id=18131&amp;p=section" TargetMode="External"/><Relationship Id="rId422" Type="http://schemas.openxmlformats.org/officeDocument/2006/relationships/hyperlink" Target="https://dl.smwcentral.net/31781/beto%20universe.zip" TargetMode="External"/><Relationship Id="rId1052" Type="http://schemas.openxmlformats.org/officeDocument/2006/relationships/hyperlink" Target="https://dl.smwcentral.net/27706/fastfoodkaizov1.1.zip" TargetMode="External"/><Relationship Id="rId2103" Type="http://schemas.openxmlformats.org/officeDocument/2006/relationships/hyperlink" Target="https://www.smwcentral.net/?a=details&amp;id=35335&amp;p=section" TargetMode="External"/><Relationship Id="rId5259" Type="http://schemas.openxmlformats.org/officeDocument/2006/relationships/hyperlink" Target="https://www.smwcentral.net/?a=details&amp;id=9783&amp;p=section" TargetMode="External"/><Relationship Id="rId4275" Type="http://schemas.openxmlformats.org/officeDocument/2006/relationships/hyperlink" Target="https://www.smwcentral.net/?a=details&amp;id=20417&amp;p=section" TargetMode="External"/><Relationship Id="rId5326" Type="http://schemas.openxmlformats.org/officeDocument/2006/relationships/hyperlink" Target="https://dl.smwcentral.net/35030/WakeUpCall.zip" TargetMode="External"/><Relationship Id="rId1869" Type="http://schemas.openxmlformats.org/officeDocument/2006/relationships/hyperlink" Target="https://www.smwcentral.net/?a=details&amp;id=40092&amp;p=section" TargetMode="External"/><Relationship Id="rId3291" Type="http://schemas.openxmlformats.org/officeDocument/2006/relationships/hyperlink" Target="https://www.smwcentral.net/?a=details&amp;id=37784&amp;p=section" TargetMode="External"/><Relationship Id="rId1936" Type="http://schemas.openxmlformats.org/officeDocument/2006/relationships/hyperlink" Target="https://dl.smwcentral.net/40065/MGOAAFANR%20demo%201.51.zip" TargetMode="External"/><Relationship Id="rId4342" Type="http://schemas.openxmlformats.org/officeDocument/2006/relationships/hyperlink" Target="https://dl.smwcentral.net/9905/SuperMushPlanet_demo1.zip" TargetMode="External"/><Relationship Id="rId3011" Type="http://schemas.openxmlformats.org/officeDocument/2006/relationships/hyperlink" Target="https://www.smwcentral.net/?a=details&amp;id=28308&amp;p=section" TargetMode="External"/><Relationship Id="rId2777" Type="http://schemas.openxmlformats.org/officeDocument/2006/relationships/hyperlink" Target="https://www.smwcentral.net/?a=details&amp;id=16765&amp;p=section" TargetMode="External"/><Relationship Id="rId5183" Type="http://schemas.openxmlformats.org/officeDocument/2006/relationships/hyperlink" Target="https://www.smwcentral.net/?a=details&amp;id=35774&amp;p=section" TargetMode="External"/><Relationship Id="rId749" Type="http://schemas.openxmlformats.org/officeDocument/2006/relationships/hyperlink" Target="https://www.smwcentral.net/?a=details&amp;id=27923&amp;p=section" TargetMode="External"/><Relationship Id="rId1379" Type="http://schemas.openxmlformats.org/officeDocument/2006/relationships/hyperlink" Target="https://www.smwcentral.net/?a=details&amp;id=29046&amp;p=section" TargetMode="External"/><Relationship Id="rId3828" Type="http://schemas.openxmlformats.org/officeDocument/2006/relationships/hyperlink" Target="https://dl.smwcentral.net/9892/SMB%26TGO.zip" TargetMode="External"/><Relationship Id="rId5250" Type="http://schemas.openxmlformats.org/officeDocument/2006/relationships/hyperlink" Target="https://dl.smwcentral.net/29660/UnnamedPrecision.zip" TargetMode="External"/><Relationship Id="rId1793" Type="http://schemas.openxmlformats.org/officeDocument/2006/relationships/hyperlink" Target="https://www.smwcentral.net/?a=details&amp;id=35320&amp;p=section" TargetMode="External"/><Relationship Id="rId2844" Type="http://schemas.openxmlformats.org/officeDocument/2006/relationships/hyperlink" Target="https://dl.smwcentral.net/28751/project%20frick.zip" TargetMode="External"/><Relationship Id="rId85" Type="http://schemas.openxmlformats.org/officeDocument/2006/relationships/hyperlink" Target="https://www.smwcentral.net/?a=details&amp;id=37997&amp;p=section" TargetMode="External"/><Relationship Id="rId816" Type="http://schemas.openxmlformats.org/officeDocument/2006/relationships/hyperlink" Target="https://dl.smwcentral.net/29121/DayInTheLife.zip" TargetMode="External"/><Relationship Id="rId1446" Type="http://schemas.openxmlformats.org/officeDocument/2006/relationships/hyperlink" Target="https://dl.smwcentral.net/35558/Jerry%27s%20Autowalking%20Adventure%20to%20Rescue%20his%20Cheese%20%28V1.0.1%29.zip" TargetMode="External"/><Relationship Id="rId1860" Type="http://schemas.openxmlformats.org/officeDocument/2006/relationships/hyperlink" Target="https://dl.smwcentral.net/36967/MTMGR1_8.zip" TargetMode="External"/><Relationship Id="rId2911" Type="http://schemas.openxmlformats.org/officeDocument/2006/relationships/hyperlink" Target="https://www.smwcentral.net/?a=details&amp;id=34786&amp;p=section" TargetMode="External"/><Relationship Id="rId1513" Type="http://schemas.openxmlformats.org/officeDocument/2006/relationships/hyperlink" Target="https://www.smwcentral.net/?a=details&amp;id=28910&amp;p=section" TargetMode="External"/><Relationship Id="rId4669" Type="http://schemas.openxmlformats.org/officeDocument/2006/relationships/hyperlink" Target="https://www.smwcentral.net/?a=details&amp;id=20208&amp;p=section" TargetMode="External"/><Relationship Id="rId3685" Type="http://schemas.openxmlformats.org/officeDocument/2006/relationships/hyperlink" Target="https://www.smwcentral.net/?a=details&amp;id=39777&amp;p=section" TargetMode="External"/><Relationship Id="rId4736" Type="http://schemas.openxmlformats.org/officeDocument/2006/relationships/hyperlink" Target="https://dl.smwcentral.net/40774/The%20Cave%20of%20Loathing%202%20%281.0%29.zip" TargetMode="External"/><Relationship Id="rId2287" Type="http://schemas.openxmlformats.org/officeDocument/2006/relationships/hyperlink" Target="https://www.smwcentral.net/?a=details&amp;id=37928&amp;p=section" TargetMode="External"/><Relationship Id="rId3338" Type="http://schemas.openxmlformats.org/officeDocument/2006/relationships/hyperlink" Target="https://dl.smwcentral.net/37136/SPOT%20%28demo%29.zip" TargetMode="External"/><Relationship Id="rId3752" Type="http://schemas.openxmlformats.org/officeDocument/2006/relationships/hyperlink" Target="https://dl.smwcentral.net/9830/Brain%20Dead.zip" TargetMode="External"/><Relationship Id="rId259" Type="http://schemas.openxmlformats.org/officeDocument/2006/relationships/hyperlink" Target="https://www.smwcentral.net/?a=details&amp;id=9721&amp;p=section" TargetMode="External"/><Relationship Id="rId673" Type="http://schemas.openxmlformats.org/officeDocument/2006/relationships/hyperlink" Target="https://www.smwcentral.net/?a=details&amp;id=31080&amp;p=section" TargetMode="External"/><Relationship Id="rId2354" Type="http://schemas.openxmlformats.org/officeDocument/2006/relationships/hyperlink" Target="https://dl.smwcentral.net/24680/Midair%20Mastery%201.1.zip" TargetMode="External"/><Relationship Id="rId3405" Type="http://schemas.openxmlformats.org/officeDocument/2006/relationships/hyperlink" Target="https://www.smwcentral.net/?a=details&amp;id=24931&amp;p=section" TargetMode="External"/><Relationship Id="rId4803" Type="http://schemas.openxmlformats.org/officeDocument/2006/relationships/hyperlink" Target="https://www.smwcentral.net/?a=details&amp;id=40917&amp;p=section" TargetMode="External"/><Relationship Id="rId326" Type="http://schemas.openxmlformats.org/officeDocument/2006/relationships/hyperlink" Target="https://dl.smwcentral.net/34662/Arantes%20Shells%201.2.zip" TargetMode="External"/><Relationship Id="rId1370" Type="http://schemas.openxmlformats.org/officeDocument/2006/relationships/hyperlink" Target="https://dl.smwcentral.net/9860/Iggy%27s%20Island%20%28fixed%29.zip" TargetMode="External"/><Relationship Id="rId2007" Type="http://schemas.openxmlformats.org/officeDocument/2006/relationships/hyperlink" Target="https://www.smwcentral.net/?a=details&amp;id=10949&amp;p=section" TargetMode="External"/><Relationship Id="rId740" Type="http://schemas.openxmlformats.org/officeDocument/2006/relationships/hyperlink" Target="https://dl.smwcentral.net/31137/Cool.zip" TargetMode="External"/><Relationship Id="rId1023" Type="http://schemas.openxmlformats.org/officeDocument/2006/relationships/hyperlink" Target="https://www.smwcentral.net/?a=details&amp;id=21563&amp;p=section" TargetMode="External"/><Relationship Id="rId2421" Type="http://schemas.openxmlformats.org/officeDocument/2006/relationships/hyperlink" Target="https://www.smwcentral.net/?a=details&amp;id=31223&amp;p=section" TargetMode="External"/><Relationship Id="rId4179" Type="http://schemas.openxmlformats.org/officeDocument/2006/relationships/hyperlink" Target="https://www.smwcentral.net/?a=details&amp;id=31925&amp;p=section" TargetMode="External"/><Relationship Id="rId4593" Type="http://schemas.openxmlformats.org/officeDocument/2006/relationships/hyperlink" Target="https://www.smwcentral.net/?a=details&amp;id=39957&amp;p=section" TargetMode="External"/><Relationship Id="rId3195" Type="http://schemas.openxmlformats.org/officeDocument/2006/relationships/hyperlink" Target="https://www.smwcentral.net/?a=details&amp;id=29542&amp;p=section" TargetMode="External"/><Relationship Id="rId4246" Type="http://schemas.openxmlformats.org/officeDocument/2006/relationships/hyperlink" Target="https://dl.smwcentral.net/6532/Super%20Mario%20X.zip" TargetMode="External"/><Relationship Id="rId4660" Type="http://schemas.openxmlformats.org/officeDocument/2006/relationships/hyperlink" Target="https://dl.smwcentral.net/10169/tehhack.zip" TargetMode="External"/><Relationship Id="rId3262" Type="http://schemas.openxmlformats.org/officeDocument/2006/relationships/hyperlink" Target="https://dl.smwcentral.net/26307/GAIDEN_v1.13.zip" TargetMode="External"/><Relationship Id="rId4313" Type="http://schemas.openxmlformats.org/officeDocument/2006/relationships/hyperlink" Target="https://www.smwcentral.net/?a=details&amp;id=9954&amp;p=section" TargetMode="External"/><Relationship Id="rId183" Type="http://schemas.openxmlformats.org/officeDocument/2006/relationships/hyperlink" Target="https://www.smwcentral.net/?a=details&amp;id=5052&amp;p=section" TargetMode="External"/><Relationship Id="rId1907" Type="http://schemas.openxmlformats.org/officeDocument/2006/relationships/hyperlink" Target="https://www.smwcentral.net/?a=details&amp;id=19357&amp;p=section" TargetMode="External"/><Relationship Id="rId250" Type="http://schemas.openxmlformats.org/officeDocument/2006/relationships/hyperlink" Target="https://dl.smwcentral.net/27094/Akogare2.zip" TargetMode="External"/><Relationship Id="rId5087" Type="http://schemas.openxmlformats.org/officeDocument/2006/relationships/hyperlink" Target="https://www.smwcentral.net/?a=details&amp;id=28647&amp;p=section" TargetMode="External"/><Relationship Id="rId5154" Type="http://schemas.openxmlformats.org/officeDocument/2006/relationships/hyperlink" Target="https://dl.smwcentral.net/42504/Tower%20of%20Glory%202%20%281%29.zip" TargetMode="External"/><Relationship Id="rId1697" Type="http://schemas.openxmlformats.org/officeDocument/2006/relationships/hyperlink" Target="https://www.smwcentral.net/?a=details&amp;id=37073&amp;p=section" TargetMode="External"/><Relationship Id="rId2748" Type="http://schemas.openxmlformats.org/officeDocument/2006/relationships/hyperlink" Target="https://dl.smwcentral.net/28945/perfect%20theorem.zip" TargetMode="External"/><Relationship Id="rId1764" Type="http://schemas.openxmlformats.org/officeDocument/2006/relationships/hyperlink" Target="https://dl.smwcentral.net/25705/Luigi%20Stardust%20Adventure.zip" TargetMode="External"/><Relationship Id="rId2815" Type="http://schemas.openxmlformats.org/officeDocument/2006/relationships/hyperlink" Target="https://www.smwcentral.net/?a=details&amp;id=30609&amp;p=section" TargetMode="External"/><Relationship Id="rId4170" Type="http://schemas.openxmlformats.org/officeDocument/2006/relationships/hyperlink" Target="https://dl.smwcentral.net/39962/L4K%201.4.zip" TargetMode="External"/><Relationship Id="rId5221" Type="http://schemas.openxmlformats.org/officeDocument/2006/relationships/hyperlink" Target="https://www.smwcentral.net/?a=details&amp;id=21138&amp;p=section" TargetMode="External"/><Relationship Id="rId56" Type="http://schemas.openxmlformats.org/officeDocument/2006/relationships/hyperlink" Target="https://dl.smwcentral.net/25310/35QuestionsDeluxe.zip" TargetMode="External"/><Relationship Id="rId1417" Type="http://schemas.openxmlformats.org/officeDocument/2006/relationships/hyperlink" Target="https://www.smwcentral.net/?a=details&amp;id=22907&amp;p=section" TargetMode="External"/><Relationship Id="rId1831" Type="http://schemas.openxmlformats.org/officeDocument/2006/relationships/hyperlink" Target="https://www.smwcentral.net/?a=details&amp;id=9889&amp;p=section" TargetMode="External"/><Relationship Id="rId4987" Type="http://schemas.openxmlformats.org/officeDocument/2006/relationships/hyperlink" Target="https://www.smwcentral.net/?a=details&amp;id=11848&amp;p=section" TargetMode="External"/><Relationship Id="rId3589" Type="http://schemas.openxmlformats.org/officeDocument/2006/relationships/hyperlink" Target="https://www.smwcentral.net/?a=details&amp;id=39366&amp;p=section" TargetMode="External"/><Relationship Id="rId577" Type="http://schemas.openxmlformats.org/officeDocument/2006/relationships/hyperlink" Target="https://www.smwcentral.net/?a=details&amp;id=39760&amp;p=section" TargetMode="External"/><Relationship Id="rId2258" Type="http://schemas.openxmlformats.org/officeDocument/2006/relationships/hyperlink" Target="https://dl.smwcentral.net/5566/MTH2.zip" TargetMode="External"/><Relationship Id="rId3656" Type="http://schemas.openxmlformats.org/officeDocument/2006/relationships/hyperlink" Target="https://dl.smwcentral.net/33563/Super%20LouisDoucet%20World%202%20%28v1.1%29.zip" TargetMode="External"/><Relationship Id="rId4707" Type="http://schemas.openxmlformats.org/officeDocument/2006/relationships/hyperlink" Target="https://www.smwcentral.net/?a=details&amp;id=11254&amp;p=section" TargetMode="External"/><Relationship Id="rId991" Type="http://schemas.openxmlformats.org/officeDocument/2006/relationships/hyperlink" Target="https://www.smwcentral.net/?a=details&amp;id=41609&amp;p=section" TargetMode="External"/><Relationship Id="rId2672" Type="http://schemas.openxmlformats.org/officeDocument/2006/relationships/hyperlink" Target="https://dl.smwcentral.net/37470/ooooo.zip" TargetMode="External"/><Relationship Id="rId3309" Type="http://schemas.openxmlformats.org/officeDocument/2006/relationships/hyperlink" Target="https://www.smwcentral.net/?a=details&amp;id=29721&amp;p=section" TargetMode="External"/><Relationship Id="rId3723" Type="http://schemas.openxmlformats.org/officeDocument/2006/relationships/hyperlink" Target="https://www.smwcentral.net/?a=details&amp;id=6207&amp;p=section" TargetMode="External"/><Relationship Id="rId644" Type="http://schemas.openxmlformats.org/officeDocument/2006/relationships/hyperlink" Target="https://dl.smwcentral.net/18669/Chain%20Reaction.zip" TargetMode="External"/><Relationship Id="rId1274" Type="http://schemas.openxmlformats.org/officeDocument/2006/relationships/hyperlink" Target="https://dl.smwcentral.net/22080/HITMK%20%28Music%20Fixed%29.zip" TargetMode="External"/><Relationship Id="rId2325" Type="http://schemas.openxmlformats.org/officeDocument/2006/relationships/hyperlink" Target="https://www.smwcentral.net/?a=details&amp;id=9967&amp;p=section" TargetMode="External"/><Relationship Id="rId711" Type="http://schemas.openxmlformats.org/officeDocument/2006/relationships/hyperlink" Target="https://www.smwcentral.net/?a=details&amp;id=32102&amp;p=section" TargetMode="External"/><Relationship Id="rId1341" Type="http://schemas.openxmlformats.org/officeDocument/2006/relationships/hyperlink" Target="https://www.smwcentral.net/?a=details&amp;id=28174&amp;p=section" TargetMode="External"/><Relationship Id="rId4497" Type="http://schemas.openxmlformats.org/officeDocument/2006/relationships/hyperlink" Target="https://www.smwcentral.net/?a=details&amp;id=33637&amp;p=section" TargetMode="External"/><Relationship Id="rId3099" Type="http://schemas.openxmlformats.org/officeDocument/2006/relationships/hyperlink" Target="https://www.smwcentral.net/?a=details&amp;id=40736&amp;p=section" TargetMode="External"/><Relationship Id="rId4564" Type="http://schemas.openxmlformats.org/officeDocument/2006/relationships/hyperlink" Target="https://dl.smwcentral.net/5003/Super%20Wario%20World%20Mini%20Quest%20Update%202%20%2B%202%20Bonus%20Games%20%28You%20need%20SMB%201%20and%20SMB%202%20roms%20and%20emulator%20for%20play%29%20%281%29.zip" TargetMode="External"/><Relationship Id="rId3166" Type="http://schemas.openxmlformats.org/officeDocument/2006/relationships/hyperlink" Target="https://dl.smwcentral.net/41660/simplydelicious.zip" TargetMode="External"/><Relationship Id="rId3580" Type="http://schemas.openxmlformats.org/officeDocument/2006/relationships/hyperlink" Target="https://dl.smwcentral.net/19661/Super%20Herbihalt%20World%202.zip" TargetMode="External"/><Relationship Id="rId4217" Type="http://schemas.openxmlformats.org/officeDocument/2006/relationships/hyperlink" Target="https://www.smwcentral.net/?a=details&amp;id=14829&amp;p=section" TargetMode="External"/><Relationship Id="rId2182" Type="http://schemas.openxmlformats.org/officeDocument/2006/relationships/hyperlink" Target="https://dl.smwcentral.net/38080/Mario%27s%20Low-Budget%20Adventure%20v1.2.zip" TargetMode="External"/><Relationship Id="rId3233" Type="http://schemas.openxmlformats.org/officeDocument/2006/relationships/hyperlink" Target="https://www.smwcentral.net/?a=details&amp;id=28099&amp;p=section" TargetMode="External"/><Relationship Id="rId4631" Type="http://schemas.openxmlformats.org/officeDocument/2006/relationships/hyperlink" Target="https://www.smwcentral.net/?a=details&amp;id=41830&amp;p=section" TargetMode="External"/><Relationship Id="rId154" Type="http://schemas.openxmlformats.org/officeDocument/2006/relationships/hyperlink" Target="https://dl.smwcentral.net/37976/Rose.zip" TargetMode="External"/><Relationship Id="rId2999" Type="http://schemas.openxmlformats.org/officeDocument/2006/relationships/hyperlink" Target="https://www.smwcentral.net/?a=details&amp;id=31185&amp;p=section" TargetMode="External"/><Relationship Id="rId3300" Type="http://schemas.openxmlformats.org/officeDocument/2006/relationships/hyperlink" Target="https://dl.smwcentral.net/28598/SAiMK.zip" TargetMode="External"/><Relationship Id="rId221" Type="http://schemas.openxmlformats.org/officeDocument/2006/relationships/hyperlink" Target="https://www.smwcentral.net/?a=details&amp;id=32218&amp;p=section" TargetMode="External"/><Relationship Id="rId5058" Type="http://schemas.openxmlformats.org/officeDocument/2006/relationships/hyperlink" Target="https://dl.smwcentral.net/26277/Think%20Fast.zip" TargetMode="External"/><Relationship Id="rId5472" Type="http://schemas.openxmlformats.org/officeDocument/2006/relationships/hyperlink" Target="https://dl.smwcentral.net/38263/You%20Shell%20Not%20Pass%201.2.zip" TargetMode="External"/><Relationship Id="rId1668" Type="http://schemas.openxmlformats.org/officeDocument/2006/relationships/hyperlink" Target="https://dl.smwcentral.net/39182/Le%20Connaisseur%20de%20Kaizo%20ver1_1.zip" TargetMode="External"/><Relationship Id="rId2719" Type="http://schemas.openxmlformats.org/officeDocument/2006/relationships/hyperlink" Target="https://www.smwcentral.net/?a=details&amp;id=27799&amp;p=section" TargetMode="External"/><Relationship Id="rId4074" Type="http://schemas.openxmlformats.org/officeDocument/2006/relationships/hyperlink" Target="https://dl.smwcentral.net/26093/SMW%20Future%202021%20Demo.zip" TargetMode="External"/><Relationship Id="rId5125" Type="http://schemas.openxmlformats.org/officeDocument/2006/relationships/hyperlink" Target="https://www.smwcentral.net/?a=details&amp;id=40125&amp;p=section" TargetMode="External"/><Relationship Id="rId3090" Type="http://schemas.openxmlformats.org/officeDocument/2006/relationships/hyperlink" Target="https://dl.smwcentral.net/24544/redeemer.zip" TargetMode="External"/><Relationship Id="rId4141" Type="http://schemas.openxmlformats.org/officeDocument/2006/relationships/hyperlink" Target="https://www.smwcentral.net/?a=details&amp;id=33943&amp;p=section" TargetMode="External"/><Relationship Id="rId1735" Type="http://schemas.openxmlformats.org/officeDocument/2006/relationships/hyperlink" Target="https://www.smwcentral.net/?a=details&amp;id=10057&amp;p=section" TargetMode="External"/><Relationship Id="rId27" Type="http://schemas.openxmlformats.org/officeDocument/2006/relationships/hyperlink" Target="https://www.smwcentral.net/?a=details&amp;id=40799&amp;p=section" TargetMode="External"/><Relationship Id="rId1802" Type="http://schemas.openxmlformats.org/officeDocument/2006/relationships/hyperlink" Target="https://dl.smwcentral.net/23606/luigi_super_adventure_c3_demo_v1.02.zip" TargetMode="External"/><Relationship Id="rId4958" Type="http://schemas.openxmlformats.org/officeDocument/2006/relationships/hyperlink" Target="https://dl.smwcentral.net/10135/SMW%20EXP%20v3.2%20The%20return%20to%20SMW%20%28Fixed%29.zip" TargetMode="External"/><Relationship Id="rId3974" Type="http://schemas.openxmlformats.org/officeDocument/2006/relationships/hyperlink" Target="https://dl.smwcentral.net/5356/Super%20Mario%20Underworld-%20Final%20Version.zip" TargetMode="External"/><Relationship Id="rId895" Type="http://schemas.openxmlformats.org/officeDocument/2006/relationships/hyperlink" Target="https://www.smwcentral.net/?a=details&amp;id=41481&amp;p=section" TargetMode="External"/><Relationship Id="rId2576" Type="http://schemas.openxmlformats.org/officeDocument/2006/relationships/hyperlink" Target="https://dl.smwcentral.net/18284/Ninja%20World%20v1.2.zip" TargetMode="External"/><Relationship Id="rId2990" Type="http://schemas.openxmlformats.org/officeDocument/2006/relationships/hyperlink" Target="https://dl.smwcentral.net/42259/Rosalina%27s%20Gold%20Saga.zip" TargetMode="External"/><Relationship Id="rId3627" Type="http://schemas.openxmlformats.org/officeDocument/2006/relationships/hyperlink" Target="https://www.smwcentral.net/?a=details&amp;id=16725&amp;p=section" TargetMode="External"/><Relationship Id="rId548" Type="http://schemas.openxmlformats.org/officeDocument/2006/relationships/hyperlink" Target="https://dl.smwcentral.net/33806/Bro%27s%20Adventure%20%28Demo%29.zip" TargetMode="External"/><Relationship Id="rId962" Type="http://schemas.openxmlformats.org/officeDocument/2006/relationships/hyperlink" Target="https://dl.smwcentral.net/32913/Eikro%20-%20The%20Children%20of%20Darloum.zip" TargetMode="External"/><Relationship Id="rId1178" Type="http://schemas.openxmlformats.org/officeDocument/2006/relationships/hyperlink" Target="https://dl.smwcentral.net/40683/good%20old%20days%20-%20recycle%20bin%20v1.11.zip" TargetMode="External"/><Relationship Id="rId1592" Type="http://schemas.openxmlformats.org/officeDocument/2006/relationships/hyperlink" Target="https://dl.smwcentral.net/10114/Kax.zip" TargetMode="External"/><Relationship Id="rId2229" Type="http://schemas.openxmlformats.org/officeDocument/2006/relationships/hyperlink" Target="https://www.smwcentral.net/?a=details&amp;id=16492&amp;p=section" TargetMode="External"/><Relationship Id="rId2643" Type="http://schemas.openxmlformats.org/officeDocument/2006/relationships/hyperlink" Target="https://www.smwcentral.net/?a=details&amp;id=23814&amp;p=section" TargetMode="External"/><Relationship Id="rId615" Type="http://schemas.openxmlformats.org/officeDocument/2006/relationships/hyperlink" Target="https://www.smwcentral.net/?a=details&amp;id=14348&amp;p=section" TargetMode="External"/><Relationship Id="rId1245" Type="http://schemas.openxmlformats.org/officeDocument/2006/relationships/hyperlink" Target="https://www.smwcentral.net/?a=details&amp;id=19588&amp;p=section" TargetMode="External"/><Relationship Id="rId1312" Type="http://schemas.openxmlformats.org/officeDocument/2006/relationships/hyperlink" Target="https://dl.smwcentral.net/40840/Hi%21%20v1.1.zip" TargetMode="External"/><Relationship Id="rId2710" Type="http://schemas.openxmlformats.org/officeDocument/2006/relationships/hyperlink" Target="https://dl.smwcentral.net/9691/Pandemonium%20Fortress.zip" TargetMode="External"/><Relationship Id="rId4468" Type="http://schemas.openxmlformats.org/officeDocument/2006/relationships/hyperlink" Target="https://dl.smwcentral.net/30548/Super%20Schrausch%20WORLD.zip" TargetMode="External"/><Relationship Id="rId4882" Type="http://schemas.openxmlformats.org/officeDocument/2006/relationships/hyperlink" Target="https://dl.smwcentral.net/5256/The%20Lost%20Land%202%20-%20The%204%20Switches.zip" TargetMode="External"/><Relationship Id="rId2086" Type="http://schemas.openxmlformats.org/officeDocument/2006/relationships/hyperlink" Target="https://dl.smwcentral.net/14571/Mario%20Vs.%20Big%20Boo%20-%20the%20ultimate%20epic%20showdown%20of%20destiny%20in%20a%20duel%20of%20life%2C%20death%20and%20bananas.zip" TargetMode="External"/><Relationship Id="rId3484" Type="http://schemas.openxmlformats.org/officeDocument/2006/relationships/hyperlink" Target="https://dl.smwcentral.net/34970/Super_Dank_World.zip" TargetMode="External"/><Relationship Id="rId4535" Type="http://schemas.openxmlformats.org/officeDocument/2006/relationships/hyperlink" Target="https://www.smwcentral.net/?a=details&amp;id=40212&amp;p=section" TargetMode="External"/><Relationship Id="rId3137" Type="http://schemas.openxmlformats.org/officeDocument/2006/relationships/hyperlink" Target="https://www.smwcentral.net/?a=details&amp;id=40687&amp;p=section" TargetMode="External"/><Relationship Id="rId3551" Type="http://schemas.openxmlformats.org/officeDocument/2006/relationships/hyperlink" Target="https://www.smwcentral.net/?a=details&amp;id=11932&amp;p=section" TargetMode="External"/><Relationship Id="rId4602" Type="http://schemas.openxmlformats.org/officeDocument/2006/relationships/hyperlink" Target="https://dl.smwcentral.net/29722/Renan%20SV%20Games%20atual.zip" TargetMode="External"/><Relationship Id="rId472" Type="http://schemas.openxmlformats.org/officeDocument/2006/relationships/hyperlink" Target="https://dl.smwcentral.net/28495/BoogieWonderLand_v2.0.zip" TargetMode="External"/><Relationship Id="rId2153" Type="http://schemas.openxmlformats.org/officeDocument/2006/relationships/hyperlink" Target="https://www.smwcentral.net/?a=details&amp;id=13877&amp;p=section" TargetMode="External"/><Relationship Id="rId3204" Type="http://schemas.openxmlformats.org/officeDocument/2006/relationships/hyperlink" Target="https://dl.smwcentral.net/32609/SMW_FOR_YOUR_KIDS_ONLY_v2.zip" TargetMode="External"/><Relationship Id="rId125" Type="http://schemas.openxmlformats.org/officeDocument/2006/relationships/hyperlink" Target="https://www.smwcentral.net/?a=details&amp;id=18734&amp;p=section" TargetMode="External"/><Relationship Id="rId2220" Type="http://schemas.openxmlformats.org/officeDocument/2006/relationships/hyperlink" Target="https://dl.smwcentral.net/8897/MRA.zip" TargetMode="External"/><Relationship Id="rId5376" Type="http://schemas.openxmlformats.org/officeDocument/2006/relationships/hyperlink" Target="https://dl.smwcentral.net/38285/WDMD.zip" TargetMode="External"/><Relationship Id="rId4392" Type="http://schemas.openxmlformats.org/officeDocument/2006/relationships/hyperlink" Target="https://dl.smwcentral.net/10045/Super%20Omelette%20World.zip" TargetMode="External"/><Relationship Id="rId5029" Type="http://schemas.openxmlformats.org/officeDocument/2006/relationships/hyperlink" Target="https://www.smwcentral.net/?a=details&amp;id=9653&amp;p=section" TargetMode="External"/><Relationship Id="rId5443" Type="http://schemas.openxmlformats.org/officeDocument/2006/relationships/hyperlink" Target="https://www.smwcentral.net/?a=details&amp;id=26473&amp;p=section" TargetMode="External"/><Relationship Id="rId1986" Type="http://schemas.openxmlformats.org/officeDocument/2006/relationships/hyperlink" Target="https://dl.smwcentral.net/35668/MarioGoldenPizza.zip" TargetMode="External"/><Relationship Id="rId4045" Type="http://schemas.openxmlformats.org/officeDocument/2006/relationships/hyperlink" Target="https://www.smwcentral.net/?a=details&amp;id=16483&amp;p=section" TargetMode="External"/><Relationship Id="rId1639" Type="http://schemas.openxmlformats.org/officeDocument/2006/relationships/hyperlink" Target="https://www.smwcentral.net/?a=details&amp;id=34900&amp;p=section" TargetMode="External"/><Relationship Id="rId3061" Type="http://schemas.openxmlformats.org/officeDocument/2006/relationships/hyperlink" Target="https://www.smwcentral.net/?a=details&amp;id=37146&amp;p=section" TargetMode="External"/><Relationship Id="rId1706" Type="http://schemas.openxmlformats.org/officeDocument/2006/relationships/hyperlink" Target="https://dl.smwcentral.net/9936/Lightning%20Crashes%201.2.zip" TargetMode="External"/><Relationship Id="rId4112" Type="http://schemas.openxmlformats.org/officeDocument/2006/relationships/hyperlink" Target="https://dl.smwcentral.net/13341/Super%20Mario%20World%20Ultra.zip" TargetMode="External"/><Relationship Id="rId3878" Type="http://schemas.openxmlformats.org/officeDocument/2006/relationships/hyperlink" Target="https://dl.smwcentral.net/10070/Miscland2.zip" TargetMode="External"/><Relationship Id="rId4929" Type="http://schemas.openxmlformats.org/officeDocument/2006/relationships/hyperlink" Target="https://www.smwcentral.net/?a=details&amp;id=32607&amp;p=section" TargetMode="External"/><Relationship Id="rId799" Type="http://schemas.openxmlformats.org/officeDocument/2006/relationships/hyperlink" Target="https://www.smwcentral.net/?a=details&amp;id=38109&amp;p=section" TargetMode="External"/><Relationship Id="rId2894" Type="http://schemas.openxmlformats.org/officeDocument/2006/relationships/hyperlink" Target="https://dl.smwcentral.net/30623/Rakugaki_Mario_1.11.zip" TargetMode="External"/><Relationship Id="rId866" Type="http://schemas.openxmlformats.org/officeDocument/2006/relationships/hyperlink" Target="https://dl.smwcentral.net/10087/Dinomar.zip" TargetMode="External"/><Relationship Id="rId1496" Type="http://schemas.openxmlformats.org/officeDocument/2006/relationships/hyperlink" Target="https://dl.smwcentral.net/9843/Just%20Another%20Mario%20Hack.zip" TargetMode="External"/><Relationship Id="rId2547" Type="http://schemas.openxmlformats.org/officeDocument/2006/relationships/hyperlink" Target="https://www.smwcentral.net/?a=details&amp;id=27026&amp;p=section" TargetMode="External"/><Relationship Id="rId3945" Type="http://schemas.openxmlformats.org/officeDocument/2006/relationships/hyperlink" Target="https://www.smwcentral.net/?a=details&amp;id=17597&amp;p=section" TargetMode="External"/><Relationship Id="rId519" Type="http://schemas.openxmlformats.org/officeDocument/2006/relationships/hyperlink" Target="https://www.smwcentral.net/?a=details&amp;id=10046&amp;p=section" TargetMode="External"/><Relationship Id="rId1149" Type="http://schemas.openxmlformats.org/officeDocument/2006/relationships/hyperlink" Target="https://www.smwcentral.net/?a=details&amp;id=33990&amp;p=section" TargetMode="External"/><Relationship Id="rId2961" Type="http://schemas.openxmlformats.org/officeDocument/2006/relationships/hyperlink" Target="https://www.smwcentral.net/?a=details&amp;id=9736&amp;p=section" TargetMode="External"/><Relationship Id="rId5020" Type="http://schemas.openxmlformats.org/officeDocument/2006/relationships/hyperlink" Target="https://dl.smwcentral.net/13148/The%20Treasure%20Huntv1.1.zip" TargetMode="External"/><Relationship Id="rId933" Type="http://schemas.openxmlformats.org/officeDocument/2006/relationships/hyperlink" Target="https://www.smwcentral.net/?a=details&amp;id=28586&amp;p=section" TargetMode="External"/><Relationship Id="rId1563" Type="http://schemas.openxmlformats.org/officeDocument/2006/relationships/hyperlink" Target="https://www.smwcentral.net/?a=details&amp;id=35278&amp;p=section" TargetMode="External"/><Relationship Id="rId2614" Type="http://schemas.openxmlformats.org/officeDocument/2006/relationships/hyperlink" Target="https://dl.smwcentral.net/14689/Nothing%20Special%20Version%200.6.zip" TargetMode="External"/><Relationship Id="rId1216" Type="http://schemas.openxmlformats.org/officeDocument/2006/relationships/hyperlink" Target="https://dl.smwcentral.net/10226/Hunter%27s_Quest_Demo2.zip" TargetMode="External"/><Relationship Id="rId1630" Type="http://schemas.openxmlformats.org/officeDocument/2006/relationships/hyperlink" Target="https://dl.smwcentral.net/24477/Kruela%20Mario%202%20v1.2.zip" TargetMode="External"/><Relationship Id="rId4786" Type="http://schemas.openxmlformats.org/officeDocument/2006/relationships/hyperlink" Target="https://dl.smwcentral.net/9986/The%20Forest%20of%20Rovaki.zip" TargetMode="External"/><Relationship Id="rId3388" Type="http://schemas.openxmlformats.org/officeDocument/2006/relationships/hyperlink" Target="https://dl.smwcentral.net/27331/Streak%20of%20Tigers%202.zip" TargetMode="External"/><Relationship Id="rId4439" Type="http://schemas.openxmlformats.org/officeDocument/2006/relationships/hyperlink" Target="https://www.smwcentral.net/?a=details&amp;id=42386&amp;p=section" TargetMode="External"/><Relationship Id="rId4853" Type="http://schemas.openxmlformats.org/officeDocument/2006/relationships/hyperlink" Target="https://www.smwcentral.net/?a=details&amp;id=17256&amp;p=section" TargetMode="External"/><Relationship Id="rId3455" Type="http://schemas.openxmlformats.org/officeDocument/2006/relationships/hyperlink" Target="https://www.smwcentral.net/?a=details&amp;id=27116&amp;p=section" TargetMode="External"/><Relationship Id="rId4506" Type="http://schemas.openxmlformats.org/officeDocument/2006/relationships/hyperlink" Target="https://dl.smwcentral.net/34008/Super%20Struggler%20World.zip" TargetMode="External"/><Relationship Id="rId376" Type="http://schemas.openxmlformats.org/officeDocument/2006/relationships/hyperlink" Target="https://dl.smwcentral.net/38701/bakers1.1.zip" TargetMode="External"/><Relationship Id="rId790" Type="http://schemas.openxmlformats.org/officeDocument/2006/relationships/hyperlink" Target="https://dl.smwcentral.net/39486/DOLLS.zip" TargetMode="External"/><Relationship Id="rId2057" Type="http://schemas.openxmlformats.org/officeDocument/2006/relationships/hyperlink" Target="https://www.smwcentral.net/?a=details&amp;id=29857&amp;p=section" TargetMode="External"/><Relationship Id="rId2471" Type="http://schemas.openxmlformats.org/officeDocument/2006/relationships/hyperlink" Target="https://www.smwcentral.net/?a=details&amp;id=32847&amp;p=section" TargetMode="External"/><Relationship Id="rId3108" Type="http://schemas.openxmlformats.org/officeDocument/2006/relationships/hyperlink" Target="https://dl.smwcentral.net/25495/ShellsDeliveryDeluxe.zip" TargetMode="External"/><Relationship Id="rId3522" Type="http://schemas.openxmlformats.org/officeDocument/2006/relationships/hyperlink" Target="https://dl.smwcentral.net/9836/Super%20Enemy%20World.zip" TargetMode="External"/><Relationship Id="rId4920" Type="http://schemas.openxmlformats.org/officeDocument/2006/relationships/hyperlink" Target="https://dl.smwcentral.net/5294/The%20New%20Mario%20World%20V1.1.zip" TargetMode="External"/><Relationship Id="rId443" Type="http://schemas.openxmlformats.org/officeDocument/2006/relationships/hyperlink" Target="https://www.smwcentral.net/?a=details&amp;id=5527&amp;p=section" TargetMode="External"/><Relationship Id="rId1073" Type="http://schemas.openxmlformats.org/officeDocument/2006/relationships/hyperlink" Target="https://www.smwcentral.net/?a=details&amp;id=34838&amp;p=section" TargetMode="External"/><Relationship Id="rId2124" Type="http://schemas.openxmlformats.org/officeDocument/2006/relationships/hyperlink" Target="https://dl.smwcentral.net/16326/Mario%27s%20Awesome%20Journey%20Demo%202.zip" TargetMode="External"/><Relationship Id="rId1140" Type="http://schemas.openxmlformats.org/officeDocument/2006/relationships/hyperlink" Target="https://dl.smwcentral.net/13313/GBB3.zip" TargetMode="External"/><Relationship Id="rId4296" Type="http://schemas.openxmlformats.org/officeDocument/2006/relationships/hyperlink" Target="https://dl.smwcentral.net/9768/Summer%20Goes%20Wrong.zip" TargetMode="External"/><Relationship Id="rId510" Type="http://schemas.openxmlformats.org/officeDocument/2006/relationships/hyperlink" Target="https://dl.smwcentral.net/9707/BDC2.zip" TargetMode="External"/><Relationship Id="rId5347" Type="http://schemas.openxmlformats.org/officeDocument/2006/relationships/hyperlink" Target="https://www.smwcentral.net/?a=details&amp;id=11026&amp;p=section" TargetMode="External"/><Relationship Id="rId1957" Type="http://schemas.openxmlformats.org/officeDocument/2006/relationships/hyperlink" Target="https://www.smwcentral.net/?a=details&amp;id=22412&amp;p=section" TargetMode="External"/><Relationship Id="rId4363" Type="http://schemas.openxmlformats.org/officeDocument/2006/relationships/hyperlink" Target="https://www.smwcentral.net/?a=details&amp;id=31128&amp;p=section" TargetMode="External"/><Relationship Id="rId5414" Type="http://schemas.openxmlformats.org/officeDocument/2006/relationships/hyperlink" Target="https://dl.smwcentral.net/32940/CoolMathHacks.zip" TargetMode="External"/><Relationship Id="rId4016" Type="http://schemas.openxmlformats.org/officeDocument/2006/relationships/hyperlink" Target="https://dl.smwcentral.net/32917/SMWPAE.zip" TargetMode="External"/><Relationship Id="rId4430" Type="http://schemas.openxmlformats.org/officeDocument/2006/relationships/hyperlink" Target="https://dl.smwcentral.net/14874/SPL2RN1.zip" TargetMode="External"/><Relationship Id="rId3032" Type="http://schemas.openxmlformats.org/officeDocument/2006/relationships/hyperlink" Target="https://dl.smwcentral.net/41690/Sauna%20Mario%20World%202%20v1.31.zip" TargetMode="External"/><Relationship Id="rId2798" Type="http://schemas.openxmlformats.org/officeDocument/2006/relationships/hyperlink" Target="https://dl.smwcentral.net/14907/Po%27s%20adventure%20neko%20burst.zip" TargetMode="External"/><Relationship Id="rId3849" Type="http://schemas.openxmlformats.org/officeDocument/2006/relationships/hyperlink" Target="https://www.smwcentral.net/?a=details&amp;id=13342&amp;p=section" TargetMode="External"/><Relationship Id="rId5271" Type="http://schemas.openxmlformats.org/officeDocument/2006/relationships/hyperlink" Target="https://www.smwcentral.net/?a=details&amp;id=39643&amp;p=section" TargetMode="External"/><Relationship Id="rId2865" Type="http://schemas.openxmlformats.org/officeDocument/2006/relationships/hyperlink" Target="https://www.smwcentral.net/?a=details&amp;id=25307&amp;p=section" TargetMode="External"/><Relationship Id="rId3916" Type="http://schemas.openxmlformats.org/officeDocument/2006/relationships/hyperlink" Target="https://dl.smwcentral.net/42235/SMM%20-%20Demo%20V1.1.zip" TargetMode="External"/><Relationship Id="rId837" Type="http://schemas.openxmlformats.org/officeDocument/2006/relationships/hyperlink" Target="https://www.smwcentral.net/?a=details&amp;id=22110&amp;p=section" TargetMode="External"/><Relationship Id="rId1467" Type="http://schemas.openxmlformats.org/officeDocument/2006/relationships/hyperlink" Target="https://www.smwcentral.net/?a=details&amp;id=41192&amp;p=section" TargetMode="External"/><Relationship Id="rId1881" Type="http://schemas.openxmlformats.org/officeDocument/2006/relationships/hyperlink" Target="https://www.smwcentral.net/?a=details&amp;id=9846&amp;p=section" TargetMode="External"/><Relationship Id="rId2518" Type="http://schemas.openxmlformats.org/officeDocument/2006/relationships/hyperlink" Target="https://dl.smwcentral.net/20656/NSMPW.zip" TargetMode="External"/><Relationship Id="rId2932" Type="http://schemas.openxmlformats.org/officeDocument/2006/relationships/hyperlink" Target="https://dl.smwcentral.net/13087/SMB%20REMAKE.zip" TargetMode="External"/><Relationship Id="rId904" Type="http://schemas.openxmlformats.org/officeDocument/2006/relationships/hyperlink" Target="https://dl.smwcentral.net/32883/Doro%20Kaizo.zip" TargetMode="External"/><Relationship Id="rId1534" Type="http://schemas.openxmlformats.org/officeDocument/2006/relationships/hyperlink" Target="https://dl.smwcentral.net/31756/KaizoCrisis.zip" TargetMode="External"/><Relationship Id="rId1601" Type="http://schemas.openxmlformats.org/officeDocument/2006/relationships/hyperlink" Target="https://www.smwcentral.net/?a=details&amp;id=39426&amp;p=section" TargetMode="External"/><Relationship Id="rId4757" Type="http://schemas.openxmlformats.org/officeDocument/2006/relationships/hyperlink" Target="https://www.smwcentral.net/?a=details&amp;id=6693&amp;p=section" TargetMode="External"/><Relationship Id="rId3359" Type="http://schemas.openxmlformats.org/officeDocument/2006/relationships/hyperlink" Target="https://www.smwcentral.net/?a=details&amp;id=42496&amp;p=section" TargetMode="External"/><Relationship Id="rId694" Type="http://schemas.openxmlformats.org/officeDocument/2006/relationships/hyperlink" Target="https://dl.smwcentral.net/38758/Chuck%20Must%20Die.zip" TargetMode="External"/><Relationship Id="rId2375" Type="http://schemas.openxmlformats.org/officeDocument/2006/relationships/hyperlink" Target="https://www.smwcentral.net/?a=details&amp;id=25403&amp;p=section" TargetMode="External"/><Relationship Id="rId3773" Type="http://schemas.openxmlformats.org/officeDocument/2006/relationships/hyperlink" Target="https://www.smwcentral.net/?a=details&amp;id=9682&amp;p=section" TargetMode="External"/><Relationship Id="rId4824" Type="http://schemas.openxmlformats.org/officeDocument/2006/relationships/hyperlink" Target="https://dl.smwcentral.net/28709/The%20Hackening.zip" TargetMode="External"/><Relationship Id="rId347" Type="http://schemas.openxmlformats.org/officeDocument/2006/relationships/hyperlink" Target="https://www.smwcentral.net/?a=details&amp;id=9857&amp;p=section" TargetMode="External"/><Relationship Id="rId2028" Type="http://schemas.openxmlformats.org/officeDocument/2006/relationships/hyperlink" Target="https://dl.smwcentral.net/13907/MMD2.zip" TargetMode="External"/><Relationship Id="rId3426" Type="http://schemas.openxmlformats.org/officeDocument/2006/relationships/hyperlink" Target="https://dl.smwcentral.net/25055/Super%20Beco%20World%202.zip" TargetMode="External"/><Relationship Id="rId3840" Type="http://schemas.openxmlformats.org/officeDocument/2006/relationships/hyperlink" Target="https://dl.smwcentral.net/14786/Super%20Mario%20Dream%20World.zip" TargetMode="External"/><Relationship Id="rId761" Type="http://schemas.openxmlformats.org/officeDocument/2006/relationships/hyperlink" Target="https://www.smwcentral.net/?a=details&amp;id=40194&amp;p=section" TargetMode="External"/><Relationship Id="rId1391" Type="http://schemas.openxmlformats.org/officeDocument/2006/relationships/hyperlink" Target="https://www.smwcentral.net/?a=details&amp;id=9759&amp;p=section" TargetMode="External"/><Relationship Id="rId2442" Type="http://schemas.openxmlformats.org/officeDocument/2006/relationships/hyperlink" Target="https://dl.smwcentral.net/38704/Myloveisallwrong.zip" TargetMode="External"/><Relationship Id="rId414" Type="http://schemas.openxmlformats.org/officeDocument/2006/relationships/hyperlink" Target="https://dl.smwcentral.net/38171/Shroomskickin.zip" TargetMode="External"/><Relationship Id="rId1044" Type="http://schemas.openxmlformats.org/officeDocument/2006/relationships/hyperlink" Target="https://dl.smwcentral.net/32733/FailWorld.zip" TargetMode="External"/><Relationship Id="rId1111" Type="http://schemas.openxmlformats.org/officeDocument/2006/relationships/hyperlink" Target="https://www.smwcentral.net/?a=details&amp;id=22299&amp;p=section" TargetMode="External"/><Relationship Id="rId4267" Type="http://schemas.openxmlformats.org/officeDocument/2006/relationships/hyperlink" Target="https://www.smwcentral.net/?a=details&amp;id=9640&amp;p=section" TargetMode="External"/><Relationship Id="rId4681" Type="http://schemas.openxmlformats.org/officeDocument/2006/relationships/hyperlink" Target="https://www.smwcentral.net/?a=details&amp;id=40909&amp;p=section" TargetMode="External"/><Relationship Id="rId5318" Type="http://schemas.openxmlformats.org/officeDocument/2006/relationships/hyperlink" Target="https://dl.smwcentral.net/36682/VOQBON.zip" TargetMode="External"/><Relationship Id="rId3283" Type="http://schemas.openxmlformats.org/officeDocument/2006/relationships/hyperlink" Target="https://www.smwcentral.net/?a=details&amp;id=22030&amp;p=section" TargetMode="External"/><Relationship Id="rId4334" Type="http://schemas.openxmlformats.org/officeDocument/2006/relationships/hyperlink" Target="https://dl.smwcentral.net/27220/Super%20Mona%20World%201.5.zip" TargetMode="External"/><Relationship Id="rId1928" Type="http://schemas.openxmlformats.org/officeDocument/2006/relationships/hyperlink" Target="https://dl.smwcentral.net/9764/MFDemoC3.zip" TargetMode="External"/><Relationship Id="rId3350" Type="http://schemas.openxmlformats.org/officeDocument/2006/relationships/hyperlink" Target="https://dl.smwcentral.net/41326/stackup.zip" TargetMode="External"/><Relationship Id="rId271" Type="http://schemas.openxmlformats.org/officeDocument/2006/relationships/hyperlink" Target="https://www.smwcentral.net/?a=details&amp;id=27795&amp;p=section" TargetMode="External"/><Relationship Id="rId3003" Type="http://schemas.openxmlformats.org/officeDocument/2006/relationships/hyperlink" Target="https://www.smwcentral.net/?a=details&amp;id=41900&amp;p=section" TargetMode="External"/><Relationship Id="rId4401" Type="http://schemas.openxmlformats.org/officeDocument/2006/relationships/hyperlink" Target="https://www.smwcentral.net/?a=details&amp;id=15561&amp;p=section" TargetMode="External"/><Relationship Id="rId2769" Type="http://schemas.openxmlformats.org/officeDocument/2006/relationships/hyperlink" Target="https://www.smwcentral.net/?a=details&amp;id=32328&amp;p=section" TargetMode="External"/><Relationship Id="rId5175" Type="http://schemas.openxmlformats.org/officeDocument/2006/relationships/hyperlink" Target="https://www.smwcentral.net/?a=details&amp;id=42703&amp;p=section" TargetMode="External"/><Relationship Id="rId1785" Type="http://schemas.openxmlformats.org/officeDocument/2006/relationships/hyperlink" Target="https://www.smwcentral.net/?a=details&amp;id=15802&amp;p=section" TargetMode="External"/><Relationship Id="rId2836" Type="http://schemas.openxmlformats.org/officeDocument/2006/relationships/hyperlink" Target="https://dl.smwcentral.net/10042/PMW%20%28Demo%202%29.zip" TargetMode="External"/><Relationship Id="rId4191" Type="http://schemas.openxmlformats.org/officeDocument/2006/relationships/hyperlink" Target="https://www.smwcentral.net/?a=details&amp;id=11004&amp;p=section" TargetMode="External"/><Relationship Id="rId5242" Type="http://schemas.openxmlformats.org/officeDocument/2006/relationships/hyperlink" Target="https://dl.smwcentral.net/25234/UnknownIslandz.zip" TargetMode="External"/><Relationship Id="rId77" Type="http://schemas.openxmlformats.org/officeDocument/2006/relationships/hyperlink" Target="https://www.smwcentral.net/?a=details&amp;id=14593&amp;p=section" TargetMode="External"/><Relationship Id="rId808" Type="http://schemas.openxmlformats.org/officeDocument/2006/relationships/hyperlink" Target="https://dl.smwcentral.net/39786/Darkside%202.41.zip" TargetMode="External"/><Relationship Id="rId1438" Type="http://schemas.openxmlformats.org/officeDocument/2006/relationships/hyperlink" Target="https://dl.smwcentral.net/37641/ja_tack_v1.1.zip" TargetMode="External"/><Relationship Id="rId1852" Type="http://schemas.openxmlformats.org/officeDocument/2006/relationships/hyperlink" Target="https://dl.smwcentral.net/12162/Starlight%20Island%20Adventure.zip" TargetMode="External"/><Relationship Id="rId2903" Type="http://schemas.openxmlformats.org/officeDocument/2006/relationships/hyperlink" Target="https://www.smwcentral.net/?a=details&amp;id=40631&amp;p=section" TargetMode="External"/><Relationship Id="rId1505" Type="http://schemas.openxmlformats.org/officeDocument/2006/relationships/hyperlink" Target="https://www.smwcentral.net/?a=details&amp;id=33880&amp;p=section" TargetMode="External"/><Relationship Id="rId3677" Type="http://schemas.openxmlformats.org/officeDocument/2006/relationships/hyperlink" Target="https://www.smwcentral.net/?a=details&amp;id=9717&amp;p=section" TargetMode="External"/><Relationship Id="rId4728" Type="http://schemas.openxmlformats.org/officeDocument/2006/relationships/hyperlink" Target="https://dl.smwcentral.net/9788/The%20Big%20Fish%20Chrisis.zip" TargetMode="External"/><Relationship Id="rId598" Type="http://schemas.openxmlformats.org/officeDocument/2006/relationships/hyperlink" Target="https://dl.smwcentral.net/39796/Cape%20is%20Good%201.3.zip" TargetMode="External"/><Relationship Id="rId2279" Type="http://schemas.openxmlformats.org/officeDocument/2006/relationships/hyperlink" Target="https://www.smwcentral.net/?a=details&amp;id=21156&amp;p=section" TargetMode="External"/><Relationship Id="rId2693" Type="http://schemas.openxmlformats.org/officeDocument/2006/relationships/hyperlink" Target="https://www.smwcentral.net/?a=details&amp;id=33774&amp;p=section" TargetMode="External"/><Relationship Id="rId3744" Type="http://schemas.openxmlformats.org/officeDocument/2006/relationships/hyperlink" Target="https://dl.smwcentral.net/21493/Super%20Mario%20Archipelago.zip" TargetMode="External"/><Relationship Id="rId665" Type="http://schemas.openxmlformats.org/officeDocument/2006/relationships/hyperlink" Target="https://www.smwcentral.net/?a=details&amp;id=38787&amp;p=section" TargetMode="External"/><Relationship Id="rId1295" Type="http://schemas.openxmlformats.org/officeDocument/2006/relationships/hyperlink" Target="https://www.smwcentral.net/?a=details&amp;id=22581&amp;p=section" TargetMode="External"/><Relationship Id="rId2346" Type="http://schemas.openxmlformats.org/officeDocument/2006/relationships/hyperlink" Target="https://dl.smwcentral.net/33449/Memorabilia.zip" TargetMode="External"/><Relationship Id="rId2760" Type="http://schemas.openxmlformats.org/officeDocument/2006/relationships/hyperlink" Target="https://dl.smwcentral.net/42291/Pineapple%20Porcupine%202.zip" TargetMode="External"/><Relationship Id="rId3811" Type="http://schemas.openxmlformats.org/officeDocument/2006/relationships/hyperlink" Target="https://www.smwcentral.net/?a=details&amp;id=9729&amp;p=section" TargetMode="External"/><Relationship Id="rId318" Type="http://schemas.openxmlformats.org/officeDocument/2006/relationships/hyperlink" Target="https://dl.smwcentral.net/10048/App%20Strike%28v2%29.zip" TargetMode="External"/><Relationship Id="rId732" Type="http://schemas.openxmlformats.org/officeDocument/2006/relationships/hyperlink" Target="https://dl.smwcentral.net/14289/Combo%20Killer%20Ultra%20Alpha%20Turbo%20HD%20Remix%2C%20Arcade%20Edition.zip" TargetMode="External"/><Relationship Id="rId1362" Type="http://schemas.openxmlformats.org/officeDocument/2006/relationships/hyperlink" Target="https://dl.smwcentral.net/37866/Icarus.zip" TargetMode="External"/><Relationship Id="rId2413" Type="http://schemas.openxmlformats.org/officeDocument/2006/relationships/hyperlink" Target="https://www.smwcentral.net/?a=details&amp;id=21997&amp;p=section" TargetMode="External"/><Relationship Id="rId1015" Type="http://schemas.openxmlformats.org/officeDocument/2006/relationships/hyperlink" Target="https://www.smwcentral.net/?a=details&amp;id=32358&amp;p=section" TargetMode="External"/><Relationship Id="rId4585" Type="http://schemas.openxmlformats.org/officeDocument/2006/relationships/hyperlink" Target="https://www.smwcentral.net/?a=details&amp;id=22479&amp;p=section" TargetMode="External"/><Relationship Id="rId3187" Type="http://schemas.openxmlformats.org/officeDocument/2006/relationships/hyperlink" Target="https://www.smwcentral.net/?a=details&amp;id=28210&amp;p=section" TargetMode="External"/><Relationship Id="rId4238" Type="http://schemas.openxmlformats.org/officeDocument/2006/relationships/hyperlink" Target="https://dl.smwcentral.net/5370/Super_Mario_Worldwide_2.zip" TargetMode="External"/><Relationship Id="rId4652" Type="http://schemas.openxmlformats.org/officeDocument/2006/relationships/hyperlink" Target="https://dl.smwcentral.net/25215/Tebeo.bps.zip" TargetMode="External"/><Relationship Id="rId175" Type="http://schemas.openxmlformats.org/officeDocument/2006/relationships/hyperlink" Target="https://www.smwcentral.net/?a=details&amp;id=34830&amp;p=section" TargetMode="External"/><Relationship Id="rId3254" Type="http://schemas.openxmlformats.org/officeDocument/2006/relationships/hyperlink" Target="https://dl.smwcentral.net/32335/SMW%20with%20Levels%20from%20Super%20Boy%203.zip" TargetMode="External"/><Relationship Id="rId4305" Type="http://schemas.openxmlformats.org/officeDocument/2006/relationships/hyperlink" Target="https://www.smwcentral.net/?a=details&amp;id=24582&amp;p=section" TargetMode="External"/><Relationship Id="rId2270" Type="http://schemas.openxmlformats.org/officeDocument/2006/relationships/hyperlink" Target="https://dl.smwcentral.net/9693/MUH.zip" TargetMode="External"/><Relationship Id="rId3321" Type="http://schemas.openxmlformats.org/officeDocument/2006/relationships/hyperlink" Target="https://www.smwcentral.net/?a=details&amp;id=6760&amp;p=section" TargetMode="External"/><Relationship Id="rId242" Type="http://schemas.openxmlformats.org/officeDocument/2006/relationships/hyperlink" Target="https://dl.smwcentral.net/5471/Aether%20TPO.zip" TargetMode="External"/><Relationship Id="rId5079" Type="http://schemas.openxmlformats.org/officeDocument/2006/relationships/hyperlink" Target="https://www.smwcentral.net/?a=details&amp;id=41580&amp;p=section" TargetMode="External"/><Relationship Id="rId5493" Type="http://schemas.openxmlformats.org/officeDocument/2006/relationships/hyperlink" Target="https://www.smwcentral.net/?a=details&amp;id=32897&amp;p=section" TargetMode="External"/><Relationship Id="rId1689" Type="http://schemas.openxmlformats.org/officeDocument/2006/relationships/hyperlink" Target="https://www.smwcentral.net/?a=details&amp;id=22972&amp;p=section" TargetMode="External"/><Relationship Id="rId4095" Type="http://schemas.openxmlformats.org/officeDocument/2006/relationships/hyperlink" Target="https://www.smwcentral.net/?a=details&amp;id=10289&amp;p=section" TargetMode="External"/><Relationship Id="rId5146" Type="http://schemas.openxmlformats.org/officeDocument/2006/relationships/hyperlink" Target="https://dl.smwcentral.net/26296/TotemoTanoshiWorld_v1.02.zip" TargetMode="External"/><Relationship Id="rId4162" Type="http://schemas.openxmlformats.org/officeDocument/2006/relationships/hyperlink" Target="https://dl.smwcentral.net/9840/Iggy%27s%20Island%20Zip.zip" TargetMode="External"/><Relationship Id="rId5213" Type="http://schemas.openxmlformats.org/officeDocument/2006/relationships/hyperlink" Target="https://www.smwcentral.net/?a=details&amp;id=24272&amp;p=section" TargetMode="External"/><Relationship Id="rId1756" Type="http://schemas.openxmlformats.org/officeDocument/2006/relationships/hyperlink" Target="https://dl.smwcentral.net/39174/Luigi%20and%20the%20Mysterious%20Portals.zip" TargetMode="External"/><Relationship Id="rId2807" Type="http://schemas.openxmlformats.org/officeDocument/2006/relationships/hyperlink" Target="https://www.smwcentral.net/?a=details&amp;id=27893&amp;p=section" TargetMode="External"/><Relationship Id="rId48" Type="http://schemas.openxmlformats.org/officeDocument/2006/relationships/hyperlink" Target="https://dl.smwcentral.net/37821/2k%20Shells%20v1.1.zip" TargetMode="External"/><Relationship Id="rId1409" Type="http://schemas.openxmlformats.org/officeDocument/2006/relationships/hyperlink" Target="https://www.smwcentral.net/?a=details&amp;id=38124&amp;p=section" TargetMode="External"/><Relationship Id="rId1823" Type="http://schemas.openxmlformats.org/officeDocument/2006/relationships/hyperlink" Target="https://www.smwcentral.net/?a=details&amp;id=39844&amp;p=section" TargetMode="External"/><Relationship Id="rId4979" Type="http://schemas.openxmlformats.org/officeDocument/2006/relationships/hyperlink" Target="https://www.smwcentral.net/?a=details&amp;id=16696&amp;p=section" TargetMode="External"/><Relationship Id="rId3995" Type="http://schemas.openxmlformats.org/officeDocument/2006/relationships/hyperlink" Target="https://www.smwcentral.net/?a=details&amp;id=33731&amp;p=section" TargetMode="External"/><Relationship Id="rId2597" Type="http://schemas.openxmlformats.org/officeDocument/2006/relationships/hyperlink" Target="https://www.smwcentral.net/?a=details&amp;id=39737&amp;p=section" TargetMode="External"/><Relationship Id="rId3648" Type="http://schemas.openxmlformats.org/officeDocument/2006/relationships/hyperlink" Target="https://dl.smwcentral.net/32714/Super_Little_Miss_ADD_World_v1_0.zip" TargetMode="External"/><Relationship Id="rId569" Type="http://schemas.openxmlformats.org/officeDocument/2006/relationships/hyperlink" Target="https://www.smwcentral.net/?a=details&amp;id=24356&amp;p=section" TargetMode="External"/><Relationship Id="rId983" Type="http://schemas.openxmlformats.org/officeDocument/2006/relationships/hyperlink" Target="https://www.smwcentral.net/?a=details&amp;id=23363&amp;p=section" TargetMode="External"/><Relationship Id="rId1199" Type="http://schemas.openxmlformats.org/officeDocument/2006/relationships/hyperlink" Target="https://www.smwcentral.net/?a=details&amp;id=10342&amp;p=section" TargetMode="External"/><Relationship Id="rId2664" Type="http://schemas.openxmlformats.org/officeDocument/2006/relationships/hyperlink" Target="https://dl.smwcentral.net/38931/Onegai%20My%20Melody%20-%20Detour%20Land%20Conquest%20v1.1.zip" TargetMode="External"/><Relationship Id="rId5070" Type="http://schemas.openxmlformats.org/officeDocument/2006/relationships/hyperlink" Target="https://dl.smwcentral.net/42425/ThisIsWhyWeKaizo.zip" TargetMode="External"/><Relationship Id="rId636" Type="http://schemas.openxmlformats.org/officeDocument/2006/relationships/hyperlink" Target="https://dl.smwcentral.net/25656/CaveatEmptor2v1.11.zip" TargetMode="External"/><Relationship Id="rId1266" Type="http://schemas.openxmlformats.org/officeDocument/2006/relationships/hyperlink" Target="https://dl.smwcentral.net/41815/Hage%20World%202.zip" TargetMode="External"/><Relationship Id="rId2317" Type="http://schemas.openxmlformats.org/officeDocument/2006/relationships/hyperlink" Target="https://www.smwcentral.net/?a=details&amp;id=5534&amp;p=section" TargetMode="External"/><Relationship Id="rId3715" Type="http://schemas.openxmlformats.org/officeDocument/2006/relationships/hyperlink" Target="https://www.smwcentral.net/?a=details&amp;id=5267&amp;p=section" TargetMode="External"/><Relationship Id="rId1680" Type="http://schemas.openxmlformats.org/officeDocument/2006/relationships/hyperlink" Target="https://dl.smwcentral.net/5451/LOTR%20Venus.zip" TargetMode="External"/><Relationship Id="rId2731" Type="http://schemas.openxmlformats.org/officeDocument/2006/relationships/hyperlink" Target="https://www.smwcentral.net/?a=details&amp;id=42230&amp;p=section" TargetMode="External"/><Relationship Id="rId703" Type="http://schemas.openxmlformats.org/officeDocument/2006/relationships/hyperlink" Target="https://www.smwcentral.net/?a=details&amp;id=19817&amp;p=section" TargetMode="External"/><Relationship Id="rId1333" Type="http://schemas.openxmlformats.org/officeDocument/2006/relationships/hyperlink" Target="https://www.smwcentral.net/?a=details&amp;id=21700&amp;p=section" TargetMode="External"/><Relationship Id="rId4489" Type="http://schemas.openxmlformats.org/officeDocument/2006/relationships/hyperlink" Target="https://www.smwcentral.net/?a=details&amp;id=30661&amp;p=section" TargetMode="External"/><Relationship Id="rId1400" Type="http://schemas.openxmlformats.org/officeDocument/2006/relationships/hyperlink" Target="https://dl.smwcentral.net/40565/Incredibous%20Shells%202.zip" TargetMode="External"/><Relationship Id="rId4556" Type="http://schemas.openxmlformats.org/officeDocument/2006/relationships/hyperlink" Target="https://dl.smwcentral.net/28294/Super_Waluigi_World.zip" TargetMode="External"/><Relationship Id="rId4970" Type="http://schemas.openxmlformats.org/officeDocument/2006/relationships/hyperlink" Target="https://dl.smwcentral.net/18601/TheSapphireV1.1%281%29.zip" TargetMode="External"/><Relationship Id="rId3158" Type="http://schemas.openxmlformats.org/officeDocument/2006/relationships/hyperlink" Target="https://dl.smwcentral.net/27199/Silencio1.1.zip" TargetMode="External"/><Relationship Id="rId3572" Type="http://schemas.openxmlformats.org/officeDocument/2006/relationships/hyperlink" Target="https://dl.smwcentral.net/9964/Super%20Hacked%20World%20%28V1.1%29%20%5BDemo%20Release%201%5D.zip" TargetMode="External"/><Relationship Id="rId4209" Type="http://schemas.openxmlformats.org/officeDocument/2006/relationships/hyperlink" Target="https://www.smwcentral.net/?a=details&amp;id=10062&amp;p=section" TargetMode="External"/><Relationship Id="rId4623" Type="http://schemas.openxmlformats.org/officeDocument/2006/relationships/hyperlink" Target="https://www.smwcentral.net/?a=details&amp;id=23272&amp;p=section" TargetMode="External"/><Relationship Id="rId493" Type="http://schemas.openxmlformats.org/officeDocument/2006/relationships/hyperlink" Target="https://www.smwcentral.net/?a=details&amp;id=10488&amp;p=section" TargetMode="External"/><Relationship Id="rId2174" Type="http://schemas.openxmlformats.org/officeDocument/2006/relationships/hyperlink" Target="https://dl.smwcentral.net/15797/KTR.zip" TargetMode="External"/><Relationship Id="rId3225" Type="http://schemas.openxmlformats.org/officeDocument/2006/relationships/hyperlink" Target="https://www.smwcentral.net/?a=details&amp;id=9683&amp;p=section" TargetMode="External"/><Relationship Id="rId146" Type="http://schemas.openxmlformats.org/officeDocument/2006/relationships/hyperlink" Target="https://dl.smwcentral.net/28856/A_Plumber_For_All_Seasons_2021-11-22.zip" TargetMode="External"/><Relationship Id="rId560" Type="http://schemas.openxmlformats.org/officeDocument/2006/relationships/hyperlink" Target="https://dl.smwcentral.net/36816/Buddy_Shell2.zip" TargetMode="External"/><Relationship Id="rId1190" Type="http://schemas.openxmlformats.org/officeDocument/2006/relationships/hyperlink" Target="https://bin.smwcentral.net/u/32572/Grand_Poo_World_3.bps" TargetMode="External"/><Relationship Id="rId2241" Type="http://schemas.openxmlformats.org/officeDocument/2006/relationships/hyperlink" Target="https://www.smwcentral.net/?a=details&amp;id=35659&amp;p=section" TargetMode="External"/><Relationship Id="rId5397" Type="http://schemas.openxmlformats.org/officeDocument/2006/relationships/hyperlink" Target="https://www.smwcentral.net/?a=details&amp;id=33326&amp;p=section" TargetMode="External"/><Relationship Id="rId213" Type="http://schemas.openxmlformats.org/officeDocument/2006/relationships/hyperlink" Target="https://www.smwcentral.net/?a=details&amp;id=18626&amp;p=section" TargetMode="External"/><Relationship Id="rId4066" Type="http://schemas.openxmlformats.org/officeDocument/2006/relationships/hyperlink" Target="https://dl.smwcentral.net/42545/%5BHack%5D%20Super%20Mario%20World%20Challenges%202%20v1.0.2..zip" TargetMode="External"/><Relationship Id="rId5464" Type="http://schemas.openxmlformats.org/officeDocument/2006/relationships/hyperlink" Target="https://dl.smwcentral.net/10029/Yoshi%20-%20Super%20Dinosaur.zip" TargetMode="External"/><Relationship Id="rId4480" Type="http://schemas.openxmlformats.org/officeDocument/2006/relationships/hyperlink" Target="https://dl.smwcentral.net/37427/super%20shell%20world%20v1.2.zip" TargetMode="External"/><Relationship Id="rId5117" Type="http://schemas.openxmlformats.org/officeDocument/2006/relationships/hyperlink" Target="https://www.smwcentral.net/?a=details&amp;id=21476&amp;p=section" TargetMode="External"/><Relationship Id="rId1727" Type="http://schemas.openxmlformats.org/officeDocument/2006/relationships/hyperlink" Target="https://www.smwcentral.net/?a=details&amp;id=6310&amp;p=section" TargetMode="External"/><Relationship Id="rId3082" Type="http://schemas.openxmlformats.org/officeDocument/2006/relationships/hyperlink" Target="https://dl.smwcentral.net/42160/ShellOrDie.zip" TargetMode="External"/><Relationship Id="rId4133" Type="http://schemas.openxmlformats.org/officeDocument/2006/relationships/hyperlink" Target="https://www.smwcentral.net/?a=details&amp;id=18091&amp;p=section" TargetMode="External"/><Relationship Id="rId19" Type="http://schemas.openxmlformats.org/officeDocument/2006/relationships/hyperlink" Target="https://www.smwcentral.net/?a=details&amp;id=35444&amp;p=section" TargetMode="External"/><Relationship Id="rId3899" Type="http://schemas.openxmlformats.org/officeDocument/2006/relationships/hyperlink" Target="https://www.smwcentral.net/?a=details&amp;id=9963&amp;p=section" TargetMode="External"/><Relationship Id="rId4200" Type="http://schemas.openxmlformats.org/officeDocument/2006/relationships/hyperlink" Target="https://dl.smwcentral.net/12113/SMWTheFinalShowdown%28Demo%29.zip" TargetMode="External"/><Relationship Id="rId3966" Type="http://schemas.openxmlformats.org/officeDocument/2006/relationships/hyperlink" Target="https://dl.smwcentral.net/5038/smtko_demo_1.zip" TargetMode="External"/><Relationship Id="rId3" Type="http://schemas.openxmlformats.org/officeDocument/2006/relationships/hyperlink" Target="https://www.smwcentral.net/?a=details&amp;id=41349&amp;p=section" TargetMode="External"/><Relationship Id="rId887" Type="http://schemas.openxmlformats.org/officeDocument/2006/relationships/hyperlink" Target="https://www.smwcentral.net/?a=details&amp;id=15853&amp;p=section" TargetMode="External"/><Relationship Id="rId2568" Type="http://schemas.openxmlformats.org/officeDocument/2006/relationships/hyperlink" Target="https://dl.smwcentral.net/27734/Nightmare%20cafe%20VII%20v1.3.zip" TargetMode="External"/><Relationship Id="rId2982" Type="http://schemas.openxmlformats.org/officeDocument/2006/relationships/hyperlink" Target="https://dl.smwcentral.net/22112/RHRS4C.zip" TargetMode="External"/><Relationship Id="rId3619" Type="http://schemas.openxmlformats.org/officeDocument/2006/relationships/hyperlink" Target="https://www.smwcentral.net/?a=details&amp;id=25202&amp;p=section" TargetMode="External"/><Relationship Id="rId5041" Type="http://schemas.openxmlformats.org/officeDocument/2006/relationships/hyperlink" Target="https://www.smwcentral.net/?a=details&amp;id=25206&amp;p=section" TargetMode="External"/><Relationship Id="rId954" Type="http://schemas.openxmlformats.org/officeDocument/2006/relationships/hyperlink" Target="https://dl.smwcentral.net/34383/effortworld.zip" TargetMode="External"/><Relationship Id="rId1584" Type="http://schemas.openxmlformats.org/officeDocument/2006/relationships/hyperlink" Target="https://dl.smwcentral.net/25929/KTaW.zip" TargetMode="External"/><Relationship Id="rId2635" Type="http://schemas.openxmlformats.org/officeDocument/2006/relationships/hyperlink" Target="https://www.smwcentral.net/?a=details&amp;id=5060&amp;p=section" TargetMode="External"/><Relationship Id="rId607" Type="http://schemas.openxmlformats.org/officeDocument/2006/relationships/hyperlink" Target="https://www.smwcentral.net/?a=details&amp;id=17594&amp;p=section" TargetMode="External"/><Relationship Id="rId1237" Type="http://schemas.openxmlformats.org/officeDocument/2006/relationships/hyperlink" Target="https://www.smwcentral.net/?a=details&amp;id=5987&amp;p=section" TargetMode="External"/><Relationship Id="rId1651" Type="http://schemas.openxmlformats.org/officeDocument/2006/relationships/hyperlink" Target="https://www.smwcentral.net/?a=details&amp;id=34374&amp;p=section" TargetMode="External"/><Relationship Id="rId2702" Type="http://schemas.openxmlformats.org/officeDocument/2006/relationships/hyperlink" Target="https://dl.smwcentral.net/30972/P1JDS%20World.zip" TargetMode="External"/><Relationship Id="rId1304" Type="http://schemas.openxmlformats.org/officeDocument/2006/relationships/hyperlink" Target="https://dl.smwcentral.net/28394/Heavenly%20host%203%20v1.1.zip" TargetMode="External"/><Relationship Id="rId4874" Type="http://schemas.openxmlformats.org/officeDocument/2006/relationships/hyperlink" Target="https://dl.smwcentral.net/34659/The%20long%20way%20home%20v1.1.zip" TargetMode="External"/><Relationship Id="rId3476" Type="http://schemas.openxmlformats.org/officeDocument/2006/relationships/hyperlink" Target="https://dl.smwcentral.net/10105/super%20cRazy%20world.zip" TargetMode="External"/><Relationship Id="rId4527" Type="http://schemas.openxmlformats.org/officeDocument/2006/relationships/hyperlink" Target="https://www.smwcentral.net/?a=details&amp;id=38166&amp;p=section" TargetMode="External"/><Relationship Id="rId10" Type="http://schemas.openxmlformats.org/officeDocument/2006/relationships/hyperlink" Target="https://dl.smwcentral.net/32479/SUPERSTAR.zip" TargetMode="External"/><Relationship Id="rId397" Type="http://schemas.openxmlformats.org/officeDocument/2006/relationships/hyperlink" Target="https://www.smwcentral.net/?a=details&amp;id=37056&amp;p=section" TargetMode="External"/><Relationship Id="rId2078" Type="http://schemas.openxmlformats.org/officeDocument/2006/relationships/hyperlink" Target="https://dl.smwcentral.net/10037/Mario%20to%20the%20rescue%21.zip" TargetMode="External"/><Relationship Id="rId2492" Type="http://schemas.openxmlformats.org/officeDocument/2006/relationships/hyperlink" Target="https://dl.smwcentral.net/33555/NEW%20Nightmare%20cafe%202%20V1.0A.zip" TargetMode="External"/><Relationship Id="rId3129" Type="http://schemas.openxmlformats.org/officeDocument/2006/relationships/hyperlink" Target="https://www.smwcentral.net/?a=details&amp;id=32716&amp;p=section" TargetMode="External"/><Relationship Id="rId3890" Type="http://schemas.openxmlformats.org/officeDocument/2006/relationships/hyperlink" Target="https://dl.smwcentral.net/19547/smi.zip" TargetMode="External"/><Relationship Id="rId4941" Type="http://schemas.openxmlformats.org/officeDocument/2006/relationships/hyperlink" Target="https://www.smwcentral.net/?a=details&amp;id=5133&amp;p=section" TargetMode="External"/><Relationship Id="rId464" Type="http://schemas.openxmlformats.org/officeDocument/2006/relationships/hyperlink" Target="https://dl.smwcentral.net/32466/BokoBoko2%20smw%20remaster.zip" TargetMode="External"/><Relationship Id="rId1094" Type="http://schemas.openxmlformats.org/officeDocument/2006/relationships/hyperlink" Target="https://dl.smwcentral.net/38316/Foxx%20BGN%20World.zip" TargetMode="External"/><Relationship Id="rId2145" Type="http://schemas.openxmlformats.org/officeDocument/2006/relationships/hyperlink" Target="https://www.smwcentral.net/?a=details&amp;id=10132&amp;p=section" TargetMode="External"/><Relationship Id="rId3543" Type="http://schemas.openxmlformats.org/officeDocument/2006/relationships/hyperlink" Target="https://www.smwcentral.net/?a=details&amp;id=34929&amp;p=section" TargetMode="External"/><Relationship Id="rId117" Type="http://schemas.openxmlformats.org/officeDocument/2006/relationships/hyperlink" Target="https://www.smwcentral.net/?a=details&amp;id=38820&amp;p=section" TargetMode="External"/><Relationship Id="rId3610" Type="http://schemas.openxmlformats.org/officeDocument/2006/relationships/hyperlink" Target="https://dl.smwcentral.net/26882/Super%20Joe%20Bros%20V3.0.zip" TargetMode="External"/><Relationship Id="rId531" Type="http://schemas.openxmlformats.org/officeDocument/2006/relationships/hyperlink" Target="https://www.smwcentral.net/?a=details&amp;id=28763&amp;p=section" TargetMode="External"/><Relationship Id="rId1161" Type="http://schemas.openxmlformats.org/officeDocument/2006/relationships/hyperlink" Target="https://www.smwcentral.net/?a=details&amp;id=40458&amp;p=section" TargetMode="External"/><Relationship Id="rId2212" Type="http://schemas.openxmlformats.org/officeDocument/2006/relationships/hyperlink" Target="https://dl.smwcentral.net/34166/Mario%27s%20Pride%20Mini%20Quest%20%28V1.3.5%29.zip" TargetMode="External"/><Relationship Id="rId5368" Type="http://schemas.openxmlformats.org/officeDocument/2006/relationships/hyperlink" Target="https://dl.smwcentral.net/38150/WeatherReport.zip" TargetMode="External"/><Relationship Id="rId1978" Type="http://schemas.openxmlformats.org/officeDocument/2006/relationships/hyperlink" Target="https://dl.smwcentral.net/9828/Mario%20in%20the%20World%20of%20Matik%20-%20Demo%203.zip" TargetMode="External"/><Relationship Id="rId4384" Type="http://schemas.openxmlformats.org/officeDocument/2006/relationships/hyperlink" Target="https://dl.smwcentral.net/24704/Super%20Nova%20Deluxe.zip" TargetMode="External"/><Relationship Id="rId5435" Type="http://schemas.openxmlformats.org/officeDocument/2006/relationships/hyperlink" Target="https://www.smwcentral.net/?a=details&amp;id=11769&amp;p=section" TargetMode="External"/><Relationship Id="rId4037" Type="http://schemas.openxmlformats.org/officeDocument/2006/relationships/hyperlink" Target="https://www.smwcentral.net/?a=details&amp;id=30565&amp;p=section" TargetMode="External"/><Relationship Id="rId4451" Type="http://schemas.openxmlformats.org/officeDocument/2006/relationships/hyperlink" Target="https://www.smwcentral.net/?a=details&amp;id=22278&amp;p=section" TargetMode="External"/><Relationship Id="rId3053" Type="http://schemas.openxmlformats.org/officeDocument/2006/relationships/hyperlink" Target="https://www.smwcentral.net/?a=details&amp;id=29645&amp;p=section" TargetMode="External"/><Relationship Id="rId4104" Type="http://schemas.openxmlformats.org/officeDocument/2006/relationships/hyperlink" Target="https://dl.smwcentral.net/26478/Super%20Mario%20World%20The%20Forest%20Adventure.zip" TargetMode="External"/><Relationship Id="rId3120" Type="http://schemas.openxmlformats.org/officeDocument/2006/relationships/hyperlink" Target="https://dl.smwcentral.net/32877/Shellz.zip" TargetMode="External"/><Relationship Id="rId2886" Type="http://schemas.openxmlformats.org/officeDocument/2006/relationships/hyperlink" Target="https://dl.smwcentral.net/36598/QZEQ%20PLS%20DOWNLOAD%20GAME%20%28v1.3%29.zip" TargetMode="External"/><Relationship Id="rId3937" Type="http://schemas.openxmlformats.org/officeDocument/2006/relationships/hyperlink" Target="https://www.smwcentral.net/?a=details&amp;id=25875&amp;p=section" TargetMode="External"/><Relationship Id="rId5292" Type="http://schemas.openxmlformats.org/officeDocument/2006/relationships/hyperlink" Target="https://dl.smwcentral.net/38882/reasonably%20long%20kaizo%20game%20but%20it%27s%20version%201.1.1%20now.zip" TargetMode="External"/><Relationship Id="rId858" Type="http://schemas.openxmlformats.org/officeDocument/2006/relationships/hyperlink" Target="https://dl.smwcentral.net/38888/Digital_Rage_World.zip" TargetMode="External"/><Relationship Id="rId1488" Type="http://schemas.openxmlformats.org/officeDocument/2006/relationships/hyperlink" Target="https://dl.smwcentral.net/19720/JUMPhalf_ver1.01.zip" TargetMode="External"/><Relationship Id="rId2539" Type="http://schemas.openxmlformats.org/officeDocument/2006/relationships/hyperlink" Target="https://www.smwcentral.net/?a=details&amp;id=31323&amp;p=section" TargetMode="External"/><Relationship Id="rId2953" Type="http://schemas.openxmlformats.org/officeDocument/2006/relationships/hyperlink" Target="https://www.smwcentral.net/?a=details&amp;id=31374&amp;p=section" TargetMode="External"/><Relationship Id="rId925" Type="http://schemas.openxmlformats.org/officeDocument/2006/relationships/hyperlink" Target="https://www.smwcentral.net/?a=details&amp;id=10895&amp;p=section" TargetMode="External"/><Relationship Id="rId1555" Type="http://schemas.openxmlformats.org/officeDocument/2006/relationships/hyperlink" Target="https://www.smwcentral.net/?a=details&amp;id=19584&amp;p=section" TargetMode="External"/><Relationship Id="rId2606" Type="http://schemas.openxmlformats.org/officeDocument/2006/relationships/hyperlink" Target="https://dl.smwcentral.net/17088/naph.zip" TargetMode="External"/><Relationship Id="rId5012" Type="http://schemas.openxmlformats.org/officeDocument/2006/relationships/hyperlink" Target="https://dl.smwcentral.net/9960/Temple.zip" TargetMode="External"/><Relationship Id="rId1208" Type="http://schemas.openxmlformats.org/officeDocument/2006/relationships/hyperlink" Target="https://dl.smwcentral.net/32301/gre%C3%B1udos%20planet.zip" TargetMode="External"/><Relationship Id="rId1622" Type="http://schemas.openxmlformats.org/officeDocument/2006/relationships/hyperlink" Target="https://dl.smwcentral.net/31405/Krack%27s%20Kafe%20-%20Because%20They%20Kicked%20Me%20Out%21%20v1.0.2d.zip" TargetMode="External"/><Relationship Id="rId4778" Type="http://schemas.openxmlformats.org/officeDocument/2006/relationships/hyperlink" Target="https://dl.smwcentral.net/33105/TheFellership.zip" TargetMode="External"/><Relationship Id="rId3794" Type="http://schemas.openxmlformats.org/officeDocument/2006/relationships/hyperlink" Target="https://dl.smwcentral.net/9894/Easter.zip" TargetMode="External"/><Relationship Id="rId4845" Type="http://schemas.openxmlformats.org/officeDocument/2006/relationships/hyperlink" Target="https://www.smwcentral.net/?a=details&amp;id=41392&amp;p=section" TargetMode="External"/><Relationship Id="rId2396" Type="http://schemas.openxmlformats.org/officeDocument/2006/relationships/hyperlink" Target="https://dl.smwcentral.net/25624/MOON.zip" TargetMode="External"/><Relationship Id="rId3447" Type="http://schemas.openxmlformats.org/officeDocument/2006/relationships/hyperlink" Target="https://www.smwcentral.net/?a=details&amp;id=19007&amp;p=section" TargetMode="External"/><Relationship Id="rId3861" Type="http://schemas.openxmlformats.org/officeDocument/2006/relationships/hyperlink" Target="https://www.smwcentral.net/?a=details&amp;id=31243&amp;p=section" TargetMode="External"/><Relationship Id="rId4912" Type="http://schemas.openxmlformats.org/officeDocument/2006/relationships/hyperlink" Target="https://dl.smwcentral.net/9695/The_Muncher_Run_2_V1.1.zip" TargetMode="External"/><Relationship Id="rId368" Type="http://schemas.openxmlformats.org/officeDocument/2006/relationships/hyperlink" Target="https://dl.smwcentral.net/5277/Back%20to%20the%20Classics.zip" TargetMode="External"/><Relationship Id="rId782" Type="http://schemas.openxmlformats.org/officeDocument/2006/relationships/hyperlink" Target="https://dl.smwcentral.net/38571/CuteAsShell1.2.zip" TargetMode="External"/><Relationship Id="rId2049" Type="http://schemas.openxmlformats.org/officeDocument/2006/relationships/hyperlink" Target="https://www.smwcentral.net/?a=details&amp;id=21687&amp;p=section" TargetMode="External"/><Relationship Id="rId2463" Type="http://schemas.openxmlformats.org/officeDocument/2006/relationships/hyperlink" Target="https://www.smwcentral.net/?a=details&amp;id=42206&amp;p=section" TargetMode="External"/><Relationship Id="rId3514" Type="http://schemas.openxmlformats.org/officeDocument/2006/relationships/hyperlink" Target="https://dl.smwcentral.net/17625/Super%20Duper%20World.zip" TargetMode="External"/><Relationship Id="rId435" Type="http://schemas.openxmlformats.org/officeDocument/2006/relationships/hyperlink" Target="https://www.smwcentral.net/?a=details&amp;id=25068&amp;p=section" TargetMode="External"/><Relationship Id="rId1065" Type="http://schemas.openxmlformats.org/officeDocument/2006/relationships/hyperlink" Target="https://www.smwcentral.net/?a=details&amp;id=38728&amp;p=section" TargetMode="External"/><Relationship Id="rId2116" Type="http://schemas.openxmlformats.org/officeDocument/2006/relationships/hyperlink" Target="https://dl.smwcentral.net/5564/Southern%20Continent.zip" TargetMode="External"/><Relationship Id="rId2530" Type="http://schemas.openxmlformats.org/officeDocument/2006/relationships/hyperlink" Target="https://dl.smwcentral.net/5473/hack.zip" TargetMode="External"/><Relationship Id="rId502" Type="http://schemas.openxmlformats.org/officeDocument/2006/relationships/hyperlink" Target="https://dl.smwcentral.net/9877/Kopia%20%284%29%20av%20Super%20Mario%20World%20%28U%29%20%5B%21%5D.zip" TargetMode="External"/><Relationship Id="rId1132" Type="http://schemas.openxmlformats.org/officeDocument/2006/relationships/hyperlink" Target="https://dl.smwcentral.net/32819/Gambit.zip" TargetMode="External"/><Relationship Id="rId4288" Type="http://schemas.openxmlformats.org/officeDocument/2006/relationships/hyperlink" Target="https://dl.smwcentral.net/6274/Oiram%27s%20Invasion.zip" TargetMode="External"/><Relationship Id="rId5339" Type="http://schemas.openxmlformats.org/officeDocument/2006/relationships/hyperlink" Target="https://www.smwcentral.net/?a=details&amp;id=17837&amp;p=section" TargetMode="External"/><Relationship Id="rId4355" Type="http://schemas.openxmlformats.org/officeDocument/2006/relationships/hyperlink" Target="https://www.smwcentral.net/?a=details&amp;id=29058&amp;p=section" TargetMode="External"/><Relationship Id="rId1949" Type="http://schemas.openxmlformats.org/officeDocument/2006/relationships/hyperlink" Target="https://www.smwcentral.net/?a=details&amp;id=10140&amp;p=section" TargetMode="External"/><Relationship Id="rId4008" Type="http://schemas.openxmlformats.org/officeDocument/2006/relationships/hyperlink" Target="https://dl.smwcentral.net/15266/SMW%20LWE.zip" TargetMode="External"/><Relationship Id="rId5406" Type="http://schemas.openxmlformats.org/officeDocument/2006/relationships/hyperlink" Target="https://dl.smwcentral.net/26447/Worls%20World%202%20v1.1.zip" TargetMode="External"/><Relationship Id="rId292" Type="http://schemas.openxmlformats.org/officeDocument/2006/relationships/hyperlink" Target="https://dl.smwcentral.net/33435/Another%20Christmas%20Gift%20-%20Christmas%20in%20March.zip" TargetMode="External"/><Relationship Id="rId3371" Type="http://schemas.openxmlformats.org/officeDocument/2006/relationships/hyperlink" Target="https://www.smwcentral.net/?a=details&amp;id=33781&amp;p=section" TargetMode="External"/><Relationship Id="rId4422" Type="http://schemas.openxmlformats.org/officeDocument/2006/relationships/hyperlink" Target="https://dl.smwcentral.net/17292/super%20place%20land%21.zip" TargetMode="External"/><Relationship Id="rId3024" Type="http://schemas.openxmlformats.org/officeDocument/2006/relationships/hyperlink" Target="https://dl.smwcentral.net/22102/Samsara%20Mario%20World.zip" TargetMode="External"/><Relationship Id="rId2040" Type="http://schemas.openxmlformats.org/officeDocument/2006/relationships/hyperlink" Target="https://dl.smwcentral.net/41121/MQ2_v1_2.zip" TargetMode="External"/><Relationship Id="rId5196" Type="http://schemas.openxmlformats.org/officeDocument/2006/relationships/hyperlink" Target="https://dl.smwcentral.net/23741/UNORIGINAL_C3_2020_v1.1.zip" TargetMode="External"/><Relationship Id="rId5263" Type="http://schemas.openxmlformats.org/officeDocument/2006/relationships/hyperlink" Target="https://www.smwcentral.net/?a=details&amp;id=35565&amp;p=section" TargetMode="External"/><Relationship Id="rId1459" Type="http://schemas.openxmlformats.org/officeDocument/2006/relationships/hyperlink" Target="https://www.smwcentral.net/?a=details&amp;id=39726&amp;p=section" TargetMode="External"/><Relationship Id="rId2857" Type="http://schemas.openxmlformats.org/officeDocument/2006/relationships/hyperlink" Target="https://www.smwcentral.net/?a=details&amp;id=18384&amp;p=section" TargetMode="External"/><Relationship Id="rId3908" Type="http://schemas.openxmlformats.org/officeDocument/2006/relationships/hyperlink" Target="https://dl.smwcentral.net/17005/Super%20Mario%20Logic.zip" TargetMode="External"/><Relationship Id="rId5330" Type="http://schemas.openxmlformats.org/officeDocument/2006/relationships/hyperlink" Target="https://dl.smwcentral.net/41906/Walkabout.zip" TargetMode="External"/><Relationship Id="rId98" Type="http://schemas.openxmlformats.org/officeDocument/2006/relationships/hyperlink" Target="https://dl.smwcentral.net/38259/A%20Cold%20Day%20In%20Shell.zip" TargetMode="External"/><Relationship Id="rId829" Type="http://schemas.openxmlformats.org/officeDocument/2006/relationships/hyperlink" Target="https://www.smwcentral.net/?a=details&amp;id=15505&amp;p=section" TargetMode="External"/><Relationship Id="rId1873" Type="http://schemas.openxmlformats.org/officeDocument/2006/relationships/hyperlink" Target="https://www.smwcentral.net/?a=details&amp;id=15571&amp;p=section" TargetMode="External"/><Relationship Id="rId2924" Type="http://schemas.openxmlformats.org/officeDocument/2006/relationships/hyperlink" Target="https://dl.smwcentral.net/10233/RepOff%20patch.zip" TargetMode="External"/><Relationship Id="rId1526" Type="http://schemas.openxmlformats.org/officeDocument/2006/relationships/hyperlink" Target="https://dl.smwcentral.net/28577/K3SH.zip" TargetMode="External"/><Relationship Id="rId1940" Type="http://schemas.openxmlformats.org/officeDocument/2006/relationships/hyperlink" Target="https://dl.smwcentral.net/32554/MGtB.zip" TargetMode="External"/><Relationship Id="rId3698" Type="http://schemas.openxmlformats.org/officeDocument/2006/relationships/hyperlink" Target="https://dl.smwcentral.net/21832/SuperMarinaWorldv2.2.zip" TargetMode="External"/><Relationship Id="rId4749" Type="http://schemas.openxmlformats.org/officeDocument/2006/relationships/hyperlink" Target="https://www.smwcentral.net/?a=details&amp;id=37477&amp;p=section" TargetMode="External"/><Relationship Id="rId3765" Type="http://schemas.openxmlformats.org/officeDocument/2006/relationships/hyperlink" Target="https://www.smwcentral.net/?a=details&amp;id=9749&amp;p=section" TargetMode="External"/><Relationship Id="rId4816" Type="http://schemas.openxmlformats.org/officeDocument/2006/relationships/hyperlink" Target="https://dl.smwcentral.net/14671/The%20Great%20Giana%20Sisters%203%20-%20The%20Forrgoten%20Dream%20Demo1.zip" TargetMode="External"/><Relationship Id="rId686" Type="http://schemas.openxmlformats.org/officeDocument/2006/relationships/hyperlink" Target="https://dl.smwcentral.net/38522/Christmas%20Island%202%20v1.1.zip" TargetMode="External"/><Relationship Id="rId2367" Type="http://schemas.openxmlformats.org/officeDocument/2006/relationships/hyperlink" Target="https://www.smwcentral.net/?a=details&amp;id=24954&amp;p=section" TargetMode="External"/><Relationship Id="rId2781" Type="http://schemas.openxmlformats.org/officeDocument/2006/relationships/hyperlink" Target="https://www.smwcentral.net/?a=details&amp;id=37733&amp;p=section" TargetMode="External"/><Relationship Id="rId3418" Type="http://schemas.openxmlformats.org/officeDocument/2006/relationships/hyperlink" Target="https://dl.smwcentral.net/34508/Super%20Ario%20World.zip" TargetMode="External"/><Relationship Id="rId339" Type="http://schemas.openxmlformats.org/officeDocument/2006/relationships/hyperlink" Target="https://www.smwcentral.net/?a=details&amp;id=27209&amp;p=section" TargetMode="External"/><Relationship Id="rId753" Type="http://schemas.openxmlformats.org/officeDocument/2006/relationships/hyperlink" Target="https://www.smwcentral.net/?a=details&amp;id=38046&amp;p=section" TargetMode="External"/><Relationship Id="rId1383" Type="http://schemas.openxmlformats.org/officeDocument/2006/relationships/hyperlink" Target="https://www.smwcentral.net/?a=details&amp;id=10167&amp;p=section" TargetMode="External"/><Relationship Id="rId2434" Type="http://schemas.openxmlformats.org/officeDocument/2006/relationships/hyperlink" Target="https://dl.smwcentral.net/25216/l4emero.zip" TargetMode="External"/><Relationship Id="rId3832" Type="http://schemas.openxmlformats.org/officeDocument/2006/relationships/hyperlink" Target="https://dl.smwcentral.net/20166/Super%20Mario%20Classic%27d%20v2.zip" TargetMode="External"/><Relationship Id="rId406" Type="http://schemas.openxmlformats.org/officeDocument/2006/relationships/hyperlink" Target="https://dl.smwcentral.net/41268/BCW2-demo.zip" TargetMode="External"/><Relationship Id="rId1036" Type="http://schemas.openxmlformats.org/officeDocument/2006/relationships/hyperlink" Target="https://dl.smwcentral.net/14531/Eyeless.zip" TargetMode="External"/><Relationship Id="rId820" Type="http://schemas.openxmlformats.org/officeDocument/2006/relationships/hyperlink" Target="https://dl.smwcentral.net/38884/drfdv1-4-1u.zip" TargetMode="External"/><Relationship Id="rId1450" Type="http://schemas.openxmlformats.org/officeDocument/2006/relationships/hyperlink" Target="https://dl.smwcentral.net/24222/Jigoku%20Mario%20World%202.zip" TargetMode="External"/><Relationship Id="rId2501" Type="http://schemas.openxmlformats.org/officeDocument/2006/relationships/hyperlink" Target="https://www.smwcentral.net/?a=details&amp;id=22328&amp;p=section" TargetMode="External"/><Relationship Id="rId1103" Type="http://schemas.openxmlformats.org/officeDocument/2006/relationships/hyperlink" Target="https://www.smwcentral.net/?a=details&amp;id=31830&amp;p=section" TargetMode="External"/><Relationship Id="rId4259" Type="http://schemas.openxmlformats.org/officeDocument/2006/relationships/hyperlink" Target="https://www.smwcentral.net/?a=details&amp;id=9839&amp;p=section" TargetMode="External"/><Relationship Id="rId4673" Type="http://schemas.openxmlformats.org/officeDocument/2006/relationships/hyperlink" Target="https://www.smwcentral.net/?a=details&amp;id=10031&amp;p=section" TargetMode="External"/><Relationship Id="rId3275" Type="http://schemas.openxmlformats.org/officeDocument/2006/relationships/hyperlink" Target="https://www.smwcentral.net/?a=details&amp;id=24783&amp;p=section" TargetMode="External"/><Relationship Id="rId4326" Type="http://schemas.openxmlformats.org/officeDocument/2006/relationships/hyperlink" Target="https://dl.smwcentral.net/24654/Super%20Mez%20World.zip" TargetMode="External"/><Relationship Id="rId4740" Type="http://schemas.openxmlformats.org/officeDocument/2006/relationships/hyperlink" Target="https://dl.smwcentral.net/20855/The%20Clockwork%20Chronicles.zip" TargetMode="External"/><Relationship Id="rId196" Type="http://schemas.openxmlformats.org/officeDocument/2006/relationships/hyperlink" Target="https://dl.smwcentral.net/39597/A%20Thing%20With%20Peiton%20v.1.1.zip" TargetMode="External"/><Relationship Id="rId2291" Type="http://schemas.openxmlformats.org/officeDocument/2006/relationships/hyperlink" Target="https://www.smwcentral.net/?a=details&amp;id=40193&amp;p=section" TargetMode="External"/><Relationship Id="rId3342" Type="http://schemas.openxmlformats.org/officeDocument/2006/relationships/hyperlink" Target="https://dl.smwcentral.net/22530/Square.zip" TargetMode="External"/><Relationship Id="rId263" Type="http://schemas.openxmlformats.org/officeDocument/2006/relationships/hyperlink" Target="https://www.smwcentral.net/?a=details&amp;id=28535&amp;p=section" TargetMode="External"/><Relationship Id="rId330" Type="http://schemas.openxmlformats.org/officeDocument/2006/relationships/hyperlink" Target="https://dl.smwcentral.net/27227/Arcane%20Mario%20World.zip" TargetMode="External"/><Relationship Id="rId2011" Type="http://schemas.openxmlformats.org/officeDocument/2006/relationships/hyperlink" Target="https://www.smwcentral.net/?a=details&amp;id=34594&amp;p=section" TargetMode="External"/><Relationship Id="rId5167" Type="http://schemas.openxmlformats.org/officeDocument/2006/relationships/hyperlink" Target="https://www.smwcentral.net/?a=details&amp;id=29659&amp;p=section" TargetMode="External"/><Relationship Id="rId4183" Type="http://schemas.openxmlformats.org/officeDocument/2006/relationships/hyperlink" Target="https://www.smwcentral.net/?a=details&amp;id=30887&amp;p=section" TargetMode="External"/><Relationship Id="rId1777" Type="http://schemas.openxmlformats.org/officeDocument/2006/relationships/hyperlink" Target="https://www.smwcentral.net/?a=details&amp;id=10101&amp;p=section" TargetMode="External"/><Relationship Id="rId2828" Type="http://schemas.openxmlformats.org/officeDocument/2006/relationships/hyperlink" Target="https://dl.smwcentral.net/15341/PrecisePerfection.zip" TargetMode="External"/><Relationship Id="rId5234" Type="http://schemas.openxmlformats.org/officeDocument/2006/relationships/hyperlink" Target="https://dl.smwcentral.net/31800/Unfriendly%20Demos.zip" TargetMode="External"/><Relationship Id="rId69" Type="http://schemas.openxmlformats.org/officeDocument/2006/relationships/hyperlink" Target="https://www.smwcentral.net/?a=details&amp;id=22945&amp;p=section" TargetMode="External"/><Relationship Id="rId1844" Type="http://schemas.openxmlformats.org/officeDocument/2006/relationships/hyperlink" Target="https://dl.smwcentral.net/10092/Mario%20%26%20Luigi%20DOSv2.ips.zip" TargetMode="External"/><Relationship Id="rId4250" Type="http://schemas.openxmlformats.org/officeDocument/2006/relationships/hyperlink" Target="https://dl.smwcentral.net/6094/SMATWT%20v1.5.zip" TargetMode="External"/><Relationship Id="rId5301" Type="http://schemas.openxmlformats.org/officeDocument/2006/relationships/hyperlink" Target="https://www.smwcentral.net/?a=details&amp;id=9706&amp;p=section" TargetMode="External"/><Relationship Id="rId1911" Type="http://schemas.openxmlformats.org/officeDocument/2006/relationships/hyperlink" Target="https://www.smwcentral.net/?a=details&amp;id=10206&amp;p=section" TargetMode="External"/><Relationship Id="rId3669" Type="http://schemas.openxmlformats.org/officeDocument/2006/relationships/hyperlink" Target="https://www.smwcentral.net/?a=details&amp;id=9753&amp;p=section" TargetMode="External"/><Relationship Id="rId5091" Type="http://schemas.openxmlformats.org/officeDocument/2006/relationships/hyperlink" Target="https://www.smwcentral.net/?a=details&amp;id=33137&amp;p=section" TargetMode="External"/><Relationship Id="rId1287" Type="http://schemas.openxmlformats.org/officeDocument/2006/relationships/hyperlink" Target="https://www.smwcentral.net/?a=details&amp;id=24257&amp;p=section" TargetMode="External"/><Relationship Id="rId2685" Type="http://schemas.openxmlformats.org/officeDocument/2006/relationships/hyperlink" Target="https://www.smwcentral.net/?a=details&amp;id=27912&amp;p=section" TargetMode="External"/><Relationship Id="rId3736" Type="http://schemas.openxmlformats.org/officeDocument/2006/relationships/hyperlink" Target="https://dl.smwcentral.net/22012/Super%20Mario%20Another%20Retro%20%28Full-version%29.zip" TargetMode="External"/><Relationship Id="rId657" Type="http://schemas.openxmlformats.org/officeDocument/2006/relationships/hyperlink" Target="https://www.smwcentral.net/?a=details&amp;id=29819&amp;p=section" TargetMode="External"/><Relationship Id="rId2338" Type="http://schemas.openxmlformats.org/officeDocument/2006/relationships/hyperlink" Target="https://dl.smwcentral.net/14144/mega%20rex%20island.zip" TargetMode="External"/><Relationship Id="rId2752" Type="http://schemas.openxmlformats.org/officeDocument/2006/relationships/hyperlink" Target="https://dl.smwcentral.net/6763/Persus.zip" TargetMode="External"/><Relationship Id="rId3803" Type="http://schemas.openxmlformats.org/officeDocument/2006/relationships/hyperlink" Target="https://www.smwcentral.net/?a=details&amp;id=9535&amp;p=section" TargetMode="External"/><Relationship Id="rId724" Type="http://schemas.openxmlformats.org/officeDocument/2006/relationships/hyperlink" Target="https://dl.smwcentral.net/28250/Colors_1.1.zip" TargetMode="External"/><Relationship Id="rId1354" Type="http://schemas.openxmlformats.org/officeDocument/2006/relationships/hyperlink" Target="https://dl.smwcentral.net/36778/haeschen1.1.zip" TargetMode="External"/><Relationship Id="rId2405" Type="http://schemas.openxmlformats.org/officeDocument/2006/relationships/hyperlink" Target="https://www.smwcentral.net/?a=details&amp;id=39881&amp;p=section" TargetMode="External"/><Relationship Id="rId60" Type="http://schemas.openxmlformats.org/officeDocument/2006/relationships/hyperlink" Target="https://dl.smwcentral.net/26253/4-yumps-for-yoshi-v12.zip" TargetMode="External"/><Relationship Id="rId1007" Type="http://schemas.openxmlformats.org/officeDocument/2006/relationships/hyperlink" Target="https://www.smwcentral.net/?a=details&amp;id=9911&amp;p=section" TargetMode="External"/><Relationship Id="rId1421" Type="http://schemas.openxmlformats.org/officeDocument/2006/relationships/hyperlink" Target="https://www.smwcentral.net/?a=details&amp;id=26955&amp;p=section" TargetMode="External"/><Relationship Id="rId4577" Type="http://schemas.openxmlformats.org/officeDocument/2006/relationships/hyperlink" Target="https://www.smwcentral.net/?a=details&amp;id=9995&amp;p=section" TargetMode="External"/><Relationship Id="rId4991" Type="http://schemas.openxmlformats.org/officeDocument/2006/relationships/hyperlink" Target="https://www.smwcentral.net/?a=details&amp;id=4989&amp;p=section" TargetMode="External"/><Relationship Id="rId3179" Type="http://schemas.openxmlformats.org/officeDocument/2006/relationships/hyperlink" Target="https://www.smwcentral.net/?a=details&amp;id=37314&amp;p=section" TargetMode="External"/><Relationship Id="rId3593" Type="http://schemas.openxmlformats.org/officeDocument/2006/relationships/hyperlink" Target="https://www.smwcentral.net/?a=details&amp;id=34138&amp;p=section" TargetMode="External"/><Relationship Id="rId4644" Type="http://schemas.openxmlformats.org/officeDocument/2006/relationships/hyperlink" Target="https://dl.smwcentral.net/26826/TDCShellsEdition.zip" TargetMode="External"/><Relationship Id="rId2195" Type="http://schemas.openxmlformats.org/officeDocument/2006/relationships/hyperlink" Target="https://www.smwcentral.net/?a=details&amp;id=5529&amp;p=section" TargetMode="External"/><Relationship Id="rId3246" Type="http://schemas.openxmlformats.org/officeDocument/2006/relationships/hyperlink" Target="https://dl.smwcentral.net/15677/Translations.zip" TargetMode="External"/><Relationship Id="rId167" Type="http://schemas.openxmlformats.org/officeDocument/2006/relationships/hyperlink" Target="https://www.smwcentral.net/?a=details&amp;id=10189&amp;p=section" TargetMode="External"/><Relationship Id="rId581" Type="http://schemas.openxmlformats.org/officeDocument/2006/relationships/hyperlink" Target="https://www.smwcentral.net/?a=details&amp;id=20379&amp;p=section" TargetMode="External"/><Relationship Id="rId2262" Type="http://schemas.openxmlformats.org/officeDocument/2006/relationships/hyperlink" Target="https://dl.smwcentral.net/8721/Mario%27s%20Vanilla%20Journey%20-%20Demo%202.02.zip" TargetMode="External"/><Relationship Id="rId3660" Type="http://schemas.openxmlformats.org/officeDocument/2006/relationships/hyperlink" Target="https://dl.smwcentral.net/33322/LSGB-Side1.03.zip" TargetMode="External"/><Relationship Id="rId4711" Type="http://schemas.openxmlformats.org/officeDocument/2006/relationships/hyperlink" Target="https://www.smwcentral.net/?a=details&amp;id=39808&amp;p=section" TargetMode="External"/><Relationship Id="rId234" Type="http://schemas.openxmlformats.org/officeDocument/2006/relationships/hyperlink" Target="https://dl.smwcentral.net/5368/Adventure%20Land%20Demo%201.zip" TargetMode="External"/><Relationship Id="rId3313" Type="http://schemas.openxmlformats.org/officeDocument/2006/relationships/hyperlink" Target="https://www.smwcentral.net/?a=details&amp;id=37876&amp;p=section" TargetMode="External"/><Relationship Id="rId5485" Type="http://schemas.openxmlformats.org/officeDocument/2006/relationships/hyperlink" Target="https://www.smwcentral.net/?a=details&amp;id=32587&amp;p=section" TargetMode="External"/><Relationship Id="rId301" Type="http://schemas.openxmlformats.org/officeDocument/2006/relationships/hyperlink" Target="https://www.smwcentral.net/?a=details&amp;id=16145&amp;p=section" TargetMode="External"/><Relationship Id="rId4087" Type="http://schemas.openxmlformats.org/officeDocument/2006/relationships/hyperlink" Target="https://www.smwcentral.net/?a=details&amp;id=10186&amp;p=section" TargetMode="External"/><Relationship Id="rId5138" Type="http://schemas.openxmlformats.org/officeDocument/2006/relationships/hyperlink" Target="https://dl.smwcentral.net/37513/TorturedSoulsIIRapture.zip" TargetMode="External"/><Relationship Id="rId1748" Type="http://schemas.openxmlformats.org/officeDocument/2006/relationships/hyperlink" Target="https://dl.smwcentral.net/32513/Lucky%20V1.0A.zip" TargetMode="External"/><Relationship Id="rId4154" Type="http://schemas.openxmlformats.org/officeDocument/2006/relationships/hyperlink" Target="https://dl.smwcentral.net/32091/SMWEmbersideIslandDemo3Upd.zip" TargetMode="External"/><Relationship Id="rId5205" Type="http://schemas.openxmlformats.org/officeDocument/2006/relationships/hyperlink" Target="https://www.smwcentral.net/?a=details&amp;id=9826&amp;p=section" TargetMode="External"/><Relationship Id="rId3170" Type="http://schemas.openxmlformats.org/officeDocument/2006/relationships/hyperlink" Target="https://dl.smwcentral.net/24919/Simply%20Mario%20Shells%20%27n%20Bells%20Demo%20V1.1.zip" TargetMode="External"/><Relationship Id="rId4221" Type="http://schemas.openxmlformats.org/officeDocument/2006/relationships/hyperlink" Target="https://www.smwcentral.net/?a=details&amp;id=11585&amp;p=section" TargetMode="External"/><Relationship Id="rId1815" Type="http://schemas.openxmlformats.org/officeDocument/2006/relationships/hyperlink" Target="https://www.smwcentral.net/?a=details&amp;id=9818&amp;p=section" TargetMode="External"/><Relationship Id="rId3987" Type="http://schemas.openxmlformats.org/officeDocument/2006/relationships/hyperlink" Target="https://www.smwcentral.net/?a=details&amp;id=15300&amp;p=section" TargetMode="External"/><Relationship Id="rId2589" Type="http://schemas.openxmlformats.org/officeDocument/2006/relationships/hyperlink" Target="https://www.smwcentral.net/?a=details&amp;id=28233&amp;p=section" TargetMode="External"/><Relationship Id="rId975" Type="http://schemas.openxmlformats.org/officeDocument/2006/relationships/hyperlink" Target="https://www.smwcentral.net/?a=details&amp;id=36871&amp;p=section" TargetMode="External"/><Relationship Id="rId2656" Type="http://schemas.openxmlformats.org/officeDocument/2006/relationships/hyperlink" Target="https://dl.smwcentral.net/36841/OnceAgain_1.1.zip" TargetMode="External"/><Relationship Id="rId3707" Type="http://schemas.openxmlformats.org/officeDocument/2006/relationships/hyperlink" Target="https://www.smwcentral.net/?a=details&amp;id=39344&amp;p=section" TargetMode="External"/><Relationship Id="rId5062" Type="http://schemas.openxmlformats.org/officeDocument/2006/relationships/hyperlink" Target="https://dl.smwcentral.net/30338/%5BHack%5D%20This%20Hack%20Contains%20EVERY%20Switch%20Palace%20Switch.zip" TargetMode="External"/><Relationship Id="rId628" Type="http://schemas.openxmlformats.org/officeDocument/2006/relationships/hyperlink" Target="https://dl.smwcentral.net/42393/Castlemania%20II%20v1.1.zip" TargetMode="External"/><Relationship Id="rId1258" Type="http://schemas.openxmlformats.org/officeDocument/2006/relationships/hyperlink" Target="https://dl.smwcentral.net/39600/HackGHXRelease.zip" TargetMode="External"/><Relationship Id="rId1672" Type="http://schemas.openxmlformats.org/officeDocument/2006/relationships/hyperlink" Target="https://dl.smwcentral.net/40131/le_plume_1-1.zip" TargetMode="External"/><Relationship Id="rId2309" Type="http://schemas.openxmlformats.org/officeDocument/2006/relationships/hyperlink" Target="https://www.smwcentral.net/?a=details&amp;id=29054&amp;p=section" TargetMode="External"/><Relationship Id="rId2723" Type="http://schemas.openxmlformats.org/officeDocument/2006/relationships/hyperlink" Target="https://www.smwcentral.net/?a=details&amp;id=16891&amp;p=section" TargetMode="External"/><Relationship Id="rId1325" Type="http://schemas.openxmlformats.org/officeDocument/2006/relationships/hyperlink" Target="https://www.smwcentral.net/?a=details&amp;id=28538&amp;p=section" TargetMode="External"/><Relationship Id="rId3497" Type="http://schemas.openxmlformats.org/officeDocument/2006/relationships/hyperlink" Target="https://www.smwcentral.net/?a=details&amp;id=18286&amp;p=section" TargetMode="External"/><Relationship Id="rId4895" Type="http://schemas.openxmlformats.org/officeDocument/2006/relationships/hyperlink" Target="https://www.smwcentral.net/?a=details&amp;id=25281&amp;p=section" TargetMode="External"/><Relationship Id="rId31" Type="http://schemas.openxmlformats.org/officeDocument/2006/relationships/hyperlink" Target="https://www.smwcentral.net/?a=details&amp;id=5559&amp;p=section" TargetMode="External"/><Relationship Id="rId2099" Type="http://schemas.openxmlformats.org/officeDocument/2006/relationships/hyperlink" Target="https://www.smwcentral.net/?a=details&amp;id=5596&amp;p=section" TargetMode="External"/><Relationship Id="rId4548" Type="http://schemas.openxmlformats.org/officeDocument/2006/relationships/hyperlink" Target="https://dl.smwcentral.net/36587/Super%20Video%20World%202.zip" TargetMode="External"/><Relationship Id="rId4962" Type="http://schemas.openxmlformats.org/officeDocument/2006/relationships/hyperlink" Target="https://dl.smwcentral.net/24625/Rock%20n%20Roll%20Mario%20Show%20set%201%20v1.13.zip" TargetMode="External"/><Relationship Id="rId3564" Type="http://schemas.openxmlformats.org/officeDocument/2006/relationships/hyperlink" Target="https://dl.smwcentral.net/34189/glump.zip" TargetMode="External"/><Relationship Id="rId4615" Type="http://schemas.openxmlformats.org/officeDocument/2006/relationships/hyperlink" Target="https://www.smwcentral.net/?a=details&amp;id=35215&amp;p=section" TargetMode="External"/><Relationship Id="rId485" Type="http://schemas.openxmlformats.org/officeDocument/2006/relationships/hyperlink" Target="https://www.smwcentral.net/?a=details&amp;id=9752&amp;p=section" TargetMode="External"/><Relationship Id="rId2166" Type="http://schemas.openxmlformats.org/officeDocument/2006/relationships/hyperlink" Target="https://dl.smwcentral.net/9953/Mario%27s%20Homeland%20%28Demo1%29.zip" TargetMode="External"/><Relationship Id="rId2580" Type="http://schemas.openxmlformats.org/officeDocument/2006/relationships/hyperlink" Target="https://dl.smwcentral.net/22901/Ninja%20World%203.zip" TargetMode="External"/><Relationship Id="rId3217" Type="http://schemas.openxmlformats.org/officeDocument/2006/relationships/hyperlink" Target="https://www.smwcentral.net/?a=details&amp;id=29090&amp;p=section" TargetMode="External"/><Relationship Id="rId3631" Type="http://schemas.openxmlformats.org/officeDocument/2006/relationships/hyperlink" Target="https://www.smwcentral.net/?a=details&amp;id=28658&amp;p=section" TargetMode="External"/><Relationship Id="rId138" Type="http://schemas.openxmlformats.org/officeDocument/2006/relationships/hyperlink" Target="https://dl.smwcentral.net/10266/A%20Metal%20Hack%20Demo.zip" TargetMode="External"/><Relationship Id="rId552" Type="http://schemas.openxmlformats.org/officeDocument/2006/relationships/hyperlink" Target="https://dl.smwcentral.net/42661/Brothermen.zip" TargetMode="External"/><Relationship Id="rId1182" Type="http://schemas.openxmlformats.org/officeDocument/2006/relationships/hyperlink" Target="https://dl.smwcentral.net/5002/Goombario%27s%20World.zip" TargetMode="External"/><Relationship Id="rId2233" Type="http://schemas.openxmlformats.org/officeDocument/2006/relationships/hyperlink" Target="https://www.smwcentral.net/?a=details&amp;id=5412&amp;p=section" TargetMode="External"/><Relationship Id="rId5389" Type="http://schemas.openxmlformats.org/officeDocument/2006/relationships/hyperlink" Target="https://www.smwcentral.net/?a=details&amp;id=42624&amp;p=section" TargetMode="External"/><Relationship Id="rId205" Type="http://schemas.openxmlformats.org/officeDocument/2006/relationships/hyperlink" Target="https://www.smwcentral.net/?a=details&amp;id=39452&amp;p=section" TargetMode="External"/><Relationship Id="rId2300" Type="http://schemas.openxmlformats.org/officeDocument/2006/relationships/hyperlink" Target="https://dl.smwcentral.net/29146/Marisa%20And%20Reimu%27s%20Hack.zip" TargetMode="External"/><Relationship Id="rId5456" Type="http://schemas.openxmlformats.org/officeDocument/2006/relationships/hyperlink" Target="https://dl.smwcentral.net/10072/Yoshi%27s%20Emergency.zip" TargetMode="External"/><Relationship Id="rId1999" Type="http://schemas.openxmlformats.org/officeDocument/2006/relationships/hyperlink" Target="https://www.smwcentral.net/?a=details&amp;id=32566&amp;p=section" TargetMode="External"/><Relationship Id="rId4058" Type="http://schemas.openxmlformats.org/officeDocument/2006/relationships/hyperlink" Target="https://dl.smwcentral.net/6267/Super%20Mario%20World%20Beta.zip" TargetMode="External"/><Relationship Id="rId4472" Type="http://schemas.openxmlformats.org/officeDocument/2006/relationships/hyperlink" Target="https://dl.smwcentral.net/17489/Super%20Sekai%20World%201.5.zip" TargetMode="External"/><Relationship Id="rId5109" Type="http://schemas.openxmlformats.org/officeDocument/2006/relationships/hyperlink" Target="https://www.smwcentral.net/?a=details&amp;id=26862&amp;p=section" TargetMode="External"/><Relationship Id="rId3074" Type="http://schemas.openxmlformats.org/officeDocument/2006/relationships/hyperlink" Target="https://dl.smwcentral.net/34840/plains.zip" TargetMode="External"/><Relationship Id="rId4125" Type="http://schemas.openxmlformats.org/officeDocument/2006/relationships/hyperlink" Target="https://www.smwcentral.net/?a=details&amp;id=27401&amp;p=section" TargetMode="External"/><Relationship Id="rId1719" Type="http://schemas.openxmlformats.org/officeDocument/2006/relationships/hyperlink" Target="https://www.smwcentral.net/?a=details&amp;id=37666&amp;p=section" TargetMode="External"/><Relationship Id="rId2090" Type="http://schemas.openxmlformats.org/officeDocument/2006/relationships/hyperlink" Target="https://dl.smwcentral.net/9700/Mario_Vs_Shyguy.zip" TargetMode="External"/><Relationship Id="rId3141" Type="http://schemas.openxmlformats.org/officeDocument/2006/relationships/hyperlink" Target="https://www.smwcentral.net/?a=details&amp;id=9651&amp;p=section" TargetMode="External"/><Relationship Id="rId3958" Type="http://schemas.openxmlformats.org/officeDocument/2006/relationships/hyperlink" Target="https://dl.smwcentral.net/9791/SMSSW1.zip" TargetMode="External"/><Relationship Id="rId879" Type="http://schemas.openxmlformats.org/officeDocument/2006/relationships/hyperlink" Target="https://www.smwcentral.net/?a=details&amp;id=34952&amp;p=section" TargetMode="External"/><Relationship Id="rId5380" Type="http://schemas.openxmlformats.org/officeDocument/2006/relationships/hyperlink" Target="https://dl.smwcentral.net/27263/What%20The%20Shell%21.zip" TargetMode="External"/><Relationship Id="rId1576" Type="http://schemas.openxmlformats.org/officeDocument/2006/relationships/hyperlink" Target="https://dl.smwcentral.net/36844/Kazue%20World%202.zip" TargetMode="External"/><Relationship Id="rId2974" Type="http://schemas.openxmlformats.org/officeDocument/2006/relationships/hyperlink" Target="https://dl.smwcentral.net/42671/rokeshell2.zip" TargetMode="External"/><Relationship Id="rId5033" Type="http://schemas.openxmlformats.org/officeDocument/2006/relationships/hyperlink" Target="https://www.smwcentral.net/?a=details&amp;id=15486&amp;p=section" TargetMode="External"/><Relationship Id="rId946" Type="http://schemas.openxmlformats.org/officeDocument/2006/relationships/hyperlink" Target="https://dl.smwcentral.net/41159/Easyland%203.zip" TargetMode="External"/><Relationship Id="rId1229" Type="http://schemas.openxmlformats.org/officeDocument/2006/relationships/hyperlink" Target="https://www.smwcentral.net/?a=details&amp;id=40017&amp;p=section" TargetMode="External"/><Relationship Id="rId1990" Type="http://schemas.openxmlformats.org/officeDocument/2006/relationships/hyperlink" Target="https://dl.smwcentral.net/15939/MIMFixedIntros.zip" TargetMode="External"/><Relationship Id="rId2627" Type="http://schemas.openxmlformats.org/officeDocument/2006/relationships/hyperlink" Target="https://www.smwcentral.net/?a=details&amp;id=42411&amp;p=section" TargetMode="External"/><Relationship Id="rId5100" Type="http://schemas.openxmlformats.org/officeDocument/2006/relationships/hyperlink" Target="https://dl.smwcentral.net/5577/%5Btitle%5D.zip" TargetMode="External"/><Relationship Id="rId1643" Type="http://schemas.openxmlformats.org/officeDocument/2006/relationships/hyperlink" Target="https://www.smwcentral.net/?a=details&amp;id=39988&amp;p=section" TargetMode="External"/><Relationship Id="rId4799" Type="http://schemas.openxmlformats.org/officeDocument/2006/relationships/hyperlink" Target="https://www.smwcentral.net/?a=details&amp;id=15202&amp;p=section" TargetMode="External"/><Relationship Id="rId1710" Type="http://schemas.openxmlformats.org/officeDocument/2006/relationships/hyperlink" Target="https://dl.smwcentral.net/9754/Link%27s%20Adventure%20Demo%202.zip" TargetMode="External"/><Relationship Id="rId4866" Type="http://schemas.openxmlformats.org/officeDocument/2006/relationships/hyperlink" Target="https://dl.smwcentral.net/39497/thelegendofredplumber.zip" TargetMode="External"/><Relationship Id="rId3468" Type="http://schemas.openxmlformats.org/officeDocument/2006/relationships/hyperlink" Target="https://dl.smwcentral.net/39453/Super%20Corn%20World.zip" TargetMode="External"/><Relationship Id="rId3882" Type="http://schemas.openxmlformats.org/officeDocument/2006/relationships/hyperlink" Target="https://dl.smwcentral.net/10205/Vanilla%20Land%20%28EN%29.zip" TargetMode="External"/><Relationship Id="rId4519" Type="http://schemas.openxmlformats.org/officeDocument/2006/relationships/hyperlink" Target="https://www.smwcentral.net/?a=details&amp;id=26113&amp;p=section" TargetMode="External"/><Relationship Id="rId4933" Type="http://schemas.openxmlformats.org/officeDocument/2006/relationships/hyperlink" Target="https://www.smwcentral.net/?a=details&amp;id=34219&amp;p=section" TargetMode="External"/><Relationship Id="rId389" Type="http://schemas.openxmlformats.org/officeDocument/2006/relationships/hyperlink" Target="https://www.smwcentral.net/?a=details&amp;id=9652&amp;p=section" TargetMode="External"/><Relationship Id="rId2484" Type="http://schemas.openxmlformats.org/officeDocument/2006/relationships/hyperlink" Target="https://dl.smwcentral.net/10198/Nerdina%27s%20World%20-%20Demo%20V%201.0.zip" TargetMode="External"/><Relationship Id="rId3535" Type="http://schemas.openxmlformats.org/officeDocument/2006/relationships/hyperlink" Target="https://www.smwcentral.net/?a=details&amp;id=41538&amp;p=section" TargetMode="External"/><Relationship Id="rId456" Type="http://schemas.openxmlformats.org/officeDocument/2006/relationships/hyperlink" Target="https://dl.smwcentral.net/27212/Blue%27sRevengeV1.1.zip" TargetMode="External"/><Relationship Id="rId870" Type="http://schemas.openxmlformats.org/officeDocument/2006/relationships/hyperlink" Target="https://dl.smwcentral.net/14675/Do%20The%20Mario%20Demo%201.2.2.1.zip" TargetMode="External"/><Relationship Id="rId1086" Type="http://schemas.openxmlformats.org/officeDocument/2006/relationships/hyperlink" Target="https://dl.smwcentral.net/32790/Forever%20v1.1a.zip" TargetMode="External"/><Relationship Id="rId2137" Type="http://schemas.openxmlformats.org/officeDocument/2006/relationships/hyperlink" Target="https://www.smwcentral.net/?a=details&amp;id=9769&amp;p=section" TargetMode="External"/><Relationship Id="rId2551" Type="http://schemas.openxmlformats.org/officeDocument/2006/relationships/hyperlink" Target="https://www.smwcentral.net/?a=details&amp;id=27739&amp;p=section" TargetMode="External"/><Relationship Id="rId109" Type="http://schemas.openxmlformats.org/officeDocument/2006/relationships/hyperlink" Target="https://www.smwcentral.net/?a=details&amp;id=10416&amp;p=section" TargetMode="External"/><Relationship Id="rId523" Type="http://schemas.openxmlformats.org/officeDocument/2006/relationships/hyperlink" Target="https://www.smwcentral.net/?a=details&amp;id=37751&amp;p=section" TargetMode="External"/><Relationship Id="rId1153" Type="http://schemas.openxmlformats.org/officeDocument/2006/relationships/hyperlink" Target="https://www.smwcentral.net/?a=details&amp;id=30995&amp;p=section" TargetMode="External"/><Relationship Id="rId2204" Type="http://schemas.openxmlformats.org/officeDocument/2006/relationships/hyperlink" Target="https://dl.smwcentral.net/9816/Mario%27s%20Nightmare%20Ep1.zip" TargetMode="External"/><Relationship Id="rId3602" Type="http://schemas.openxmlformats.org/officeDocument/2006/relationships/hyperlink" Target="https://dl.smwcentral.net/33988/IsikoroMario.zip" TargetMode="External"/><Relationship Id="rId1220" Type="http://schemas.openxmlformats.org/officeDocument/2006/relationships/hyperlink" Target="https://dl.smwcentral.net/5428/Hack.zip" TargetMode="External"/><Relationship Id="rId4376" Type="http://schemas.openxmlformats.org/officeDocument/2006/relationships/hyperlink" Target="https://dl.smwcentral.net/9882/super%20normal%20world.zip" TargetMode="External"/><Relationship Id="rId4790" Type="http://schemas.openxmlformats.org/officeDocument/2006/relationships/hyperlink" Target="https://dl.smwcentral.net/4972/Forever%20Mystery%20Prologue.zip" TargetMode="External"/><Relationship Id="rId5427" Type="http://schemas.openxmlformats.org/officeDocument/2006/relationships/hyperlink" Target="https://www.smwcentral.net/?a=details&amp;id=39510&amp;p=section" TargetMode="External"/><Relationship Id="rId3392" Type="http://schemas.openxmlformats.org/officeDocument/2006/relationships/hyperlink" Target="https://dl.smwcentral.net/19914/Subpar_Mario_World_v1.0.zip" TargetMode="External"/><Relationship Id="rId4029" Type="http://schemas.openxmlformats.org/officeDocument/2006/relationships/hyperlink" Target="https://www.smwcentral.net/?a=details&amp;id=26444&amp;p=section" TargetMode="External"/><Relationship Id="rId4443" Type="http://schemas.openxmlformats.org/officeDocument/2006/relationships/hyperlink" Target="https://www.smwcentral.net/?a=details&amp;id=12979&amp;p=section" TargetMode="External"/><Relationship Id="rId3045" Type="http://schemas.openxmlformats.org/officeDocument/2006/relationships/hyperlink" Target="https://www.smwcentral.net/?a=details&amp;id=9924&amp;p=section" TargetMode="External"/><Relationship Id="rId4510" Type="http://schemas.openxmlformats.org/officeDocument/2006/relationships/hyperlink" Target="https://dl.smwcentral.net/40699/ssdw%201.1.zip" TargetMode="External"/><Relationship Id="rId380" Type="http://schemas.openxmlformats.org/officeDocument/2006/relationships/hyperlink" Target="https://dl.smwcentral.net/9944/BoR.zip" TargetMode="External"/><Relationship Id="rId2061" Type="http://schemas.openxmlformats.org/officeDocument/2006/relationships/hyperlink" Target="https://www.smwcentral.net/?a=details&amp;id=32992&amp;p=section" TargetMode="External"/><Relationship Id="rId3112" Type="http://schemas.openxmlformats.org/officeDocument/2006/relationships/hyperlink" Target="https://dl.smwcentral.net/37792/ShellsKitchen_Nicos_Journey_v1.0.zip" TargetMode="External"/><Relationship Id="rId5284" Type="http://schemas.openxmlformats.org/officeDocument/2006/relationships/hyperlink" Target="https://dl.smwcentral.net/19028/Vanilla%20Made%20to%20Order.zip" TargetMode="External"/><Relationship Id="rId100" Type="http://schemas.openxmlformats.org/officeDocument/2006/relationships/hyperlink" Target="https://dl.smwcentral.net/22376/A%20Difficult%20Journey.zip" TargetMode="External"/><Relationship Id="rId2878" Type="http://schemas.openxmlformats.org/officeDocument/2006/relationships/hyperlink" Target="https://dl.smwcentral.net/9985/Quick%20Delivery%5BDemo%5D.zip" TargetMode="External"/><Relationship Id="rId3929" Type="http://schemas.openxmlformats.org/officeDocument/2006/relationships/hyperlink" Target="https://www.smwcentral.net/?a=details&amp;id=16416&amp;p=section" TargetMode="External"/><Relationship Id="rId1894" Type="http://schemas.openxmlformats.org/officeDocument/2006/relationships/hyperlink" Target="https://dl.smwcentral.net/5113/MATMR%20hack.zip" TargetMode="External"/><Relationship Id="rId2945" Type="http://schemas.openxmlformats.org/officeDocument/2006/relationships/hyperlink" Target="https://www.smwcentral.net/?a=details&amp;id=39161&amp;p=section" TargetMode="External"/><Relationship Id="rId5351" Type="http://schemas.openxmlformats.org/officeDocument/2006/relationships/hyperlink" Target="https://www.smwcentral.net/?a=details&amp;id=30365&amp;p=section" TargetMode="External"/><Relationship Id="rId917" Type="http://schemas.openxmlformats.org/officeDocument/2006/relationships/hyperlink" Target="https://www.smwcentral.net/?a=details&amp;id=40261&amp;p=section" TargetMode="External"/><Relationship Id="rId1547" Type="http://schemas.openxmlformats.org/officeDocument/2006/relationships/hyperlink" Target="https://www.smwcentral.net/?a=details&amp;id=16059&amp;p=section" TargetMode="External"/><Relationship Id="rId1961" Type="http://schemas.openxmlformats.org/officeDocument/2006/relationships/hyperlink" Target="https://www.smwcentral.net/?a=details&amp;id=9720&amp;p=section" TargetMode="External"/><Relationship Id="rId5004" Type="http://schemas.openxmlformats.org/officeDocument/2006/relationships/hyperlink" Target="https://dl.smwcentral.net/29914/The_Sweet_Sweet_Love_Returns.zip" TargetMode="External"/><Relationship Id="rId1614" Type="http://schemas.openxmlformats.org/officeDocument/2006/relationships/hyperlink" Target="https://dl.smwcentral.net/18203/Korosu%20Mario%20World%202.41.zip" TargetMode="External"/><Relationship Id="rId4020" Type="http://schemas.openxmlformats.org/officeDocument/2006/relationships/hyperlink" Target="https://dl.smwcentral.net/10085/T4J6-23-2010.zip" TargetMode="External"/><Relationship Id="rId3786" Type="http://schemas.openxmlformats.org/officeDocument/2006/relationships/hyperlink" Target="https://dl.smwcentral.net/31151/hac.zip" TargetMode="External"/><Relationship Id="rId2388" Type="http://schemas.openxmlformats.org/officeDocument/2006/relationships/hyperlink" Target="https://dl.smwcentral.net/18419/Monty%20Mole%20Island%20V1.2.zip" TargetMode="External"/><Relationship Id="rId3439" Type="http://schemas.openxmlformats.org/officeDocument/2006/relationships/hyperlink" Target="https://www.smwcentral.net/?a=details&amp;id=37921&amp;p=section" TargetMode="External"/><Relationship Id="rId4837" Type="http://schemas.openxmlformats.org/officeDocument/2006/relationships/hyperlink" Target="https://www.smwcentral.net/?a=details&amp;id=14657&amp;p=section" TargetMode="External"/><Relationship Id="rId3853" Type="http://schemas.openxmlformats.org/officeDocument/2006/relationships/hyperlink" Target="https://www.smwcentral.net/?a=details&amp;id=32985&amp;p=section" TargetMode="External"/><Relationship Id="rId4904" Type="http://schemas.openxmlformats.org/officeDocument/2006/relationships/hyperlink" Target="https://dl.smwcentral.net/10096/Missing%20Plot.zip" TargetMode="External"/><Relationship Id="rId774" Type="http://schemas.openxmlformats.org/officeDocument/2006/relationships/hyperlink" Target="https://dl.smwcentral.net/27355/Cubes%20Kaizo%20World%202.zip" TargetMode="External"/><Relationship Id="rId981" Type="http://schemas.openxmlformats.org/officeDocument/2006/relationships/hyperlink" Target="https://www.smwcentral.net/?a=details&amp;id=6208&amp;p=section" TargetMode="External"/><Relationship Id="rId1057" Type="http://schemas.openxmlformats.org/officeDocument/2006/relationships/hyperlink" Target="https://www.smwcentral.net/?a=details&amp;id=35429&amp;p=section" TargetMode="External"/><Relationship Id="rId2455" Type="http://schemas.openxmlformats.org/officeDocument/2006/relationships/hyperlink" Target="https://www.smwcentral.net/?a=details&amp;id=33121&amp;p=section" TargetMode="External"/><Relationship Id="rId2662" Type="http://schemas.openxmlformats.org/officeDocument/2006/relationships/hyperlink" Target="https://dl.smwcentral.net/16348/One%20screen%20puzzle%201.zip" TargetMode="External"/><Relationship Id="rId3506" Type="http://schemas.openxmlformats.org/officeDocument/2006/relationships/hyperlink" Target="https://dl.smwcentral.net/40662/Super%20Dram%20World%202%20v1.3.zip" TargetMode="External"/><Relationship Id="rId3713" Type="http://schemas.openxmlformats.org/officeDocument/2006/relationships/hyperlink" Target="https://www.smwcentral.net/?a=details&amp;id=24103&amp;p=section" TargetMode="External"/><Relationship Id="rId3920" Type="http://schemas.openxmlformats.org/officeDocument/2006/relationships/hyperlink" Target="https://dl.smwcentral.net/9761/SuperMarioOcean.zip" TargetMode="External"/><Relationship Id="rId427" Type="http://schemas.openxmlformats.org/officeDocument/2006/relationships/hyperlink" Target="https://www.smwcentral.net/?a=details&amp;id=29604&amp;p=section" TargetMode="External"/><Relationship Id="rId634" Type="http://schemas.openxmlformats.org/officeDocument/2006/relationships/hyperlink" Target="https://dl.smwcentral.net/9704/CaveEscape1.5.zip" TargetMode="External"/><Relationship Id="rId841" Type="http://schemas.openxmlformats.org/officeDocument/2006/relationships/hyperlink" Target="https://www.smwcentral.net/?a=details&amp;id=32023&amp;p=section" TargetMode="External"/><Relationship Id="rId1264" Type="http://schemas.openxmlformats.org/officeDocument/2006/relationships/hyperlink" Target="https://dl.smwcentral.net/39722/Hage%20World.zip" TargetMode="External"/><Relationship Id="rId1471" Type="http://schemas.openxmlformats.org/officeDocument/2006/relationships/hyperlink" Target="https://www.smwcentral.net/?a=details&amp;id=30147&amp;p=section" TargetMode="External"/><Relationship Id="rId2108" Type="http://schemas.openxmlformats.org/officeDocument/2006/relationships/hyperlink" Target="https://dl.smwcentral.net/13372/Marios%20100s%20Challenge%20FINAL%202%2C1.zip" TargetMode="External"/><Relationship Id="rId2315" Type="http://schemas.openxmlformats.org/officeDocument/2006/relationships/hyperlink" Target="https://www.smwcentral.net/?a=details&amp;id=40966&amp;p=section" TargetMode="External"/><Relationship Id="rId2522" Type="http://schemas.openxmlformats.org/officeDocument/2006/relationships/hyperlink" Target="https://dl.smwcentral.net/34324/New%20Super%20Mario%20World%201%20The%20Twelve%20Magic%20Orbs%20POWERED-UP%20v1.1.zip" TargetMode="External"/><Relationship Id="rId701" Type="http://schemas.openxmlformats.org/officeDocument/2006/relationships/hyperlink" Target="https://www.smwcentral.net/?a=details&amp;id=22988&amp;p=section" TargetMode="External"/><Relationship Id="rId1124" Type="http://schemas.openxmlformats.org/officeDocument/2006/relationships/hyperlink" Target="https://dl.smwcentral.net/27158/G-Fazo%202.0.zip" TargetMode="External"/><Relationship Id="rId1331" Type="http://schemas.openxmlformats.org/officeDocument/2006/relationships/hyperlink" Target="https://www.smwcentral.net/?a=details&amp;id=37692&amp;p=section" TargetMode="External"/><Relationship Id="rId4487" Type="http://schemas.openxmlformats.org/officeDocument/2006/relationships/hyperlink" Target="https://www.smwcentral.net/?a=details&amp;id=9794&amp;p=section" TargetMode="External"/><Relationship Id="rId4694" Type="http://schemas.openxmlformats.org/officeDocument/2006/relationships/hyperlink" Target="https://dl.smwcentral.net/29409/The_3_Little_Princesses.zip" TargetMode="External"/><Relationship Id="rId3089" Type="http://schemas.openxmlformats.org/officeDocument/2006/relationships/hyperlink" Target="https://www.smwcentral.net/?a=details&amp;id=24544&amp;p=section" TargetMode="External"/><Relationship Id="rId3296" Type="http://schemas.openxmlformats.org/officeDocument/2006/relationships/hyperlink" Target="https://dl.smwcentral.net/37804/Sonic%202%20But%20Kaizo.zip" TargetMode="External"/><Relationship Id="rId4347" Type="http://schemas.openxmlformats.org/officeDocument/2006/relationships/hyperlink" Target="https://www.smwcentral.net/?a=details&amp;id=41228&amp;p=section" TargetMode="External"/><Relationship Id="rId4554" Type="http://schemas.openxmlformats.org/officeDocument/2006/relationships/hyperlink" Target="https://dl.smwcentral.net/17982/SWL2.1.1.zip" TargetMode="External"/><Relationship Id="rId4761" Type="http://schemas.openxmlformats.org/officeDocument/2006/relationships/hyperlink" Target="https://www.smwcentral.net/?a=details&amp;id=29661&amp;p=section" TargetMode="External"/><Relationship Id="rId3156" Type="http://schemas.openxmlformats.org/officeDocument/2006/relationships/hyperlink" Target="https://dl.smwcentral.net/38720/Signals.zip" TargetMode="External"/><Relationship Id="rId3363" Type="http://schemas.openxmlformats.org/officeDocument/2006/relationships/hyperlink" Target="https://www.smwcentral.net/?a=details&amp;id=31286&amp;p=section" TargetMode="External"/><Relationship Id="rId4207" Type="http://schemas.openxmlformats.org/officeDocument/2006/relationships/hyperlink" Target="https://www.smwcentral.net/?a=details&amp;id=42564&amp;p=section" TargetMode="External"/><Relationship Id="rId4414" Type="http://schemas.openxmlformats.org/officeDocument/2006/relationships/hyperlink" Target="https://dl.smwcentral.net/27712/Super%20Penny%20World%20v1.0.zip" TargetMode="External"/><Relationship Id="rId284" Type="http://schemas.openxmlformats.org/officeDocument/2006/relationships/hyperlink" Target="https://dl.smwcentral.net/10216/An%20Untitled%20Quest%21.zip" TargetMode="External"/><Relationship Id="rId491" Type="http://schemas.openxmlformats.org/officeDocument/2006/relationships/hyperlink" Target="https://www.smwcentral.net/?a=details&amp;id=5241&amp;p=section" TargetMode="External"/><Relationship Id="rId2172" Type="http://schemas.openxmlformats.org/officeDocument/2006/relationships/hyperlink" Target="https://dl.smwcentral.net/5317/MKT.zip" TargetMode="External"/><Relationship Id="rId3016" Type="http://schemas.openxmlformats.org/officeDocument/2006/relationships/hyperlink" Target="https://dl.smwcentral.net/38077/Safespace%20Challenge.zip" TargetMode="External"/><Relationship Id="rId3223" Type="http://schemas.openxmlformats.org/officeDocument/2006/relationships/hyperlink" Target="https://www.smwcentral.net/?a=details&amp;id=5004&amp;p=section" TargetMode="External"/><Relationship Id="rId3570" Type="http://schemas.openxmlformats.org/officeDocument/2006/relationships/hyperlink" Target="https://dl.smwcentral.net/17395/Super%20Gracie%20World%20v1.3.bps.zip" TargetMode="External"/><Relationship Id="rId4621" Type="http://schemas.openxmlformats.org/officeDocument/2006/relationships/hyperlink" Target="https://www.smwcentral.net/?a=details&amp;id=40708&amp;p=section" TargetMode="External"/><Relationship Id="rId144" Type="http://schemas.openxmlformats.org/officeDocument/2006/relationships/hyperlink" Target="https://dl.smwcentral.net/22382/A%20new%20year%20walk%20%28Music%20Fixed%29.zip" TargetMode="External"/><Relationship Id="rId3430" Type="http://schemas.openxmlformats.org/officeDocument/2006/relationships/hyperlink" Target="https://dl.smwcentral.net/30199/SBSSW1.31.zip" TargetMode="External"/><Relationship Id="rId5188" Type="http://schemas.openxmlformats.org/officeDocument/2006/relationships/hyperlink" Target="https://dl.smwcentral.net/35741/Truc_Bidule.zip" TargetMode="External"/><Relationship Id="rId351" Type="http://schemas.openxmlformats.org/officeDocument/2006/relationships/hyperlink" Target="https://www.smwcentral.net/?a=details&amp;id=29994&amp;p=section" TargetMode="External"/><Relationship Id="rId2032" Type="http://schemas.openxmlformats.org/officeDocument/2006/relationships/hyperlink" Target="https://dl.smwcentral.net/24890/MARIO%20OC%20ediitor.zip" TargetMode="External"/><Relationship Id="rId2989" Type="http://schemas.openxmlformats.org/officeDocument/2006/relationships/hyperlink" Target="https://www.smwcentral.net/?a=details&amp;id=42259&amp;p=section" TargetMode="External"/><Relationship Id="rId5395" Type="http://schemas.openxmlformats.org/officeDocument/2006/relationships/hyperlink" Target="https://www.smwcentral.net/?a=details&amp;id=15265&amp;p=section" TargetMode="External"/><Relationship Id="rId211" Type="http://schemas.openxmlformats.org/officeDocument/2006/relationships/hyperlink" Target="https://www.smwcentral.net/?a=details&amp;id=41559&amp;p=section" TargetMode="External"/><Relationship Id="rId1798" Type="http://schemas.openxmlformats.org/officeDocument/2006/relationships/hyperlink" Target="https://dl.smwcentral.net/37057/LuigisNewQuest.zip" TargetMode="External"/><Relationship Id="rId2849" Type="http://schemas.openxmlformats.org/officeDocument/2006/relationships/hyperlink" Target="https://www.smwcentral.net/?a=details&amp;id=16709&amp;p=section" TargetMode="External"/><Relationship Id="rId5048" Type="http://schemas.openxmlformats.org/officeDocument/2006/relationships/hyperlink" Target="https://dl.smwcentral.net/10025/Yoshi%20-%20Dawn%20of%20the%20Darkness%20demo2.zip" TargetMode="External"/><Relationship Id="rId5255" Type="http://schemas.openxmlformats.org/officeDocument/2006/relationships/hyperlink" Target="https://www.smwcentral.net/?a=details&amp;id=6386&amp;p=section" TargetMode="External"/><Relationship Id="rId5462" Type="http://schemas.openxmlformats.org/officeDocument/2006/relationships/hyperlink" Target="https://dl.smwcentral.net/10302/YSQ%20V1.3.zip" TargetMode="External"/><Relationship Id="rId1658" Type="http://schemas.openxmlformats.org/officeDocument/2006/relationships/hyperlink" Target="https://dl.smwcentral.net/39020/LakituIHopeThisIsTheFinalUpdate.zip" TargetMode="External"/><Relationship Id="rId1865" Type="http://schemas.openxmlformats.org/officeDocument/2006/relationships/hyperlink" Target="https://www.smwcentral.net/?a=details&amp;id=23496&amp;p=section" TargetMode="External"/><Relationship Id="rId2709" Type="http://schemas.openxmlformats.org/officeDocument/2006/relationships/hyperlink" Target="https://www.smwcentral.net/?a=details&amp;id=9691&amp;p=section" TargetMode="External"/><Relationship Id="rId4064" Type="http://schemas.openxmlformats.org/officeDocument/2006/relationships/hyperlink" Target="https://dl.smwcentral.net/28581/Super%20Mario%20World%20Challenges.zip" TargetMode="External"/><Relationship Id="rId4271" Type="http://schemas.openxmlformats.org/officeDocument/2006/relationships/hyperlink" Target="https://www.smwcentral.net/?a=details&amp;id=5269&amp;p=section" TargetMode="External"/><Relationship Id="rId5115" Type="http://schemas.openxmlformats.org/officeDocument/2006/relationships/hyperlink" Target="https://www.smwcentral.net/?a=details&amp;id=39167&amp;p=section" TargetMode="External"/><Relationship Id="rId5322" Type="http://schemas.openxmlformats.org/officeDocument/2006/relationships/hyperlink" Target="https://dl.smwcentral.net/13214/VP.zip" TargetMode="External"/><Relationship Id="rId1518" Type="http://schemas.openxmlformats.org/officeDocument/2006/relationships/hyperlink" Target="https://dl.smwcentral.net/9899/Kain%27s%20Quest1.1.zip" TargetMode="External"/><Relationship Id="rId2916" Type="http://schemas.openxmlformats.org/officeDocument/2006/relationships/hyperlink" Target="https://dl.smwcentral.net/35559/Red%27s%20Christmas%20Party_fixed.zip" TargetMode="External"/><Relationship Id="rId3080" Type="http://schemas.openxmlformats.org/officeDocument/2006/relationships/hyperlink" Target="https://dl.smwcentral.net/41263/Shell%20Motel.zip" TargetMode="External"/><Relationship Id="rId4131" Type="http://schemas.openxmlformats.org/officeDocument/2006/relationships/hyperlink" Target="https://www.smwcentral.net/?a=details&amp;id=6286&amp;p=section" TargetMode="External"/><Relationship Id="rId1725" Type="http://schemas.openxmlformats.org/officeDocument/2006/relationships/hyperlink" Target="https://www.smwcentral.net/?a=details&amp;id=9874&amp;p=section" TargetMode="External"/><Relationship Id="rId1932" Type="http://schemas.openxmlformats.org/officeDocument/2006/relationships/hyperlink" Target="https://dl.smwcentral.net/26935/Mario%20Gives%20Up%202.zip" TargetMode="External"/><Relationship Id="rId17" Type="http://schemas.openxmlformats.org/officeDocument/2006/relationships/hyperlink" Target="https://www.smwcentral.net/?a=details&amp;id=42400&amp;p=section" TargetMode="External"/><Relationship Id="rId3897" Type="http://schemas.openxmlformats.org/officeDocument/2006/relationships/hyperlink" Target="https://www.smwcentral.net/?a=details&amp;id=13608&amp;p=section" TargetMode="External"/><Relationship Id="rId4948" Type="http://schemas.openxmlformats.org/officeDocument/2006/relationships/hyperlink" Target="https://dl.smwcentral.net/26558/TheReaperShells.zip" TargetMode="External"/><Relationship Id="rId2499" Type="http://schemas.openxmlformats.org/officeDocument/2006/relationships/hyperlink" Target="https://www.smwcentral.net/?a=details&amp;id=9871&amp;p=section" TargetMode="External"/><Relationship Id="rId3757" Type="http://schemas.openxmlformats.org/officeDocument/2006/relationships/hyperlink" Target="https://www.smwcentral.net/?a=details&amp;id=5400&amp;p=section" TargetMode="External"/><Relationship Id="rId3964" Type="http://schemas.openxmlformats.org/officeDocument/2006/relationships/hyperlink" Target="https://dl.smwcentral.net/9841/SMTI2.zip" TargetMode="External"/><Relationship Id="rId4808" Type="http://schemas.openxmlformats.org/officeDocument/2006/relationships/hyperlink" Target="https://dl.smwcentral.net/31221/The%20Getaway%201.12.zip" TargetMode="External"/><Relationship Id="rId1" Type="http://schemas.openxmlformats.org/officeDocument/2006/relationships/hyperlink" Target="https://www.smwcentral.net/?a=details&amp;id=40226&amp;p=section" TargetMode="External"/><Relationship Id="rId678" Type="http://schemas.openxmlformats.org/officeDocument/2006/relationships/hyperlink" Target="https://dl.smwcentral.net/37901/Chopped.zip" TargetMode="External"/><Relationship Id="rId885" Type="http://schemas.openxmlformats.org/officeDocument/2006/relationships/hyperlink" Target="https://www.smwcentral.net/?a=details&amp;id=5224&amp;p=section" TargetMode="External"/><Relationship Id="rId2359" Type="http://schemas.openxmlformats.org/officeDocument/2006/relationships/hyperlink" Target="https://www.smwcentral.net/?a=details&amp;id=27264&amp;p=section" TargetMode="External"/><Relationship Id="rId2566" Type="http://schemas.openxmlformats.org/officeDocument/2006/relationships/hyperlink" Target="https://dl.smwcentral.net/27733/Nightmare%20Cafe%20VI%201.3.zip" TargetMode="External"/><Relationship Id="rId2773" Type="http://schemas.openxmlformats.org/officeDocument/2006/relationships/hyperlink" Target="https://www.smwcentral.net/?a=details&amp;id=42546&amp;p=section" TargetMode="External"/><Relationship Id="rId2980" Type="http://schemas.openxmlformats.org/officeDocument/2006/relationships/hyperlink" Target="https://dl.smwcentral.net/20845/RHR%20Season%203%20Collaboration.zip" TargetMode="External"/><Relationship Id="rId3617" Type="http://schemas.openxmlformats.org/officeDocument/2006/relationships/hyperlink" Target="https://www.smwcentral.net/?a=details&amp;id=20773&amp;p=section" TargetMode="External"/><Relationship Id="rId3824" Type="http://schemas.openxmlformats.org/officeDocument/2006/relationships/hyperlink" Target="https://dl.smwcentral.net/30202/Super%20Mario%20Bros.%20The%20Search%20for%20Oreo%20Cakesters.zip" TargetMode="External"/><Relationship Id="rId538" Type="http://schemas.openxmlformats.org/officeDocument/2006/relationships/hyperlink" Target="https://dl.smwcentral.net/22536/BreadWorld.zip" TargetMode="External"/><Relationship Id="rId745" Type="http://schemas.openxmlformats.org/officeDocument/2006/relationships/hyperlink" Target="https://www.smwcentral.net/?a=details&amp;id=35348&amp;p=section" TargetMode="External"/><Relationship Id="rId952" Type="http://schemas.openxmlformats.org/officeDocument/2006/relationships/hyperlink" Target="https://dl.smwcentral.net/9784/EF_Land.zip" TargetMode="External"/><Relationship Id="rId1168" Type="http://schemas.openxmlformats.org/officeDocument/2006/relationships/hyperlink" Target="https://dl.smwcentral.net/39080/gomba.zip" TargetMode="External"/><Relationship Id="rId1375" Type="http://schemas.openxmlformats.org/officeDocument/2006/relationships/hyperlink" Target="https://www.smwcentral.net/?a=details&amp;id=11386&amp;p=section" TargetMode="External"/><Relationship Id="rId1582" Type="http://schemas.openxmlformats.org/officeDocument/2006/relationships/hyperlink" Target="https://dl.smwcentral.net/10113/KetchupAdventure.zip" TargetMode="External"/><Relationship Id="rId2219" Type="http://schemas.openxmlformats.org/officeDocument/2006/relationships/hyperlink" Target="https://www.smwcentral.net/?a=details&amp;id=8897&amp;p=section" TargetMode="External"/><Relationship Id="rId2426" Type="http://schemas.openxmlformats.org/officeDocument/2006/relationships/hyperlink" Target="https://dl.smwcentral.net/20595/Mute%27s%20Christmas%20Quest.zip" TargetMode="External"/><Relationship Id="rId2633" Type="http://schemas.openxmlformats.org/officeDocument/2006/relationships/hyperlink" Target="https://www.smwcentral.net/?a=details&amp;id=36658&amp;p=section" TargetMode="External"/><Relationship Id="rId81" Type="http://schemas.openxmlformats.org/officeDocument/2006/relationships/hyperlink" Target="https://www.smwcentral.net/?a=details&amp;id=38806&amp;p=section" TargetMode="External"/><Relationship Id="rId605" Type="http://schemas.openxmlformats.org/officeDocument/2006/relationships/hyperlink" Target="https://www.smwcentral.net/?a=details&amp;id=14736&amp;p=section" TargetMode="External"/><Relationship Id="rId812" Type="http://schemas.openxmlformats.org/officeDocument/2006/relationships/hyperlink" Target="https://dl.smwcentral.net/32591/Day%20at%20the%20races%20v1.zip" TargetMode="External"/><Relationship Id="rId1028" Type="http://schemas.openxmlformats.org/officeDocument/2006/relationships/hyperlink" Target="https://dl.smwcentral.net/39342/Extended%20Interactions%20V1.1.1.zip" TargetMode="External"/><Relationship Id="rId1235" Type="http://schemas.openxmlformats.org/officeDocument/2006/relationships/hyperlink" Target="https://www.smwcentral.net/?a=details&amp;id=26367&amp;p=section" TargetMode="External"/><Relationship Id="rId1442" Type="http://schemas.openxmlformats.org/officeDocument/2006/relationships/hyperlink" Target="https://dl.smwcentral.net/10285/JDCGames%20Collaboration.zip" TargetMode="External"/><Relationship Id="rId2840" Type="http://schemas.openxmlformats.org/officeDocument/2006/relationships/hyperlink" Target="https://dl.smwcentral.net/17633/PrincessKaizoLand.zip" TargetMode="External"/><Relationship Id="rId4598" Type="http://schemas.openxmlformats.org/officeDocument/2006/relationships/hyperlink" Target="https://dl.smwcentral.net/32222/Survivor.zip" TargetMode="External"/><Relationship Id="rId1302" Type="http://schemas.openxmlformats.org/officeDocument/2006/relationships/hyperlink" Target="https://dl.smwcentral.net/28326/Heavenly%20host%20II%20v1.1.zip" TargetMode="External"/><Relationship Id="rId2700" Type="http://schemas.openxmlformats.org/officeDocument/2006/relationships/hyperlink" Target="https://dl.smwcentral.net/32445/Paul%20Remastered.zip" TargetMode="External"/><Relationship Id="rId4458" Type="http://schemas.openxmlformats.org/officeDocument/2006/relationships/hyperlink" Target="https://dl.smwcentral.net/20717/SRW2.zip" TargetMode="External"/><Relationship Id="rId3267" Type="http://schemas.openxmlformats.org/officeDocument/2006/relationships/hyperlink" Target="https://www.smwcentral.net/?a=details&amp;id=8843&amp;p=section" TargetMode="External"/><Relationship Id="rId4665" Type="http://schemas.openxmlformats.org/officeDocument/2006/relationships/hyperlink" Target="https://www.smwcentral.net/?a=details&amp;id=33142&amp;p=section" TargetMode="External"/><Relationship Id="rId4872" Type="http://schemas.openxmlformats.org/officeDocument/2006/relationships/hyperlink" Target="https://dl.smwcentral.net/9525/TheLevel1.2.zip" TargetMode="External"/><Relationship Id="rId188" Type="http://schemas.openxmlformats.org/officeDocument/2006/relationships/hyperlink" Target="https://dl.smwcentral.net/17125/A%20Super%20Mario%20Thing.zip" TargetMode="External"/><Relationship Id="rId395" Type="http://schemas.openxmlformats.org/officeDocument/2006/relationships/hyperlink" Target="https://www.smwcentral.net/?a=details&amp;id=28720&amp;p=section" TargetMode="External"/><Relationship Id="rId2076" Type="http://schemas.openxmlformats.org/officeDocument/2006/relationships/hyperlink" Target="https://dl.smwcentral.net/9814/MTA.zip" TargetMode="External"/><Relationship Id="rId3474" Type="http://schemas.openxmlformats.org/officeDocument/2006/relationships/hyperlink" Target="https://dl.smwcentral.net/9637/SCW_The_Mini_Hacks.zip" TargetMode="External"/><Relationship Id="rId3681" Type="http://schemas.openxmlformats.org/officeDocument/2006/relationships/hyperlink" Target="https://www.smwcentral.net/?a=details&amp;id=12758&amp;p=section" TargetMode="External"/><Relationship Id="rId4318" Type="http://schemas.openxmlformats.org/officeDocument/2006/relationships/hyperlink" Target="https://dl.smwcentral.net/31968/SMAW%20non%20SA-1%20v1.10a%20For%20SMWC%201%20Player.zip" TargetMode="External"/><Relationship Id="rId4525" Type="http://schemas.openxmlformats.org/officeDocument/2006/relationships/hyperlink" Target="https://www.smwcentral.net/?a=details&amp;id=16894&amp;p=section" TargetMode="External"/><Relationship Id="rId4732" Type="http://schemas.openxmlformats.org/officeDocument/2006/relationships/hyperlink" Target="https://dl.smwcentral.net/38710/%5BHack%5D%20The%20Bonus%20Rooms%20%28Official%29.zip" TargetMode="External"/><Relationship Id="rId2283" Type="http://schemas.openxmlformats.org/officeDocument/2006/relationships/hyperlink" Target="https://www.smwcentral.net/?a=details&amp;id=38969&amp;p=section" TargetMode="External"/><Relationship Id="rId2490" Type="http://schemas.openxmlformats.org/officeDocument/2006/relationships/hyperlink" Target="https://dl.smwcentral.net/33431/NEW%20Nightmare%20cafe%20v1.0A.zip" TargetMode="External"/><Relationship Id="rId3127" Type="http://schemas.openxmlformats.org/officeDocument/2006/relationships/hyperlink" Target="https://www.smwcentral.net/?a=details&amp;id=27802&amp;p=section" TargetMode="External"/><Relationship Id="rId3334" Type="http://schemas.openxmlformats.org/officeDocument/2006/relationships/hyperlink" Target="https://dl.smwcentral.net/38128/Spitefulmarioupdate.zip" TargetMode="External"/><Relationship Id="rId3541" Type="http://schemas.openxmlformats.org/officeDocument/2006/relationships/hyperlink" Target="https://www.smwcentral.net/?a=details&amp;id=39471&amp;p=section" TargetMode="External"/><Relationship Id="rId255" Type="http://schemas.openxmlformats.org/officeDocument/2006/relationships/hyperlink" Target="https://www.smwcentral.net/?a=details&amp;id=38912&amp;p=section" TargetMode="External"/><Relationship Id="rId462" Type="http://schemas.openxmlformats.org/officeDocument/2006/relationships/hyperlink" Target="https://dl.smwcentral.net/10194/Bob%27s%20adventure%20patch.zip" TargetMode="External"/><Relationship Id="rId1092" Type="http://schemas.openxmlformats.org/officeDocument/2006/relationships/hyperlink" Target="https://dl.smwcentral.net/38315/Foxx%20BGG%20World%20KSD%20Edition.zip" TargetMode="External"/><Relationship Id="rId2143" Type="http://schemas.openxmlformats.org/officeDocument/2006/relationships/hyperlink" Target="https://www.smwcentral.net/?a=details&amp;id=10300&amp;p=section" TargetMode="External"/><Relationship Id="rId2350" Type="http://schemas.openxmlformats.org/officeDocument/2006/relationships/hyperlink" Target="https://dl.smwcentral.net/9646/Mercenaries%20Version%201.1.zip" TargetMode="External"/><Relationship Id="rId3401" Type="http://schemas.openxmlformats.org/officeDocument/2006/relationships/hyperlink" Target="https://www.smwcentral.net/?a=details&amp;id=10252&amp;p=section" TargetMode="External"/><Relationship Id="rId5299" Type="http://schemas.openxmlformats.org/officeDocument/2006/relationships/hyperlink" Target="https://www.smwcentral.net/?a=details&amp;id=31246&amp;p=section" TargetMode="External"/><Relationship Id="rId115" Type="http://schemas.openxmlformats.org/officeDocument/2006/relationships/hyperlink" Target="https://www.smwcentral.net/?a=details&amp;id=26660&amp;p=section" TargetMode="External"/><Relationship Id="rId322" Type="http://schemas.openxmlformats.org/officeDocument/2006/relationships/hyperlink" Target="https://dl.smwcentral.net/32317/Apple%20Boy%20Attack%20of%20Ice%20Cream%20Man.zip" TargetMode="External"/><Relationship Id="rId2003" Type="http://schemas.openxmlformats.org/officeDocument/2006/relationships/hyperlink" Target="https://www.smwcentral.net/?a=details&amp;id=18714&amp;p=section" TargetMode="External"/><Relationship Id="rId2210" Type="http://schemas.openxmlformats.org/officeDocument/2006/relationships/hyperlink" Target="https://dl.smwcentral.net/14536/MP.zip" TargetMode="External"/><Relationship Id="rId5159" Type="http://schemas.openxmlformats.org/officeDocument/2006/relationships/hyperlink" Target="https://www.smwcentral.net/?a=details&amp;id=32042&amp;p=section" TargetMode="External"/><Relationship Id="rId5366" Type="http://schemas.openxmlformats.org/officeDocument/2006/relationships/hyperlink" Target="https://dl.smwcentral.net/39891/We_Must_Go_Steeper_1.0.zip" TargetMode="External"/><Relationship Id="rId4175" Type="http://schemas.openxmlformats.org/officeDocument/2006/relationships/hyperlink" Target="https://www.smwcentral.net/?a=details&amp;id=25129&amp;p=section" TargetMode="External"/><Relationship Id="rId4382" Type="http://schemas.openxmlformats.org/officeDocument/2006/relationships/hyperlink" Target="https://dl.smwcentral.net/24397/Super%20Nova%201.21.zip" TargetMode="External"/><Relationship Id="rId5019" Type="http://schemas.openxmlformats.org/officeDocument/2006/relationships/hyperlink" Target="https://www.smwcentral.net/?a=details&amp;id=13148&amp;p=section" TargetMode="External"/><Relationship Id="rId5226" Type="http://schemas.openxmlformats.org/officeDocument/2006/relationships/hyperlink" Target="https://dl.smwcentral.net/28912/Unforgiving%20Tower.zip" TargetMode="External"/><Relationship Id="rId5433" Type="http://schemas.openxmlformats.org/officeDocument/2006/relationships/hyperlink" Target="https://www.smwcentral.net/?a=details&amp;id=25198&amp;p=section" TargetMode="External"/><Relationship Id="rId1769" Type="http://schemas.openxmlformats.org/officeDocument/2006/relationships/hyperlink" Target="https://www.smwcentral.net/?a=details&amp;id=34399&amp;p=section" TargetMode="External"/><Relationship Id="rId1976" Type="http://schemas.openxmlformats.org/officeDocument/2006/relationships/hyperlink" Target="https://dl.smwcentral.net/22397/MarioInSearchOfTheRest.zip" TargetMode="External"/><Relationship Id="rId3191" Type="http://schemas.openxmlformats.org/officeDocument/2006/relationships/hyperlink" Target="https://www.smwcentral.net/?a=details&amp;id=42687&amp;p=section" TargetMode="External"/><Relationship Id="rId4035" Type="http://schemas.openxmlformats.org/officeDocument/2006/relationships/hyperlink" Target="https://www.smwcentral.net/?a=details&amp;id=10138&amp;p=section" TargetMode="External"/><Relationship Id="rId4242" Type="http://schemas.openxmlformats.org/officeDocument/2006/relationships/hyperlink" Target="https://dl.smwcentral.net/20336/Super%20Mario%20Wornilla.zip" TargetMode="External"/><Relationship Id="rId1629" Type="http://schemas.openxmlformats.org/officeDocument/2006/relationships/hyperlink" Target="https://www.smwcentral.net/?a=details&amp;id=24477&amp;p=section" TargetMode="External"/><Relationship Id="rId1836" Type="http://schemas.openxmlformats.org/officeDocument/2006/relationships/hyperlink" Target="https://dl.smwcentral.net/9891/Mario.zip" TargetMode="External"/><Relationship Id="rId1903" Type="http://schemas.openxmlformats.org/officeDocument/2006/relationships/hyperlink" Target="https://www.smwcentral.net/?a=details&amp;id=9810&amp;p=section" TargetMode="External"/><Relationship Id="rId3051" Type="http://schemas.openxmlformats.org/officeDocument/2006/relationships/hyperlink" Target="https://www.smwcentral.net/?a=details&amp;id=33861&amp;p=section" TargetMode="External"/><Relationship Id="rId4102" Type="http://schemas.openxmlformats.org/officeDocument/2006/relationships/hyperlink" Target="https://dl.smwcentral.net/41928/smw%20ridleyx%20hack%20v1.0.zip" TargetMode="External"/><Relationship Id="rId3868" Type="http://schemas.openxmlformats.org/officeDocument/2006/relationships/hyperlink" Target="https://dl.smwcentral.net/9854/smheroes2.zip" TargetMode="External"/><Relationship Id="rId4919" Type="http://schemas.openxmlformats.org/officeDocument/2006/relationships/hyperlink" Target="https://www.smwcentral.net/?a=details&amp;id=5294&amp;p=section" TargetMode="External"/><Relationship Id="rId789" Type="http://schemas.openxmlformats.org/officeDocument/2006/relationships/hyperlink" Target="https://www.smwcentral.net/?a=details&amp;id=39486&amp;p=section" TargetMode="External"/><Relationship Id="rId996" Type="http://schemas.openxmlformats.org/officeDocument/2006/relationships/hyperlink" Target="https://dl.smwcentral.net/14533/eternal%20nightfall.zip" TargetMode="External"/><Relationship Id="rId2677" Type="http://schemas.openxmlformats.org/officeDocument/2006/relationships/hyperlink" Target="https://www.smwcentral.net/?a=details&amp;id=28356&amp;p=section" TargetMode="External"/><Relationship Id="rId2884" Type="http://schemas.openxmlformats.org/officeDocument/2006/relationships/hyperlink" Target="https://dl.smwcentral.net/29695/QWwav.zip" TargetMode="External"/><Relationship Id="rId3728" Type="http://schemas.openxmlformats.org/officeDocument/2006/relationships/hyperlink" Target="https://dl.smwcentral.net/9702/Super%20Mario%20and%20Super%20Alli%20World.zip" TargetMode="External"/><Relationship Id="rId5083" Type="http://schemas.openxmlformats.org/officeDocument/2006/relationships/hyperlink" Target="https://www.smwcentral.net/?a=details&amp;id=39398&amp;p=section" TargetMode="External"/><Relationship Id="rId5290" Type="http://schemas.openxmlformats.org/officeDocument/2006/relationships/hyperlink" Target="https://dl.smwcentral.net/36796/Vast%20Minutiae%201.2%20by%20GlitchCat7.zip" TargetMode="External"/><Relationship Id="rId649" Type="http://schemas.openxmlformats.org/officeDocument/2006/relationships/hyperlink" Target="https://www.smwcentral.net/?a=details&amp;id=9680&amp;p=section" TargetMode="External"/><Relationship Id="rId856" Type="http://schemas.openxmlformats.org/officeDocument/2006/relationships/hyperlink" Target="https://dl.smwcentral.net/37981/Diffidence.zip" TargetMode="External"/><Relationship Id="rId1279" Type="http://schemas.openxmlformats.org/officeDocument/2006/relationships/hyperlink" Target="https://www.smwcentral.net/?a=details&amp;id=41546&amp;p=section" TargetMode="External"/><Relationship Id="rId1486" Type="http://schemas.openxmlformats.org/officeDocument/2006/relationships/hyperlink" Target="https://dl.smwcentral.net/41515/Jumpsc.zip" TargetMode="External"/><Relationship Id="rId2537" Type="http://schemas.openxmlformats.org/officeDocument/2006/relationships/hyperlink" Target="https://www.smwcentral.net/?a=details&amp;id=29486&amp;p=section" TargetMode="External"/><Relationship Id="rId3935" Type="http://schemas.openxmlformats.org/officeDocument/2006/relationships/hyperlink" Target="https://www.smwcentral.net/?a=details&amp;id=11428&amp;p=section" TargetMode="External"/><Relationship Id="rId5150" Type="http://schemas.openxmlformats.org/officeDocument/2006/relationships/hyperlink" Target="https://dl.smwcentral.net/39332/Tower%20of%20Facades.zip" TargetMode="External"/><Relationship Id="rId509" Type="http://schemas.openxmlformats.org/officeDocument/2006/relationships/hyperlink" Target="https://www.smwcentral.net/?a=details&amp;id=9707&amp;p=section" TargetMode="External"/><Relationship Id="rId1139" Type="http://schemas.openxmlformats.org/officeDocument/2006/relationships/hyperlink" Target="https://www.smwcentral.net/?a=details&amp;id=13313&amp;p=section" TargetMode="External"/><Relationship Id="rId1346" Type="http://schemas.openxmlformats.org/officeDocument/2006/relationships/hyperlink" Target="https://dl.smwcentral.net/9489/Hyperexcitability%201%20Level%20demo.zip" TargetMode="External"/><Relationship Id="rId1693" Type="http://schemas.openxmlformats.org/officeDocument/2006/relationships/hyperlink" Target="https://www.smwcentral.net/?a=details&amp;id=42544&amp;p=section" TargetMode="External"/><Relationship Id="rId2744" Type="http://schemas.openxmlformats.org/officeDocument/2006/relationships/hyperlink" Target="https://dl.smwcentral.net/40112/Peachy%20Moat%20World%202.zip" TargetMode="External"/><Relationship Id="rId2951" Type="http://schemas.openxmlformats.org/officeDocument/2006/relationships/hyperlink" Target="https://www.smwcentral.net/?a=details&amp;id=32290&amp;p=section" TargetMode="External"/><Relationship Id="rId5010" Type="http://schemas.openxmlformats.org/officeDocument/2006/relationships/hyperlink" Target="https://dl.smwcentral.net/36961/TEAM_SHELL_3.0.zip" TargetMode="External"/><Relationship Id="rId716" Type="http://schemas.openxmlformats.org/officeDocument/2006/relationships/hyperlink" Target="https://dl.smwcentral.net/6970/COLLAB%20%28Update%21%29.zip" TargetMode="External"/><Relationship Id="rId923" Type="http://schemas.openxmlformats.org/officeDocument/2006/relationships/hyperlink" Target="https://www.smwcentral.net/?a=details&amp;id=19263&amp;p=section" TargetMode="External"/><Relationship Id="rId1553" Type="http://schemas.openxmlformats.org/officeDocument/2006/relationships/hyperlink" Target="https://www.smwcentral.net/?a=details&amp;id=41561&amp;p=section" TargetMode="External"/><Relationship Id="rId1760" Type="http://schemas.openxmlformats.org/officeDocument/2006/relationships/hyperlink" Target="https://dl.smwcentral.net/20906/LKK.zip" TargetMode="External"/><Relationship Id="rId2604" Type="http://schemas.openxmlformats.org/officeDocument/2006/relationships/hyperlink" Target="https://dl.smwcentral.net/37734/Nonsense%201.1.zip" TargetMode="External"/><Relationship Id="rId2811" Type="http://schemas.openxmlformats.org/officeDocument/2006/relationships/hyperlink" Target="https://www.smwcentral.net/?a=details&amp;id=38118&amp;p=section" TargetMode="External"/><Relationship Id="rId52" Type="http://schemas.openxmlformats.org/officeDocument/2006/relationships/hyperlink" Target="https://dl.smwcentral.net/30435/3%20Islands%20of%20Shells%20V.2.0.zip" TargetMode="External"/><Relationship Id="rId1206" Type="http://schemas.openxmlformats.org/officeDocument/2006/relationships/hyperlink" Target="https://dl.smwcentral.net/34307/grenudo%20planet%202.zip" TargetMode="External"/><Relationship Id="rId1413" Type="http://schemas.openxmlformats.org/officeDocument/2006/relationships/hyperlink" Target="https://www.smwcentral.net/?a=details&amp;id=26184&amp;p=section" TargetMode="External"/><Relationship Id="rId1620" Type="http://schemas.openxmlformats.org/officeDocument/2006/relationships/hyperlink" Target="https://dl.smwcentral.net/20900/Krack%20The%20Hack.zip" TargetMode="External"/><Relationship Id="rId4569" Type="http://schemas.openxmlformats.org/officeDocument/2006/relationships/hyperlink" Target="https://www.smwcentral.net/?a=details&amp;id=39555&amp;p=section" TargetMode="External"/><Relationship Id="rId4776" Type="http://schemas.openxmlformats.org/officeDocument/2006/relationships/hyperlink" Target="https://dl.smwcentral.net/37607/TFSDemo1v1.3.zip" TargetMode="External"/><Relationship Id="rId4983" Type="http://schemas.openxmlformats.org/officeDocument/2006/relationships/hyperlink" Target="https://www.smwcentral.net/?a=details&amp;id=9902&amp;p=section" TargetMode="External"/><Relationship Id="rId3378" Type="http://schemas.openxmlformats.org/officeDocument/2006/relationships/hyperlink" Target="https://dl.smwcentral.net/41092/Straight%20Shellin%27.zip" TargetMode="External"/><Relationship Id="rId3585" Type="http://schemas.openxmlformats.org/officeDocument/2006/relationships/hyperlink" Target="https://www.smwcentral.net/?a=details&amp;id=28570&amp;p=section" TargetMode="External"/><Relationship Id="rId3792" Type="http://schemas.openxmlformats.org/officeDocument/2006/relationships/hyperlink" Target="https://dl.smwcentral.net/5151/SMB%20Chaos%20Demo.zip" TargetMode="External"/><Relationship Id="rId4429" Type="http://schemas.openxmlformats.org/officeDocument/2006/relationships/hyperlink" Target="https://www.smwcentral.net/?a=details&amp;id=14874&amp;p=section" TargetMode="External"/><Relationship Id="rId4636" Type="http://schemas.openxmlformats.org/officeDocument/2006/relationships/hyperlink" Target="https://dl.smwcentral.net/41987/Tangle%27s%20Trip%20Update.zip" TargetMode="External"/><Relationship Id="rId4843" Type="http://schemas.openxmlformats.org/officeDocument/2006/relationships/hyperlink" Target="https://www.smwcentral.net/?a=details&amp;id=13496&amp;p=section" TargetMode="External"/><Relationship Id="rId299" Type="http://schemas.openxmlformats.org/officeDocument/2006/relationships/hyperlink" Target="https://www.smwcentral.net/?a=details&amp;id=15640&amp;p=section" TargetMode="External"/><Relationship Id="rId2187" Type="http://schemas.openxmlformats.org/officeDocument/2006/relationships/hyperlink" Target="https://www.smwcentral.net/?a=details&amp;id=38098&amp;p=section" TargetMode="External"/><Relationship Id="rId2394" Type="http://schemas.openxmlformats.org/officeDocument/2006/relationships/hyperlink" Target="https://dl.smwcentral.net/19837/Monty%20Mole%20Island%204%20-%20Gamma%20Archipelago%20%28V1.0.1%29.zip" TargetMode="External"/><Relationship Id="rId3238" Type="http://schemas.openxmlformats.org/officeDocument/2006/relationships/hyperlink" Target="https://dl.smwcentral.net/31172/SMW%20The%20Princess%20Rescue%202022%20update.zip" TargetMode="External"/><Relationship Id="rId3445" Type="http://schemas.openxmlformats.org/officeDocument/2006/relationships/hyperlink" Target="https://www.smwcentral.net/?a=details&amp;id=30424&amp;p=section" TargetMode="External"/><Relationship Id="rId3652" Type="http://schemas.openxmlformats.org/officeDocument/2006/relationships/hyperlink" Target="https://dl.smwcentral.net/34469/Super%20Logic%20World%201.zip" TargetMode="External"/><Relationship Id="rId4703" Type="http://schemas.openxmlformats.org/officeDocument/2006/relationships/hyperlink" Target="https://www.smwcentral.net/?a=details&amp;id=38000&amp;p=section" TargetMode="External"/><Relationship Id="rId159" Type="http://schemas.openxmlformats.org/officeDocument/2006/relationships/hyperlink" Target="https://www.smwcentral.net/?a=details&amp;id=38269&amp;p=section" TargetMode="External"/><Relationship Id="rId366" Type="http://schemas.openxmlformats.org/officeDocument/2006/relationships/hyperlink" Target="https://dl.smwcentral.net/31182/BKW2V1.1NeW.zip" TargetMode="External"/><Relationship Id="rId573" Type="http://schemas.openxmlformats.org/officeDocument/2006/relationships/hyperlink" Target="https://www.smwcentral.net/?a=details&amp;id=38340&amp;p=section" TargetMode="External"/><Relationship Id="rId780" Type="http://schemas.openxmlformats.org/officeDocument/2006/relationships/hyperlink" Target="https://dl.smwcentral.net/38168/CubesKaizoWorld5%201.1.zip" TargetMode="External"/><Relationship Id="rId2047" Type="http://schemas.openxmlformats.org/officeDocument/2006/relationships/hyperlink" Target="https://www.smwcentral.net/?a=details&amp;id=5982&amp;p=section" TargetMode="External"/><Relationship Id="rId2254" Type="http://schemas.openxmlformats.org/officeDocument/2006/relationships/hyperlink" Target="https://dl.smwcentral.net/18509/Mario%27s%20Training.zip" TargetMode="External"/><Relationship Id="rId2461" Type="http://schemas.openxmlformats.org/officeDocument/2006/relationships/hyperlink" Target="https://www.smwcentral.net/?a=details&amp;id=5166&amp;p=section" TargetMode="External"/><Relationship Id="rId3305" Type="http://schemas.openxmlformats.org/officeDocument/2006/relationships/hyperlink" Target="https://www.smwcentral.net/?a=details&amp;id=31961&amp;p=section" TargetMode="External"/><Relationship Id="rId3512" Type="http://schemas.openxmlformats.org/officeDocument/2006/relationships/hyperlink" Target="https://dl.smwcentral.net/41566/SDMW%20DEMOv02c.zip" TargetMode="External"/><Relationship Id="rId4910" Type="http://schemas.openxmlformats.org/officeDocument/2006/relationships/hyperlink" Target="https://dl.smwcentral.net/9876/TMR.zip" TargetMode="External"/><Relationship Id="rId226" Type="http://schemas.openxmlformats.org/officeDocument/2006/relationships/hyperlink" Target="https://dl.smwcentral.net/33319/Advanced%20Shells%203.zip" TargetMode="External"/><Relationship Id="rId433" Type="http://schemas.openxmlformats.org/officeDocument/2006/relationships/hyperlink" Target="https://www.smwcentral.net/?a=details&amp;id=14999&amp;p=section" TargetMode="External"/><Relationship Id="rId1063" Type="http://schemas.openxmlformats.org/officeDocument/2006/relationships/hyperlink" Target="https://www.smwcentral.net/?a=details&amp;id=18831&amp;p=section" TargetMode="External"/><Relationship Id="rId1270" Type="http://schemas.openxmlformats.org/officeDocument/2006/relationships/hyperlink" Target="https://dl.smwcentral.net/29667/HGnanec.zip" TargetMode="External"/><Relationship Id="rId2114" Type="http://schemas.openxmlformats.org/officeDocument/2006/relationships/hyperlink" Target="https://dl.smwcentral.net/10188/Mario%27s.zip" TargetMode="External"/><Relationship Id="rId5477" Type="http://schemas.openxmlformats.org/officeDocument/2006/relationships/hyperlink" Target="https://www.smwcentral.net/?a=details&amp;id=23778&amp;p=section" TargetMode="External"/><Relationship Id="rId640" Type="http://schemas.openxmlformats.org/officeDocument/2006/relationships/hyperlink" Target="https://dl.smwcentral.net/41254/Celery%201.1.zip" TargetMode="External"/><Relationship Id="rId2321" Type="http://schemas.openxmlformats.org/officeDocument/2006/relationships/hyperlink" Target="https://www.smwcentral.net/?a=details&amp;id=37517&amp;p=section" TargetMode="External"/><Relationship Id="rId4079" Type="http://schemas.openxmlformats.org/officeDocument/2006/relationships/hyperlink" Target="https://www.smwcentral.net/?a=details&amp;id=9832&amp;p=section" TargetMode="External"/><Relationship Id="rId4286" Type="http://schemas.openxmlformats.org/officeDocument/2006/relationships/hyperlink" Target="https://dl.smwcentral.net/25657/Super%20Mario%20Nozom%20Quest%20%28Level%20Sampler%29.zip" TargetMode="External"/><Relationship Id="rId500" Type="http://schemas.openxmlformats.org/officeDocument/2006/relationships/hyperlink" Target="https://dl.smwcentral.net/9774/BSB-Demo1v1.1.zip" TargetMode="External"/><Relationship Id="rId1130" Type="http://schemas.openxmlformats.org/officeDocument/2006/relationships/hyperlink" Target="https://dl.smwcentral.net/18101/gaijin1.02.zip" TargetMode="External"/><Relationship Id="rId4493" Type="http://schemas.openxmlformats.org/officeDocument/2006/relationships/hyperlink" Target="https://www.smwcentral.net/?a=details&amp;id=24342&amp;p=section" TargetMode="External"/><Relationship Id="rId5337" Type="http://schemas.openxmlformats.org/officeDocument/2006/relationships/hyperlink" Target="https://www.smwcentral.net/?a=details&amp;id=27018&amp;p=section" TargetMode="External"/><Relationship Id="rId1947" Type="http://schemas.openxmlformats.org/officeDocument/2006/relationships/hyperlink" Target="https://www.smwcentral.net/?a=details&amp;id=10075&amp;p=section" TargetMode="External"/><Relationship Id="rId3095" Type="http://schemas.openxmlformats.org/officeDocument/2006/relationships/hyperlink" Target="https://www.smwcentral.net/?a=details&amp;id=41048&amp;p=section" TargetMode="External"/><Relationship Id="rId4146" Type="http://schemas.openxmlformats.org/officeDocument/2006/relationships/hyperlink" Target="https://dl.smwcentral.net/5589/Challenge%20Worlds%20Demo%202%20fixed.zip" TargetMode="External"/><Relationship Id="rId4353" Type="http://schemas.openxmlformats.org/officeDocument/2006/relationships/hyperlink" Target="https://www.smwcentral.net/?a=details&amp;id=39725&amp;p=section" TargetMode="External"/><Relationship Id="rId4560" Type="http://schemas.openxmlformats.org/officeDocument/2006/relationships/hyperlink" Target="https://dl.smwcentral.net/21088/Super%20Wario%20World.zip" TargetMode="External"/><Relationship Id="rId5404" Type="http://schemas.openxmlformats.org/officeDocument/2006/relationships/hyperlink" Target="https://dl.smwcentral.net/24118/Worls%20World%201.3.zip" TargetMode="External"/><Relationship Id="rId1807" Type="http://schemas.openxmlformats.org/officeDocument/2006/relationships/hyperlink" Target="https://www.smwcentral.net/?a=details&amp;id=28951&amp;p=section" TargetMode="External"/><Relationship Id="rId3162" Type="http://schemas.openxmlformats.org/officeDocument/2006/relationships/hyperlink" Target="https://dl.smwcentral.net/38712/simpatico.zip" TargetMode="External"/><Relationship Id="rId4006" Type="http://schemas.openxmlformats.org/officeDocument/2006/relationships/hyperlink" Target="https://dl.smwcentral.net/9962/SMW-LDI.zip" TargetMode="External"/><Relationship Id="rId4213" Type="http://schemas.openxmlformats.org/officeDocument/2006/relationships/hyperlink" Target="https://www.smwcentral.net/?a=details&amp;id=9643&amp;p=section" TargetMode="External"/><Relationship Id="rId4420" Type="http://schemas.openxmlformats.org/officeDocument/2006/relationships/hyperlink" Target="https://dl.smwcentral.net/22794/Super%20PKlepek%20World.zip" TargetMode="External"/><Relationship Id="rId290" Type="http://schemas.openxmlformats.org/officeDocument/2006/relationships/hyperlink" Target="https://dl.smwcentral.net/9677/AnotherChallengeWithMario%20DEMO%201.0.zip" TargetMode="External"/><Relationship Id="rId3022" Type="http://schemas.openxmlformats.org/officeDocument/2006/relationships/hyperlink" Target="https://dl.smwcentral.net/24141/Same%20Sprites%2C%20Different%20Levels.zip" TargetMode="External"/><Relationship Id="rId150" Type="http://schemas.openxmlformats.org/officeDocument/2006/relationships/hyperlink" Target="https://dl.smwcentral.net/5056/PureVanillaHack.zip" TargetMode="External"/><Relationship Id="rId3979" Type="http://schemas.openxmlformats.org/officeDocument/2006/relationships/hyperlink" Target="https://www.smwcentral.net/?a=details&amp;id=9817&amp;p=section" TargetMode="External"/><Relationship Id="rId5194" Type="http://schemas.openxmlformats.org/officeDocument/2006/relationships/hyperlink" Target="https://dl.smwcentral.net/25564/Twisted%20Plains.zip" TargetMode="External"/><Relationship Id="rId2788" Type="http://schemas.openxmlformats.org/officeDocument/2006/relationships/hyperlink" Target="https://dl.smwcentral.net/35230/PlayToWin_1_6_0.zip" TargetMode="External"/><Relationship Id="rId2995" Type="http://schemas.openxmlformats.org/officeDocument/2006/relationships/hyperlink" Target="https://www.smwcentral.net/?a=details&amp;id=10272&amp;p=section" TargetMode="External"/><Relationship Id="rId3839" Type="http://schemas.openxmlformats.org/officeDocument/2006/relationships/hyperlink" Target="https://www.smwcentral.net/?a=details&amp;id=14786&amp;p=section" TargetMode="External"/><Relationship Id="rId5054" Type="http://schemas.openxmlformats.org/officeDocument/2006/relationships/hyperlink" Target="https://dl.smwcentral.net/28332/therapy%21.zip" TargetMode="External"/><Relationship Id="rId967" Type="http://schemas.openxmlformats.org/officeDocument/2006/relationships/hyperlink" Target="https://www.smwcentral.net/?a=details&amp;id=19167&amp;p=section" TargetMode="External"/><Relationship Id="rId1597" Type="http://schemas.openxmlformats.org/officeDocument/2006/relationships/hyperlink" Target="https://www.smwcentral.net/?a=details&amp;id=33016&amp;p=section" TargetMode="External"/><Relationship Id="rId2648" Type="http://schemas.openxmlformats.org/officeDocument/2006/relationships/hyperlink" Target="https://dl.smwcentral.net/37764/OKMario_1.2.zip" TargetMode="External"/><Relationship Id="rId2855" Type="http://schemas.openxmlformats.org/officeDocument/2006/relationships/hyperlink" Target="https://www.smwcentral.net/?a=details&amp;id=35878&amp;p=section" TargetMode="External"/><Relationship Id="rId3906" Type="http://schemas.openxmlformats.org/officeDocument/2006/relationships/hyperlink" Target="https://dl.smwcentral.net/17478/Super%20Mario%20Legacy.zip" TargetMode="External"/><Relationship Id="rId5261" Type="http://schemas.openxmlformats.org/officeDocument/2006/relationships/hyperlink" Target="https://www.smwcentral.net/?a=details&amp;id=37640&amp;p=section" TargetMode="External"/><Relationship Id="rId96" Type="http://schemas.openxmlformats.org/officeDocument/2006/relationships/hyperlink" Target="https://dl.smwcentral.net/21704/A%20christmas%20walk%20%28Music%20Fixed%29.zip" TargetMode="External"/><Relationship Id="rId827" Type="http://schemas.openxmlformats.org/officeDocument/2006/relationships/hyperlink" Target="https://www.smwcentral.net/?a=details&amp;id=27165&amp;p=section" TargetMode="External"/><Relationship Id="rId1457" Type="http://schemas.openxmlformats.org/officeDocument/2006/relationships/hyperlink" Target="https://www.smwcentral.net/?a=details&amp;id=38753&amp;p=section" TargetMode="External"/><Relationship Id="rId1664" Type="http://schemas.openxmlformats.org/officeDocument/2006/relationships/hyperlink" Target="https://dl.smwcentral.net/29091/Le%20Avventure%20di%20Mario%201%20-%20Fixed.zip" TargetMode="External"/><Relationship Id="rId1871" Type="http://schemas.openxmlformats.org/officeDocument/2006/relationships/hyperlink" Target="https://www.smwcentral.net/?a=details&amp;id=10137&amp;p=section" TargetMode="External"/><Relationship Id="rId2508" Type="http://schemas.openxmlformats.org/officeDocument/2006/relationships/hyperlink" Target="https://dl.smwcentral.net/9663/nsmb.zip" TargetMode="External"/><Relationship Id="rId2715" Type="http://schemas.openxmlformats.org/officeDocument/2006/relationships/hyperlink" Target="https://www.smwcentral.net/?a=details&amp;id=20091&amp;p=section" TargetMode="External"/><Relationship Id="rId2922" Type="http://schemas.openxmlformats.org/officeDocument/2006/relationships/hyperlink" Target="https://dl.smwcentral.net/38314/REMIX_FINAL1.1.zip" TargetMode="External"/><Relationship Id="rId4070" Type="http://schemas.openxmlformats.org/officeDocument/2006/relationships/hyperlink" Target="https://dl.smwcentral.net/5521/SMW%20Competition%20Cartridge.zip" TargetMode="External"/><Relationship Id="rId5121" Type="http://schemas.openxmlformats.org/officeDocument/2006/relationships/hyperlink" Target="https://www.smwcentral.net/?a=details&amp;id=28264&amp;p=section" TargetMode="External"/><Relationship Id="rId1317" Type="http://schemas.openxmlformats.org/officeDocument/2006/relationships/hyperlink" Target="https://www.smwcentral.net/?a=details&amp;id=22131&amp;p=section" TargetMode="External"/><Relationship Id="rId1524" Type="http://schemas.openxmlformats.org/officeDocument/2006/relationships/hyperlink" Target="https://dl.smwcentral.net/38419/Kaizo%202%20The%20Kaizening.zip" TargetMode="External"/><Relationship Id="rId1731" Type="http://schemas.openxmlformats.org/officeDocument/2006/relationships/hyperlink" Target="https://www.smwcentral.net/?a=details&amp;id=9890&amp;p=section" TargetMode="External"/><Relationship Id="rId4887" Type="http://schemas.openxmlformats.org/officeDocument/2006/relationships/hyperlink" Target="https://www.smwcentral.net/?a=details&amp;id=5603&amp;p=section" TargetMode="External"/><Relationship Id="rId23" Type="http://schemas.openxmlformats.org/officeDocument/2006/relationships/hyperlink" Target="https://www.smwcentral.net/?a=details&amp;id=25843&amp;p=section" TargetMode="External"/><Relationship Id="rId3489" Type="http://schemas.openxmlformats.org/officeDocument/2006/relationships/hyperlink" Target="https://www.smwcentral.net/?a=details&amp;id=32346&amp;p=section" TargetMode="External"/><Relationship Id="rId3696" Type="http://schemas.openxmlformats.org/officeDocument/2006/relationships/hyperlink" Target="https://dl.smwcentral.net/21953/Super%20Maple%20World%20v1.1.zip" TargetMode="External"/><Relationship Id="rId4747" Type="http://schemas.openxmlformats.org/officeDocument/2006/relationships/hyperlink" Target="https://www.smwcentral.net/?a=details&amp;id=41949&amp;p=section" TargetMode="External"/><Relationship Id="rId2298" Type="http://schemas.openxmlformats.org/officeDocument/2006/relationships/hyperlink" Target="https://dl.smwcentral.net/29522/Marisa%20And%20Reimu%20VS%20C3.zip" TargetMode="External"/><Relationship Id="rId3349" Type="http://schemas.openxmlformats.org/officeDocument/2006/relationships/hyperlink" Target="https://www.smwcentral.net/?a=details&amp;id=41326&amp;p=section" TargetMode="External"/><Relationship Id="rId3556" Type="http://schemas.openxmlformats.org/officeDocument/2006/relationships/hyperlink" Target="https://dl.smwcentral.net/36828/Super%20Galega%20World%201.1.zip" TargetMode="External"/><Relationship Id="rId4954" Type="http://schemas.openxmlformats.org/officeDocument/2006/relationships/hyperlink" Target="https://dl.smwcentral.net/33033/The%20Reconciliation%20of%20Ascension.zip" TargetMode="External"/><Relationship Id="rId477" Type="http://schemas.openxmlformats.org/officeDocument/2006/relationships/hyperlink" Target="https://www.smwcentral.net/?a=details&amp;id=39679&amp;p=section" TargetMode="External"/><Relationship Id="rId684" Type="http://schemas.openxmlformats.org/officeDocument/2006/relationships/hyperlink" Target="https://dl.smwcentral.net/38847/Christmas%20Island%20v2.zip" TargetMode="External"/><Relationship Id="rId2158" Type="http://schemas.openxmlformats.org/officeDocument/2006/relationships/hyperlink" Target="https://dl.smwcentral.net/31857/Mario%27s%20Grand%20Adventure.zip" TargetMode="External"/><Relationship Id="rId2365" Type="http://schemas.openxmlformats.org/officeDocument/2006/relationships/hyperlink" Target="https://www.smwcentral.net/?a=details&amp;id=32943&amp;p=section" TargetMode="External"/><Relationship Id="rId3209" Type="http://schemas.openxmlformats.org/officeDocument/2006/relationships/hyperlink" Target="https://www.smwcentral.net/?a=details&amp;id=9440&amp;p=section" TargetMode="External"/><Relationship Id="rId3763" Type="http://schemas.openxmlformats.org/officeDocument/2006/relationships/hyperlink" Target="https://www.smwcentral.net/?a=details&amp;id=9696&amp;p=section" TargetMode="External"/><Relationship Id="rId3970" Type="http://schemas.openxmlformats.org/officeDocument/2006/relationships/hyperlink" Target="https://dl.smwcentral.net/9808/Ultima%20World.zip" TargetMode="External"/><Relationship Id="rId4607" Type="http://schemas.openxmlformats.org/officeDocument/2006/relationships/hyperlink" Target="https://www.smwcentral.net/?a=details&amp;id=30971&amp;p=section" TargetMode="External"/><Relationship Id="rId4814" Type="http://schemas.openxmlformats.org/officeDocument/2006/relationships/hyperlink" Target="https://dl.smwcentral.net/14627/The%20Great%20Giana%20Sisters%202%20-%20Another%20Generical%20Hack.zip" TargetMode="External"/><Relationship Id="rId337" Type="http://schemas.openxmlformats.org/officeDocument/2006/relationships/hyperlink" Target="https://www.smwcentral.net/?a=details&amp;id=39637&amp;p=section" TargetMode="External"/><Relationship Id="rId891" Type="http://schemas.openxmlformats.org/officeDocument/2006/relationships/hyperlink" Target="https://www.smwcentral.net/?a=details&amp;id=39212&amp;p=section" TargetMode="External"/><Relationship Id="rId2018" Type="http://schemas.openxmlformats.org/officeDocument/2006/relationships/hyperlink" Target="https://dl.smwcentral.net/40735/MMSPPC.zip" TargetMode="External"/><Relationship Id="rId2572" Type="http://schemas.openxmlformats.org/officeDocument/2006/relationships/hyperlink" Target="https://dl.smwcentral.net/27778/Nightmare%20cafe%20X%20v1.0.zip" TargetMode="External"/><Relationship Id="rId3416" Type="http://schemas.openxmlformats.org/officeDocument/2006/relationships/hyperlink" Target="https://dl.smwcentral.net/28818/Super%20Amethyst%20Rocks.zip" TargetMode="External"/><Relationship Id="rId3623" Type="http://schemas.openxmlformats.org/officeDocument/2006/relationships/hyperlink" Target="https://www.smwcentral.net/?a=details&amp;id=19910&amp;p=section" TargetMode="External"/><Relationship Id="rId3830" Type="http://schemas.openxmlformats.org/officeDocument/2006/relationships/hyperlink" Target="https://dl.smwcentral.net/27363/Super%20Mario%20Challenge_FIXED.zip" TargetMode="External"/><Relationship Id="rId544" Type="http://schemas.openxmlformats.org/officeDocument/2006/relationships/hyperlink" Target="https://dl.smwcentral.net/28764/Briefly12v1.1.zip" TargetMode="External"/><Relationship Id="rId751" Type="http://schemas.openxmlformats.org/officeDocument/2006/relationships/hyperlink" Target="https://www.smwcentral.net/?a=details&amp;id=39939&amp;p=section" TargetMode="External"/><Relationship Id="rId1174" Type="http://schemas.openxmlformats.org/officeDocument/2006/relationships/hyperlink" Target="https://dl.smwcentral.net/34422/good%20old%20days%203%20v1.40.zip" TargetMode="External"/><Relationship Id="rId1381" Type="http://schemas.openxmlformats.org/officeDocument/2006/relationships/hyperlink" Target="https://www.smwcentral.net/?a=details&amp;id=38900&amp;p=section" TargetMode="External"/><Relationship Id="rId2225" Type="http://schemas.openxmlformats.org/officeDocument/2006/relationships/hyperlink" Target="https://www.smwcentral.net/?a=details&amp;id=33606&amp;p=section" TargetMode="External"/><Relationship Id="rId2432" Type="http://schemas.openxmlformats.org/officeDocument/2006/relationships/hyperlink" Target="https://dl.smwcentral.net/39638/My%20Hack.zip" TargetMode="External"/><Relationship Id="rId404" Type="http://schemas.openxmlformats.org/officeDocument/2006/relationships/hyperlink" Target="https://dl.smwcentral.net/28731/BCW_1.2.zip" TargetMode="External"/><Relationship Id="rId611" Type="http://schemas.openxmlformats.org/officeDocument/2006/relationships/hyperlink" Target="https://www.smwcentral.net/?a=details&amp;id=22475&amp;p=section" TargetMode="External"/><Relationship Id="rId1034" Type="http://schemas.openxmlformats.org/officeDocument/2006/relationships/hyperlink" Target="https://dl.smwcentral.net/23330/EY_JUICEv1.2.zip" TargetMode="External"/><Relationship Id="rId1241" Type="http://schemas.openxmlformats.org/officeDocument/2006/relationships/hyperlink" Target="https://www.smwcentral.net/?a=details&amp;id=11495&amp;p=section" TargetMode="External"/><Relationship Id="rId4397" Type="http://schemas.openxmlformats.org/officeDocument/2006/relationships/hyperlink" Target="https://www.smwcentral.net/?a=details&amp;id=41828&amp;p=section" TargetMode="External"/><Relationship Id="rId5448" Type="http://schemas.openxmlformats.org/officeDocument/2006/relationships/hyperlink" Target="https://dl.smwcentral.net/9770/Yoshi%20is%20missing%20%21.zip" TargetMode="External"/><Relationship Id="rId1101" Type="http://schemas.openxmlformats.org/officeDocument/2006/relationships/hyperlink" Target="https://www.smwcentral.net/?a=details&amp;id=35861&amp;p=section" TargetMode="External"/><Relationship Id="rId4257" Type="http://schemas.openxmlformats.org/officeDocument/2006/relationships/hyperlink" Target="https://www.smwcentral.net/?a=details&amp;id=5183&amp;p=section" TargetMode="External"/><Relationship Id="rId4464" Type="http://schemas.openxmlformats.org/officeDocument/2006/relationships/hyperlink" Target="https://dl.smwcentral.net/16863/Super%20Samuroy%20Adventures.zip" TargetMode="External"/><Relationship Id="rId4671" Type="http://schemas.openxmlformats.org/officeDocument/2006/relationships/hyperlink" Target="https://www.smwcentral.net/?a=details&amp;id=25475&amp;p=section" TargetMode="External"/><Relationship Id="rId5308" Type="http://schemas.openxmlformats.org/officeDocument/2006/relationships/hyperlink" Target="https://dl.smwcentral.net/10123/vip%20mario%202%20-%20mario%20edition.zip" TargetMode="External"/><Relationship Id="rId3066" Type="http://schemas.openxmlformats.org/officeDocument/2006/relationships/hyperlink" Target="https://dl.smwcentral.net/29143/Shallow%20and%20Pedantic.zip" TargetMode="External"/><Relationship Id="rId3273" Type="http://schemas.openxmlformats.org/officeDocument/2006/relationships/hyperlink" Target="https://www.smwcentral.net/?a=details&amp;id=14465&amp;p=section" TargetMode="External"/><Relationship Id="rId3480" Type="http://schemas.openxmlformats.org/officeDocument/2006/relationships/hyperlink" Target="https://dl.smwcentral.net/37951/Super%20Curious%20World%201.2.zip" TargetMode="External"/><Relationship Id="rId4117" Type="http://schemas.openxmlformats.org/officeDocument/2006/relationships/hyperlink" Target="https://www.smwcentral.net/?a=details&amp;id=28886&amp;p=section" TargetMode="External"/><Relationship Id="rId4324" Type="http://schemas.openxmlformats.org/officeDocument/2006/relationships/hyperlink" Target="https://dl.smwcentral.net/23467/Super%20Melas%20World%20v2.4.zip" TargetMode="External"/><Relationship Id="rId4531" Type="http://schemas.openxmlformats.org/officeDocument/2006/relationships/hyperlink" Target="https://www.smwcentral.net/?a=details&amp;id=39025&amp;p=section" TargetMode="External"/><Relationship Id="rId194" Type="http://schemas.openxmlformats.org/officeDocument/2006/relationships/hyperlink" Target="https://dl.smwcentral.net/32994/ATeaKettleOfWetBees.zip" TargetMode="External"/><Relationship Id="rId1918" Type="http://schemas.openxmlformats.org/officeDocument/2006/relationships/hyperlink" Target="https://dl.smwcentral.net/10069/MBAV02.zip" TargetMode="External"/><Relationship Id="rId2082" Type="http://schemas.openxmlformats.org/officeDocument/2006/relationships/hyperlink" Target="https://dl.smwcentral.net/13963/Mario%20vs%20SONIC.EXE%202%20Final%20Version.zip" TargetMode="External"/><Relationship Id="rId3133" Type="http://schemas.openxmlformats.org/officeDocument/2006/relationships/hyperlink" Target="https://www.smwcentral.net/?a=details&amp;id=35462&amp;p=section" TargetMode="External"/><Relationship Id="rId261" Type="http://schemas.openxmlformats.org/officeDocument/2006/relationships/hyperlink" Target="https://www.smwcentral.net/?a=details&amp;id=39362&amp;p=section" TargetMode="External"/><Relationship Id="rId3340" Type="http://schemas.openxmlformats.org/officeDocument/2006/relationships/hyperlink" Target="https://dl.smwcentral.net/37616/SpritesAre1derful1_1.zip" TargetMode="External"/><Relationship Id="rId5098" Type="http://schemas.openxmlformats.org/officeDocument/2006/relationships/hyperlink" Target="https://dl.smwcentral.net/22845/Tithered_Mario.zip" TargetMode="External"/><Relationship Id="rId2899" Type="http://schemas.openxmlformats.org/officeDocument/2006/relationships/hyperlink" Target="https://www.smwcentral.net/?a=details&amp;id=35284&amp;p=section" TargetMode="External"/><Relationship Id="rId3200" Type="http://schemas.openxmlformats.org/officeDocument/2006/relationships/hyperlink" Target="https://dl.smwcentral.net/10107/SMWCS.zip" TargetMode="External"/><Relationship Id="rId121" Type="http://schemas.openxmlformats.org/officeDocument/2006/relationships/hyperlink" Target="https://www.smwcentral.net/?a=details&amp;id=21194&amp;p=section" TargetMode="External"/><Relationship Id="rId2759" Type="http://schemas.openxmlformats.org/officeDocument/2006/relationships/hyperlink" Target="https://www.smwcentral.net/?a=details&amp;id=42291&amp;p=section" TargetMode="External"/><Relationship Id="rId2966" Type="http://schemas.openxmlformats.org/officeDocument/2006/relationships/hyperlink" Target="https://dl.smwcentral.net/20190/Robfather_World_v1_1.zip" TargetMode="External"/><Relationship Id="rId5165" Type="http://schemas.openxmlformats.org/officeDocument/2006/relationships/hyperlink" Target="https://www.smwcentral.net/?a=details&amp;id=37885&amp;p=section" TargetMode="External"/><Relationship Id="rId5372" Type="http://schemas.openxmlformats.org/officeDocument/2006/relationships/hyperlink" Target="https://dl.smwcentral.net/27869/weekend-at-luigis-v111%20%281%29.zip" TargetMode="External"/><Relationship Id="rId938" Type="http://schemas.openxmlformats.org/officeDocument/2006/relationships/hyperlink" Target="https://dl.smwcentral.net/24535/EasyOneScreenPuzzle.zip" TargetMode="External"/><Relationship Id="rId1568" Type="http://schemas.openxmlformats.org/officeDocument/2006/relationships/hyperlink" Target="https://dl.smwcentral.net/42143/Karma.zip" TargetMode="External"/><Relationship Id="rId1775" Type="http://schemas.openxmlformats.org/officeDocument/2006/relationships/hyperlink" Target="https://www.smwcentral.net/?a=details&amp;id=10000&amp;p=section" TargetMode="External"/><Relationship Id="rId2619" Type="http://schemas.openxmlformats.org/officeDocument/2006/relationships/hyperlink" Target="https://www.smwcentral.net/?a=details&amp;id=37634&amp;p=section" TargetMode="External"/><Relationship Id="rId2826" Type="http://schemas.openxmlformats.org/officeDocument/2006/relationships/hyperlink" Target="https://dl.smwcentral.net/9654/PMPc3demo.zip" TargetMode="External"/><Relationship Id="rId4181" Type="http://schemas.openxmlformats.org/officeDocument/2006/relationships/hyperlink" Target="https://www.smwcentral.net/?a=details&amp;id=32736&amp;p=section" TargetMode="External"/><Relationship Id="rId5025" Type="http://schemas.openxmlformats.org/officeDocument/2006/relationships/hyperlink" Target="https://www.smwcentral.net/?a=details&amp;id=27225&amp;p=section" TargetMode="External"/><Relationship Id="rId5232" Type="http://schemas.openxmlformats.org/officeDocument/2006/relationships/hyperlink" Target="https://dl.smwcentral.net/37636/Unforgiving%20Tower%204.zip" TargetMode="External"/><Relationship Id="rId67" Type="http://schemas.openxmlformats.org/officeDocument/2006/relationships/hyperlink" Target="https://www.smwcentral.net/?a=details&amp;id=5257&amp;p=section" TargetMode="External"/><Relationship Id="rId1428" Type="http://schemas.openxmlformats.org/officeDocument/2006/relationships/hyperlink" Target="https://dl.smwcentral.net/39904/IahwMiiY%20Demo%20v0.2.2.zip" TargetMode="External"/><Relationship Id="rId1635" Type="http://schemas.openxmlformats.org/officeDocument/2006/relationships/hyperlink" Target="https://www.smwcentral.net/?a=details&amp;id=24719&amp;p=section" TargetMode="External"/><Relationship Id="rId1982" Type="http://schemas.openxmlformats.org/officeDocument/2006/relationships/hyperlink" Target="https://dl.smwcentral.net/14633/Mario%20in%20Whatever%20Land%20%28V.0.11%29.zip" TargetMode="External"/><Relationship Id="rId4041" Type="http://schemas.openxmlformats.org/officeDocument/2006/relationships/hyperlink" Target="https://www.smwcentral.net/?a=details&amp;id=20259&amp;p=section" TargetMode="External"/><Relationship Id="rId1842" Type="http://schemas.openxmlformats.org/officeDocument/2006/relationships/hyperlink" Target="https://dl.smwcentral.net/29716/Mecha_Koopa_Mayhem_v1.21.zip" TargetMode="External"/><Relationship Id="rId4998" Type="http://schemas.openxmlformats.org/officeDocument/2006/relationships/hyperlink" Target="https://dl.smwcentral.net/9970/the%20stolen%20yoshi%20coins.zip" TargetMode="External"/><Relationship Id="rId1702" Type="http://schemas.openxmlformats.org/officeDocument/2006/relationships/hyperlink" Target="https://dl.smwcentral.net/22418/Lewd%20Mario.zip" TargetMode="External"/><Relationship Id="rId4858" Type="http://schemas.openxmlformats.org/officeDocument/2006/relationships/hyperlink" Target="https://dl.smwcentral.net/24693/TLS%20v2.2.zip" TargetMode="External"/><Relationship Id="rId3667" Type="http://schemas.openxmlformats.org/officeDocument/2006/relationships/hyperlink" Target="https://www.smwcentral.net/?a=details&amp;id=41555&amp;p=section" TargetMode="External"/><Relationship Id="rId3874" Type="http://schemas.openxmlformats.org/officeDocument/2006/relationships/hyperlink" Target="https://dl.smwcentral.net/6745/SMW%20patch.zip" TargetMode="External"/><Relationship Id="rId4718" Type="http://schemas.openxmlformats.org/officeDocument/2006/relationships/hyperlink" Target="https://dl.smwcentral.net/40765/The%20Art%20of%20Shells.zip" TargetMode="External"/><Relationship Id="rId4925" Type="http://schemas.openxmlformats.org/officeDocument/2006/relationships/hyperlink" Target="https://www.smwcentral.net/?a=details&amp;id=37627&amp;p=section" TargetMode="External"/><Relationship Id="rId588" Type="http://schemas.openxmlformats.org/officeDocument/2006/relationships/hyperlink" Target="https://dl.smwcentral.net/14605/Cadaverous%20Chains.zip" TargetMode="External"/><Relationship Id="rId795" Type="http://schemas.openxmlformats.org/officeDocument/2006/relationships/hyperlink" Target="https://www.smwcentral.net/?a=details&amp;id=28678&amp;p=section" TargetMode="External"/><Relationship Id="rId2269" Type="http://schemas.openxmlformats.org/officeDocument/2006/relationships/hyperlink" Target="https://www.smwcentral.net/?a=details&amp;id=9693&amp;p=section" TargetMode="External"/><Relationship Id="rId2476" Type="http://schemas.openxmlformats.org/officeDocument/2006/relationships/hyperlink" Target="https://dl.smwcentral.net/33695/NebulaVer.1.1.zip" TargetMode="External"/><Relationship Id="rId2683" Type="http://schemas.openxmlformats.org/officeDocument/2006/relationships/hyperlink" Target="https://www.smwcentral.net/?a=details&amp;id=27800&amp;p=section" TargetMode="External"/><Relationship Id="rId2890" Type="http://schemas.openxmlformats.org/officeDocument/2006/relationships/hyperlink" Target="https://dl.smwcentral.net/32644/Race%20to%20the%20finish%20V1.0.zip" TargetMode="External"/><Relationship Id="rId3527" Type="http://schemas.openxmlformats.org/officeDocument/2006/relationships/hyperlink" Target="https://www.smwcentral.net/?a=details&amp;id=26267&amp;p=section" TargetMode="External"/><Relationship Id="rId3734" Type="http://schemas.openxmlformats.org/officeDocument/2006/relationships/hyperlink" Target="https://dl.smwcentral.net/10130/Super%20Mario%20and%20the%20Underwater%20Lab.zip" TargetMode="External"/><Relationship Id="rId3941" Type="http://schemas.openxmlformats.org/officeDocument/2006/relationships/hyperlink" Target="https://www.smwcentral.net/?a=details&amp;id=9750&amp;p=section" TargetMode="External"/><Relationship Id="rId448" Type="http://schemas.openxmlformats.org/officeDocument/2006/relationships/hyperlink" Target="https://dl.smwcentral.net/41314/Blockreator%20Hack.zip" TargetMode="External"/><Relationship Id="rId655" Type="http://schemas.openxmlformats.org/officeDocument/2006/relationships/hyperlink" Target="https://www.smwcentral.net/?a=details&amp;id=14735&amp;p=section" TargetMode="External"/><Relationship Id="rId862" Type="http://schemas.openxmlformats.org/officeDocument/2006/relationships/hyperlink" Target="https://dl.smwcentral.net/12147/DINGS.zip" TargetMode="External"/><Relationship Id="rId1078" Type="http://schemas.openxmlformats.org/officeDocument/2006/relationships/hyperlink" Target="https://dl.smwcentral.net/29600/FWS.zip" TargetMode="External"/><Relationship Id="rId1285" Type="http://schemas.openxmlformats.org/officeDocument/2006/relationships/hyperlink" Target="https://www.smwcentral.net/?a=details&amp;id=32937&amp;p=section" TargetMode="External"/><Relationship Id="rId1492" Type="http://schemas.openxmlformats.org/officeDocument/2006/relationships/hyperlink" Target="https://dl.smwcentral.net/15656/JAPSMWH.zip" TargetMode="External"/><Relationship Id="rId2129" Type="http://schemas.openxmlformats.org/officeDocument/2006/relationships/hyperlink" Target="https://www.smwcentral.net/?a=details&amp;id=27388&amp;p=section" TargetMode="External"/><Relationship Id="rId2336" Type="http://schemas.openxmlformats.org/officeDocument/2006/relationships/hyperlink" Target="https://dl.smwcentral.net/9869/rex.zip" TargetMode="External"/><Relationship Id="rId2543" Type="http://schemas.openxmlformats.org/officeDocument/2006/relationships/hyperlink" Target="https://www.smwcentral.net/?a=details&amp;id=41036&amp;p=section" TargetMode="External"/><Relationship Id="rId2750" Type="http://schemas.openxmlformats.org/officeDocument/2006/relationships/hyperlink" Target="https://dl.smwcentral.net/18794/Persona%20Non%20Grata.zip" TargetMode="External"/><Relationship Id="rId3801" Type="http://schemas.openxmlformats.org/officeDocument/2006/relationships/hyperlink" Target="https://www.smwcentral.net/?a=details&amp;id=10036&amp;p=section" TargetMode="External"/><Relationship Id="rId308" Type="http://schemas.openxmlformats.org/officeDocument/2006/relationships/hyperlink" Target="https://dl.smwcentral.net/11837/Another%20Rom%20Hack%20Featuring%20Mario.zip" TargetMode="External"/><Relationship Id="rId515" Type="http://schemas.openxmlformats.org/officeDocument/2006/relationships/hyperlink" Target="https://www.smwcentral.net/?a=details&amp;id=33106&amp;p=section" TargetMode="External"/><Relationship Id="rId722" Type="http://schemas.openxmlformats.org/officeDocument/2006/relationships/hyperlink" Target="https://dl.smwcentral.net/6095/COLORS.zip" TargetMode="External"/><Relationship Id="rId1145" Type="http://schemas.openxmlformats.org/officeDocument/2006/relationships/hyperlink" Target="https://www.smwcentral.net/?a=details&amp;id=38992&amp;p=section" TargetMode="External"/><Relationship Id="rId1352" Type="http://schemas.openxmlformats.org/officeDocument/2006/relationships/hyperlink" Target="https://dl.smwcentral.net/35470/HYSTERIA.zip" TargetMode="External"/><Relationship Id="rId2403" Type="http://schemas.openxmlformats.org/officeDocument/2006/relationships/hyperlink" Target="https://www.smwcentral.net/?a=details&amp;id=25402&amp;p=section" TargetMode="External"/><Relationship Id="rId1005" Type="http://schemas.openxmlformats.org/officeDocument/2006/relationships/hyperlink" Target="https://www.smwcentral.net/?a=details&amp;id=33233&amp;p=section" TargetMode="External"/><Relationship Id="rId1212" Type="http://schemas.openxmlformats.org/officeDocument/2006/relationships/hyperlink" Target="https://dl.smwcentral.net/28970/Groovy%20%20v1.1.zip" TargetMode="External"/><Relationship Id="rId2610" Type="http://schemas.openxmlformats.org/officeDocument/2006/relationships/hyperlink" Target="https://dl.smwcentral.net/16909/NSSM_v0.2.zip" TargetMode="External"/><Relationship Id="rId4368" Type="http://schemas.openxmlformats.org/officeDocument/2006/relationships/hyperlink" Target="https://dl.smwcentral.net/34369/Super%20Nessy%20World%202.zip" TargetMode="External"/><Relationship Id="rId4575" Type="http://schemas.openxmlformats.org/officeDocument/2006/relationships/hyperlink" Target="https://www.smwcentral.net/?a=details&amp;id=39972&amp;p=section" TargetMode="External"/><Relationship Id="rId5419" Type="http://schemas.openxmlformats.org/officeDocument/2006/relationships/hyperlink" Target="https://www.smwcentral.net/?a=details&amp;id=13765&amp;p=section" TargetMode="External"/><Relationship Id="rId3177" Type="http://schemas.openxmlformats.org/officeDocument/2006/relationships/hyperlink" Target="https://www.smwcentral.net/?a=details&amp;id=35347&amp;p=section" TargetMode="External"/><Relationship Id="rId4228" Type="http://schemas.openxmlformats.org/officeDocument/2006/relationships/hyperlink" Target="https://dl.smwcentral.net/9966/SMWTheStarFieldDemo2.2.zip" TargetMode="External"/><Relationship Id="rId4782" Type="http://schemas.openxmlformats.org/officeDocument/2006/relationships/hyperlink" Target="https://dl.smwcentral.net/16046/TFSMWHTWEBSLATGTLOLMPC.zip" TargetMode="External"/><Relationship Id="rId3037" Type="http://schemas.openxmlformats.org/officeDocument/2006/relationships/hyperlink" Target="https://www.smwcentral.net/?a=details&amp;id=24739&amp;p=section" TargetMode="External"/><Relationship Id="rId3384" Type="http://schemas.openxmlformats.org/officeDocument/2006/relationships/hyperlink" Target="https://dl.smwcentral.net/28333/stratfinder.zip" TargetMode="External"/><Relationship Id="rId3591" Type="http://schemas.openxmlformats.org/officeDocument/2006/relationships/hyperlink" Target="https://www.smwcentral.net/?a=details&amp;id=9881&amp;p=section" TargetMode="External"/><Relationship Id="rId4435" Type="http://schemas.openxmlformats.org/officeDocument/2006/relationships/hyperlink" Target="https://www.smwcentral.net/?a=details&amp;id=39863&amp;p=section" TargetMode="External"/><Relationship Id="rId4642" Type="http://schemas.openxmlformats.org/officeDocument/2006/relationships/hyperlink" Target="https://dl.smwcentral.net/32910/Tatsujin%20Mario%20part%202%20v13.zip" TargetMode="External"/><Relationship Id="rId2193" Type="http://schemas.openxmlformats.org/officeDocument/2006/relationships/hyperlink" Target="https://www.smwcentral.net/?a=details&amp;id=23290&amp;p=section" TargetMode="External"/><Relationship Id="rId3244" Type="http://schemas.openxmlformats.org/officeDocument/2006/relationships/hyperlink" Target="https://dl.smwcentral.net/22919/TUS%20DEMO%20V0.2.zip" TargetMode="External"/><Relationship Id="rId3451" Type="http://schemas.openxmlformats.org/officeDocument/2006/relationships/hyperlink" Target="https://www.smwcentral.net/?a=details&amp;id=9727&amp;p=section" TargetMode="External"/><Relationship Id="rId4502" Type="http://schemas.openxmlformats.org/officeDocument/2006/relationships/hyperlink" Target="https://dl.smwcentral.net/19988/SuperSpongeWorld.zip" TargetMode="External"/><Relationship Id="rId165" Type="http://schemas.openxmlformats.org/officeDocument/2006/relationships/hyperlink" Target="https://www.smwcentral.net/?a=details&amp;id=38177&amp;p=section" TargetMode="External"/><Relationship Id="rId372" Type="http://schemas.openxmlformats.org/officeDocument/2006/relationships/hyperlink" Target="https://dl.smwcentral.net/18071/BackwardsMarioWorld1.11.zip" TargetMode="External"/><Relationship Id="rId2053" Type="http://schemas.openxmlformats.org/officeDocument/2006/relationships/hyperlink" Target="https://www.smwcentral.net/?a=details&amp;id=33669&amp;p=section" TargetMode="External"/><Relationship Id="rId2260" Type="http://schemas.openxmlformats.org/officeDocument/2006/relationships/hyperlink" Target="https://dl.smwcentral.net/5488/Mario%27s%20Ultimate%20Journey%20Demo%201.zip" TargetMode="External"/><Relationship Id="rId3104" Type="http://schemas.openxmlformats.org/officeDocument/2006/relationships/hyperlink" Target="https://dl.smwcentral.net/32697/Shelloween.zip" TargetMode="External"/><Relationship Id="rId3311" Type="http://schemas.openxmlformats.org/officeDocument/2006/relationships/hyperlink" Target="https://www.smwcentral.net/?a=details&amp;id=41266&amp;p=section" TargetMode="External"/><Relationship Id="rId232" Type="http://schemas.openxmlformats.org/officeDocument/2006/relationships/hyperlink" Target="https://dl.smwcentral.net/6777/Adventure%20Land%20-%20Darkness%20Rising.zip" TargetMode="External"/><Relationship Id="rId2120" Type="http://schemas.openxmlformats.org/officeDocument/2006/relationships/hyperlink" Target="https://dl.smwcentral.net/16579/MAAEE.zip" TargetMode="External"/><Relationship Id="rId5069" Type="http://schemas.openxmlformats.org/officeDocument/2006/relationships/hyperlink" Target="https://www.smwcentral.net/?a=details&amp;id=42425&amp;p=section" TargetMode="External"/><Relationship Id="rId5276" Type="http://schemas.openxmlformats.org/officeDocument/2006/relationships/hyperlink" Target="https://dl.smwcentral.net/24833/VKW1.1.zip" TargetMode="External"/><Relationship Id="rId5483" Type="http://schemas.openxmlformats.org/officeDocument/2006/relationships/hyperlink" Target="https://www.smwcentral.net/?a=details&amp;id=15935&amp;p=section" TargetMode="External"/><Relationship Id="rId1679" Type="http://schemas.openxmlformats.org/officeDocument/2006/relationships/hyperlink" Target="https://www.smwcentral.net/?a=details&amp;id=5451&amp;p=section" TargetMode="External"/><Relationship Id="rId4085" Type="http://schemas.openxmlformats.org/officeDocument/2006/relationships/hyperlink" Target="https://www.smwcentral.net/?a=details&amp;id=9901&amp;p=section" TargetMode="External"/><Relationship Id="rId4292" Type="http://schemas.openxmlformats.org/officeDocument/2006/relationships/hyperlink" Target="https://dl.smwcentral.net/9728/demo001.zip" TargetMode="External"/><Relationship Id="rId5136" Type="http://schemas.openxmlformats.org/officeDocument/2006/relationships/hyperlink" Target="https://dl.smwcentral.net/38917/TS3Demo1.1.zip" TargetMode="External"/><Relationship Id="rId5343" Type="http://schemas.openxmlformats.org/officeDocument/2006/relationships/hyperlink" Target="https://www.smwcentral.net/?a=details&amp;id=10112&amp;p=section" TargetMode="External"/><Relationship Id="rId1886" Type="http://schemas.openxmlformats.org/officeDocument/2006/relationships/hyperlink" Target="https://dl.smwcentral.net/9802/MATHF%20DEMO%201.1.zip" TargetMode="External"/><Relationship Id="rId2937" Type="http://schemas.openxmlformats.org/officeDocument/2006/relationships/hyperlink" Target="https://www.smwcentral.net/?a=details&amp;id=14000&amp;p=section" TargetMode="External"/><Relationship Id="rId4152" Type="http://schemas.openxmlformats.org/officeDocument/2006/relationships/hyperlink" Target="https://dl.smwcentral.net/31349/SMW%20Dungeons.zip" TargetMode="External"/><Relationship Id="rId5203" Type="http://schemas.openxmlformats.org/officeDocument/2006/relationships/hyperlink" Target="https://www.smwcentral.net/?a=details&amp;id=38769&amp;p=section" TargetMode="External"/><Relationship Id="rId909" Type="http://schemas.openxmlformats.org/officeDocument/2006/relationships/hyperlink" Target="https://www.smwcentral.net/?a=details&amp;id=38795&amp;p=section" TargetMode="External"/><Relationship Id="rId1539" Type="http://schemas.openxmlformats.org/officeDocument/2006/relationships/hyperlink" Target="https://www.smwcentral.net/?a=details&amp;id=21425&amp;p=section" TargetMode="External"/><Relationship Id="rId1746" Type="http://schemas.openxmlformats.org/officeDocument/2006/relationships/hyperlink" Target="https://dl.smwcentral.net/30864/Love%20Yourself%201.0.zip" TargetMode="External"/><Relationship Id="rId1953" Type="http://schemas.openxmlformats.org/officeDocument/2006/relationships/hyperlink" Target="https://www.smwcentral.net/?a=details&amp;id=13582&amp;p=section" TargetMode="External"/><Relationship Id="rId5410" Type="http://schemas.openxmlformats.org/officeDocument/2006/relationships/hyperlink" Target="https://dl.smwcentral.net/41374/WorldOfJumps.zip" TargetMode="External"/><Relationship Id="rId38" Type="http://schemas.openxmlformats.org/officeDocument/2006/relationships/hyperlink" Target="https://dl.smwcentral.net/39007/20ChallengesE3.zip" TargetMode="External"/><Relationship Id="rId1606" Type="http://schemas.openxmlformats.org/officeDocument/2006/relationships/hyperlink" Target="https://dl.smwcentral.net/23425/KonkWorld.zip" TargetMode="External"/><Relationship Id="rId1813" Type="http://schemas.openxmlformats.org/officeDocument/2006/relationships/hyperlink" Target="https://www.smwcentral.net/?a=details&amp;id=11760&amp;p=section" TargetMode="External"/><Relationship Id="rId4012" Type="http://schemas.openxmlformats.org/officeDocument/2006/relationships/hyperlink" Target="https://dl.smwcentral.net/36862/SMW%20Mushroom%20Revolution%20%28Demo%202.5%29.zip" TargetMode="External"/><Relationship Id="rId4969" Type="http://schemas.openxmlformats.org/officeDocument/2006/relationships/hyperlink" Target="https://www.smwcentral.net/?a=details&amp;id=18601&amp;p=section" TargetMode="External"/><Relationship Id="rId3778" Type="http://schemas.openxmlformats.org/officeDocument/2006/relationships/hyperlink" Target="https://dl.smwcentral.net/6764/SMB3X%20Final%202.6.zip" TargetMode="External"/><Relationship Id="rId3985" Type="http://schemas.openxmlformats.org/officeDocument/2006/relationships/hyperlink" Target="https://www.smwcentral.net/?a=details&amp;id=19293&amp;p=section" TargetMode="External"/><Relationship Id="rId4829" Type="http://schemas.openxmlformats.org/officeDocument/2006/relationships/hyperlink" Target="https://www.smwcentral.net/?a=details&amp;id=5588&amp;p=section" TargetMode="External"/><Relationship Id="rId699" Type="http://schemas.openxmlformats.org/officeDocument/2006/relationships/hyperlink" Target="https://www.smwcentral.net/?a=details&amp;id=19575&amp;p=section" TargetMode="External"/><Relationship Id="rId2587" Type="http://schemas.openxmlformats.org/officeDocument/2006/relationships/hyperlink" Target="https://www.smwcentral.net/?a=details&amp;id=42653&amp;p=section" TargetMode="External"/><Relationship Id="rId2794" Type="http://schemas.openxmlformats.org/officeDocument/2006/relationships/hyperlink" Target="https://dl.smwcentral.net/42543/playtime_1.11.zip" TargetMode="External"/><Relationship Id="rId3638" Type="http://schemas.openxmlformats.org/officeDocument/2006/relationships/hyperlink" Target="https://dl.smwcentral.net/26877/Super%20Lani%20World.zip" TargetMode="External"/><Relationship Id="rId3845" Type="http://schemas.openxmlformats.org/officeDocument/2006/relationships/hyperlink" Target="https://www.smwcentral.net/?a=details&amp;id=10022&amp;p=section" TargetMode="External"/><Relationship Id="rId559" Type="http://schemas.openxmlformats.org/officeDocument/2006/relationships/hyperlink" Target="https://www.smwcentral.net/?a=details&amp;id=36816&amp;p=section" TargetMode="External"/><Relationship Id="rId766" Type="http://schemas.openxmlformats.org/officeDocument/2006/relationships/hyperlink" Target="https://dl.smwcentral.net/33950/Cronos%20Trigger%20V2.zip" TargetMode="External"/><Relationship Id="rId1189" Type="http://schemas.openxmlformats.org/officeDocument/2006/relationships/hyperlink" Target="https://www.smwcentral.net/?p=files&amp;u=32572" TargetMode="External"/><Relationship Id="rId1396" Type="http://schemas.openxmlformats.org/officeDocument/2006/relationships/hyperlink" Target="https://dl.smwcentral.net/36666/INCEPTION2.zip" TargetMode="External"/><Relationship Id="rId2447" Type="http://schemas.openxmlformats.org/officeDocument/2006/relationships/hyperlink" Target="https://www.smwcentral.net/?a=details&amp;id=35259&amp;p=section" TargetMode="External"/><Relationship Id="rId5060" Type="http://schemas.openxmlformats.org/officeDocument/2006/relationships/hyperlink" Target="https://dl.smwcentral.net/32464/ThirdWhistle.zip" TargetMode="External"/><Relationship Id="rId419" Type="http://schemas.openxmlformats.org/officeDocument/2006/relationships/hyperlink" Target="https://www.smwcentral.net/?a=details&amp;id=40744&amp;p=section" TargetMode="External"/><Relationship Id="rId626" Type="http://schemas.openxmlformats.org/officeDocument/2006/relationships/hyperlink" Target="https://dl.smwcentral.net/42459/Castlemania%20-%20REVAMPED.zip" TargetMode="External"/><Relationship Id="rId973" Type="http://schemas.openxmlformats.org/officeDocument/2006/relationships/hyperlink" Target="https://www.smwcentral.net/?a=details&amp;id=32749&amp;p=section" TargetMode="External"/><Relationship Id="rId1049" Type="http://schemas.openxmlformats.org/officeDocument/2006/relationships/hyperlink" Target="https://www.smwcentral.net/?a=details&amp;id=33932&amp;p=section" TargetMode="External"/><Relationship Id="rId1256" Type="http://schemas.openxmlformats.org/officeDocument/2006/relationships/hyperlink" Target="https://dl.smwcentral.net/39521/HackGreatestHitsReleasev1.2.zip" TargetMode="External"/><Relationship Id="rId2307" Type="http://schemas.openxmlformats.org/officeDocument/2006/relationships/hyperlink" Target="https://www.smwcentral.net/?a=details&amp;id=6055&amp;p=section" TargetMode="External"/><Relationship Id="rId2654" Type="http://schemas.openxmlformats.org/officeDocument/2006/relationships/hyperlink" Target="https://dl.smwcentral.net/42110/OnTheEdge.zip" TargetMode="External"/><Relationship Id="rId2861" Type="http://schemas.openxmlformats.org/officeDocument/2006/relationships/hyperlink" Target="https://www.smwcentral.net/?a=details&amp;id=34156&amp;p=section" TargetMode="External"/><Relationship Id="rId3705" Type="http://schemas.openxmlformats.org/officeDocument/2006/relationships/hyperlink" Target="https://www.smwcentral.net/?a=details&amp;id=10053&amp;p=section" TargetMode="External"/><Relationship Id="rId3912" Type="http://schemas.openxmlformats.org/officeDocument/2006/relationships/hyperlink" Target="https://dl.smwcentral.net/16048/Super%20Mario%20Lost%20World%20Demo.zip" TargetMode="External"/><Relationship Id="rId833" Type="http://schemas.openxmlformats.org/officeDocument/2006/relationships/hyperlink" Target="https://www.smwcentral.net/?a=details&amp;id=23833&amp;p=section" TargetMode="External"/><Relationship Id="rId1116" Type="http://schemas.openxmlformats.org/officeDocument/2006/relationships/hyperlink" Target="https://dl.smwcentral.net/13445/FWTW_Demo_1.ips.zip" TargetMode="External"/><Relationship Id="rId1463" Type="http://schemas.openxmlformats.org/officeDocument/2006/relationships/hyperlink" Target="https://www.smwcentral.net/?a=details&amp;id=33622&amp;p=section" TargetMode="External"/><Relationship Id="rId1670" Type="http://schemas.openxmlformats.org/officeDocument/2006/relationships/hyperlink" Target="https://dl.smwcentral.net/30098/le-gole.zip" TargetMode="External"/><Relationship Id="rId2514" Type="http://schemas.openxmlformats.org/officeDocument/2006/relationships/hyperlink" Target="https://dl.smwcentral.net/9979/smi.zip" TargetMode="External"/><Relationship Id="rId2721" Type="http://schemas.openxmlformats.org/officeDocument/2006/relationships/hyperlink" Target="https://www.smwcentral.net/?a=details&amp;id=27854&amp;p=section" TargetMode="External"/><Relationship Id="rId900" Type="http://schemas.openxmlformats.org/officeDocument/2006/relationships/hyperlink" Target="https://dl.smwcentral.net/9655/Doopliss%20Revenge.zip" TargetMode="External"/><Relationship Id="rId1323" Type="http://schemas.openxmlformats.org/officeDocument/2006/relationships/hyperlink" Target="https://www.smwcentral.net/?a=details&amp;id=19402&amp;p=section" TargetMode="External"/><Relationship Id="rId1530" Type="http://schemas.openxmlformats.org/officeDocument/2006/relationships/hyperlink" Target="https://dl.smwcentral.net/42670/KaizoBreezev1.1.zip" TargetMode="External"/><Relationship Id="rId4479" Type="http://schemas.openxmlformats.org/officeDocument/2006/relationships/hyperlink" Target="https://www.smwcentral.net/?a=details&amp;id=37427&amp;p=section" TargetMode="External"/><Relationship Id="rId4686" Type="http://schemas.openxmlformats.org/officeDocument/2006/relationships/hyperlink" Target="https://dl.smwcentral.net/32572/VLDC12_1.07.zip" TargetMode="External"/><Relationship Id="rId4893" Type="http://schemas.openxmlformats.org/officeDocument/2006/relationships/hyperlink" Target="https://www.smwcentral.net/?a=details&amp;id=10084&amp;p=section" TargetMode="External"/><Relationship Id="rId3288" Type="http://schemas.openxmlformats.org/officeDocument/2006/relationships/hyperlink" Target="https://dl.smwcentral.net/6304/Something%20else%20.zip" TargetMode="External"/><Relationship Id="rId3495" Type="http://schemas.openxmlformats.org/officeDocument/2006/relationships/hyperlink" Target="https://www.smwcentral.net/?a=details&amp;id=9678&amp;p=section" TargetMode="External"/><Relationship Id="rId4339" Type="http://schemas.openxmlformats.org/officeDocument/2006/relationships/hyperlink" Target="https://www.smwcentral.net/?a=details&amp;id=37625&amp;p=section" TargetMode="External"/><Relationship Id="rId4546" Type="http://schemas.openxmlformats.org/officeDocument/2006/relationships/hyperlink" Target="https://dl.smwcentral.net/34766/svw%201.5.zip" TargetMode="External"/><Relationship Id="rId4753" Type="http://schemas.openxmlformats.org/officeDocument/2006/relationships/hyperlink" Target="https://www.smwcentral.net/?a=details&amp;id=13915&amp;p=section" TargetMode="External"/><Relationship Id="rId4960" Type="http://schemas.openxmlformats.org/officeDocument/2006/relationships/hyperlink" Target="https://dl.smwcentral.net/9848/The_Rituals_of_Resurrection.zip" TargetMode="External"/><Relationship Id="rId2097" Type="http://schemas.openxmlformats.org/officeDocument/2006/relationships/hyperlink" Target="https://www.smwcentral.net/?a=details&amp;id=9798&amp;p=section" TargetMode="External"/><Relationship Id="rId3148" Type="http://schemas.openxmlformats.org/officeDocument/2006/relationships/hyperlink" Target="https://dl.smwcentral.net/5950/Sicari.zip" TargetMode="External"/><Relationship Id="rId3355" Type="http://schemas.openxmlformats.org/officeDocument/2006/relationships/hyperlink" Target="https://www.smwcentral.net/?a=details&amp;id=26923&amp;p=section" TargetMode="External"/><Relationship Id="rId3562" Type="http://schemas.openxmlformats.org/officeDocument/2006/relationships/hyperlink" Target="https://dl.smwcentral.net/15216/Super%20Glitchcat%20World.zip" TargetMode="External"/><Relationship Id="rId4406" Type="http://schemas.openxmlformats.org/officeDocument/2006/relationships/hyperlink" Target="https://dl.smwcentral.net/39546/Super%20pcclub88%20World.zip" TargetMode="External"/><Relationship Id="rId4613" Type="http://schemas.openxmlformats.org/officeDocument/2006/relationships/hyperlink" Target="https://www.smwcentral.net/?a=details&amp;id=37677&amp;p=section" TargetMode="External"/><Relationship Id="rId276" Type="http://schemas.openxmlformats.org/officeDocument/2006/relationships/hyperlink" Target="https://dl.smwcentral.net/38889/Amazeballs.zip" TargetMode="External"/><Relationship Id="rId483" Type="http://schemas.openxmlformats.org/officeDocument/2006/relationships/hyperlink" Target="https://www.smwcentral.net/?a=details&amp;id=39209&amp;p=section" TargetMode="External"/><Relationship Id="rId690" Type="http://schemas.openxmlformats.org/officeDocument/2006/relationships/hyperlink" Target="https://dl.smwcentral.net/39652/Chronoclasm.zip" TargetMode="External"/><Relationship Id="rId2164" Type="http://schemas.openxmlformats.org/officeDocument/2006/relationships/hyperlink" Target="https://dl.smwcentral.net/28058/Mario%27s%20Grand%20Adventure%20Omega%20Jungle.zip" TargetMode="External"/><Relationship Id="rId2371" Type="http://schemas.openxmlformats.org/officeDocument/2006/relationships/hyperlink" Target="https://www.smwcentral.net/?a=details&amp;id=14969&amp;p=section" TargetMode="External"/><Relationship Id="rId3008" Type="http://schemas.openxmlformats.org/officeDocument/2006/relationships/hyperlink" Target="https://dl.smwcentral.net/27430/Run%21.zip" TargetMode="External"/><Relationship Id="rId3215" Type="http://schemas.openxmlformats.org/officeDocument/2006/relationships/hyperlink" Target="https://www.smwcentral.net/?a=details&amp;id=11697&amp;p=section" TargetMode="External"/><Relationship Id="rId3422" Type="http://schemas.openxmlformats.org/officeDocument/2006/relationships/hyperlink" Target="https://dl.smwcentral.net/22519/Super%20Beast%20World%20v1.1.bps.zip" TargetMode="External"/><Relationship Id="rId4820" Type="http://schemas.openxmlformats.org/officeDocument/2006/relationships/hyperlink" Target="https://dl.smwcentral.net/27980/TGPAAFPDemo.zip" TargetMode="External"/><Relationship Id="rId136" Type="http://schemas.openxmlformats.org/officeDocument/2006/relationships/hyperlink" Target="https://dl.smwcentral.net/9973/A%20Maxi%20Mini%20Hack%20B-Sides.zip" TargetMode="External"/><Relationship Id="rId343" Type="http://schemas.openxmlformats.org/officeDocument/2006/relationships/hyperlink" Target="https://www.smwcentral.net/?a=details&amp;id=41455&amp;p=section" TargetMode="External"/><Relationship Id="rId550" Type="http://schemas.openxmlformats.org/officeDocument/2006/relationships/hyperlink" Target="https://dl.smwcentral.net/40848/Broken%20Shell.zip" TargetMode="External"/><Relationship Id="rId1180" Type="http://schemas.openxmlformats.org/officeDocument/2006/relationships/hyperlink" Target="https://dl.smwcentral.net/6548/Good%20Question%21.zip" TargetMode="External"/><Relationship Id="rId2024" Type="http://schemas.openxmlformats.org/officeDocument/2006/relationships/hyperlink" Target="https://dl.smwcentral.net/26194/Mario%20Mission%201.0.zip" TargetMode="External"/><Relationship Id="rId2231" Type="http://schemas.openxmlformats.org/officeDocument/2006/relationships/hyperlink" Target="https://www.smwcentral.net/?a=details&amp;id=12310&amp;p=section" TargetMode="External"/><Relationship Id="rId5387" Type="http://schemas.openxmlformats.org/officeDocument/2006/relationships/hyperlink" Target="https://www.smwcentral.net/?a=details&amp;id=37046&amp;p=section" TargetMode="External"/><Relationship Id="rId203" Type="http://schemas.openxmlformats.org/officeDocument/2006/relationships/hyperlink" Target="https://www.smwcentral.net/?a=details&amp;id=17750&amp;p=section" TargetMode="External"/><Relationship Id="rId1040" Type="http://schemas.openxmlformats.org/officeDocument/2006/relationships/hyperlink" Target="https://dl.smwcentral.net/9724/F-Mario.zip" TargetMode="External"/><Relationship Id="rId4196" Type="http://schemas.openxmlformats.org/officeDocument/2006/relationships/hyperlink" Target="https://dl.smwcentral.net/5593/Super%20Mario%20World%20-%20The%20After%20Years%20%28Ultra%29.zip" TargetMode="External"/><Relationship Id="rId5247" Type="http://schemas.openxmlformats.org/officeDocument/2006/relationships/hyperlink" Target="https://www.smwcentral.net/?a=details&amp;id=17473&amp;p=section" TargetMode="External"/><Relationship Id="rId410" Type="http://schemas.openxmlformats.org/officeDocument/2006/relationships/hyperlink" Target="https://dl.smwcentral.net/37555/Beautiful%20Dangerous%20v1.1.zip" TargetMode="External"/><Relationship Id="rId1997" Type="http://schemas.openxmlformats.org/officeDocument/2006/relationships/hyperlink" Target="https://www.smwcentral.net/?a=details&amp;id=14712&amp;p=section" TargetMode="External"/><Relationship Id="rId4056" Type="http://schemas.openxmlformats.org/officeDocument/2006/relationships/hyperlink" Target="https://dl.smwcentral.net/15568/Super%20Mario%20World%20Arrangement.zip" TargetMode="External"/><Relationship Id="rId5454" Type="http://schemas.openxmlformats.org/officeDocument/2006/relationships/hyperlink" Target="https://dl.smwcentral.net/29590/Yoshis_Crack_House.zip" TargetMode="External"/><Relationship Id="rId1857" Type="http://schemas.openxmlformats.org/officeDocument/2006/relationships/hyperlink" Target="https://www.smwcentral.net/?a=details&amp;id=9837&amp;p=section" TargetMode="External"/><Relationship Id="rId2908" Type="http://schemas.openxmlformats.org/officeDocument/2006/relationships/hyperlink" Target="https://dl.smwcentral.net/36825/Red%20Hero%20Endgame%20V1.1.zip" TargetMode="External"/><Relationship Id="rId4263" Type="http://schemas.openxmlformats.org/officeDocument/2006/relationships/hyperlink" Target="https://www.smwcentral.net/?a=details&amp;id=13498&amp;p=section" TargetMode="External"/><Relationship Id="rId4470" Type="http://schemas.openxmlformats.org/officeDocument/2006/relationships/hyperlink" Target="https://dl.smwcentral.net/32345/SSW2%20RoS.zip" TargetMode="External"/><Relationship Id="rId5107" Type="http://schemas.openxmlformats.org/officeDocument/2006/relationships/hyperlink" Target="https://www.smwcentral.net/?a=details&amp;id=22869&amp;p=section" TargetMode="External"/><Relationship Id="rId5314" Type="http://schemas.openxmlformats.org/officeDocument/2006/relationships/hyperlink" Target="https://dl.smwcentral.net/9799/MIX4AAE.zip" TargetMode="External"/><Relationship Id="rId1717" Type="http://schemas.openxmlformats.org/officeDocument/2006/relationships/hyperlink" Target="https://www.smwcentral.net/?a=details&amp;id=24705&amp;p=section" TargetMode="External"/><Relationship Id="rId1924" Type="http://schemas.openxmlformats.org/officeDocument/2006/relationships/hyperlink" Target="https://dl.smwcentral.net/41397/MARIO.zip" TargetMode="External"/><Relationship Id="rId3072" Type="http://schemas.openxmlformats.org/officeDocument/2006/relationships/hyperlink" Target="https://dl.smwcentral.net/28509/Shattered%20Land%201.3.zip" TargetMode="External"/><Relationship Id="rId4123" Type="http://schemas.openxmlformats.org/officeDocument/2006/relationships/hyperlink" Target="https://www.smwcentral.net/?a=details&amp;id=24426&amp;p=section" TargetMode="External"/><Relationship Id="rId4330" Type="http://schemas.openxmlformats.org/officeDocument/2006/relationships/hyperlink" Target="https://dl.smwcentral.net/40080/Super%20Mirror%20Dimension%201.2.zip" TargetMode="External"/><Relationship Id="rId3889" Type="http://schemas.openxmlformats.org/officeDocument/2006/relationships/hyperlink" Target="https://www.smwcentral.net/?a=details&amp;id=19547&amp;p=section" TargetMode="External"/><Relationship Id="rId2698" Type="http://schemas.openxmlformats.org/officeDocument/2006/relationships/hyperlink" Target="https://dl.smwcentral.net/6969/pswitch_v2.0.zip" TargetMode="External"/><Relationship Id="rId3749" Type="http://schemas.openxmlformats.org/officeDocument/2006/relationships/hyperlink" Target="https://www.smwcentral.net/?a=details&amp;id=9692&amp;p=section" TargetMode="External"/><Relationship Id="rId3956" Type="http://schemas.openxmlformats.org/officeDocument/2006/relationships/hyperlink" Target="https://dl.smwcentral.net/41047/SMSQ%20demo.zip" TargetMode="External"/><Relationship Id="rId5171" Type="http://schemas.openxmlformats.org/officeDocument/2006/relationships/hyperlink" Target="https://www.smwcentral.net/?a=details&amp;id=26737&amp;p=section" TargetMode="External"/><Relationship Id="rId877" Type="http://schemas.openxmlformats.org/officeDocument/2006/relationships/hyperlink" Target="https://www.smwcentral.net/?a=details&amp;id=27847&amp;p=section" TargetMode="External"/><Relationship Id="rId2558" Type="http://schemas.openxmlformats.org/officeDocument/2006/relationships/hyperlink" Target="https://dl.smwcentral.net/27776/Nightmare%20cafe%20IX%20v1.0.zip" TargetMode="External"/><Relationship Id="rId2765" Type="http://schemas.openxmlformats.org/officeDocument/2006/relationships/hyperlink" Target="https://www.smwcentral.net/?a=details&amp;id=15170&amp;p=section" TargetMode="External"/><Relationship Id="rId2972" Type="http://schemas.openxmlformats.org/officeDocument/2006/relationships/hyperlink" Target="https://dl.smwcentral.net/36801/roke%20shell.zip" TargetMode="External"/><Relationship Id="rId3609" Type="http://schemas.openxmlformats.org/officeDocument/2006/relationships/hyperlink" Target="https://www.smwcentral.net/?a=details&amp;id=26882&amp;p=section" TargetMode="External"/><Relationship Id="rId3816" Type="http://schemas.openxmlformats.org/officeDocument/2006/relationships/hyperlink" Target="https://dl.smwcentral.net/10139/SMB-TMW0.1.zip" TargetMode="External"/><Relationship Id="rId737" Type="http://schemas.openxmlformats.org/officeDocument/2006/relationships/hyperlink" Target="https://www.smwcentral.net/?a=details&amp;id=16466&amp;p=section" TargetMode="External"/><Relationship Id="rId944" Type="http://schemas.openxmlformats.org/officeDocument/2006/relationships/hyperlink" Target="https://dl.smwcentral.net/38528/Easyland%202.zip" TargetMode="External"/><Relationship Id="rId1367" Type="http://schemas.openxmlformats.org/officeDocument/2006/relationships/hyperlink" Target="https://www.smwcentral.net/?a=details&amp;id=5539&amp;p=section" TargetMode="External"/><Relationship Id="rId1574" Type="http://schemas.openxmlformats.org/officeDocument/2006/relationships/hyperlink" Target="https://dl.smwcentral.net/32837/Kazue%20World.zip" TargetMode="External"/><Relationship Id="rId1781" Type="http://schemas.openxmlformats.org/officeDocument/2006/relationships/hyperlink" Target="https://www.smwcentral.net/?a=details&amp;id=32187&amp;p=section" TargetMode="External"/><Relationship Id="rId2418" Type="http://schemas.openxmlformats.org/officeDocument/2006/relationships/hyperlink" Target="https://dl.smwcentral.net/6550/mushroom%20kingdom%20invasion.zip" TargetMode="External"/><Relationship Id="rId2625" Type="http://schemas.openxmlformats.org/officeDocument/2006/relationships/hyperlink" Target="https://www.smwcentral.net/?a=details&amp;id=33041&amp;p=section" TargetMode="External"/><Relationship Id="rId2832" Type="http://schemas.openxmlformats.org/officeDocument/2006/relationships/hyperlink" Target="https://dl.smwcentral.net/42028/Precision86%20Part%20II%20Demo%20V1_2.zip" TargetMode="External"/><Relationship Id="rId5031" Type="http://schemas.openxmlformats.org/officeDocument/2006/relationships/hyperlink" Target="https://www.smwcentral.net/?a=details&amp;id=6230&amp;p=section" TargetMode="External"/><Relationship Id="rId73" Type="http://schemas.openxmlformats.org/officeDocument/2006/relationships/hyperlink" Target="https://www.smwcentral.net/?a=details&amp;id=40929&amp;p=section" TargetMode="External"/><Relationship Id="rId804" Type="http://schemas.openxmlformats.org/officeDocument/2006/relationships/hyperlink" Target="https://dl.smwcentral.net/29831/Danmaku%20Mario%20World.zip" TargetMode="External"/><Relationship Id="rId1227" Type="http://schemas.openxmlformats.org/officeDocument/2006/relationships/hyperlink" Target="https://www.smwcentral.net/?a=details&amp;id=38745&amp;p=section" TargetMode="External"/><Relationship Id="rId1434" Type="http://schemas.openxmlformats.org/officeDocument/2006/relationships/hyperlink" Target="https://dl.smwcentral.net/26898/its%20eez.zip" TargetMode="External"/><Relationship Id="rId1641" Type="http://schemas.openxmlformats.org/officeDocument/2006/relationships/hyperlink" Target="https://www.smwcentral.net/?a=details&amp;id=35061&amp;p=section" TargetMode="External"/><Relationship Id="rId4797" Type="http://schemas.openxmlformats.org/officeDocument/2006/relationships/hyperlink" Target="https://www.smwcentral.net/?a=details&amp;id=42107&amp;p=section" TargetMode="External"/><Relationship Id="rId1501" Type="http://schemas.openxmlformats.org/officeDocument/2006/relationships/hyperlink" Target="https://www.smwcentral.net/?a=details&amp;id=5492&amp;p=section" TargetMode="External"/><Relationship Id="rId3399" Type="http://schemas.openxmlformats.org/officeDocument/2006/relationships/hyperlink" Target="https://www.smwcentral.net/?a=details&amp;id=5443&amp;p=section" TargetMode="External"/><Relationship Id="rId4657" Type="http://schemas.openxmlformats.org/officeDocument/2006/relationships/hyperlink" Target="https://www.smwcentral.net/?a=details&amp;id=10071&amp;p=section" TargetMode="External"/><Relationship Id="rId4864" Type="http://schemas.openxmlformats.org/officeDocument/2006/relationships/hyperlink" Target="https://dl.smwcentral.net/10002/The%20Legend%20of%20Randorland%203.zip" TargetMode="External"/><Relationship Id="rId3259" Type="http://schemas.openxmlformats.org/officeDocument/2006/relationships/hyperlink" Target="https://www.smwcentral.net/?a=details&amp;id=25235&amp;p=section" TargetMode="External"/><Relationship Id="rId3466" Type="http://schemas.openxmlformats.org/officeDocument/2006/relationships/hyperlink" Target="https://dl.smwcentral.net/18738/Super%20Cool%20World%20v1.0.zip" TargetMode="External"/><Relationship Id="rId4517" Type="http://schemas.openxmlformats.org/officeDocument/2006/relationships/hyperlink" Target="https://www.smwcentral.net/?a=details&amp;id=22253&amp;p=section" TargetMode="External"/><Relationship Id="rId387" Type="http://schemas.openxmlformats.org/officeDocument/2006/relationships/hyperlink" Target="https://www.smwcentral.net/?a=details&amp;id=11477&amp;p=section" TargetMode="External"/><Relationship Id="rId594" Type="http://schemas.openxmlformats.org/officeDocument/2006/relationships/hyperlink" Target="https://dl.smwcentral.net/39487/Candyshop%20-%20Light%20Edition%201.1.zip" TargetMode="External"/><Relationship Id="rId2068" Type="http://schemas.openxmlformats.org/officeDocument/2006/relationships/hyperlink" Target="https://dl.smwcentral.net/37877/Mario%20Saves%20Summer%20Break%202024.zip" TargetMode="External"/><Relationship Id="rId2275" Type="http://schemas.openxmlformats.org/officeDocument/2006/relationships/hyperlink" Target="https://www.smwcentral.net/?a=details&amp;id=13707&amp;p=section" TargetMode="External"/><Relationship Id="rId3119" Type="http://schemas.openxmlformats.org/officeDocument/2006/relationships/hyperlink" Target="https://www.smwcentral.net/?a=details&amp;id=32877&amp;p=section" TargetMode="External"/><Relationship Id="rId3326" Type="http://schemas.openxmlformats.org/officeDocument/2006/relationships/hyperlink" Target="https://dl.smwcentral.net/31344/Spesh%20Planet.zip" TargetMode="External"/><Relationship Id="rId3673" Type="http://schemas.openxmlformats.org/officeDocument/2006/relationships/hyperlink" Target="https://www.smwcentral.net/?a=details&amp;id=40430&amp;p=section" TargetMode="External"/><Relationship Id="rId3880" Type="http://schemas.openxmlformats.org/officeDocument/2006/relationships/hyperlink" Target="https://dl.smwcentral.net/17022/Super%20Mario%20in%20the%20Health%20Advocacy%20Project.zip" TargetMode="External"/><Relationship Id="rId4724" Type="http://schemas.openxmlformats.org/officeDocument/2006/relationships/hyperlink" Target="https://dl.smwcentral.net/5260/The%20Big%20Boo%27s%20Legion.zip" TargetMode="External"/><Relationship Id="rId4931" Type="http://schemas.openxmlformats.org/officeDocument/2006/relationships/hyperlink" Target="https://www.smwcentral.net/?a=details&amp;id=9982&amp;p=section" TargetMode="External"/><Relationship Id="rId247" Type="http://schemas.openxmlformats.org/officeDocument/2006/relationships/hyperlink" Target="https://www.smwcentral.net/?a=details&amp;id=9993&amp;p=section" TargetMode="External"/><Relationship Id="rId1084" Type="http://schemas.openxmlformats.org/officeDocument/2006/relationships/hyperlink" Target="https://dl.smwcentral.net/28842/foi4V1.1.zip" TargetMode="External"/><Relationship Id="rId2482" Type="http://schemas.openxmlformats.org/officeDocument/2006/relationships/hyperlink" Target="https://dl.smwcentral.net/30309/Nemesis.zip" TargetMode="External"/><Relationship Id="rId3533" Type="http://schemas.openxmlformats.org/officeDocument/2006/relationships/hyperlink" Target="https://www.smwcentral.net/?a=details&amp;id=31454&amp;p=section" TargetMode="External"/><Relationship Id="rId3740" Type="http://schemas.openxmlformats.org/officeDocument/2006/relationships/hyperlink" Target="https://dl.smwcentral.net/34256/Super_Mario_Arbitrium_Demo_2.zip" TargetMode="External"/><Relationship Id="rId107" Type="http://schemas.openxmlformats.org/officeDocument/2006/relationships/hyperlink" Target="https://www.smwcentral.net/?a=details&amp;id=10456&amp;p=section" TargetMode="External"/><Relationship Id="rId454" Type="http://schemas.openxmlformats.org/officeDocument/2006/relationships/hyperlink" Target="https://dl.smwcentral.net/32646/Blue%20World.zip" TargetMode="External"/><Relationship Id="rId661" Type="http://schemas.openxmlformats.org/officeDocument/2006/relationships/hyperlink" Target="https://www.smwcentral.net/?a=details&amp;id=33810&amp;p=section" TargetMode="External"/><Relationship Id="rId1291" Type="http://schemas.openxmlformats.org/officeDocument/2006/relationships/hyperlink" Target="https://www.smwcentral.net/?a=details&amp;id=32655&amp;p=section" TargetMode="External"/><Relationship Id="rId2135" Type="http://schemas.openxmlformats.org/officeDocument/2006/relationships/hyperlink" Target="https://www.smwcentral.net/?a=details&amp;id=21139&amp;p=section" TargetMode="External"/><Relationship Id="rId2342" Type="http://schemas.openxmlformats.org/officeDocument/2006/relationships/hyperlink" Target="https://dl.smwcentral.net/34925/MEME1.1.zip" TargetMode="External"/><Relationship Id="rId3600" Type="http://schemas.openxmlformats.org/officeDocument/2006/relationships/hyperlink" Target="https://dl.smwcentral.net/14819/Super%20IsCamden%20World%20v%201.6.zip" TargetMode="External"/><Relationship Id="rId314" Type="http://schemas.openxmlformats.org/officeDocument/2006/relationships/hyperlink" Target="https://dl.smwcentral.net/42255/ASMA2%20Demo.zip" TargetMode="External"/><Relationship Id="rId521" Type="http://schemas.openxmlformats.org/officeDocument/2006/relationships/hyperlink" Target="https://www.smwcentral.net/?a=details&amp;id=35118&amp;p=section" TargetMode="External"/><Relationship Id="rId1151" Type="http://schemas.openxmlformats.org/officeDocument/2006/relationships/hyperlink" Target="https://www.smwcentral.net/?a=details&amp;id=38899&amp;p=section" TargetMode="External"/><Relationship Id="rId2202" Type="http://schemas.openxmlformats.org/officeDocument/2006/relationships/hyperlink" Target="https://dl.smwcentral.net/13292/Marios%20Next%20Adventure%20v.2.0.zip" TargetMode="External"/><Relationship Id="rId5358" Type="http://schemas.openxmlformats.org/officeDocument/2006/relationships/hyperlink" Target="https://dl.smwcentral.net/27024/Waterworld.zip" TargetMode="External"/><Relationship Id="rId1011" Type="http://schemas.openxmlformats.org/officeDocument/2006/relationships/hyperlink" Target="https://www.smwcentral.net/?a=details&amp;id=31571&amp;p=section" TargetMode="External"/><Relationship Id="rId1968" Type="http://schemas.openxmlformats.org/officeDocument/2006/relationships/hyperlink" Target="https://dl.smwcentral.net/28229/Mario%20in%20Mushroom%20Rix%20Land%203.zip" TargetMode="External"/><Relationship Id="rId4167" Type="http://schemas.openxmlformats.org/officeDocument/2006/relationships/hyperlink" Target="https://www.smwcentral.net/?a=details&amp;id=6467&amp;p=section" TargetMode="External"/><Relationship Id="rId4374" Type="http://schemas.openxmlformats.org/officeDocument/2006/relationships/hyperlink" Target="https://dl.smwcentral.net/40217/SuperNinjiLandReawakened%20V1.1.zip" TargetMode="External"/><Relationship Id="rId4581" Type="http://schemas.openxmlformats.org/officeDocument/2006/relationships/hyperlink" Target="https://www.smwcentral.net/?a=details&amp;id=10009&amp;p=section" TargetMode="External"/><Relationship Id="rId5218" Type="http://schemas.openxmlformats.org/officeDocument/2006/relationships/hyperlink" Target="https://dl.smwcentral.net/41359/UnchartedWorld.zip" TargetMode="External"/><Relationship Id="rId5425" Type="http://schemas.openxmlformats.org/officeDocument/2006/relationships/hyperlink" Target="https://www.smwcentral.net/?a=details&amp;id=22346&amp;p=section" TargetMode="External"/><Relationship Id="rId3183" Type="http://schemas.openxmlformats.org/officeDocument/2006/relationships/hyperlink" Target="https://www.smwcentral.net/?a=details&amp;id=34912&amp;p=section" TargetMode="External"/><Relationship Id="rId3390" Type="http://schemas.openxmlformats.org/officeDocument/2006/relationships/hyperlink" Target="https://dl.smwcentral.net/28464/Studies_of_a_broken_engine.zip" TargetMode="External"/><Relationship Id="rId4027" Type="http://schemas.openxmlformats.org/officeDocument/2006/relationships/hyperlink" Target="https://www.smwcentral.net/?a=details&amp;id=5237&amp;p=section" TargetMode="External"/><Relationship Id="rId4234" Type="http://schemas.openxmlformats.org/officeDocument/2006/relationships/hyperlink" Target="https://dl.smwcentral.net/9847/WintersDelight.zip" TargetMode="External"/><Relationship Id="rId4441" Type="http://schemas.openxmlformats.org/officeDocument/2006/relationships/hyperlink" Target="https://www.smwcentral.net/?a=details&amp;id=31608&amp;p=section" TargetMode="External"/><Relationship Id="rId1828" Type="http://schemas.openxmlformats.org/officeDocument/2006/relationships/hyperlink" Target="https://dl.smwcentral.net/26519/Mahogen.zip" TargetMode="External"/><Relationship Id="rId3043" Type="http://schemas.openxmlformats.org/officeDocument/2006/relationships/hyperlink" Target="https://www.smwcentral.net/?a=details&amp;id=38971&amp;p=section" TargetMode="External"/><Relationship Id="rId3250" Type="http://schemas.openxmlformats.org/officeDocument/2006/relationships/hyperlink" Target="https://dl.smwcentral.net/32487/SMW%20with%20Levels%20from%20NSMB.zip" TargetMode="External"/><Relationship Id="rId171" Type="http://schemas.openxmlformats.org/officeDocument/2006/relationships/hyperlink" Target="https://www.smwcentral.net/?a=details&amp;id=15923&amp;p=section" TargetMode="External"/><Relationship Id="rId4301" Type="http://schemas.openxmlformats.org/officeDocument/2006/relationships/hyperlink" Target="https://www.smwcentral.net/?a=details&amp;id=9805&amp;p=section" TargetMode="External"/><Relationship Id="rId3110" Type="http://schemas.openxmlformats.org/officeDocument/2006/relationships/hyperlink" Target="https://dl.smwcentral.net/37822/ShellsKitchen_Leos_Journey.zip" TargetMode="External"/><Relationship Id="rId988" Type="http://schemas.openxmlformats.org/officeDocument/2006/relationships/hyperlink" Target="https://dl.smwcentral.net/21512/eroi%20del%20passato.zip" TargetMode="External"/><Relationship Id="rId2669" Type="http://schemas.openxmlformats.org/officeDocument/2006/relationships/hyperlink" Target="https://www.smwcentral.net/?a=details&amp;id=13051&amp;p=section" TargetMode="External"/><Relationship Id="rId2876" Type="http://schemas.openxmlformats.org/officeDocument/2006/relationships/hyperlink" Target="https://dl.smwcentral.net/34164/Quest%20on%20Full%20Moon%20Island%20v1.3%20ita.zip" TargetMode="External"/><Relationship Id="rId3927" Type="http://schemas.openxmlformats.org/officeDocument/2006/relationships/hyperlink" Target="https://www.smwcentral.net/?a=details&amp;id=17584&amp;p=section" TargetMode="External"/><Relationship Id="rId5075" Type="http://schemas.openxmlformats.org/officeDocument/2006/relationships/hyperlink" Target="https://www.smwcentral.net/?a=details&amp;id=40657&amp;p=section" TargetMode="External"/><Relationship Id="rId5282" Type="http://schemas.openxmlformats.org/officeDocument/2006/relationships/hyperlink" Target="https://dl.smwcentral.net/6692/VTv3.1.zip" TargetMode="External"/><Relationship Id="rId848" Type="http://schemas.openxmlformats.org/officeDocument/2006/relationships/hyperlink" Target="https://dl.smwcentral.net/9950/DemonsulsFortressDemo2W.zip" TargetMode="External"/><Relationship Id="rId1478" Type="http://schemas.openxmlformats.org/officeDocument/2006/relationships/hyperlink" Target="https://dl.smwcentral.net/14495/JUMP%20ver1.04.zip" TargetMode="External"/><Relationship Id="rId1685" Type="http://schemas.openxmlformats.org/officeDocument/2006/relationships/hyperlink" Target="https://www.smwcentral.net/?a=details&amp;id=6828&amp;p=section" TargetMode="External"/><Relationship Id="rId1892" Type="http://schemas.openxmlformats.org/officeDocument/2006/relationships/hyperlink" Target="https://dl.smwcentral.net/9851/Mario%20and%20The%20Mushroom%20of%20Power.zip" TargetMode="External"/><Relationship Id="rId2529" Type="http://schemas.openxmlformats.org/officeDocument/2006/relationships/hyperlink" Target="https://www.smwcentral.net/?a=details&amp;id=5473&amp;p=section" TargetMode="External"/><Relationship Id="rId2736" Type="http://schemas.openxmlformats.org/officeDocument/2006/relationships/hyperlink" Target="https://dl.smwcentral.net/9961/PADILR.zip" TargetMode="External"/><Relationship Id="rId4091" Type="http://schemas.openxmlformats.org/officeDocument/2006/relationships/hyperlink" Target="https://www.smwcentral.net/?a=details&amp;id=40597&amp;p=section" TargetMode="External"/><Relationship Id="rId5142" Type="http://schemas.openxmlformats.org/officeDocument/2006/relationships/hyperlink" Target="https://dl.smwcentral.net/18665/TMW.zip" TargetMode="External"/><Relationship Id="rId708" Type="http://schemas.openxmlformats.org/officeDocument/2006/relationships/hyperlink" Target="https://dl.smwcentral.net/17620/Claustrophobia%201.2.1.zip" TargetMode="External"/><Relationship Id="rId915" Type="http://schemas.openxmlformats.org/officeDocument/2006/relationships/hyperlink" Target="https://www.smwcentral.net/?a=details&amp;id=28857&amp;p=section" TargetMode="External"/><Relationship Id="rId1338" Type="http://schemas.openxmlformats.org/officeDocument/2006/relationships/hyperlink" Target="https://dl.smwcentral.net/9965/H%26SB-SCORPION%27sRavage%20FULL.zip" TargetMode="External"/><Relationship Id="rId1545" Type="http://schemas.openxmlformats.org/officeDocument/2006/relationships/hyperlink" Target="https://www.smwcentral.net/?a=details&amp;id=33210&amp;p=section" TargetMode="External"/><Relationship Id="rId2943" Type="http://schemas.openxmlformats.org/officeDocument/2006/relationships/hyperlink" Target="https://www.smwcentral.net/?a=details&amp;id=4964&amp;p=section" TargetMode="External"/><Relationship Id="rId5002" Type="http://schemas.openxmlformats.org/officeDocument/2006/relationships/hyperlink" Target="https://dl.smwcentral.net/31894/The_Sweet_Sweet_Love_Forever.zip" TargetMode="External"/><Relationship Id="rId1405" Type="http://schemas.openxmlformats.org/officeDocument/2006/relationships/hyperlink" Target="https://www.smwcentral.net/?a=details&amp;id=6302&amp;p=section" TargetMode="External"/><Relationship Id="rId1752" Type="http://schemas.openxmlformats.org/officeDocument/2006/relationships/hyperlink" Target="https://dl.smwcentral.net/31167/HappyHillside.zip" TargetMode="External"/><Relationship Id="rId2803" Type="http://schemas.openxmlformats.org/officeDocument/2006/relationships/hyperlink" Target="https://www.smwcentral.net/?a=details&amp;id=5131&amp;p=section" TargetMode="External"/><Relationship Id="rId44" Type="http://schemas.openxmlformats.org/officeDocument/2006/relationships/hyperlink" Target="https://dl.smwcentral.net/20319/2019%20Blind%20Kaizo%20Relay%20Level%20Collaboration.zip" TargetMode="External"/><Relationship Id="rId1612" Type="http://schemas.openxmlformats.org/officeDocument/2006/relationships/hyperlink" Target="https://dl.smwcentral.net/15195/Korosu%20Mario%20World%201.4.zip" TargetMode="External"/><Relationship Id="rId4768" Type="http://schemas.openxmlformats.org/officeDocument/2006/relationships/hyperlink" Target="https://dl.smwcentral.net/31168/TEQOBirdoThePinkDinosaurDarkBehaviours%201.1.zip" TargetMode="External"/><Relationship Id="rId4975" Type="http://schemas.openxmlformats.org/officeDocument/2006/relationships/hyperlink" Target="https://www.smwcentral.net/?a=details&amp;id=9543&amp;p=section" TargetMode="External"/><Relationship Id="rId498" Type="http://schemas.openxmlformats.org/officeDocument/2006/relationships/hyperlink" Target="https://dl.smwcentral.net/5582/Bowser%20Stadium%20Gamma.zip" TargetMode="External"/><Relationship Id="rId2179" Type="http://schemas.openxmlformats.org/officeDocument/2006/relationships/hyperlink" Target="https://www.smwcentral.net/?a=details&amp;id=4982&amp;p=section" TargetMode="External"/><Relationship Id="rId3577" Type="http://schemas.openxmlformats.org/officeDocument/2006/relationships/hyperlink" Target="https://www.smwcentral.net/?a=details&amp;id=19280&amp;p=section" TargetMode="External"/><Relationship Id="rId3784" Type="http://schemas.openxmlformats.org/officeDocument/2006/relationships/hyperlink" Target="https://dl.smwcentral.net/10047/smb4.zip.zip" TargetMode="External"/><Relationship Id="rId3991" Type="http://schemas.openxmlformats.org/officeDocument/2006/relationships/hyperlink" Target="https://www.smwcentral.net/?a=details&amp;id=42676&amp;p=section" TargetMode="External"/><Relationship Id="rId4628" Type="http://schemas.openxmlformats.org/officeDocument/2006/relationships/hyperlink" Target="https://dl.smwcentral.net/28222/TakeshiYumpingSimulator.zip" TargetMode="External"/><Relationship Id="rId4835" Type="http://schemas.openxmlformats.org/officeDocument/2006/relationships/hyperlink" Target="https://www.smwcentral.net/?a=details&amp;id=5082&amp;p=section" TargetMode="External"/><Relationship Id="rId2386" Type="http://schemas.openxmlformats.org/officeDocument/2006/relationships/hyperlink" Target="https://dl.smwcentral.net/22491/Momoku%20Mario%20World.zip" TargetMode="External"/><Relationship Id="rId2593" Type="http://schemas.openxmlformats.org/officeDocument/2006/relationships/hyperlink" Target="https://www.smwcentral.net/?a=details&amp;id=32178&amp;p=section" TargetMode="External"/><Relationship Id="rId3437" Type="http://schemas.openxmlformats.org/officeDocument/2006/relationships/hyperlink" Target="https://www.smwcentral.net/?a=details&amp;id=31821&amp;p=section" TargetMode="External"/><Relationship Id="rId3644" Type="http://schemas.openxmlformats.org/officeDocument/2006/relationships/hyperlink" Target="https://dl.smwcentral.net/12923/Super%20Linkdead%20World.zip" TargetMode="External"/><Relationship Id="rId3851" Type="http://schemas.openxmlformats.org/officeDocument/2006/relationships/hyperlink" Target="https://www.smwcentral.net/?a=details&amp;id=10184&amp;p=section" TargetMode="External"/><Relationship Id="rId4902" Type="http://schemas.openxmlformats.org/officeDocument/2006/relationships/hyperlink" Target="https://dl.smwcentral.net/10261/megayoshi%20patch.zip" TargetMode="External"/><Relationship Id="rId358" Type="http://schemas.openxmlformats.org/officeDocument/2006/relationships/hyperlink" Target="https://dl.smwcentral.net/38239/awfulmarioworld.zip" TargetMode="External"/><Relationship Id="rId565" Type="http://schemas.openxmlformats.org/officeDocument/2006/relationships/hyperlink" Target="https://www.smwcentral.net/?a=details&amp;id=34494&amp;p=section" TargetMode="External"/><Relationship Id="rId772" Type="http://schemas.openxmlformats.org/officeDocument/2006/relationships/hyperlink" Target="https://dl.smwcentral.net/26998/Cubes%20Kaizo%20World1.1.zip" TargetMode="External"/><Relationship Id="rId1195" Type="http://schemas.openxmlformats.org/officeDocument/2006/relationships/hyperlink" Target="https://www.smwcentral.net/?a=details&amp;id=39587&amp;p=section" TargetMode="External"/><Relationship Id="rId2039" Type="http://schemas.openxmlformats.org/officeDocument/2006/relationships/hyperlink" Target="https://www.smwcentral.net/?a=details&amp;id=41121&amp;p=section" TargetMode="External"/><Relationship Id="rId2246" Type="http://schemas.openxmlformats.org/officeDocument/2006/relationships/hyperlink" Target="https://dl.smwcentral.net/12884/Marios%20Sweet%20Adventure%202%20Demo%201.zip" TargetMode="External"/><Relationship Id="rId2453" Type="http://schemas.openxmlformats.org/officeDocument/2006/relationships/hyperlink" Target="https://www.smwcentral.net/?a=details&amp;id=38186&amp;p=section" TargetMode="External"/><Relationship Id="rId2660" Type="http://schemas.openxmlformats.org/officeDocument/2006/relationships/hyperlink" Target="https://dl.smwcentral.net/39110/sadness.zip" TargetMode="External"/><Relationship Id="rId3504" Type="http://schemas.openxmlformats.org/officeDocument/2006/relationships/hyperlink" Target="https://dl.smwcentral.net/40663/Super%20Dram%20World%20v1.3.zip" TargetMode="External"/><Relationship Id="rId3711" Type="http://schemas.openxmlformats.org/officeDocument/2006/relationships/hyperlink" Target="https://www.smwcentral.net/?a=details&amp;id=23339&amp;p=section" TargetMode="External"/><Relationship Id="rId218" Type="http://schemas.openxmlformats.org/officeDocument/2006/relationships/hyperlink" Target="https://dl.smwcentral.net/41504/AcidTapesVol2%201.1.zip" TargetMode="External"/><Relationship Id="rId425" Type="http://schemas.openxmlformats.org/officeDocument/2006/relationships/hyperlink" Target="https://www.smwcentral.net/?a=details&amp;id=5055&amp;p=section" TargetMode="External"/><Relationship Id="rId632" Type="http://schemas.openxmlformats.org/officeDocument/2006/relationships/hyperlink" Target="https://dl.smwcentral.net/21933/CATACLYSM%20v1.2.zip" TargetMode="External"/><Relationship Id="rId1055" Type="http://schemas.openxmlformats.org/officeDocument/2006/relationships/hyperlink" Target="https://www.smwcentral.net/?a=details&amp;id=26571&amp;p=section" TargetMode="External"/><Relationship Id="rId1262" Type="http://schemas.openxmlformats.org/officeDocument/2006/relationships/hyperlink" Target="https://dl.smwcentral.net/17741/Hackers%20Dreams%20Pipe%20Dream.zip" TargetMode="External"/><Relationship Id="rId2106" Type="http://schemas.openxmlformats.org/officeDocument/2006/relationships/hyperlink" Target="https://dl.smwcentral.net/9897/mario%21%20nera.zip" TargetMode="External"/><Relationship Id="rId2313" Type="http://schemas.openxmlformats.org/officeDocument/2006/relationships/hyperlink" Target="https://www.smwcentral.net/?a=details&amp;id=39059&amp;p=section" TargetMode="External"/><Relationship Id="rId2520" Type="http://schemas.openxmlformats.org/officeDocument/2006/relationships/hyperlink" Target="https://dl.smwcentral.net/14059/New%20Super%20Mario%20World%201%20The%2012%20Magic%20Orbs%201.4.zip" TargetMode="External"/><Relationship Id="rId5469" Type="http://schemas.openxmlformats.org/officeDocument/2006/relationships/hyperlink" Target="https://www.smwcentral.net/?a=details&amp;id=39741&amp;p=section" TargetMode="External"/><Relationship Id="rId1122" Type="http://schemas.openxmlformats.org/officeDocument/2006/relationships/hyperlink" Target="https://dl.smwcentral.net/38371/FEW%20090124.zip" TargetMode="External"/><Relationship Id="rId4278" Type="http://schemas.openxmlformats.org/officeDocument/2006/relationships/hyperlink" Target="https://dl.smwcentral.net/14920/Super%20Mario%20-%20Grand%20Journey%20C3.zip" TargetMode="External"/><Relationship Id="rId4485" Type="http://schemas.openxmlformats.org/officeDocument/2006/relationships/hyperlink" Target="https://www.smwcentral.net/?a=details&amp;id=38184&amp;p=section" TargetMode="External"/><Relationship Id="rId5329" Type="http://schemas.openxmlformats.org/officeDocument/2006/relationships/hyperlink" Target="https://www.smwcentral.net/?a=details&amp;id=41906&amp;p=section" TargetMode="External"/><Relationship Id="rId3087" Type="http://schemas.openxmlformats.org/officeDocument/2006/relationships/hyperlink" Target="https://www.smwcentral.net/?a=details&amp;id=41448&amp;p=section" TargetMode="External"/><Relationship Id="rId3294" Type="http://schemas.openxmlformats.org/officeDocument/2006/relationships/hyperlink" Target="https://dl.smwcentral.net/42582/Sonic%20Kaizo%20World.zip" TargetMode="External"/><Relationship Id="rId4138" Type="http://schemas.openxmlformats.org/officeDocument/2006/relationships/hyperlink" Target="https://dl.smwcentral.net/6437/BF.zip" TargetMode="External"/><Relationship Id="rId4345" Type="http://schemas.openxmlformats.org/officeDocument/2006/relationships/hyperlink" Target="https://www.smwcentral.net/?a=details&amp;id=40837&amp;p=section" TargetMode="External"/><Relationship Id="rId4692" Type="http://schemas.openxmlformats.org/officeDocument/2006/relationships/hyperlink" Target="https://dl.smwcentral.net/32409/OLDC2_1.02.zip" TargetMode="External"/><Relationship Id="rId1939" Type="http://schemas.openxmlformats.org/officeDocument/2006/relationships/hyperlink" Target="https://www.smwcentral.net/?a=details&amp;id=32554&amp;p=section" TargetMode="External"/><Relationship Id="rId4552" Type="http://schemas.openxmlformats.org/officeDocument/2006/relationships/hyperlink" Target="https://dl.smwcentral.net/18297/Super%20Wahnthac%20World%202%20Demo.zip" TargetMode="External"/><Relationship Id="rId3154" Type="http://schemas.openxmlformats.org/officeDocument/2006/relationships/hyperlink" Target="https://dl.smwcentral.net/30144/Sif%20World.zip" TargetMode="External"/><Relationship Id="rId3361" Type="http://schemas.openxmlformats.org/officeDocument/2006/relationships/hyperlink" Target="https://www.smwcentral.net/?a=details&amp;id=41376&amp;p=section" TargetMode="External"/><Relationship Id="rId4205" Type="http://schemas.openxmlformats.org/officeDocument/2006/relationships/hyperlink" Target="https://www.smwcentral.net/?a=details&amp;id=6410&amp;p=section" TargetMode="External"/><Relationship Id="rId4412" Type="http://schemas.openxmlformats.org/officeDocument/2006/relationships/hyperlink" Target="https://dl.smwcentral.net/19565/SuperPeggyWorld1.4.zip" TargetMode="External"/><Relationship Id="rId282" Type="http://schemas.openxmlformats.org/officeDocument/2006/relationships/hyperlink" Target="https://dl.smwcentral.net/5420/SMWCP.zip" TargetMode="External"/><Relationship Id="rId2170" Type="http://schemas.openxmlformats.org/officeDocument/2006/relationships/hyperlink" Target="https://dl.smwcentral.net/6505/MJTTAS%20Final.zip" TargetMode="External"/><Relationship Id="rId3014" Type="http://schemas.openxmlformats.org/officeDocument/2006/relationships/hyperlink" Target="https://dl.smwcentral.net/37596/SA-1%EF%BC%9A%20Special%20Adventure%20-%201.zip" TargetMode="External"/><Relationship Id="rId3221" Type="http://schemas.openxmlformats.org/officeDocument/2006/relationships/hyperlink" Target="https://www.smwcentral.net/?a=details&amp;id=9686&amp;p=section" TargetMode="External"/><Relationship Id="rId8" Type="http://schemas.openxmlformats.org/officeDocument/2006/relationships/hyperlink" Target="https://dl.smwcentral.net/41112/%27the.zip" TargetMode="External"/><Relationship Id="rId142" Type="http://schemas.openxmlformats.org/officeDocument/2006/relationships/hyperlink" Target="https://dl.smwcentral.net/10051/A%20New%20Journey.zip" TargetMode="External"/><Relationship Id="rId2030" Type="http://schemas.openxmlformats.org/officeDocument/2006/relationships/hyperlink" Target="https://dl.smwcentral.net/39350/Kumorizora.zip" TargetMode="External"/><Relationship Id="rId2987" Type="http://schemas.openxmlformats.org/officeDocument/2006/relationships/hyperlink" Target="https://www.smwcentral.net/?a=details&amp;id=35290&amp;p=section" TargetMode="External"/><Relationship Id="rId5186" Type="http://schemas.openxmlformats.org/officeDocument/2006/relationships/hyperlink" Target="https://dl.smwcentral.net/14167/SMW%20-%20Trouble%20in%20Truffle%20Islands.zip" TargetMode="External"/><Relationship Id="rId5393" Type="http://schemas.openxmlformats.org/officeDocument/2006/relationships/hyperlink" Target="https://www.smwcentral.net/?a=details&amp;id=10412&amp;p=section" TargetMode="External"/><Relationship Id="rId959" Type="http://schemas.openxmlformats.org/officeDocument/2006/relationships/hyperlink" Target="https://www.smwcentral.net/?a=details&amp;id=35343&amp;p=section" TargetMode="External"/><Relationship Id="rId1589" Type="http://schemas.openxmlformats.org/officeDocument/2006/relationships/hyperlink" Target="https://www.smwcentral.net/?a=details&amp;id=9862&amp;p=section" TargetMode="External"/><Relationship Id="rId5046" Type="http://schemas.openxmlformats.org/officeDocument/2006/relationships/hyperlink" Target="https://dl.smwcentral.net/5344/The%20Yoshi%20Egg.zip" TargetMode="External"/><Relationship Id="rId5253" Type="http://schemas.openxmlformats.org/officeDocument/2006/relationships/hyperlink" Target="https://www.smwcentral.net/?a=details&amp;id=32577&amp;p=section" TargetMode="External"/><Relationship Id="rId5460" Type="http://schemas.openxmlformats.org/officeDocument/2006/relationships/hyperlink" Target="https://dl.smwcentral.net/42385/Yoshi%27s%20Revenge%201.1.1.zip" TargetMode="External"/><Relationship Id="rId1449" Type="http://schemas.openxmlformats.org/officeDocument/2006/relationships/hyperlink" Target="https://www.smwcentral.net/?a=details&amp;id=24222&amp;p=section" TargetMode="External"/><Relationship Id="rId1796" Type="http://schemas.openxmlformats.org/officeDocument/2006/relationships/hyperlink" Target="https://dl.smwcentral.net/39177/Luigimiss6-F04a.zip" TargetMode="External"/><Relationship Id="rId2847" Type="http://schemas.openxmlformats.org/officeDocument/2006/relationships/hyperlink" Target="https://www.smwcentral.net/?a=details&amp;id=17956&amp;p=section" TargetMode="External"/><Relationship Id="rId4062" Type="http://schemas.openxmlformats.org/officeDocument/2006/relationships/hyperlink" Target="https://dl.smwcentral.net/30718/SMWCP2.zip" TargetMode="External"/><Relationship Id="rId5113" Type="http://schemas.openxmlformats.org/officeDocument/2006/relationships/hyperlink" Target="https://www.smwcentral.net/?a=details&amp;id=42620&amp;p=section" TargetMode="External"/><Relationship Id="rId88" Type="http://schemas.openxmlformats.org/officeDocument/2006/relationships/hyperlink" Target="https://dl.smwcentral.net/23415/A%20BABY%20YOSHI%20QUEST%201.5%20%28DEMO%29.zip" TargetMode="External"/><Relationship Id="rId819" Type="http://schemas.openxmlformats.org/officeDocument/2006/relationships/hyperlink" Target="https://www.smwcentral.net/?a=details&amp;id=38884&amp;p=section" TargetMode="External"/><Relationship Id="rId1656" Type="http://schemas.openxmlformats.org/officeDocument/2006/relationships/hyperlink" Target="https://dl.smwcentral.net/37629/LackOfControl.zip" TargetMode="External"/><Relationship Id="rId1863" Type="http://schemas.openxmlformats.org/officeDocument/2006/relationships/hyperlink" Target="https://www.smwcentral.net/?a=details&amp;id=28604&amp;p=section" TargetMode="External"/><Relationship Id="rId2707" Type="http://schemas.openxmlformats.org/officeDocument/2006/relationships/hyperlink" Target="https://www.smwcentral.net/?a=details&amp;id=39148&amp;p=section" TargetMode="External"/><Relationship Id="rId2914" Type="http://schemas.openxmlformats.org/officeDocument/2006/relationships/hyperlink" Target="https://dl.smwcentral.net/12691/rwario.zip" TargetMode="External"/><Relationship Id="rId5320" Type="http://schemas.openxmlformats.org/officeDocument/2006/relationships/hyperlink" Target="https://dl.smwcentral.net/28513/Voyager%20v1.27.zip" TargetMode="External"/><Relationship Id="rId1309" Type="http://schemas.openxmlformats.org/officeDocument/2006/relationships/hyperlink" Target="https://www.smwcentral.net/?a=details&amp;id=6069&amp;p=section" TargetMode="External"/><Relationship Id="rId1516" Type="http://schemas.openxmlformats.org/officeDocument/2006/relationships/hyperlink" Target="https://dl.smwcentral.net/6283/kaiketsoy.zip" TargetMode="External"/><Relationship Id="rId1723" Type="http://schemas.openxmlformats.org/officeDocument/2006/relationships/hyperlink" Target="https://www.smwcentral.net/?a=details&amp;id=9916&amp;p=section" TargetMode="External"/><Relationship Id="rId1930" Type="http://schemas.openxmlformats.org/officeDocument/2006/relationships/hyperlink" Target="https://dl.smwcentral.net/25573/Mario%20Gives%20Up.zip" TargetMode="External"/><Relationship Id="rId4879" Type="http://schemas.openxmlformats.org/officeDocument/2006/relationships/hyperlink" Target="https://www.smwcentral.net/?a=details&amp;id=10244&amp;p=section" TargetMode="External"/><Relationship Id="rId15" Type="http://schemas.openxmlformats.org/officeDocument/2006/relationships/hyperlink" Target="https://www.smwcentral.net/?a=details&amp;id=38104&amp;p=section" TargetMode="External"/><Relationship Id="rId3688" Type="http://schemas.openxmlformats.org/officeDocument/2006/relationships/hyperlink" Target="https://dl.smwcentral.net/40742/Super%20Macron%20World%20Ultra%20Lite.zip" TargetMode="External"/><Relationship Id="rId3895" Type="http://schemas.openxmlformats.org/officeDocument/2006/relationships/hyperlink" Target="https://www.smwcentral.net/?a=details&amp;id=14243&amp;p=section" TargetMode="External"/><Relationship Id="rId4739" Type="http://schemas.openxmlformats.org/officeDocument/2006/relationships/hyperlink" Target="https://www.smwcentral.net/?a=details&amp;id=20855&amp;p=section" TargetMode="External"/><Relationship Id="rId4946" Type="http://schemas.openxmlformats.org/officeDocument/2006/relationships/hyperlink" Target="https://dl.smwcentral.net/10093/Quiet%20Island%20%28Final%29.zip" TargetMode="External"/><Relationship Id="rId2497" Type="http://schemas.openxmlformats.org/officeDocument/2006/relationships/hyperlink" Target="https://www.smwcentral.net/?a=details&amp;id=35173&amp;p=section" TargetMode="External"/><Relationship Id="rId3548" Type="http://schemas.openxmlformats.org/officeDocument/2006/relationships/hyperlink" Target="https://dl.smwcentral.net/38458/Super%20Foo%20World%203%20v1.1.zip" TargetMode="External"/><Relationship Id="rId3755" Type="http://schemas.openxmlformats.org/officeDocument/2006/relationships/hyperlink" Target="https://www.smwcentral.net/?a=details&amp;id=35786&amp;p=section" TargetMode="External"/><Relationship Id="rId4806" Type="http://schemas.openxmlformats.org/officeDocument/2006/relationships/hyperlink" Target="https://dl.smwcentral.net/39021/Gatekeeper.zip" TargetMode="External"/><Relationship Id="rId469" Type="http://schemas.openxmlformats.org/officeDocument/2006/relationships/hyperlink" Target="https://www.smwcentral.net/?a=details&amp;id=5346&amp;p=section" TargetMode="External"/><Relationship Id="rId676" Type="http://schemas.openxmlformats.org/officeDocument/2006/relationships/hyperlink" Target="https://dl.smwcentral.net/27385/Chomp%27s%20Coin%20Hunt.zip" TargetMode="External"/><Relationship Id="rId883" Type="http://schemas.openxmlformats.org/officeDocument/2006/relationships/hyperlink" Target="https://www.smwcentral.net/?a=details&amp;id=27833&amp;p=section" TargetMode="External"/><Relationship Id="rId1099" Type="http://schemas.openxmlformats.org/officeDocument/2006/relationships/hyperlink" Target="https://www.smwcentral.net/?a=details&amp;id=39759&amp;p=section" TargetMode="External"/><Relationship Id="rId2357" Type="http://schemas.openxmlformats.org/officeDocument/2006/relationships/hyperlink" Target="https://www.smwcentral.net/?a=details&amp;id=27345&amp;p=section" TargetMode="External"/><Relationship Id="rId2564" Type="http://schemas.openxmlformats.org/officeDocument/2006/relationships/hyperlink" Target="https://dl.smwcentral.net/27732/Nightmare%20cafe%20V%20v1.3.zip" TargetMode="External"/><Relationship Id="rId3408" Type="http://schemas.openxmlformats.org/officeDocument/2006/relationships/hyperlink" Target="https://dl.smwcentral.net/37478/Super%20Alabama%20Beach%20Mouse.zip" TargetMode="External"/><Relationship Id="rId3615" Type="http://schemas.openxmlformats.org/officeDocument/2006/relationships/hyperlink" Target="https://www.smwcentral.net/?a=details&amp;id=35498&amp;p=section" TargetMode="External"/><Relationship Id="rId3962" Type="http://schemas.openxmlformats.org/officeDocument/2006/relationships/hyperlink" Target="https://dl.smwcentral.net/30265/Super%20Mario%20The%20Trip.zip" TargetMode="External"/><Relationship Id="rId329" Type="http://schemas.openxmlformats.org/officeDocument/2006/relationships/hyperlink" Target="https://www.smwcentral.net/?a=details&amp;id=27227&amp;p=section" TargetMode="External"/><Relationship Id="rId536" Type="http://schemas.openxmlformats.org/officeDocument/2006/relationships/hyperlink" Target="https://dl.smwcentral.net/35504/BraveNewWorld2.zip" TargetMode="External"/><Relationship Id="rId1166" Type="http://schemas.openxmlformats.org/officeDocument/2006/relationships/hyperlink" Target="https://dl.smwcentral.net/26791/Goku86.zip" TargetMode="External"/><Relationship Id="rId1373" Type="http://schemas.openxmlformats.org/officeDocument/2006/relationships/hyperlink" Target="https://www.smwcentral.net/?a=details&amp;id=39650&amp;p=section" TargetMode="External"/><Relationship Id="rId2217" Type="http://schemas.openxmlformats.org/officeDocument/2006/relationships/hyperlink" Target="https://www.smwcentral.net/?a=details&amp;id=25924&amp;p=section" TargetMode="External"/><Relationship Id="rId2771" Type="http://schemas.openxmlformats.org/officeDocument/2006/relationships/hyperlink" Target="https://www.smwcentral.net/?a=details&amp;id=18608&amp;p=section" TargetMode="External"/><Relationship Id="rId3822" Type="http://schemas.openxmlformats.org/officeDocument/2006/relationships/hyperlink" Target="https://dl.smwcentral.net/15943/SMBTEY%20Fixed%20Forever.zip" TargetMode="External"/><Relationship Id="rId743" Type="http://schemas.openxmlformats.org/officeDocument/2006/relationships/hyperlink" Target="https://www.smwcentral.net/?a=details&amp;id=18476&amp;p=section" TargetMode="External"/><Relationship Id="rId950" Type="http://schemas.openxmlformats.org/officeDocument/2006/relationships/hyperlink" Target="https://dl.smwcentral.net/37611/EclecticShellv2.zip" TargetMode="External"/><Relationship Id="rId1026" Type="http://schemas.openxmlformats.org/officeDocument/2006/relationships/hyperlink" Target="https://dl.smwcentral.net/41309/Exshellsior.zip" TargetMode="External"/><Relationship Id="rId1580" Type="http://schemas.openxmlformats.org/officeDocument/2006/relationships/hyperlink" Target="https://dl.smwcentral.net/38338/Keratin%20Valley%201.3.zip" TargetMode="External"/><Relationship Id="rId2424" Type="http://schemas.openxmlformats.org/officeDocument/2006/relationships/hyperlink" Target="https://dl.smwcentral.net/25204/MushroomOnionPizzaV1.2.zip" TargetMode="External"/><Relationship Id="rId2631" Type="http://schemas.openxmlformats.org/officeDocument/2006/relationships/hyperlink" Target="https://www.smwcentral.net/?a=details&amp;id=41331&amp;p=section" TargetMode="External"/><Relationship Id="rId4389" Type="http://schemas.openxmlformats.org/officeDocument/2006/relationships/hyperlink" Target="https://www.smwcentral.net/?a=details&amp;id=9879&amp;p=section" TargetMode="External"/><Relationship Id="rId603" Type="http://schemas.openxmlformats.org/officeDocument/2006/relationships/hyperlink" Target="https://www.smwcentral.net/?a=details&amp;id=21010&amp;p=section" TargetMode="External"/><Relationship Id="rId810" Type="http://schemas.openxmlformats.org/officeDocument/2006/relationships/hyperlink" Target="https://dl.smwcentral.net/21730/DarkstarV1.11.zip" TargetMode="External"/><Relationship Id="rId1233" Type="http://schemas.openxmlformats.org/officeDocument/2006/relationships/hyperlink" Target="https://www.smwcentral.net/?a=details&amp;id=25269&amp;p=section" TargetMode="External"/><Relationship Id="rId1440" Type="http://schemas.openxmlformats.org/officeDocument/2006/relationships/hyperlink" Target="https://dl.smwcentral.net/42402/JamV120.zip" TargetMode="External"/><Relationship Id="rId4596" Type="http://schemas.openxmlformats.org/officeDocument/2006/relationships/hyperlink" Target="https://dl.smwcentral.net/19369/Superstar%20Mario%20World%201.5.zip" TargetMode="External"/><Relationship Id="rId1300" Type="http://schemas.openxmlformats.org/officeDocument/2006/relationships/hyperlink" Target="https://dl.smwcentral.net/27872/Heavenly_Host_V1.1.zip" TargetMode="External"/><Relationship Id="rId3198" Type="http://schemas.openxmlformats.org/officeDocument/2006/relationships/hyperlink" Target="https://dl.smwcentral.net/10257/2012%20Final%202.0.zip" TargetMode="External"/><Relationship Id="rId4249" Type="http://schemas.openxmlformats.org/officeDocument/2006/relationships/hyperlink" Target="https://www.smwcentral.net/?a=details&amp;id=6094&amp;p=section" TargetMode="External"/><Relationship Id="rId4456" Type="http://schemas.openxmlformats.org/officeDocument/2006/relationships/hyperlink" Target="https://dl.smwcentral.net/18268/Super%20Ryu%20World%201.zip" TargetMode="External"/><Relationship Id="rId4663" Type="http://schemas.openxmlformats.org/officeDocument/2006/relationships/hyperlink" Target="https://www.smwcentral.net/?a=details&amp;id=32788&amp;p=section" TargetMode="External"/><Relationship Id="rId4870" Type="http://schemas.openxmlformats.org/officeDocument/2006/relationships/hyperlink" Target="https://dl.smwcentral.net/14419/The%20Legendary%20Bros.%20Demo%202.zip" TargetMode="External"/><Relationship Id="rId3058" Type="http://schemas.openxmlformats.org/officeDocument/2006/relationships/hyperlink" Target="https://dl.smwcentral.net/38878/Separate%20Ways%20Remastered.zip" TargetMode="External"/><Relationship Id="rId3265" Type="http://schemas.openxmlformats.org/officeDocument/2006/relationships/hyperlink" Target="https://www.smwcentral.net/?a=details&amp;id=10118&amp;p=section" TargetMode="External"/><Relationship Id="rId3472" Type="http://schemas.openxmlformats.org/officeDocument/2006/relationships/hyperlink" Target="https://dl.smwcentral.net/39936/scw3.zip" TargetMode="External"/><Relationship Id="rId4109" Type="http://schemas.openxmlformats.org/officeDocument/2006/relationships/hyperlink" Target="https://www.smwcentral.net/?a=details&amp;id=9777&amp;p=section" TargetMode="External"/><Relationship Id="rId4316" Type="http://schemas.openxmlformats.org/officeDocument/2006/relationships/hyperlink" Target="https://dl.smwcentral.net/9756/SMUPDemo.zip" TargetMode="External"/><Relationship Id="rId4523" Type="http://schemas.openxmlformats.org/officeDocument/2006/relationships/hyperlink" Target="https://www.smwcentral.net/?a=details&amp;id=39927&amp;p=section" TargetMode="External"/><Relationship Id="rId4730" Type="http://schemas.openxmlformats.org/officeDocument/2006/relationships/hyperlink" Target="https://dl.smwcentral.net/18962/The%20Big%20Five.zip" TargetMode="External"/><Relationship Id="rId186" Type="http://schemas.openxmlformats.org/officeDocument/2006/relationships/hyperlink" Target="https://dl.smwcentral.net/41554/ASMA%20NewIntro.zip" TargetMode="External"/><Relationship Id="rId393" Type="http://schemas.openxmlformats.org/officeDocument/2006/relationships/hyperlink" Target="https://www.smwcentral.net/?a=details&amp;id=22210&amp;p=section" TargetMode="External"/><Relationship Id="rId2074" Type="http://schemas.openxmlformats.org/officeDocument/2006/relationships/hyperlink" Target="https://dl.smwcentral.net/23422/Mario%20Super%20R%20V1.01.zip" TargetMode="External"/><Relationship Id="rId2281" Type="http://schemas.openxmlformats.org/officeDocument/2006/relationships/hyperlink" Target="https://www.smwcentral.net/?a=details&amp;id=17178&amp;p=section" TargetMode="External"/><Relationship Id="rId3125" Type="http://schemas.openxmlformats.org/officeDocument/2006/relationships/hyperlink" Target="https://www.smwcentral.net/?a=details&amp;id=38084&amp;p=section" TargetMode="External"/><Relationship Id="rId3332" Type="http://schemas.openxmlformats.org/officeDocument/2006/relationships/hyperlink" Target="https://dl.smwcentral.net/14631/Spiral%20Quiral%20Downgrade.zip" TargetMode="External"/><Relationship Id="rId253" Type="http://schemas.openxmlformats.org/officeDocument/2006/relationships/hyperlink" Target="https://www.smwcentral.net/?a=details&amp;id=33026&amp;p=section" TargetMode="External"/><Relationship Id="rId460" Type="http://schemas.openxmlformats.org/officeDocument/2006/relationships/hyperlink" Target="https://dl.smwcentral.net/11347/Bluewater%20Kingdom.zip" TargetMode="External"/><Relationship Id="rId1090" Type="http://schemas.openxmlformats.org/officeDocument/2006/relationships/hyperlink" Target="https://dl.smwcentral.net/22753/ForgottenWorld.zip" TargetMode="External"/><Relationship Id="rId2141" Type="http://schemas.openxmlformats.org/officeDocument/2006/relationships/hyperlink" Target="https://www.smwcentral.net/?a=details&amp;id=10268&amp;p=section" TargetMode="External"/><Relationship Id="rId5297" Type="http://schemas.openxmlformats.org/officeDocument/2006/relationships/hyperlink" Target="https://www.smwcentral.net/?a=details&amp;id=40105&amp;p=section" TargetMode="External"/><Relationship Id="rId113" Type="http://schemas.openxmlformats.org/officeDocument/2006/relationships/hyperlink" Target="https://www.smwcentral.net/?a=details&amp;id=21887&amp;p=section" TargetMode="External"/><Relationship Id="rId320" Type="http://schemas.openxmlformats.org/officeDocument/2006/relationships/hyperlink" Target="https://dl.smwcentral.net/35726/Apple%20Boy%20Hack%202.zip" TargetMode="External"/><Relationship Id="rId2001" Type="http://schemas.openxmlformats.org/officeDocument/2006/relationships/hyperlink" Target="https://www.smwcentral.net/?a=details&amp;id=29650&amp;p=section" TargetMode="External"/><Relationship Id="rId5157" Type="http://schemas.openxmlformats.org/officeDocument/2006/relationships/hyperlink" Target="https://www.smwcentral.net/?a=details&amp;id=38786&amp;p=section" TargetMode="External"/><Relationship Id="rId2958" Type="http://schemas.openxmlformats.org/officeDocument/2006/relationships/hyperlink" Target="https://dl.smwcentral.net/22513/Riversong.zip" TargetMode="External"/><Relationship Id="rId5017" Type="http://schemas.openxmlformats.org/officeDocument/2006/relationships/hyperlink" Target="https://www.smwcentral.net/?a=details&amp;id=10200&amp;p=section" TargetMode="External"/><Relationship Id="rId5364" Type="http://schemas.openxmlformats.org/officeDocument/2006/relationships/hyperlink" Target="https://dl.smwcentral.net/37880/WeLikeItHere1_1.zip" TargetMode="External"/><Relationship Id="rId1767" Type="http://schemas.openxmlformats.org/officeDocument/2006/relationships/hyperlink" Target="https://www.smwcentral.net/?a=details&amp;id=5127&amp;p=section" TargetMode="External"/><Relationship Id="rId1974" Type="http://schemas.openxmlformats.org/officeDocument/2006/relationships/hyperlink" Target="https://dl.smwcentral.net/14422/MNL.zip" TargetMode="External"/><Relationship Id="rId2818" Type="http://schemas.openxmlformats.org/officeDocument/2006/relationships/hyperlink" Target="https://dl.smwcentral.net/38956/SMW%20-%20PTSD%20%281.1%29.zip" TargetMode="External"/><Relationship Id="rId4173" Type="http://schemas.openxmlformats.org/officeDocument/2006/relationships/hyperlink" Target="https://www.smwcentral.net/?a=details&amp;id=5266&amp;p=section" TargetMode="External"/><Relationship Id="rId4380" Type="http://schemas.openxmlformats.org/officeDocument/2006/relationships/hyperlink" Target="https://dl.smwcentral.net/29680/SuperNothingWorld1_2.zip" TargetMode="External"/><Relationship Id="rId5224" Type="http://schemas.openxmlformats.org/officeDocument/2006/relationships/hyperlink" Target="https://dl.smwcentral.net/14932/Underworld.zip" TargetMode="External"/><Relationship Id="rId5431" Type="http://schemas.openxmlformats.org/officeDocument/2006/relationships/hyperlink" Target="https://www.smwcentral.net/?a=details&amp;id=15893&amp;p=section" TargetMode="External"/><Relationship Id="rId59" Type="http://schemas.openxmlformats.org/officeDocument/2006/relationships/hyperlink" Target="https://www.smwcentral.net/?a=details&amp;id=26253&amp;p=section" TargetMode="External"/><Relationship Id="rId1627" Type="http://schemas.openxmlformats.org/officeDocument/2006/relationships/hyperlink" Target="https://www.smwcentral.net/?a=details&amp;id=15921&amp;p=section" TargetMode="External"/><Relationship Id="rId1834" Type="http://schemas.openxmlformats.org/officeDocument/2006/relationships/hyperlink" Target="https://dl.smwcentral.net/6416/MARIO.zip" TargetMode="External"/><Relationship Id="rId4033" Type="http://schemas.openxmlformats.org/officeDocument/2006/relationships/hyperlink" Target="https://www.smwcentral.net/?a=details&amp;id=28563&amp;p=section" TargetMode="External"/><Relationship Id="rId4240" Type="http://schemas.openxmlformats.org/officeDocument/2006/relationships/hyperlink" Target="https://dl.smwcentral.net/19292/SMW%5E2%20DEMO.zip" TargetMode="External"/><Relationship Id="rId3799" Type="http://schemas.openxmlformats.org/officeDocument/2006/relationships/hyperlink" Target="https://www.smwcentral.net/?a=details&amp;id=25738&amp;p=section" TargetMode="External"/><Relationship Id="rId4100" Type="http://schemas.openxmlformats.org/officeDocument/2006/relationships/hyperlink" Target="https://dl.smwcentral.net/13364/Super%20Mario%20World%20Revamped.zip" TargetMode="External"/><Relationship Id="rId1901" Type="http://schemas.openxmlformats.org/officeDocument/2006/relationships/hyperlink" Target="https://www.smwcentral.net/?a=details&amp;id=18437&amp;p=section" TargetMode="External"/><Relationship Id="rId3659" Type="http://schemas.openxmlformats.org/officeDocument/2006/relationships/hyperlink" Target="https://www.smwcentral.net/?a=details&amp;id=33322&amp;p=section" TargetMode="External"/><Relationship Id="rId3866" Type="http://schemas.openxmlformats.org/officeDocument/2006/relationships/hyperlink" Target="https://dl.smwcentral.net/28153/Super%20Mario%20Hack%20-%20Uma%20Nova%20Aventura%20-%20A%20New%20Adventure.zip" TargetMode="External"/><Relationship Id="rId4917" Type="http://schemas.openxmlformats.org/officeDocument/2006/relationships/hyperlink" Target="https://www.smwcentral.net/?a=details&amp;id=28543&amp;p=section" TargetMode="External"/><Relationship Id="rId5081" Type="http://schemas.openxmlformats.org/officeDocument/2006/relationships/hyperlink" Target="https://www.smwcentral.net/?a=details&amp;id=28440&amp;p=section" TargetMode="External"/><Relationship Id="rId787" Type="http://schemas.openxmlformats.org/officeDocument/2006/relationships/hyperlink" Target="https://www.smwcentral.net/?a=details&amp;id=40612&amp;p=section" TargetMode="External"/><Relationship Id="rId994" Type="http://schemas.openxmlformats.org/officeDocument/2006/relationships/hyperlink" Target="https://dl.smwcentral.net/15985/Eternal%20Mario%20World.zip" TargetMode="External"/><Relationship Id="rId2468" Type="http://schemas.openxmlformats.org/officeDocument/2006/relationships/hyperlink" Target="https://dl.smwcentral.net/31683/Nameless%20Kaizo%20World%20%28Light%29.zip" TargetMode="External"/><Relationship Id="rId2675" Type="http://schemas.openxmlformats.org/officeDocument/2006/relationships/hyperlink" Target="https://www.smwcentral.net/?a=details&amp;id=33927&amp;p=section" TargetMode="External"/><Relationship Id="rId2882" Type="http://schemas.openxmlformats.org/officeDocument/2006/relationships/hyperlink" Target="https://dl.smwcentral.net/19279/Quickie%20World%202.zip" TargetMode="External"/><Relationship Id="rId3519" Type="http://schemas.openxmlformats.org/officeDocument/2006/relationships/hyperlink" Target="https://www.smwcentral.net/?a=details&amp;id=5519&amp;p=section" TargetMode="External"/><Relationship Id="rId3726" Type="http://schemas.openxmlformats.org/officeDocument/2006/relationships/hyperlink" Target="https://dl.smwcentral.net/42669/brotherhood.zip" TargetMode="External"/><Relationship Id="rId3933" Type="http://schemas.openxmlformats.org/officeDocument/2006/relationships/hyperlink" Target="https://www.smwcentral.net/?a=details&amp;id=5520&amp;p=section" TargetMode="External"/><Relationship Id="rId647" Type="http://schemas.openxmlformats.org/officeDocument/2006/relationships/hyperlink" Target="https://www.smwcentral.net/?a=details&amp;id=9713&amp;p=section" TargetMode="External"/><Relationship Id="rId854" Type="http://schemas.openxmlformats.org/officeDocument/2006/relationships/hyperlink" Target="https://dl.smwcentral.net/40873/%5B2021%5D%20Devil%27s%20Asylum%20DEMO.zip" TargetMode="External"/><Relationship Id="rId1277" Type="http://schemas.openxmlformats.org/officeDocument/2006/relationships/hyperlink" Target="https://www.smwcentral.net/?a=details&amp;id=42450&amp;p=section" TargetMode="External"/><Relationship Id="rId1484" Type="http://schemas.openxmlformats.org/officeDocument/2006/relationships/hyperlink" Target="https://dl.smwcentral.net/42470/JumpsRhymesLife.zip" TargetMode="External"/><Relationship Id="rId1691" Type="http://schemas.openxmlformats.org/officeDocument/2006/relationships/hyperlink" Target="https://www.smwcentral.net/?a=details&amp;id=31338&amp;p=section" TargetMode="External"/><Relationship Id="rId2328" Type="http://schemas.openxmlformats.org/officeDocument/2006/relationships/hyperlink" Target="https://dl.smwcentral.net/9669/MMB2.zip" TargetMode="External"/><Relationship Id="rId2535" Type="http://schemas.openxmlformats.org/officeDocument/2006/relationships/hyperlink" Target="https://www.smwcentral.net/?a=details&amp;id=21909&amp;p=section" TargetMode="External"/><Relationship Id="rId2742" Type="http://schemas.openxmlformats.org/officeDocument/2006/relationships/hyperlink" Target="https://dl.smwcentral.net/24148/Peachy_Moat_World.zip" TargetMode="External"/><Relationship Id="rId507" Type="http://schemas.openxmlformats.org/officeDocument/2006/relationships/hyperlink" Target="https://www.smwcentral.net/?a=details&amp;id=22233&amp;p=section" TargetMode="External"/><Relationship Id="rId714" Type="http://schemas.openxmlformats.org/officeDocument/2006/relationships/hyperlink" Target="https://dl.smwcentral.net/32999/ColdsweatandTears.zip" TargetMode="External"/><Relationship Id="rId921" Type="http://schemas.openxmlformats.org/officeDocument/2006/relationships/hyperlink" Target="https://www.smwcentral.net/?a=details&amp;id=27931&amp;p=section" TargetMode="External"/><Relationship Id="rId1137" Type="http://schemas.openxmlformats.org/officeDocument/2006/relationships/hyperlink" Target="https://www.smwcentral.net/?a=details&amp;id=14607&amp;p=section" TargetMode="External"/><Relationship Id="rId1344" Type="http://schemas.openxmlformats.org/officeDocument/2006/relationships/hyperlink" Target="https://dl.smwcentral.net/9952/Hyper%20Hentai%20Hotties.zip" TargetMode="External"/><Relationship Id="rId1551" Type="http://schemas.openxmlformats.org/officeDocument/2006/relationships/hyperlink" Target="https://www.smwcentral.net/?a=details&amp;id=16060&amp;p=section" TargetMode="External"/><Relationship Id="rId2602" Type="http://schemas.openxmlformats.org/officeDocument/2006/relationships/hyperlink" Target="https://dl.smwcentral.net/37560/Noise%27s_Fault_1.1.zip" TargetMode="External"/><Relationship Id="rId50" Type="http://schemas.openxmlformats.org/officeDocument/2006/relationships/hyperlink" Target="https://dl.smwcentral.net/32593/2Kaizo2Learn_1.0.zip" TargetMode="External"/><Relationship Id="rId1204" Type="http://schemas.openxmlformats.org/officeDocument/2006/relationships/hyperlink" Target="https://dl.smwcentral.net/24481/greyeminence.zip" TargetMode="External"/><Relationship Id="rId1411" Type="http://schemas.openxmlformats.org/officeDocument/2006/relationships/hyperlink" Target="https://www.smwcentral.net/?a=details&amp;id=25878&amp;p=section" TargetMode="External"/><Relationship Id="rId4567" Type="http://schemas.openxmlformats.org/officeDocument/2006/relationships/hyperlink" Target="https://www.smwcentral.net/?a=details&amp;id=37763&amp;p=section" TargetMode="External"/><Relationship Id="rId4774" Type="http://schemas.openxmlformats.org/officeDocument/2006/relationships/hyperlink" Target="https://dl.smwcentral.net/39986/CombatZone.zip" TargetMode="External"/><Relationship Id="rId3169" Type="http://schemas.openxmlformats.org/officeDocument/2006/relationships/hyperlink" Target="https://www.smwcentral.net/?a=details&amp;id=24919&amp;p=section" TargetMode="External"/><Relationship Id="rId3376" Type="http://schemas.openxmlformats.org/officeDocument/2006/relationships/hyperlink" Target="https://dl.smwcentral.net/12718/StoryOfPeitonDEMO4.zip" TargetMode="External"/><Relationship Id="rId3583" Type="http://schemas.openxmlformats.org/officeDocument/2006/relationships/hyperlink" Target="https://www.smwcentral.net/?a=details&amp;id=34151&amp;p=section" TargetMode="External"/><Relationship Id="rId4427" Type="http://schemas.openxmlformats.org/officeDocument/2006/relationships/hyperlink" Target="https://www.smwcentral.net/?a=details&amp;id=34158&amp;p=section" TargetMode="External"/><Relationship Id="rId4981" Type="http://schemas.openxmlformats.org/officeDocument/2006/relationships/hyperlink" Target="https://www.smwcentral.net/?a=details&amp;id=24565&amp;p=section" TargetMode="External"/><Relationship Id="rId297" Type="http://schemas.openxmlformats.org/officeDocument/2006/relationships/hyperlink" Target="https://www.smwcentral.net/?a=details&amp;id=9671&amp;p=section" TargetMode="External"/><Relationship Id="rId2185" Type="http://schemas.openxmlformats.org/officeDocument/2006/relationships/hyperlink" Target="https://www.smwcentral.net/?a=details&amp;id=41279&amp;p=section" TargetMode="External"/><Relationship Id="rId2392" Type="http://schemas.openxmlformats.org/officeDocument/2006/relationships/hyperlink" Target="https://dl.smwcentral.net/18890/Monty%20Mole%20Island%203%20-%20Boom%20Boom%27s%20World%20V1.1.zip" TargetMode="External"/><Relationship Id="rId3029" Type="http://schemas.openxmlformats.org/officeDocument/2006/relationships/hyperlink" Target="https://www.smwcentral.net/?a=details&amp;id=36760&amp;p=section" TargetMode="External"/><Relationship Id="rId3236" Type="http://schemas.openxmlformats.org/officeDocument/2006/relationships/hyperlink" Target="https://dl.smwcentral.net/10228/SMW%20The%20Lost%20Levels%20Demo%202.zip" TargetMode="External"/><Relationship Id="rId3790" Type="http://schemas.openxmlformats.org/officeDocument/2006/relationships/hyperlink" Target="https://dl.smwcentral.net/25236/SMBA2%20V1.0.zip" TargetMode="External"/><Relationship Id="rId4634" Type="http://schemas.openxmlformats.org/officeDocument/2006/relationships/hyperlink" Target="https://dl.smwcentral.net/10090/Talikuu%20Quest%20C3%20Demo.zip" TargetMode="External"/><Relationship Id="rId4841" Type="http://schemas.openxmlformats.org/officeDocument/2006/relationships/hyperlink" Target="https://www.smwcentral.net/?a=details&amp;id=33813&amp;p=section" TargetMode="External"/><Relationship Id="rId157" Type="http://schemas.openxmlformats.org/officeDocument/2006/relationships/hyperlink" Target="https://www.smwcentral.net/?a=details&amp;id=41328&amp;p=section" TargetMode="External"/><Relationship Id="rId364" Type="http://schemas.openxmlformats.org/officeDocument/2006/relationships/hyperlink" Target="https://dl.smwcentral.net/19145/BabyKaizoWorld.zip" TargetMode="External"/><Relationship Id="rId2045" Type="http://schemas.openxmlformats.org/officeDocument/2006/relationships/hyperlink" Target="https://www.smwcentral.net/?a=details&amp;id=20754&amp;p=section" TargetMode="External"/><Relationship Id="rId3443" Type="http://schemas.openxmlformats.org/officeDocument/2006/relationships/hyperlink" Target="https://www.smwcentral.net/?a=details&amp;id=9914&amp;p=section" TargetMode="External"/><Relationship Id="rId3650" Type="http://schemas.openxmlformats.org/officeDocument/2006/relationships/hyperlink" Target="https://dl.smwcentral.net/29719/Super%20Little%20Miss%20ADD%20World%20DEMO%20V1_0.zip" TargetMode="External"/><Relationship Id="rId4701" Type="http://schemas.openxmlformats.org/officeDocument/2006/relationships/hyperlink" Target="https://www.smwcentral.net/?a=details&amp;id=10158&amp;p=section" TargetMode="External"/><Relationship Id="rId571" Type="http://schemas.openxmlformats.org/officeDocument/2006/relationships/hyperlink" Target="https://www.smwcentral.net/?a=details&amp;id=33860&amp;p=section" TargetMode="External"/><Relationship Id="rId2252" Type="http://schemas.openxmlformats.org/officeDocument/2006/relationships/hyperlink" Target="https://dl.smwcentral.net/9868/mta.zip.zip" TargetMode="External"/><Relationship Id="rId3303" Type="http://schemas.openxmlformats.org/officeDocument/2006/relationships/hyperlink" Target="https://www.smwcentral.net/?a=details&amp;id=31450&amp;p=section" TargetMode="External"/><Relationship Id="rId3510" Type="http://schemas.openxmlformats.org/officeDocument/2006/relationships/hyperlink" Target="https://dl.smwcentral.net/23193/SuperDreamWorld.zip" TargetMode="External"/><Relationship Id="rId224" Type="http://schemas.openxmlformats.org/officeDocument/2006/relationships/hyperlink" Target="https://dl.smwcentral.net/29945/Advanced%20Shells%202.zip" TargetMode="External"/><Relationship Id="rId431" Type="http://schemas.openxmlformats.org/officeDocument/2006/relationships/hyperlink" Target="https://www.smwcentral.net/?a=details&amp;id=39116&amp;p=section" TargetMode="External"/><Relationship Id="rId1061" Type="http://schemas.openxmlformats.org/officeDocument/2006/relationships/hyperlink" Target="https://www.smwcentral.net/?a=details&amp;id=26828&amp;p=section" TargetMode="External"/><Relationship Id="rId2112" Type="http://schemas.openxmlformats.org/officeDocument/2006/relationships/hyperlink" Target="https://dl.smwcentral.net/9785/Mario%27s%20adventure%20demo%202.zip" TargetMode="External"/><Relationship Id="rId5268" Type="http://schemas.openxmlformats.org/officeDocument/2006/relationships/hyperlink" Target="https://dl.smwcentral.net/33795/Vampire%20Hunter%20Savior%20Of%20The%20Kingdom.zip" TargetMode="External"/><Relationship Id="rId5475" Type="http://schemas.openxmlformats.org/officeDocument/2006/relationships/hyperlink" Target="https://www.smwcentral.net/?a=details&amp;id=15892&amp;p=section" TargetMode="External"/><Relationship Id="rId1878" Type="http://schemas.openxmlformats.org/officeDocument/2006/relationships/hyperlink" Target="https://dl.smwcentral.net/9913/CursedCoinsSampler.zip" TargetMode="External"/><Relationship Id="rId2929" Type="http://schemas.openxmlformats.org/officeDocument/2006/relationships/hyperlink" Target="https://www.smwcentral.net/?a=details&amp;id=10180&amp;p=section" TargetMode="External"/><Relationship Id="rId4077" Type="http://schemas.openxmlformats.org/officeDocument/2006/relationships/hyperlink" Target="https://www.smwcentral.net/?a=details&amp;id=42555&amp;p=section" TargetMode="External"/><Relationship Id="rId4284" Type="http://schemas.openxmlformats.org/officeDocument/2006/relationships/hyperlink" Target="https://dl.smwcentral.net/10149/Super%20Mario-Mushroom%20Legacy%28Demo%201%29.zip" TargetMode="External"/><Relationship Id="rId4491" Type="http://schemas.openxmlformats.org/officeDocument/2006/relationships/hyperlink" Target="https://www.smwcentral.net/?a=details&amp;id=20223&amp;p=section" TargetMode="External"/><Relationship Id="rId5128" Type="http://schemas.openxmlformats.org/officeDocument/2006/relationships/hyperlink" Target="https://dl.smwcentral.net/20120/Torkiyello%20v1.zip" TargetMode="External"/><Relationship Id="rId5335" Type="http://schemas.openxmlformats.org/officeDocument/2006/relationships/hyperlink" Target="https://www.smwcentral.net/?a=details&amp;id=40960&amp;p=section" TargetMode="External"/><Relationship Id="rId1738" Type="http://schemas.openxmlformats.org/officeDocument/2006/relationships/hyperlink" Target="https://dl.smwcentral.net/41461/Lost%20Paths%20V1.2.1.zip" TargetMode="External"/><Relationship Id="rId3093" Type="http://schemas.openxmlformats.org/officeDocument/2006/relationships/hyperlink" Target="https://www.smwcentral.net/?a=details&amp;id=42489&amp;p=section" TargetMode="External"/><Relationship Id="rId4144" Type="http://schemas.openxmlformats.org/officeDocument/2006/relationships/hyperlink" Target="https://dl.smwcentral.net/9991/Bowser%27s%20Trial.zip" TargetMode="External"/><Relationship Id="rId4351" Type="http://schemas.openxmlformats.org/officeDocument/2006/relationships/hyperlink" Target="https://www.smwcentral.net/?a=details&amp;id=14096&amp;p=section" TargetMode="External"/><Relationship Id="rId5402" Type="http://schemas.openxmlformats.org/officeDocument/2006/relationships/hyperlink" Target="https://dl.smwcentral.net/28323/Wonders%20of%20Kaizo%21%21.zip" TargetMode="External"/><Relationship Id="rId1945" Type="http://schemas.openxmlformats.org/officeDocument/2006/relationships/hyperlink" Target="https://www.smwcentral.net/?a=details&amp;id=32143&amp;p=section" TargetMode="External"/><Relationship Id="rId3160" Type="http://schemas.openxmlformats.org/officeDocument/2006/relationships/hyperlink" Target="https://dl.smwcentral.net/31747/Silver%20level%20pack.zip" TargetMode="External"/><Relationship Id="rId4004" Type="http://schemas.openxmlformats.org/officeDocument/2006/relationships/hyperlink" Target="https://dl.smwcentral.net/9787/SMW%20Koopa%20revenge.zip" TargetMode="External"/><Relationship Id="rId4211" Type="http://schemas.openxmlformats.org/officeDocument/2006/relationships/hyperlink" Target="https://www.smwcentral.net/?a=details&amp;id=13720&amp;p=section" TargetMode="External"/><Relationship Id="rId1805" Type="http://schemas.openxmlformats.org/officeDocument/2006/relationships/hyperlink" Target="https://www.smwcentral.net/?a=details&amp;id=10190&amp;p=section" TargetMode="External"/><Relationship Id="rId3020" Type="http://schemas.openxmlformats.org/officeDocument/2006/relationships/hyperlink" Target="https://dl.smwcentral.net/17384/Salty%20Sagan%20World%201.11.zip" TargetMode="External"/><Relationship Id="rId3977" Type="http://schemas.openxmlformats.org/officeDocument/2006/relationships/hyperlink" Target="https://www.smwcentral.net/?a=details&amp;id=25489&amp;p=section" TargetMode="External"/><Relationship Id="rId898" Type="http://schemas.openxmlformats.org/officeDocument/2006/relationships/hyperlink" Target="https://dl.smwcentral.net/20577/Dooooors.zip" TargetMode="External"/><Relationship Id="rId2579" Type="http://schemas.openxmlformats.org/officeDocument/2006/relationships/hyperlink" Target="https://www.smwcentral.net/?a=details&amp;id=22901&amp;p=section" TargetMode="External"/><Relationship Id="rId2786" Type="http://schemas.openxmlformats.org/officeDocument/2006/relationships/hyperlink" Target="https://dl.smwcentral.net/32693/Planets.zip" TargetMode="External"/><Relationship Id="rId2993" Type="http://schemas.openxmlformats.org/officeDocument/2006/relationships/hyperlink" Target="https://www.smwcentral.net/?a=details&amp;id=10119&amp;p=section" TargetMode="External"/><Relationship Id="rId3837" Type="http://schemas.openxmlformats.org/officeDocument/2006/relationships/hyperlink" Target="https://www.smwcentral.net/?a=details&amp;id=10010&amp;p=section" TargetMode="External"/><Relationship Id="rId5192" Type="http://schemas.openxmlformats.org/officeDocument/2006/relationships/hyperlink" Target="https://dl.smwcentral.net/5609/Tsunami%20Island.zip" TargetMode="External"/><Relationship Id="rId758" Type="http://schemas.openxmlformats.org/officeDocument/2006/relationships/hyperlink" Target="https://dl.smwcentral.net/42500/Crash%20Bandicoot%20and%20the%20Retro%20Dimension%20Enhanced.zip" TargetMode="External"/><Relationship Id="rId965" Type="http://schemas.openxmlformats.org/officeDocument/2006/relationships/hyperlink" Target="https://www.smwcentral.net/?a=details&amp;id=6983&amp;p=section" TargetMode="External"/><Relationship Id="rId1388" Type="http://schemas.openxmlformats.org/officeDocument/2006/relationships/hyperlink" Target="https://dl.smwcentral.net/39816/InTriplicate.zip" TargetMode="External"/><Relationship Id="rId1595" Type="http://schemas.openxmlformats.org/officeDocument/2006/relationships/hyperlink" Target="https://www.smwcentral.net/?a=details&amp;id=26517&amp;p=section" TargetMode="External"/><Relationship Id="rId2439" Type="http://schemas.openxmlformats.org/officeDocument/2006/relationships/hyperlink" Target="https://www.smwcentral.net/?a=details&amp;id=14882&amp;p=section" TargetMode="External"/><Relationship Id="rId2646" Type="http://schemas.openxmlformats.org/officeDocument/2006/relationships/hyperlink" Target="https://dl.smwcentral.net/30560/Of%20Style%20and%20Precision.zip" TargetMode="External"/><Relationship Id="rId2853" Type="http://schemas.openxmlformats.org/officeDocument/2006/relationships/hyperlink" Target="https://www.smwcentral.net/?a=details&amp;id=38743&amp;p=section" TargetMode="External"/><Relationship Id="rId3904" Type="http://schemas.openxmlformats.org/officeDocument/2006/relationships/hyperlink" Target="https://dl.smwcentral.net/38127/Super%20Mario%20Land%20World%20V1.1%20%28%202024%20%29.zip" TargetMode="External"/><Relationship Id="rId5052" Type="http://schemas.openxmlformats.org/officeDocument/2006/relationships/hyperlink" Target="https://dl.smwcentral.net/33848/theplumber%27sodyssey.zip" TargetMode="External"/><Relationship Id="rId94" Type="http://schemas.openxmlformats.org/officeDocument/2006/relationships/hyperlink" Target="https://dl.smwcentral.net/35663/A%20Christmas%20Gift%20-%20Timmy%27s%20Final%20Gift.zip" TargetMode="External"/><Relationship Id="rId618" Type="http://schemas.openxmlformats.org/officeDocument/2006/relationships/hyperlink" Target="https://dl.smwcentral.net/24990/Casio%20Mario%20World.zip" TargetMode="External"/><Relationship Id="rId825" Type="http://schemas.openxmlformats.org/officeDocument/2006/relationships/hyperlink" Target="https://www.smwcentral.net/?a=details&amp;id=41540&amp;p=section" TargetMode="External"/><Relationship Id="rId1248" Type="http://schemas.openxmlformats.org/officeDocument/2006/relationships/hyperlink" Target="https://dl.smwcentral.net/25350/Hack%206.zip" TargetMode="External"/><Relationship Id="rId1455" Type="http://schemas.openxmlformats.org/officeDocument/2006/relationships/hyperlink" Target="https://www.smwcentral.net/?a=details&amp;id=4962&amp;p=section" TargetMode="External"/><Relationship Id="rId1662" Type="http://schemas.openxmlformats.org/officeDocument/2006/relationships/hyperlink" Target="https://dl.smwcentral.net/38323/Law%20%26%20Order%20Mushroom%20Kingdom%20Unit%20Pilot%20-%20Director%27s%20Cut%20%28v1.0.2%29.zip" TargetMode="External"/><Relationship Id="rId2506" Type="http://schemas.openxmlformats.org/officeDocument/2006/relationships/hyperlink" Target="https://dl.smwcentral.net/19180/New%20Super%20Kaizo%20Bros%201.1.zip" TargetMode="External"/><Relationship Id="rId1108" Type="http://schemas.openxmlformats.org/officeDocument/2006/relationships/hyperlink" Target="https://dl.smwcentral.net/37897/Fresh%20Hops%20v1.1.zip" TargetMode="External"/><Relationship Id="rId1315" Type="http://schemas.openxmlformats.org/officeDocument/2006/relationships/hyperlink" Target="https://www.smwcentral.net/?a=details&amp;id=38890&amp;p=section" TargetMode="External"/><Relationship Id="rId2713" Type="http://schemas.openxmlformats.org/officeDocument/2006/relationships/hyperlink" Target="https://www.smwcentral.net/?a=details&amp;id=13941&amp;p=section" TargetMode="External"/><Relationship Id="rId2920" Type="http://schemas.openxmlformats.org/officeDocument/2006/relationships/hyperlink" Target="https://dl.smwcentral.net/26873/Remember%20ALF.zip" TargetMode="External"/><Relationship Id="rId4678" Type="http://schemas.openxmlformats.org/officeDocument/2006/relationships/hyperlink" Target="https://dl.smwcentral.net/12810/test.zip" TargetMode="External"/><Relationship Id="rId1522" Type="http://schemas.openxmlformats.org/officeDocument/2006/relationships/hyperlink" Target="https://dl.smwcentral.net/38232/Kaizo.zip" TargetMode="External"/><Relationship Id="rId4885" Type="http://schemas.openxmlformats.org/officeDocument/2006/relationships/hyperlink" Target="https://www.smwcentral.net/?a=details&amp;id=10229&amp;p=section" TargetMode="External"/><Relationship Id="rId21" Type="http://schemas.openxmlformats.org/officeDocument/2006/relationships/hyperlink" Target="https://www.smwcentral.net/?a=details&amp;id=41558&amp;p=section" TargetMode="External"/><Relationship Id="rId2089" Type="http://schemas.openxmlformats.org/officeDocument/2006/relationships/hyperlink" Target="https://www.smwcentral.net/?a=details&amp;id=9700&amp;p=section" TargetMode="External"/><Relationship Id="rId3487" Type="http://schemas.openxmlformats.org/officeDocument/2006/relationships/hyperlink" Target="https://www.smwcentral.net/?a=details&amp;id=26319&amp;p=section" TargetMode="External"/><Relationship Id="rId3694" Type="http://schemas.openxmlformats.org/officeDocument/2006/relationships/hyperlink" Target="https://dl.smwcentral.net/16893/Super_Mallow_World_Master_Quest.zip" TargetMode="External"/><Relationship Id="rId4538" Type="http://schemas.openxmlformats.org/officeDocument/2006/relationships/hyperlink" Target="https://dl.smwcentral.net/9806/UltiMario.zip" TargetMode="External"/><Relationship Id="rId4745" Type="http://schemas.openxmlformats.org/officeDocument/2006/relationships/hyperlink" Target="https://www.smwcentral.net/?a=details&amp;id=38682&amp;p=section" TargetMode="External"/><Relationship Id="rId4952" Type="http://schemas.openxmlformats.org/officeDocument/2006/relationships/hyperlink" Target="https://dl.smwcentral.net/9722/vb0.35TheRebuildingofthestarpalace.zip" TargetMode="External"/><Relationship Id="rId2296" Type="http://schemas.openxmlformats.org/officeDocument/2006/relationships/hyperlink" Target="https://dl.smwcentral.net/10183/mxw2ndr.zip" TargetMode="External"/><Relationship Id="rId3347" Type="http://schemas.openxmlformats.org/officeDocument/2006/relationships/hyperlink" Target="https://www.smwcentral.net/?a=details&amp;id=39517&amp;p=section" TargetMode="External"/><Relationship Id="rId3554" Type="http://schemas.openxmlformats.org/officeDocument/2006/relationships/hyperlink" Target="https://dl.smwcentral.net/34846/Super%20Fruits%20%27n%20Veggies%20World.zip" TargetMode="External"/><Relationship Id="rId3761" Type="http://schemas.openxmlformats.org/officeDocument/2006/relationships/hyperlink" Target="https://www.smwcentral.net/?a=details&amp;id=42366&amp;p=section" TargetMode="External"/><Relationship Id="rId4605" Type="http://schemas.openxmlformats.org/officeDocument/2006/relationships/hyperlink" Target="https://www.smwcentral.net/?a=details&amp;id=30221&amp;p=section" TargetMode="External"/><Relationship Id="rId4812" Type="http://schemas.openxmlformats.org/officeDocument/2006/relationships/hyperlink" Target="https://dl.smwcentral.net/13430/The%20Great%20Giana%20Sisters.zip" TargetMode="External"/><Relationship Id="rId268" Type="http://schemas.openxmlformats.org/officeDocument/2006/relationships/hyperlink" Target="https://dl.smwcentral.net/34112/Alpha%20Shelltauri.zip" TargetMode="External"/><Relationship Id="rId475" Type="http://schemas.openxmlformats.org/officeDocument/2006/relationships/hyperlink" Target="https://www.smwcentral.net/?a=details&amp;id=27043&amp;p=section" TargetMode="External"/><Relationship Id="rId682" Type="http://schemas.openxmlformats.org/officeDocument/2006/relationships/hyperlink" Target="https://dl.smwcentral.net/38345/ChristmasHack.zip" TargetMode="External"/><Relationship Id="rId2156" Type="http://schemas.openxmlformats.org/officeDocument/2006/relationships/hyperlink" Target="https://dl.smwcentral.net/10243/C3%20Demo%20of%20M1A.zip" TargetMode="External"/><Relationship Id="rId2363" Type="http://schemas.openxmlformats.org/officeDocument/2006/relationships/hyperlink" Target="https://www.smwcentral.net/?a=details&amp;id=32526&amp;p=section" TargetMode="External"/><Relationship Id="rId2570" Type="http://schemas.openxmlformats.org/officeDocument/2006/relationships/hyperlink" Target="https://dl.smwcentral.net/27738/Nightmare%20cafe%20VIII%20v1.3.zip" TargetMode="External"/><Relationship Id="rId3207" Type="http://schemas.openxmlformats.org/officeDocument/2006/relationships/hyperlink" Target="https://www.smwcentral.net/?a=details&amp;id=18528&amp;p=section" TargetMode="External"/><Relationship Id="rId3414" Type="http://schemas.openxmlformats.org/officeDocument/2006/relationships/hyperlink" Target="https://dl.smwcentral.net/9945/super_amazing_world4.zip" TargetMode="External"/><Relationship Id="rId3621" Type="http://schemas.openxmlformats.org/officeDocument/2006/relationships/hyperlink" Target="https://www.smwcentral.net/?a=details&amp;id=17909&amp;p=section" TargetMode="External"/><Relationship Id="rId128" Type="http://schemas.openxmlformats.org/officeDocument/2006/relationships/hyperlink" Target="https://dl.smwcentral.net/10147/ALTiS_C3X.zip" TargetMode="External"/><Relationship Id="rId335" Type="http://schemas.openxmlformats.org/officeDocument/2006/relationships/hyperlink" Target="https://www.smwcentral.net/?a=details&amp;id=37655&amp;p=section" TargetMode="External"/><Relationship Id="rId542" Type="http://schemas.openxmlformats.org/officeDocument/2006/relationships/hyperlink" Target="https://dl.smwcentral.net/30536/BreakingSMW.zip" TargetMode="External"/><Relationship Id="rId1172" Type="http://schemas.openxmlformats.org/officeDocument/2006/relationships/hyperlink" Target="https://dl.smwcentral.net/33276/good%20old%20days%202.zip" TargetMode="External"/><Relationship Id="rId2016" Type="http://schemas.openxmlformats.org/officeDocument/2006/relationships/hyperlink" Target="https://dl.smwcentral.net/27426/crabs_v1.03.zip" TargetMode="External"/><Relationship Id="rId2223" Type="http://schemas.openxmlformats.org/officeDocument/2006/relationships/hyperlink" Target="https://www.smwcentral.net/?a=details&amp;id=9878&amp;p=section" TargetMode="External"/><Relationship Id="rId2430" Type="http://schemas.openxmlformats.org/officeDocument/2006/relationships/hyperlink" Target="https://dl.smwcentral.net/33687/My%20Favorite%20Things%201.2.zip" TargetMode="External"/><Relationship Id="rId5379" Type="http://schemas.openxmlformats.org/officeDocument/2006/relationships/hyperlink" Target="https://www.smwcentral.net/?a=details&amp;id=27263&amp;p=section" TargetMode="External"/><Relationship Id="rId402" Type="http://schemas.openxmlformats.org/officeDocument/2006/relationships/hyperlink" Target="https://dl.smwcentral.net/29528/BeachsideBlitz.zip" TargetMode="External"/><Relationship Id="rId1032" Type="http://schemas.openxmlformats.org/officeDocument/2006/relationships/hyperlink" Target="https://dl.smwcentral.net/17732/Extreme_One_Screen_Puzzle_V1.4.zip" TargetMode="External"/><Relationship Id="rId4188" Type="http://schemas.openxmlformats.org/officeDocument/2006/relationships/hyperlink" Target="https://dl.smwcentral.net/23028/SMW%20shyshy%20island.zip" TargetMode="External"/><Relationship Id="rId4395" Type="http://schemas.openxmlformats.org/officeDocument/2006/relationships/hyperlink" Target="https://www.smwcentral.net/?a=details&amp;id=34768&amp;p=section" TargetMode="External"/><Relationship Id="rId5239" Type="http://schemas.openxmlformats.org/officeDocument/2006/relationships/hyperlink" Target="https://www.smwcentral.net/?a=details&amp;id=32166&amp;p=section" TargetMode="External"/><Relationship Id="rId5446" Type="http://schemas.openxmlformats.org/officeDocument/2006/relationships/hyperlink" Target="https://dl.smwcentral.net/26657/YoHo%20Adventure.zip" TargetMode="External"/><Relationship Id="rId1989" Type="http://schemas.openxmlformats.org/officeDocument/2006/relationships/hyperlink" Target="https://www.smwcentral.net/?a=details&amp;id=15939&amp;p=section" TargetMode="External"/><Relationship Id="rId4048" Type="http://schemas.openxmlformats.org/officeDocument/2006/relationships/hyperlink" Target="https://dl.smwcentral.net/10056/SMWAlpha%202demo3.zip" TargetMode="External"/><Relationship Id="rId4255" Type="http://schemas.openxmlformats.org/officeDocument/2006/relationships/hyperlink" Target="https://www.smwcentral.net/?a=details&amp;id=5444&amp;p=section" TargetMode="External"/><Relationship Id="rId5306" Type="http://schemas.openxmlformats.org/officeDocument/2006/relationships/hyperlink" Target="https://dl.smwcentral.net/9821/SMW2-By%20Vipper.zip" TargetMode="External"/><Relationship Id="rId1849" Type="http://schemas.openxmlformats.org/officeDocument/2006/relationships/hyperlink" Target="https://www.smwcentral.net/?a=details&amp;id=18162&amp;p=section" TargetMode="External"/><Relationship Id="rId3064" Type="http://schemas.openxmlformats.org/officeDocument/2006/relationships/hyperlink" Target="https://dl.smwcentral.net/40746/SOTM.zip" TargetMode="External"/><Relationship Id="rId4462" Type="http://schemas.openxmlformats.org/officeDocument/2006/relationships/hyperlink" Target="https://dl.smwcentral.net/39968/supersalaryworld.zip" TargetMode="External"/><Relationship Id="rId192" Type="http://schemas.openxmlformats.org/officeDocument/2006/relationships/hyperlink" Target="https://dl.smwcentral.net/39767/A%20Supposedly%20Fun%20Thing.zip" TargetMode="External"/><Relationship Id="rId1709" Type="http://schemas.openxmlformats.org/officeDocument/2006/relationships/hyperlink" Target="https://www.smwcentral.net/?a=details&amp;id=9754&amp;p=section" TargetMode="External"/><Relationship Id="rId1916" Type="http://schemas.openxmlformats.org/officeDocument/2006/relationships/hyperlink" Target="https://dl.smwcentral.net/10122/MBW2.zip" TargetMode="External"/><Relationship Id="rId3271" Type="http://schemas.openxmlformats.org/officeDocument/2006/relationships/hyperlink" Target="https://www.smwcentral.net/?a=details&amp;id=10336&amp;p=section" TargetMode="External"/><Relationship Id="rId4115" Type="http://schemas.openxmlformats.org/officeDocument/2006/relationships/hyperlink" Target="https://www.smwcentral.net/?a=details&amp;id=40129&amp;p=section" TargetMode="External"/><Relationship Id="rId4322" Type="http://schemas.openxmlformats.org/officeDocument/2006/relationships/hyperlink" Target="https://dl.smwcentral.net/38515/SuperMawaruWorld.zip" TargetMode="External"/><Relationship Id="rId2080" Type="http://schemas.openxmlformats.org/officeDocument/2006/relationships/hyperlink" Target="https://dl.smwcentral.net/25469/Mario%20travels%20around%20the%20world%20-%20Demo.zip" TargetMode="External"/><Relationship Id="rId3131" Type="http://schemas.openxmlformats.org/officeDocument/2006/relationships/hyperlink" Target="https://www.smwcentral.net/?a=details&amp;id=28657&amp;p=section" TargetMode="External"/><Relationship Id="rId2897" Type="http://schemas.openxmlformats.org/officeDocument/2006/relationships/hyperlink" Target="https://www.smwcentral.net/?a=details&amp;id=37882&amp;p=section" TargetMode="External"/><Relationship Id="rId3948" Type="http://schemas.openxmlformats.org/officeDocument/2006/relationships/hyperlink" Target="https://dl.smwcentral.net/26132/Super%20Mario%20SS3.zip" TargetMode="External"/><Relationship Id="rId5096" Type="http://schemas.openxmlformats.org/officeDocument/2006/relationships/hyperlink" Target="https://dl.smwcentral.net/37767/Titan2_1.1.zip" TargetMode="External"/><Relationship Id="rId869" Type="http://schemas.openxmlformats.org/officeDocument/2006/relationships/hyperlink" Target="https://www.smwcentral.net/?a=details&amp;id=14675&amp;p=section" TargetMode="External"/><Relationship Id="rId1499" Type="http://schemas.openxmlformats.org/officeDocument/2006/relationships/hyperlink" Target="https://www.smwcentral.net/?a=details&amp;id=6050&amp;p=section" TargetMode="External"/><Relationship Id="rId5163" Type="http://schemas.openxmlformats.org/officeDocument/2006/relationships/hyperlink" Target="https://www.smwcentral.net/?a=details&amp;id=33007&amp;p=section" TargetMode="External"/><Relationship Id="rId5370" Type="http://schemas.openxmlformats.org/officeDocument/2006/relationships/hyperlink" Target="https://dl.smwcentral.net/39553/Weekend.zip" TargetMode="External"/><Relationship Id="rId729" Type="http://schemas.openxmlformats.org/officeDocument/2006/relationships/hyperlink" Target="https://www.smwcentral.net/?a=details&amp;id=10248&amp;p=section" TargetMode="External"/><Relationship Id="rId1359" Type="http://schemas.openxmlformats.org/officeDocument/2006/relationships/hyperlink" Target="https://www.smwcentral.net/?a=details&amp;id=38270&amp;p=section" TargetMode="External"/><Relationship Id="rId2757" Type="http://schemas.openxmlformats.org/officeDocument/2006/relationships/hyperlink" Target="https://www.smwcentral.net/?a=details&amp;id=33410&amp;p=section" TargetMode="External"/><Relationship Id="rId2964" Type="http://schemas.openxmlformats.org/officeDocument/2006/relationships/hyperlink" Target="https://dl.smwcentral.net/9735/Rob-omb%27s%20Quest%20Hard.zip" TargetMode="External"/><Relationship Id="rId3808" Type="http://schemas.openxmlformats.org/officeDocument/2006/relationships/hyperlink" Target="https://dl.smwcentral.net/10095/Super%20Mario%20Bros.%20the%20search%20for%20bowser%20demo%201.zip" TargetMode="External"/><Relationship Id="rId5023" Type="http://schemas.openxmlformats.org/officeDocument/2006/relationships/hyperlink" Target="https://www.smwcentral.net/?a=details&amp;id=20204&amp;p=section" TargetMode="External"/><Relationship Id="rId5230" Type="http://schemas.openxmlformats.org/officeDocument/2006/relationships/hyperlink" Target="https://dl.smwcentral.net/35081/Unforgiving%20Tower%203.zip" TargetMode="External"/><Relationship Id="rId936" Type="http://schemas.openxmlformats.org/officeDocument/2006/relationships/hyperlink" Target="https://dl.smwcentral.net/34492/Dysphoria.zip" TargetMode="External"/><Relationship Id="rId1219" Type="http://schemas.openxmlformats.org/officeDocument/2006/relationships/hyperlink" Target="https://www.smwcentral.net/?a=details&amp;id=5428&amp;p=section" TargetMode="External"/><Relationship Id="rId1566" Type="http://schemas.openxmlformats.org/officeDocument/2006/relationships/hyperlink" Target="https://dl.smwcentral.net/4959/Kaos%20Islands.zip" TargetMode="External"/><Relationship Id="rId1773" Type="http://schemas.openxmlformats.org/officeDocument/2006/relationships/hyperlink" Target="https://www.smwcentral.net/?a=details&amp;id=5180&amp;p=section" TargetMode="External"/><Relationship Id="rId1980" Type="http://schemas.openxmlformats.org/officeDocument/2006/relationships/hyperlink" Target="https://dl.smwcentral.net/4996/MitYH.zip" TargetMode="External"/><Relationship Id="rId2617" Type="http://schemas.openxmlformats.org/officeDocument/2006/relationships/hyperlink" Target="https://www.smwcentral.net/?a=details&amp;id=32303&amp;p=section" TargetMode="External"/><Relationship Id="rId2824" Type="http://schemas.openxmlformats.org/officeDocument/2006/relationships/hyperlink" Target="https://dl.smwcentral.net/37624/PowerupParty.zip" TargetMode="External"/><Relationship Id="rId65" Type="http://schemas.openxmlformats.org/officeDocument/2006/relationships/hyperlink" Target="https://www.smwcentral.net/?a=details&amp;id=9639&amp;p=section" TargetMode="External"/><Relationship Id="rId1426" Type="http://schemas.openxmlformats.org/officeDocument/2006/relationships/hyperlink" Target="https://dl.smwcentral.net/42315/Iridium.zip" TargetMode="External"/><Relationship Id="rId1633" Type="http://schemas.openxmlformats.org/officeDocument/2006/relationships/hyperlink" Target="https://www.smwcentral.net/?a=details&amp;id=9969&amp;p=section" TargetMode="External"/><Relationship Id="rId1840" Type="http://schemas.openxmlformats.org/officeDocument/2006/relationships/hyperlink" Target="https://dl.smwcentral.net/6809/Mario%20%26%20la%20sph%C3%A8re%20de%20Toad%20Demo%202%20%28%20V.0.6%29%20Fixed%20%20bugs%20%282%29.zip" TargetMode="External"/><Relationship Id="rId4789" Type="http://schemas.openxmlformats.org/officeDocument/2006/relationships/hyperlink" Target="https://www.smwcentral.net/?a=details&amp;id=4972&amp;p=section" TargetMode="External"/><Relationship Id="rId4996" Type="http://schemas.openxmlformats.org/officeDocument/2006/relationships/hyperlink" Target="https://dl.smwcentral.net/38660/the%20stinky%20black%20banana%20peel.zip" TargetMode="External"/><Relationship Id="rId1700" Type="http://schemas.openxmlformats.org/officeDocument/2006/relationships/hyperlink" Target="https://dl.smwcentral.net/41477/LevelsV2real.zip" TargetMode="External"/><Relationship Id="rId3598" Type="http://schemas.openxmlformats.org/officeDocument/2006/relationships/hyperlink" Target="https://dl.smwcentral.net/28880/siw_1.1.zip" TargetMode="External"/><Relationship Id="rId4649" Type="http://schemas.openxmlformats.org/officeDocument/2006/relationships/hyperlink" Target="https://www.smwcentral.net/?a=details&amp;id=42509&amp;p=section" TargetMode="External"/><Relationship Id="rId4856" Type="http://schemas.openxmlformats.org/officeDocument/2006/relationships/hyperlink" Target="https://dl.smwcentral.net/28336/TheLastJourney_V1.1.zip" TargetMode="External"/><Relationship Id="rId3458" Type="http://schemas.openxmlformats.org/officeDocument/2006/relationships/hyperlink" Target="https://dl.smwcentral.net/29715/SuperCindyWorld3.zip" TargetMode="External"/><Relationship Id="rId3665" Type="http://schemas.openxmlformats.org/officeDocument/2006/relationships/hyperlink" Target="https://www.smwcentral.net/?a=details&amp;id=21515&amp;p=section" TargetMode="External"/><Relationship Id="rId3872" Type="http://schemas.openxmlformats.org/officeDocument/2006/relationships/hyperlink" Target="https://dl.smwcentral.net/10076/Super%20Mario%20Iggy%27s%20Revenge.zip" TargetMode="External"/><Relationship Id="rId4509" Type="http://schemas.openxmlformats.org/officeDocument/2006/relationships/hyperlink" Target="https://www.smwcentral.net/?a=details&amp;id=40699&amp;p=section" TargetMode="External"/><Relationship Id="rId4716" Type="http://schemas.openxmlformats.org/officeDocument/2006/relationships/hyperlink" Target="https://dl.smwcentral.net/37781/Autowalk_1.1.zip" TargetMode="External"/><Relationship Id="rId379" Type="http://schemas.openxmlformats.org/officeDocument/2006/relationships/hyperlink" Target="https://www.smwcentral.net/?a=details&amp;id=9944&amp;p=section" TargetMode="External"/><Relationship Id="rId586" Type="http://schemas.openxmlformats.org/officeDocument/2006/relationships/hyperlink" Target="https://dl.smwcentral.net/31877/CacaphonicChrysalis.zip" TargetMode="External"/><Relationship Id="rId793" Type="http://schemas.openxmlformats.org/officeDocument/2006/relationships/hyperlink" Target="https://www.smwcentral.net/?a=details&amp;id=31117&amp;p=section" TargetMode="External"/><Relationship Id="rId2267" Type="http://schemas.openxmlformats.org/officeDocument/2006/relationships/hyperlink" Target="https://www.smwcentral.net/?a=details&amp;id=20943&amp;p=section" TargetMode="External"/><Relationship Id="rId2474" Type="http://schemas.openxmlformats.org/officeDocument/2006/relationships/hyperlink" Target="https://dl.smwcentral.net/36680/naughtyworld.zip" TargetMode="External"/><Relationship Id="rId2681" Type="http://schemas.openxmlformats.org/officeDocument/2006/relationships/hyperlink" Target="https://www.smwcentral.net/?a=details&amp;id=34381&amp;p=section" TargetMode="External"/><Relationship Id="rId3318" Type="http://schemas.openxmlformats.org/officeDocument/2006/relationships/hyperlink" Target="https://dl.smwcentral.net/41361/Special%20World%20Escape.zip" TargetMode="External"/><Relationship Id="rId3525" Type="http://schemas.openxmlformats.org/officeDocument/2006/relationships/hyperlink" Target="https://www.smwcentral.net/?a=details&amp;id=19571&amp;p=section" TargetMode="External"/><Relationship Id="rId4923" Type="http://schemas.openxmlformats.org/officeDocument/2006/relationships/hyperlink" Target="https://www.smwcentral.net/?a=details&amp;id=10121&amp;p=section" TargetMode="External"/><Relationship Id="rId239" Type="http://schemas.openxmlformats.org/officeDocument/2006/relationships/hyperlink" Target="https://www.smwcentral.net/?a=details&amp;id=42362&amp;p=section" TargetMode="External"/><Relationship Id="rId446" Type="http://schemas.openxmlformats.org/officeDocument/2006/relationships/hyperlink" Target="https://dl.smwcentral.net/35280/Blind%20Race%20Lucky%20Pick.zip" TargetMode="External"/><Relationship Id="rId653" Type="http://schemas.openxmlformats.org/officeDocument/2006/relationships/hyperlink" Target="https://www.smwcentral.net/?a=details&amp;id=34198&amp;p=section" TargetMode="External"/><Relationship Id="rId1076" Type="http://schemas.openxmlformats.org/officeDocument/2006/relationships/hyperlink" Target="https://dl.smwcentral.net/18791/Fly%20Me%20To%20The%20Stars.zip" TargetMode="External"/><Relationship Id="rId1283" Type="http://schemas.openxmlformats.org/officeDocument/2006/relationships/hyperlink" Target="https://www.smwcentral.net/?a=details&amp;id=32774&amp;p=section" TargetMode="External"/><Relationship Id="rId1490" Type="http://schemas.openxmlformats.org/officeDocument/2006/relationships/hyperlink" Target="https://dl.smwcentral.net/28084/janq%201.6%20%28fixed%29.zip" TargetMode="External"/><Relationship Id="rId2127" Type="http://schemas.openxmlformats.org/officeDocument/2006/relationships/hyperlink" Target="https://www.smwcentral.net/?a=details&amp;id=26949&amp;p=section" TargetMode="External"/><Relationship Id="rId2334" Type="http://schemas.openxmlformats.org/officeDocument/2006/relationships/hyperlink" Target="https://dl.smwcentral.net/9773/mega%20rex%20adventure.zip" TargetMode="External"/><Relationship Id="rId3732" Type="http://schemas.openxmlformats.org/officeDocument/2006/relationships/hyperlink" Target="https://dl.smwcentral.net/5034/Super%20Mario%20and%20the%20missing%20Mushroom%20Coins%20Demo%201.zip" TargetMode="External"/><Relationship Id="rId306" Type="http://schemas.openxmlformats.org/officeDocument/2006/relationships/hyperlink" Target="https://dl.smwcentral.net/15710/Another%20Mario%20World%202%20-%20Luigi%27s%20Mission.zip" TargetMode="External"/><Relationship Id="rId860" Type="http://schemas.openxmlformats.org/officeDocument/2006/relationships/hyperlink" Target="https://dl.smwcentral.net/28925/Dim%20Spirits.zip" TargetMode="External"/><Relationship Id="rId1143" Type="http://schemas.openxmlformats.org/officeDocument/2006/relationships/hyperlink" Target="https://www.smwcentral.net/?a=details&amp;id=23229&amp;p=section" TargetMode="External"/><Relationship Id="rId2541" Type="http://schemas.openxmlformats.org/officeDocument/2006/relationships/hyperlink" Target="https://www.smwcentral.net/?a=details&amp;id=29066&amp;p=section" TargetMode="External"/><Relationship Id="rId4299" Type="http://schemas.openxmlformats.org/officeDocument/2006/relationships/hyperlink" Target="https://www.smwcentral.net/?a=details&amp;id=10017&amp;p=section" TargetMode="External"/><Relationship Id="rId513" Type="http://schemas.openxmlformats.org/officeDocument/2006/relationships/hyperlink" Target="https://www.smwcentral.net/?a=details&amp;id=28708&amp;p=section" TargetMode="External"/><Relationship Id="rId720" Type="http://schemas.openxmlformats.org/officeDocument/2006/relationships/hyperlink" Target="https://dl.smwcentral.net/14967/ColonThree.zip" TargetMode="External"/><Relationship Id="rId1350" Type="http://schemas.openxmlformats.org/officeDocument/2006/relationships/hyperlink" Target="https://dl.smwcentral.net/39041/hypnagogia.zip" TargetMode="External"/><Relationship Id="rId2401" Type="http://schemas.openxmlformats.org/officeDocument/2006/relationships/hyperlink" Target="https://www.smwcentral.net/?a=details&amp;id=9865&amp;p=section" TargetMode="External"/><Relationship Id="rId4159" Type="http://schemas.openxmlformats.org/officeDocument/2006/relationships/hyperlink" Target="https://www.smwcentral.net/?a=details&amp;id=10012&amp;p=section" TargetMode="External"/><Relationship Id="rId1003" Type="http://schemas.openxmlformats.org/officeDocument/2006/relationships/hyperlink" Target="https://www.smwcentral.net/?a=details&amp;id=9038&amp;p=section" TargetMode="External"/><Relationship Id="rId1210" Type="http://schemas.openxmlformats.org/officeDocument/2006/relationships/hyperlink" Target="https://dl.smwcentral.net/30987/GriffyWorld_v1.12.zip" TargetMode="External"/><Relationship Id="rId4366" Type="http://schemas.openxmlformats.org/officeDocument/2006/relationships/hyperlink" Target="https://dl.smwcentral.net/31577/Super%20Nessy%20World.zip" TargetMode="External"/><Relationship Id="rId4573" Type="http://schemas.openxmlformats.org/officeDocument/2006/relationships/hyperlink" Target="https://www.smwcentral.net/?a=details&amp;id=27303&amp;p=section" TargetMode="External"/><Relationship Id="rId4780" Type="http://schemas.openxmlformats.org/officeDocument/2006/relationships/hyperlink" Target="https://dl.smwcentral.net/35612/The%20First%20Round%20v1.11.zip" TargetMode="External"/><Relationship Id="rId5417" Type="http://schemas.openxmlformats.org/officeDocument/2006/relationships/hyperlink" Target="https://www.smwcentral.net/?a=details&amp;id=22025&amp;p=section" TargetMode="External"/><Relationship Id="rId3175" Type="http://schemas.openxmlformats.org/officeDocument/2006/relationships/hyperlink" Target="https://www.smwcentral.net/?a=details&amp;id=32079&amp;p=section" TargetMode="External"/><Relationship Id="rId3382" Type="http://schemas.openxmlformats.org/officeDocument/2006/relationships/hyperlink" Target="https://dl.smwcentral.net/9758/Strange%20Mario%20World.zip" TargetMode="External"/><Relationship Id="rId4019" Type="http://schemas.openxmlformats.org/officeDocument/2006/relationships/hyperlink" Target="https://www.smwcentral.net/?a=details&amp;id=10085&amp;p=section" TargetMode="External"/><Relationship Id="rId4226" Type="http://schemas.openxmlformats.org/officeDocument/2006/relationships/hyperlink" Target="https://dl.smwcentral.net/6084/tsotl%20-%20demo%202%21.zip" TargetMode="External"/><Relationship Id="rId4433" Type="http://schemas.openxmlformats.org/officeDocument/2006/relationships/hyperlink" Target="https://www.smwcentral.net/?a=details&amp;id=28166&amp;p=section" TargetMode="External"/><Relationship Id="rId4640" Type="http://schemas.openxmlformats.org/officeDocument/2006/relationships/hyperlink" Target="https://dl.smwcentral.net/15147/Tatsujin%20Mario%20part%201.zip" TargetMode="External"/><Relationship Id="rId2191" Type="http://schemas.openxmlformats.org/officeDocument/2006/relationships/hyperlink" Target="https://www.smwcentral.net/?a=details&amp;id=6131&amp;p=section" TargetMode="External"/><Relationship Id="rId3035" Type="http://schemas.openxmlformats.org/officeDocument/2006/relationships/hyperlink" Target="https://www.smwcentral.net/?a=details&amp;id=34245&amp;p=section" TargetMode="External"/><Relationship Id="rId3242" Type="http://schemas.openxmlformats.org/officeDocument/2006/relationships/hyperlink" Target="https://dl.smwcentral.net/35294/SMWTPR3%20v1.20.zip" TargetMode="External"/><Relationship Id="rId4500" Type="http://schemas.openxmlformats.org/officeDocument/2006/relationships/hyperlink" Target="https://dl.smwcentral.net/16432/Super%20Spice%20World.zip" TargetMode="External"/><Relationship Id="rId163" Type="http://schemas.openxmlformats.org/officeDocument/2006/relationships/hyperlink" Target="https://www.smwcentral.net/?a=details&amp;id=32874&amp;p=section" TargetMode="External"/><Relationship Id="rId370" Type="http://schemas.openxmlformats.org/officeDocument/2006/relationships/hyperlink" Target="https://dl.smwcentral.net/41863/Back%20to%20the%20Green%20Hill%20Updated.zip" TargetMode="External"/><Relationship Id="rId2051" Type="http://schemas.openxmlformats.org/officeDocument/2006/relationships/hyperlink" Target="https://www.smwcentral.net/?a=details&amp;id=28944&amp;p=section" TargetMode="External"/><Relationship Id="rId3102" Type="http://schemas.openxmlformats.org/officeDocument/2006/relationships/hyperlink" Target="https://dl.smwcentral.net/38203/Shello.zip" TargetMode="External"/><Relationship Id="rId230" Type="http://schemas.openxmlformats.org/officeDocument/2006/relationships/hyperlink" Target="https://dl.smwcentral.net/21316/Adventure%20Islands.zip" TargetMode="External"/><Relationship Id="rId5067" Type="http://schemas.openxmlformats.org/officeDocument/2006/relationships/hyperlink" Target="https://www.smwcentral.net/?a=details&amp;id=27729&amp;p=section" TargetMode="External"/><Relationship Id="rId5274" Type="http://schemas.openxmlformats.org/officeDocument/2006/relationships/hyperlink" Target="https://dl.smwcentral.net/41740/Vanilla%20Hour%20-%20a%20collection%20of%20one-hour%20levels.zip" TargetMode="External"/><Relationship Id="rId2868" Type="http://schemas.openxmlformats.org/officeDocument/2006/relationships/hyperlink" Target="https://dl.smwcentral.net/32480/QUEST%20FOR%20MILK%20%28v1.2%29.zip" TargetMode="External"/><Relationship Id="rId3919" Type="http://schemas.openxmlformats.org/officeDocument/2006/relationships/hyperlink" Target="https://www.smwcentral.net/?a=details&amp;id=9761&amp;p=section" TargetMode="External"/><Relationship Id="rId4083" Type="http://schemas.openxmlformats.org/officeDocument/2006/relationships/hyperlink" Target="https://www.smwcentral.net/?a=details&amp;id=6315&amp;p=section" TargetMode="External"/><Relationship Id="rId5481" Type="http://schemas.openxmlformats.org/officeDocument/2006/relationships/hyperlink" Target="https://www.smwcentral.net/?a=details&amp;id=24421&amp;p=section" TargetMode="External"/><Relationship Id="rId1677" Type="http://schemas.openxmlformats.org/officeDocument/2006/relationships/hyperlink" Target="https://www.smwcentral.net/?a=details&amp;id=38653&amp;p=section" TargetMode="External"/><Relationship Id="rId1884" Type="http://schemas.openxmlformats.org/officeDocument/2006/relationships/hyperlink" Target="https://dl.smwcentral.net/41605/Mario%20And%20The%20Golden%20Star.zip" TargetMode="External"/><Relationship Id="rId2728" Type="http://schemas.openxmlformats.org/officeDocument/2006/relationships/hyperlink" Target="https://dl.smwcentral.net/40444/pns_official_demo.zip" TargetMode="External"/><Relationship Id="rId2935" Type="http://schemas.openxmlformats.org/officeDocument/2006/relationships/hyperlink" Target="https://www.smwcentral.net/?a=details&amp;id=35107&amp;p=section" TargetMode="External"/><Relationship Id="rId4290" Type="http://schemas.openxmlformats.org/officeDocument/2006/relationships/hyperlink" Target="https://dl.smwcentral.net/20487/Super%20Mario%20Other%20World%20%28Updated%20C3%20Summer%202019%20Demo%29.zip" TargetMode="External"/><Relationship Id="rId5134" Type="http://schemas.openxmlformats.org/officeDocument/2006/relationships/hyperlink" Target="https://dl.smwcentral.net/31160/TorturedSouls1.2.zip" TargetMode="External"/><Relationship Id="rId5341" Type="http://schemas.openxmlformats.org/officeDocument/2006/relationships/hyperlink" Target="https://www.smwcentral.net/?a=details&amp;id=9650&amp;p=section" TargetMode="External"/><Relationship Id="rId907" Type="http://schemas.openxmlformats.org/officeDocument/2006/relationships/hyperlink" Target="https://www.smwcentral.net/?a=details&amp;id=6255&amp;p=section" TargetMode="External"/><Relationship Id="rId1537" Type="http://schemas.openxmlformats.org/officeDocument/2006/relationships/hyperlink" Target="https://www.smwcentral.net/?a=details&amp;id=26043&amp;p=section" TargetMode="External"/><Relationship Id="rId1744" Type="http://schemas.openxmlformats.org/officeDocument/2006/relationships/hyperlink" Target="https://dl.smwcentral.net/40069/Love%20Letter.zip" TargetMode="External"/><Relationship Id="rId1951" Type="http://schemas.openxmlformats.org/officeDocument/2006/relationships/hyperlink" Target="https://www.smwcentral.net/?a=details&amp;id=10141&amp;p=section" TargetMode="External"/><Relationship Id="rId4150" Type="http://schemas.openxmlformats.org/officeDocument/2006/relationships/hyperlink" Target="https://dl.smwcentral.net/9661/SR%3BTCoD%20Teaser%20Demo.zip" TargetMode="External"/><Relationship Id="rId5201" Type="http://schemas.openxmlformats.org/officeDocument/2006/relationships/hyperlink" Target="https://www.smwcentral.net/?a=details&amp;id=39095&amp;p=section" TargetMode="External"/><Relationship Id="rId36" Type="http://schemas.openxmlformats.org/officeDocument/2006/relationships/hyperlink" Target="https://dl.smwcentral.net/38585/20ChallengesE2.zip" TargetMode="External"/><Relationship Id="rId1604" Type="http://schemas.openxmlformats.org/officeDocument/2006/relationships/hyperlink" Target="https://dl.smwcentral.net/18523/Kogarashi%20Mario%20World.zip" TargetMode="External"/><Relationship Id="rId4010" Type="http://schemas.openxmlformats.org/officeDocument/2006/relationships/hyperlink" Target="https://dl.smwcentral.net/38649/Super%20Mario%20World%20-%20Mario%27s%20Expedition%20v1.4.zip" TargetMode="External"/><Relationship Id="rId4967" Type="http://schemas.openxmlformats.org/officeDocument/2006/relationships/hyperlink" Target="https://www.smwcentral.net/?a=details&amp;id=9875&amp;p=section" TargetMode="External"/><Relationship Id="rId1811" Type="http://schemas.openxmlformats.org/officeDocument/2006/relationships/hyperlink" Target="https://www.smwcentral.net/?a=details&amp;id=5572&amp;p=section" TargetMode="External"/><Relationship Id="rId3569" Type="http://schemas.openxmlformats.org/officeDocument/2006/relationships/hyperlink" Target="https://www.smwcentral.net/?a=details&amp;id=17395&amp;p=section" TargetMode="External"/><Relationship Id="rId697" Type="http://schemas.openxmlformats.org/officeDocument/2006/relationships/hyperlink" Target="https://www.smwcentral.net/?a=details&amp;id=17198&amp;p=section" TargetMode="External"/><Relationship Id="rId2378" Type="http://schemas.openxmlformats.org/officeDocument/2006/relationships/hyperlink" Target="https://dl.smwcentral.net/36957/MistakesWereMade1.2.zip" TargetMode="External"/><Relationship Id="rId3429" Type="http://schemas.openxmlformats.org/officeDocument/2006/relationships/hyperlink" Target="https://www.smwcentral.net/?a=details&amp;id=30199&amp;p=section" TargetMode="External"/><Relationship Id="rId3776" Type="http://schemas.openxmlformats.org/officeDocument/2006/relationships/hyperlink" Target="https://dl.smwcentral.net/9670/SMB3r.zip" TargetMode="External"/><Relationship Id="rId3983" Type="http://schemas.openxmlformats.org/officeDocument/2006/relationships/hyperlink" Target="https://www.smwcentral.net/?a=details&amp;id=5198&amp;p=section" TargetMode="External"/><Relationship Id="rId4827" Type="http://schemas.openxmlformats.org/officeDocument/2006/relationships/hyperlink" Target="https://www.smwcentral.net/?a=details&amp;id=21388&amp;p=section" TargetMode="External"/><Relationship Id="rId1187" Type="http://schemas.openxmlformats.org/officeDocument/2006/relationships/hyperlink" Target="https://www.smwcentral.net/?a=details&amp;id=19541&amp;p=section" TargetMode="External"/><Relationship Id="rId2585" Type="http://schemas.openxmlformats.org/officeDocument/2006/relationships/hyperlink" Target="https://www.smwcentral.net/?a=details&amp;id=35775&amp;p=section" TargetMode="External"/><Relationship Id="rId2792" Type="http://schemas.openxmlformats.org/officeDocument/2006/relationships/hyperlink" Target="https://dl.smwcentral.net/42098/Playground%20Kaizo%202.zip" TargetMode="External"/><Relationship Id="rId3636" Type="http://schemas.openxmlformats.org/officeDocument/2006/relationships/hyperlink" Target="https://dl.smwcentral.net/39964/LAME%201.1.zip" TargetMode="External"/><Relationship Id="rId3843" Type="http://schemas.openxmlformats.org/officeDocument/2006/relationships/hyperlink" Target="https://www.smwcentral.net/?a=details&amp;id=15576&amp;p=section" TargetMode="External"/><Relationship Id="rId557" Type="http://schemas.openxmlformats.org/officeDocument/2006/relationships/hyperlink" Target="https://www.smwcentral.net/?a=details&amp;id=33690&amp;p=section" TargetMode="External"/><Relationship Id="rId764" Type="http://schemas.openxmlformats.org/officeDocument/2006/relationships/hyperlink" Target="https://dl.smwcentral.net/41278/Critter%20Quest%20Jr.zip" TargetMode="External"/><Relationship Id="rId971" Type="http://schemas.openxmlformats.org/officeDocument/2006/relationships/hyperlink" Target="https://www.smwcentral.net/?a=details&amp;id=28338&amp;p=section" TargetMode="External"/><Relationship Id="rId1394" Type="http://schemas.openxmlformats.org/officeDocument/2006/relationships/hyperlink" Target="https://dl.smwcentral.net/29540/INCEPTION%20v1.2.zip" TargetMode="External"/><Relationship Id="rId2238" Type="http://schemas.openxmlformats.org/officeDocument/2006/relationships/hyperlink" Target="https://dl.smwcentral.net/5258/Mario%27s%20Strange%20Quest%20v1.6.zip" TargetMode="External"/><Relationship Id="rId2445" Type="http://schemas.openxmlformats.org/officeDocument/2006/relationships/hyperlink" Target="https://www.smwcentral.net/?a=details&amp;id=30077&amp;p=section" TargetMode="External"/><Relationship Id="rId2652" Type="http://schemas.openxmlformats.org/officeDocument/2006/relationships/hyperlink" Target="https://dl.smwcentral.net/37912/Old%20Marine%20World.zip" TargetMode="External"/><Relationship Id="rId3703" Type="http://schemas.openxmlformats.org/officeDocument/2006/relationships/hyperlink" Target="https://www.smwcentral.net/?a=details&amp;id=27968&amp;p=section" TargetMode="External"/><Relationship Id="rId3910" Type="http://schemas.openxmlformats.org/officeDocument/2006/relationships/hyperlink" Target="https://dl.smwcentral.net/10191/Super%20Mario%20Lost%20in%20Monochrome%20%28v1.4v%29.zip" TargetMode="External"/><Relationship Id="rId417" Type="http://schemas.openxmlformats.org/officeDocument/2006/relationships/hyperlink" Target="https://www.smwcentral.net/?a=details&amp;id=31618&amp;p=section" TargetMode="External"/><Relationship Id="rId624" Type="http://schemas.openxmlformats.org/officeDocument/2006/relationships/hyperlink" Target="https://dl.smwcentral.net/42285/Castlemania%20v1.1.zip" TargetMode="External"/><Relationship Id="rId831" Type="http://schemas.openxmlformats.org/officeDocument/2006/relationships/hyperlink" Target="https://www.smwcentral.net/?a=details&amp;id=38714&amp;p=section" TargetMode="External"/><Relationship Id="rId1047" Type="http://schemas.openxmlformats.org/officeDocument/2006/relationships/hyperlink" Target="https://www.smwcentral.net/?a=details&amp;id=37848&amp;p=section" TargetMode="External"/><Relationship Id="rId1254" Type="http://schemas.openxmlformats.org/officeDocument/2006/relationships/hyperlink" Target="https://dl.smwcentral.net/25061/hfadc.zip" TargetMode="External"/><Relationship Id="rId1461" Type="http://schemas.openxmlformats.org/officeDocument/2006/relationships/hyperlink" Target="https://www.smwcentral.net/?a=details&amp;id=39093&amp;p=section" TargetMode="External"/><Relationship Id="rId2305" Type="http://schemas.openxmlformats.org/officeDocument/2006/relationships/hyperlink" Target="https://www.smwcentral.net/?a=details&amp;id=32694&amp;p=section" TargetMode="External"/><Relationship Id="rId2512" Type="http://schemas.openxmlformats.org/officeDocument/2006/relationships/hyperlink" Target="https://dl.smwcentral.net/9763/New%20Super%20Mario%20Lost.zip" TargetMode="External"/><Relationship Id="rId1114" Type="http://schemas.openxmlformats.org/officeDocument/2006/relationships/hyperlink" Target="https://dl.smwcentral.net/40494/From_Heaven_To_Hell.zip" TargetMode="External"/><Relationship Id="rId1321" Type="http://schemas.openxmlformats.org/officeDocument/2006/relationships/hyperlink" Target="https://www.smwcentral.net/?a=details&amp;id=9273&amp;p=section" TargetMode="External"/><Relationship Id="rId4477" Type="http://schemas.openxmlformats.org/officeDocument/2006/relationships/hyperlink" Target="https://www.smwcentral.net/?a=details&amp;id=18422&amp;p=section" TargetMode="External"/><Relationship Id="rId4684" Type="http://schemas.openxmlformats.org/officeDocument/2006/relationships/hyperlink" Target="https://dl.smwcentral.net/30173/VLDC11_1.4.zip" TargetMode="External"/><Relationship Id="rId4891" Type="http://schemas.openxmlformats.org/officeDocument/2006/relationships/hyperlink" Target="https://www.smwcentral.net/?a=details&amp;id=34379&amp;p=section" TargetMode="External"/><Relationship Id="rId3079" Type="http://schemas.openxmlformats.org/officeDocument/2006/relationships/hyperlink" Target="https://www.smwcentral.net/?a=details&amp;id=41263&amp;p=section" TargetMode="External"/><Relationship Id="rId3286" Type="http://schemas.openxmlformats.org/officeDocument/2006/relationships/hyperlink" Target="https://dl.smwcentral.net/29548/Something.zip" TargetMode="External"/><Relationship Id="rId3493" Type="http://schemas.openxmlformats.org/officeDocument/2006/relationships/hyperlink" Target="https://www.smwcentral.net/?a=details&amp;id=9825&amp;p=section" TargetMode="External"/><Relationship Id="rId4337" Type="http://schemas.openxmlformats.org/officeDocument/2006/relationships/hyperlink" Target="https://www.smwcentral.net/?a=details&amp;id=23075&amp;p=section" TargetMode="External"/><Relationship Id="rId4544" Type="http://schemas.openxmlformats.org/officeDocument/2006/relationships/hyperlink" Target="https://dl.smwcentral.net/18860/Super%20Vanilla%20World%20%28v1.1%29.zip" TargetMode="External"/><Relationship Id="rId2095" Type="http://schemas.openxmlformats.org/officeDocument/2006/relationships/hyperlink" Target="https://www.smwcentral.net/?a=details&amp;id=9896&amp;p=section" TargetMode="External"/><Relationship Id="rId3146" Type="http://schemas.openxmlformats.org/officeDocument/2006/relationships/hyperlink" Target="https://dl.smwcentral.net/29653/ShyGuy%20Kaizo%20Dream%202%20-%20Shy%20Guy%27s%20Awakening%201.1.zip" TargetMode="External"/><Relationship Id="rId3353" Type="http://schemas.openxmlformats.org/officeDocument/2006/relationships/hyperlink" Target="https://www.smwcentral.net/?a=details&amp;id=23490&amp;p=section" TargetMode="External"/><Relationship Id="rId4751" Type="http://schemas.openxmlformats.org/officeDocument/2006/relationships/hyperlink" Target="https://www.smwcentral.net/?a=details&amp;id=11441&amp;p=section" TargetMode="External"/><Relationship Id="rId274" Type="http://schemas.openxmlformats.org/officeDocument/2006/relationships/hyperlink" Target="https://dl.smwcentral.net/22417/AlsoSprachMario.zip" TargetMode="External"/><Relationship Id="rId481" Type="http://schemas.openxmlformats.org/officeDocument/2006/relationships/hyperlink" Target="https://www.smwcentral.net/?a=details&amp;id=17843&amp;p=section" TargetMode="External"/><Relationship Id="rId2162" Type="http://schemas.openxmlformats.org/officeDocument/2006/relationships/hyperlink" Target="https://dl.smwcentral.net/27808/Mario%27s%20Grand%20Adventure%20Delta%20Island.zip" TargetMode="External"/><Relationship Id="rId3006" Type="http://schemas.openxmlformats.org/officeDocument/2006/relationships/hyperlink" Target="https://dl.smwcentral.net/41539/RTG%201.0.zip" TargetMode="External"/><Relationship Id="rId3560" Type="http://schemas.openxmlformats.org/officeDocument/2006/relationships/hyperlink" Target="https://dl.smwcentral.net/9664/Super_Ghettoworld_final.zip" TargetMode="External"/><Relationship Id="rId4404" Type="http://schemas.openxmlformats.org/officeDocument/2006/relationships/hyperlink" Target="https://dl.smwcentral.net/9771/Paper%20Luigi.zip" TargetMode="External"/><Relationship Id="rId4611" Type="http://schemas.openxmlformats.org/officeDocument/2006/relationships/hyperlink" Target="https://www.smwcentral.net/?a=details&amp;id=24498&amp;p=section" TargetMode="External"/><Relationship Id="rId134" Type="http://schemas.openxmlformats.org/officeDocument/2006/relationships/hyperlink" Target="https://dl.smwcentral.net/5480/A%20Maxi%20Mini%20Hack.zip" TargetMode="External"/><Relationship Id="rId3213" Type="http://schemas.openxmlformats.org/officeDocument/2006/relationships/hyperlink" Target="https://www.smwcentral.net/?a=details&amp;id=31238&amp;p=section" TargetMode="External"/><Relationship Id="rId3420" Type="http://schemas.openxmlformats.org/officeDocument/2006/relationships/hyperlink" Target="https://dl.smwcentral.net/41691/SBCW_V1_1.zip" TargetMode="External"/><Relationship Id="rId341" Type="http://schemas.openxmlformats.org/officeDocument/2006/relationships/hyperlink" Target="https://www.smwcentral.net/?a=details&amp;id=20671&amp;p=section" TargetMode="External"/><Relationship Id="rId2022" Type="http://schemas.openxmlformats.org/officeDocument/2006/relationships/hyperlink" Target="https://dl.smwcentral.net/33227/MMNGP%201.1.bps.zip" TargetMode="External"/><Relationship Id="rId2979" Type="http://schemas.openxmlformats.org/officeDocument/2006/relationships/hyperlink" Target="https://www.smwcentral.net/?a=details&amp;id=20845&amp;p=section" TargetMode="External"/><Relationship Id="rId5178" Type="http://schemas.openxmlformats.org/officeDocument/2006/relationships/hyperlink" Target="https://dl.smwcentral.net/22832/tricky%20mario.zip" TargetMode="External"/><Relationship Id="rId5385" Type="http://schemas.openxmlformats.org/officeDocument/2006/relationships/hyperlink" Target="https://www.smwcentral.net/?a=details&amp;id=20891&amp;p=section" TargetMode="External"/><Relationship Id="rId201" Type="http://schemas.openxmlformats.org/officeDocument/2006/relationships/hyperlink" Target="https://www.smwcentral.net/?a=details&amp;id=29748&amp;p=section" TargetMode="External"/><Relationship Id="rId1788" Type="http://schemas.openxmlformats.org/officeDocument/2006/relationships/hyperlink" Target="https://dl.smwcentral.net/17632/luigimiss2full2A.zip" TargetMode="External"/><Relationship Id="rId1995" Type="http://schemas.openxmlformats.org/officeDocument/2006/relationships/hyperlink" Target="https://www.smwcentral.net/?a=details&amp;id=10154&amp;p=section" TargetMode="External"/><Relationship Id="rId2839" Type="http://schemas.openxmlformats.org/officeDocument/2006/relationships/hyperlink" Target="https://www.smwcentral.net/?a=details&amp;id=17633&amp;p=section" TargetMode="External"/><Relationship Id="rId4194" Type="http://schemas.openxmlformats.org/officeDocument/2006/relationships/hyperlink" Target="https://dl.smwcentral.net/9053/koopalings%20-%20demo.zip" TargetMode="External"/><Relationship Id="rId5038" Type="http://schemas.openxmlformats.org/officeDocument/2006/relationships/hyperlink" Target="https://dl.smwcentral.net/36599/The%20Way.zip" TargetMode="External"/><Relationship Id="rId5245" Type="http://schemas.openxmlformats.org/officeDocument/2006/relationships/hyperlink" Target="https://www.smwcentral.net/?a=details&amp;id=22495&amp;p=section" TargetMode="External"/><Relationship Id="rId5452" Type="http://schemas.openxmlformats.org/officeDocument/2006/relationships/hyperlink" Target="https://dl.smwcentral.net/19699/Yoshi%20Surfer%205000.zip" TargetMode="External"/><Relationship Id="rId1648" Type="http://schemas.openxmlformats.org/officeDocument/2006/relationships/hyperlink" Target="https://dl.smwcentral.net/15476/L4good%20island.zip" TargetMode="External"/><Relationship Id="rId4054" Type="http://schemas.openxmlformats.org/officeDocument/2006/relationships/hyperlink" Target="https://dl.smwcentral.net/23276/Super%20Mario%20World%20and%20the%20Bois%21.zip" TargetMode="External"/><Relationship Id="rId4261" Type="http://schemas.openxmlformats.org/officeDocument/2006/relationships/hyperlink" Target="https://www.smwcentral.net/?a=details&amp;id=41432&amp;p=section" TargetMode="External"/><Relationship Id="rId5105" Type="http://schemas.openxmlformats.org/officeDocument/2006/relationships/hyperlink" Target="https://www.smwcentral.net/?a=details&amp;id=36780&amp;p=section" TargetMode="External"/><Relationship Id="rId5312" Type="http://schemas.openxmlformats.org/officeDocument/2006/relationships/hyperlink" Target="https://dl.smwcentral.net/9812/SMW3-%20By%20Vipper.zip" TargetMode="External"/><Relationship Id="rId1508" Type="http://schemas.openxmlformats.org/officeDocument/2006/relationships/hyperlink" Target="https://dl.smwcentral.net/26449/Justice%20for%20Mario.zip" TargetMode="External"/><Relationship Id="rId1855" Type="http://schemas.openxmlformats.org/officeDocument/2006/relationships/hyperlink" Target="https://www.smwcentral.net/?a=details&amp;id=5276&amp;p=section" TargetMode="External"/><Relationship Id="rId2906" Type="http://schemas.openxmlformats.org/officeDocument/2006/relationships/hyperlink" Target="https://dl.smwcentral.net/35680/RedCity.zip" TargetMode="External"/><Relationship Id="rId3070" Type="http://schemas.openxmlformats.org/officeDocument/2006/relationships/hyperlink" Target="https://dl.smwcentral.net/32256/Pits2_v1.1.zip" TargetMode="External"/><Relationship Id="rId4121" Type="http://schemas.openxmlformats.org/officeDocument/2006/relationships/hyperlink" Target="https://www.smwcentral.net/?a=details&amp;id=5495&amp;p=section" TargetMode="External"/><Relationship Id="rId1715" Type="http://schemas.openxmlformats.org/officeDocument/2006/relationships/hyperlink" Target="https://www.smwcentral.net/?a=details&amp;id=24758&amp;p=section" TargetMode="External"/><Relationship Id="rId1922" Type="http://schemas.openxmlformats.org/officeDocument/2006/relationships/hyperlink" Target="https://dl.smwcentral.net/29559/Mario%20Destroys%20the%20World.zip" TargetMode="External"/><Relationship Id="rId3887" Type="http://schemas.openxmlformats.org/officeDocument/2006/relationships/hyperlink" Target="https://www.smwcentral.net/?a=details&amp;id=20859&amp;p=section" TargetMode="External"/><Relationship Id="rId4938" Type="http://schemas.openxmlformats.org/officeDocument/2006/relationships/hyperlink" Target="https://dl.smwcentral.net/42566/The%20Precise%20Is%20Right%20V1.1.zip" TargetMode="External"/><Relationship Id="rId2489" Type="http://schemas.openxmlformats.org/officeDocument/2006/relationships/hyperlink" Target="https://www.smwcentral.net/?a=details&amp;id=33431&amp;p=section" TargetMode="External"/><Relationship Id="rId2696" Type="http://schemas.openxmlformats.org/officeDocument/2006/relationships/hyperlink" Target="https://dl.smwcentral.net/42588/Oxworm2.zip" TargetMode="External"/><Relationship Id="rId3747" Type="http://schemas.openxmlformats.org/officeDocument/2006/relationships/hyperlink" Target="https://www.smwcentral.net/?a=details&amp;id=25840&amp;p=section" TargetMode="External"/><Relationship Id="rId3954" Type="http://schemas.openxmlformats.org/officeDocument/2006/relationships/hyperlink" Target="https://dl.smwcentral.net/38051/Mario%20Climbs%20A%20Tower.zip" TargetMode="External"/><Relationship Id="rId668" Type="http://schemas.openxmlformats.org/officeDocument/2006/relationships/hyperlink" Target="https://dl.smwcentral.net/11289/ChocollabMase2.zip" TargetMode="External"/><Relationship Id="rId875" Type="http://schemas.openxmlformats.org/officeDocument/2006/relationships/hyperlink" Target="https://www.smwcentral.net/?a=details&amp;id=22814&amp;p=section" TargetMode="External"/><Relationship Id="rId1298" Type="http://schemas.openxmlformats.org/officeDocument/2006/relationships/hyperlink" Target="https://dl.smwcentral.net/41380/HeatWave.zip" TargetMode="External"/><Relationship Id="rId2349" Type="http://schemas.openxmlformats.org/officeDocument/2006/relationships/hyperlink" Target="https://www.smwcentral.net/?a=details&amp;id=9646&amp;p=section" TargetMode="External"/><Relationship Id="rId2556" Type="http://schemas.openxmlformats.org/officeDocument/2006/relationships/hyperlink" Target="https://dl.smwcentral.net/27735/Nightmare%20cafe%20IV%20V1.3.zip" TargetMode="External"/><Relationship Id="rId2763" Type="http://schemas.openxmlformats.org/officeDocument/2006/relationships/hyperlink" Target="https://www.smwcentral.net/?a=details&amp;id=41226&amp;p=section" TargetMode="External"/><Relationship Id="rId2970" Type="http://schemas.openxmlformats.org/officeDocument/2006/relationships/hyperlink" Target="https://dl.smwcentral.net/33959/ROKE%20HELL.zip" TargetMode="External"/><Relationship Id="rId3607" Type="http://schemas.openxmlformats.org/officeDocument/2006/relationships/hyperlink" Target="https://www.smwcentral.net/?a=details&amp;id=35025&amp;p=section" TargetMode="External"/><Relationship Id="rId3814" Type="http://schemas.openxmlformats.org/officeDocument/2006/relationships/hyperlink" Target="https://dl.smwcentral.net/10156/Lost%20Levels%202.zip" TargetMode="External"/><Relationship Id="rId528" Type="http://schemas.openxmlformats.org/officeDocument/2006/relationships/hyperlink" Target="https://dl.smwcentral.net/36606/Bowser%27s%20Revenge%204.zip" TargetMode="External"/><Relationship Id="rId735" Type="http://schemas.openxmlformats.org/officeDocument/2006/relationships/hyperlink" Target="https://www.smwcentral.net/?a=details&amp;id=35616&amp;p=section" TargetMode="External"/><Relationship Id="rId942" Type="http://schemas.openxmlformats.org/officeDocument/2006/relationships/hyperlink" Target="https://dl.smwcentral.net/37583/Easyland.zip" TargetMode="External"/><Relationship Id="rId1158" Type="http://schemas.openxmlformats.org/officeDocument/2006/relationships/hyperlink" Target="https://dl.smwcentral.net/39837/get-rich-quick.zip" TargetMode="External"/><Relationship Id="rId1365" Type="http://schemas.openxmlformats.org/officeDocument/2006/relationships/hyperlink" Target="https://www.smwcentral.net/?a=details&amp;id=42072&amp;p=section" TargetMode="External"/><Relationship Id="rId1572" Type="http://schemas.openxmlformats.org/officeDocument/2006/relationships/hyperlink" Target="https://dl.smwcentral.net/23041/KawaMarioWorld.zip" TargetMode="External"/><Relationship Id="rId2209" Type="http://schemas.openxmlformats.org/officeDocument/2006/relationships/hyperlink" Target="https://www.smwcentral.net/?a=details&amp;id=14536&amp;p=section" TargetMode="External"/><Relationship Id="rId2416" Type="http://schemas.openxmlformats.org/officeDocument/2006/relationships/hyperlink" Target="https://dl.smwcentral.net/15820/Mushroom%20Kingdom%20-%20Under%20Crimson%20Skies.zip" TargetMode="External"/><Relationship Id="rId2623" Type="http://schemas.openxmlformats.org/officeDocument/2006/relationships/hyperlink" Target="https://www.smwcentral.net/?a=details&amp;id=27992&amp;p=section" TargetMode="External"/><Relationship Id="rId1018" Type="http://schemas.openxmlformats.org/officeDocument/2006/relationships/hyperlink" Target="https://dl.smwcentral.net/37571/evil-doopu-world-2_v1.0.6.zip" TargetMode="External"/><Relationship Id="rId1225" Type="http://schemas.openxmlformats.org/officeDocument/2006/relationships/hyperlink" Target="https://www.smwcentral.net/?a=details&amp;id=24991&amp;p=section" TargetMode="External"/><Relationship Id="rId1432" Type="http://schemas.openxmlformats.org/officeDocument/2006/relationships/hyperlink" Target="https://dl.smwcentral.net/10907/Item%20Abuse%203%20v1.0.zip" TargetMode="External"/><Relationship Id="rId2830" Type="http://schemas.openxmlformats.org/officeDocument/2006/relationships/hyperlink" Target="https://dl.smwcentral.net/22240/Precision86%20Demo.zip" TargetMode="External"/><Relationship Id="rId4588" Type="http://schemas.openxmlformats.org/officeDocument/2006/relationships/hyperlink" Target="https://dl.smwcentral.net/10020/super%20dark%20world%20%281st%20demo%29.zip" TargetMode="External"/><Relationship Id="rId71" Type="http://schemas.openxmlformats.org/officeDocument/2006/relationships/hyperlink" Target="https://www.smwcentral.net/?a=details&amp;id=40952&amp;p=section" TargetMode="External"/><Relationship Id="rId802" Type="http://schemas.openxmlformats.org/officeDocument/2006/relationships/hyperlink" Target="https://dl.smwcentral.net/25165/Dancer.zip" TargetMode="External"/><Relationship Id="rId3397" Type="http://schemas.openxmlformats.org/officeDocument/2006/relationships/hyperlink" Target="https://www.smwcentral.net/?a=details&amp;id=5024&amp;p=section" TargetMode="External"/><Relationship Id="rId4795" Type="http://schemas.openxmlformats.org/officeDocument/2006/relationships/hyperlink" Target="https://www.smwcentral.net/?a=details&amp;id=42166&amp;p=section" TargetMode="External"/><Relationship Id="rId4448" Type="http://schemas.openxmlformats.org/officeDocument/2006/relationships/hyperlink" Target="https://dl.smwcentral.net/9972/Rtyuio.zip" TargetMode="External"/><Relationship Id="rId4655" Type="http://schemas.openxmlformats.org/officeDocument/2006/relationships/hyperlink" Target="https://www.smwcentral.net/?a=details&amp;id=21873&amp;p=section" TargetMode="External"/><Relationship Id="rId4862" Type="http://schemas.openxmlformats.org/officeDocument/2006/relationships/hyperlink" Target="https://dl.smwcentral.net/10152/The%20Legend%20of%20Randorland%201%20-%20The%20Rise%20of%20Randor%20V1.2.zip" TargetMode="External"/><Relationship Id="rId178" Type="http://schemas.openxmlformats.org/officeDocument/2006/relationships/hyperlink" Target="https://dl.smwcentral.net/28197/Release.zip" TargetMode="External"/><Relationship Id="rId3257" Type="http://schemas.openxmlformats.org/officeDocument/2006/relationships/hyperlink" Target="https://www.smwcentral.net/?a=details&amp;id=10234&amp;p=section" TargetMode="External"/><Relationship Id="rId3464" Type="http://schemas.openxmlformats.org/officeDocument/2006/relationships/hyperlink" Target="https://dl.smwcentral.net/18067/SCW.zip" TargetMode="External"/><Relationship Id="rId3671" Type="http://schemas.openxmlformats.org/officeDocument/2006/relationships/hyperlink" Target="https://www.smwcentral.net/?a=details&amp;id=35747&amp;p=section" TargetMode="External"/><Relationship Id="rId4308" Type="http://schemas.openxmlformats.org/officeDocument/2006/relationships/hyperlink" Target="https://dl.smwcentral.net/9760/SMTI%200.1E.zip" TargetMode="External"/><Relationship Id="rId4515" Type="http://schemas.openxmlformats.org/officeDocument/2006/relationships/hyperlink" Target="https://www.smwcentral.net/?a=details&amp;id=29988&amp;p=section" TargetMode="External"/><Relationship Id="rId4722" Type="http://schemas.openxmlformats.org/officeDocument/2006/relationships/hyperlink" Target="https://dl.smwcentral.net/34022/The%20Baby%20Rescue%20-%20Starring%20Yoshi%20%26%20Friends%21.zip" TargetMode="External"/><Relationship Id="rId385" Type="http://schemas.openxmlformats.org/officeDocument/2006/relationships/hyperlink" Target="https://www.smwcentral.net/?a=details&amp;id=32912&amp;p=section" TargetMode="External"/><Relationship Id="rId592" Type="http://schemas.openxmlformats.org/officeDocument/2006/relationships/hyperlink" Target="https://dl.smwcentral.net/38387/Candy_Shop.zip" TargetMode="External"/><Relationship Id="rId2066" Type="http://schemas.openxmlformats.org/officeDocument/2006/relationships/hyperlink" Target="https://dl.smwcentral.net/30183/Mario%20Saves%20Spring%20Break%202.zip" TargetMode="External"/><Relationship Id="rId2273" Type="http://schemas.openxmlformats.org/officeDocument/2006/relationships/hyperlink" Target="https://www.smwcentral.net/?a=details&amp;id=10145&amp;p=section" TargetMode="External"/><Relationship Id="rId2480" Type="http://schemas.openxmlformats.org/officeDocument/2006/relationships/hyperlink" Target="https://dl.smwcentral.net/9850/smw.zip" TargetMode="External"/><Relationship Id="rId3117" Type="http://schemas.openxmlformats.org/officeDocument/2006/relationships/hyperlink" Target="https://www.smwcentral.net/?a=details&amp;id=39179&amp;p=section" TargetMode="External"/><Relationship Id="rId3324" Type="http://schemas.openxmlformats.org/officeDocument/2006/relationships/hyperlink" Target="https://dl.smwcentral.net/26381/SpeedShell.zip" TargetMode="External"/><Relationship Id="rId3531" Type="http://schemas.openxmlformats.org/officeDocument/2006/relationships/hyperlink" Target="https://www.smwcentral.net/?a=details&amp;id=41357&amp;p=section" TargetMode="External"/><Relationship Id="rId245" Type="http://schemas.openxmlformats.org/officeDocument/2006/relationships/hyperlink" Target="https://www.smwcentral.net/?a=details&amp;id=34827&amp;p=section" TargetMode="External"/><Relationship Id="rId452" Type="http://schemas.openxmlformats.org/officeDocument/2006/relationships/hyperlink" Target="https://dl.smwcentral.net/31843/Blooper%20Stole%20My%20Cake%20%28Version%201.1%29.zip" TargetMode="External"/><Relationship Id="rId1082" Type="http://schemas.openxmlformats.org/officeDocument/2006/relationships/hyperlink" Target="https://dl.smwcentral.net/34953/Forer%20-%20Barnum%20v1.40.zip" TargetMode="External"/><Relationship Id="rId2133" Type="http://schemas.openxmlformats.org/officeDocument/2006/relationships/hyperlink" Target="https://www.smwcentral.net/?a=details&amp;id=9861&amp;p=section" TargetMode="External"/><Relationship Id="rId2340" Type="http://schemas.openxmlformats.org/officeDocument/2006/relationships/hyperlink" Target="https://dl.smwcentral.net/9931/MMRDemo.zip" TargetMode="External"/><Relationship Id="rId5289" Type="http://schemas.openxmlformats.org/officeDocument/2006/relationships/hyperlink" Target="https://www.smwcentral.net/?a=details&amp;id=36796&amp;p=section" TargetMode="External"/><Relationship Id="rId105" Type="http://schemas.openxmlformats.org/officeDocument/2006/relationships/hyperlink" Target="https://www.smwcentral.net/?a=details&amp;id=26928&amp;p=section" TargetMode="External"/><Relationship Id="rId312" Type="http://schemas.openxmlformats.org/officeDocument/2006/relationships/hyperlink" Target="https://dl.smwcentral.net/27588/asw2.zip" TargetMode="External"/><Relationship Id="rId2200" Type="http://schemas.openxmlformats.org/officeDocument/2006/relationships/hyperlink" Target="https://dl.smwcentral.net/26149/Mario%27s%20New%20Year%20Mini%20Quest%20%28V1.2%29.zip" TargetMode="External"/><Relationship Id="rId4098" Type="http://schemas.openxmlformats.org/officeDocument/2006/relationships/hyperlink" Target="https://dl.smwcentral.net/25540/SuperMarioWorldRemix.zip" TargetMode="External"/><Relationship Id="rId5149" Type="http://schemas.openxmlformats.org/officeDocument/2006/relationships/hyperlink" Target="https://www.smwcentral.net/?a=details&amp;id=39332&amp;p=section" TargetMode="External"/><Relationship Id="rId5356" Type="http://schemas.openxmlformats.org/officeDocument/2006/relationships/hyperlink" Target="https://dl.smwcentral.net/19397/Watermelon%20World.zip" TargetMode="External"/><Relationship Id="rId1899" Type="http://schemas.openxmlformats.org/officeDocument/2006/relationships/hyperlink" Target="https://www.smwcentral.net/?a=details&amp;id=9968&amp;p=section" TargetMode="External"/><Relationship Id="rId4165" Type="http://schemas.openxmlformats.org/officeDocument/2006/relationships/hyperlink" Target="https://www.smwcentral.net/?a=details&amp;id=9801&amp;p=section" TargetMode="External"/><Relationship Id="rId4372" Type="http://schemas.openxmlformats.org/officeDocument/2006/relationships/hyperlink" Target="https://dl.smwcentral.net/27137/SuperNinjiLand%20-%20V%201.2%20.zip" TargetMode="External"/><Relationship Id="rId5009" Type="http://schemas.openxmlformats.org/officeDocument/2006/relationships/hyperlink" Target="https://www.smwcentral.net/?a=details&amp;id=36961&amp;p=section" TargetMode="External"/><Relationship Id="rId5216" Type="http://schemas.openxmlformats.org/officeDocument/2006/relationships/hyperlink" Target="https://dl.smwcentral.net/21058/Aventura%20Xalabaias.zip" TargetMode="External"/><Relationship Id="rId1759" Type="http://schemas.openxmlformats.org/officeDocument/2006/relationships/hyperlink" Target="https://www.smwcentral.net/?a=details&amp;id=20906&amp;p=section" TargetMode="External"/><Relationship Id="rId1966" Type="http://schemas.openxmlformats.org/officeDocument/2006/relationships/hyperlink" Target="https://dl.smwcentral.net/25552/Mario%20in%20Mushroom%20Rix%20Land%202.zip" TargetMode="External"/><Relationship Id="rId3181" Type="http://schemas.openxmlformats.org/officeDocument/2006/relationships/hyperlink" Target="https://www.smwcentral.net/?a=details&amp;id=28702&amp;p=section" TargetMode="External"/><Relationship Id="rId4025" Type="http://schemas.openxmlformats.org/officeDocument/2006/relationships/hyperlink" Target="https://www.smwcentral.net/?a=details&amp;id=9853&amp;p=section" TargetMode="External"/><Relationship Id="rId5423" Type="http://schemas.openxmlformats.org/officeDocument/2006/relationships/hyperlink" Target="https://www.smwcentral.net/?a=details&amp;id=17482&amp;p=section" TargetMode="External"/><Relationship Id="rId1619" Type="http://schemas.openxmlformats.org/officeDocument/2006/relationships/hyperlink" Target="https://www.smwcentral.net/?a=details&amp;id=20900&amp;p=section" TargetMode="External"/><Relationship Id="rId1826" Type="http://schemas.openxmlformats.org/officeDocument/2006/relationships/hyperlink" Target="https://dl.smwcentral.net/28580/Magiopolis.zip" TargetMode="External"/><Relationship Id="rId4232" Type="http://schemas.openxmlformats.org/officeDocument/2006/relationships/hyperlink" Target="https://dl.smwcentral.net/9772/Uber%20Mario%20World%20DEMO1.zip" TargetMode="External"/><Relationship Id="rId3041" Type="http://schemas.openxmlformats.org/officeDocument/2006/relationships/hyperlink" Target="https://www.smwcentral.net/?a=details&amp;id=29498&amp;p=section" TargetMode="External"/><Relationship Id="rId3998" Type="http://schemas.openxmlformats.org/officeDocument/2006/relationships/hyperlink" Target="https://dl.smwcentral.net/23494/SMWFMQ.zip" TargetMode="External"/><Relationship Id="rId3858" Type="http://schemas.openxmlformats.org/officeDocument/2006/relationships/hyperlink" Target="https://dl.smwcentral.net/34419/Super%20Mario%20Flash.zip" TargetMode="External"/><Relationship Id="rId4909" Type="http://schemas.openxmlformats.org/officeDocument/2006/relationships/hyperlink" Target="https://www.smwcentral.net/?a=details&amp;id=9876&amp;p=section" TargetMode="External"/><Relationship Id="rId779" Type="http://schemas.openxmlformats.org/officeDocument/2006/relationships/hyperlink" Target="https://www.smwcentral.net/?a=details&amp;id=38168&amp;p=section" TargetMode="External"/><Relationship Id="rId986" Type="http://schemas.openxmlformats.org/officeDocument/2006/relationships/hyperlink" Target="https://dl.smwcentral.net/38966/Epiphany.zip" TargetMode="External"/><Relationship Id="rId2667" Type="http://schemas.openxmlformats.org/officeDocument/2006/relationships/hyperlink" Target="https://www.smwcentral.net/?a=details&amp;id=34773&amp;p=section" TargetMode="External"/><Relationship Id="rId3718" Type="http://schemas.openxmlformats.org/officeDocument/2006/relationships/hyperlink" Target="https://dl.smwcentral.net/6070/sm96.zip" TargetMode="External"/><Relationship Id="rId5073" Type="http://schemas.openxmlformats.org/officeDocument/2006/relationships/hyperlink" Target="https://www.smwcentral.net/?a=details&amp;id=35044&amp;p=section" TargetMode="External"/><Relationship Id="rId5280" Type="http://schemas.openxmlformats.org/officeDocument/2006/relationships/hyperlink" Target="https://dl.smwcentral.net/30669/VanillaShakedown.zip" TargetMode="External"/><Relationship Id="rId639" Type="http://schemas.openxmlformats.org/officeDocument/2006/relationships/hyperlink" Target="https://www.smwcentral.net/?a=details&amp;id=41254&amp;p=section" TargetMode="External"/><Relationship Id="rId1269" Type="http://schemas.openxmlformats.org/officeDocument/2006/relationships/hyperlink" Target="https://www.smwcentral.net/?a=details&amp;id=29667&amp;p=section" TargetMode="External"/><Relationship Id="rId1476" Type="http://schemas.openxmlformats.org/officeDocument/2006/relationships/hyperlink" Target="https://dl.smwcentral.net/20758/JTTMK%203%20v2.0.zip" TargetMode="External"/><Relationship Id="rId2874" Type="http://schemas.openxmlformats.org/officeDocument/2006/relationships/hyperlink" Target="https://dl.smwcentral.net/5399/Quest%20on%20Full%20Moon%20Island%20v1.2.zip" TargetMode="External"/><Relationship Id="rId3925" Type="http://schemas.openxmlformats.org/officeDocument/2006/relationships/hyperlink" Target="https://www.smwcentral.net/?a=details&amp;id=22929&amp;p=section" TargetMode="External"/><Relationship Id="rId5140" Type="http://schemas.openxmlformats.org/officeDocument/2006/relationships/hyperlink" Target="https://dl.smwcentral.net/31032/Total%20Jotary%20World.zip" TargetMode="External"/><Relationship Id="rId846" Type="http://schemas.openxmlformats.org/officeDocument/2006/relationships/hyperlink" Target="https://dl.smwcentral.net/41773/Delirium.zip" TargetMode="External"/><Relationship Id="rId1129" Type="http://schemas.openxmlformats.org/officeDocument/2006/relationships/hyperlink" Target="https://www.smwcentral.net/?a=details&amp;id=18101&amp;p=section" TargetMode="External"/><Relationship Id="rId1683" Type="http://schemas.openxmlformats.org/officeDocument/2006/relationships/hyperlink" Target="https://www.smwcentral.net/?a=details&amp;id=31391&amp;p=section" TargetMode="External"/><Relationship Id="rId1890" Type="http://schemas.openxmlformats.org/officeDocument/2006/relationships/hyperlink" Target="https://dl.smwcentral.net/10179/Mario%20and%20the%20Magic%20Switches%20v1.2.zip" TargetMode="External"/><Relationship Id="rId2527" Type="http://schemas.openxmlformats.org/officeDocument/2006/relationships/hyperlink" Target="https://www.smwcentral.net/?a=details&amp;id=33614&amp;p=section" TargetMode="External"/><Relationship Id="rId2734" Type="http://schemas.openxmlformats.org/officeDocument/2006/relationships/hyperlink" Target="https://dl.smwcentral.net/18146/Paul%20%2796%20final%20demo.zip" TargetMode="External"/><Relationship Id="rId2941" Type="http://schemas.openxmlformats.org/officeDocument/2006/relationships/hyperlink" Target="https://www.smwcentral.net/?a=details&amp;id=21865&amp;p=section" TargetMode="External"/><Relationship Id="rId5000" Type="http://schemas.openxmlformats.org/officeDocument/2006/relationships/hyperlink" Target="https://dl.smwcentral.net/28591/The_Sweet_Sweet_Love_V1.1.zip" TargetMode="External"/><Relationship Id="rId706" Type="http://schemas.openxmlformats.org/officeDocument/2006/relationships/hyperlink" Target="https://dl.smwcentral.net/9726/ClassicSMB%20IPS.zip" TargetMode="External"/><Relationship Id="rId913" Type="http://schemas.openxmlformats.org/officeDocument/2006/relationships/hyperlink" Target="https://www.smwcentral.net/?a=details&amp;id=42023&amp;p=section" TargetMode="External"/><Relationship Id="rId1336" Type="http://schemas.openxmlformats.org/officeDocument/2006/relationships/hyperlink" Target="https://dl.smwcentral.net/32158/HummerSMW%20VER7.8.zip" TargetMode="External"/><Relationship Id="rId1543" Type="http://schemas.openxmlformats.org/officeDocument/2006/relationships/hyperlink" Target="https://www.smwcentral.net/?a=details&amp;id=24760&amp;p=section" TargetMode="External"/><Relationship Id="rId1750" Type="http://schemas.openxmlformats.org/officeDocument/2006/relationships/hyperlink" Target="https://dl.smwcentral.net/21746/Luigi%20and%20the%20Final%20Year.zip" TargetMode="External"/><Relationship Id="rId2801" Type="http://schemas.openxmlformats.org/officeDocument/2006/relationships/hyperlink" Target="https://www.smwcentral.net/?a=details&amp;id=39121&amp;p=section" TargetMode="External"/><Relationship Id="rId4699" Type="http://schemas.openxmlformats.org/officeDocument/2006/relationships/hyperlink" Target="https://www.smwcentral.net/?a=details&amp;id=9779&amp;p=section" TargetMode="External"/><Relationship Id="rId42" Type="http://schemas.openxmlformats.org/officeDocument/2006/relationships/hyperlink" Target="https://dl.smwcentral.net/41543/20ChallengesE5.zip" TargetMode="External"/><Relationship Id="rId1403" Type="http://schemas.openxmlformats.org/officeDocument/2006/relationships/hyperlink" Target="https://www.smwcentral.net/?a=details&amp;id=35610&amp;p=section" TargetMode="External"/><Relationship Id="rId1610" Type="http://schemas.openxmlformats.org/officeDocument/2006/relationships/hyperlink" Target="https://dl.smwcentral.net/40054/Koopa%20Hoppers%20Delight%201.1.zip" TargetMode="External"/><Relationship Id="rId4559" Type="http://schemas.openxmlformats.org/officeDocument/2006/relationships/hyperlink" Target="https://www.smwcentral.net/?a=details&amp;id=21088&amp;p=section" TargetMode="External"/><Relationship Id="rId4766" Type="http://schemas.openxmlformats.org/officeDocument/2006/relationships/hyperlink" Target="https://dl.smwcentral.net/30186/TEQOBirdoThePinkDinsosaur%20v1.1.zip" TargetMode="External"/><Relationship Id="rId4973" Type="http://schemas.openxmlformats.org/officeDocument/2006/relationships/hyperlink" Target="https://www.smwcentral.net/?a=details&amp;id=4983&amp;p=section" TargetMode="External"/><Relationship Id="rId3368" Type="http://schemas.openxmlformats.org/officeDocument/2006/relationships/hyperlink" Target="https://dl.smwcentral.net/35213/Steven%20BPS.zip" TargetMode="External"/><Relationship Id="rId3575" Type="http://schemas.openxmlformats.org/officeDocument/2006/relationships/hyperlink" Target="https://www.smwcentral.net/?a=details&amp;id=35698&amp;p=section" TargetMode="External"/><Relationship Id="rId3782" Type="http://schemas.openxmlformats.org/officeDocument/2006/relationships/hyperlink" Target="https://dl.smwcentral.net/6195/SMB3TSP%200.5.zip" TargetMode="External"/><Relationship Id="rId4419" Type="http://schemas.openxmlformats.org/officeDocument/2006/relationships/hyperlink" Target="https://www.smwcentral.net/?a=details&amp;id=22794&amp;p=section" TargetMode="External"/><Relationship Id="rId4626" Type="http://schemas.openxmlformats.org/officeDocument/2006/relationships/hyperlink" Target="https://dl.smwcentral.net/35716/Takemoto_Inspired.zip" TargetMode="External"/><Relationship Id="rId4833" Type="http://schemas.openxmlformats.org/officeDocument/2006/relationships/hyperlink" Target="https://www.smwcentral.net/?a=details&amp;id=34341&amp;p=section" TargetMode="External"/><Relationship Id="rId289" Type="http://schemas.openxmlformats.org/officeDocument/2006/relationships/hyperlink" Target="https://www.smwcentral.net/?a=details&amp;id=9677&amp;p=section" TargetMode="External"/><Relationship Id="rId496" Type="http://schemas.openxmlformats.org/officeDocument/2006/relationships/hyperlink" Target="https://dl.smwcentral.net/18822/Bowser%20Runis%20Marios%20Vaction.zip" TargetMode="External"/><Relationship Id="rId2177" Type="http://schemas.openxmlformats.org/officeDocument/2006/relationships/hyperlink" Target="https://www.smwcentral.net/?a=details&amp;id=5435&amp;p=section" TargetMode="External"/><Relationship Id="rId2384" Type="http://schemas.openxmlformats.org/officeDocument/2006/relationships/hyperlink" Target="https://dl.smwcentral.net/27521/mod%20cape.zip" TargetMode="External"/><Relationship Id="rId2591" Type="http://schemas.openxmlformats.org/officeDocument/2006/relationships/hyperlink" Target="https://www.smwcentral.net/?a=details&amp;id=26287&amp;p=section" TargetMode="External"/><Relationship Id="rId3228" Type="http://schemas.openxmlformats.org/officeDocument/2006/relationships/hyperlink" Target="https://dl.smwcentral.net/19073/Skill%20Challenge.zip" TargetMode="External"/><Relationship Id="rId3435" Type="http://schemas.openxmlformats.org/officeDocument/2006/relationships/hyperlink" Target="https://www.smwcentral.net/?a=details&amp;id=35008&amp;p=section" TargetMode="External"/><Relationship Id="rId3642" Type="http://schemas.openxmlformats.org/officeDocument/2006/relationships/hyperlink" Target="https://dl.smwcentral.net/38590/Super%20Lani%20World%203%20v1.1.zip" TargetMode="External"/><Relationship Id="rId149" Type="http://schemas.openxmlformats.org/officeDocument/2006/relationships/hyperlink" Target="https://www.smwcentral.net/?a=details&amp;id=5056&amp;p=section" TargetMode="External"/><Relationship Id="rId356" Type="http://schemas.openxmlformats.org/officeDocument/2006/relationships/hyperlink" Target="https://dl.smwcentral.net/10346/Awesome_Mario_World%20Ver.%201.0.zip" TargetMode="External"/><Relationship Id="rId563" Type="http://schemas.openxmlformats.org/officeDocument/2006/relationships/hyperlink" Target="https://www.smwcentral.net/?a=details&amp;id=31895&amp;p=section" TargetMode="External"/><Relationship Id="rId770" Type="http://schemas.openxmlformats.org/officeDocument/2006/relationships/hyperlink" Target="https://dl.smwcentral.net/32446/Cruisy%20v1.1.zip" TargetMode="External"/><Relationship Id="rId1193" Type="http://schemas.openxmlformats.org/officeDocument/2006/relationships/hyperlink" Target="https://www.smwcentral.net/?a=details&amp;id=5981&amp;p=section" TargetMode="External"/><Relationship Id="rId2037" Type="http://schemas.openxmlformats.org/officeDocument/2006/relationships/hyperlink" Target="https://www.smwcentral.net/?a=details&amp;id=31372&amp;p=section" TargetMode="External"/><Relationship Id="rId2244" Type="http://schemas.openxmlformats.org/officeDocument/2006/relationships/hyperlink" Target="https://dl.smwcentral.net/12794/Marios%20Sweet%20Adventure%20Demo%204.zip" TargetMode="External"/><Relationship Id="rId2451" Type="http://schemas.openxmlformats.org/officeDocument/2006/relationships/hyperlink" Target="https://www.smwcentral.net/?a=details&amp;id=9981&amp;p=section" TargetMode="External"/><Relationship Id="rId4900" Type="http://schemas.openxmlformats.org/officeDocument/2006/relationships/hyperlink" Target="https://dl.smwcentral.net/22858/Little%20Denise.zip" TargetMode="External"/><Relationship Id="rId216" Type="http://schemas.openxmlformats.org/officeDocument/2006/relationships/hyperlink" Target="https://dl.smwcentral.net/32375/AcidTapesVol1.zip" TargetMode="External"/><Relationship Id="rId423" Type="http://schemas.openxmlformats.org/officeDocument/2006/relationships/hyperlink" Target="https://www.smwcentral.net/?a=details&amp;id=33461&amp;p=section" TargetMode="External"/><Relationship Id="rId1053" Type="http://schemas.openxmlformats.org/officeDocument/2006/relationships/hyperlink" Target="https://www.smwcentral.net/?a=details&amp;id=38986&amp;p=section" TargetMode="External"/><Relationship Id="rId1260" Type="http://schemas.openxmlformats.org/officeDocument/2006/relationships/hyperlink" Target="https://dl.smwcentral.net/15918/GoingTooFar.zip" TargetMode="External"/><Relationship Id="rId2104" Type="http://schemas.openxmlformats.org/officeDocument/2006/relationships/hyperlink" Target="https://dl.smwcentral.net/35335/Mario%20World%20the%20mario%20adventure%20demo.zip" TargetMode="External"/><Relationship Id="rId3502" Type="http://schemas.openxmlformats.org/officeDocument/2006/relationships/hyperlink" Target="https://dl.smwcentral.net/18131/Super%20DGR%20World1.6.zip" TargetMode="External"/><Relationship Id="rId630" Type="http://schemas.openxmlformats.org/officeDocument/2006/relationships/hyperlink" Target="https://dl.smwcentral.net/42602/Castlemania%20II%20-%20REVAMPED.zip" TargetMode="External"/><Relationship Id="rId2311" Type="http://schemas.openxmlformats.org/officeDocument/2006/relationships/hyperlink" Target="https://www.smwcentral.net/?a=details&amp;id=40715&amp;p=section" TargetMode="External"/><Relationship Id="rId4069" Type="http://schemas.openxmlformats.org/officeDocument/2006/relationships/hyperlink" Target="https://www.smwcentral.net/?a=details&amp;id=5521&amp;p=section" TargetMode="External"/><Relationship Id="rId5467" Type="http://schemas.openxmlformats.org/officeDocument/2006/relationships/hyperlink" Target="https://www.smwcentral.net/?a=details&amp;id=40107&amp;p=section" TargetMode="External"/><Relationship Id="rId1120" Type="http://schemas.openxmlformats.org/officeDocument/2006/relationships/hyperlink" Target="https://dl.smwcentral.net/27569/Full%20Bloom%201.1.zip" TargetMode="External"/><Relationship Id="rId4276" Type="http://schemas.openxmlformats.org/officeDocument/2006/relationships/hyperlink" Target="https://dl.smwcentral.net/20417/Super%20Mario%20-%20Daisy%27s%20Kidnapping%20%28C3%20July%202019%20Demo%29.zip" TargetMode="External"/><Relationship Id="rId4483" Type="http://schemas.openxmlformats.org/officeDocument/2006/relationships/hyperlink" Target="https://www.smwcentral.net/?a=details&amp;id=29004&amp;p=section" TargetMode="External"/><Relationship Id="rId4690" Type="http://schemas.openxmlformats.org/officeDocument/2006/relationships/hyperlink" Target="https://dl.smwcentral.net/17706/2017%20OLDC%20v1.1.zip" TargetMode="External"/><Relationship Id="rId5327" Type="http://schemas.openxmlformats.org/officeDocument/2006/relationships/hyperlink" Target="https://www.smwcentral.net/?a=details&amp;id=35849&amp;p=section" TargetMode="External"/><Relationship Id="rId1937" Type="http://schemas.openxmlformats.org/officeDocument/2006/relationships/hyperlink" Target="https://www.smwcentral.net/?a=details&amp;id=18681&amp;p=section" TargetMode="External"/><Relationship Id="rId3085" Type="http://schemas.openxmlformats.org/officeDocument/2006/relationships/hyperlink" Target="https://www.smwcentral.net/?a=details&amp;id=38108&amp;p=section" TargetMode="External"/><Relationship Id="rId3292" Type="http://schemas.openxmlformats.org/officeDocument/2006/relationships/hyperlink" Target="https://dl.smwcentral.net/37784/Sonic%20Epic%20World.zip" TargetMode="External"/><Relationship Id="rId4136" Type="http://schemas.openxmlformats.org/officeDocument/2006/relationships/hyperlink" Target="https://dl.smwcentral.net/13663/Another%20Pointless%20Adventure%20%28World%201%20Demo%29.zip" TargetMode="External"/><Relationship Id="rId4343" Type="http://schemas.openxmlformats.org/officeDocument/2006/relationships/hyperlink" Target="https://www.smwcentral.net/?a=details&amp;id=41290&amp;p=section" TargetMode="External"/><Relationship Id="rId4550" Type="http://schemas.openxmlformats.org/officeDocument/2006/relationships/hyperlink" Target="https://dl.smwcentral.net/18368/SuperWahnthacWorld1.4.zip" TargetMode="External"/><Relationship Id="rId3152" Type="http://schemas.openxmlformats.org/officeDocument/2006/relationships/hyperlink" Target="https://dl.smwcentral.net/25665/SRUpdate.zip" TargetMode="External"/><Relationship Id="rId4203" Type="http://schemas.openxmlformats.org/officeDocument/2006/relationships/hyperlink" Target="https://www.smwcentral.net/?a=details&amp;id=33456&amp;p=section" TargetMode="External"/><Relationship Id="rId4410" Type="http://schemas.openxmlformats.org/officeDocument/2006/relationships/hyperlink" Target="https://dl.smwcentral.net/25501/Super%20Peach%20World.zip" TargetMode="External"/><Relationship Id="rId280" Type="http://schemas.openxmlformats.org/officeDocument/2006/relationships/hyperlink" Target="https://dl.smwcentral.net/26347/AmuletOfCorruption.zip" TargetMode="External"/><Relationship Id="rId3012" Type="http://schemas.openxmlformats.org/officeDocument/2006/relationships/hyperlink" Target="https://dl.smwcentral.net/28308/S.O.B.zip" TargetMode="External"/><Relationship Id="rId140" Type="http://schemas.openxmlformats.org/officeDocument/2006/relationships/hyperlink" Target="https://dl.smwcentral.net/29849/A%20Mole%20in%20Space%20Ver.%202.3.zip" TargetMode="External"/><Relationship Id="rId3969" Type="http://schemas.openxmlformats.org/officeDocument/2006/relationships/hyperlink" Target="https://www.smwcentral.net/?a=details&amp;id=9808&amp;p=section" TargetMode="External"/><Relationship Id="rId5184" Type="http://schemas.openxmlformats.org/officeDocument/2006/relationships/hyperlink" Target="https://dl.smwcentral.net/35774/Trouble%20at%20Snow%20Land%201.1.zip" TargetMode="External"/><Relationship Id="rId5391" Type="http://schemas.openxmlformats.org/officeDocument/2006/relationships/hyperlink" Target="https://www.smwcentral.net/?a=details&amp;id=28807&amp;p=section" TargetMode="External"/><Relationship Id="rId6" Type="http://schemas.openxmlformats.org/officeDocument/2006/relationships/hyperlink" Target="https://dl.smwcentral.net/6027/%23thathack.zip" TargetMode="External"/><Relationship Id="rId2778" Type="http://schemas.openxmlformats.org/officeDocument/2006/relationships/hyperlink" Target="https://dl.smwcentral.net/16765/Pit%20of%20Insaneness%202.zip" TargetMode="External"/><Relationship Id="rId2985" Type="http://schemas.openxmlformats.org/officeDocument/2006/relationships/hyperlink" Target="https://www.smwcentral.net/?a=details&amp;id=41533&amp;p=section" TargetMode="External"/><Relationship Id="rId3829" Type="http://schemas.openxmlformats.org/officeDocument/2006/relationships/hyperlink" Target="https://www.smwcentral.net/?a=details&amp;id=27363&amp;p=section" TargetMode="External"/><Relationship Id="rId5044" Type="http://schemas.openxmlformats.org/officeDocument/2006/relationships/hyperlink" Target="https://dl.smwcentral.net/15340/WorldsLongestShellJump.zip" TargetMode="External"/><Relationship Id="rId957" Type="http://schemas.openxmlformats.org/officeDocument/2006/relationships/hyperlink" Target="https://www.smwcentral.net/?a=details&amp;id=40018&amp;p=section" TargetMode="External"/><Relationship Id="rId1587" Type="http://schemas.openxmlformats.org/officeDocument/2006/relationships/hyperlink" Target="https://www.smwcentral.net/?a=details&amp;id=5184&amp;p=section" TargetMode="External"/><Relationship Id="rId1794" Type="http://schemas.openxmlformats.org/officeDocument/2006/relationships/hyperlink" Target="https://dl.smwcentral.net/35320/Luigimiss5full04A.zip" TargetMode="External"/><Relationship Id="rId2638" Type="http://schemas.openxmlformats.org/officeDocument/2006/relationships/hyperlink" Target="https://dl.smwcentral.net/35139/Odd%20Sands.zip" TargetMode="External"/><Relationship Id="rId2845" Type="http://schemas.openxmlformats.org/officeDocument/2006/relationships/hyperlink" Target="https://www.smwcentral.net/?a=details&amp;id=18695&amp;p=section" TargetMode="External"/><Relationship Id="rId5251" Type="http://schemas.openxmlformats.org/officeDocument/2006/relationships/hyperlink" Target="https://www.smwcentral.net/?a=details&amp;id=32500&amp;p=section" TargetMode="External"/><Relationship Id="rId86" Type="http://schemas.openxmlformats.org/officeDocument/2006/relationships/hyperlink" Target="https://dl.smwcentral.net/37997/Mario%20Adventure%20Land.zip" TargetMode="External"/><Relationship Id="rId817" Type="http://schemas.openxmlformats.org/officeDocument/2006/relationships/hyperlink" Target="https://www.smwcentral.net/?a=details&amp;id=23431&amp;p=section" TargetMode="External"/><Relationship Id="rId1447" Type="http://schemas.openxmlformats.org/officeDocument/2006/relationships/hyperlink" Target="https://www.smwcentral.net/?a=details&amp;id=10006&amp;p=section" TargetMode="External"/><Relationship Id="rId1654" Type="http://schemas.openxmlformats.org/officeDocument/2006/relationships/hyperlink" Target="https://dl.smwcentral.net/38747/Labyrinth%20of%20shadows.zip" TargetMode="External"/><Relationship Id="rId1861" Type="http://schemas.openxmlformats.org/officeDocument/2006/relationships/hyperlink" Target="https://www.smwcentral.net/?a=details&amp;id=29048&amp;p=section" TargetMode="External"/><Relationship Id="rId2705" Type="http://schemas.openxmlformats.org/officeDocument/2006/relationships/hyperlink" Target="https://www.smwcentral.net/?a=details&amp;id=39513&amp;p=section" TargetMode="External"/><Relationship Id="rId2912" Type="http://schemas.openxmlformats.org/officeDocument/2006/relationships/hyperlink" Target="https://dl.smwcentral.net/34786/redheroslegacy.zip" TargetMode="External"/><Relationship Id="rId4060" Type="http://schemas.openxmlformats.org/officeDocument/2006/relationships/hyperlink" Target="https://dl.smwcentral.net/32929/SMW_ver.0.5.zip" TargetMode="External"/><Relationship Id="rId5111" Type="http://schemas.openxmlformats.org/officeDocument/2006/relationships/hyperlink" Target="https://www.smwcentral.net/?a=details&amp;id=38570&amp;p=section" TargetMode="External"/><Relationship Id="rId1307" Type="http://schemas.openxmlformats.org/officeDocument/2006/relationships/hyperlink" Target="https://www.smwcentral.net/?a=details&amp;id=24549&amp;p=section" TargetMode="External"/><Relationship Id="rId1514" Type="http://schemas.openxmlformats.org/officeDocument/2006/relationships/hyperlink" Target="https://dl.smwcentral.net/28910/kaiden.zip" TargetMode="External"/><Relationship Id="rId1721" Type="http://schemas.openxmlformats.org/officeDocument/2006/relationships/hyperlink" Target="https://www.smwcentral.net/?a=details&amp;id=17903&amp;p=section" TargetMode="External"/><Relationship Id="rId4877" Type="http://schemas.openxmlformats.org/officeDocument/2006/relationships/hyperlink" Target="https://www.smwcentral.net/?a=details&amp;id=5965&amp;p=section" TargetMode="External"/><Relationship Id="rId13" Type="http://schemas.openxmlformats.org/officeDocument/2006/relationships/hyperlink" Target="https://www.smwcentral.net/?a=details&amp;id=15342&amp;p=section" TargetMode="External"/><Relationship Id="rId3479" Type="http://schemas.openxmlformats.org/officeDocument/2006/relationships/hyperlink" Target="https://www.smwcentral.net/?a=details&amp;id=37951&amp;p=section" TargetMode="External"/><Relationship Id="rId3686" Type="http://schemas.openxmlformats.org/officeDocument/2006/relationships/hyperlink" Target="https://dl.smwcentral.net/39777/Super%20Macron%20World%20%28Fixed%29.zip" TargetMode="External"/><Relationship Id="rId2288" Type="http://schemas.openxmlformats.org/officeDocument/2006/relationships/hyperlink" Target="https://dl.smwcentral.net/37928/MariosPizzaParty.zip" TargetMode="External"/><Relationship Id="rId2495" Type="http://schemas.openxmlformats.org/officeDocument/2006/relationships/hyperlink" Target="https://www.smwcentral.net/?a=details&amp;id=33777&amp;p=section" TargetMode="External"/><Relationship Id="rId3339" Type="http://schemas.openxmlformats.org/officeDocument/2006/relationships/hyperlink" Target="https://www.smwcentral.net/?a=details&amp;id=37616&amp;p=section" TargetMode="External"/><Relationship Id="rId3893" Type="http://schemas.openxmlformats.org/officeDocument/2006/relationships/hyperlink" Target="https://www.smwcentral.net/?a=details&amp;id=8983&amp;p=section" TargetMode="External"/><Relationship Id="rId4737" Type="http://schemas.openxmlformats.org/officeDocument/2006/relationships/hyperlink" Target="https://www.smwcentral.net/?a=details&amp;id=41814&amp;p=section" TargetMode="External"/><Relationship Id="rId4944" Type="http://schemas.openxmlformats.org/officeDocument/2006/relationships/hyperlink" Target="https://dl.smwcentral.net/32483/The%20Quest%20for%20the%20Candies%20%28V1.1.1%29.zip" TargetMode="External"/><Relationship Id="rId467" Type="http://schemas.openxmlformats.org/officeDocument/2006/relationships/hyperlink" Target="https://www.smwcentral.net/?a=details&amp;id=14376&amp;p=section" TargetMode="External"/><Relationship Id="rId1097" Type="http://schemas.openxmlformats.org/officeDocument/2006/relationships/hyperlink" Target="https://www.smwcentral.net/?a=details&amp;id=41980&amp;p=section" TargetMode="External"/><Relationship Id="rId2148" Type="http://schemas.openxmlformats.org/officeDocument/2006/relationships/hyperlink" Target="https://dl.smwcentral.net/36826/Marios%20Epic%20Adventure%20Demo%202.zip" TargetMode="External"/><Relationship Id="rId3546" Type="http://schemas.openxmlformats.org/officeDocument/2006/relationships/hyperlink" Target="https://dl.smwcentral.net/34184/Super%20Foo%20World%202%20v1.1.zip" TargetMode="External"/><Relationship Id="rId3753" Type="http://schemas.openxmlformats.org/officeDocument/2006/relationships/hyperlink" Target="https://www.smwcentral.net/?a=details&amp;id=5333&amp;p=section" TargetMode="External"/><Relationship Id="rId3960" Type="http://schemas.openxmlformats.org/officeDocument/2006/relationships/hyperlink" Target="https://dl.smwcentral.net/5581/Super%20Mario%20Tales%20DEMO.zip" TargetMode="External"/><Relationship Id="rId4804" Type="http://schemas.openxmlformats.org/officeDocument/2006/relationships/hyperlink" Target="https://dl.smwcentral.net/40917/TheFugue1_1.zip" TargetMode="External"/><Relationship Id="rId674" Type="http://schemas.openxmlformats.org/officeDocument/2006/relationships/hyperlink" Target="https://dl.smwcentral.net/31080/Choconilla%20Kaizo%20Island%20v1.2.zip" TargetMode="External"/><Relationship Id="rId881" Type="http://schemas.openxmlformats.org/officeDocument/2006/relationships/hyperlink" Target="https://www.smwcentral.net/?a=details&amp;id=26179&amp;p=section" TargetMode="External"/><Relationship Id="rId2355" Type="http://schemas.openxmlformats.org/officeDocument/2006/relationships/hyperlink" Target="https://www.smwcentral.net/?a=details&amp;id=37802&amp;p=section" TargetMode="External"/><Relationship Id="rId2562" Type="http://schemas.openxmlformats.org/officeDocument/2006/relationships/hyperlink" Target="https://dl.smwcentral.net/38934/Nightmare%20Cafe%20Seasons%20V1.0%20%2B%20Credits.zip" TargetMode="External"/><Relationship Id="rId3406" Type="http://schemas.openxmlformats.org/officeDocument/2006/relationships/hyperlink" Target="https://dl.smwcentral.net/24931/adamworld.zip" TargetMode="External"/><Relationship Id="rId3613" Type="http://schemas.openxmlformats.org/officeDocument/2006/relationships/hyperlink" Target="https://www.smwcentral.net/?a=details&amp;id=39039&amp;p=section" TargetMode="External"/><Relationship Id="rId3820" Type="http://schemas.openxmlformats.org/officeDocument/2006/relationships/hyperlink" Target="https://dl.smwcentral.net/9712/SMBTheCastle2Demo.zip" TargetMode="External"/><Relationship Id="rId327" Type="http://schemas.openxmlformats.org/officeDocument/2006/relationships/hyperlink" Target="https://www.smwcentral.net/?a=details&amp;id=41875&amp;p=section" TargetMode="External"/><Relationship Id="rId534" Type="http://schemas.openxmlformats.org/officeDocument/2006/relationships/hyperlink" Target="https://dl.smwcentral.net/30248/Brave%20New%20World%201.1.zip" TargetMode="External"/><Relationship Id="rId741" Type="http://schemas.openxmlformats.org/officeDocument/2006/relationships/hyperlink" Target="https://www.smwcentral.net/?a=details&amp;id=6085&amp;p=section" TargetMode="External"/><Relationship Id="rId1164" Type="http://schemas.openxmlformats.org/officeDocument/2006/relationships/hyperlink" Target="https://dl.smwcentral.net/25591/God%20do%20Shell%20v1.3.zip" TargetMode="External"/><Relationship Id="rId1371" Type="http://schemas.openxmlformats.org/officeDocument/2006/relationships/hyperlink" Target="https://www.smwcentral.net/?a=details&amp;id=18391&amp;p=section" TargetMode="External"/><Relationship Id="rId2008" Type="http://schemas.openxmlformats.org/officeDocument/2006/relationships/hyperlink" Target="https://dl.smwcentral.net/10949/fruitcave.zip" TargetMode="External"/><Relationship Id="rId2215" Type="http://schemas.openxmlformats.org/officeDocument/2006/relationships/hyperlink" Target="https://www.smwcentral.net/?a=details&amp;id=12947&amp;p=section" TargetMode="External"/><Relationship Id="rId2422" Type="http://schemas.openxmlformats.org/officeDocument/2006/relationships/hyperlink" Target="https://dl.smwcentral.net/31223/Mushroom%20Kingdom%20Meltdown%202%20-%20Fixed.zip" TargetMode="External"/><Relationship Id="rId601" Type="http://schemas.openxmlformats.org/officeDocument/2006/relationships/hyperlink" Target="https://www.smwcentral.net/?a=details&amp;id=33805&amp;p=section" TargetMode="External"/><Relationship Id="rId1024" Type="http://schemas.openxmlformats.org/officeDocument/2006/relationships/hyperlink" Target="https://dl.smwcentral.net/21563/Exodius%201.1.zip" TargetMode="External"/><Relationship Id="rId1231" Type="http://schemas.openxmlformats.org/officeDocument/2006/relationships/hyperlink" Target="https://www.smwcentral.net/?a=details&amp;id=25268&amp;p=section" TargetMode="External"/><Relationship Id="rId4387" Type="http://schemas.openxmlformats.org/officeDocument/2006/relationships/hyperlink" Target="https://www.smwcentral.net/?a=details&amp;id=30237&amp;p=section" TargetMode="External"/><Relationship Id="rId4594" Type="http://schemas.openxmlformats.org/officeDocument/2006/relationships/hyperlink" Target="https://dl.smwcentral.net/39957/supernaydropzsmm2.zip" TargetMode="External"/><Relationship Id="rId5438" Type="http://schemas.openxmlformats.org/officeDocument/2006/relationships/hyperlink" Target="https://dl.smwcentral.net/28710/YikesKaizoWorld_v1.0.zip" TargetMode="External"/><Relationship Id="rId3196" Type="http://schemas.openxmlformats.org/officeDocument/2006/relationships/hyperlink" Target="https://dl.smwcentral.net/29542/smol%201.1.zip" TargetMode="External"/><Relationship Id="rId4247" Type="http://schemas.openxmlformats.org/officeDocument/2006/relationships/hyperlink" Target="https://www.smwcentral.net/?a=details&amp;id=41496&amp;p=section" TargetMode="External"/><Relationship Id="rId4454" Type="http://schemas.openxmlformats.org/officeDocument/2006/relationships/hyperlink" Target="https://dl.smwcentral.net/23981/SRW%20Prequel.zip" TargetMode="External"/><Relationship Id="rId4661" Type="http://schemas.openxmlformats.org/officeDocument/2006/relationships/hyperlink" Target="https://www.smwcentral.net/?a=details&amp;id=22304&amp;p=section" TargetMode="External"/><Relationship Id="rId3056" Type="http://schemas.openxmlformats.org/officeDocument/2006/relationships/hyperlink" Target="https://dl.smwcentral.net/5074/sendysworldv0.3.zip" TargetMode="External"/><Relationship Id="rId3263" Type="http://schemas.openxmlformats.org/officeDocument/2006/relationships/hyperlink" Target="https://www.smwcentral.net/?a=details&amp;id=41378&amp;p=section" TargetMode="External"/><Relationship Id="rId3470" Type="http://schemas.openxmlformats.org/officeDocument/2006/relationships/hyperlink" Target="https://dl.smwcentral.net/39684/Super%20Corn%20World%20II.zip" TargetMode="External"/><Relationship Id="rId4107" Type="http://schemas.openxmlformats.org/officeDocument/2006/relationships/hyperlink" Target="https://www.smwcentral.net/?a=details&amp;id=18631&amp;p=section" TargetMode="External"/><Relationship Id="rId4314" Type="http://schemas.openxmlformats.org/officeDocument/2006/relationships/hyperlink" Target="https://dl.smwcentral.net/9954/Uchronia.zip" TargetMode="External"/><Relationship Id="rId184" Type="http://schemas.openxmlformats.org/officeDocument/2006/relationships/hyperlink" Target="https://dl.smwcentral.net/5052/A%20Summer%20Level.zip" TargetMode="External"/><Relationship Id="rId391" Type="http://schemas.openxmlformats.org/officeDocument/2006/relationships/hyperlink" Target="https://www.smwcentral.net/?a=details&amp;id=34021&amp;p=section" TargetMode="External"/><Relationship Id="rId1908" Type="http://schemas.openxmlformats.org/officeDocument/2006/relationships/hyperlink" Target="https://dl.smwcentral.net/19357/Mario%20at%20the%20Kasranova%20Levels.zip" TargetMode="External"/><Relationship Id="rId2072" Type="http://schemas.openxmlformats.org/officeDocument/2006/relationships/hyperlink" Target="https://dl.smwcentral.net/27627/Mario%20story%20-%20return%20to%20SNS%20V1.1.zip" TargetMode="External"/><Relationship Id="rId3123" Type="http://schemas.openxmlformats.org/officeDocument/2006/relationships/hyperlink" Target="https://www.smwcentral.net/?a=details&amp;id=5997&amp;p=section" TargetMode="External"/><Relationship Id="rId4521" Type="http://schemas.openxmlformats.org/officeDocument/2006/relationships/hyperlink" Target="https://www.smwcentral.net/?a=details&amp;id=38881&amp;p=section" TargetMode="External"/><Relationship Id="rId251" Type="http://schemas.openxmlformats.org/officeDocument/2006/relationships/hyperlink" Target="https://www.smwcentral.net/?a=details&amp;id=18612&amp;p=section" TargetMode="External"/><Relationship Id="rId3330" Type="http://schemas.openxmlformats.org/officeDocument/2006/relationships/hyperlink" Target="https://dl.smwcentral.net/5466/Spiral%20Quiral%20V2.2.zip" TargetMode="External"/><Relationship Id="rId5088" Type="http://schemas.openxmlformats.org/officeDocument/2006/relationships/hyperlink" Target="https://dl.smwcentral.net/28647/Timeline%20World%201.2.zip" TargetMode="External"/><Relationship Id="rId2889" Type="http://schemas.openxmlformats.org/officeDocument/2006/relationships/hyperlink" Target="https://www.smwcentral.net/?a=details&amp;id=32644&amp;p=section" TargetMode="External"/><Relationship Id="rId5295" Type="http://schemas.openxmlformats.org/officeDocument/2006/relationships/hyperlink" Target="https://www.smwcentral.net/?a=details&amp;id=21080&amp;p=section" TargetMode="External"/><Relationship Id="rId111" Type="http://schemas.openxmlformats.org/officeDocument/2006/relationships/hyperlink" Target="https://www.smwcentral.net/?a=details&amp;id=10928&amp;p=section" TargetMode="External"/><Relationship Id="rId1698" Type="http://schemas.openxmlformats.org/officeDocument/2006/relationships/hyperlink" Target="https://dl.smwcentral.net/37073/A%20glitch%20puzzle%20level%20-%202023%20Remaster.zip" TargetMode="External"/><Relationship Id="rId2749" Type="http://schemas.openxmlformats.org/officeDocument/2006/relationships/hyperlink" Target="https://www.smwcentral.net/?a=details&amp;id=18794&amp;p=section" TargetMode="External"/><Relationship Id="rId2956" Type="http://schemas.openxmlformats.org/officeDocument/2006/relationships/hyperlink" Target="https://dl.smwcentral.net/9029/RttC-1.3.zip" TargetMode="External"/><Relationship Id="rId5155" Type="http://schemas.openxmlformats.org/officeDocument/2006/relationships/hyperlink" Target="https://www.smwcentral.net/?a=details&amp;id=14452&amp;p=section" TargetMode="External"/><Relationship Id="rId5362" Type="http://schemas.openxmlformats.org/officeDocument/2006/relationships/hyperlink" Target="https://dl.smwcentral.net/38468/kuso.zip" TargetMode="External"/><Relationship Id="rId928" Type="http://schemas.openxmlformats.org/officeDocument/2006/relationships/hyperlink" Target="https://dl.smwcentral.net/22132/dumb.zip" TargetMode="External"/><Relationship Id="rId1558" Type="http://schemas.openxmlformats.org/officeDocument/2006/relationships/hyperlink" Target="https://dl.smwcentral.net/9918/kamek.zip" TargetMode="External"/><Relationship Id="rId1765" Type="http://schemas.openxmlformats.org/officeDocument/2006/relationships/hyperlink" Target="https://www.smwcentral.net/?a=details&amp;id=27348&amp;p=section" TargetMode="External"/><Relationship Id="rId2609" Type="http://schemas.openxmlformats.org/officeDocument/2006/relationships/hyperlink" Target="https://www.smwcentral.net/?a=details&amp;id=16909&amp;p=section" TargetMode="External"/><Relationship Id="rId4171" Type="http://schemas.openxmlformats.org/officeDocument/2006/relationships/hyperlink" Target="https://www.smwcentral.net/?a=details&amp;id=10074&amp;p=section" TargetMode="External"/><Relationship Id="rId5015" Type="http://schemas.openxmlformats.org/officeDocument/2006/relationships/hyperlink" Target="https://www.smwcentral.net/?a=details&amp;id=10136&amp;p=section" TargetMode="External"/><Relationship Id="rId5222" Type="http://schemas.openxmlformats.org/officeDocument/2006/relationships/hyperlink" Target="https://dl.smwcentral.net/21138/Under%20the%20Rose.zip" TargetMode="External"/><Relationship Id="rId57" Type="http://schemas.openxmlformats.org/officeDocument/2006/relationships/hyperlink" Target="https://www.smwcentral.net/?a=details&amp;id=34013&amp;p=section" TargetMode="External"/><Relationship Id="rId1418" Type="http://schemas.openxmlformats.org/officeDocument/2006/relationships/hyperlink" Target="https://dl.smwcentral.net/22907/Interesting.zip" TargetMode="External"/><Relationship Id="rId1972" Type="http://schemas.openxmlformats.org/officeDocument/2006/relationships/hyperlink" Target="https://dl.smwcentral.net/38322/Mario%20In%20Mushroom%20Rix%20Land%205%20C3%20Summer%202024%20Demo%20%28Version%201.1%20Update%21%29.zip" TargetMode="External"/><Relationship Id="rId2816" Type="http://schemas.openxmlformats.org/officeDocument/2006/relationships/hyperlink" Target="https://dl.smwcentral.net/30609/popi%20world%202.zip" TargetMode="External"/><Relationship Id="rId4031" Type="http://schemas.openxmlformats.org/officeDocument/2006/relationships/hyperlink" Target="https://www.smwcentral.net/?a=details&amp;id=39482&amp;p=section" TargetMode="External"/><Relationship Id="rId1625" Type="http://schemas.openxmlformats.org/officeDocument/2006/relationships/hyperlink" Target="https://www.smwcentral.net/?a=details&amp;id=10066&amp;p=section" TargetMode="External"/><Relationship Id="rId1832" Type="http://schemas.openxmlformats.org/officeDocument/2006/relationships/hyperlink" Target="https://dl.smwcentral.net/9889/Maple%20Island%20DEMO.zip" TargetMode="External"/><Relationship Id="rId4988" Type="http://schemas.openxmlformats.org/officeDocument/2006/relationships/hyperlink" Target="https://dl.smwcentral.net/11848/The%20Seven%20Hurdles%20v1.1.zip" TargetMode="External"/><Relationship Id="rId3797" Type="http://schemas.openxmlformats.org/officeDocument/2006/relationships/hyperlink" Target="https://www.smwcentral.net/?a=details&amp;id=29052&amp;p=section" TargetMode="External"/><Relationship Id="rId4848" Type="http://schemas.openxmlformats.org/officeDocument/2006/relationships/hyperlink" Target="https://dl.smwcentral.net/24997/The%20Hungrymumbles%20Project%20V1.3.zip" TargetMode="External"/><Relationship Id="rId2399" Type="http://schemas.openxmlformats.org/officeDocument/2006/relationships/hyperlink" Target="https://www.smwcentral.net/?a=details&amp;id=17305&amp;p=section" TargetMode="External"/><Relationship Id="rId3657" Type="http://schemas.openxmlformats.org/officeDocument/2006/relationships/hyperlink" Target="https://www.smwcentral.net/?a=details&amp;id=26130&amp;p=section" TargetMode="External"/><Relationship Id="rId3864" Type="http://schemas.openxmlformats.org/officeDocument/2006/relationships/hyperlink" Target="https://dl.smwcentral.net/15487/Super%20Mario%20Hack%20v1.7.zip" TargetMode="External"/><Relationship Id="rId4708" Type="http://schemas.openxmlformats.org/officeDocument/2006/relationships/hyperlink" Target="https://dl.smwcentral.net/11254/vldc8_1.2.zip" TargetMode="External"/><Relationship Id="rId4915" Type="http://schemas.openxmlformats.org/officeDocument/2006/relationships/hyperlink" Target="https://www.smwcentral.net/?a=details&amp;id=30029&amp;p=section" TargetMode="External"/><Relationship Id="rId578" Type="http://schemas.openxmlformats.org/officeDocument/2006/relationships/hyperlink" Target="https://dl.smwcentral.net/39760/BUTT%20GRAVY.zip" TargetMode="External"/><Relationship Id="rId785" Type="http://schemas.openxmlformats.org/officeDocument/2006/relationships/hyperlink" Target="https://www.smwcentral.net/?a=details&amp;id=30915&amp;p=section" TargetMode="External"/><Relationship Id="rId992" Type="http://schemas.openxmlformats.org/officeDocument/2006/relationships/hyperlink" Target="https://dl.smwcentral.net/41609/Escape%20from%20La%20Plume.zip" TargetMode="External"/><Relationship Id="rId2259" Type="http://schemas.openxmlformats.org/officeDocument/2006/relationships/hyperlink" Target="https://www.smwcentral.net/?a=details&amp;id=5488&amp;p=section" TargetMode="External"/><Relationship Id="rId2466" Type="http://schemas.openxmlformats.org/officeDocument/2006/relationships/hyperlink" Target="https://dl.smwcentral.net/31239/Nameless_Kaizo_World-V1.1.zip" TargetMode="External"/><Relationship Id="rId2673" Type="http://schemas.openxmlformats.org/officeDocument/2006/relationships/hyperlink" Target="https://www.smwcentral.net/?a=details&amp;id=18376&amp;p=section" TargetMode="External"/><Relationship Id="rId2880" Type="http://schemas.openxmlformats.org/officeDocument/2006/relationships/hyperlink" Target="https://dl.smwcentral.net/17441/QuickieWorld1.12.zip" TargetMode="External"/><Relationship Id="rId3517" Type="http://schemas.openxmlformats.org/officeDocument/2006/relationships/hyperlink" Target="https://www.smwcentral.net/?a=details&amp;id=23960&amp;p=section" TargetMode="External"/><Relationship Id="rId3724" Type="http://schemas.openxmlformats.org/officeDocument/2006/relationships/hyperlink" Target="https://dl.smwcentral.net/6207/Mario%27s%20adventure.zip" TargetMode="External"/><Relationship Id="rId3931" Type="http://schemas.openxmlformats.org/officeDocument/2006/relationships/hyperlink" Target="https://www.smwcentral.net/?a=details&amp;id=5175&amp;p=section" TargetMode="External"/><Relationship Id="rId438" Type="http://schemas.openxmlformats.org/officeDocument/2006/relationships/hyperlink" Target="https://dl.smwcentral.net/18119/Bits_and_Pieces_3rd_Edition.zip" TargetMode="External"/><Relationship Id="rId645" Type="http://schemas.openxmlformats.org/officeDocument/2006/relationships/hyperlink" Target="https://www.smwcentral.net/?a=details&amp;id=40504&amp;p=section" TargetMode="External"/><Relationship Id="rId852" Type="http://schemas.openxmlformats.org/officeDocument/2006/relationships/hyperlink" Target="https://dl.smwcentral.net/10541/DesertTraveling.zip" TargetMode="External"/><Relationship Id="rId1068" Type="http://schemas.openxmlformats.org/officeDocument/2006/relationships/hyperlink" Target="https://dl.smwcentral.net/15713/Fishing_Season_2.zip" TargetMode="External"/><Relationship Id="rId1275" Type="http://schemas.openxmlformats.org/officeDocument/2006/relationships/hyperlink" Target="https://www.smwcentral.net/?a=details&amp;id=28590&amp;p=section" TargetMode="External"/><Relationship Id="rId1482" Type="http://schemas.openxmlformats.org/officeDocument/2006/relationships/hyperlink" Target="https://dl.smwcentral.net/13781/Jumpman%20Returns.zip" TargetMode="External"/><Relationship Id="rId2119" Type="http://schemas.openxmlformats.org/officeDocument/2006/relationships/hyperlink" Target="https://www.smwcentral.net/?a=details&amp;id=16579&amp;p=section" TargetMode="External"/><Relationship Id="rId2326" Type="http://schemas.openxmlformats.org/officeDocument/2006/relationships/hyperlink" Target="https://dl.smwcentral.net/9967/Mega%20Man%27s%20Trip%20to%20An%20Unknown%20World.zip" TargetMode="External"/><Relationship Id="rId2533" Type="http://schemas.openxmlformats.org/officeDocument/2006/relationships/hyperlink" Target="https://www.smwcentral.net/?a=details&amp;id=13845&amp;p=section" TargetMode="External"/><Relationship Id="rId2740" Type="http://schemas.openxmlformats.org/officeDocument/2006/relationships/hyperlink" Target="https://dl.smwcentral.net/9766/Peach%20Melba.zip" TargetMode="External"/><Relationship Id="rId505" Type="http://schemas.openxmlformats.org/officeDocument/2006/relationships/hyperlink" Target="https://www.smwcentral.net/?a=details&amp;id=13982&amp;p=section" TargetMode="External"/><Relationship Id="rId712" Type="http://schemas.openxmlformats.org/officeDocument/2006/relationships/hyperlink" Target="https://dl.smwcentral.net/32102/Coffee%20And%20TV%201.1.zip" TargetMode="External"/><Relationship Id="rId1135" Type="http://schemas.openxmlformats.org/officeDocument/2006/relationships/hyperlink" Target="https://www.smwcentral.net/?a=details&amp;id=37652&amp;p=section" TargetMode="External"/><Relationship Id="rId1342" Type="http://schemas.openxmlformats.org/officeDocument/2006/relationships/hyperlink" Target="https://dl.smwcentral.net/28174/Hydro.zip" TargetMode="External"/><Relationship Id="rId4498" Type="http://schemas.openxmlformats.org/officeDocument/2006/relationships/hyperlink" Target="https://dl.smwcentral.net/33637/Super%20Speed%20World%20DEMO.zip" TargetMode="External"/><Relationship Id="rId1202" Type="http://schemas.openxmlformats.org/officeDocument/2006/relationships/hyperlink" Target="https://dl.smwcentral.net/41387/grenudo.zip" TargetMode="External"/><Relationship Id="rId2600" Type="http://schemas.openxmlformats.org/officeDocument/2006/relationships/hyperlink" Target="https://dl.smwcentral.net/33562/nobodyasked_1.0.zip" TargetMode="External"/><Relationship Id="rId4358" Type="http://schemas.openxmlformats.org/officeDocument/2006/relationships/hyperlink" Target="https://dl.smwcentral.net/39689/NapuWorldV1.1.zip" TargetMode="External"/><Relationship Id="rId5409" Type="http://schemas.openxmlformats.org/officeDocument/2006/relationships/hyperlink" Target="https://www.smwcentral.net/?a=details&amp;id=41374&amp;p=section" TargetMode="External"/><Relationship Id="rId3167" Type="http://schemas.openxmlformats.org/officeDocument/2006/relationships/hyperlink" Target="https://www.smwcentral.net/?a=details&amp;id=42650&amp;p=section" TargetMode="External"/><Relationship Id="rId4565" Type="http://schemas.openxmlformats.org/officeDocument/2006/relationships/hyperlink" Target="https://www.smwcentral.net/?a=details&amp;id=22088&amp;p=section" TargetMode="External"/><Relationship Id="rId4772" Type="http://schemas.openxmlformats.org/officeDocument/2006/relationships/hyperlink" Target="https://dl.smwcentral.net/10064/EvilMaze2.4.zip" TargetMode="External"/><Relationship Id="rId295" Type="http://schemas.openxmlformats.org/officeDocument/2006/relationships/hyperlink" Target="https://www.smwcentral.net/?a=details&amp;id=10160&amp;p=section" TargetMode="External"/><Relationship Id="rId3374" Type="http://schemas.openxmlformats.org/officeDocument/2006/relationships/hyperlink" Target="https://dl.smwcentral.net/27282/apes1.14.zip" TargetMode="External"/><Relationship Id="rId3581" Type="http://schemas.openxmlformats.org/officeDocument/2006/relationships/hyperlink" Target="https://www.smwcentral.net/?a=details&amp;id=21337&amp;p=section" TargetMode="External"/><Relationship Id="rId4218" Type="http://schemas.openxmlformats.org/officeDocument/2006/relationships/hyperlink" Target="https://dl.smwcentral.net/14829/Super%20Mario%20World%20-%20The%20New%20World.zip" TargetMode="External"/><Relationship Id="rId4425" Type="http://schemas.openxmlformats.org/officeDocument/2006/relationships/hyperlink" Target="https://www.smwcentral.net/?a=details&amp;id=9780&amp;p=section" TargetMode="External"/><Relationship Id="rId4632" Type="http://schemas.openxmlformats.org/officeDocument/2006/relationships/hyperlink" Target="https://dl.smwcentral.net/41830/TaleSpin.zip" TargetMode="External"/><Relationship Id="rId2183" Type="http://schemas.openxmlformats.org/officeDocument/2006/relationships/hyperlink" Target="https://www.smwcentral.net/?a=details&amp;id=9703&amp;p=section" TargetMode="External"/><Relationship Id="rId2390" Type="http://schemas.openxmlformats.org/officeDocument/2006/relationships/hyperlink" Target="https://dl.smwcentral.net/18254/Monty%20Mole%20Island%202%20-%20Redrawn%20Island.zip" TargetMode="External"/><Relationship Id="rId3027" Type="http://schemas.openxmlformats.org/officeDocument/2006/relationships/hyperlink" Target="https://www.smwcentral.net/?a=details&amp;id=39701&amp;p=section" TargetMode="External"/><Relationship Id="rId3234" Type="http://schemas.openxmlformats.org/officeDocument/2006/relationships/hyperlink" Target="https://dl.smwcentral.net/28099/SMW%20The%20Crown%20Tale%20v1.3.zip" TargetMode="External"/><Relationship Id="rId3441" Type="http://schemas.openxmlformats.org/officeDocument/2006/relationships/hyperlink" Target="https://www.smwcentral.net/?a=details&amp;id=17898&amp;p=section" TargetMode="External"/><Relationship Id="rId155" Type="http://schemas.openxmlformats.org/officeDocument/2006/relationships/hyperlink" Target="https://www.smwcentral.net/?a=details&amp;id=23961&amp;p=section" TargetMode="External"/><Relationship Id="rId362" Type="http://schemas.openxmlformats.org/officeDocument/2006/relationships/hyperlink" Target="https://dl.smwcentral.net/40535/Babby%20Builds%20Wevels%20-%20V1.0.zip" TargetMode="External"/><Relationship Id="rId2043" Type="http://schemas.openxmlformats.org/officeDocument/2006/relationships/hyperlink" Target="https://www.smwcentral.net/?a=details&amp;id=32809&amp;p=section" TargetMode="External"/><Relationship Id="rId2250" Type="http://schemas.openxmlformats.org/officeDocument/2006/relationships/hyperlink" Target="https://dl.smwcentral.net/9842/Mario%27s%20Time%20Quest%20-%20Demo%201.zip" TargetMode="External"/><Relationship Id="rId3301" Type="http://schemas.openxmlformats.org/officeDocument/2006/relationships/hyperlink" Target="https://www.smwcentral.net/?a=details&amp;id=27342&amp;p=section" TargetMode="External"/><Relationship Id="rId5199" Type="http://schemas.openxmlformats.org/officeDocument/2006/relationships/hyperlink" Target="https://www.smwcentral.net/?a=details&amp;id=35863&amp;p=section" TargetMode="External"/><Relationship Id="rId222" Type="http://schemas.openxmlformats.org/officeDocument/2006/relationships/hyperlink" Target="https://dl.smwcentral.net/32218/Advanced%20Shells.zip" TargetMode="External"/><Relationship Id="rId2110" Type="http://schemas.openxmlformats.org/officeDocument/2006/relationships/hyperlink" Target="https://dl.smwcentral.net/5583/Mario%27s%202%20Ways%202%20Victory.zip" TargetMode="External"/><Relationship Id="rId5059" Type="http://schemas.openxmlformats.org/officeDocument/2006/relationships/hyperlink" Target="https://www.smwcentral.net/?a=details&amp;id=32464&amp;p=section" TargetMode="External"/><Relationship Id="rId5266" Type="http://schemas.openxmlformats.org/officeDocument/2006/relationships/hyperlink" Target="https://dl.smwcentral.net/41548/ValuableAndBeautiful.zip" TargetMode="External"/><Relationship Id="rId5473" Type="http://schemas.openxmlformats.org/officeDocument/2006/relationships/hyperlink" Target="https://www.smwcentral.net/?a=details&amp;id=32596&amp;p=section" TargetMode="External"/><Relationship Id="rId4075" Type="http://schemas.openxmlformats.org/officeDocument/2006/relationships/hyperlink" Target="https://www.smwcentral.net/?a=details&amp;id=19884&amp;p=section" TargetMode="External"/><Relationship Id="rId4282" Type="http://schemas.openxmlformats.org/officeDocument/2006/relationships/hyperlink" Target="https://dl.smwcentral.net/9820/HR3%20Legacy%20Hack%20Update.zip" TargetMode="External"/><Relationship Id="rId5126" Type="http://schemas.openxmlformats.org/officeDocument/2006/relationships/hyperlink" Target="https://dl.smwcentral.net/40125/toothpaste%20world.zip" TargetMode="External"/><Relationship Id="rId5333" Type="http://schemas.openxmlformats.org/officeDocument/2006/relationships/hyperlink" Target="https://www.smwcentral.net/?a=details&amp;id=9751&amp;p=section" TargetMode="External"/><Relationship Id="rId1669" Type="http://schemas.openxmlformats.org/officeDocument/2006/relationships/hyperlink" Target="https://www.smwcentral.net/?a=details&amp;id=30098&amp;p=section" TargetMode="External"/><Relationship Id="rId1876" Type="http://schemas.openxmlformats.org/officeDocument/2006/relationships/hyperlink" Target="https://dl.smwcentral.net/10098/Mario%20and%20the%205%20Golden%20Eggs.zip" TargetMode="External"/><Relationship Id="rId2927" Type="http://schemas.openxmlformats.org/officeDocument/2006/relationships/hyperlink" Target="https://www.smwcentral.net/?a=details&amp;id=11902&amp;p=section" TargetMode="External"/><Relationship Id="rId3091" Type="http://schemas.openxmlformats.org/officeDocument/2006/relationships/hyperlink" Target="https://www.smwcentral.net/?a=details&amp;id=18729&amp;p=section" TargetMode="External"/><Relationship Id="rId4142" Type="http://schemas.openxmlformats.org/officeDocument/2006/relationships/hyperlink" Target="https://dl.smwcentral.net/33943/Bowser%27s%20Kaizo%20Conspiracy%20v1.2.zip" TargetMode="External"/><Relationship Id="rId1529" Type="http://schemas.openxmlformats.org/officeDocument/2006/relationships/hyperlink" Target="https://www.smwcentral.net/?a=details&amp;id=42670&amp;p=section" TargetMode="External"/><Relationship Id="rId1736" Type="http://schemas.openxmlformats.org/officeDocument/2006/relationships/hyperlink" Target="https://dl.smwcentral.net/10057/Lost%20on%20the%20Islands%20Demo%20V1.1.zip" TargetMode="External"/><Relationship Id="rId1943" Type="http://schemas.openxmlformats.org/officeDocument/2006/relationships/hyperlink" Target="https://www.smwcentral.net/?a=details&amp;id=39995&amp;p=section" TargetMode="External"/><Relationship Id="rId5400" Type="http://schemas.openxmlformats.org/officeDocument/2006/relationships/hyperlink" Target="https://dl.smwcentral.net/16890/Woji%20World%20v1.3.zip" TargetMode="External"/><Relationship Id="rId28" Type="http://schemas.openxmlformats.org/officeDocument/2006/relationships/hyperlink" Target="https://dl.smwcentral.net/40799/2hourhack.zip" TargetMode="External"/><Relationship Id="rId1803" Type="http://schemas.openxmlformats.org/officeDocument/2006/relationships/hyperlink" Target="https://www.smwcentral.net/?a=details&amp;id=9912&amp;p=section" TargetMode="External"/><Relationship Id="rId4002" Type="http://schemas.openxmlformats.org/officeDocument/2006/relationships/hyperlink" Target="https://dl.smwcentral.net/10166/SMW-HC_Demo2_069a.zip" TargetMode="External"/><Relationship Id="rId4959" Type="http://schemas.openxmlformats.org/officeDocument/2006/relationships/hyperlink" Target="https://www.smwcentral.net/?a=details&amp;id=9848&amp;p=section" TargetMode="External"/><Relationship Id="rId3768" Type="http://schemas.openxmlformats.org/officeDocument/2006/relationships/hyperlink" Target="https://dl.smwcentral.net/37334/SMBTLMQ%20v2.2.zip" TargetMode="External"/><Relationship Id="rId3975" Type="http://schemas.openxmlformats.org/officeDocument/2006/relationships/hyperlink" Target="https://www.smwcentral.net/?a=details&amp;id=9855&amp;p=section" TargetMode="External"/><Relationship Id="rId4819" Type="http://schemas.openxmlformats.org/officeDocument/2006/relationships/hyperlink" Target="https://www.smwcentral.net/?a=details&amp;id=27980&amp;p=section" TargetMode="External"/><Relationship Id="rId689" Type="http://schemas.openxmlformats.org/officeDocument/2006/relationships/hyperlink" Target="https://www.smwcentral.net/?a=details&amp;id=39652&amp;p=section" TargetMode="External"/><Relationship Id="rId896" Type="http://schemas.openxmlformats.org/officeDocument/2006/relationships/hyperlink" Target="https://dl.smwcentral.net/41481/Doomscroll.zip" TargetMode="External"/><Relationship Id="rId2577" Type="http://schemas.openxmlformats.org/officeDocument/2006/relationships/hyperlink" Target="https://www.smwcentral.net/?a=details&amp;id=20801&amp;p=section" TargetMode="External"/><Relationship Id="rId2784" Type="http://schemas.openxmlformats.org/officeDocument/2006/relationships/hyperlink" Target="https://dl.smwcentral.net/34061/PlainCheesePizza1.1.zip" TargetMode="External"/><Relationship Id="rId3628" Type="http://schemas.openxmlformats.org/officeDocument/2006/relationships/hyperlink" Target="https://dl.smwcentral.net/16725/Super%20Killer%20World%201.3.zip" TargetMode="External"/><Relationship Id="rId5190" Type="http://schemas.openxmlformats.org/officeDocument/2006/relationships/hyperlink" Target="https://dl.smwcentral.net/10120/OILDL.zip" TargetMode="External"/><Relationship Id="rId549" Type="http://schemas.openxmlformats.org/officeDocument/2006/relationships/hyperlink" Target="https://www.smwcentral.net/?a=details&amp;id=40848&amp;p=section" TargetMode="External"/><Relationship Id="rId756" Type="http://schemas.openxmlformats.org/officeDocument/2006/relationships/hyperlink" Target="https://dl.smwcentral.net/38657/Crab_Shells.zip" TargetMode="External"/><Relationship Id="rId1179" Type="http://schemas.openxmlformats.org/officeDocument/2006/relationships/hyperlink" Target="https://www.smwcentral.net/?a=details&amp;id=6548&amp;p=section" TargetMode="External"/><Relationship Id="rId1386" Type="http://schemas.openxmlformats.org/officeDocument/2006/relationships/hyperlink" Target="https://dl.smwcentral.net/34720/In%20the%20Pocket%201.01.zip" TargetMode="External"/><Relationship Id="rId1593" Type="http://schemas.openxmlformats.org/officeDocument/2006/relationships/hyperlink" Target="https://www.smwcentral.net/?a=details&amp;id=5604&amp;p=section" TargetMode="External"/><Relationship Id="rId2437" Type="http://schemas.openxmlformats.org/officeDocument/2006/relationships/hyperlink" Target="https://www.smwcentral.net/?a=details&amp;id=14080&amp;p=section" TargetMode="External"/><Relationship Id="rId2991" Type="http://schemas.openxmlformats.org/officeDocument/2006/relationships/hyperlink" Target="https://www.smwcentral.net/?a=details&amp;id=35251&amp;p=section" TargetMode="External"/><Relationship Id="rId3835" Type="http://schemas.openxmlformats.org/officeDocument/2006/relationships/hyperlink" Target="https://www.smwcentral.net/?a=details&amp;id=9888&amp;p=section" TargetMode="External"/><Relationship Id="rId5050" Type="http://schemas.openxmlformats.org/officeDocument/2006/relationships/hyperlink" Target="https://dl.smwcentral.net/42594/TheIslandsv1.1.zip" TargetMode="External"/><Relationship Id="rId409" Type="http://schemas.openxmlformats.org/officeDocument/2006/relationships/hyperlink" Target="https://www.smwcentral.net/?a=details&amp;id=37555&amp;p=section" TargetMode="External"/><Relationship Id="rId963" Type="http://schemas.openxmlformats.org/officeDocument/2006/relationships/hyperlink" Target="https://www.smwcentral.net/?a=details&amp;id=26644&amp;p=section" TargetMode="External"/><Relationship Id="rId1039" Type="http://schemas.openxmlformats.org/officeDocument/2006/relationships/hyperlink" Target="https://www.smwcentral.net/?a=details&amp;id=9724&amp;p=section" TargetMode="External"/><Relationship Id="rId1246" Type="http://schemas.openxmlformats.org/officeDocument/2006/relationships/hyperlink" Target="https://dl.smwcentral.net/19588/Hack%205.zip" TargetMode="External"/><Relationship Id="rId2644" Type="http://schemas.openxmlformats.org/officeDocument/2006/relationships/hyperlink" Target="https://dl.smwcentral.net/23814/Of_Jumps_and_Platforms.zip" TargetMode="External"/><Relationship Id="rId2851" Type="http://schemas.openxmlformats.org/officeDocument/2006/relationships/hyperlink" Target="https://www.smwcentral.net/?a=details&amp;id=28223&amp;p=section" TargetMode="External"/><Relationship Id="rId3902" Type="http://schemas.openxmlformats.org/officeDocument/2006/relationships/hyperlink" Target="https://dl.smwcentral.net/10260/SMLA%20demo%201.zip" TargetMode="External"/><Relationship Id="rId92" Type="http://schemas.openxmlformats.org/officeDocument/2006/relationships/hyperlink" Target="https://dl.smwcentral.net/28957/AChristmasGift.zip" TargetMode="External"/><Relationship Id="rId616" Type="http://schemas.openxmlformats.org/officeDocument/2006/relationships/hyperlink" Target="https://dl.smwcentral.net/14348/Cartuchito%20World.zip" TargetMode="External"/><Relationship Id="rId823" Type="http://schemas.openxmlformats.org/officeDocument/2006/relationships/hyperlink" Target="https://www.smwcentral.net/?a=details&amp;id=11304&amp;p=section" TargetMode="External"/><Relationship Id="rId1453" Type="http://schemas.openxmlformats.org/officeDocument/2006/relationships/hyperlink" Target="https://www.smwcentral.net/?a=details&amp;id=20730&amp;p=section" TargetMode="External"/><Relationship Id="rId1660" Type="http://schemas.openxmlformats.org/officeDocument/2006/relationships/hyperlink" Target="https://dl.smwcentral.net/32220/LAKITU2bps.zip" TargetMode="External"/><Relationship Id="rId2504" Type="http://schemas.openxmlformats.org/officeDocument/2006/relationships/hyperlink" Target="https://dl.smwcentral.net/35115/New%20Sonic%20Generations.zip" TargetMode="External"/><Relationship Id="rId2711" Type="http://schemas.openxmlformats.org/officeDocument/2006/relationships/hyperlink" Target="https://www.smwcentral.net/?a=details&amp;id=9641&amp;p=section" TargetMode="External"/><Relationship Id="rId1106" Type="http://schemas.openxmlformats.org/officeDocument/2006/relationships/hyperlink" Target="https://dl.smwcentral.net/9819/SMW%20concours%202008.zip" TargetMode="External"/><Relationship Id="rId1313" Type="http://schemas.openxmlformats.org/officeDocument/2006/relationships/hyperlink" Target="https://www.smwcentral.net/?a=details&amp;id=42212&amp;p=section" TargetMode="External"/><Relationship Id="rId1520" Type="http://schemas.openxmlformats.org/officeDocument/2006/relationships/hyperlink" Target="https://dl.smwcentral.net/39746/Kaitenzushi%20v1_1.zip" TargetMode="External"/><Relationship Id="rId4469" Type="http://schemas.openxmlformats.org/officeDocument/2006/relationships/hyperlink" Target="https://www.smwcentral.net/?a=details&amp;id=32345&amp;p=section" TargetMode="External"/><Relationship Id="rId4676" Type="http://schemas.openxmlformats.org/officeDocument/2006/relationships/hyperlink" Target="https://dl.smwcentral.net/37971/Tbuild11.zip" TargetMode="External"/><Relationship Id="rId4883" Type="http://schemas.openxmlformats.org/officeDocument/2006/relationships/hyperlink" Target="https://www.smwcentral.net/?a=details&amp;id=5543&amp;p=section" TargetMode="External"/><Relationship Id="rId3278" Type="http://schemas.openxmlformats.org/officeDocument/2006/relationships/hyperlink" Target="https://dl.smwcentral.net/5275/RiS%20Demo%201.zip" TargetMode="External"/><Relationship Id="rId3485" Type="http://schemas.openxmlformats.org/officeDocument/2006/relationships/hyperlink" Target="https://www.smwcentral.net/?a=details&amp;id=17266&amp;p=section" TargetMode="External"/><Relationship Id="rId3692" Type="http://schemas.openxmlformats.org/officeDocument/2006/relationships/hyperlink" Target="https://dl.smwcentral.net/17104/SuperMallowWorld.zip" TargetMode="External"/><Relationship Id="rId4329" Type="http://schemas.openxmlformats.org/officeDocument/2006/relationships/hyperlink" Target="https://www.smwcentral.net/?a=details&amp;id=40080&amp;p=section" TargetMode="External"/><Relationship Id="rId4536" Type="http://schemas.openxmlformats.org/officeDocument/2006/relationships/hyperlink" Target="https://dl.smwcentral.net/40212/Super_Trlol_World.zip" TargetMode="External"/><Relationship Id="rId4743" Type="http://schemas.openxmlformats.org/officeDocument/2006/relationships/hyperlink" Target="https://www.smwcentral.net/?a=details&amp;id=6331&amp;p=section" TargetMode="External"/><Relationship Id="rId4950" Type="http://schemas.openxmlformats.org/officeDocument/2006/relationships/hyperlink" Target="https://dl.smwcentral.net/30170/TheReapersShells2.zip" TargetMode="External"/><Relationship Id="rId199" Type="http://schemas.openxmlformats.org/officeDocument/2006/relationships/hyperlink" Target="https://www.smwcentral.net/?a=details&amp;id=15587&amp;p=section" TargetMode="External"/><Relationship Id="rId2087" Type="http://schemas.openxmlformats.org/officeDocument/2006/relationships/hyperlink" Target="https://www.smwcentral.net/?a=details&amp;id=6632&amp;p=section" TargetMode="External"/><Relationship Id="rId2294" Type="http://schemas.openxmlformats.org/officeDocument/2006/relationships/hyperlink" Target="https://dl.smwcentral.net/9928/Mario%C2%B4s%20Story.zip" TargetMode="External"/><Relationship Id="rId3138" Type="http://schemas.openxmlformats.org/officeDocument/2006/relationships/hyperlink" Target="https://dl.smwcentral.net/40687/%5B2025%5D%20Showtime%20v1.7%20%28U%29.zip" TargetMode="External"/><Relationship Id="rId3345" Type="http://schemas.openxmlformats.org/officeDocument/2006/relationships/hyperlink" Target="https://www.smwcentral.net/?a=details&amp;id=28370&amp;p=section" TargetMode="External"/><Relationship Id="rId3552" Type="http://schemas.openxmlformats.org/officeDocument/2006/relationships/hyperlink" Target="https://dl.smwcentral.net/11932/Super%20Foss%20World%20v1.31.zip" TargetMode="External"/><Relationship Id="rId4603" Type="http://schemas.openxmlformats.org/officeDocument/2006/relationships/hyperlink" Target="https://www.smwcentral.net/?a=details&amp;id=31469&amp;p=section" TargetMode="External"/><Relationship Id="rId266" Type="http://schemas.openxmlformats.org/officeDocument/2006/relationships/hyperlink" Target="https://dl.smwcentral.net/14727/Allycia%20Legends.zip" TargetMode="External"/><Relationship Id="rId473" Type="http://schemas.openxmlformats.org/officeDocument/2006/relationships/hyperlink" Target="https://www.smwcentral.net/?a=details&amp;id=32564&amp;p=section" TargetMode="External"/><Relationship Id="rId680" Type="http://schemas.openxmlformats.org/officeDocument/2006/relationships/hyperlink" Target="https://dl.smwcentral.net/13028/Christmas%20Balls%20%28Hack%2016%29.zip" TargetMode="External"/><Relationship Id="rId2154" Type="http://schemas.openxmlformats.org/officeDocument/2006/relationships/hyperlink" Target="https://dl.smwcentral.net/13877/MFQ%20v1.2.zip" TargetMode="External"/><Relationship Id="rId2361" Type="http://schemas.openxmlformats.org/officeDocument/2006/relationships/hyperlink" Target="https://www.smwcentral.net/?a=details&amp;id=25100&amp;p=section" TargetMode="External"/><Relationship Id="rId3205" Type="http://schemas.openxmlformats.org/officeDocument/2006/relationships/hyperlink" Target="https://www.smwcentral.net/?a=details&amp;id=41305&amp;p=section" TargetMode="External"/><Relationship Id="rId3412" Type="http://schemas.openxmlformats.org/officeDocument/2006/relationships/hyperlink" Target="https://dl.smwcentral.net/19706/Super%20Alicorn%20Sisters%20Return%20of%20the%20Tantabus%20DEMO%200.05.2.zip" TargetMode="External"/><Relationship Id="rId4810" Type="http://schemas.openxmlformats.org/officeDocument/2006/relationships/hyperlink" Target="https://dl.smwcentral.net/9955/TheGrassyPlains.zip" TargetMode="External"/><Relationship Id="rId126" Type="http://schemas.openxmlformats.org/officeDocument/2006/relationships/hyperlink" Target="https://dl.smwcentral.net/18734/A%20Kekcroc%20Christmas.zip" TargetMode="External"/><Relationship Id="rId333" Type="http://schemas.openxmlformats.org/officeDocument/2006/relationships/hyperlink" Target="https://www.smwcentral.net/?a=details&amp;id=42100&amp;p=section" TargetMode="External"/><Relationship Id="rId540" Type="http://schemas.openxmlformats.org/officeDocument/2006/relationships/hyperlink" Target="https://dl.smwcentral.net/21147/BKW2_1.1.zip" TargetMode="External"/><Relationship Id="rId1170" Type="http://schemas.openxmlformats.org/officeDocument/2006/relationships/hyperlink" Target="https://dl.smwcentral.net/32216/good%20old%20days%20v1.10.zip" TargetMode="External"/><Relationship Id="rId2014" Type="http://schemas.openxmlformats.org/officeDocument/2006/relationships/hyperlink" Target="https://dl.smwcentral.net/18257/MMM%20Demo.zip" TargetMode="External"/><Relationship Id="rId2221" Type="http://schemas.openxmlformats.org/officeDocument/2006/relationships/hyperlink" Target="https://www.smwcentral.net/?a=details&amp;id=19903&amp;p=section" TargetMode="External"/><Relationship Id="rId5377" Type="http://schemas.openxmlformats.org/officeDocument/2006/relationships/hyperlink" Target="https://www.smwcentral.net/?a=details&amp;id=6421&amp;p=section" TargetMode="External"/><Relationship Id="rId1030" Type="http://schemas.openxmlformats.org/officeDocument/2006/relationships/hyperlink" Target="https://dl.smwcentral.net/28119/WinRAR-ZIP-Archiv%20%28neu%29.zip" TargetMode="External"/><Relationship Id="rId4186" Type="http://schemas.openxmlformats.org/officeDocument/2006/relationships/hyperlink" Target="https://dl.smwcentral.net/5446/Serbow1-3.zip" TargetMode="External"/><Relationship Id="rId400" Type="http://schemas.openxmlformats.org/officeDocument/2006/relationships/hyperlink" Target="https://dl.smwcentral.net/30707/Beach%20Park%20At%20Isla%20Blanca%20Hack.zip" TargetMode="External"/><Relationship Id="rId1987" Type="http://schemas.openxmlformats.org/officeDocument/2006/relationships/hyperlink" Target="https://www.smwcentral.net/?a=details&amp;id=10068&amp;p=section" TargetMode="External"/><Relationship Id="rId4393" Type="http://schemas.openxmlformats.org/officeDocument/2006/relationships/hyperlink" Target="https://www.smwcentral.net/?a=details&amp;id=22591&amp;p=section" TargetMode="External"/><Relationship Id="rId5237" Type="http://schemas.openxmlformats.org/officeDocument/2006/relationships/hyperlink" Target="https://www.smwcentral.net/?a=details&amp;id=27338&amp;p=section" TargetMode="External"/><Relationship Id="rId5444" Type="http://schemas.openxmlformats.org/officeDocument/2006/relationships/hyperlink" Target="https://dl.smwcentral.net/26473/YoHo1.4.zip" TargetMode="External"/><Relationship Id="rId1847" Type="http://schemas.openxmlformats.org/officeDocument/2006/relationships/hyperlink" Target="https://www.smwcentral.net/?a=details&amp;id=15940&amp;p=section" TargetMode="External"/><Relationship Id="rId4046" Type="http://schemas.openxmlformats.org/officeDocument/2006/relationships/hyperlink" Target="https://dl.smwcentral.net/16483/smwa.zip" TargetMode="External"/><Relationship Id="rId4253" Type="http://schemas.openxmlformats.org/officeDocument/2006/relationships/hyperlink" Target="https://www.smwcentral.net/?a=details&amp;id=23762&amp;p=section" TargetMode="External"/><Relationship Id="rId4460" Type="http://schemas.openxmlformats.org/officeDocument/2006/relationships/hyperlink" Target="https://dl.smwcentral.net/18369/Super%20Sabor%20World%20Deluxe.zip" TargetMode="External"/><Relationship Id="rId5304" Type="http://schemas.openxmlformats.org/officeDocument/2006/relationships/hyperlink" Target="https://dl.smwcentral.net/10005/Vip%20mario%20-%20mario%20edition.zip" TargetMode="External"/><Relationship Id="rId1707" Type="http://schemas.openxmlformats.org/officeDocument/2006/relationships/hyperlink" Target="https://www.smwcentral.net/?a=details&amp;id=18835&amp;p=section" TargetMode="External"/><Relationship Id="rId3062" Type="http://schemas.openxmlformats.org/officeDocument/2006/relationships/hyperlink" Target="https://dl.smwcentral.net/37146/Seven_Vanilla_Levels.zip" TargetMode="External"/><Relationship Id="rId4113" Type="http://schemas.openxmlformats.org/officeDocument/2006/relationships/hyperlink" Target="https://www.smwcentral.net/?a=details&amp;id=37830&amp;p=section" TargetMode="External"/><Relationship Id="rId4320" Type="http://schemas.openxmlformats.org/officeDocument/2006/relationships/hyperlink" Target="https://dl.smwcentral.net/38329/SMAW2%20-%20Mari%20Mari%20Back%20Forward%20Around%20%28ver.%201.04d%29.zip" TargetMode="External"/><Relationship Id="rId190" Type="http://schemas.openxmlformats.org/officeDocument/2006/relationships/hyperlink" Target="https://dl.smwcentral.net/20604/Hack%202.zip" TargetMode="External"/><Relationship Id="rId1914" Type="http://schemas.openxmlformats.org/officeDocument/2006/relationships/hyperlink" Target="https://dl.smwcentral.net/9971/MBW%20demo.zip" TargetMode="External"/><Relationship Id="rId3879" Type="http://schemas.openxmlformats.org/officeDocument/2006/relationships/hyperlink" Target="https://www.smwcentral.net/?a=details&amp;id=17022&amp;p=section" TargetMode="External"/><Relationship Id="rId5094" Type="http://schemas.openxmlformats.org/officeDocument/2006/relationships/hyperlink" Target="https://dl.smwcentral.net/28247/titan1.1.zip" TargetMode="External"/><Relationship Id="rId2688" Type="http://schemas.openxmlformats.org/officeDocument/2006/relationships/hyperlink" Target="https://dl.smwcentral.net/33078/out-of-ideas.zip" TargetMode="External"/><Relationship Id="rId2895" Type="http://schemas.openxmlformats.org/officeDocument/2006/relationships/hyperlink" Target="https://www.smwcentral.net/?a=details&amp;id=9711&amp;p=section" TargetMode="External"/><Relationship Id="rId3739" Type="http://schemas.openxmlformats.org/officeDocument/2006/relationships/hyperlink" Target="https://www.smwcentral.net/?a=details&amp;id=34256&amp;p=section" TargetMode="External"/><Relationship Id="rId3946" Type="http://schemas.openxmlformats.org/officeDocument/2006/relationships/hyperlink" Target="https://dl.smwcentral.net/17597/Super%20Mario%20SS2%20-%20Bowser%20is%20Back.zip" TargetMode="External"/><Relationship Id="rId5161" Type="http://schemas.openxmlformats.org/officeDocument/2006/relationships/hyperlink" Target="https://www.smwcentral.net/?a=details&amp;id=27801&amp;p=section" TargetMode="External"/><Relationship Id="rId867" Type="http://schemas.openxmlformats.org/officeDocument/2006/relationships/hyperlink" Target="https://www.smwcentral.net/?a=details&amp;id=25772&amp;p=section" TargetMode="External"/><Relationship Id="rId1497" Type="http://schemas.openxmlformats.org/officeDocument/2006/relationships/hyperlink" Target="https://www.smwcentral.net/?a=details&amp;id=31396&amp;p=section" TargetMode="External"/><Relationship Id="rId2548" Type="http://schemas.openxmlformats.org/officeDocument/2006/relationships/hyperlink" Target="https://dl.smwcentral.net/27026/Nightmare%20cafe%20v1.1.zip" TargetMode="External"/><Relationship Id="rId2755" Type="http://schemas.openxmlformats.org/officeDocument/2006/relationships/hyperlink" Target="https://www.smwcentral.net/?a=details&amp;id=15521&amp;p=section" TargetMode="External"/><Relationship Id="rId2962" Type="http://schemas.openxmlformats.org/officeDocument/2006/relationships/hyperlink" Target="https://dl.smwcentral.net/9736/Rob-omb%27s%20Quest%20Easy.zip" TargetMode="External"/><Relationship Id="rId3806" Type="http://schemas.openxmlformats.org/officeDocument/2006/relationships/hyperlink" Target="https://dl.smwcentral.net/11063/Super%20Mario%20Bros.%20The%20Invaders%20of%20Mushroom%20Kingdom%201.22.zip" TargetMode="External"/><Relationship Id="rId727" Type="http://schemas.openxmlformats.org/officeDocument/2006/relationships/hyperlink" Target="https://www.smwcentral.net/?a=details&amp;id=11776&amp;p=section" TargetMode="External"/><Relationship Id="rId934" Type="http://schemas.openxmlformats.org/officeDocument/2006/relationships/hyperlink" Target="https://dl.smwcentral.net/28586/dynasty_vanilla_hack_1.zip" TargetMode="External"/><Relationship Id="rId1357" Type="http://schemas.openxmlformats.org/officeDocument/2006/relationships/hyperlink" Target="https://www.smwcentral.net/?a=details&amp;id=13943&amp;p=section" TargetMode="External"/><Relationship Id="rId1564" Type="http://schemas.openxmlformats.org/officeDocument/2006/relationships/hyperlink" Target="https://dl.smwcentral.net/35278/kamikaze.zip" TargetMode="External"/><Relationship Id="rId1771" Type="http://schemas.openxmlformats.org/officeDocument/2006/relationships/hyperlink" Target="https://www.smwcentral.net/?a=details&amp;id=27196&amp;p=section" TargetMode="External"/><Relationship Id="rId2408" Type="http://schemas.openxmlformats.org/officeDocument/2006/relationships/hyperlink" Target="https://dl.smwcentral.net/42537/MMLP.zip" TargetMode="External"/><Relationship Id="rId2615" Type="http://schemas.openxmlformats.org/officeDocument/2006/relationships/hyperlink" Target="https://www.smwcentral.net/?a=details&amp;id=14704&amp;p=section" TargetMode="External"/><Relationship Id="rId2822" Type="http://schemas.openxmlformats.org/officeDocument/2006/relationships/hyperlink" Target="https://dl.smwcentral.net/24866/PowerJourney.zip" TargetMode="External"/><Relationship Id="rId5021" Type="http://schemas.openxmlformats.org/officeDocument/2006/relationships/hyperlink" Target="https://www.smwcentral.net/?a=details&amp;id=30657&amp;p=section" TargetMode="External"/><Relationship Id="rId63" Type="http://schemas.openxmlformats.org/officeDocument/2006/relationships/hyperlink" Target="https://www.smwcentral.net/?a=details&amp;id=32431&amp;p=section" TargetMode="External"/><Relationship Id="rId1217" Type="http://schemas.openxmlformats.org/officeDocument/2006/relationships/hyperlink" Target="https://www.smwcentral.net/?a=details&amp;id=10236&amp;p=section" TargetMode="External"/><Relationship Id="rId1424" Type="http://schemas.openxmlformats.org/officeDocument/2006/relationships/hyperlink" Target="https://dl.smwcentral.net/18238/Invictus%201.0.zip" TargetMode="External"/><Relationship Id="rId1631" Type="http://schemas.openxmlformats.org/officeDocument/2006/relationships/hyperlink" Target="https://www.smwcentral.net/?a=details&amp;id=6757&amp;p=section" TargetMode="External"/><Relationship Id="rId4787" Type="http://schemas.openxmlformats.org/officeDocument/2006/relationships/hyperlink" Target="https://www.smwcentral.net/?a=details&amp;id=9824&amp;p=section" TargetMode="External"/><Relationship Id="rId4994" Type="http://schemas.openxmlformats.org/officeDocument/2006/relationships/hyperlink" Target="https://dl.smwcentral.net/9992/The%20Sixty-four%20Trials%20Demo%201.zip" TargetMode="External"/><Relationship Id="rId3389" Type="http://schemas.openxmlformats.org/officeDocument/2006/relationships/hyperlink" Target="https://www.smwcentral.net/?a=details&amp;id=28464&amp;p=section" TargetMode="External"/><Relationship Id="rId3596" Type="http://schemas.openxmlformats.org/officeDocument/2006/relationships/hyperlink" Target="https://dl.smwcentral.net/24299/crossroad.zip" TargetMode="External"/><Relationship Id="rId4647" Type="http://schemas.openxmlformats.org/officeDocument/2006/relationships/hyperlink" Target="https://www.smwcentral.net/?a=details&amp;id=35502&amp;p=section" TargetMode="External"/><Relationship Id="rId2198" Type="http://schemas.openxmlformats.org/officeDocument/2006/relationships/hyperlink" Target="https://dl.smwcentral.net/10217/%282004%29%20Mario%27s%20New%20World.zip" TargetMode="External"/><Relationship Id="rId3249" Type="http://schemas.openxmlformats.org/officeDocument/2006/relationships/hyperlink" Target="https://www.smwcentral.net/?a=details&amp;id=32487&amp;p=section" TargetMode="External"/><Relationship Id="rId3456" Type="http://schemas.openxmlformats.org/officeDocument/2006/relationships/hyperlink" Target="https://dl.smwcentral.net/27116/Super%20Cindy%20World%202%20v1.03.zip" TargetMode="External"/><Relationship Id="rId4854" Type="http://schemas.openxmlformats.org/officeDocument/2006/relationships/hyperlink" Target="https://dl.smwcentral.net/17256/The%20Junkbox%201.1.zip" TargetMode="External"/><Relationship Id="rId377" Type="http://schemas.openxmlformats.org/officeDocument/2006/relationships/hyperlink" Target="https://www.smwcentral.net/?a=details&amp;id=41843&amp;p=section" TargetMode="External"/><Relationship Id="rId584" Type="http://schemas.openxmlformats.org/officeDocument/2006/relationships/hyperlink" Target="https://dl.smwcentral.net/9267/By%20The%20Harvest%20Moon%202nd%20Edition.zip" TargetMode="External"/><Relationship Id="rId2058" Type="http://schemas.openxmlformats.org/officeDocument/2006/relationships/hyperlink" Target="https://dl.smwcentral.net/29857/MSPOA%20DEMO%20UPDATE%203.zip" TargetMode="External"/><Relationship Id="rId2265" Type="http://schemas.openxmlformats.org/officeDocument/2006/relationships/hyperlink" Target="https://www.smwcentral.net/?a=details&amp;id=13486&amp;p=section" TargetMode="External"/><Relationship Id="rId3109" Type="http://schemas.openxmlformats.org/officeDocument/2006/relationships/hyperlink" Target="https://www.smwcentral.net/?a=details&amp;id=37822&amp;p=section" TargetMode="External"/><Relationship Id="rId3663" Type="http://schemas.openxmlformats.org/officeDocument/2006/relationships/hyperlink" Target="https://www.smwcentral.net/?a=details&amp;id=5594&amp;p=section" TargetMode="External"/><Relationship Id="rId3870" Type="http://schemas.openxmlformats.org/officeDocument/2006/relationships/hyperlink" Target="https://dl.smwcentral.net/35232/SMH1.0b.zip" TargetMode="External"/><Relationship Id="rId4507" Type="http://schemas.openxmlformats.org/officeDocument/2006/relationships/hyperlink" Target="https://www.smwcentral.net/?a=details&amp;id=41925&amp;p=section" TargetMode="External"/><Relationship Id="rId4714" Type="http://schemas.openxmlformats.org/officeDocument/2006/relationships/hyperlink" Target="https://dl.smwcentral.net/10195/The%20Adventures%20Of%20Super%20Mario.zip" TargetMode="External"/><Relationship Id="rId4921" Type="http://schemas.openxmlformats.org/officeDocument/2006/relationships/hyperlink" Target="https://www.smwcentral.net/?a=details&amp;id=9710&amp;p=section" TargetMode="External"/><Relationship Id="rId237" Type="http://schemas.openxmlformats.org/officeDocument/2006/relationships/hyperlink" Target="https://www.smwcentral.net/?a=details&amp;id=31365&amp;p=section" TargetMode="External"/><Relationship Id="rId791" Type="http://schemas.openxmlformats.org/officeDocument/2006/relationships/hyperlink" Target="https://www.smwcentral.net/?a=details&amp;id=32552&amp;p=section" TargetMode="External"/><Relationship Id="rId1074" Type="http://schemas.openxmlformats.org/officeDocument/2006/relationships/hyperlink" Target="https://dl.smwcentral.net/34838/FloMcNastyWorld%20v1.1.bps.zip" TargetMode="External"/><Relationship Id="rId2472" Type="http://schemas.openxmlformats.org/officeDocument/2006/relationships/hyperlink" Target="https://dl.smwcentral.net/32847/natsukashii.zip" TargetMode="External"/><Relationship Id="rId3316" Type="http://schemas.openxmlformats.org/officeDocument/2006/relationships/hyperlink" Target="https://dl.smwcentral.net/41529/Special%20Moves.zip" TargetMode="External"/><Relationship Id="rId3523" Type="http://schemas.openxmlformats.org/officeDocument/2006/relationships/hyperlink" Target="https://www.smwcentral.net/?a=details&amp;id=10067&amp;p=section" TargetMode="External"/><Relationship Id="rId3730" Type="http://schemas.openxmlformats.org/officeDocument/2006/relationships/hyperlink" Target="https://dl.smwcentral.net/20201/Super%20Mario%20and%20the%20Cretaceous%20Castle.zip" TargetMode="External"/><Relationship Id="rId444" Type="http://schemas.openxmlformats.org/officeDocument/2006/relationships/hyperlink" Target="https://dl.smwcentral.net/5527/BlindTripBackFixed.zip" TargetMode="External"/><Relationship Id="rId651" Type="http://schemas.openxmlformats.org/officeDocument/2006/relationships/hyperlink" Target="https://www.smwcentral.net/?a=details&amp;id=35560&amp;p=section" TargetMode="External"/><Relationship Id="rId1281" Type="http://schemas.openxmlformats.org/officeDocument/2006/relationships/hyperlink" Target="https://www.smwcentral.net/?a=details&amp;id=32170&amp;p=section" TargetMode="External"/><Relationship Id="rId2125" Type="http://schemas.openxmlformats.org/officeDocument/2006/relationships/hyperlink" Target="https://www.smwcentral.net/?a=details&amp;id=10034&amp;p=section" TargetMode="External"/><Relationship Id="rId2332" Type="http://schemas.openxmlformats.org/officeDocument/2006/relationships/hyperlink" Target="https://dl.smwcentral.net/17688/Mega%20Mario%20World%20Another%20Universe%20v1.2.zip" TargetMode="External"/><Relationship Id="rId5488" Type="http://schemas.openxmlformats.org/officeDocument/2006/relationships/hyperlink" Target="https://dl.smwcentral.net/35050/~omh~%20-%20original%20mario%20hack.zip" TargetMode="External"/><Relationship Id="rId304" Type="http://schemas.openxmlformats.org/officeDocument/2006/relationships/hyperlink" Target="https://dl.smwcentral.net/15076/Another%20Mario%20World.zip" TargetMode="External"/><Relationship Id="rId511" Type="http://schemas.openxmlformats.org/officeDocument/2006/relationships/hyperlink" Target="https://www.smwcentral.net/?a=details&amp;id=32728&amp;p=section" TargetMode="External"/><Relationship Id="rId1141" Type="http://schemas.openxmlformats.org/officeDocument/2006/relationships/hyperlink" Target="https://www.smwcentral.net/?a=details&amp;id=34928&amp;p=section" TargetMode="External"/><Relationship Id="rId4297" Type="http://schemas.openxmlformats.org/officeDocument/2006/relationships/hyperlink" Target="https://www.smwcentral.net/?a=details&amp;id=5187&amp;p=section" TargetMode="External"/><Relationship Id="rId5348" Type="http://schemas.openxmlformats.org/officeDocument/2006/relationships/hyperlink" Target="https://dl.smwcentral.net/11026/Wario%27s%20Adventure%201.4.zip" TargetMode="External"/><Relationship Id="rId1001" Type="http://schemas.openxmlformats.org/officeDocument/2006/relationships/hyperlink" Target="https://www.smwcentral.net/?a=details&amp;id=9734&amp;p=section" TargetMode="External"/><Relationship Id="rId4157" Type="http://schemas.openxmlformats.org/officeDocument/2006/relationships/hyperlink" Target="https://www.smwcentral.net/?a=details&amp;id=13168&amp;p=section" TargetMode="External"/><Relationship Id="rId4364" Type="http://schemas.openxmlformats.org/officeDocument/2006/relationships/hyperlink" Target="https://dl.smwcentral.net/31128/_Super%20NemMeViu%20World%202%20%28V.1.2%29.zip" TargetMode="External"/><Relationship Id="rId4571" Type="http://schemas.openxmlformats.org/officeDocument/2006/relationships/hyperlink" Target="https://www.smwcentral.net/?a=details&amp;id=26783&amp;p=section" TargetMode="External"/><Relationship Id="rId5208" Type="http://schemas.openxmlformats.org/officeDocument/2006/relationships/hyperlink" Target="https://dl.smwcentral.net/18664/Ultra%20Kaizo%20World1.1.zip" TargetMode="External"/><Relationship Id="rId5415" Type="http://schemas.openxmlformats.org/officeDocument/2006/relationships/hyperlink" Target="https://www.smwcentral.net/?a=details&amp;id=39888&amp;p=section" TargetMode="External"/><Relationship Id="rId1958" Type="http://schemas.openxmlformats.org/officeDocument/2006/relationships/hyperlink" Target="https://dl.smwcentral.net/22412/Mario%20in%20Leprechaun%20Island%20%28V1.0.1%29.zip" TargetMode="External"/><Relationship Id="rId3173" Type="http://schemas.openxmlformats.org/officeDocument/2006/relationships/hyperlink" Target="https://www.smwcentral.net/?a=details&amp;id=28512&amp;p=section" TargetMode="External"/><Relationship Id="rId3380" Type="http://schemas.openxmlformats.org/officeDocument/2006/relationships/hyperlink" Target="https://dl.smwcentral.net/4975/stranded.zip" TargetMode="External"/><Relationship Id="rId4017" Type="http://schemas.openxmlformats.org/officeDocument/2006/relationships/hyperlink" Target="https://www.smwcentral.net/?a=details&amp;id=19535&amp;p=section" TargetMode="External"/><Relationship Id="rId4224" Type="http://schemas.openxmlformats.org/officeDocument/2006/relationships/hyperlink" Target="https://dl.smwcentral.net/28693/Super_Mario_World_The_Secret_of_the_7_Golden_Statues.zip" TargetMode="External"/><Relationship Id="rId4431" Type="http://schemas.openxmlformats.org/officeDocument/2006/relationships/hyperlink" Target="https://www.smwcentral.net/?a=details&amp;id=9781&amp;p=section" TargetMode="External"/><Relationship Id="rId1818" Type="http://schemas.openxmlformats.org/officeDocument/2006/relationships/hyperlink" Target="https://dl.smwcentral.net/33600/Lurn2Shell.zip" TargetMode="External"/><Relationship Id="rId3033" Type="http://schemas.openxmlformats.org/officeDocument/2006/relationships/hyperlink" Target="https://www.smwcentral.net/?a=details&amp;id=26096&amp;p=section" TargetMode="External"/><Relationship Id="rId3240" Type="http://schemas.openxmlformats.org/officeDocument/2006/relationships/hyperlink" Target="https://dl.smwcentral.net/31145/SMW%20The%20Princess%20Rescue%202.zip" TargetMode="External"/><Relationship Id="rId161" Type="http://schemas.openxmlformats.org/officeDocument/2006/relationships/hyperlink" Target="https://www.smwcentral.net/?a=details&amp;id=32575&amp;p=section" TargetMode="External"/><Relationship Id="rId2799" Type="http://schemas.openxmlformats.org/officeDocument/2006/relationships/hyperlink" Target="https://www.smwcentral.net/?a=details&amp;id=42699&amp;p=section" TargetMode="External"/><Relationship Id="rId3100" Type="http://schemas.openxmlformats.org/officeDocument/2006/relationships/hyperlink" Target="https://dl.smwcentral.net/40736/Shellenge.zip" TargetMode="External"/><Relationship Id="rId978" Type="http://schemas.openxmlformats.org/officeDocument/2006/relationships/hyperlink" Target="https://dl.smwcentral.net/29699/Enter%20the%20Void.zip" TargetMode="External"/><Relationship Id="rId2659" Type="http://schemas.openxmlformats.org/officeDocument/2006/relationships/hyperlink" Target="https://www.smwcentral.net/?a=details&amp;id=39110&amp;p=section" TargetMode="External"/><Relationship Id="rId2866" Type="http://schemas.openxmlformats.org/officeDocument/2006/relationships/hyperlink" Target="https://dl.smwcentral.net/25307/QuestforCorgiButtsv1.1.zip" TargetMode="External"/><Relationship Id="rId3917" Type="http://schemas.openxmlformats.org/officeDocument/2006/relationships/hyperlink" Target="https://www.smwcentral.net/?a=details&amp;id=10168&amp;p=section" TargetMode="External"/><Relationship Id="rId5065" Type="http://schemas.openxmlformats.org/officeDocument/2006/relationships/hyperlink" Target="https://www.smwcentral.net/?a=details&amp;id=14930&amp;p=section" TargetMode="External"/><Relationship Id="rId5272" Type="http://schemas.openxmlformats.org/officeDocument/2006/relationships/hyperlink" Target="https://dl.smwcentral.net/39643/Vanilla%20Flavour%20V.%201.30.zip" TargetMode="External"/><Relationship Id="rId838" Type="http://schemas.openxmlformats.org/officeDocument/2006/relationships/hyperlink" Target="https://dl.smwcentral.net/22110/DeepDreamWorld.zip" TargetMode="External"/><Relationship Id="rId1468" Type="http://schemas.openxmlformats.org/officeDocument/2006/relationships/hyperlink" Target="https://dl.smwcentral.net/41192/JokerShellOk.zip" TargetMode="External"/><Relationship Id="rId1675" Type="http://schemas.openxmlformats.org/officeDocument/2006/relationships/hyperlink" Target="https://www.smwcentral.net/?a=details&amp;id=40002&amp;p=section" TargetMode="External"/><Relationship Id="rId1882" Type="http://schemas.openxmlformats.org/officeDocument/2006/relationships/hyperlink" Target="https://dl.smwcentral.net/9846/Mario%20forgotten%20flower.zip" TargetMode="External"/><Relationship Id="rId2519" Type="http://schemas.openxmlformats.org/officeDocument/2006/relationships/hyperlink" Target="https://www.smwcentral.net/?a=details&amp;id=14059&amp;p=section" TargetMode="External"/><Relationship Id="rId2726" Type="http://schemas.openxmlformats.org/officeDocument/2006/relationships/hyperlink" Target="https://dl.smwcentral.net/34888/Paralysis.zip" TargetMode="External"/><Relationship Id="rId4081" Type="http://schemas.openxmlformats.org/officeDocument/2006/relationships/hyperlink" Target="https://www.smwcentral.net/?a=details&amp;id=9690&amp;p=section" TargetMode="External"/><Relationship Id="rId5132" Type="http://schemas.openxmlformats.org/officeDocument/2006/relationships/hyperlink" Target="https://dl.smwcentral.net/25030/torkiyello%20iki%20new%20update.zip" TargetMode="External"/><Relationship Id="rId1328" Type="http://schemas.openxmlformats.org/officeDocument/2006/relationships/hyperlink" Target="https://dl.smwcentral.net/28688/House%20of%20King%20Boo%201.06.zip" TargetMode="External"/><Relationship Id="rId1535" Type="http://schemas.openxmlformats.org/officeDocument/2006/relationships/hyperlink" Target="https://www.smwcentral.net/?a=details&amp;id=38727&amp;p=section" TargetMode="External"/><Relationship Id="rId2933" Type="http://schemas.openxmlformats.org/officeDocument/2006/relationships/hyperlink" Target="https://www.smwcentral.net/?a=details&amp;id=38510&amp;p=section" TargetMode="External"/><Relationship Id="rId905" Type="http://schemas.openxmlformats.org/officeDocument/2006/relationships/hyperlink" Target="https://www.smwcentral.net/?a=details&amp;id=26004&amp;p=section" TargetMode="External"/><Relationship Id="rId1742" Type="http://schemas.openxmlformats.org/officeDocument/2006/relationships/hyperlink" Target="https://dl.smwcentral.net/15632/LW.zip" TargetMode="External"/><Relationship Id="rId4898" Type="http://schemas.openxmlformats.org/officeDocument/2006/relationships/hyperlink" Target="https://dl.smwcentral.net/30156/The%20Mirror%20Border.zip" TargetMode="External"/><Relationship Id="rId34" Type="http://schemas.openxmlformats.org/officeDocument/2006/relationships/hyperlink" Target="https://dl.smwcentral.net/38065/20ChallengesE1.zip" TargetMode="External"/><Relationship Id="rId1602" Type="http://schemas.openxmlformats.org/officeDocument/2006/relationships/hyperlink" Target="https://dl.smwcentral.net/39426/Knuckles%20V2.zip" TargetMode="External"/><Relationship Id="rId4758" Type="http://schemas.openxmlformats.org/officeDocument/2006/relationships/hyperlink" Target="https://dl.smwcentral.net/6693/TD4C%238-GoddessRobesDemo1_5.zip" TargetMode="External"/><Relationship Id="rId4965" Type="http://schemas.openxmlformats.org/officeDocument/2006/relationships/hyperlink" Target="https://www.smwcentral.net/?a=details&amp;id=36673&amp;p=section" TargetMode="External"/><Relationship Id="rId3567" Type="http://schemas.openxmlformats.org/officeDocument/2006/relationships/hyperlink" Target="https://www.smwcentral.net/?a=details&amp;id=40585&amp;p=section" TargetMode="External"/><Relationship Id="rId3774" Type="http://schemas.openxmlformats.org/officeDocument/2006/relationships/hyperlink" Target="https://dl.smwcentral.net/9682/Super%20Mario%20Bros.%202%20DX.zip" TargetMode="External"/><Relationship Id="rId3981" Type="http://schemas.openxmlformats.org/officeDocument/2006/relationships/hyperlink" Target="https://www.smwcentral.net/?a=details&amp;id=29968&amp;p=section" TargetMode="External"/><Relationship Id="rId4618" Type="http://schemas.openxmlformats.org/officeDocument/2006/relationships/hyperlink" Target="https://dl.smwcentral.net/33640/Swiftly17.zip" TargetMode="External"/><Relationship Id="rId4825" Type="http://schemas.openxmlformats.org/officeDocument/2006/relationships/hyperlink" Target="https://www.smwcentral.net/?a=details&amp;id=40345&amp;p=section" TargetMode="External"/><Relationship Id="rId488" Type="http://schemas.openxmlformats.org/officeDocument/2006/relationships/hyperlink" Target="https://dl.smwcentral.net/10199/Bowser%20jr.zip" TargetMode="External"/><Relationship Id="rId695" Type="http://schemas.openxmlformats.org/officeDocument/2006/relationships/hyperlink" Target="https://www.smwcentral.net/?a=details&amp;id=5546&amp;p=section" TargetMode="External"/><Relationship Id="rId2169" Type="http://schemas.openxmlformats.org/officeDocument/2006/relationships/hyperlink" Target="https://www.smwcentral.net/?a=details&amp;id=6505&amp;p=section" TargetMode="External"/><Relationship Id="rId2376" Type="http://schemas.openxmlformats.org/officeDocument/2006/relationships/hyperlink" Target="https://dl.smwcentral.net/25403/MischievousMouser_v1.5.zip" TargetMode="External"/><Relationship Id="rId2583" Type="http://schemas.openxmlformats.org/officeDocument/2006/relationships/hyperlink" Target="https://www.smwcentral.net/?a=details&amp;id=27585&amp;p=section" TargetMode="External"/><Relationship Id="rId2790" Type="http://schemas.openxmlformats.org/officeDocument/2006/relationships/hyperlink" Target="https://dl.smwcentral.net/41584/Playground%20Kaizo.zip" TargetMode="External"/><Relationship Id="rId3427" Type="http://schemas.openxmlformats.org/officeDocument/2006/relationships/hyperlink" Target="https://www.smwcentral.net/?a=details&amp;id=30305&amp;p=section" TargetMode="External"/><Relationship Id="rId3634" Type="http://schemas.openxmlformats.org/officeDocument/2006/relationships/hyperlink" Target="https://dl.smwcentral.net/16700/Super%20Kuso%20World.zip" TargetMode="External"/><Relationship Id="rId3841" Type="http://schemas.openxmlformats.org/officeDocument/2006/relationships/hyperlink" Target="https://www.smwcentral.net/?a=details&amp;id=41188&amp;p=section" TargetMode="External"/><Relationship Id="rId348" Type="http://schemas.openxmlformats.org/officeDocument/2006/relationships/hyperlink" Target="https://dl.smwcentral.net/9857/Athletic%20Plumber%20Twins.zip" TargetMode="External"/><Relationship Id="rId555" Type="http://schemas.openxmlformats.org/officeDocument/2006/relationships/hyperlink" Target="https://www.smwcentral.net/?a=details&amp;id=6099&amp;p=section" TargetMode="External"/><Relationship Id="rId762" Type="http://schemas.openxmlformats.org/officeDocument/2006/relationships/hyperlink" Target="https://dl.smwcentral.net/40194/Critter%20Quest%20v1.1.zip" TargetMode="External"/><Relationship Id="rId1185" Type="http://schemas.openxmlformats.org/officeDocument/2006/relationships/hyperlink" Target="https://www.smwcentral.net/?a=details&amp;id=17289&amp;p=section" TargetMode="External"/><Relationship Id="rId1392" Type="http://schemas.openxmlformats.org/officeDocument/2006/relationships/hyperlink" Target="https://dl.smwcentral.net/9759/Jetskifullv1.0.zip" TargetMode="External"/><Relationship Id="rId2029" Type="http://schemas.openxmlformats.org/officeDocument/2006/relationships/hyperlink" Target="https://www.smwcentral.net/?a=details&amp;id=39350&amp;p=section" TargetMode="External"/><Relationship Id="rId2236" Type="http://schemas.openxmlformats.org/officeDocument/2006/relationships/hyperlink" Target="https://dl.smwcentral.net/10079/mswdemo1.zip" TargetMode="External"/><Relationship Id="rId2443" Type="http://schemas.openxmlformats.org/officeDocument/2006/relationships/hyperlink" Target="https://www.smwcentral.net/?a=details&amp;id=39058&amp;p=section" TargetMode="External"/><Relationship Id="rId2650" Type="http://schemas.openxmlformats.org/officeDocument/2006/relationships/hyperlink" Target="https://dl.smwcentral.net/39508/Olafs%20Shell%20Adventure.zip" TargetMode="External"/><Relationship Id="rId3701" Type="http://schemas.openxmlformats.org/officeDocument/2006/relationships/hyperlink" Target="https://www.smwcentral.net/?a=details&amp;id=9910&amp;p=section" TargetMode="External"/><Relationship Id="rId208" Type="http://schemas.openxmlformats.org/officeDocument/2006/relationships/hyperlink" Target="https://dl.smwcentral.net/10209/A%20Yoshi%27s%20Story%202.zip" TargetMode="External"/><Relationship Id="rId415" Type="http://schemas.openxmlformats.org/officeDocument/2006/relationships/hyperlink" Target="https://www.smwcentral.net/?a=details&amp;id=34163&amp;p=section" TargetMode="External"/><Relationship Id="rId622" Type="http://schemas.openxmlformats.org/officeDocument/2006/relationships/hyperlink" Target="https://dl.smwcentral.net/10063/Cot.zip" TargetMode="External"/><Relationship Id="rId1045" Type="http://schemas.openxmlformats.org/officeDocument/2006/relationships/hyperlink" Target="https://www.smwcentral.net/?a=details&amp;id=24854&amp;p=section" TargetMode="External"/><Relationship Id="rId1252" Type="http://schemas.openxmlformats.org/officeDocument/2006/relationships/hyperlink" Target="https://dl.smwcentral.net/40619/Hack8Release.zip" TargetMode="External"/><Relationship Id="rId2303" Type="http://schemas.openxmlformats.org/officeDocument/2006/relationships/hyperlink" Target="https://www.smwcentral.net/?a=details&amp;id=27626&amp;p=section" TargetMode="External"/><Relationship Id="rId2510" Type="http://schemas.openxmlformats.org/officeDocument/2006/relationships/hyperlink" Target="https://dl.smwcentral.net/16558/New%20Super%20Mario%20Bros.%20SNES%20%28Demo%202%29.zip" TargetMode="External"/><Relationship Id="rId5459" Type="http://schemas.openxmlformats.org/officeDocument/2006/relationships/hyperlink" Target="https://www.smwcentral.net/?a=details&amp;id=42385&amp;p=section" TargetMode="External"/><Relationship Id="rId1112" Type="http://schemas.openxmlformats.org/officeDocument/2006/relationships/hyperlink" Target="https://dl.smwcentral.net/22299/FridayMarioWorld_v1.22.zip" TargetMode="External"/><Relationship Id="rId4268" Type="http://schemas.openxmlformats.org/officeDocument/2006/relationships/hyperlink" Target="https://dl.smwcentral.net/9640/SMBLS%20V2.0%20%28Final%20Final%20Fix%29.ips.zip" TargetMode="External"/><Relationship Id="rId4475" Type="http://schemas.openxmlformats.org/officeDocument/2006/relationships/hyperlink" Target="https://www.smwcentral.net/?a=details&amp;id=18698&amp;p=section" TargetMode="External"/><Relationship Id="rId5319" Type="http://schemas.openxmlformats.org/officeDocument/2006/relationships/hyperlink" Target="https://www.smwcentral.net/?a=details&amp;id=28513&amp;p=section" TargetMode="External"/><Relationship Id="rId3077" Type="http://schemas.openxmlformats.org/officeDocument/2006/relationships/hyperlink" Target="https://www.smwcentral.net/?a=details&amp;id=25999&amp;p=section" TargetMode="External"/><Relationship Id="rId3284" Type="http://schemas.openxmlformats.org/officeDocument/2006/relationships/hyperlink" Target="https://dl.smwcentral.net/22030/SAR_v1.1.zip" TargetMode="External"/><Relationship Id="rId4128" Type="http://schemas.openxmlformats.org/officeDocument/2006/relationships/hyperlink" Target="https://dl.smwcentral.net/28619/SMW%20A%20Super%20Mario%20Adventure%203%20%28V2.0%29.zip" TargetMode="External"/><Relationship Id="rId4682" Type="http://schemas.openxmlformats.org/officeDocument/2006/relationships/hyperlink" Target="https://dl.smwcentral.net/40909/Thanksgiving%20Hack.zip" TargetMode="External"/><Relationship Id="rId1929" Type="http://schemas.openxmlformats.org/officeDocument/2006/relationships/hyperlink" Target="https://www.smwcentral.net/?a=details&amp;id=25573&amp;p=section" TargetMode="External"/><Relationship Id="rId2093" Type="http://schemas.openxmlformats.org/officeDocument/2006/relationships/hyperlink" Target="https://www.smwcentral.net/?a=details&amp;id=33308&amp;p=section" TargetMode="External"/><Relationship Id="rId3491" Type="http://schemas.openxmlformats.org/officeDocument/2006/relationships/hyperlink" Target="https://www.smwcentral.net/?a=details&amp;id=9679&amp;p=section" TargetMode="External"/><Relationship Id="rId4335" Type="http://schemas.openxmlformats.org/officeDocument/2006/relationships/hyperlink" Target="https://www.smwcentral.net/?a=details&amp;id=36887&amp;p=section" TargetMode="External"/><Relationship Id="rId4542" Type="http://schemas.openxmlformats.org/officeDocument/2006/relationships/hyperlink" Target="https://dl.smwcentral.net/35795/Unethical2.zip" TargetMode="External"/><Relationship Id="rId3144" Type="http://schemas.openxmlformats.org/officeDocument/2006/relationships/hyperlink" Target="https://dl.smwcentral.net/25911/ShyGuyKaizoDream1.2.zip" TargetMode="External"/><Relationship Id="rId3351" Type="http://schemas.openxmlformats.org/officeDocument/2006/relationships/hyperlink" Target="https://www.smwcentral.net/?a=details&amp;id=24320&amp;p=section" TargetMode="External"/><Relationship Id="rId4402" Type="http://schemas.openxmlformats.org/officeDocument/2006/relationships/hyperlink" Target="https://dl.smwcentral.net/15561/Super%20Panga%20World%20v1.2.zip" TargetMode="External"/><Relationship Id="rId272" Type="http://schemas.openxmlformats.org/officeDocument/2006/relationships/hyperlink" Target="https://dl.smwcentral.net/27795/ALPHA%20SPHERE%20Director%27s%20Cut%20v1.0.2.zip" TargetMode="External"/><Relationship Id="rId2160" Type="http://schemas.openxmlformats.org/officeDocument/2006/relationships/hyperlink" Target="https://dl.smwcentral.net/28978/Mario%27s%20Grand%20Adventure%202%20Mario%27s%20World%20Tour.zip" TargetMode="External"/><Relationship Id="rId3004" Type="http://schemas.openxmlformats.org/officeDocument/2006/relationships/hyperlink" Target="https://dl.smwcentral.net/41900/Run%20Away%20from%20Mario%27s%20Past%20v1.4.zip" TargetMode="External"/><Relationship Id="rId3211" Type="http://schemas.openxmlformats.org/officeDocument/2006/relationships/hyperlink" Target="https://www.smwcentral.net/?a=details&amp;id=11604&amp;p=section" TargetMode="External"/><Relationship Id="rId132" Type="http://schemas.openxmlformats.org/officeDocument/2006/relationships/hyperlink" Target="https://dl.smwcentral.net/10014/AMPD.zip" TargetMode="External"/><Relationship Id="rId2020" Type="http://schemas.openxmlformats.org/officeDocument/2006/relationships/hyperlink" Target="https://dl.smwcentral.net/32691/Mario%20Memorandum%201.1.zip" TargetMode="External"/><Relationship Id="rId5176" Type="http://schemas.openxmlformats.org/officeDocument/2006/relationships/hyperlink" Target="https://dl.smwcentral.net/42703/Tribute.zip" TargetMode="External"/><Relationship Id="rId5383" Type="http://schemas.openxmlformats.org/officeDocument/2006/relationships/hyperlink" Target="https://www.smwcentral.net/?a=details&amp;id=22073&amp;p=section" TargetMode="External"/><Relationship Id="rId1579" Type="http://schemas.openxmlformats.org/officeDocument/2006/relationships/hyperlink" Target="https://www.smwcentral.net/?a=details&amp;id=38338&amp;p=section" TargetMode="External"/><Relationship Id="rId2977" Type="http://schemas.openxmlformats.org/officeDocument/2006/relationships/hyperlink" Target="https://www.smwcentral.net/?a=details&amp;id=19684&amp;p=section" TargetMode="External"/><Relationship Id="rId4192" Type="http://schemas.openxmlformats.org/officeDocument/2006/relationships/hyperlink" Target="https://dl.smwcentral.net/11004/SMW%20The%207%20Elemental%20Yoshies%20DEMO.zip" TargetMode="External"/><Relationship Id="rId5036" Type="http://schemas.openxmlformats.org/officeDocument/2006/relationships/hyperlink" Target="https://dl.smwcentral.net/23816/The_Wahn_Stew_Race.zip" TargetMode="External"/><Relationship Id="rId5243" Type="http://schemas.openxmlformats.org/officeDocument/2006/relationships/hyperlink" Target="https://www.smwcentral.net/?a=details&amp;id=25250&amp;p=section" TargetMode="External"/><Relationship Id="rId5450" Type="http://schemas.openxmlformats.org/officeDocument/2006/relationships/hyperlink" Target="https://dl.smwcentral.net/34071/Yoshi%20Saves%20Summer%20Vacation.zip" TargetMode="External"/><Relationship Id="rId949" Type="http://schemas.openxmlformats.org/officeDocument/2006/relationships/hyperlink" Target="https://www.smwcentral.net/?a=details&amp;id=37611&amp;p=section" TargetMode="External"/><Relationship Id="rId1786" Type="http://schemas.openxmlformats.org/officeDocument/2006/relationships/hyperlink" Target="https://dl.smwcentral.net/15802/Luigimisadventures.zip" TargetMode="External"/><Relationship Id="rId1993" Type="http://schemas.openxmlformats.org/officeDocument/2006/relationships/hyperlink" Target="https://www.smwcentral.net/?a=details&amp;id=15922&amp;p=section" TargetMode="External"/><Relationship Id="rId2837" Type="http://schemas.openxmlformats.org/officeDocument/2006/relationships/hyperlink" Target="https://www.smwcentral.net/?a=details&amp;id=32472&amp;p=section" TargetMode="External"/><Relationship Id="rId4052" Type="http://schemas.openxmlformats.org/officeDocument/2006/relationships/hyperlink" Target="https://dl.smwcentral.net/24029/7jars_new.zip" TargetMode="External"/><Relationship Id="rId5103" Type="http://schemas.openxmlformats.org/officeDocument/2006/relationships/hyperlink" Target="https://www.smwcentral.net/?a=details&amp;id=11499&amp;p=section" TargetMode="External"/><Relationship Id="rId78" Type="http://schemas.openxmlformats.org/officeDocument/2006/relationships/hyperlink" Target="https://dl.smwcentral.net/14593/8-bit%20Mario%20World%20-%20Desert%20Mario%20ver.%201.3.zip" TargetMode="External"/><Relationship Id="rId809" Type="http://schemas.openxmlformats.org/officeDocument/2006/relationships/hyperlink" Target="https://www.smwcentral.net/?a=details&amp;id=21730&amp;p=section" TargetMode="External"/><Relationship Id="rId1439" Type="http://schemas.openxmlformats.org/officeDocument/2006/relationships/hyperlink" Target="https://www.smwcentral.net/?a=details&amp;id=42402&amp;p=section" TargetMode="External"/><Relationship Id="rId1646" Type="http://schemas.openxmlformats.org/officeDocument/2006/relationships/hyperlink" Target="https://dl.smwcentral.net/37671/LIMBO%20v3.25.zip" TargetMode="External"/><Relationship Id="rId1853" Type="http://schemas.openxmlformats.org/officeDocument/2006/relationships/hyperlink" Target="https://www.smwcentral.net/?a=details&amp;id=11900&amp;p=section" TargetMode="External"/><Relationship Id="rId2904" Type="http://schemas.openxmlformats.org/officeDocument/2006/relationships/hyperlink" Target="https://dl.smwcentral.net/40631/gimmicks.zip" TargetMode="External"/><Relationship Id="rId5310" Type="http://schemas.openxmlformats.org/officeDocument/2006/relationships/hyperlink" Target="https://dl.smwcentral.net/10027/VIP%26%2312510%3B%26%2312522%3B%26%2312458%3B3AAE%20ver.1.48.zip" TargetMode="External"/><Relationship Id="rId1506" Type="http://schemas.openxmlformats.org/officeDocument/2006/relationships/hyperlink" Target="https://dl.smwcentral.net/33880/SMW-JustThanks.zip" TargetMode="External"/><Relationship Id="rId1713" Type="http://schemas.openxmlformats.org/officeDocument/2006/relationships/hyperlink" Target="https://www.smwcentral.net/?a=details&amp;id=38428&amp;p=section" TargetMode="External"/><Relationship Id="rId1920" Type="http://schemas.openxmlformats.org/officeDocument/2006/relationships/hyperlink" Target="https://dl.smwcentral.net/9852/Mario%20Curse%20Hunter%20Demo%201.5.zip" TargetMode="External"/><Relationship Id="rId4869" Type="http://schemas.openxmlformats.org/officeDocument/2006/relationships/hyperlink" Target="https://www.smwcentral.net/?a=details&amp;id=14419&amp;p=section" TargetMode="External"/><Relationship Id="rId3678" Type="http://schemas.openxmlformats.org/officeDocument/2006/relationships/hyperlink" Target="https://dl.smwcentral.net/9717/Super%20Luigi%20World%20-%20Luigi%27s%20Quest%21.zip" TargetMode="External"/><Relationship Id="rId3885" Type="http://schemas.openxmlformats.org/officeDocument/2006/relationships/hyperlink" Target="https://www.smwcentral.net/?a=details&amp;id=10187&amp;p=section" TargetMode="External"/><Relationship Id="rId4729" Type="http://schemas.openxmlformats.org/officeDocument/2006/relationships/hyperlink" Target="https://www.smwcentral.net/?a=details&amp;id=18962&amp;p=section" TargetMode="External"/><Relationship Id="rId4936" Type="http://schemas.openxmlformats.org/officeDocument/2006/relationships/hyperlink" Target="https://dl.smwcentral.net/27443/The%20Power%20Beneath.zip" TargetMode="External"/><Relationship Id="rId599" Type="http://schemas.openxmlformats.org/officeDocument/2006/relationships/hyperlink" Target="https://www.smwcentral.net/?a=details&amp;id=32084&amp;p=section" TargetMode="External"/><Relationship Id="rId2487" Type="http://schemas.openxmlformats.org/officeDocument/2006/relationships/hyperlink" Target="https://www.smwcentral.net/?a=details&amp;id=15438&amp;p=section" TargetMode="External"/><Relationship Id="rId2694" Type="http://schemas.openxmlformats.org/officeDocument/2006/relationships/hyperlink" Target="https://dl.smwcentral.net/33774/Oxworm.zip" TargetMode="External"/><Relationship Id="rId3538" Type="http://schemas.openxmlformats.org/officeDocument/2006/relationships/hyperlink" Target="https://dl.smwcentral.net/18172/Super%20Focused%20World.zip" TargetMode="External"/><Relationship Id="rId3745" Type="http://schemas.openxmlformats.org/officeDocument/2006/relationships/hyperlink" Target="https://www.smwcentral.net/?a=details&amp;id=17086&amp;p=section" TargetMode="External"/><Relationship Id="rId459" Type="http://schemas.openxmlformats.org/officeDocument/2006/relationships/hyperlink" Target="https://www.smwcentral.net/?a=details&amp;id=11347&amp;p=section" TargetMode="External"/><Relationship Id="rId666" Type="http://schemas.openxmlformats.org/officeDocument/2006/relationships/hyperlink" Target="https://dl.smwcentral.net/38787/Chirality.zip" TargetMode="External"/><Relationship Id="rId873" Type="http://schemas.openxmlformats.org/officeDocument/2006/relationships/hyperlink" Target="https://www.smwcentral.net/?a=details&amp;id=29956&amp;p=section" TargetMode="External"/><Relationship Id="rId1089" Type="http://schemas.openxmlformats.org/officeDocument/2006/relationships/hyperlink" Target="https://www.smwcentral.net/?a=details&amp;id=22753&amp;p=section" TargetMode="External"/><Relationship Id="rId1296" Type="http://schemas.openxmlformats.org/officeDocument/2006/relationships/hyperlink" Target="https://dl.smwcentral.net/22581/HazukaWorld1.55.zip" TargetMode="External"/><Relationship Id="rId2347" Type="http://schemas.openxmlformats.org/officeDocument/2006/relationships/hyperlink" Target="https://www.smwcentral.net/?a=details&amp;id=28692&amp;p=section" TargetMode="External"/><Relationship Id="rId2554" Type="http://schemas.openxmlformats.org/officeDocument/2006/relationships/hyperlink" Target="https://dl.smwcentral.net/27737/Nightmare%20cafe%20III%20V1.3.zip" TargetMode="External"/><Relationship Id="rId3952" Type="http://schemas.openxmlformats.org/officeDocument/2006/relationships/hyperlink" Target="https://dl.smwcentral.net/10060/SM%20Starlight%20Remix%20Version%202.1.zip" TargetMode="External"/><Relationship Id="rId319" Type="http://schemas.openxmlformats.org/officeDocument/2006/relationships/hyperlink" Target="https://www.smwcentral.net/?a=details&amp;id=35726&amp;p=section" TargetMode="External"/><Relationship Id="rId526" Type="http://schemas.openxmlformats.org/officeDocument/2006/relationships/hyperlink" Target="https://dl.smwcentral.net/35354/Bowser%27s%20Revenge%203.zip" TargetMode="External"/><Relationship Id="rId1156" Type="http://schemas.openxmlformats.org/officeDocument/2006/relationships/hyperlink" Target="https://dl.smwcentral.net/32925/Get%20On%20Up%21%201.3.zip" TargetMode="External"/><Relationship Id="rId1363" Type="http://schemas.openxmlformats.org/officeDocument/2006/relationships/hyperlink" Target="https://www.smwcentral.net/?a=details&amp;id=26890&amp;p=section" TargetMode="External"/><Relationship Id="rId2207" Type="http://schemas.openxmlformats.org/officeDocument/2006/relationships/hyperlink" Target="https://www.smwcentral.net/?a=details&amp;id=18975&amp;p=section" TargetMode="External"/><Relationship Id="rId2761" Type="http://schemas.openxmlformats.org/officeDocument/2006/relationships/hyperlink" Target="https://www.smwcentral.net/?a=details&amp;id=39132&amp;p=section" TargetMode="External"/><Relationship Id="rId3605" Type="http://schemas.openxmlformats.org/officeDocument/2006/relationships/hyperlink" Target="https://www.smwcentral.net/?a=details&amp;id=42097&amp;p=section" TargetMode="External"/><Relationship Id="rId3812" Type="http://schemas.openxmlformats.org/officeDocument/2006/relationships/hyperlink" Target="https://dl.smwcentral.net/9729/Super%20Mario%20Bros.%20-%20The%20Last%20Showdown.zip" TargetMode="External"/><Relationship Id="rId733" Type="http://schemas.openxmlformats.org/officeDocument/2006/relationships/hyperlink" Target="https://www.smwcentral.net/?a=details&amp;id=25095&amp;p=section" TargetMode="External"/><Relationship Id="rId940" Type="http://schemas.openxmlformats.org/officeDocument/2006/relationships/hyperlink" Target="https://dl.smwcentral.net/39699/EasyTwoScreenPuzzle.zip" TargetMode="External"/><Relationship Id="rId1016" Type="http://schemas.openxmlformats.org/officeDocument/2006/relationships/hyperlink" Target="https://dl.smwcentral.net/32358/EvilDoopuWorld_v1.0.0.zip" TargetMode="External"/><Relationship Id="rId1570" Type="http://schemas.openxmlformats.org/officeDocument/2006/relationships/hyperlink" Target="https://dl.smwcentral.net/9980/KaroshiMario.zip" TargetMode="External"/><Relationship Id="rId2414" Type="http://schemas.openxmlformats.org/officeDocument/2006/relationships/hyperlink" Target="https://dl.smwcentral.net/21997/MuraWorld2.zip" TargetMode="External"/><Relationship Id="rId2621" Type="http://schemas.openxmlformats.org/officeDocument/2006/relationships/hyperlink" Target="https://www.smwcentral.net/?a=details&amp;id=14556&amp;p=section" TargetMode="External"/><Relationship Id="rId800" Type="http://schemas.openxmlformats.org/officeDocument/2006/relationships/hyperlink" Target="https://dl.smwcentral.net/38109/Daisy%27s_Crazy_Adventure_1.1.0.zip" TargetMode="External"/><Relationship Id="rId1223" Type="http://schemas.openxmlformats.org/officeDocument/2006/relationships/hyperlink" Target="https://www.smwcentral.net/?a=details&amp;id=35730&amp;p=section" TargetMode="External"/><Relationship Id="rId1430" Type="http://schemas.openxmlformats.org/officeDocument/2006/relationships/hyperlink" Target="https://dl.smwcentral.net/11342/Item%20Abuse%20v1.7.zip" TargetMode="External"/><Relationship Id="rId4379" Type="http://schemas.openxmlformats.org/officeDocument/2006/relationships/hyperlink" Target="https://www.smwcentral.net/?a=details&amp;id=29680&amp;p=section" TargetMode="External"/><Relationship Id="rId4586" Type="http://schemas.openxmlformats.org/officeDocument/2006/relationships/hyperlink" Target="https://dl.smwcentral.net/22479/SuperZoulziWorld.zip" TargetMode="External"/><Relationship Id="rId4793" Type="http://schemas.openxmlformats.org/officeDocument/2006/relationships/hyperlink" Target="https://www.smwcentral.net/?a=details&amp;id=6130&amp;p=section" TargetMode="External"/><Relationship Id="rId3188" Type="http://schemas.openxmlformats.org/officeDocument/2006/relationships/hyperlink" Target="https://dl.smwcentral.net/28210/smithereens.zip" TargetMode="External"/><Relationship Id="rId3395" Type="http://schemas.openxmlformats.org/officeDocument/2006/relationships/hyperlink" Target="https://www.smwcentral.net/?a=details&amp;id=14202&amp;p=section" TargetMode="External"/><Relationship Id="rId4239" Type="http://schemas.openxmlformats.org/officeDocument/2006/relationships/hyperlink" Target="https://www.smwcentral.net/?a=details&amp;id=19292&amp;p=section" TargetMode="External"/><Relationship Id="rId4446" Type="http://schemas.openxmlformats.org/officeDocument/2006/relationships/hyperlink" Target="https://dl.smwcentral.net/21703/Super%20Riff%20World.zip" TargetMode="External"/><Relationship Id="rId4653" Type="http://schemas.openxmlformats.org/officeDocument/2006/relationships/hyperlink" Target="https://www.smwcentral.net/?a=details&amp;id=27311&amp;p=section" TargetMode="External"/><Relationship Id="rId4860" Type="http://schemas.openxmlformats.org/officeDocument/2006/relationships/hyperlink" Target="https://dl.smwcentral.net/36686/TheLeftHandOfRosalina_2.zip" TargetMode="External"/><Relationship Id="rId3048" Type="http://schemas.openxmlformats.org/officeDocument/2006/relationships/hyperlink" Target="https://dl.smwcentral.net/37602/Second%20Nature.zip" TargetMode="External"/><Relationship Id="rId3255" Type="http://schemas.openxmlformats.org/officeDocument/2006/relationships/hyperlink" Target="https://www.smwcentral.net/?a=details&amp;id=17462&amp;p=section" TargetMode="External"/><Relationship Id="rId3462" Type="http://schemas.openxmlformats.org/officeDocument/2006/relationships/hyperlink" Target="https://dl.smwcentral.net/13833/SuperConanLand.zip" TargetMode="External"/><Relationship Id="rId4306" Type="http://schemas.openxmlformats.org/officeDocument/2006/relationships/hyperlink" Target="https://dl.smwcentral.net/24582/Super%20Mario%20The%20Friends%27%20Rescue.zip" TargetMode="External"/><Relationship Id="rId4513" Type="http://schemas.openxmlformats.org/officeDocument/2006/relationships/hyperlink" Target="https://www.smwcentral.net/?a=details&amp;id=25145&amp;p=section" TargetMode="External"/><Relationship Id="rId4720" Type="http://schemas.openxmlformats.org/officeDocument/2006/relationships/hyperlink" Target="https://dl.smwcentral.net/17437/The%20artifacts%20of%20marvelous%20birds%20-%20Demo%203.zip" TargetMode="External"/><Relationship Id="rId176" Type="http://schemas.openxmlformats.org/officeDocument/2006/relationships/hyperlink" Target="https://dl.smwcentral.net/34830/AStickySituation.zip" TargetMode="External"/><Relationship Id="rId383" Type="http://schemas.openxmlformats.org/officeDocument/2006/relationships/hyperlink" Target="https://www.smwcentral.net/?a=details&amp;id=38857&amp;p=section" TargetMode="External"/><Relationship Id="rId590" Type="http://schemas.openxmlformats.org/officeDocument/2006/relationships/hyperlink" Target="https://dl.smwcentral.net/41726/CantStopWontStop_v1.1.zip" TargetMode="External"/><Relationship Id="rId2064" Type="http://schemas.openxmlformats.org/officeDocument/2006/relationships/hyperlink" Target="https://dl.smwcentral.net/20687/Mario%20Saves%20Spring%20Break%20%28UPDATED%29.zip" TargetMode="External"/><Relationship Id="rId2271" Type="http://schemas.openxmlformats.org/officeDocument/2006/relationships/hyperlink" Target="https://www.smwcentral.net/?a=details&amp;id=9725&amp;p=section" TargetMode="External"/><Relationship Id="rId3115" Type="http://schemas.openxmlformats.org/officeDocument/2006/relationships/hyperlink" Target="https://www.smwcentral.net/?a=details&amp;id=33434&amp;p=section" TargetMode="External"/><Relationship Id="rId3322" Type="http://schemas.openxmlformats.org/officeDocument/2006/relationships/hyperlink" Target="https://dl.smwcentral.net/6760/Special%20World%20Demo%200.1.3.zip" TargetMode="External"/><Relationship Id="rId243" Type="http://schemas.openxmlformats.org/officeDocument/2006/relationships/hyperlink" Target="https://www.smwcentral.net/?a=details&amp;id=32364&amp;p=section" TargetMode="External"/><Relationship Id="rId450" Type="http://schemas.openxmlformats.org/officeDocument/2006/relationships/hyperlink" Target="https://dl.smwcentral.net/30171/blocks.zip" TargetMode="External"/><Relationship Id="rId1080" Type="http://schemas.openxmlformats.org/officeDocument/2006/relationships/hyperlink" Target="https://dl.smwcentral.net/30756/For%20Dan%20v2.zip" TargetMode="External"/><Relationship Id="rId2131" Type="http://schemas.openxmlformats.org/officeDocument/2006/relationships/hyperlink" Target="https://www.smwcentral.net/?a=details&amp;id=10239&amp;p=section" TargetMode="External"/><Relationship Id="rId5287" Type="http://schemas.openxmlformats.org/officeDocument/2006/relationships/hyperlink" Target="https://www.smwcentral.net/?a=details&amp;id=10019&amp;p=section" TargetMode="External"/><Relationship Id="rId5494" Type="http://schemas.openxmlformats.org/officeDocument/2006/relationships/hyperlink" Target="https://dl.smwcentral.net/32897/meep.zip" TargetMode="External"/><Relationship Id="rId103" Type="http://schemas.openxmlformats.org/officeDocument/2006/relationships/hyperlink" Target="https://www.smwcentral.net/?a=details&amp;id=14688&amp;p=section" TargetMode="External"/><Relationship Id="rId310" Type="http://schemas.openxmlformats.org/officeDocument/2006/relationships/hyperlink" Target="https://dl.smwcentral.net/14122/newASW.zip" TargetMode="External"/><Relationship Id="rId4096" Type="http://schemas.openxmlformats.org/officeDocument/2006/relationships/hyperlink" Target="https://dl.smwcentral.net/10289/AltheronX.zip" TargetMode="External"/><Relationship Id="rId5147" Type="http://schemas.openxmlformats.org/officeDocument/2006/relationships/hyperlink" Target="https://www.smwcentral.net/?a=details&amp;id=6059&amp;p=section" TargetMode="External"/><Relationship Id="rId1897" Type="http://schemas.openxmlformats.org/officeDocument/2006/relationships/hyperlink" Target="https://www.smwcentral.net/?a=details&amp;id=9917&amp;p=section" TargetMode="External"/><Relationship Id="rId2948" Type="http://schemas.openxmlformats.org/officeDocument/2006/relationships/hyperlink" Target="https://dl.smwcentral.net/40108/Reverie.zip" TargetMode="External"/><Relationship Id="rId5354" Type="http://schemas.openxmlformats.org/officeDocument/2006/relationships/hyperlink" Target="https://dl.smwcentral.net/17731/Watch%20Mario%20Bundle.zip" TargetMode="External"/><Relationship Id="rId1757" Type="http://schemas.openxmlformats.org/officeDocument/2006/relationships/hyperlink" Target="https://www.smwcentral.net/?a=details&amp;id=10073&amp;p=section" TargetMode="External"/><Relationship Id="rId1964" Type="http://schemas.openxmlformats.org/officeDocument/2006/relationships/hyperlink" Target="https://dl.smwcentral.net/24685/Mario%20in%20Mushroom%20Rix%20Land.zip" TargetMode="External"/><Relationship Id="rId2808" Type="http://schemas.openxmlformats.org/officeDocument/2006/relationships/hyperlink" Target="https://dl.smwcentral.net/27893/POLYPHONY_1.1.1.zip" TargetMode="External"/><Relationship Id="rId4163" Type="http://schemas.openxmlformats.org/officeDocument/2006/relationships/hyperlink" Target="https://www.smwcentral.net/?a=details&amp;id=9803&amp;p=section" TargetMode="External"/><Relationship Id="rId4370" Type="http://schemas.openxmlformats.org/officeDocument/2006/relationships/hyperlink" Target="https://dl.smwcentral.net/23434/SuperNinjiLand1.1.zip" TargetMode="External"/><Relationship Id="rId5007" Type="http://schemas.openxmlformats.org/officeDocument/2006/relationships/hyperlink" Target="https://www.smwcentral.net/?a=details&amp;id=16068&amp;p=section" TargetMode="External"/><Relationship Id="rId5214" Type="http://schemas.openxmlformats.org/officeDocument/2006/relationships/hyperlink" Target="https://dl.smwcentral.net/24272/UV2.0.zip" TargetMode="External"/><Relationship Id="rId5421" Type="http://schemas.openxmlformats.org/officeDocument/2006/relationships/hyperlink" Target="https://www.smwcentral.net/?a=details&amp;id=33559&amp;p=section" TargetMode="External"/><Relationship Id="rId49" Type="http://schemas.openxmlformats.org/officeDocument/2006/relationships/hyperlink" Target="https://www.smwcentral.net/?a=details&amp;id=32593&amp;p=section" TargetMode="External"/><Relationship Id="rId1617" Type="http://schemas.openxmlformats.org/officeDocument/2006/relationships/hyperlink" Target="https://www.smwcentral.net/?a=details&amp;id=21542&amp;p=section" TargetMode="External"/><Relationship Id="rId1824" Type="http://schemas.openxmlformats.org/officeDocument/2006/relationships/hyperlink" Target="https://dl.smwcentral.net/39844/Made%20of%20Fantasy%20v1.1.1.zip" TargetMode="External"/><Relationship Id="rId4023" Type="http://schemas.openxmlformats.org/officeDocument/2006/relationships/hyperlink" Target="https://www.smwcentral.net/?a=details&amp;id=15187&amp;p=section" TargetMode="External"/><Relationship Id="rId4230" Type="http://schemas.openxmlformats.org/officeDocument/2006/relationships/hyperlink" Target="https://dl.smwcentral.net/10041/SMW%20Twentieth%20Anniversary.zip" TargetMode="External"/><Relationship Id="rId3789" Type="http://schemas.openxmlformats.org/officeDocument/2006/relationships/hyperlink" Target="https://www.smwcentral.net/?a=details&amp;id=25236&amp;p=section" TargetMode="External"/><Relationship Id="rId2598" Type="http://schemas.openxmlformats.org/officeDocument/2006/relationships/hyperlink" Target="https://dl.smwcentral.net/39737/NoVillains.zip" TargetMode="External"/><Relationship Id="rId3996" Type="http://schemas.openxmlformats.org/officeDocument/2006/relationships/hyperlink" Target="https://dl.smwcentral.net/33731/mario-world-bg-v3.1.zip" TargetMode="External"/><Relationship Id="rId3649" Type="http://schemas.openxmlformats.org/officeDocument/2006/relationships/hyperlink" Target="https://www.smwcentral.net/?a=details&amp;id=29719&amp;p=section" TargetMode="External"/><Relationship Id="rId3856" Type="http://schemas.openxmlformats.org/officeDocument/2006/relationships/hyperlink" Target="https://dl.smwcentral.net/27400/Super%20Mario%20Flash%202%20-%20SMW%20Remake%201.3.zip" TargetMode="External"/><Relationship Id="rId4907" Type="http://schemas.openxmlformats.org/officeDocument/2006/relationships/hyperlink" Target="https://www.smwcentral.net/?a=details&amp;id=9684&amp;p=section" TargetMode="External"/><Relationship Id="rId5071" Type="http://schemas.openxmlformats.org/officeDocument/2006/relationships/hyperlink" Target="https://www.smwcentral.net/?a=details&amp;id=9697&amp;p=section" TargetMode="External"/><Relationship Id="rId777" Type="http://schemas.openxmlformats.org/officeDocument/2006/relationships/hyperlink" Target="https://www.smwcentral.net/?a=details&amp;id=34784&amp;p=section" TargetMode="External"/><Relationship Id="rId984" Type="http://schemas.openxmlformats.org/officeDocument/2006/relationships/hyperlink" Target="https://dl.smwcentral.net/23363/EGW%20V1.1.zip" TargetMode="External"/><Relationship Id="rId2458" Type="http://schemas.openxmlformats.org/officeDocument/2006/relationships/hyperlink" Target="https://dl.smwcentral.net/35753/NabbitStealsXmas.zip" TargetMode="External"/><Relationship Id="rId2665" Type="http://schemas.openxmlformats.org/officeDocument/2006/relationships/hyperlink" Target="https://www.smwcentral.net/?a=details&amp;id=37004&amp;p=section" TargetMode="External"/><Relationship Id="rId2872" Type="http://schemas.openxmlformats.org/officeDocument/2006/relationships/hyperlink" Target="https://dl.smwcentral.net/9795/qimk_demo2.zip" TargetMode="External"/><Relationship Id="rId3509" Type="http://schemas.openxmlformats.org/officeDocument/2006/relationships/hyperlink" Target="https://www.smwcentral.net/?a=details&amp;id=23193&amp;p=section" TargetMode="External"/><Relationship Id="rId3716" Type="http://schemas.openxmlformats.org/officeDocument/2006/relationships/hyperlink" Target="https://dl.smwcentral.net/5267/Mario64over4.zip" TargetMode="External"/><Relationship Id="rId3923" Type="http://schemas.openxmlformats.org/officeDocument/2006/relationships/hyperlink" Target="https://www.smwcentral.net/?a=details&amp;id=5252&amp;p=section" TargetMode="External"/><Relationship Id="rId637" Type="http://schemas.openxmlformats.org/officeDocument/2006/relationships/hyperlink" Target="https://www.smwcentral.net/?a=details&amp;id=27260&amp;p=section" TargetMode="External"/><Relationship Id="rId844" Type="http://schemas.openxmlformats.org/officeDocument/2006/relationships/hyperlink" Target="https://dl.smwcentral.net/26493/delirious.zip" TargetMode="External"/><Relationship Id="rId1267" Type="http://schemas.openxmlformats.org/officeDocument/2006/relationships/hyperlink" Target="https://www.smwcentral.net/?a=details&amp;id=9859&amp;p=section" TargetMode="External"/><Relationship Id="rId1474" Type="http://schemas.openxmlformats.org/officeDocument/2006/relationships/hyperlink" Target="https://dl.smwcentral.net/38474/Journey%20to%20peak.zip" TargetMode="External"/><Relationship Id="rId1681" Type="http://schemas.openxmlformats.org/officeDocument/2006/relationships/hyperlink" Target="https://www.smwcentral.net/?a=details&amp;id=17046&amp;p=section" TargetMode="External"/><Relationship Id="rId2318" Type="http://schemas.openxmlformats.org/officeDocument/2006/relationships/hyperlink" Target="https://dl.smwcentral.net/5534/Maxworld%20-%20TAT.zip" TargetMode="External"/><Relationship Id="rId2525" Type="http://schemas.openxmlformats.org/officeDocument/2006/relationships/hyperlink" Target="https://www.smwcentral.net/?a=details&amp;id=37998&amp;p=section" TargetMode="External"/><Relationship Id="rId2732" Type="http://schemas.openxmlformats.org/officeDocument/2006/relationships/hyperlink" Target="https://dl.smwcentral.net/42230/Paths%201.2.zip" TargetMode="External"/><Relationship Id="rId704" Type="http://schemas.openxmlformats.org/officeDocument/2006/relationships/hyperlink" Target="https://dl.smwcentral.net/19817/CMW1%2005-08-2019.zip" TargetMode="External"/><Relationship Id="rId911" Type="http://schemas.openxmlformats.org/officeDocument/2006/relationships/hyperlink" Target="https://www.smwcentral.net/?a=details&amp;id=33031&amp;p=section" TargetMode="External"/><Relationship Id="rId1127" Type="http://schemas.openxmlformats.org/officeDocument/2006/relationships/hyperlink" Target="https://www.smwcentral.net/?a=details&amp;id=24981&amp;p=section" TargetMode="External"/><Relationship Id="rId1334" Type="http://schemas.openxmlformats.org/officeDocument/2006/relationships/hyperlink" Target="https://dl.smwcentral.net/21700/How%20NOT%20to%20Kaizo.zip" TargetMode="External"/><Relationship Id="rId1541" Type="http://schemas.openxmlformats.org/officeDocument/2006/relationships/hyperlink" Target="https://www.smwcentral.net/?a=details&amp;id=30642&amp;p=section" TargetMode="External"/><Relationship Id="rId4697" Type="http://schemas.openxmlformats.org/officeDocument/2006/relationships/hyperlink" Target="https://www.smwcentral.net/?a=details&amp;id=9907&amp;p=section" TargetMode="External"/><Relationship Id="rId40" Type="http://schemas.openxmlformats.org/officeDocument/2006/relationships/hyperlink" Target="https://dl.smwcentral.net/39850/20ChallengesE4.zip" TargetMode="External"/><Relationship Id="rId1401" Type="http://schemas.openxmlformats.org/officeDocument/2006/relationships/hyperlink" Target="https://www.smwcentral.net/?a=details&amp;id=37867&amp;p=section" TargetMode="External"/><Relationship Id="rId3299" Type="http://schemas.openxmlformats.org/officeDocument/2006/relationships/hyperlink" Target="https://www.smwcentral.net/?a=details&amp;id=28598&amp;p=section" TargetMode="External"/><Relationship Id="rId4557" Type="http://schemas.openxmlformats.org/officeDocument/2006/relationships/hyperlink" Target="https://www.smwcentral.net/?a=details&amp;id=42614&amp;p=section" TargetMode="External"/><Relationship Id="rId4764" Type="http://schemas.openxmlformats.org/officeDocument/2006/relationships/hyperlink" Target="https://dl.smwcentral.net/5161/TEOS%20Demo%204.zip" TargetMode="External"/><Relationship Id="rId3159" Type="http://schemas.openxmlformats.org/officeDocument/2006/relationships/hyperlink" Target="https://www.smwcentral.net/?a=details&amp;id=31747&amp;p=section" TargetMode="External"/><Relationship Id="rId3366" Type="http://schemas.openxmlformats.org/officeDocument/2006/relationships/hyperlink" Target="https://dl.smwcentral.net/33561/Steid%27s%20Hack.zip" TargetMode="External"/><Relationship Id="rId3573" Type="http://schemas.openxmlformats.org/officeDocument/2006/relationships/hyperlink" Target="https://www.smwcentral.net/?a=details&amp;id=17304&amp;p=section" TargetMode="External"/><Relationship Id="rId4417" Type="http://schemas.openxmlformats.org/officeDocument/2006/relationships/hyperlink" Target="https://www.smwcentral.net/?a=details&amp;id=5494&amp;p=section" TargetMode="External"/><Relationship Id="rId4971" Type="http://schemas.openxmlformats.org/officeDocument/2006/relationships/hyperlink" Target="https://www.smwcentral.net/?a=details&amp;id=17555&amp;p=section" TargetMode="External"/><Relationship Id="rId287" Type="http://schemas.openxmlformats.org/officeDocument/2006/relationships/hyperlink" Target="https://www.smwcentral.net/?a=details&amp;id=10106&amp;p=section" TargetMode="External"/><Relationship Id="rId494" Type="http://schemas.openxmlformats.org/officeDocument/2006/relationships/hyperlink" Target="https://dl.smwcentral.net/10488/RAMPAGEII-REALDEMOI%20%282%29.zip" TargetMode="External"/><Relationship Id="rId2175" Type="http://schemas.openxmlformats.org/officeDocument/2006/relationships/hyperlink" Target="https://www.smwcentral.net/?a=details&amp;id=14534&amp;p=section" TargetMode="External"/><Relationship Id="rId2382" Type="http://schemas.openxmlformats.org/officeDocument/2006/relationships/hyperlink" Target="https://dl.smwcentral.net/34095/MK_Ultra.zip" TargetMode="External"/><Relationship Id="rId3019" Type="http://schemas.openxmlformats.org/officeDocument/2006/relationships/hyperlink" Target="https://www.smwcentral.net/?a=details&amp;id=17384&amp;p=section" TargetMode="External"/><Relationship Id="rId3226" Type="http://schemas.openxmlformats.org/officeDocument/2006/relationships/hyperlink" Target="https://dl.smwcentral.net/9683/SMWREX.zip" TargetMode="External"/><Relationship Id="rId3780" Type="http://schemas.openxmlformats.org/officeDocument/2006/relationships/hyperlink" Target="https://dl.smwcentral.net/9786/smb3.zip" TargetMode="External"/><Relationship Id="rId4624" Type="http://schemas.openxmlformats.org/officeDocument/2006/relationships/hyperlink" Target="https://dl.smwcentral.net/23272/take_it_easy_1.2.zip" TargetMode="External"/><Relationship Id="rId4831" Type="http://schemas.openxmlformats.org/officeDocument/2006/relationships/hyperlink" Target="https://www.smwcentral.net/?a=details&amp;id=13602&amp;p=section" TargetMode="External"/><Relationship Id="rId147" Type="http://schemas.openxmlformats.org/officeDocument/2006/relationships/hyperlink" Target="https://www.smwcentral.net/?a=details&amp;id=42626&amp;p=section" TargetMode="External"/><Relationship Id="rId354" Type="http://schemas.openxmlformats.org/officeDocument/2006/relationships/hyperlink" Target="https://dl.smwcentral.net/38595/AutumnHike%28Demo%29.zip" TargetMode="External"/><Relationship Id="rId1191" Type="http://schemas.openxmlformats.org/officeDocument/2006/relationships/hyperlink" Target="https://www.smwcentral.net/?a=details&amp;id=22880&amp;p=section" TargetMode="External"/><Relationship Id="rId2035" Type="http://schemas.openxmlformats.org/officeDocument/2006/relationships/hyperlink" Target="https://www.smwcentral.net/?a=details&amp;id=28324&amp;p=section" TargetMode="External"/><Relationship Id="rId3433" Type="http://schemas.openxmlformats.org/officeDocument/2006/relationships/hyperlink" Target="https://www.smwcentral.net/?a=details&amp;id=38415&amp;p=section" TargetMode="External"/><Relationship Id="rId3640" Type="http://schemas.openxmlformats.org/officeDocument/2006/relationships/hyperlink" Target="https://dl.smwcentral.net/27103/Super%20Lani%20World%202%20%28Remastered%29.zip" TargetMode="External"/><Relationship Id="rId561" Type="http://schemas.openxmlformats.org/officeDocument/2006/relationships/hyperlink" Target="https://www.smwcentral.net/?a=details&amp;id=37743&amp;p=section" TargetMode="External"/><Relationship Id="rId2242" Type="http://schemas.openxmlformats.org/officeDocument/2006/relationships/hyperlink" Target="https://dl.smwcentral.net/35659/Mario%27s%20Supper%20World.zip" TargetMode="External"/><Relationship Id="rId3500" Type="http://schemas.openxmlformats.org/officeDocument/2006/relationships/hyperlink" Target="https://dl.smwcentral.net/29568/SuperDestructiveWorldV1.1.bps.zip" TargetMode="External"/><Relationship Id="rId5398" Type="http://schemas.openxmlformats.org/officeDocument/2006/relationships/hyperlink" Target="https://dl.smwcentral.net/33326/WinterSeason2.zip" TargetMode="External"/><Relationship Id="rId214" Type="http://schemas.openxmlformats.org/officeDocument/2006/relationships/hyperlink" Target="https://dl.smwcentral.net/18626/Abuse%20and%20Die%203%20demo.zip" TargetMode="External"/><Relationship Id="rId421" Type="http://schemas.openxmlformats.org/officeDocument/2006/relationships/hyperlink" Target="https://www.smwcentral.net/?a=details&amp;id=31781&amp;p=section" TargetMode="External"/><Relationship Id="rId1051" Type="http://schemas.openxmlformats.org/officeDocument/2006/relationships/hyperlink" Target="https://www.smwcentral.net/?a=details&amp;id=27706&amp;p=section" TargetMode="External"/><Relationship Id="rId2102" Type="http://schemas.openxmlformats.org/officeDocument/2006/relationships/hyperlink" Target="https://dl.smwcentral.net/10185/Mario%20World%20Super%20Yuri%27s%20Hack%20DEMO%202.6.1.zip" TargetMode="External"/><Relationship Id="rId5258" Type="http://schemas.openxmlformats.org/officeDocument/2006/relationships/hyperlink" Target="https://dl.smwcentral.net/22946/Untitled%20Hack.zip" TargetMode="External"/><Relationship Id="rId5465" Type="http://schemas.openxmlformats.org/officeDocument/2006/relationships/hyperlink" Target="https://www.smwcentral.net/?a=details&amp;id=10024&amp;p=section" TargetMode="External"/><Relationship Id="rId1868" Type="http://schemas.openxmlformats.org/officeDocument/2006/relationships/hyperlink" Target="https://dl.smwcentral.net/34207/Mario%20and%20Luigi%20in%20an%20Unknown%20Island.zip" TargetMode="External"/><Relationship Id="rId4067" Type="http://schemas.openxmlformats.org/officeDocument/2006/relationships/hyperlink" Target="https://www.smwcentral.net/?a=details&amp;id=6843&amp;p=section" TargetMode="External"/><Relationship Id="rId4274" Type="http://schemas.openxmlformats.org/officeDocument/2006/relationships/hyperlink" Target="https://dl.smwcentral.net/9994/Super%20Mario-%20Christmas%20Season.zip" TargetMode="External"/><Relationship Id="rId4481" Type="http://schemas.openxmlformats.org/officeDocument/2006/relationships/hyperlink" Target="https://www.smwcentral.net/?a=details&amp;id=26670&amp;p=section" TargetMode="External"/><Relationship Id="rId5118" Type="http://schemas.openxmlformats.org/officeDocument/2006/relationships/hyperlink" Target="https://dl.smwcentral.net/21476/Toadette.zip" TargetMode="External"/><Relationship Id="rId5325" Type="http://schemas.openxmlformats.org/officeDocument/2006/relationships/hyperlink" Target="https://www.smwcentral.net/?a=details&amp;id=35030&amp;p=section" TargetMode="External"/><Relationship Id="rId2919" Type="http://schemas.openxmlformats.org/officeDocument/2006/relationships/hyperlink" Target="https://www.smwcentral.net/?a=details&amp;id=26873&amp;p=section" TargetMode="External"/><Relationship Id="rId3083" Type="http://schemas.openxmlformats.org/officeDocument/2006/relationships/hyperlink" Target="https://www.smwcentral.net/?a=details&amp;id=25586&amp;p=section" TargetMode="External"/><Relationship Id="rId3290" Type="http://schemas.openxmlformats.org/officeDocument/2006/relationships/hyperlink" Target="https://dl.smwcentral.net/41656/Song%27s%20to%20die%20to.zip" TargetMode="External"/><Relationship Id="rId4134" Type="http://schemas.openxmlformats.org/officeDocument/2006/relationships/hyperlink" Target="https://dl.smwcentral.net/18091/SMWAgaininDinosaurLandDEMO1.zip" TargetMode="External"/><Relationship Id="rId4341" Type="http://schemas.openxmlformats.org/officeDocument/2006/relationships/hyperlink" Target="https://www.smwcentral.net/?a=details&amp;id=9905&amp;p=section" TargetMode="External"/><Relationship Id="rId1728" Type="http://schemas.openxmlformats.org/officeDocument/2006/relationships/hyperlink" Target="https://dl.smwcentral.net/6310/PW2.4.zip" TargetMode="External"/><Relationship Id="rId1935" Type="http://schemas.openxmlformats.org/officeDocument/2006/relationships/hyperlink" Target="https://www.smwcentral.net/?a=details&amp;id=40065&amp;p=section" TargetMode="External"/><Relationship Id="rId3150" Type="http://schemas.openxmlformats.org/officeDocument/2006/relationships/hyperlink" Target="https://dl.smwcentral.net/32095/Sicari2%201.61.zip" TargetMode="External"/><Relationship Id="rId4201" Type="http://schemas.openxmlformats.org/officeDocument/2006/relationships/hyperlink" Target="https://www.smwcentral.net/?a=details&amp;id=10221&amp;p=section" TargetMode="External"/><Relationship Id="rId3010" Type="http://schemas.openxmlformats.org/officeDocument/2006/relationships/hyperlink" Target="https://dl.smwcentral.net/33634/Run%21%202%20Don%27t%20Stop%20Running.zip" TargetMode="External"/><Relationship Id="rId3967" Type="http://schemas.openxmlformats.org/officeDocument/2006/relationships/hyperlink" Target="https://www.smwcentral.net/?a=details&amp;id=16490&amp;p=section" TargetMode="External"/><Relationship Id="rId4" Type="http://schemas.openxmlformats.org/officeDocument/2006/relationships/hyperlink" Target="https://dl.smwcentral.net/41349/%230%20IGGY%27S%20CASTLE%20v3.0.0.zip" TargetMode="External"/><Relationship Id="rId888" Type="http://schemas.openxmlformats.org/officeDocument/2006/relationships/hyperlink" Target="https://dl.smwcentral.net/15853/DK2%20-%20The%20Rise%20of%20Jumpman.zip" TargetMode="External"/><Relationship Id="rId2569" Type="http://schemas.openxmlformats.org/officeDocument/2006/relationships/hyperlink" Target="https://www.smwcentral.net/?a=details&amp;id=27738&amp;p=section" TargetMode="External"/><Relationship Id="rId2776" Type="http://schemas.openxmlformats.org/officeDocument/2006/relationships/hyperlink" Target="https://dl.smwcentral.net/16829/Pit%20of%20Insaneness%20v.1.0.zip" TargetMode="External"/><Relationship Id="rId2983" Type="http://schemas.openxmlformats.org/officeDocument/2006/relationships/hyperlink" Target="https://www.smwcentral.net/?a=details&amp;id=27140&amp;p=section" TargetMode="External"/><Relationship Id="rId3827" Type="http://schemas.openxmlformats.org/officeDocument/2006/relationships/hyperlink" Target="https://www.smwcentral.net/?a=details&amp;id=9892&amp;p=section" TargetMode="External"/><Relationship Id="rId5182" Type="http://schemas.openxmlformats.org/officeDocument/2006/relationships/hyperlink" Target="https://dl.smwcentral.net/33538/Trinity%20Shells%20V1.1.zip" TargetMode="External"/><Relationship Id="rId748" Type="http://schemas.openxmlformats.org/officeDocument/2006/relationships/hyperlink" Target="https://dl.smwcentral.net/42700/Coriolis.zip" TargetMode="External"/><Relationship Id="rId955" Type="http://schemas.openxmlformats.org/officeDocument/2006/relationships/hyperlink" Target="https://www.smwcentral.net/?a=details&amp;id=38298&amp;p=section" TargetMode="External"/><Relationship Id="rId1378" Type="http://schemas.openxmlformats.org/officeDocument/2006/relationships/hyperlink" Target="https://dl.smwcentral.net/30330/Immitis.zip" TargetMode="External"/><Relationship Id="rId1585" Type="http://schemas.openxmlformats.org/officeDocument/2006/relationships/hyperlink" Target="https://www.smwcentral.net/?a=details&amp;id=9755&amp;p=section" TargetMode="External"/><Relationship Id="rId1792" Type="http://schemas.openxmlformats.org/officeDocument/2006/relationships/hyperlink" Target="https://dl.smwcentral.net/31321/Luigimiss4_U3.zip" TargetMode="External"/><Relationship Id="rId2429" Type="http://schemas.openxmlformats.org/officeDocument/2006/relationships/hyperlink" Target="https://www.smwcentral.net/?a=details&amp;id=33687&amp;p=section" TargetMode="External"/><Relationship Id="rId2636" Type="http://schemas.openxmlformats.org/officeDocument/2006/relationships/hyperlink" Target="https://dl.smwcentral.net/5060/OMM%20with%20overworld%201.zip" TargetMode="External"/><Relationship Id="rId2843" Type="http://schemas.openxmlformats.org/officeDocument/2006/relationships/hyperlink" Target="https://www.smwcentral.net/?a=details&amp;id=28751&amp;p=section" TargetMode="External"/><Relationship Id="rId5042" Type="http://schemas.openxmlformats.org/officeDocument/2006/relationships/hyperlink" Target="https://dl.smwcentral.net/25206/The%20Winter%20Island.zip" TargetMode="External"/><Relationship Id="rId84" Type="http://schemas.openxmlformats.org/officeDocument/2006/relationships/hyperlink" Target="https://dl.smwcentral.net/21890/9LA.zip" TargetMode="External"/><Relationship Id="rId608" Type="http://schemas.openxmlformats.org/officeDocument/2006/relationships/hyperlink" Target="https://dl.smwcentral.net/17594/Captain%20Toad%20IIv1.2.zip" TargetMode="External"/><Relationship Id="rId815" Type="http://schemas.openxmlformats.org/officeDocument/2006/relationships/hyperlink" Target="https://www.smwcentral.net/?a=details&amp;id=29121&amp;p=section" TargetMode="External"/><Relationship Id="rId1238" Type="http://schemas.openxmlformats.org/officeDocument/2006/relationships/hyperlink" Target="https://dl.smwcentral.net/5987/Hack%202.zip" TargetMode="External"/><Relationship Id="rId1445" Type="http://schemas.openxmlformats.org/officeDocument/2006/relationships/hyperlink" Target="https://www.smwcentral.net/?a=details&amp;id=35558&amp;p=section" TargetMode="External"/><Relationship Id="rId1652" Type="http://schemas.openxmlformats.org/officeDocument/2006/relationships/hyperlink" Target="https://dl.smwcentral.net/34374/LaMansionDeBenja.zip" TargetMode="External"/><Relationship Id="rId1305" Type="http://schemas.openxmlformats.org/officeDocument/2006/relationships/hyperlink" Target="https://www.smwcentral.net/?a=details&amp;id=40743&amp;p=section" TargetMode="External"/><Relationship Id="rId2703" Type="http://schemas.openxmlformats.org/officeDocument/2006/relationships/hyperlink" Target="https://www.smwcentral.net/?a=details&amp;id=39183&amp;p=section" TargetMode="External"/><Relationship Id="rId2910" Type="http://schemas.openxmlformats.org/officeDocument/2006/relationships/hyperlink" Target="https://dl.smwcentral.net/33491/Red%20Hero%27s%20Journey.zip" TargetMode="External"/><Relationship Id="rId1512" Type="http://schemas.openxmlformats.org/officeDocument/2006/relationships/hyperlink" Target="https://dl.smwcentral.net/9739/Unnamed.zip" TargetMode="External"/><Relationship Id="rId4668" Type="http://schemas.openxmlformats.org/officeDocument/2006/relationships/hyperlink" Target="https://dl.smwcentral.net/19261/Terminus1.1.zip" TargetMode="External"/><Relationship Id="rId4875" Type="http://schemas.openxmlformats.org/officeDocument/2006/relationships/hyperlink" Target="https://www.smwcentral.net/?a=details&amp;id=35088&amp;p=section" TargetMode="External"/><Relationship Id="rId11" Type="http://schemas.openxmlformats.org/officeDocument/2006/relationships/hyperlink" Target="https://www.smwcentral.net/?a=details&amp;id=5988&amp;p=section" TargetMode="External"/><Relationship Id="rId398" Type="http://schemas.openxmlformats.org/officeDocument/2006/relationships/hyperlink" Target="https://dl.smwcentral.net/37056/Bavario%20Bros.%20v1.1.zip" TargetMode="External"/><Relationship Id="rId2079" Type="http://schemas.openxmlformats.org/officeDocument/2006/relationships/hyperlink" Target="https://www.smwcentral.net/?a=details&amp;id=25469&amp;p=section" TargetMode="External"/><Relationship Id="rId3477" Type="http://schemas.openxmlformats.org/officeDocument/2006/relationships/hyperlink" Target="https://www.smwcentral.net/?a=details&amp;id=22171&amp;p=section" TargetMode="External"/><Relationship Id="rId3684" Type="http://schemas.openxmlformats.org/officeDocument/2006/relationships/hyperlink" Target="https://dl.smwcentral.net/17936/Super_Machok_World_1.0.zip" TargetMode="External"/><Relationship Id="rId3891" Type="http://schemas.openxmlformats.org/officeDocument/2006/relationships/hyperlink" Target="https://www.smwcentral.net/?a=details&amp;id=9804&amp;p=section" TargetMode="External"/><Relationship Id="rId4528" Type="http://schemas.openxmlformats.org/officeDocument/2006/relationships/hyperlink" Target="https://dl.smwcentral.net/38166/Super_Thesis_World_v1_22.zip" TargetMode="External"/><Relationship Id="rId4735" Type="http://schemas.openxmlformats.org/officeDocument/2006/relationships/hyperlink" Target="https://www.smwcentral.net/?a=details&amp;id=40774&amp;p=section" TargetMode="External"/><Relationship Id="rId4942" Type="http://schemas.openxmlformats.org/officeDocument/2006/relationships/hyperlink" Target="https://dl.smwcentral.net/5133/The%20Prodigy%27s%20Last%20Stand.zip" TargetMode="External"/><Relationship Id="rId2286" Type="http://schemas.openxmlformats.org/officeDocument/2006/relationships/hyperlink" Target="https://dl.smwcentral.net/41143/Marios_Christmas_Adventure_2.zip" TargetMode="External"/><Relationship Id="rId2493" Type="http://schemas.openxmlformats.org/officeDocument/2006/relationships/hyperlink" Target="https://www.smwcentral.net/?a=details&amp;id=33638&amp;p=section" TargetMode="External"/><Relationship Id="rId3337" Type="http://schemas.openxmlformats.org/officeDocument/2006/relationships/hyperlink" Target="https://www.smwcentral.net/?a=details&amp;id=37136&amp;p=section" TargetMode="External"/><Relationship Id="rId3544" Type="http://schemas.openxmlformats.org/officeDocument/2006/relationships/hyperlink" Target="https://dl.smwcentral.net/34929/Super%20Foo%20World%200.zip" TargetMode="External"/><Relationship Id="rId3751" Type="http://schemas.openxmlformats.org/officeDocument/2006/relationships/hyperlink" Target="https://www.smwcentral.net/?a=details&amp;id=9830&amp;p=section" TargetMode="External"/><Relationship Id="rId4802" Type="http://schemas.openxmlformats.org/officeDocument/2006/relationships/hyperlink" Target="https://dl.smwcentral.net/30014/TFWM1.1.zip" TargetMode="External"/><Relationship Id="rId258" Type="http://schemas.openxmlformats.org/officeDocument/2006/relationships/hyperlink" Target="https://dl.smwcentral.net/13589/AKMW.zip" TargetMode="External"/><Relationship Id="rId465" Type="http://schemas.openxmlformats.org/officeDocument/2006/relationships/hyperlink" Target="https://www.smwcentral.net/?a=details&amp;id=27797&amp;p=section" TargetMode="External"/><Relationship Id="rId672" Type="http://schemas.openxmlformats.org/officeDocument/2006/relationships/hyperlink" Target="https://dl.smwcentral.net/28862/Chocolate%20Sunday%201.2.zip" TargetMode="External"/><Relationship Id="rId1095" Type="http://schemas.openxmlformats.org/officeDocument/2006/relationships/hyperlink" Target="https://www.smwcentral.net/?a=details&amp;id=39475&amp;p=section" TargetMode="External"/><Relationship Id="rId2146" Type="http://schemas.openxmlformats.org/officeDocument/2006/relationships/hyperlink" Target="https://dl.smwcentral.net/10132/Mario%27s%20Epic%20Adventure.zip" TargetMode="External"/><Relationship Id="rId2353" Type="http://schemas.openxmlformats.org/officeDocument/2006/relationships/hyperlink" Target="https://www.smwcentral.net/?a=details&amp;id=24680&amp;p=section" TargetMode="External"/><Relationship Id="rId2560" Type="http://schemas.openxmlformats.org/officeDocument/2006/relationships/hyperlink" Target="https://dl.smwcentral.net/37949/Nightmare%20Cafe%20Origins%20V1.0.zip" TargetMode="External"/><Relationship Id="rId3404" Type="http://schemas.openxmlformats.org/officeDocument/2006/relationships/hyperlink" Target="https://dl.smwcentral.net/32893/Super%20%27Sonic%20Saves%20the%20World%27%20World.zip" TargetMode="External"/><Relationship Id="rId3611" Type="http://schemas.openxmlformats.org/officeDocument/2006/relationships/hyperlink" Target="https://www.smwcentral.net/?a=details&amp;id=31836&amp;p=section" TargetMode="External"/><Relationship Id="rId118" Type="http://schemas.openxmlformats.org/officeDocument/2006/relationships/hyperlink" Target="https://dl.smwcentral.net/38820/A%20Haunting%20at%20Chateau%20Cousseaux%20%281.3%29.zip" TargetMode="External"/><Relationship Id="rId325" Type="http://schemas.openxmlformats.org/officeDocument/2006/relationships/hyperlink" Target="https://www.smwcentral.net/?a=details&amp;id=34662&amp;p=section" TargetMode="External"/><Relationship Id="rId532" Type="http://schemas.openxmlformats.org/officeDocument/2006/relationships/hyperlink" Target="https://dl.smwcentral.net/28763/Box_of_Shadows.zip" TargetMode="External"/><Relationship Id="rId1162" Type="http://schemas.openxmlformats.org/officeDocument/2006/relationships/hyperlink" Target="https://dl.smwcentral.net/40458/Glow.zip" TargetMode="External"/><Relationship Id="rId2006" Type="http://schemas.openxmlformats.org/officeDocument/2006/relationships/hyperlink" Target="https://dl.smwcentral.net/23172/Mario%20Left%20The%20Garage%20Door%20Open%20Again.zip" TargetMode="External"/><Relationship Id="rId2213" Type="http://schemas.openxmlformats.org/officeDocument/2006/relationships/hyperlink" Target="https://www.smwcentral.net/?a=details&amp;id=20324&amp;p=section" TargetMode="External"/><Relationship Id="rId2420" Type="http://schemas.openxmlformats.org/officeDocument/2006/relationships/hyperlink" Target="https://dl.smwcentral.net/30027/Mushroom%20Kingdom%20Meltdown%20-%20Fixed.zip" TargetMode="External"/><Relationship Id="rId5369" Type="http://schemas.openxmlformats.org/officeDocument/2006/relationships/hyperlink" Target="https://www.smwcentral.net/?a=details&amp;id=39553&amp;p=section" TargetMode="External"/><Relationship Id="rId1022" Type="http://schemas.openxmlformats.org/officeDocument/2006/relationships/hyperlink" Target="https://dl.smwcentral.net/10001/EVW_Updated.zip" TargetMode="External"/><Relationship Id="rId4178" Type="http://schemas.openxmlformats.org/officeDocument/2006/relationships/hyperlink" Target="https://dl.smwcentral.net/4990/SMW-%20RDL.zip" TargetMode="External"/><Relationship Id="rId4385" Type="http://schemas.openxmlformats.org/officeDocument/2006/relationships/hyperlink" Target="https://www.smwcentral.net/?a=details&amp;id=28782&amp;p=section" TargetMode="External"/><Relationship Id="rId4592" Type="http://schemas.openxmlformats.org/officeDocument/2006/relationships/hyperlink" Target="https://dl.smwcentral.net/16029/SuperKazuWorld%20V1.3.zip" TargetMode="External"/><Relationship Id="rId5229" Type="http://schemas.openxmlformats.org/officeDocument/2006/relationships/hyperlink" Target="https://www.smwcentral.net/?a=details&amp;id=35081&amp;p=section" TargetMode="External"/><Relationship Id="rId5436" Type="http://schemas.openxmlformats.org/officeDocument/2006/relationships/hyperlink" Target="https://dl.smwcentral.net/11769/YF10CBTTHNTDWTL.zip" TargetMode="External"/><Relationship Id="rId1979" Type="http://schemas.openxmlformats.org/officeDocument/2006/relationships/hyperlink" Target="https://www.smwcentral.net/?a=details&amp;id=4996&amp;p=section" TargetMode="External"/><Relationship Id="rId3194" Type="http://schemas.openxmlformats.org/officeDocument/2006/relationships/hyperlink" Target="https://dl.smwcentral.net/37442/Smoked%20Fish%20and%20Cabbage%203.zip" TargetMode="External"/><Relationship Id="rId4038" Type="http://schemas.openxmlformats.org/officeDocument/2006/relationships/hyperlink" Target="https://dl.smwcentral.net/30565/SMW3%20-%20TKSB%20v1.06.zip" TargetMode="External"/><Relationship Id="rId4245" Type="http://schemas.openxmlformats.org/officeDocument/2006/relationships/hyperlink" Target="https://www.smwcentral.net/?a=details&amp;id=6532&amp;p=section" TargetMode="External"/><Relationship Id="rId1839" Type="http://schemas.openxmlformats.org/officeDocument/2006/relationships/hyperlink" Target="https://www.smwcentral.net/?a=details&amp;id=6809&amp;p=section" TargetMode="External"/><Relationship Id="rId3054" Type="http://schemas.openxmlformats.org/officeDocument/2006/relationships/hyperlink" Target="https://dl.smwcentral.net/29645/Send%20Your%20Regrets%20to%20the%20Czar%20v1.2.zip" TargetMode="External"/><Relationship Id="rId4452" Type="http://schemas.openxmlformats.org/officeDocument/2006/relationships/hyperlink" Target="https://dl.smwcentral.net/22278/SRW%20Demo%201.3.zip" TargetMode="External"/><Relationship Id="rId182" Type="http://schemas.openxmlformats.org/officeDocument/2006/relationships/hyperlink" Target="https://dl.smwcentral.net/41930/A%20Strongly-Worded%20Letter%20to%20the%20Iceberg%201.01.zip" TargetMode="External"/><Relationship Id="rId1906" Type="http://schemas.openxmlformats.org/officeDocument/2006/relationships/hyperlink" Target="https://dl.smwcentral.net/9941/MATT%20Beta%20Demo.zip" TargetMode="External"/><Relationship Id="rId3261" Type="http://schemas.openxmlformats.org/officeDocument/2006/relationships/hyperlink" Target="https://www.smwcentral.net/?a=details&amp;id=26307&amp;p=section" TargetMode="External"/><Relationship Id="rId4105" Type="http://schemas.openxmlformats.org/officeDocument/2006/relationships/hyperlink" Target="https://www.smwcentral.net/?a=details&amp;id=27237&amp;p=section" TargetMode="External"/><Relationship Id="rId4312" Type="http://schemas.openxmlformats.org/officeDocument/2006/relationships/hyperlink" Target="https://dl.smwcentral.net/9797/Toadworth%27s%20Disappearance%20V.1.2.zip" TargetMode="External"/><Relationship Id="rId2070" Type="http://schemas.openxmlformats.org/officeDocument/2006/relationships/hyperlink" Target="https://dl.smwcentral.net/10256/Silver%20Land%20Ep%201%20%28Mario%20demo%29.zip" TargetMode="External"/><Relationship Id="rId3121" Type="http://schemas.openxmlformats.org/officeDocument/2006/relationships/hyperlink" Target="https://www.smwcentral.net/?a=details&amp;id=39649&amp;p=section" TargetMode="External"/><Relationship Id="rId999" Type="http://schemas.openxmlformats.org/officeDocument/2006/relationships/hyperlink" Target="https://www.smwcentral.net/?a=details&amp;id=5499&amp;p=section" TargetMode="External"/><Relationship Id="rId2887" Type="http://schemas.openxmlformats.org/officeDocument/2006/relationships/hyperlink" Target="https://www.smwcentral.net/?a=details&amp;id=27001&amp;p=section" TargetMode="External"/><Relationship Id="rId5086" Type="http://schemas.openxmlformats.org/officeDocument/2006/relationships/hyperlink" Target="https://dl.smwcentral.net/26719/TimelineDeathChallenge.zip" TargetMode="External"/><Relationship Id="rId5293" Type="http://schemas.openxmlformats.org/officeDocument/2006/relationships/hyperlink" Target="https://www.smwcentral.net/?a=details&amp;id=37735&amp;p=section" TargetMode="External"/><Relationship Id="rId859" Type="http://schemas.openxmlformats.org/officeDocument/2006/relationships/hyperlink" Target="https://www.smwcentral.net/?a=details&amp;id=28925&amp;p=section" TargetMode="External"/><Relationship Id="rId1489" Type="http://schemas.openxmlformats.org/officeDocument/2006/relationships/hyperlink" Target="https://www.smwcentral.net/?a=details&amp;id=28084&amp;p=section" TargetMode="External"/><Relationship Id="rId1696" Type="http://schemas.openxmlformats.org/officeDocument/2006/relationships/hyperlink" Target="https://dl.smwcentral.net/24702/Let%27s%20Give%20Up.zip" TargetMode="External"/><Relationship Id="rId3938" Type="http://schemas.openxmlformats.org/officeDocument/2006/relationships/hyperlink" Target="https://dl.smwcentral.net/25875/Super%20Mario%20Radish%20Kingdom%20Adventure%20V3.1.zip" TargetMode="External"/><Relationship Id="rId5153" Type="http://schemas.openxmlformats.org/officeDocument/2006/relationships/hyperlink" Target="https://www.smwcentral.net/?a=details&amp;id=42504&amp;p=section" TargetMode="External"/><Relationship Id="rId5360" Type="http://schemas.openxmlformats.org/officeDocument/2006/relationships/hyperlink" Target="https://dl.smwcentral.net/34920/tempest1.2.zip" TargetMode="External"/><Relationship Id="rId1349" Type="http://schemas.openxmlformats.org/officeDocument/2006/relationships/hyperlink" Target="https://www.smwcentral.net/?a=details&amp;id=39041&amp;p=section" TargetMode="External"/><Relationship Id="rId2747" Type="http://schemas.openxmlformats.org/officeDocument/2006/relationships/hyperlink" Target="https://www.smwcentral.net/?a=details&amp;id=28945&amp;p=section" TargetMode="External"/><Relationship Id="rId2954" Type="http://schemas.openxmlformats.org/officeDocument/2006/relationships/hyperlink" Target="https://dl.smwcentral.net/31374/Rise%20of%20Horst%20BabyPark.zip" TargetMode="External"/><Relationship Id="rId5013" Type="http://schemas.openxmlformats.org/officeDocument/2006/relationships/hyperlink" Target="https://www.smwcentral.net/?a=details&amp;id=41257&amp;p=section" TargetMode="External"/><Relationship Id="rId5220" Type="http://schemas.openxmlformats.org/officeDocument/2006/relationships/hyperlink" Target="https://dl.smwcentral.net/40070/uc_1.1_final.zip" TargetMode="External"/><Relationship Id="rId719" Type="http://schemas.openxmlformats.org/officeDocument/2006/relationships/hyperlink" Target="https://www.smwcentral.net/?a=details&amp;id=14967&amp;p=section" TargetMode="External"/><Relationship Id="rId926" Type="http://schemas.openxmlformats.org/officeDocument/2006/relationships/hyperlink" Target="https://dl.smwcentral.net/10895/Duck%20Season.zip" TargetMode="External"/><Relationship Id="rId1556" Type="http://schemas.openxmlformats.org/officeDocument/2006/relationships/hyperlink" Target="https://dl.smwcentral.net/19584/Kaizo%20no%20Yume%20v1.05.zip" TargetMode="External"/><Relationship Id="rId1763" Type="http://schemas.openxmlformats.org/officeDocument/2006/relationships/hyperlink" Target="https://www.smwcentral.net/?a=details&amp;id=25705&amp;p=section" TargetMode="External"/><Relationship Id="rId1970" Type="http://schemas.openxmlformats.org/officeDocument/2006/relationships/hyperlink" Target="https://dl.smwcentral.net/35757/MIMRL4%20Trip%20To%20Nano%20Island.zip" TargetMode="External"/><Relationship Id="rId2607" Type="http://schemas.openxmlformats.org/officeDocument/2006/relationships/hyperlink" Target="https://www.smwcentral.net/?a=details&amp;id=21406&amp;p=section" TargetMode="External"/><Relationship Id="rId2814" Type="http://schemas.openxmlformats.org/officeDocument/2006/relationships/hyperlink" Target="https://dl.smwcentral.net/30068/popi%20world.zip" TargetMode="External"/><Relationship Id="rId55" Type="http://schemas.openxmlformats.org/officeDocument/2006/relationships/hyperlink" Target="https://www.smwcentral.net/?a=details&amp;id=25310&amp;p=section" TargetMode="External"/><Relationship Id="rId1209" Type="http://schemas.openxmlformats.org/officeDocument/2006/relationships/hyperlink" Target="https://www.smwcentral.net/?a=details&amp;id=30987&amp;p=section" TargetMode="External"/><Relationship Id="rId1416" Type="http://schemas.openxmlformats.org/officeDocument/2006/relationships/hyperlink" Target="https://dl.smwcentral.net/31864/InsouciantMario1.2.zip" TargetMode="External"/><Relationship Id="rId1623" Type="http://schemas.openxmlformats.org/officeDocument/2006/relationships/hyperlink" Target="https://www.smwcentral.net/?a=details&amp;id=39813&amp;p=section" TargetMode="External"/><Relationship Id="rId1830" Type="http://schemas.openxmlformats.org/officeDocument/2006/relationships/hyperlink" Target="https://dl.smwcentral.net/38063/mancorsa.zip" TargetMode="External"/><Relationship Id="rId4779" Type="http://schemas.openxmlformats.org/officeDocument/2006/relationships/hyperlink" Target="https://www.smwcentral.net/?a=details&amp;id=35612&amp;p=section" TargetMode="External"/><Relationship Id="rId4986" Type="http://schemas.openxmlformats.org/officeDocument/2006/relationships/hyperlink" Target="https://dl.smwcentral.net/6161/The%20Senate%20v1.3.zip" TargetMode="External"/><Relationship Id="rId3588" Type="http://schemas.openxmlformats.org/officeDocument/2006/relationships/hyperlink" Target="https://dl.smwcentral.net/32933/Super_Husky_World2v1.2.zip" TargetMode="External"/><Relationship Id="rId3795" Type="http://schemas.openxmlformats.org/officeDocument/2006/relationships/hyperlink" Target="https://www.smwcentral.net/?a=details&amp;id=10223&amp;p=section" TargetMode="External"/><Relationship Id="rId4639" Type="http://schemas.openxmlformats.org/officeDocument/2006/relationships/hyperlink" Target="https://www.smwcentral.net/?a=details&amp;id=15147&amp;p=section" TargetMode="External"/><Relationship Id="rId4846" Type="http://schemas.openxmlformats.org/officeDocument/2006/relationships/hyperlink" Target="https://dl.smwcentral.net/41392/TheHouseOfManyTrolls.zip" TargetMode="External"/><Relationship Id="rId2397" Type="http://schemas.openxmlformats.org/officeDocument/2006/relationships/hyperlink" Target="https://www.smwcentral.net/?a=details&amp;id=38359&amp;p=section" TargetMode="External"/><Relationship Id="rId3448" Type="http://schemas.openxmlformats.org/officeDocument/2006/relationships/hyperlink" Target="https://dl.smwcentral.net/19007/Super%20Cheer%20World.zip" TargetMode="External"/><Relationship Id="rId3655" Type="http://schemas.openxmlformats.org/officeDocument/2006/relationships/hyperlink" Target="https://www.smwcentral.net/?a=details&amp;id=33563&amp;p=section" TargetMode="External"/><Relationship Id="rId3862" Type="http://schemas.openxmlformats.org/officeDocument/2006/relationships/hyperlink" Target="https://dl.smwcentral.net/31243/Super%20Mario%20Gaia%201.1.zip" TargetMode="External"/><Relationship Id="rId4706" Type="http://schemas.openxmlformats.org/officeDocument/2006/relationships/hyperlink" Target="https://dl.smwcentral.net/6872/VLDC_2014.zip" TargetMode="External"/><Relationship Id="rId369" Type="http://schemas.openxmlformats.org/officeDocument/2006/relationships/hyperlink" Target="https://www.smwcentral.net/?a=details&amp;id=41863&amp;p=section" TargetMode="External"/><Relationship Id="rId576" Type="http://schemas.openxmlformats.org/officeDocument/2006/relationships/hyperlink" Target="https://dl.smwcentral.net/25065/Burrito%20Rings.zip" TargetMode="External"/><Relationship Id="rId783" Type="http://schemas.openxmlformats.org/officeDocument/2006/relationships/hyperlink" Target="https://www.smwcentral.net/?a=details&amp;id=26252&amp;p=section" TargetMode="External"/><Relationship Id="rId990" Type="http://schemas.openxmlformats.org/officeDocument/2006/relationships/hyperlink" Target="https://dl.smwcentral.net/34176/Escape%20from%20Kudzu%20Planet%201.1.zip" TargetMode="External"/><Relationship Id="rId2257" Type="http://schemas.openxmlformats.org/officeDocument/2006/relationships/hyperlink" Target="https://www.smwcentral.net/?a=details&amp;id=5566&amp;p=section" TargetMode="External"/><Relationship Id="rId2464" Type="http://schemas.openxmlformats.org/officeDocument/2006/relationships/hyperlink" Target="https://dl.smwcentral.net/42206/Nakama1.1.zip" TargetMode="External"/><Relationship Id="rId2671" Type="http://schemas.openxmlformats.org/officeDocument/2006/relationships/hyperlink" Target="https://www.smwcentral.net/?a=details&amp;id=37470&amp;p=section" TargetMode="External"/><Relationship Id="rId3308" Type="http://schemas.openxmlformats.org/officeDocument/2006/relationships/hyperlink" Target="https://dl.smwcentral.net/21740/Soup%20or%20Solstng%20World%201.1.zip" TargetMode="External"/><Relationship Id="rId3515" Type="http://schemas.openxmlformats.org/officeDocument/2006/relationships/hyperlink" Target="https://www.smwcentral.net/?a=details&amp;id=39264&amp;p=section" TargetMode="External"/><Relationship Id="rId4913" Type="http://schemas.openxmlformats.org/officeDocument/2006/relationships/hyperlink" Target="https://www.smwcentral.net/?a=details&amp;id=5557&amp;p=section" TargetMode="External"/><Relationship Id="rId229" Type="http://schemas.openxmlformats.org/officeDocument/2006/relationships/hyperlink" Target="https://www.smwcentral.net/?a=details&amp;id=21316&amp;p=section" TargetMode="External"/><Relationship Id="rId436" Type="http://schemas.openxmlformats.org/officeDocument/2006/relationships/hyperlink" Target="https://dl.smwcentral.net/25068/Birola_World_V2.zip" TargetMode="External"/><Relationship Id="rId643" Type="http://schemas.openxmlformats.org/officeDocument/2006/relationships/hyperlink" Target="https://www.smwcentral.net/?a=details&amp;id=18669&amp;p=section" TargetMode="External"/><Relationship Id="rId1066" Type="http://schemas.openxmlformats.org/officeDocument/2006/relationships/hyperlink" Target="https://dl.smwcentral.net/38728/First%20Step%20Forward.zip" TargetMode="External"/><Relationship Id="rId1273" Type="http://schemas.openxmlformats.org/officeDocument/2006/relationships/hyperlink" Target="https://www.smwcentral.net/?a=details&amp;id=22080&amp;p=section" TargetMode="External"/><Relationship Id="rId1480" Type="http://schemas.openxmlformats.org/officeDocument/2006/relationships/hyperlink" Target="https://dl.smwcentral.net/38777/Jumping%20Over%20It%20With%20Super%20Mario%20v.1.0.zip" TargetMode="External"/><Relationship Id="rId2117" Type="http://schemas.openxmlformats.org/officeDocument/2006/relationships/hyperlink" Target="https://www.smwcentral.net/?a=details&amp;id=13836&amp;p=section" TargetMode="External"/><Relationship Id="rId2324" Type="http://schemas.openxmlformats.org/officeDocument/2006/relationships/hyperlink" Target="https://dl.smwcentral.net/33618/Meet%20the%20Balkans.zip" TargetMode="External"/><Relationship Id="rId3722" Type="http://schemas.openxmlformats.org/officeDocument/2006/relationships/hyperlink" Target="https://dl.smwcentral.net/10103/Super%20Mario%20Adventure%20C3%20Fall%202010%20v1.2.zip" TargetMode="External"/><Relationship Id="rId850" Type="http://schemas.openxmlformats.org/officeDocument/2006/relationships/hyperlink" Target="https://dl.smwcentral.net/21639/Denali%27s%20Tail.zip" TargetMode="External"/><Relationship Id="rId1133" Type="http://schemas.openxmlformats.org/officeDocument/2006/relationships/hyperlink" Target="https://www.smwcentral.net/?a=details&amp;id=33054&amp;p=section" TargetMode="External"/><Relationship Id="rId2531" Type="http://schemas.openxmlformats.org/officeDocument/2006/relationships/hyperlink" Target="https://www.smwcentral.net/?a=details&amp;id=17987&amp;p=section" TargetMode="External"/><Relationship Id="rId4289" Type="http://schemas.openxmlformats.org/officeDocument/2006/relationships/hyperlink" Target="https://www.smwcentral.net/?a=details&amp;id=20487&amp;p=section" TargetMode="External"/><Relationship Id="rId503" Type="http://schemas.openxmlformats.org/officeDocument/2006/relationships/hyperlink" Target="https://www.smwcentral.net/?a=details&amp;id=40169&amp;p=section" TargetMode="External"/><Relationship Id="rId710" Type="http://schemas.openxmlformats.org/officeDocument/2006/relationships/hyperlink" Target="https://dl.smwcentral.net/19550/Let%27s%20Climb.zip" TargetMode="External"/><Relationship Id="rId1340" Type="http://schemas.openxmlformats.org/officeDocument/2006/relationships/hyperlink" Target="https://dl.smwcentral.net/14166/HunterPath_V1_1.zip" TargetMode="External"/><Relationship Id="rId3098" Type="http://schemas.openxmlformats.org/officeDocument/2006/relationships/hyperlink" Target="https://dl.smwcentral.net/26886/Shellax1.1.zip" TargetMode="External"/><Relationship Id="rId4496" Type="http://schemas.openxmlformats.org/officeDocument/2006/relationships/hyperlink" Target="https://dl.smwcentral.net/28669/SSW_v01.zip" TargetMode="External"/><Relationship Id="rId1200" Type="http://schemas.openxmlformats.org/officeDocument/2006/relationships/hyperlink" Target="https://dl.smwcentral.net/10342/nsmw%20d2.zip" TargetMode="External"/><Relationship Id="rId4149" Type="http://schemas.openxmlformats.org/officeDocument/2006/relationships/hyperlink" Target="https://www.smwcentral.net/?a=details&amp;id=9661&amp;p=section" TargetMode="External"/><Relationship Id="rId4356" Type="http://schemas.openxmlformats.org/officeDocument/2006/relationships/hyperlink" Target="https://dl.smwcentral.net/29058/SuperNantucketWorld_011.zip" TargetMode="External"/><Relationship Id="rId4563" Type="http://schemas.openxmlformats.org/officeDocument/2006/relationships/hyperlink" Target="https://www.smwcentral.net/?a=details&amp;id=5003&amp;p=section" TargetMode="External"/><Relationship Id="rId4770" Type="http://schemas.openxmlformats.org/officeDocument/2006/relationships/hyperlink" Target="https://dl.smwcentral.net/32750/TEQOBirdoTheVampire%201.1.zip" TargetMode="External"/><Relationship Id="rId5407" Type="http://schemas.openxmlformats.org/officeDocument/2006/relationships/hyperlink" Target="https://www.smwcentral.net/?a=details&amp;id=4980&amp;p=section" TargetMode="External"/><Relationship Id="rId3165" Type="http://schemas.openxmlformats.org/officeDocument/2006/relationships/hyperlink" Target="https://www.smwcentral.net/?a=details&amp;id=41660&amp;p=section" TargetMode="External"/><Relationship Id="rId3372" Type="http://schemas.openxmlformats.org/officeDocument/2006/relationships/hyperlink" Target="https://dl.smwcentral.net/33781/Stick%20This%20Up%20Your%20Pipe%21.zip" TargetMode="External"/><Relationship Id="rId4009" Type="http://schemas.openxmlformats.org/officeDocument/2006/relationships/hyperlink" Target="https://www.smwcentral.net/?a=details&amp;id=38649&amp;p=section" TargetMode="External"/><Relationship Id="rId4216" Type="http://schemas.openxmlformats.org/officeDocument/2006/relationships/hyperlink" Target="https://dl.smwcentral.net/18817/TMA.zip" TargetMode="External"/><Relationship Id="rId4423" Type="http://schemas.openxmlformats.org/officeDocument/2006/relationships/hyperlink" Target="https://www.smwcentral.net/?a=details&amp;id=40658&amp;p=section" TargetMode="External"/><Relationship Id="rId4630" Type="http://schemas.openxmlformats.org/officeDocument/2006/relationships/hyperlink" Target="https://dl.smwcentral.net/10163/Tales%20of%20Nean.zip" TargetMode="External"/><Relationship Id="rId293" Type="http://schemas.openxmlformats.org/officeDocument/2006/relationships/hyperlink" Target="https://www.smwcentral.net/?a=details&amp;id=10059&amp;p=section" TargetMode="External"/><Relationship Id="rId2181" Type="http://schemas.openxmlformats.org/officeDocument/2006/relationships/hyperlink" Target="https://www.smwcentral.net/?a=details&amp;id=38080&amp;p=section" TargetMode="External"/><Relationship Id="rId3025" Type="http://schemas.openxmlformats.org/officeDocument/2006/relationships/hyperlink" Target="https://www.smwcentral.net/?a=details&amp;id=39086&amp;p=section" TargetMode="External"/><Relationship Id="rId3232" Type="http://schemas.openxmlformats.org/officeDocument/2006/relationships/hyperlink" Target="https://dl.smwcentral.net/10143/SMWStardust2011.2.zip" TargetMode="External"/><Relationship Id="rId153" Type="http://schemas.openxmlformats.org/officeDocument/2006/relationships/hyperlink" Target="https://www.smwcentral.net/?a=details&amp;id=37976&amp;p=section" TargetMode="External"/><Relationship Id="rId360" Type="http://schemas.openxmlformats.org/officeDocument/2006/relationships/hyperlink" Target="https://dl.smwcentral.net/21408/Ayashi%20Mario.zip" TargetMode="External"/><Relationship Id="rId2041" Type="http://schemas.openxmlformats.org/officeDocument/2006/relationships/hyperlink" Target="https://www.smwcentral.net/?a=details&amp;id=23536&amp;p=section" TargetMode="External"/><Relationship Id="rId5197" Type="http://schemas.openxmlformats.org/officeDocument/2006/relationships/hyperlink" Target="https://www.smwcentral.net/?a=details&amp;id=29669&amp;p=section" TargetMode="External"/><Relationship Id="rId220" Type="http://schemas.openxmlformats.org/officeDocument/2006/relationships/hyperlink" Target="https://dl.smwcentral.net/31179/Action42.zip" TargetMode="External"/><Relationship Id="rId2998" Type="http://schemas.openxmlformats.org/officeDocument/2006/relationships/hyperlink" Target="https://dl.smwcentral.net/30649/rta%20abuse%201.1.zip" TargetMode="External"/><Relationship Id="rId5057" Type="http://schemas.openxmlformats.org/officeDocument/2006/relationships/hyperlink" Target="https://www.smwcentral.net/?a=details&amp;id=26277&amp;p=section" TargetMode="External"/><Relationship Id="rId5264" Type="http://schemas.openxmlformats.org/officeDocument/2006/relationships/hyperlink" Target="https://dl.smwcentral.net/35565/Vah%20Knee%20Yah.zip" TargetMode="External"/><Relationship Id="rId2858" Type="http://schemas.openxmlformats.org/officeDocument/2006/relationships/hyperlink" Target="https://dl.smwcentral.net/18384/P%26S.zip" TargetMode="External"/><Relationship Id="rId3909" Type="http://schemas.openxmlformats.org/officeDocument/2006/relationships/hyperlink" Target="https://www.smwcentral.net/?a=details&amp;id=10191&amp;p=section" TargetMode="External"/><Relationship Id="rId4073" Type="http://schemas.openxmlformats.org/officeDocument/2006/relationships/hyperlink" Target="https://www.smwcentral.net/?a=details&amp;id=26093&amp;p=section" TargetMode="External"/><Relationship Id="rId5471" Type="http://schemas.openxmlformats.org/officeDocument/2006/relationships/hyperlink" Target="https://www.smwcentral.net/?a=details&amp;id=38263&amp;p=section" TargetMode="External"/><Relationship Id="rId99" Type="http://schemas.openxmlformats.org/officeDocument/2006/relationships/hyperlink" Target="https://www.smwcentral.net/?a=details&amp;id=22376&amp;p=section" TargetMode="External"/><Relationship Id="rId1667" Type="http://schemas.openxmlformats.org/officeDocument/2006/relationships/hyperlink" Target="https://www.smwcentral.net/?a=details&amp;id=39182&amp;p=section" TargetMode="External"/><Relationship Id="rId1874" Type="http://schemas.openxmlformats.org/officeDocument/2006/relationships/hyperlink" Target="https://dl.smwcentral.net/15571/Mario%20and%20Luigi%20Super%20Berry%20World%20First%20Demo.zip" TargetMode="External"/><Relationship Id="rId2718" Type="http://schemas.openxmlformats.org/officeDocument/2006/relationships/hyperlink" Target="https://dl.smwcentral.net/22045/PITMK-bothversions.zip" TargetMode="External"/><Relationship Id="rId2925" Type="http://schemas.openxmlformats.org/officeDocument/2006/relationships/hyperlink" Target="https://www.smwcentral.net/?a=details&amp;id=41191&amp;p=section" TargetMode="External"/><Relationship Id="rId4280" Type="http://schemas.openxmlformats.org/officeDocument/2006/relationships/hyperlink" Target="https://dl.smwcentral.net/9747/DEMO1.zip" TargetMode="External"/><Relationship Id="rId5124" Type="http://schemas.openxmlformats.org/officeDocument/2006/relationships/hyperlink" Target="https://dl.smwcentral.net/32718/Tomorrow.zip" TargetMode="External"/><Relationship Id="rId5331" Type="http://schemas.openxmlformats.org/officeDocument/2006/relationships/hyperlink" Target="https://www.smwcentral.net/?a=details&amp;id=10259&amp;p=section" TargetMode="External"/><Relationship Id="rId1527" Type="http://schemas.openxmlformats.org/officeDocument/2006/relationships/hyperlink" Target="https://www.smwcentral.net/?a=details&amp;id=38472&amp;p=section" TargetMode="External"/><Relationship Id="rId1734" Type="http://schemas.openxmlformats.org/officeDocument/2006/relationships/hyperlink" Target="https://dl.smwcentral.net/7005/Lost%20Mario%20Bros.%20-%20Demo%202.1.zip" TargetMode="External"/><Relationship Id="rId1941" Type="http://schemas.openxmlformats.org/officeDocument/2006/relationships/hyperlink" Target="https://www.smwcentral.net/?a=details&amp;id=10282&amp;p=section" TargetMode="External"/><Relationship Id="rId4140" Type="http://schemas.openxmlformats.org/officeDocument/2006/relationships/hyperlink" Target="https://dl.smwcentral.net/11608/BCT%201.2.2.zip" TargetMode="External"/><Relationship Id="rId26" Type="http://schemas.openxmlformats.org/officeDocument/2006/relationships/hyperlink" Target="https://dl.smwcentral.net/34370/%5B2020%5D%201st%20Kochobo%20Dourado%20Collab%20V3.0%20%28U%29%20%5BPT-BR%5D.zip" TargetMode="External"/><Relationship Id="rId3699" Type="http://schemas.openxmlformats.org/officeDocument/2006/relationships/hyperlink" Target="https://www.smwcentral.net/?a=details&amp;id=5150&amp;p=section" TargetMode="External"/><Relationship Id="rId4000" Type="http://schemas.openxmlformats.org/officeDocument/2006/relationships/hyperlink" Target="https://dl.smwcentral.net/10192/SMWGGV.zip" TargetMode="External"/><Relationship Id="rId1801" Type="http://schemas.openxmlformats.org/officeDocument/2006/relationships/hyperlink" Target="https://www.smwcentral.net/?a=details&amp;id=23606&amp;p=section" TargetMode="External"/><Relationship Id="rId3559" Type="http://schemas.openxmlformats.org/officeDocument/2006/relationships/hyperlink" Target="https://www.smwcentral.net/?a=details&amp;id=9664&amp;p=section" TargetMode="External"/><Relationship Id="rId4957" Type="http://schemas.openxmlformats.org/officeDocument/2006/relationships/hyperlink" Target="https://www.smwcentral.net/?a=details&amp;id=10135&amp;p=section" TargetMode="External"/><Relationship Id="rId687" Type="http://schemas.openxmlformats.org/officeDocument/2006/relationships/hyperlink" Target="https://www.smwcentral.net/?a=details&amp;id=14831&amp;p=section" TargetMode="External"/><Relationship Id="rId2368" Type="http://schemas.openxmlformats.org/officeDocument/2006/relationships/hyperlink" Target="https://dl.smwcentral.net/24954/minidumbson%20-%20new%20update.zip" TargetMode="External"/><Relationship Id="rId3766" Type="http://schemas.openxmlformats.org/officeDocument/2006/relationships/hyperlink" Target="https://dl.smwcentral.net/9749/Super%20Mario%20Bros.%20-%20The%20Key%20Of%20Nightmares.zip" TargetMode="External"/><Relationship Id="rId3973" Type="http://schemas.openxmlformats.org/officeDocument/2006/relationships/hyperlink" Target="https://www.smwcentral.net/?a=details&amp;id=5356&amp;p=section" TargetMode="External"/><Relationship Id="rId4817" Type="http://schemas.openxmlformats.org/officeDocument/2006/relationships/hyperlink" Target="https://www.smwcentral.net/?a=details&amp;id=34298&amp;p=section" TargetMode="External"/><Relationship Id="rId894" Type="http://schemas.openxmlformats.org/officeDocument/2006/relationships/hyperlink" Target="https://dl.smwcentral.net/27143/doodlebob%27s%20revenge.zip" TargetMode="External"/><Relationship Id="rId1177" Type="http://schemas.openxmlformats.org/officeDocument/2006/relationships/hyperlink" Target="https://www.smwcentral.net/?a=details&amp;id=40683&amp;p=section" TargetMode="External"/><Relationship Id="rId2575" Type="http://schemas.openxmlformats.org/officeDocument/2006/relationships/hyperlink" Target="https://www.smwcentral.net/?a=details&amp;id=18284&amp;p=section" TargetMode="External"/><Relationship Id="rId2782" Type="http://schemas.openxmlformats.org/officeDocument/2006/relationships/hyperlink" Target="https://dl.smwcentral.net/37733/Pizza%20of%20challenges.zip" TargetMode="External"/><Relationship Id="rId3419" Type="http://schemas.openxmlformats.org/officeDocument/2006/relationships/hyperlink" Target="https://www.smwcentral.net/?a=details&amp;id=41691&amp;p=section" TargetMode="External"/><Relationship Id="rId3626" Type="http://schemas.openxmlformats.org/officeDocument/2006/relationships/hyperlink" Target="https://dl.smwcentral.net/9989/Super%20Kilik%20World.zip" TargetMode="External"/><Relationship Id="rId3833" Type="http://schemas.openxmlformats.org/officeDocument/2006/relationships/hyperlink" Target="https://www.smwcentral.net/?a=details&amp;id=9822&amp;p=section" TargetMode="External"/><Relationship Id="rId547" Type="http://schemas.openxmlformats.org/officeDocument/2006/relationships/hyperlink" Target="https://www.smwcentral.net/?a=details&amp;id=33806&amp;p=section" TargetMode="External"/><Relationship Id="rId754" Type="http://schemas.openxmlformats.org/officeDocument/2006/relationships/hyperlink" Target="https://dl.smwcentral.net/38046/CowaBunga1.1.zip" TargetMode="External"/><Relationship Id="rId961" Type="http://schemas.openxmlformats.org/officeDocument/2006/relationships/hyperlink" Target="https://www.smwcentral.net/?a=details&amp;id=32913&amp;p=section" TargetMode="External"/><Relationship Id="rId1384" Type="http://schemas.openxmlformats.org/officeDocument/2006/relationships/hyperlink" Target="https://dl.smwcentral.net/10167/In%20Memoriam%20Hack%20Pack.zip" TargetMode="External"/><Relationship Id="rId1591" Type="http://schemas.openxmlformats.org/officeDocument/2006/relationships/hyperlink" Target="https://www.smwcentral.net/?a=details&amp;id=10114&amp;p=section" TargetMode="External"/><Relationship Id="rId2228" Type="http://schemas.openxmlformats.org/officeDocument/2006/relationships/hyperlink" Target="https://dl.smwcentral.net/5373/MariosSearchForThe8Jewels%20Mawwo7.zip" TargetMode="External"/><Relationship Id="rId2435" Type="http://schemas.openxmlformats.org/officeDocument/2006/relationships/hyperlink" Target="https://www.smwcentral.net/?a=details&amp;id=12920&amp;p=section" TargetMode="External"/><Relationship Id="rId2642" Type="http://schemas.openxmlformats.org/officeDocument/2006/relationships/hyperlink" Target="https://dl.smwcentral.net/28027/Of%20Heavy%20Riffs%20and%20Awesome%20Basslines.zip" TargetMode="External"/><Relationship Id="rId3900" Type="http://schemas.openxmlformats.org/officeDocument/2006/relationships/hyperlink" Target="https://dl.smwcentral.net/9963/SML4_C3%20demo%5Bfr%5D.zip" TargetMode="External"/><Relationship Id="rId90" Type="http://schemas.openxmlformats.org/officeDocument/2006/relationships/hyperlink" Target="https://dl.smwcentral.net/32181/A_Chance_for_Glory.zip" TargetMode="External"/><Relationship Id="rId407" Type="http://schemas.openxmlformats.org/officeDocument/2006/relationships/hyperlink" Target="https://www.smwcentral.net/?a=details&amp;id=40437&amp;p=section" TargetMode="External"/><Relationship Id="rId614" Type="http://schemas.openxmlformats.org/officeDocument/2006/relationships/hyperlink" Target="https://dl.smwcentral.net/22856/JuztDesserts.zip" TargetMode="External"/><Relationship Id="rId821" Type="http://schemas.openxmlformats.org/officeDocument/2006/relationships/hyperlink" Target="https://www.smwcentral.net/?a=details&amp;id=14329&amp;p=section" TargetMode="External"/><Relationship Id="rId1037" Type="http://schemas.openxmlformats.org/officeDocument/2006/relationships/hyperlink" Target="https://www.smwcentral.net/?a=details&amp;id=28771&amp;p=section" TargetMode="External"/><Relationship Id="rId1244" Type="http://schemas.openxmlformats.org/officeDocument/2006/relationships/hyperlink" Target="https://dl.smwcentral.net/15993/Hack%204.zip" TargetMode="External"/><Relationship Id="rId1451" Type="http://schemas.openxmlformats.org/officeDocument/2006/relationships/hyperlink" Target="https://www.smwcentral.net/?a=details&amp;id=38765&amp;p=section" TargetMode="External"/><Relationship Id="rId2502" Type="http://schemas.openxmlformats.org/officeDocument/2006/relationships/hyperlink" Target="https://dl.smwcentral.net/22328/New%20Schlitterbahn%20Yoshi%20World%201.zip" TargetMode="External"/><Relationship Id="rId1104" Type="http://schemas.openxmlformats.org/officeDocument/2006/relationships/hyperlink" Target="https://dl.smwcentral.net/31830/Fries%26Toast~.zip" TargetMode="External"/><Relationship Id="rId1311" Type="http://schemas.openxmlformats.org/officeDocument/2006/relationships/hyperlink" Target="https://www.smwcentral.net/?a=details&amp;id=40840&amp;p=section" TargetMode="External"/><Relationship Id="rId4467" Type="http://schemas.openxmlformats.org/officeDocument/2006/relationships/hyperlink" Target="https://www.smwcentral.net/?a=details&amp;id=30548&amp;p=section" TargetMode="External"/><Relationship Id="rId4674" Type="http://schemas.openxmlformats.org/officeDocument/2006/relationships/hyperlink" Target="https://dl.smwcentral.net/10031/Terraria.zip" TargetMode="External"/><Relationship Id="rId4881" Type="http://schemas.openxmlformats.org/officeDocument/2006/relationships/hyperlink" Target="https://www.smwcentral.net/?a=details&amp;id=5256&amp;p=section" TargetMode="External"/><Relationship Id="rId3069" Type="http://schemas.openxmlformats.org/officeDocument/2006/relationships/hyperlink" Target="https://www.smwcentral.net/?a=details&amp;id=32256&amp;p=section" TargetMode="External"/><Relationship Id="rId3276" Type="http://schemas.openxmlformats.org/officeDocument/2006/relationships/hyperlink" Target="https://dl.smwcentral.net/24783/SMWLV%20%28DEMO%29.zip" TargetMode="External"/><Relationship Id="rId3483" Type="http://schemas.openxmlformats.org/officeDocument/2006/relationships/hyperlink" Target="https://www.smwcentral.net/?a=details&amp;id=34970&amp;p=section" TargetMode="External"/><Relationship Id="rId3690" Type="http://schemas.openxmlformats.org/officeDocument/2006/relationships/hyperlink" Target="https://dl.smwcentral.net/42519/Super%20MADE%20World.zip" TargetMode="External"/><Relationship Id="rId4327" Type="http://schemas.openxmlformats.org/officeDocument/2006/relationships/hyperlink" Target="https://www.smwcentral.net/?a=details&amp;id=25332&amp;p=section" TargetMode="External"/><Relationship Id="rId4534" Type="http://schemas.openxmlformats.org/officeDocument/2006/relationships/hyperlink" Target="https://dl.smwcentral.net/30836/Super_Toshio_World_v1_1.zip" TargetMode="External"/><Relationship Id="rId197" Type="http://schemas.openxmlformats.org/officeDocument/2006/relationships/hyperlink" Target="https://www.smwcentral.net/?a=details&amp;id=10546&amp;p=section" TargetMode="External"/><Relationship Id="rId2085" Type="http://schemas.openxmlformats.org/officeDocument/2006/relationships/hyperlink" Target="https://www.smwcentral.net/?a=details&amp;id=14571&amp;p=section" TargetMode="External"/><Relationship Id="rId2292" Type="http://schemas.openxmlformats.org/officeDocument/2006/relationships/hyperlink" Target="https://dl.smwcentral.net/40193/Marios%20Pizza%20Party%203%20-%201.1.zip" TargetMode="External"/><Relationship Id="rId3136" Type="http://schemas.openxmlformats.org/officeDocument/2006/relationships/hyperlink" Target="https://dl.smwcentral.net/17922/ShortMarioAdventure.zip" TargetMode="External"/><Relationship Id="rId3343" Type="http://schemas.openxmlformats.org/officeDocument/2006/relationships/hyperlink" Target="https://www.smwcentral.net/?a=details&amp;id=38560&amp;p=section" TargetMode="External"/><Relationship Id="rId4741" Type="http://schemas.openxmlformats.org/officeDocument/2006/relationships/hyperlink" Target="https://www.smwcentral.net/?a=details&amp;id=10557&amp;p=section" TargetMode="External"/><Relationship Id="rId264" Type="http://schemas.openxmlformats.org/officeDocument/2006/relationships/hyperlink" Target="https://dl.smwcentral.net/28535/Allstar%27s%20dream%20v1.0.zip" TargetMode="External"/><Relationship Id="rId471" Type="http://schemas.openxmlformats.org/officeDocument/2006/relationships/hyperlink" Target="https://www.smwcentral.net/?a=details&amp;id=28495&amp;p=section" TargetMode="External"/><Relationship Id="rId2152" Type="http://schemas.openxmlformats.org/officeDocument/2006/relationships/hyperlink" Target="https://dl.smwcentral.net/5261/MD.zip" TargetMode="External"/><Relationship Id="rId3550" Type="http://schemas.openxmlformats.org/officeDocument/2006/relationships/hyperlink" Target="https://dl.smwcentral.net/31123/Super%20Foo%20World%20Lite.zip" TargetMode="External"/><Relationship Id="rId4601" Type="http://schemas.openxmlformats.org/officeDocument/2006/relationships/hyperlink" Target="https://www.smwcentral.net/?a=details&amp;id=29722&amp;p=section" TargetMode="External"/><Relationship Id="rId124" Type="http://schemas.openxmlformats.org/officeDocument/2006/relationships/hyperlink" Target="https://dl.smwcentral.net/11306/A%20Kaizo%20Adventure.zip" TargetMode="External"/><Relationship Id="rId3203" Type="http://schemas.openxmlformats.org/officeDocument/2006/relationships/hyperlink" Target="https://www.smwcentral.net/?a=details&amp;id=32609&amp;p=section" TargetMode="External"/><Relationship Id="rId3410" Type="http://schemas.openxmlformats.org/officeDocument/2006/relationships/hyperlink" Target="https://dl.smwcentral.net/42415/Super%20Alex%20Demo.zip" TargetMode="External"/><Relationship Id="rId331" Type="http://schemas.openxmlformats.org/officeDocument/2006/relationships/hyperlink" Target="https://www.smwcentral.net/?a=details&amp;id=9926&amp;p=section" TargetMode="External"/><Relationship Id="rId2012" Type="http://schemas.openxmlformats.org/officeDocument/2006/relationships/hyperlink" Target="https://dl.smwcentral.net/34594/M.Mania.zip" TargetMode="External"/><Relationship Id="rId2969" Type="http://schemas.openxmlformats.org/officeDocument/2006/relationships/hyperlink" Target="https://www.smwcentral.net/?a=details&amp;id=33959&amp;p=section" TargetMode="External"/><Relationship Id="rId5168" Type="http://schemas.openxmlformats.org/officeDocument/2006/relationships/hyperlink" Target="https://dl.smwcentral.net/29659/TransmissionChainExperiment.zip" TargetMode="External"/><Relationship Id="rId5375" Type="http://schemas.openxmlformats.org/officeDocument/2006/relationships/hyperlink" Target="https://www.smwcentral.net/?a=details&amp;id=38285&amp;p=section" TargetMode="External"/><Relationship Id="rId1778" Type="http://schemas.openxmlformats.org/officeDocument/2006/relationships/hyperlink" Target="https://dl.smwcentral.net/10101/LHJ.zip" TargetMode="External"/><Relationship Id="rId1985" Type="http://schemas.openxmlformats.org/officeDocument/2006/relationships/hyperlink" Target="https://www.smwcentral.net/?a=details&amp;id=35668&amp;p=section" TargetMode="External"/><Relationship Id="rId2829" Type="http://schemas.openxmlformats.org/officeDocument/2006/relationships/hyperlink" Target="https://www.smwcentral.net/?a=details&amp;id=22240&amp;p=section" TargetMode="External"/><Relationship Id="rId4184" Type="http://schemas.openxmlformats.org/officeDocument/2006/relationships/hyperlink" Target="https://dl.smwcentral.net/30887/SMWSeasonalChaos%21.zip" TargetMode="External"/><Relationship Id="rId4391" Type="http://schemas.openxmlformats.org/officeDocument/2006/relationships/hyperlink" Target="https://www.smwcentral.net/?a=details&amp;id=10045&amp;p=section" TargetMode="External"/><Relationship Id="rId5028" Type="http://schemas.openxmlformats.org/officeDocument/2006/relationships/hyperlink" Target="https://dl.smwcentral.net/29951/The%20Unknown.zip" TargetMode="External"/><Relationship Id="rId5235" Type="http://schemas.openxmlformats.org/officeDocument/2006/relationships/hyperlink" Target="https://www.smwcentral.net/?a=details&amp;id=25406&amp;p=section" TargetMode="External"/><Relationship Id="rId5442" Type="http://schemas.openxmlformats.org/officeDocument/2006/relationships/hyperlink" Target="https://dl.smwcentral.net/17614/Yo%20mama%20is%20fat.zip" TargetMode="External"/><Relationship Id="rId1638" Type="http://schemas.openxmlformats.org/officeDocument/2006/relationships/hyperlink" Target="https://dl.smwcentral.net/26237/KusoEcstasy1_1.zip" TargetMode="External"/><Relationship Id="rId4044" Type="http://schemas.openxmlformats.org/officeDocument/2006/relationships/hyperlink" Target="https://dl.smwcentral.net/32569/SuperMarioWorld64-DEMO.zip" TargetMode="External"/><Relationship Id="rId4251" Type="http://schemas.openxmlformats.org/officeDocument/2006/relationships/hyperlink" Target="https://www.smwcentral.net/?a=details&amp;id=5023&amp;p=section" TargetMode="External"/><Relationship Id="rId5302" Type="http://schemas.openxmlformats.org/officeDocument/2006/relationships/hyperlink" Target="https://dl.smwcentral.net/9706/VIP1.zip" TargetMode="External"/><Relationship Id="rId1845" Type="http://schemas.openxmlformats.org/officeDocument/2006/relationships/hyperlink" Target="https://www.smwcentral.net/?a=details&amp;id=9856&amp;p=section" TargetMode="External"/><Relationship Id="rId3060" Type="http://schemas.openxmlformats.org/officeDocument/2006/relationships/hyperlink" Target="https://dl.smwcentral.net/5099/Seven%20Cursed%20Eggs.zip" TargetMode="External"/><Relationship Id="rId4111" Type="http://schemas.openxmlformats.org/officeDocument/2006/relationships/hyperlink" Target="https://www.smwcentral.net/?a=details&amp;id=13341&amp;p=section" TargetMode="External"/><Relationship Id="rId1705" Type="http://schemas.openxmlformats.org/officeDocument/2006/relationships/hyperlink" Target="https://www.smwcentral.net/?a=details&amp;id=9936&amp;p=section" TargetMode="External"/><Relationship Id="rId1912" Type="http://schemas.openxmlformats.org/officeDocument/2006/relationships/hyperlink" Target="https://dl.smwcentral.net/10206/MBAL_demo1.zip" TargetMode="External"/><Relationship Id="rId3877" Type="http://schemas.openxmlformats.org/officeDocument/2006/relationships/hyperlink" Target="https://www.smwcentral.net/?a=details&amp;id=10070&amp;p=section" TargetMode="External"/><Relationship Id="rId4928" Type="http://schemas.openxmlformats.org/officeDocument/2006/relationships/hyperlink" Target="https://dl.smwcentral.net/15823/TPL2.zip" TargetMode="External"/><Relationship Id="rId5092" Type="http://schemas.openxmlformats.org/officeDocument/2006/relationships/hyperlink" Target="https://dl.smwcentral.net/33137/Tired%20Mario%20World.zip" TargetMode="External"/><Relationship Id="rId798" Type="http://schemas.openxmlformats.org/officeDocument/2006/relationships/hyperlink" Target="https://dl.smwcentral.net/32105/daemon%20land%203.zip" TargetMode="External"/><Relationship Id="rId2479" Type="http://schemas.openxmlformats.org/officeDocument/2006/relationships/hyperlink" Target="https://www.smwcentral.net/?a=details&amp;id=9850&amp;p=section" TargetMode="External"/><Relationship Id="rId2686" Type="http://schemas.openxmlformats.org/officeDocument/2006/relationships/hyperlink" Target="https://dl.smwcentral.net/27912/Our%20Wonderful%20Planet.zip" TargetMode="External"/><Relationship Id="rId2893" Type="http://schemas.openxmlformats.org/officeDocument/2006/relationships/hyperlink" Target="https://www.smwcentral.net/?a=details&amp;id=30623&amp;p=section" TargetMode="External"/><Relationship Id="rId3737" Type="http://schemas.openxmlformats.org/officeDocument/2006/relationships/hyperlink" Target="https://www.smwcentral.net/?a=details&amp;id=41602&amp;p=section" TargetMode="External"/><Relationship Id="rId3944" Type="http://schemas.openxmlformats.org/officeDocument/2006/relationships/hyperlink" Target="https://dl.smwcentral.net/5464/Super%20Mario%20Robotical%20Trouble.zip" TargetMode="External"/><Relationship Id="rId658" Type="http://schemas.openxmlformats.org/officeDocument/2006/relationships/hyperlink" Target="https://dl.smwcentral.net/29819/Cheese%20Island.zip" TargetMode="External"/><Relationship Id="rId865" Type="http://schemas.openxmlformats.org/officeDocument/2006/relationships/hyperlink" Target="https://www.smwcentral.net/?a=details&amp;id=10087&amp;p=section" TargetMode="External"/><Relationship Id="rId1288" Type="http://schemas.openxmlformats.org/officeDocument/2006/relationships/hyperlink" Target="https://dl.smwcentral.net/24257/Hangin_With_Mr_Koopa_1.1.zip" TargetMode="External"/><Relationship Id="rId1495" Type="http://schemas.openxmlformats.org/officeDocument/2006/relationships/hyperlink" Target="https://www.smwcentral.net/?a=details&amp;id=9843&amp;p=section" TargetMode="External"/><Relationship Id="rId2339" Type="http://schemas.openxmlformats.org/officeDocument/2006/relationships/hyperlink" Target="https://www.smwcentral.net/?a=details&amp;id=9931&amp;p=section" TargetMode="External"/><Relationship Id="rId2546" Type="http://schemas.openxmlformats.org/officeDocument/2006/relationships/hyperlink" Target="https://dl.smwcentral.net/39731/NH_World_2.zip" TargetMode="External"/><Relationship Id="rId2753" Type="http://schemas.openxmlformats.org/officeDocument/2006/relationships/hyperlink" Target="https://www.smwcentral.net/?a=details&amp;id=14791&amp;p=section" TargetMode="External"/><Relationship Id="rId2960" Type="http://schemas.openxmlformats.org/officeDocument/2006/relationships/hyperlink" Target="https://dl.smwcentral.net/32137/Road%20to%20New%20Haven.zip" TargetMode="External"/><Relationship Id="rId3804" Type="http://schemas.openxmlformats.org/officeDocument/2006/relationships/hyperlink" Target="https://dl.smwcentral.net/9535/Super%20Mario%20Bros.%20The%20Hunt%20For%20The%20Magical%20Key.zip" TargetMode="External"/><Relationship Id="rId518" Type="http://schemas.openxmlformats.org/officeDocument/2006/relationships/hyperlink" Target="https://dl.smwcentral.net/6874/bowser%27s%20kingdom%20hack.zip" TargetMode="External"/><Relationship Id="rId725" Type="http://schemas.openxmlformats.org/officeDocument/2006/relationships/hyperlink" Target="https://www.smwcentral.net/?a=details&amp;id=12725&amp;p=section" TargetMode="External"/><Relationship Id="rId932" Type="http://schemas.openxmlformats.org/officeDocument/2006/relationships/hyperlink" Target="https://dl.smwcentral.net/30589/Dynamic%20Mario1.1.zip" TargetMode="External"/><Relationship Id="rId1148" Type="http://schemas.openxmlformats.org/officeDocument/2006/relationships/hyperlink" Target="https://dl.smwcentral.net/33615/Gauntlet.zip" TargetMode="External"/><Relationship Id="rId1355" Type="http://schemas.openxmlformats.org/officeDocument/2006/relationships/hyperlink" Target="https://www.smwcentral.net/?a=details&amp;id=12916&amp;p=section" TargetMode="External"/><Relationship Id="rId1562" Type="http://schemas.openxmlformats.org/officeDocument/2006/relationships/hyperlink" Target="https://dl.smwcentral.net/12812/Kamek%27s%20Revenge.zip" TargetMode="External"/><Relationship Id="rId2406" Type="http://schemas.openxmlformats.org/officeDocument/2006/relationships/hyperlink" Target="https://dl.smwcentral.net/39881/motor%20shells.zip" TargetMode="External"/><Relationship Id="rId2613" Type="http://schemas.openxmlformats.org/officeDocument/2006/relationships/hyperlink" Target="https://www.smwcentral.net/?a=details&amp;id=14689&amp;p=section" TargetMode="External"/><Relationship Id="rId1008" Type="http://schemas.openxmlformats.org/officeDocument/2006/relationships/hyperlink" Target="https://dl.smwcentral.net/9911/EVERY%20LEVEL%20MORTON%21.zip" TargetMode="External"/><Relationship Id="rId1215" Type="http://schemas.openxmlformats.org/officeDocument/2006/relationships/hyperlink" Target="https://www.smwcentral.net/?a=details&amp;id=10226&amp;p=section" TargetMode="External"/><Relationship Id="rId1422" Type="http://schemas.openxmlformats.org/officeDocument/2006/relationships/hyperlink" Target="https://dl.smwcentral.net/26955/Intrigue%20of%20Kittens%201.1.zip" TargetMode="External"/><Relationship Id="rId2820" Type="http://schemas.openxmlformats.org/officeDocument/2006/relationships/hyperlink" Target="https://dl.smwcentral.net/34843/PowerGuyWorld.zip" TargetMode="External"/><Relationship Id="rId4578" Type="http://schemas.openxmlformats.org/officeDocument/2006/relationships/hyperlink" Target="https://dl.smwcentral.net/9995/Super%20Xtreme%20World.zip" TargetMode="External"/><Relationship Id="rId61" Type="http://schemas.openxmlformats.org/officeDocument/2006/relationships/hyperlink" Target="https://www.smwcentral.net/?a=details&amp;id=39505&amp;p=section" TargetMode="External"/><Relationship Id="rId3387" Type="http://schemas.openxmlformats.org/officeDocument/2006/relationships/hyperlink" Target="https://www.smwcentral.net/?a=details&amp;id=27331&amp;p=section" TargetMode="External"/><Relationship Id="rId4785" Type="http://schemas.openxmlformats.org/officeDocument/2006/relationships/hyperlink" Target="https://www.smwcentral.net/?a=details&amp;id=9986&amp;p=section" TargetMode="External"/><Relationship Id="rId4992" Type="http://schemas.openxmlformats.org/officeDocument/2006/relationships/hyperlink" Target="https://dl.smwcentral.net/4989/7star_demo1.zip" TargetMode="External"/><Relationship Id="rId2196" Type="http://schemas.openxmlformats.org/officeDocument/2006/relationships/hyperlink" Target="https://dl.smwcentral.net/5529/MMG1.3.zip" TargetMode="External"/><Relationship Id="rId3594" Type="http://schemas.openxmlformats.org/officeDocument/2006/relationships/hyperlink" Target="https://dl.smwcentral.net/34138/Super%20Insecure%20World.zip" TargetMode="External"/><Relationship Id="rId4438" Type="http://schemas.openxmlformats.org/officeDocument/2006/relationships/hyperlink" Target="https://dl.smwcentral.net/41864/Super%20Refund%20World%201.02.zip" TargetMode="External"/><Relationship Id="rId4645" Type="http://schemas.openxmlformats.org/officeDocument/2006/relationships/hyperlink" Target="https://www.smwcentral.net/?a=details&amp;id=39548&amp;p=section" TargetMode="External"/><Relationship Id="rId4852" Type="http://schemas.openxmlformats.org/officeDocument/2006/relationships/hyperlink" Target="https://dl.smwcentral.net/18200/Joy%20of%20Kaizo%201.6.zip" TargetMode="External"/><Relationship Id="rId168" Type="http://schemas.openxmlformats.org/officeDocument/2006/relationships/hyperlink" Target="https://dl.smwcentral.net/10189/A%20Simple%20Story.zip" TargetMode="External"/><Relationship Id="rId3247" Type="http://schemas.openxmlformats.org/officeDocument/2006/relationships/hyperlink" Target="https://www.smwcentral.net/?a=details&amp;id=32461&amp;p=section" TargetMode="External"/><Relationship Id="rId3454" Type="http://schemas.openxmlformats.org/officeDocument/2006/relationships/hyperlink" Target="https://dl.smwcentral.net/26197/SuperCindyWorld.zip" TargetMode="External"/><Relationship Id="rId3661" Type="http://schemas.openxmlformats.org/officeDocument/2006/relationships/hyperlink" Target="https://www.smwcentral.net/?a=details&amp;id=15639&amp;p=section" TargetMode="External"/><Relationship Id="rId4505" Type="http://schemas.openxmlformats.org/officeDocument/2006/relationships/hyperlink" Target="https://www.smwcentral.net/?a=details&amp;id=34008&amp;p=section" TargetMode="External"/><Relationship Id="rId4712" Type="http://schemas.openxmlformats.org/officeDocument/2006/relationships/hyperlink" Target="https://dl.smwcentral.net/39808/The%20Adventures%20of%20Bucken%20Berry%20and%20ala-Gold%201.3.zip" TargetMode="External"/><Relationship Id="rId375" Type="http://schemas.openxmlformats.org/officeDocument/2006/relationships/hyperlink" Target="https://www.smwcentral.net/?a=details&amp;id=38701&amp;p=section" TargetMode="External"/><Relationship Id="rId582" Type="http://schemas.openxmlformats.org/officeDocument/2006/relationships/hyperlink" Target="https://dl.smwcentral.net/20379/Buzzy%27s%20World%20Tour%20%28DISCONTINUED%29.zip" TargetMode="External"/><Relationship Id="rId2056" Type="http://schemas.openxmlformats.org/officeDocument/2006/relationships/hyperlink" Target="https://dl.smwcentral.net/29823/Mario%20Saves%20Fermin%27s%20Birthday.zip" TargetMode="External"/><Relationship Id="rId2263" Type="http://schemas.openxmlformats.org/officeDocument/2006/relationships/hyperlink" Target="https://www.smwcentral.net/?a=details&amp;id=5422&amp;p=section" TargetMode="External"/><Relationship Id="rId2470" Type="http://schemas.openxmlformats.org/officeDocument/2006/relationships/hyperlink" Target="https://dl.smwcentral.net/32900/Nameless%20Shells.zip" TargetMode="External"/><Relationship Id="rId3107" Type="http://schemas.openxmlformats.org/officeDocument/2006/relationships/hyperlink" Target="https://www.smwcentral.net/?a=details&amp;id=25495&amp;p=section" TargetMode="External"/><Relationship Id="rId3314" Type="http://schemas.openxmlformats.org/officeDocument/2006/relationships/hyperlink" Target="https://dl.smwcentral.net/37876/Spatial%20Whirl.zip" TargetMode="External"/><Relationship Id="rId3521" Type="http://schemas.openxmlformats.org/officeDocument/2006/relationships/hyperlink" Target="https://www.smwcentral.net/?a=details&amp;id=9836&amp;p=section" TargetMode="External"/><Relationship Id="rId235" Type="http://schemas.openxmlformats.org/officeDocument/2006/relationships/hyperlink" Target="https://www.smwcentral.net/?a=details&amp;id=9742&amp;p=section" TargetMode="External"/><Relationship Id="rId442" Type="http://schemas.openxmlformats.org/officeDocument/2006/relationships/hyperlink" Target="https://dl.smwcentral.net/38957/BlackOut.zip" TargetMode="External"/><Relationship Id="rId1072" Type="http://schemas.openxmlformats.org/officeDocument/2006/relationships/hyperlink" Target="https://dl.smwcentral.net/13745/FLOATING%20MUNCHERS.zip" TargetMode="External"/><Relationship Id="rId2123" Type="http://schemas.openxmlformats.org/officeDocument/2006/relationships/hyperlink" Target="https://www.smwcentral.net/?a=details&amp;id=16326&amp;p=section" TargetMode="External"/><Relationship Id="rId2330" Type="http://schemas.openxmlformats.org/officeDocument/2006/relationships/hyperlink" Target="https://dl.smwcentral.net/37601/Mega%20Mario%20World%202%20-%20Awakened%20Power%201.4%20%28eng%2Besp%29.zip" TargetMode="External"/><Relationship Id="rId5279" Type="http://schemas.openxmlformats.org/officeDocument/2006/relationships/hyperlink" Target="https://www.smwcentral.net/?a=details&amp;id=30669&amp;p=section" TargetMode="External"/><Relationship Id="rId5486" Type="http://schemas.openxmlformats.org/officeDocument/2006/relationships/hyperlink" Target="https://dl.smwcentral.net/32587/Sure%20Shot.zip" TargetMode="External"/><Relationship Id="rId302" Type="http://schemas.openxmlformats.org/officeDocument/2006/relationships/hyperlink" Target="https://dl.smwcentral.net/16145/Another%20Mario%20Remastered%202%20Demo%202.zip" TargetMode="External"/><Relationship Id="rId4088" Type="http://schemas.openxmlformats.org/officeDocument/2006/relationships/hyperlink" Target="https://dl.smwcentral.net/10186/Super%20Mario%20World%20Master%20Quest%208%20The%20Final%20Quest%201%2C3.zip" TargetMode="External"/><Relationship Id="rId4295" Type="http://schemas.openxmlformats.org/officeDocument/2006/relationships/hyperlink" Target="https://www.smwcentral.net/?a=details&amp;id=9768&amp;p=section" TargetMode="External"/><Relationship Id="rId5139" Type="http://schemas.openxmlformats.org/officeDocument/2006/relationships/hyperlink" Target="https://www.smwcentral.net/?a=details&amp;id=31032&amp;p=section" TargetMode="External"/><Relationship Id="rId5346" Type="http://schemas.openxmlformats.org/officeDocument/2006/relationships/hyperlink" Target="https://dl.smwcentral.net/5500/Wario%20World%20-%20Between%20The%20Dimensions%20%28Ver1.5b%29.zip" TargetMode="External"/><Relationship Id="rId1889" Type="http://schemas.openxmlformats.org/officeDocument/2006/relationships/hyperlink" Target="https://www.smwcentral.net/?a=details&amp;id=10179&amp;p=section" TargetMode="External"/><Relationship Id="rId4155" Type="http://schemas.openxmlformats.org/officeDocument/2006/relationships/hyperlink" Target="https://www.smwcentral.net/?a=details&amp;id=9792&amp;p=section" TargetMode="External"/><Relationship Id="rId4362" Type="http://schemas.openxmlformats.org/officeDocument/2006/relationships/hyperlink" Target="https://dl.smwcentral.net/28977/Super%20NemMeViu%20World%201.1.zip" TargetMode="External"/><Relationship Id="rId5206" Type="http://schemas.openxmlformats.org/officeDocument/2006/relationships/hyperlink" Target="https://dl.smwcentral.net/9826/Ultimate%20Mario%20World.zip" TargetMode="External"/><Relationship Id="rId1749" Type="http://schemas.openxmlformats.org/officeDocument/2006/relationships/hyperlink" Target="https://www.smwcentral.net/?a=details&amp;id=21746&amp;p=section" TargetMode="External"/><Relationship Id="rId1956" Type="http://schemas.openxmlformats.org/officeDocument/2006/relationships/hyperlink" Target="https://dl.smwcentral.net/9845/Mario%20In%20Dragon%20Land.zip" TargetMode="External"/><Relationship Id="rId3171" Type="http://schemas.openxmlformats.org/officeDocument/2006/relationships/hyperlink" Target="https://www.smwcentral.net/?a=details&amp;id=34478&amp;p=section" TargetMode="External"/><Relationship Id="rId4015" Type="http://schemas.openxmlformats.org/officeDocument/2006/relationships/hyperlink" Target="https://www.smwcentral.net/?a=details&amp;id=32917&amp;p=section" TargetMode="External"/><Relationship Id="rId5413" Type="http://schemas.openxmlformats.org/officeDocument/2006/relationships/hyperlink" Target="https://www.smwcentral.net/?a=details&amp;id=32940&amp;p=section" TargetMode="External"/><Relationship Id="rId1609" Type="http://schemas.openxmlformats.org/officeDocument/2006/relationships/hyperlink" Target="https://www.smwcentral.net/?a=details&amp;id=40054&amp;p=section" TargetMode="External"/><Relationship Id="rId1816" Type="http://schemas.openxmlformats.org/officeDocument/2006/relationships/hyperlink" Target="https://dl.smwcentral.net/9818/LunchBreakDemo.zip" TargetMode="External"/><Relationship Id="rId4222" Type="http://schemas.openxmlformats.org/officeDocument/2006/relationships/hyperlink" Target="https://dl.smwcentral.net/11585/SMW-The%20Secret%20Of%204%20Colour%20Switch%20Demo%201.3.zip" TargetMode="External"/><Relationship Id="rId3031" Type="http://schemas.openxmlformats.org/officeDocument/2006/relationships/hyperlink" Target="https://www.smwcentral.net/?a=details&amp;id=41690&amp;p=section" TargetMode="External"/><Relationship Id="rId3988" Type="http://schemas.openxmlformats.org/officeDocument/2006/relationships/hyperlink" Target="https://dl.smwcentral.net/15300/SMWL.zip" TargetMode="External"/><Relationship Id="rId2797" Type="http://schemas.openxmlformats.org/officeDocument/2006/relationships/hyperlink" Target="https://www.smwcentral.net/?a=details&amp;id=14907&amp;p=section" TargetMode="External"/><Relationship Id="rId3848" Type="http://schemas.openxmlformats.org/officeDocument/2006/relationships/hyperlink" Target="https://dl.smwcentral.net/21176/Super%20Mario%20Endless%20World%20DEMO.zip" TargetMode="External"/><Relationship Id="rId769" Type="http://schemas.openxmlformats.org/officeDocument/2006/relationships/hyperlink" Target="https://www.smwcentral.net/?a=details&amp;id=32446&amp;p=section" TargetMode="External"/><Relationship Id="rId976" Type="http://schemas.openxmlformats.org/officeDocument/2006/relationships/hyperlink" Target="https://dl.smwcentral.net/36871/Enter%20the%20Gizzverse.zip" TargetMode="External"/><Relationship Id="rId1399" Type="http://schemas.openxmlformats.org/officeDocument/2006/relationships/hyperlink" Target="https://www.smwcentral.net/?a=details&amp;id=40565&amp;p=section" TargetMode="External"/><Relationship Id="rId2657" Type="http://schemas.openxmlformats.org/officeDocument/2006/relationships/hyperlink" Target="https://www.smwcentral.net/?a=details&amp;id=40252&amp;p=section" TargetMode="External"/><Relationship Id="rId5063" Type="http://schemas.openxmlformats.org/officeDocument/2006/relationships/hyperlink" Target="https://www.smwcentral.net/?a=details&amp;id=33796&amp;p=section" TargetMode="External"/><Relationship Id="rId5270" Type="http://schemas.openxmlformats.org/officeDocument/2006/relationships/hyperlink" Target="https://dl.smwcentral.net/5493/Vanilla%20Failure%20C3%20Demo%20v1.1.zip" TargetMode="External"/><Relationship Id="rId629" Type="http://schemas.openxmlformats.org/officeDocument/2006/relationships/hyperlink" Target="https://www.smwcentral.net/?a=details&amp;id=42602&amp;p=section" TargetMode="External"/><Relationship Id="rId1259" Type="http://schemas.openxmlformats.org/officeDocument/2006/relationships/hyperlink" Target="https://www.smwcentral.net/?a=details&amp;id=15918&amp;p=section" TargetMode="External"/><Relationship Id="rId1466" Type="http://schemas.openxmlformats.org/officeDocument/2006/relationships/hyperlink" Target="https://dl.smwcentral.net/34098/John%27s%20Unfunny%20World%20-%20Phase%201.zip" TargetMode="External"/><Relationship Id="rId2864" Type="http://schemas.openxmlformats.org/officeDocument/2006/relationships/hyperlink" Target="https://dl.smwcentral.net/28386/Purgatory.zip" TargetMode="External"/><Relationship Id="rId3708" Type="http://schemas.openxmlformats.org/officeDocument/2006/relationships/hyperlink" Target="https://dl.smwcentral.net/39344/Super%20Mario%2016%20The%20Fall%20of%20Yoshi%20v1.54.zip" TargetMode="External"/><Relationship Id="rId3915" Type="http://schemas.openxmlformats.org/officeDocument/2006/relationships/hyperlink" Target="https://www.smwcentral.net/?a=details&amp;id=42235&amp;p=section" TargetMode="External"/><Relationship Id="rId5130" Type="http://schemas.openxmlformats.org/officeDocument/2006/relationships/hyperlink" Target="https://dl.smwcentral.net/25031/torkiyello%20extra%20pack%20new%20update.zip" TargetMode="External"/><Relationship Id="rId836" Type="http://schemas.openxmlformats.org/officeDocument/2006/relationships/hyperlink" Target="https://dl.smwcentral.net/31559/Deep%20In%20The%20Island%20%28Ver%201.1%29.zip" TargetMode="External"/><Relationship Id="rId1119" Type="http://schemas.openxmlformats.org/officeDocument/2006/relationships/hyperlink" Target="https://www.smwcentral.net/?a=details&amp;id=27569&amp;p=section" TargetMode="External"/><Relationship Id="rId1673" Type="http://schemas.openxmlformats.org/officeDocument/2006/relationships/hyperlink" Target="https://www.smwcentral.net/?a=details&amp;id=42361&amp;p=section" TargetMode="External"/><Relationship Id="rId1880" Type="http://schemas.openxmlformats.org/officeDocument/2006/relationships/hyperlink" Target="https://dl.smwcentral.net/39488/Mario%27s%20And%20The%20Diamond%20Moon.zip" TargetMode="External"/><Relationship Id="rId2517" Type="http://schemas.openxmlformats.org/officeDocument/2006/relationships/hyperlink" Target="https://www.smwcentral.net/?a=details&amp;id=20656&amp;p=section" TargetMode="External"/><Relationship Id="rId2724" Type="http://schemas.openxmlformats.org/officeDocument/2006/relationships/hyperlink" Target="https://dl.smwcentral.net/16891/pmtps.zip" TargetMode="External"/><Relationship Id="rId2931" Type="http://schemas.openxmlformats.org/officeDocument/2006/relationships/hyperlink" Target="https://www.smwcentral.net/?a=details&amp;id=13087&amp;p=section" TargetMode="External"/><Relationship Id="rId903" Type="http://schemas.openxmlformats.org/officeDocument/2006/relationships/hyperlink" Target="https://www.smwcentral.net/?a=details&amp;id=32883&amp;p=section" TargetMode="External"/><Relationship Id="rId1326" Type="http://schemas.openxmlformats.org/officeDocument/2006/relationships/hyperlink" Target="https://dl.smwcentral.net/28538/Hourglass%20Twist.zip" TargetMode="External"/><Relationship Id="rId1533" Type="http://schemas.openxmlformats.org/officeDocument/2006/relationships/hyperlink" Target="https://www.smwcentral.net/?a=details&amp;id=31756&amp;p=section" TargetMode="External"/><Relationship Id="rId1740" Type="http://schemas.openxmlformats.org/officeDocument/2006/relationships/hyperlink" Target="https://dl.smwcentral.net/26771/Lost%20Places%20Demo.zip" TargetMode="External"/><Relationship Id="rId4689" Type="http://schemas.openxmlformats.org/officeDocument/2006/relationships/hyperlink" Target="https://www.smwcentral.net/?a=details&amp;id=17706&amp;p=section" TargetMode="External"/><Relationship Id="rId4896" Type="http://schemas.openxmlformats.org/officeDocument/2006/relationships/hyperlink" Target="https://dl.smwcentral.net/25281/The%20Mario%27s%20Greatest%20Adventure%20%28Demo%202.1%29.zip" TargetMode="External"/><Relationship Id="rId32" Type="http://schemas.openxmlformats.org/officeDocument/2006/relationships/hyperlink" Target="https://dl.smwcentral.net/5559/2%20Player%20Co-op%20Quest.zip" TargetMode="External"/><Relationship Id="rId1600" Type="http://schemas.openxmlformats.org/officeDocument/2006/relationships/hyperlink" Target="https://dl.smwcentral.net/27275/KinksAwakening.zip" TargetMode="External"/><Relationship Id="rId3498" Type="http://schemas.openxmlformats.org/officeDocument/2006/relationships/hyperlink" Target="https://dl.smwcentral.net/18286/SuperDenisWorld_VF5.zip" TargetMode="External"/><Relationship Id="rId4549" Type="http://schemas.openxmlformats.org/officeDocument/2006/relationships/hyperlink" Target="https://www.smwcentral.net/?a=details&amp;id=18368&amp;p=section" TargetMode="External"/><Relationship Id="rId4756" Type="http://schemas.openxmlformats.org/officeDocument/2006/relationships/hyperlink" Target="https://dl.smwcentral.net/9170/%236-FourthSector1_7.zip" TargetMode="External"/><Relationship Id="rId4963" Type="http://schemas.openxmlformats.org/officeDocument/2006/relationships/hyperlink" Target="https://www.smwcentral.net/?a=details&amp;id=29606&amp;p=section" TargetMode="External"/><Relationship Id="rId3358" Type="http://schemas.openxmlformats.org/officeDocument/2006/relationships/hyperlink" Target="https://dl.smwcentral.net/40438/Starting%20with%20Kaizo.zip" TargetMode="External"/><Relationship Id="rId3565" Type="http://schemas.openxmlformats.org/officeDocument/2006/relationships/hyperlink" Target="https://www.smwcentral.net/?a=details&amp;id=23156&amp;p=section" TargetMode="External"/><Relationship Id="rId3772" Type="http://schemas.openxmlformats.org/officeDocument/2006/relationships/hyperlink" Target="https://dl.smwcentral.net/18086/SMB1X%20v1.6.zip" TargetMode="External"/><Relationship Id="rId4409" Type="http://schemas.openxmlformats.org/officeDocument/2006/relationships/hyperlink" Target="https://www.smwcentral.net/?a=details&amp;id=25501&amp;p=section" TargetMode="External"/><Relationship Id="rId4616" Type="http://schemas.openxmlformats.org/officeDocument/2006/relationships/hyperlink" Target="https://dl.smwcentral.net/35215/SweetWorld.zip" TargetMode="External"/><Relationship Id="rId4823" Type="http://schemas.openxmlformats.org/officeDocument/2006/relationships/hyperlink" Target="https://www.smwcentral.net/?a=details&amp;id=28709&amp;p=section" TargetMode="External"/><Relationship Id="rId279" Type="http://schemas.openxmlformats.org/officeDocument/2006/relationships/hyperlink" Target="https://www.smwcentral.net/?a=details&amp;id=26347&amp;p=section" TargetMode="External"/><Relationship Id="rId486" Type="http://schemas.openxmlformats.org/officeDocument/2006/relationships/hyperlink" Target="https://dl.smwcentral.net/9752/Bowser%20Forest.zip" TargetMode="External"/><Relationship Id="rId693" Type="http://schemas.openxmlformats.org/officeDocument/2006/relationships/hyperlink" Target="https://www.smwcentral.net/?a=details&amp;id=38758&amp;p=section" TargetMode="External"/><Relationship Id="rId2167" Type="http://schemas.openxmlformats.org/officeDocument/2006/relationships/hyperlink" Target="https://www.smwcentral.net/?a=details&amp;id=5573&amp;p=section" TargetMode="External"/><Relationship Id="rId2374" Type="http://schemas.openxmlformats.org/officeDocument/2006/relationships/hyperlink" Target="https://dl.smwcentral.net/14845/MM.zip" TargetMode="External"/><Relationship Id="rId2581" Type="http://schemas.openxmlformats.org/officeDocument/2006/relationships/hyperlink" Target="https://www.smwcentral.net/?a=details&amp;id=41388&amp;p=section" TargetMode="External"/><Relationship Id="rId3218" Type="http://schemas.openxmlformats.org/officeDocument/2006/relationships/hyperlink" Target="https://dl.smwcentral.net/29090/SMW%20Quest%20for%20Gaming.zip" TargetMode="External"/><Relationship Id="rId3425" Type="http://schemas.openxmlformats.org/officeDocument/2006/relationships/hyperlink" Target="https://www.smwcentral.net/?a=details&amp;id=25055&amp;p=section" TargetMode="External"/><Relationship Id="rId3632" Type="http://schemas.openxmlformats.org/officeDocument/2006/relationships/hyperlink" Target="https://dl.smwcentral.net/28658/SuperKroetiKaizoWorld.zip" TargetMode="External"/><Relationship Id="rId139" Type="http://schemas.openxmlformats.org/officeDocument/2006/relationships/hyperlink" Target="https://www.smwcentral.net/?a=details&amp;id=29849&amp;p=section" TargetMode="External"/><Relationship Id="rId346" Type="http://schemas.openxmlformats.org/officeDocument/2006/relationships/hyperlink" Target="https://dl.smwcentral.net/28839/At%20Least%20The%20Music%27s%20Good%20v1.1.zip" TargetMode="External"/><Relationship Id="rId553" Type="http://schemas.openxmlformats.org/officeDocument/2006/relationships/hyperlink" Target="https://www.smwcentral.net/?a=details&amp;id=39595&amp;p=section" TargetMode="External"/><Relationship Id="rId760" Type="http://schemas.openxmlformats.org/officeDocument/2006/relationships/hyperlink" Target="https://dl.smwcentral.net/42541/Crash%20Bandicoot%20and%20The%20Retro%20Dimension%202%20-%20The%20Crystal%20Hunt.zip" TargetMode="External"/><Relationship Id="rId1183" Type="http://schemas.openxmlformats.org/officeDocument/2006/relationships/hyperlink" Target="https://www.smwcentral.net/?a=details&amp;id=16406&amp;p=section" TargetMode="External"/><Relationship Id="rId1390" Type="http://schemas.openxmlformats.org/officeDocument/2006/relationships/hyperlink" Target="https://dl.smwcentral.net/26202/inane.zip" TargetMode="External"/><Relationship Id="rId2027" Type="http://schemas.openxmlformats.org/officeDocument/2006/relationships/hyperlink" Target="https://www.smwcentral.net/?a=details&amp;id=13907&amp;p=section" TargetMode="External"/><Relationship Id="rId2234" Type="http://schemas.openxmlformats.org/officeDocument/2006/relationships/hyperlink" Target="https://dl.smwcentral.net/5412/Mario%27s%20search%20for%20the%20stolen%20stars.zip" TargetMode="External"/><Relationship Id="rId2441" Type="http://schemas.openxmlformats.org/officeDocument/2006/relationships/hyperlink" Target="https://www.smwcentral.net/?a=details&amp;id=38704&amp;p=section" TargetMode="External"/><Relationship Id="rId206" Type="http://schemas.openxmlformats.org/officeDocument/2006/relationships/hyperlink" Target="https://dl.smwcentral.net/39452/AYoshi%27sStoryFixed.zip" TargetMode="External"/><Relationship Id="rId413" Type="http://schemas.openxmlformats.org/officeDocument/2006/relationships/hyperlink" Target="https://www.smwcentral.net/?a=details&amp;id=38171&amp;p=section" TargetMode="External"/><Relationship Id="rId1043" Type="http://schemas.openxmlformats.org/officeDocument/2006/relationships/hyperlink" Target="https://www.smwcentral.net/?a=details&amp;id=32733&amp;p=section" TargetMode="External"/><Relationship Id="rId4199" Type="http://schemas.openxmlformats.org/officeDocument/2006/relationships/hyperlink" Target="https://www.smwcentral.net/?a=details&amp;id=12113&amp;p=section" TargetMode="External"/><Relationship Id="rId620" Type="http://schemas.openxmlformats.org/officeDocument/2006/relationships/hyperlink" Target="https://dl.smwcentral.net/15634/CastleOfTerror3.zip" TargetMode="External"/><Relationship Id="rId1250" Type="http://schemas.openxmlformats.org/officeDocument/2006/relationships/hyperlink" Target="https://dl.smwcentral.net/37570/Hack%207.zip" TargetMode="External"/><Relationship Id="rId2301" Type="http://schemas.openxmlformats.org/officeDocument/2006/relationships/hyperlink" Target="https://www.smwcentral.net/?a=details&amp;id=39933&amp;p=section" TargetMode="External"/><Relationship Id="rId4059" Type="http://schemas.openxmlformats.org/officeDocument/2006/relationships/hyperlink" Target="https://www.smwcentral.net/?a=details&amp;id=32929&amp;p=section" TargetMode="External"/><Relationship Id="rId5457" Type="http://schemas.openxmlformats.org/officeDocument/2006/relationships/hyperlink" Target="https://www.smwcentral.net/?a=details&amp;id=36719&amp;p=section" TargetMode="External"/><Relationship Id="rId1110" Type="http://schemas.openxmlformats.org/officeDocument/2006/relationships/hyperlink" Target="https://dl.smwcentral.net/41460/Fresh%20Hops%202.zip" TargetMode="External"/><Relationship Id="rId4266" Type="http://schemas.openxmlformats.org/officeDocument/2006/relationships/hyperlink" Target="https://dl.smwcentral.net/9900/SM-NB%20Demo%203.zip" TargetMode="External"/><Relationship Id="rId4473" Type="http://schemas.openxmlformats.org/officeDocument/2006/relationships/hyperlink" Target="https://www.smwcentral.net/?a=details&amp;id=26747&amp;p=section" TargetMode="External"/><Relationship Id="rId4680" Type="http://schemas.openxmlformats.org/officeDocument/2006/relationships/hyperlink" Target="https://dl.smwcentral.net/31520/TIHI.zip" TargetMode="External"/><Relationship Id="rId5317" Type="http://schemas.openxmlformats.org/officeDocument/2006/relationships/hyperlink" Target="https://www.smwcentral.net/?a=details&amp;id=36682&amp;p=section" TargetMode="External"/><Relationship Id="rId1927" Type="http://schemas.openxmlformats.org/officeDocument/2006/relationships/hyperlink" Target="https://www.smwcentral.net/?a=details&amp;id=9764&amp;p=section" TargetMode="External"/><Relationship Id="rId3075" Type="http://schemas.openxmlformats.org/officeDocument/2006/relationships/hyperlink" Target="https://www.smwcentral.net/?a=details&amp;id=29776&amp;p=section" TargetMode="External"/><Relationship Id="rId3282" Type="http://schemas.openxmlformats.org/officeDocument/2006/relationships/hyperlink" Target="https://dl.smwcentral.net/16084/Solar%20Eclipse%20World.zip" TargetMode="External"/><Relationship Id="rId4126" Type="http://schemas.openxmlformats.org/officeDocument/2006/relationships/hyperlink" Target="https://dl.smwcentral.net/27401/A%20Super%20Mario%20Adventure%202%20%28V2.0%29.zip" TargetMode="External"/><Relationship Id="rId4333" Type="http://schemas.openxmlformats.org/officeDocument/2006/relationships/hyperlink" Target="https://www.smwcentral.net/?a=details&amp;id=27220&amp;p=section" TargetMode="External"/><Relationship Id="rId4540" Type="http://schemas.openxmlformats.org/officeDocument/2006/relationships/hyperlink" Target="https://dl.smwcentral.net/24457/Unethical%201.1.zip" TargetMode="External"/><Relationship Id="rId2091" Type="http://schemas.openxmlformats.org/officeDocument/2006/relationships/hyperlink" Target="https://www.smwcentral.net/?a=details&amp;id=11616&amp;p=section" TargetMode="External"/><Relationship Id="rId3142" Type="http://schemas.openxmlformats.org/officeDocument/2006/relationships/hyperlink" Target="https://dl.smwcentral.net/9651/Shy-Guy_Quest_C3.zip" TargetMode="External"/><Relationship Id="rId4400" Type="http://schemas.openxmlformats.org/officeDocument/2006/relationships/hyperlink" Target="https://dl.smwcentral.net/40758/Super%20Oreetv%20World.zip" TargetMode="External"/><Relationship Id="rId270" Type="http://schemas.openxmlformats.org/officeDocument/2006/relationships/hyperlink" Target="https://dl.smwcentral.net/32393/%5BHack%5D%20ALPHA%20SPHERE%20Zero%20-%20Rotten%20Brains.zip" TargetMode="External"/><Relationship Id="rId3002" Type="http://schemas.openxmlformats.org/officeDocument/2006/relationships/hyperlink" Target="https://dl.smwcentral.net/31184/rta%20abuse%203.zip" TargetMode="External"/><Relationship Id="rId130" Type="http://schemas.openxmlformats.org/officeDocument/2006/relationships/hyperlink" Target="https://dl.smwcentral.net/23107/V2-2020-A-Lenda-do-Heroi-Songs_for-a-Hero.zip" TargetMode="External"/><Relationship Id="rId3959" Type="http://schemas.openxmlformats.org/officeDocument/2006/relationships/hyperlink" Target="https://www.smwcentral.net/?a=details&amp;id=5581&amp;p=section" TargetMode="External"/><Relationship Id="rId5174" Type="http://schemas.openxmlformats.org/officeDocument/2006/relationships/hyperlink" Target="https://dl.smwcentral.net/13554/TRAWASBNONASYACTNISGAS.zip" TargetMode="External"/><Relationship Id="rId5381" Type="http://schemas.openxmlformats.org/officeDocument/2006/relationships/hyperlink" Target="https://www.smwcentral.net/?a=details&amp;id=10021&amp;p=section" TargetMode="External"/><Relationship Id="rId2768" Type="http://schemas.openxmlformats.org/officeDocument/2006/relationships/hyperlink" Target="https://dl.smwcentral.net/31373/Pirate%20Hack%20Demo.zip" TargetMode="External"/><Relationship Id="rId2975" Type="http://schemas.openxmlformats.org/officeDocument/2006/relationships/hyperlink" Target="https://www.smwcentral.net/?a=details&amp;id=19683&amp;p=section" TargetMode="External"/><Relationship Id="rId3819" Type="http://schemas.openxmlformats.org/officeDocument/2006/relationships/hyperlink" Target="https://www.smwcentral.net/?a=details&amp;id=9712&amp;p=section" TargetMode="External"/><Relationship Id="rId5034" Type="http://schemas.openxmlformats.org/officeDocument/2006/relationships/hyperlink" Target="https://dl.smwcentral.net/15486/TheVanilla%201.3.zip" TargetMode="External"/><Relationship Id="rId947" Type="http://schemas.openxmlformats.org/officeDocument/2006/relationships/hyperlink" Target="https://www.smwcentral.net/?a=details&amp;id=41895&amp;p=section" TargetMode="External"/><Relationship Id="rId1577" Type="http://schemas.openxmlformats.org/officeDocument/2006/relationships/hyperlink" Target="https://www.smwcentral.net/?a=details&amp;id=21546&amp;p=section" TargetMode="External"/><Relationship Id="rId1784" Type="http://schemas.openxmlformats.org/officeDocument/2006/relationships/hyperlink" Target="https://dl.smwcentral.net/32235/Luigi%27s%20Lost%20Levels%203%20-%20Electrik%20Boogaloo.zip" TargetMode="External"/><Relationship Id="rId1991" Type="http://schemas.openxmlformats.org/officeDocument/2006/relationships/hyperlink" Target="https://www.smwcentral.net/?a=details&amp;id=10197&amp;p=section" TargetMode="External"/><Relationship Id="rId2628" Type="http://schemas.openxmlformats.org/officeDocument/2006/relationships/hyperlink" Target="https://dl.smwcentral.net/42411/Oblivion.zip" TargetMode="External"/><Relationship Id="rId2835" Type="http://schemas.openxmlformats.org/officeDocument/2006/relationships/hyperlink" Target="https://www.smwcentral.net/?a=details&amp;id=10042&amp;p=section" TargetMode="External"/><Relationship Id="rId4190" Type="http://schemas.openxmlformats.org/officeDocument/2006/relationships/hyperlink" Target="https://dl.smwcentral.net/39208/Super%20Mario%20World%20-%20The%204%20Magic%20Wands%20V1.0.2.zip" TargetMode="External"/><Relationship Id="rId5241" Type="http://schemas.openxmlformats.org/officeDocument/2006/relationships/hyperlink" Target="https://www.smwcentral.net/?a=details&amp;id=25234&amp;p=section" TargetMode="External"/><Relationship Id="rId76" Type="http://schemas.openxmlformats.org/officeDocument/2006/relationships/hyperlink" Target="https://dl.smwcentral.net/20899/8%20Trials%20Await.zip" TargetMode="External"/><Relationship Id="rId807" Type="http://schemas.openxmlformats.org/officeDocument/2006/relationships/hyperlink" Target="https://www.smwcentral.net/?a=details&amp;id=39786&amp;p=section" TargetMode="External"/><Relationship Id="rId1437" Type="http://schemas.openxmlformats.org/officeDocument/2006/relationships/hyperlink" Target="https://www.smwcentral.net/?a=details&amp;id=37641&amp;p=section" TargetMode="External"/><Relationship Id="rId1644" Type="http://schemas.openxmlformats.org/officeDocument/2006/relationships/hyperlink" Target="https://dl.smwcentral.net/39988/KuzoHeaven1_3.zip" TargetMode="External"/><Relationship Id="rId1851" Type="http://schemas.openxmlformats.org/officeDocument/2006/relationships/hyperlink" Target="https://www.smwcentral.net/?a=details&amp;id=12162&amp;p=section" TargetMode="External"/><Relationship Id="rId2902" Type="http://schemas.openxmlformats.org/officeDocument/2006/relationships/hyperlink" Target="https://dl.smwcentral.net/33916/RaphaelsRevengeV1.1.zip" TargetMode="External"/><Relationship Id="rId4050" Type="http://schemas.openxmlformats.org/officeDocument/2006/relationships/hyperlink" Target="https://dl.smwcentral.net/15465/Super%20Mario%20World%20and%20Beyond.zip" TargetMode="External"/><Relationship Id="rId5101" Type="http://schemas.openxmlformats.org/officeDocument/2006/relationships/hyperlink" Target="https://www.smwcentral.net/?a=details&amp;id=30607&amp;p=section" TargetMode="External"/><Relationship Id="rId1504" Type="http://schemas.openxmlformats.org/officeDocument/2006/relationships/hyperlink" Target="https://dl.smwcentral.net/41451/just%20like%20amy%3B%20exactly%20like%20amy%20%28v1.01%29.zip" TargetMode="External"/><Relationship Id="rId1711" Type="http://schemas.openxmlformats.org/officeDocument/2006/relationships/hyperlink" Target="https://www.smwcentral.net/?a=details&amp;id=33042&amp;p=section" TargetMode="External"/><Relationship Id="rId4867" Type="http://schemas.openxmlformats.org/officeDocument/2006/relationships/hyperlink" Target="https://www.smwcentral.net/?a=details&amp;id=29774&amp;p=section" TargetMode="External"/><Relationship Id="rId3469" Type="http://schemas.openxmlformats.org/officeDocument/2006/relationships/hyperlink" Target="https://www.smwcentral.net/?a=details&amp;id=39684&amp;p=section" TargetMode="External"/><Relationship Id="rId3676" Type="http://schemas.openxmlformats.org/officeDocument/2006/relationships/hyperlink" Target="https://dl.smwcentral.net/10049/SLWLFD%20demo.zip" TargetMode="External"/><Relationship Id="rId597" Type="http://schemas.openxmlformats.org/officeDocument/2006/relationships/hyperlink" Target="https://www.smwcentral.net/?a=details&amp;id=39796&amp;p=section" TargetMode="External"/><Relationship Id="rId2278" Type="http://schemas.openxmlformats.org/officeDocument/2006/relationships/hyperlink" Target="https://dl.smwcentral.net/10131/Mario%20Other%20M.zip" TargetMode="External"/><Relationship Id="rId2485" Type="http://schemas.openxmlformats.org/officeDocument/2006/relationships/hyperlink" Target="https://www.smwcentral.net/?a=details&amp;id=15252&amp;p=section" TargetMode="External"/><Relationship Id="rId3329" Type="http://schemas.openxmlformats.org/officeDocument/2006/relationships/hyperlink" Target="https://www.smwcentral.net/?a=details&amp;id=5466&amp;p=section" TargetMode="External"/><Relationship Id="rId3883" Type="http://schemas.openxmlformats.org/officeDocument/2006/relationships/hyperlink" Target="https://www.smwcentral.net/?a=details&amp;id=5000&amp;p=section" TargetMode="External"/><Relationship Id="rId4727" Type="http://schemas.openxmlformats.org/officeDocument/2006/relationships/hyperlink" Target="https://www.smwcentral.net/?a=details&amp;id=9788&amp;p=section" TargetMode="External"/><Relationship Id="rId4934" Type="http://schemas.openxmlformats.org/officeDocument/2006/relationships/hyperlink" Target="https://dl.smwcentral.net/34219/ThePossibilityOfAnIsland.zip" TargetMode="External"/><Relationship Id="rId457" Type="http://schemas.openxmlformats.org/officeDocument/2006/relationships/hyperlink" Target="https://www.smwcentral.net/?a=details&amp;id=39591&amp;p=section" TargetMode="External"/><Relationship Id="rId1087" Type="http://schemas.openxmlformats.org/officeDocument/2006/relationships/hyperlink" Target="https://www.smwcentral.net/?a=details&amp;id=28063&amp;p=section" TargetMode="External"/><Relationship Id="rId1294" Type="http://schemas.openxmlformats.org/officeDocument/2006/relationships/hyperlink" Target="https://dl.smwcentral.net/33450/Harmful.zip" TargetMode="External"/><Relationship Id="rId2138" Type="http://schemas.openxmlformats.org/officeDocument/2006/relationships/hyperlink" Target="https://dl.smwcentral.net/9769/Mario%27s%20Double%20Trouble.zip" TargetMode="External"/><Relationship Id="rId2692" Type="http://schemas.openxmlformats.org/officeDocument/2006/relationships/hyperlink" Target="https://dl.smwcentral.net/37926/OWLVABOX.zip" TargetMode="External"/><Relationship Id="rId3536" Type="http://schemas.openxmlformats.org/officeDocument/2006/relationships/hyperlink" Target="https://dl.smwcentral.net/41538/FlashWorld2.zip" TargetMode="External"/><Relationship Id="rId3743" Type="http://schemas.openxmlformats.org/officeDocument/2006/relationships/hyperlink" Target="https://www.smwcentral.net/?a=details&amp;id=21493&amp;p=section" TargetMode="External"/><Relationship Id="rId3950" Type="http://schemas.openxmlformats.org/officeDocument/2006/relationships/hyperlink" Target="https://dl.smwcentral.net/35049/SuperMarioStarlight.zip" TargetMode="External"/><Relationship Id="rId664" Type="http://schemas.openxmlformats.org/officeDocument/2006/relationships/hyperlink" Target="https://dl.smwcentral.net/38058/Chicanery%20Beginner%20Edition%201.0.zip" TargetMode="External"/><Relationship Id="rId871" Type="http://schemas.openxmlformats.org/officeDocument/2006/relationships/hyperlink" Target="https://www.smwcentral.net/?a=details&amp;id=21689&amp;p=section" TargetMode="External"/><Relationship Id="rId2345" Type="http://schemas.openxmlformats.org/officeDocument/2006/relationships/hyperlink" Target="https://www.smwcentral.net/?a=details&amp;id=33449&amp;p=section" TargetMode="External"/><Relationship Id="rId2552" Type="http://schemas.openxmlformats.org/officeDocument/2006/relationships/hyperlink" Target="https://dl.smwcentral.net/27739/Nightmare%20cafe%20II%20v1.3.zip" TargetMode="External"/><Relationship Id="rId3603" Type="http://schemas.openxmlformats.org/officeDocument/2006/relationships/hyperlink" Target="https://www.smwcentral.net/?a=details&amp;id=41099&amp;p=section" TargetMode="External"/><Relationship Id="rId3810" Type="http://schemas.openxmlformats.org/officeDocument/2006/relationships/hyperlink" Target="https://dl.smwcentral.net/9793/SMB%20PC.zip" TargetMode="External"/><Relationship Id="rId317" Type="http://schemas.openxmlformats.org/officeDocument/2006/relationships/hyperlink" Target="https://www.smwcentral.net/?a=details&amp;id=10048&amp;p=section" TargetMode="External"/><Relationship Id="rId524" Type="http://schemas.openxmlformats.org/officeDocument/2006/relationships/hyperlink" Target="https://dl.smwcentral.net/37751/Bowser%27s%20Revenge%202%20v1.1.zip" TargetMode="External"/><Relationship Id="rId731" Type="http://schemas.openxmlformats.org/officeDocument/2006/relationships/hyperlink" Target="https://www.smwcentral.net/?a=details&amp;id=14289&amp;p=section" TargetMode="External"/><Relationship Id="rId1154" Type="http://schemas.openxmlformats.org/officeDocument/2006/relationships/hyperlink" Target="https://dl.smwcentral.net/30995/Get%20Busy%20Jumping%20Or%20Get%20Busy%20Dying.zip" TargetMode="External"/><Relationship Id="rId1361" Type="http://schemas.openxmlformats.org/officeDocument/2006/relationships/hyperlink" Target="https://www.smwcentral.net/?a=details&amp;id=37866&amp;p=section" TargetMode="External"/><Relationship Id="rId2205" Type="http://schemas.openxmlformats.org/officeDocument/2006/relationships/hyperlink" Target="https://www.smwcentral.net/?a=details&amp;id=17452&amp;p=section" TargetMode="External"/><Relationship Id="rId2412" Type="http://schemas.openxmlformats.org/officeDocument/2006/relationships/hyperlink" Target="https://dl.smwcentral.net/27022/_MuraWorld_V1.2.zip" TargetMode="External"/><Relationship Id="rId1014" Type="http://schemas.openxmlformats.org/officeDocument/2006/relationships/hyperlink" Target="https://dl.smwcentral.net/11946/Evil%20Conquest%20Release%201.9.zip" TargetMode="External"/><Relationship Id="rId1221" Type="http://schemas.openxmlformats.org/officeDocument/2006/relationships/hyperlink" Target="https://www.smwcentral.net/?a=details&amp;id=25869&amp;p=section" TargetMode="External"/><Relationship Id="rId4377" Type="http://schemas.openxmlformats.org/officeDocument/2006/relationships/hyperlink" Target="https://www.smwcentral.net/?a=details&amp;id=6965&amp;p=section" TargetMode="External"/><Relationship Id="rId4584" Type="http://schemas.openxmlformats.org/officeDocument/2006/relationships/hyperlink" Target="https://dl.smwcentral.net/21303/SYATB.zip" TargetMode="External"/><Relationship Id="rId4791" Type="http://schemas.openxmlformats.org/officeDocument/2006/relationships/hyperlink" Target="https://www.smwcentral.net/?a=details&amp;id=9935&amp;p=section" TargetMode="External"/><Relationship Id="rId5428" Type="http://schemas.openxmlformats.org/officeDocument/2006/relationships/hyperlink" Target="https://dl.smwcentral.net/39510/Yahoo%21%21.zip" TargetMode="External"/><Relationship Id="rId3186" Type="http://schemas.openxmlformats.org/officeDocument/2006/relationships/hyperlink" Target="https://dl.smwcentral.net/21787/slurdgery.zip" TargetMode="External"/><Relationship Id="rId3393" Type="http://schemas.openxmlformats.org/officeDocument/2006/relationships/hyperlink" Target="https://www.smwcentral.net/?a=details&amp;id=35655&amp;p=section" TargetMode="External"/><Relationship Id="rId4237" Type="http://schemas.openxmlformats.org/officeDocument/2006/relationships/hyperlink" Target="https://www.smwcentral.net/?a=details&amp;id=5370&amp;p=section" TargetMode="External"/><Relationship Id="rId4444" Type="http://schemas.openxmlformats.org/officeDocument/2006/relationships/hyperlink" Target="https://dl.smwcentral.net/12979/Super%20Responsible%20World.zip" TargetMode="External"/><Relationship Id="rId4651" Type="http://schemas.openxmlformats.org/officeDocument/2006/relationships/hyperlink" Target="https://www.smwcentral.net/?a=details&amp;id=25215&amp;p=section" TargetMode="External"/><Relationship Id="rId3046" Type="http://schemas.openxmlformats.org/officeDocument/2006/relationships/hyperlink" Target="https://dl.smwcentral.net/9924/Season%20of%20ice.zip" TargetMode="External"/><Relationship Id="rId3253" Type="http://schemas.openxmlformats.org/officeDocument/2006/relationships/hyperlink" Target="https://www.smwcentral.net/?a=details&amp;id=32335&amp;p=section" TargetMode="External"/><Relationship Id="rId3460" Type="http://schemas.openxmlformats.org/officeDocument/2006/relationships/hyperlink" Target="https://dl.smwcentral.net/21323/Super%20Compact%20World%20Submission.zip" TargetMode="External"/><Relationship Id="rId4304" Type="http://schemas.openxmlformats.org/officeDocument/2006/relationships/hyperlink" Target="https://dl.smwcentral.net/26778/The%20Five%20Castle%27s%20Challenge.zip" TargetMode="External"/><Relationship Id="rId174" Type="http://schemas.openxmlformats.org/officeDocument/2006/relationships/hyperlink" Target="https://dl.smwcentral.net/14841/A%20Special%20Christmas.zip" TargetMode="External"/><Relationship Id="rId381" Type="http://schemas.openxmlformats.org/officeDocument/2006/relationships/hyperlink" Target="https://www.smwcentral.net/?a=details&amp;id=40622&amp;p=section" TargetMode="External"/><Relationship Id="rId2062" Type="http://schemas.openxmlformats.org/officeDocument/2006/relationships/hyperlink" Target="https://dl.smwcentral.net/32992/Mario%20Saves%20Princess%20Toadstool%202.zip" TargetMode="External"/><Relationship Id="rId3113" Type="http://schemas.openxmlformats.org/officeDocument/2006/relationships/hyperlink" Target="https://www.smwcentral.net/?a=details&amp;id=41542&amp;p=section" TargetMode="External"/><Relationship Id="rId4511" Type="http://schemas.openxmlformats.org/officeDocument/2006/relationships/hyperlink" Target="https://www.smwcentral.net/?a=details&amp;id=22141&amp;p=section" TargetMode="External"/><Relationship Id="rId241" Type="http://schemas.openxmlformats.org/officeDocument/2006/relationships/hyperlink" Target="https://www.smwcentral.net/?a=details&amp;id=5471&amp;p=section" TargetMode="External"/><Relationship Id="rId3320" Type="http://schemas.openxmlformats.org/officeDocument/2006/relationships/hyperlink" Target="https://dl.smwcentral.net/10219/Special%20World%20Overtakes%20V1.3.zip" TargetMode="External"/><Relationship Id="rId5078" Type="http://schemas.openxmlformats.org/officeDocument/2006/relationships/hyperlink" Target="https://dl.smwcentral.net/10241/Thunderstruck%20demo%202012%20v1A.zip" TargetMode="External"/><Relationship Id="rId2879" Type="http://schemas.openxmlformats.org/officeDocument/2006/relationships/hyperlink" Target="https://www.smwcentral.net/?a=details&amp;id=17441&amp;p=section" TargetMode="External"/><Relationship Id="rId5285" Type="http://schemas.openxmlformats.org/officeDocument/2006/relationships/hyperlink" Target="https://www.smwcentral.net/?a=details&amp;id=28289&amp;p=section" TargetMode="External"/><Relationship Id="rId5492" Type="http://schemas.openxmlformats.org/officeDocument/2006/relationships/hyperlink" Target="https://dl.smwcentral.net/21950/so_2_mice_walk_into_a_bar_v1.1.zip" TargetMode="External"/><Relationship Id="rId101" Type="http://schemas.openxmlformats.org/officeDocument/2006/relationships/hyperlink" Target="https://www.smwcentral.net/?a=details&amp;id=31904&amp;p=section" TargetMode="External"/><Relationship Id="rId1688" Type="http://schemas.openxmlformats.org/officeDocument/2006/relationships/hyperlink" Target="https://dl.smwcentral.net/23089/LesbianVampireKillerWorld5000.zip" TargetMode="External"/><Relationship Id="rId1895" Type="http://schemas.openxmlformats.org/officeDocument/2006/relationships/hyperlink" Target="https://www.smwcentral.net/?a=details&amp;id=9618&amp;p=section" TargetMode="External"/><Relationship Id="rId2739" Type="http://schemas.openxmlformats.org/officeDocument/2006/relationships/hyperlink" Target="https://www.smwcentral.net/?a=details&amp;id=9766&amp;p=section" TargetMode="External"/><Relationship Id="rId2946" Type="http://schemas.openxmlformats.org/officeDocument/2006/relationships/hyperlink" Target="https://dl.smwcentral.net/39161/ROSP.zip" TargetMode="External"/><Relationship Id="rId4094" Type="http://schemas.openxmlformats.org/officeDocument/2006/relationships/hyperlink" Target="https://dl.smwcentral.net/37161/Super%20Mario%20World%20Random%20Revolution%20X%20V1.0.zip" TargetMode="External"/><Relationship Id="rId5145" Type="http://schemas.openxmlformats.org/officeDocument/2006/relationships/hyperlink" Target="https://www.smwcentral.net/?a=details&amp;id=26296&amp;p=section" TargetMode="External"/><Relationship Id="rId5352" Type="http://schemas.openxmlformats.org/officeDocument/2006/relationships/hyperlink" Target="https://dl.smwcentral.net/30365/WWW.zip" TargetMode="External"/><Relationship Id="rId918" Type="http://schemas.openxmlformats.org/officeDocument/2006/relationships/hyperlink" Target="https://dl.smwcentral.net/40261/drezademo.zip" TargetMode="External"/><Relationship Id="rId1548" Type="http://schemas.openxmlformats.org/officeDocument/2006/relationships/hyperlink" Target="https://dl.smwcentral.net/16059/Kaizo%20Mario%20World.zip" TargetMode="External"/><Relationship Id="rId1755" Type="http://schemas.openxmlformats.org/officeDocument/2006/relationships/hyperlink" Target="https://www.smwcentral.net/?a=details&amp;id=39174&amp;p=section" TargetMode="External"/><Relationship Id="rId4161" Type="http://schemas.openxmlformats.org/officeDocument/2006/relationships/hyperlink" Target="https://www.smwcentral.net/?a=details&amp;id=9840&amp;p=section" TargetMode="External"/><Relationship Id="rId5005" Type="http://schemas.openxmlformats.org/officeDocument/2006/relationships/hyperlink" Target="https://www.smwcentral.net/?a=details&amp;id=35279&amp;p=section" TargetMode="External"/><Relationship Id="rId5212" Type="http://schemas.openxmlformats.org/officeDocument/2006/relationships/hyperlink" Target="https://dl.smwcentral.net/9732/ULWD1.zip" TargetMode="External"/><Relationship Id="rId1408" Type="http://schemas.openxmlformats.org/officeDocument/2006/relationships/hyperlink" Target="https://dl.smwcentral.net/30663/Initiation.zip" TargetMode="External"/><Relationship Id="rId1962" Type="http://schemas.openxmlformats.org/officeDocument/2006/relationships/hyperlink" Target="https://dl.smwcentral.net/9720/Mario%20in%20midgard.zip" TargetMode="External"/><Relationship Id="rId2806" Type="http://schemas.openxmlformats.org/officeDocument/2006/relationships/hyperlink" Target="https://dl.smwcentral.net/9998/Pok%C3%A9mon%20Darkness%20final%20version.zip" TargetMode="External"/><Relationship Id="rId4021" Type="http://schemas.openxmlformats.org/officeDocument/2006/relationships/hyperlink" Target="https://www.smwcentral.net/?a=details&amp;id=16522&amp;p=section" TargetMode="External"/><Relationship Id="rId47" Type="http://schemas.openxmlformats.org/officeDocument/2006/relationships/hyperlink" Target="https://www.smwcentral.net/?a=details&amp;id=37821&amp;p=section" TargetMode="External"/><Relationship Id="rId1615" Type="http://schemas.openxmlformats.org/officeDocument/2006/relationships/hyperlink" Target="https://www.smwcentral.net/?a=details&amp;id=33726&amp;p=section" TargetMode="External"/><Relationship Id="rId1822" Type="http://schemas.openxmlformats.org/officeDocument/2006/relationships/hyperlink" Target="https://dl.smwcentral.net/24419/MadWithKaizoPower1_1.zip" TargetMode="External"/><Relationship Id="rId4978" Type="http://schemas.openxmlformats.org/officeDocument/2006/relationships/hyperlink" Target="https://dl.smwcentral.net/4974/TSRP2vers1.2.zip" TargetMode="External"/><Relationship Id="rId3787" Type="http://schemas.openxmlformats.org/officeDocument/2006/relationships/hyperlink" Target="https://www.smwcentral.net/?a=details&amp;id=10171&amp;p=section" TargetMode="External"/><Relationship Id="rId3994" Type="http://schemas.openxmlformats.org/officeDocument/2006/relationships/hyperlink" Target="https://dl.smwcentral.net/42380/Super%20Mario%20World%20-%20Bowser%27s%20Return%20Redux.zip" TargetMode="External"/><Relationship Id="rId4838" Type="http://schemas.openxmlformats.org/officeDocument/2006/relationships/hyperlink" Target="https://dl.smwcentral.net/14657/The%20Haunted%20Desert%20OLD%20EDITION.zip" TargetMode="External"/><Relationship Id="rId2389" Type="http://schemas.openxmlformats.org/officeDocument/2006/relationships/hyperlink" Target="https://www.smwcentral.net/?a=details&amp;id=18254&amp;p=section" TargetMode="External"/><Relationship Id="rId2596" Type="http://schemas.openxmlformats.org/officeDocument/2006/relationships/hyperlink" Target="https://dl.smwcentral.net/29572/%5BHack%5D%20no%20name.zip" TargetMode="External"/><Relationship Id="rId3647" Type="http://schemas.openxmlformats.org/officeDocument/2006/relationships/hyperlink" Target="https://www.smwcentral.net/?a=details&amp;id=32714&amp;p=section" TargetMode="External"/><Relationship Id="rId3854" Type="http://schemas.openxmlformats.org/officeDocument/2006/relationships/hyperlink" Target="https://dl.smwcentral.net/32985/Super%20Mario%20Fiwerland.zip" TargetMode="External"/><Relationship Id="rId4905" Type="http://schemas.openxmlformats.org/officeDocument/2006/relationships/hyperlink" Target="https://www.smwcentral.net/?a=details&amp;id=9835&amp;p=section" TargetMode="External"/><Relationship Id="rId568" Type="http://schemas.openxmlformats.org/officeDocument/2006/relationships/hyperlink" Target="https://dl.smwcentral.net/20177/BunbunWorld_1.0.zip" TargetMode="External"/><Relationship Id="rId775" Type="http://schemas.openxmlformats.org/officeDocument/2006/relationships/hyperlink" Target="https://www.smwcentral.net/?a=details&amp;id=31127&amp;p=section" TargetMode="External"/><Relationship Id="rId982" Type="http://schemas.openxmlformats.org/officeDocument/2006/relationships/hyperlink" Target="https://dl.smwcentral.net/6208/EP.zip" TargetMode="External"/><Relationship Id="rId1198" Type="http://schemas.openxmlformats.org/officeDocument/2006/relationships/hyperlink" Target="https://dl.smwcentral.net/37071/Green%20Cavern-yoshi_1.0.zip" TargetMode="External"/><Relationship Id="rId2249" Type="http://schemas.openxmlformats.org/officeDocument/2006/relationships/hyperlink" Target="https://www.smwcentral.net/?a=details&amp;id=9842&amp;p=section" TargetMode="External"/><Relationship Id="rId2456" Type="http://schemas.openxmlformats.org/officeDocument/2006/relationships/hyperlink" Target="https://dl.smwcentral.net/33121/n%27sane_studios.zip" TargetMode="External"/><Relationship Id="rId2663" Type="http://schemas.openxmlformats.org/officeDocument/2006/relationships/hyperlink" Target="https://www.smwcentral.net/?a=details&amp;id=38931&amp;p=section" TargetMode="External"/><Relationship Id="rId2870" Type="http://schemas.openxmlformats.org/officeDocument/2006/relationships/hyperlink" Target="https://dl.smwcentral.net/25582/Quest_for_the_Dragon_Coins_%28DEMO%29.zip" TargetMode="External"/><Relationship Id="rId3507" Type="http://schemas.openxmlformats.org/officeDocument/2006/relationships/hyperlink" Target="https://www.smwcentral.net/?a=details&amp;id=41022&amp;p=section" TargetMode="External"/><Relationship Id="rId3714" Type="http://schemas.openxmlformats.org/officeDocument/2006/relationships/hyperlink" Target="https://dl.smwcentral.net/24103/Super%20Mario%2032%20Levels%20%28R4.0%29.zip" TargetMode="External"/><Relationship Id="rId3921" Type="http://schemas.openxmlformats.org/officeDocument/2006/relationships/hyperlink" Target="https://www.smwcentral.net/?a=details&amp;id=4987&amp;p=section" TargetMode="External"/><Relationship Id="rId428" Type="http://schemas.openxmlformats.org/officeDocument/2006/relationships/hyperlink" Target="https://dl.smwcentral.net/29604/Big%20Boo%27s%20Revenge%20-%20Fixed.zip" TargetMode="External"/><Relationship Id="rId635" Type="http://schemas.openxmlformats.org/officeDocument/2006/relationships/hyperlink" Target="https://www.smwcentral.net/?a=details&amp;id=25656&amp;p=section" TargetMode="External"/><Relationship Id="rId842" Type="http://schemas.openxmlformats.org/officeDocument/2006/relationships/hyperlink" Target="https://dl.smwcentral.net/32023/Deja%20Vu%201.3.zip" TargetMode="External"/><Relationship Id="rId1058" Type="http://schemas.openxmlformats.org/officeDocument/2006/relationships/hyperlink" Target="https://dl.smwcentral.net/35429/Feginner_v1.2.zip" TargetMode="External"/><Relationship Id="rId1265" Type="http://schemas.openxmlformats.org/officeDocument/2006/relationships/hyperlink" Target="https://www.smwcentral.net/?a=details&amp;id=41815&amp;p=section" TargetMode="External"/><Relationship Id="rId1472" Type="http://schemas.openxmlformats.org/officeDocument/2006/relationships/hyperlink" Target="https://dl.smwcentral.net/30147/Jouhou.zip" TargetMode="External"/><Relationship Id="rId2109" Type="http://schemas.openxmlformats.org/officeDocument/2006/relationships/hyperlink" Target="https://www.smwcentral.net/?a=details&amp;id=5583&amp;p=section" TargetMode="External"/><Relationship Id="rId2316" Type="http://schemas.openxmlformats.org/officeDocument/2006/relationships/hyperlink" Target="https://dl.smwcentral.net/40966/Mastery%20Shells%202.zip" TargetMode="External"/><Relationship Id="rId2523" Type="http://schemas.openxmlformats.org/officeDocument/2006/relationships/hyperlink" Target="https://www.smwcentral.net/?a=details&amp;id=21541&amp;p=section" TargetMode="External"/><Relationship Id="rId2730" Type="http://schemas.openxmlformats.org/officeDocument/2006/relationships/hyperlink" Target="https://dl.smwcentral.net/41839/PATHMAKERv1.1.zip" TargetMode="External"/><Relationship Id="rId702" Type="http://schemas.openxmlformats.org/officeDocument/2006/relationships/hyperlink" Target="https://dl.smwcentral.net/22988/CMW3_The_Finale_Update.zip" TargetMode="External"/><Relationship Id="rId1125" Type="http://schemas.openxmlformats.org/officeDocument/2006/relationships/hyperlink" Target="https://www.smwcentral.net/?a=details&amp;id=41041&amp;p=section" TargetMode="External"/><Relationship Id="rId1332" Type="http://schemas.openxmlformats.org/officeDocument/2006/relationships/hyperlink" Target="https://dl.smwcentral.net/37692/how%20long%20do%20snails%20sleep%20%28vanilla%2C%20finalhopefully%29.zip" TargetMode="External"/><Relationship Id="rId4488" Type="http://schemas.openxmlformats.org/officeDocument/2006/relationships/hyperlink" Target="https://dl.smwcentral.net/9794/Super%20Skyler%20World.zip" TargetMode="External"/><Relationship Id="rId4695" Type="http://schemas.openxmlformats.org/officeDocument/2006/relationships/hyperlink" Target="https://www.smwcentral.net/?a=details&amp;id=40281&amp;p=section" TargetMode="External"/><Relationship Id="rId3297" Type="http://schemas.openxmlformats.org/officeDocument/2006/relationships/hyperlink" Target="https://www.smwcentral.net/?a=details&amp;id=39188&amp;p=section" TargetMode="External"/><Relationship Id="rId4348" Type="http://schemas.openxmlformats.org/officeDocument/2006/relationships/hyperlink" Target="https://dl.smwcentral.net/41228/NETS%203.zip" TargetMode="External"/><Relationship Id="rId3157" Type="http://schemas.openxmlformats.org/officeDocument/2006/relationships/hyperlink" Target="https://www.smwcentral.net/?a=details&amp;id=27199&amp;p=section" TargetMode="External"/><Relationship Id="rId4555" Type="http://schemas.openxmlformats.org/officeDocument/2006/relationships/hyperlink" Target="https://www.smwcentral.net/?a=details&amp;id=28294&amp;p=section" TargetMode="External"/><Relationship Id="rId4762" Type="http://schemas.openxmlformats.org/officeDocument/2006/relationships/hyperlink" Target="https://dl.smwcentral.net/29661/the-duality-of-mario.zip" TargetMode="External"/><Relationship Id="rId285" Type="http://schemas.openxmlformats.org/officeDocument/2006/relationships/hyperlink" Target="https://www.smwcentral.net/?a=details&amp;id=27829&amp;p=section" TargetMode="External"/><Relationship Id="rId3364" Type="http://schemas.openxmlformats.org/officeDocument/2006/relationships/hyperlink" Target="https://dl.smwcentral.net/31286/Steamboat%20Mario.zip" TargetMode="External"/><Relationship Id="rId3571" Type="http://schemas.openxmlformats.org/officeDocument/2006/relationships/hyperlink" Target="https://www.smwcentral.net/?a=details&amp;id=9964&amp;p=section" TargetMode="External"/><Relationship Id="rId4208" Type="http://schemas.openxmlformats.org/officeDocument/2006/relationships/hyperlink" Target="https://dl.smwcentral.net/42564/Super%20Mario%20World%20-%20The%20Magical%20Golden%20Mushroom%20v1.2.zip" TargetMode="External"/><Relationship Id="rId4415" Type="http://schemas.openxmlformats.org/officeDocument/2006/relationships/hyperlink" Target="https://www.smwcentral.net/?a=details&amp;id=6351&amp;p=section" TargetMode="External"/><Relationship Id="rId4622" Type="http://schemas.openxmlformats.org/officeDocument/2006/relationships/hyperlink" Target="https://dl.smwcentral.net/40708/tajna1.31.zip" TargetMode="External"/><Relationship Id="rId492" Type="http://schemas.openxmlformats.org/officeDocument/2006/relationships/hyperlink" Target="https://dl.smwcentral.net/5241/Bowser%20Rampages%20Again.zip" TargetMode="External"/><Relationship Id="rId2173" Type="http://schemas.openxmlformats.org/officeDocument/2006/relationships/hyperlink" Target="https://www.smwcentral.net/?a=details&amp;id=15797&amp;p=section" TargetMode="External"/><Relationship Id="rId2380" Type="http://schemas.openxmlformats.org/officeDocument/2006/relationships/hyperlink" Target="https://dl.smwcentral.net/24114/Misty%20Out%20There.zip" TargetMode="External"/><Relationship Id="rId3017" Type="http://schemas.openxmlformats.org/officeDocument/2006/relationships/hyperlink" Target="https://www.smwcentral.net/?a=details&amp;id=42274&amp;p=section" TargetMode="External"/><Relationship Id="rId3224" Type="http://schemas.openxmlformats.org/officeDocument/2006/relationships/hyperlink" Target="https://dl.smwcentral.net/5004/SMWR2.zip" TargetMode="External"/><Relationship Id="rId3431" Type="http://schemas.openxmlformats.org/officeDocument/2006/relationships/hyperlink" Target="https://www.smwcentral.net/?a=details&amp;id=9642&amp;p=section" TargetMode="External"/><Relationship Id="rId145" Type="http://schemas.openxmlformats.org/officeDocument/2006/relationships/hyperlink" Target="https://www.smwcentral.net/?a=details&amp;id=28856&amp;p=section" TargetMode="External"/><Relationship Id="rId352" Type="http://schemas.openxmlformats.org/officeDocument/2006/relationships/hyperlink" Target="https://dl.smwcentral.net/29994/Autumn%201.1.zip" TargetMode="External"/><Relationship Id="rId2033" Type="http://schemas.openxmlformats.org/officeDocument/2006/relationships/hyperlink" Target="https://www.smwcentral.net/?a=details&amp;id=9946&amp;p=section" TargetMode="External"/><Relationship Id="rId2240" Type="http://schemas.openxmlformats.org/officeDocument/2006/relationships/hyperlink" Target="https://dl.smwcentral.net/10033/Mario%27s%20Super%20Galactic%20Illusion%20Space%20Time.zip" TargetMode="External"/><Relationship Id="rId5189" Type="http://schemas.openxmlformats.org/officeDocument/2006/relationships/hyperlink" Target="https://www.smwcentral.net/?a=details&amp;id=10120&amp;p=section" TargetMode="External"/><Relationship Id="rId5396" Type="http://schemas.openxmlformats.org/officeDocument/2006/relationships/hyperlink" Target="https://dl.smwcentral.net/15265/Winter%20season.zip" TargetMode="External"/><Relationship Id="rId212" Type="http://schemas.openxmlformats.org/officeDocument/2006/relationships/hyperlink" Target="https://dl.smwcentral.net/41559/Absolute%20Authenticity.zip" TargetMode="External"/><Relationship Id="rId1799" Type="http://schemas.openxmlformats.org/officeDocument/2006/relationships/hyperlink" Target="https://www.smwcentral.net/?a=details&amp;id=13613&amp;p=section" TargetMode="External"/><Relationship Id="rId2100" Type="http://schemas.openxmlformats.org/officeDocument/2006/relationships/hyperlink" Target="https://dl.smwcentral.net/5596/Mario%20Wants%20His%20Lemonade.zip" TargetMode="External"/><Relationship Id="rId5049" Type="http://schemas.openxmlformats.org/officeDocument/2006/relationships/hyperlink" Target="https://www.smwcentral.net/?a=details&amp;id=42594&amp;p=section" TargetMode="External"/><Relationship Id="rId5256" Type="http://schemas.openxmlformats.org/officeDocument/2006/relationships/hyperlink" Target="https://dl.smwcentral.net/6386/UNTITLED%20DOOM%20demo%201.zip" TargetMode="External"/><Relationship Id="rId5463" Type="http://schemas.openxmlformats.org/officeDocument/2006/relationships/hyperlink" Target="https://www.smwcentral.net/?a=details&amp;id=10029&amp;p=section" TargetMode="External"/><Relationship Id="rId4065" Type="http://schemas.openxmlformats.org/officeDocument/2006/relationships/hyperlink" Target="https://www.smwcentral.net/?a=details&amp;id=42545&amp;p=section" TargetMode="External"/><Relationship Id="rId4272" Type="http://schemas.openxmlformats.org/officeDocument/2006/relationships/hyperlink" Target="https://dl.smwcentral.net/5269/Buried%20Treasure.zip" TargetMode="External"/><Relationship Id="rId5116" Type="http://schemas.openxmlformats.org/officeDocument/2006/relationships/hyperlink" Target="https://dl.smwcentral.net/39167/Toad%27s%20World%202%20v1.2%20%28Normal%20%2B%20Hard%20Mode%29.zip" TargetMode="External"/><Relationship Id="rId5323" Type="http://schemas.openxmlformats.org/officeDocument/2006/relationships/hyperlink" Target="https://www.smwcentral.net/?a=details&amp;id=40549&amp;p=section" TargetMode="External"/><Relationship Id="rId1659" Type="http://schemas.openxmlformats.org/officeDocument/2006/relationships/hyperlink" Target="https://www.smwcentral.net/?a=details&amp;id=32220&amp;p=section" TargetMode="External"/><Relationship Id="rId1866" Type="http://schemas.openxmlformats.org/officeDocument/2006/relationships/hyperlink" Target="https://dl.smwcentral.net/23496/Mario%20and%20Luigi%20in%20an%20Unknown%20Island.zip" TargetMode="External"/><Relationship Id="rId2917" Type="http://schemas.openxmlformats.org/officeDocument/2006/relationships/hyperlink" Target="https://www.smwcentral.net/?a=details&amp;id=10173&amp;p=section" TargetMode="External"/><Relationship Id="rId3081" Type="http://schemas.openxmlformats.org/officeDocument/2006/relationships/hyperlink" Target="https://www.smwcentral.net/?a=details&amp;id=42160&amp;p=section" TargetMode="External"/><Relationship Id="rId4132" Type="http://schemas.openxmlformats.org/officeDocument/2006/relationships/hyperlink" Target="https://dl.smwcentral.net/6286/SMWAPI%20v1.1.zip" TargetMode="External"/><Relationship Id="rId1519" Type="http://schemas.openxmlformats.org/officeDocument/2006/relationships/hyperlink" Target="https://www.smwcentral.net/?a=details&amp;id=39746&amp;p=section" TargetMode="External"/><Relationship Id="rId1726" Type="http://schemas.openxmlformats.org/officeDocument/2006/relationships/hyperlink" Target="https://dl.smwcentral.net/9874/Lost%20Dimension.zip" TargetMode="External"/><Relationship Id="rId1933" Type="http://schemas.openxmlformats.org/officeDocument/2006/relationships/hyperlink" Target="https://www.smwcentral.net/?a=details&amp;id=12826&amp;p=section" TargetMode="External"/><Relationship Id="rId18" Type="http://schemas.openxmlformats.org/officeDocument/2006/relationships/hyperlink" Target="https://dl.smwcentral.net/42400/100%20Torment%20of%20Rooms.zip" TargetMode="External"/><Relationship Id="rId3898" Type="http://schemas.openxmlformats.org/officeDocument/2006/relationships/hyperlink" Target="https://dl.smwcentral.net/13608/TatangasReturn2.1.zip" TargetMode="External"/><Relationship Id="rId4949" Type="http://schemas.openxmlformats.org/officeDocument/2006/relationships/hyperlink" Target="https://www.smwcentral.net/?a=details&amp;id=30170&amp;p=section" TargetMode="External"/><Relationship Id="rId3758" Type="http://schemas.openxmlformats.org/officeDocument/2006/relationships/hyperlink" Target="https://dl.smwcentral.net/5400/Super%20Mario%20Bros%202%20Dream%20Courses.zip" TargetMode="External"/><Relationship Id="rId3965" Type="http://schemas.openxmlformats.org/officeDocument/2006/relationships/hyperlink" Target="https://www.smwcentral.net/?a=details&amp;id=5038&amp;p=section" TargetMode="External"/><Relationship Id="rId4809" Type="http://schemas.openxmlformats.org/officeDocument/2006/relationships/hyperlink" Target="https://www.smwcentral.net/?a=details&amp;id=9955&amp;p=section" TargetMode="External"/><Relationship Id="rId679" Type="http://schemas.openxmlformats.org/officeDocument/2006/relationships/hyperlink" Target="https://www.smwcentral.net/?a=details&amp;id=13028&amp;p=section" TargetMode="External"/><Relationship Id="rId886" Type="http://schemas.openxmlformats.org/officeDocument/2006/relationships/hyperlink" Target="https://dl.smwcentral.net/5224/dongs.zip" TargetMode="External"/><Relationship Id="rId2567" Type="http://schemas.openxmlformats.org/officeDocument/2006/relationships/hyperlink" Target="https://www.smwcentral.net/?a=details&amp;id=27734&amp;p=section" TargetMode="External"/><Relationship Id="rId2774" Type="http://schemas.openxmlformats.org/officeDocument/2006/relationships/hyperlink" Target="https://dl.smwcentral.net/42546/Pit%20of%20Gui%21%21%20V1.4%20%28Reformulated%20Version%29.zip" TargetMode="External"/><Relationship Id="rId3618" Type="http://schemas.openxmlformats.org/officeDocument/2006/relationships/hyperlink" Target="https://dl.smwcentral.net/20773/Super%20Kekcroc%20World%202%20A%20Croc%20Throughout%20Time%20Minor%20Update2.zip" TargetMode="External"/><Relationship Id="rId5180" Type="http://schemas.openxmlformats.org/officeDocument/2006/relationships/hyperlink" Target="https://dl.smwcentral.net/28235/tm2.zip" TargetMode="External"/><Relationship Id="rId2" Type="http://schemas.openxmlformats.org/officeDocument/2006/relationships/hyperlink" Target="https://dl.smwcentral.net/40226/%21uppipe.zip" TargetMode="External"/><Relationship Id="rId539" Type="http://schemas.openxmlformats.org/officeDocument/2006/relationships/hyperlink" Target="https://www.smwcentral.net/?a=details&amp;id=21147&amp;p=section" TargetMode="External"/><Relationship Id="rId746" Type="http://schemas.openxmlformats.org/officeDocument/2006/relationships/hyperlink" Target="https://dl.smwcentral.net/35348/CopyAndPaste1_1.zip" TargetMode="External"/><Relationship Id="rId1169" Type="http://schemas.openxmlformats.org/officeDocument/2006/relationships/hyperlink" Target="https://www.smwcentral.net/?a=details&amp;id=32216&amp;p=section" TargetMode="External"/><Relationship Id="rId1376" Type="http://schemas.openxmlformats.org/officeDocument/2006/relationships/hyperlink" Target="https://dl.smwcentral.net/11386/ilusiyellow.zip" TargetMode="External"/><Relationship Id="rId1583" Type="http://schemas.openxmlformats.org/officeDocument/2006/relationships/hyperlink" Target="https://www.smwcentral.net/?a=details&amp;id=25929&amp;p=section" TargetMode="External"/><Relationship Id="rId2427" Type="http://schemas.openxmlformats.org/officeDocument/2006/relationships/hyperlink" Target="https://www.smwcentral.net/?a=details&amp;id=40447&amp;p=section" TargetMode="External"/><Relationship Id="rId2981" Type="http://schemas.openxmlformats.org/officeDocument/2006/relationships/hyperlink" Target="https://www.smwcentral.net/?a=details&amp;id=22112&amp;p=section" TargetMode="External"/><Relationship Id="rId3825" Type="http://schemas.openxmlformats.org/officeDocument/2006/relationships/hyperlink" Target="https://www.smwcentral.net/?a=details&amp;id=26960&amp;p=section" TargetMode="External"/><Relationship Id="rId5040" Type="http://schemas.openxmlformats.org/officeDocument/2006/relationships/hyperlink" Target="https://dl.smwcentral.net/6225/The%20Way%20of%20The%20M%20%28Epsilon%29.zip" TargetMode="External"/><Relationship Id="rId953" Type="http://schemas.openxmlformats.org/officeDocument/2006/relationships/hyperlink" Target="https://www.smwcentral.net/?a=details&amp;id=34383&amp;p=section" TargetMode="External"/><Relationship Id="rId1029" Type="http://schemas.openxmlformats.org/officeDocument/2006/relationships/hyperlink" Target="https://www.smwcentral.net/?a=details&amp;id=28119&amp;p=section" TargetMode="External"/><Relationship Id="rId1236" Type="http://schemas.openxmlformats.org/officeDocument/2006/relationships/hyperlink" Target="https://dl.smwcentral.net/26367/Hack%201%202%203.zip" TargetMode="External"/><Relationship Id="rId1790" Type="http://schemas.openxmlformats.org/officeDocument/2006/relationships/hyperlink" Target="https://dl.smwcentral.net/21799/Luigimiss3full1A.zip" TargetMode="External"/><Relationship Id="rId2634" Type="http://schemas.openxmlformats.org/officeDocument/2006/relationships/hyperlink" Target="https://dl.smwcentral.net/36658/Octopus_v3.zip" TargetMode="External"/><Relationship Id="rId2841" Type="http://schemas.openxmlformats.org/officeDocument/2006/relationships/hyperlink" Target="https://www.smwcentral.net/?a=details&amp;id=21331&amp;p=section" TargetMode="External"/><Relationship Id="rId82" Type="http://schemas.openxmlformats.org/officeDocument/2006/relationships/hyperlink" Target="https://dl.smwcentral.net/38806/9%20Dreams.zip" TargetMode="External"/><Relationship Id="rId606" Type="http://schemas.openxmlformats.org/officeDocument/2006/relationships/hyperlink" Target="https://dl.smwcentral.net/14736/Capttoad1.1.zip" TargetMode="External"/><Relationship Id="rId813" Type="http://schemas.openxmlformats.org/officeDocument/2006/relationships/hyperlink" Target="https://www.smwcentral.net/?a=details&amp;id=33684&amp;p=section" TargetMode="External"/><Relationship Id="rId1443" Type="http://schemas.openxmlformats.org/officeDocument/2006/relationships/hyperlink" Target="https://www.smwcentral.net/?a=details&amp;id=37712&amp;p=section" TargetMode="External"/><Relationship Id="rId1650" Type="http://schemas.openxmlformats.org/officeDocument/2006/relationships/hyperlink" Target="https://dl.smwcentral.net/42458/La%20Connaisseuse%20de%20Kaizo.zip" TargetMode="External"/><Relationship Id="rId2701" Type="http://schemas.openxmlformats.org/officeDocument/2006/relationships/hyperlink" Target="https://www.smwcentral.net/?a=details&amp;id=30972&amp;p=section" TargetMode="External"/><Relationship Id="rId4599" Type="http://schemas.openxmlformats.org/officeDocument/2006/relationships/hyperlink" Target="https://www.smwcentral.net/?a=details&amp;id=9829&amp;p=section" TargetMode="External"/><Relationship Id="rId1303" Type="http://schemas.openxmlformats.org/officeDocument/2006/relationships/hyperlink" Target="https://www.smwcentral.net/?a=details&amp;id=28394&amp;p=section" TargetMode="External"/><Relationship Id="rId1510" Type="http://schemas.openxmlformats.org/officeDocument/2006/relationships/hyperlink" Target="https://dl.smwcentral.net/10495/v1.3.zip" TargetMode="External"/><Relationship Id="rId4459" Type="http://schemas.openxmlformats.org/officeDocument/2006/relationships/hyperlink" Target="https://www.smwcentral.net/?a=details&amp;id=18369&amp;p=section" TargetMode="External"/><Relationship Id="rId4666" Type="http://schemas.openxmlformats.org/officeDocument/2006/relationships/hyperlink" Target="https://dl.smwcentral.net/33142/Ten%20B-Side.zip" TargetMode="External"/><Relationship Id="rId4873" Type="http://schemas.openxmlformats.org/officeDocument/2006/relationships/hyperlink" Target="https://www.smwcentral.net/?a=details&amp;id=34659&amp;p=section" TargetMode="External"/><Relationship Id="rId3268" Type="http://schemas.openxmlformats.org/officeDocument/2006/relationships/hyperlink" Target="https://dl.smwcentral.net/8843/The%20Creator%20%5Bv1.1%5D.zip" TargetMode="External"/><Relationship Id="rId3475" Type="http://schemas.openxmlformats.org/officeDocument/2006/relationships/hyperlink" Target="https://www.smwcentral.net/?a=details&amp;id=10105&amp;p=section" TargetMode="External"/><Relationship Id="rId3682" Type="http://schemas.openxmlformats.org/officeDocument/2006/relationships/hyperlink" Target="https://dl.smwcentral.net/12758/Super%20Luigi%20-%20The%20Regular%20Quest%20DEMO%201.2.zip" TargetMode="External"/><Relationship Id="rId4319" Type="http://schemas.openxmlformats.org/officeDocument/2006/relationships/hyperlink" Target="https://www.smwcentral.net/?a=details&amp;id=38329&amp;p=section" TargetMode="External"/><Relationship Id="rId4526" Type="http://schemas.openxmlformats.org/officeDocument/2006/relationships/hyperlink" Target="https://dl.smwcentral.net/16894/Super%20Tesla%20World%20v1.3.zip" TargetMode="External"/><Relationship Id="rId4733" Type="http://schemas.openxmlformats.org/officeDocument/2006/relationships/hyperlink" Target="https://www.smwcentral.net/?a=details&amp;id=33977&amp;p=section" TargetMode="External"/><Relationship Id="rId4940" Type="http://schemas.openxmlformats.org/officeDocument/2006/relationships/hyperlink" Target="https://dl.smwcentral.net/25186/The%20Princess%20Was%20Kidnapped%20Again%20DEMO.zip" TargetMode="External"/><Relationship Id="rId189" Type="http://schemas.openxmlformats.org/officeDocument/2006/relationships/hyperlink" Target="https://www.smwcentral.net/?a=details&amp;id=20604&amp;p=section" TargetMode="External"/><Relationship Id="rId396" Type="http://schemas.openxmlformats.org/officeDocument/2006/relationships/hyperlink" Target="https://dl.smwcentral.net/28720/Basic%20Mario%202%20BETA.zip" TargetMode="External"/><Relationship Id="rId2077" Type="http://schemas.openxmlformats.org/officeDocument/2006/relationships/hyperlink" Target="https://www.smwcentral.net/?a=details&amp;id=10037&amp;p=section" TargetMode="External"/><Relationship Id="rId2284" Type="http://schemas.openxmlformats.org/officeDocument/2006/relationships/hyperlink" Target="https://dl.smwcentral.net/38969/Marios_Christmas_Adventure.zip" TargetMode="External"/><Relationship Id="rId2491" Type="http://schemas.openxmlformats.org/officeDocument/2006/relationships/hyperlink" Target="https://www.smwcentral.net/?a=details&amp;id=33555&amp;p=section" TargetMode="External"/><Relationship Id="rId3128" Type="http://schemas.openxmlformats.org/officeDocument/2006/relationships/hyperlink" Target="https://dl.smwcentral.net/27802/Short%20%27n%20Sweet%20DemoAnon.zip" TargetMode="External"/><Relationship Id="rId3335" Type="http://schemas.openxmlformats.org/officeDocument/2006/relationships/hyperlink" Target="https://www.smwcentral.net/?a=details&amp;id=38195&amp;p=section" TargetMode="External"/><Relationship Id="rId3542" Type="http://schemas.openxmlformats.org/officeDocument/2006/relationships/hyperlink" Target="https://dl.smwcentral.net/39471/Super%20Foo%20World%20-1.zip" TargetMode="External"/><Relationship Id="rId256" Type="http://schemas.openxmlformats.org/officeDocument/2006/relationships/hyperlink" Target="https://dl.smwcentral.net/38912/Albatros%201.102.zip" TargetMode="External"/><Relationship Id="rId463" Type="http://schemas.openxmlformats.org/officeDocument/2006/relationships/hyperlink" Target="https://www.smwcentral.net/?a=details&amp;id=32466&amp;p=section" TargetMode="External"/><Relationship Id="rId670" Type="http://schemas.openxmlformats.org/officeDocument/2006/relationships/hyperlink" Target="https://dl.smwcentral.net/10151/ChocolateFlavour.zip" TargetMode="External"/><Relationship Id="rId1093" Type="http://schemas.openxmlformats.org/officeDocument/2006/relationships/hyperlink" Target="https://www.smwcentral.net/?a=details&amp;id=38316&amp;p=section" TargetMode="External"/><Relationship Id="rId2144" Type="http://schemas.openxmlformats.org/officeDocument/2006/relationships/hyperlink" Target="https://dl.smwcentral.net/10300/Mario%27s%20Enigmatic%20Tales%20BETA%20Fixed.zip" TargetMode="External"/><Relationship Id="rId2351" Type="http://schemas.openxmlformats.org/officeDocument/2006/relationships/hyperlink" Target="https://www.smwcentral.net/?a=details&amp;id=37167&amp;p=section" TargetMode="External"/><Relationship Id="rId3402" Type="http://schemas.openxmlformats.org/officeDocument/2006/relationships/hyperlink" Target="https://dl.smwcentral.net/10252/SuperMWV4.zip" TargetMode="External"/><Relationship Id="rId4800" Type="http://schemas.openxmlformats.org/officeDocument/2006/relationships/hyperlink" Target="https://dl.smwcentral.net/15202/The_Fragmented_Realm_-_Demo_2.zip" TargetMode="External"/><Relationship Id="rId116" Type="http://schemas.openxmlformats.org/officeDocument/2006/relationships/hyperlink" Target="https://dl.smwcentral.net/26660/A%20Haunted%20Christmas.zip" TargetMode="External"/><Relationship Id="rId323" Type="http://schemas.openxmlformats.org/officeDocument/2006/relationships/hyperlink" Target="https://www.smwcentral.net/?a=details&amp;id=32781&amp;p=section" TargetMode="External"/><Relationship Id="rId530" Type="http://schemas.openxmlformats.org/officeDocument/2006/relationships/hyperlink" Target="https://dl.smwcentral.net/10178/Bowser%27s%20Time%20Machine.zip" TargetMode="External"/><Relationship Id="rId1160" Type="http://schemas.openxmlformats.org/officeDocument/2006/relationships/hyperlink" Target="https://dl.smwcentral.net/15302/Giggle%20world%20%28demo%203%29.zip" TargetMode="External"/><Relationship Id="rId2004" Type="http://schemas.openxmlformats.org/officeDocument/2006/relationships/hyperlink" Target="https://dl.smwcentral.net/18714/Mario%20Kick%20World%20Demo.zip" TargetMode="External"/><Relationship Id="rId2211" Type="http://schemas.openxmlformats.org/officeDocument/2006/relationships/hyperlink" Target="https://www.smwcentral.net/?a=details&amp;id=34166&amp;p=section" TargetMode="External"/><Relationship Id="rId5367" Type="http://schemas.openxmlformats.org/officeDocument/2006/relationships/hyperlink" Target="https://www.smwcentral.net/?a=details&amp;id=38150&amp;p=section" TargetMode="External"/><Relationship Id="rId4176" Type="http://schemas.openxmlformats.org/officeDocument/2006/relationships/hyperlink" Target="https://dl.smwcentral.net/25129/Heres%20the%20Video%20Game%20V2.zip" TargetMode="External"/><Relationship Id="rId1020" Type="http://schemas.openxmlformats.org/officeDocument/2006/relationships/hyperlink" Target="https://dl.smwcentral.net/40635/Evolve%20or%20Die.zip" TargetMode="External"/><Relationship Id="rId1977" Type="http://schemas.openxmlformats.org/officeDocument/2006/relationships/hyperlink" Target="https://www.smwcentral.net/?a=details&amp;id=9828&amp;p=section" TargetMode="External"/><Relationship Id="rId4383" Type="http://schemas.openxmlformats.org/officeDocument/2006/relationships/hyperlink" Target="https://www.smwcentral.net/?a=details&amp;id=24704&amp;p=section" TargetMode="External"/><Relationship Id="rId4590" Type="http://schemas.openxmlformats.org/officeDocument/2006/relationships/hyperlink" Target="https://dl.smwcentral.net/21910/supercontinent1.1.zip" TargetMode="External"/><Relationship Id="rId5227" Type="http://schemas.openxmlformats.org/officeDocument/2006/relationships/hyperlink" Target="https://www.smwcentral.net/?a=details&amp;id=32546&amp;p=section" TargetMode="External"/><Relationship Id="rId5434" Type="http://schemas.openxmlformats.org/officeDocument/2006/relationships/hyperlink" Target="https://dl.smwcentral.net/25198/Yet%20Another%20Super%20Mario%20Adventure%20Demo.zip" TargetMode="External"/><Relationship Id="rId1837" Type="http://schemas.openxmlformats.org/officeDocument/2006/relationships/hyperlink" Target="https://www.smwcentral.net/?a=details&amp;id=38927&amp;p=section" TargetMode="External"/><Relationship Id="rId3192" Type="http://schemas.openxmlformats.org/officeDocument/2006/relationships/hyperlink" Target="https://dl.smwcentral.net/42687/Smoked%20Fish%20and%20Cabbage%202%20v1.1.zip" TargetMode="External"/><Relationship Id="rId4036" Type="http://schemas.openxmlformats.org/officeDocument/2006/relationships/hyperlink" Target="https://dl.smwcentral.net/10138/Super%20Mario%20World%20patch.zip" TargetMode="External"/><Relationship Id="rId4243" Type="http://schemas.openxmlformats.org/officeDocument/2006/relationships/hyperlink" Target="https://www.smwcentral.net/?a=details&amp;id=22082&amp;p=section" TargetMode="External"/><Relationship Id="rId4450" Type="http://schemas.openxmlformats.org/officeDocument/2006/relationships/hyperlink" Target="https://dl.smwcentral.net/18529/Super%20Run%20World%20v1.2.zip" TargetMode="External"/><Relationship Id="rId3052" Type="http://schemas.openxmlformats.org/officeDocument/2006/relationships/hyperlink" Target="https://dl.smwcentral.net/33861/SeekTheDiscrepancy.zip" TargetMode="External"/><Relationship Id="rId4103" Type="http://schemas.openxmlformats.org/officeDocument/2006/relationships/hyperlink" Target="https://www.smwcentral.net/?a=details&amp;id=26478&amp;p=section" TargetMode="External"/><Relationship Id="rId4310" Type="http://schemas.openxmlformats.org/officeDocument/2006/relationships/hyperlink" Target="https://dl.smwcentral.net/42645/SMTQFB_v1.3.zip" TargetMode="External"/><Relationship Id="rId180" Type="http://schemas.openxmlformats.org/officeDocument/2006/relationships/hyperlink" Target="https://dl.smwcentral.net/5031/AStrangeMission.zip" TargetMode="External"/><Relationship Id="rId1904" Type="http://schemas.openxmlformats.org/officeDocument/2006/relationships/hyperlink" Target="https://dl.smwcentral.net/9810/Mario%20and%20the%20stolen%20Yoshi%20egg.zip" TargetMode="External"/><Relationship Id="rId3869" Type="http://schemas.openxmlformats.org/officeDocument/2006/relationships/hyperlink" Target="https://www.smwcentral.net/?a=details&amp;id=35232&amp;p=section" TargetMode="External"/><Relationship Id="rId5084" Type="http://schemas.openxmlformats.org/officeDocument/2006/relationships/hyperlink" Target="https://dl.smwcentral.net/39398/TIME%20UP.zip" TargetMode="External"/><Relationship Id="rId5291" Type="http://schemas.openxmlformats.org/officeDocument/2006/relationships/hyperlink" Target="https://www.smwcentral.net/?a=details&amp;id=38882&amp;p=section" TargetMode="External"/><Relationship Id="rId997" Type="http://schemas.openxmlformats.org/officeDocument/2006/relationships/hyperlink" Target="https://www.smwcentral.net/?a=details&amp;id=31318&amp;p=section" TargetMode="External"/><Relationship Id="rId2678" Type="http://schemas.openxmlformats.org/officeDocument/2006/relationships/hyperlink" Target="https://dl.smwcentral.net/28356/Oops%2C%20All%20Grasslands.zip" TargetMode="External"/><Relationship Id="rId2885" Type="http://schemas.openxmlformats.org/officeDocument/2006/relationships/hyperlink" Target="https://www.smwcentral.net/?a=details&amp;id=36598&amp;p=section" TargetMode="External"/><Relationship Id="rId3729" Type="http://schemas.openxmlformats.org/officeDocument/2006/relationships/hyperlink" Target="https://www.smwcentral.net/?a=details&amp;id=20201&amp;p=section" TargetMode="External"/><Relationship Id="rId3936" Type="http://schemas.openxmlformats.org/officeDocument/2006/relationships/hyperlink" Target="https://dl.smwcentral.net/11428/Super%20Mario%20Quest.zip" TargetMode="External"/><Relationship Id="rId5151" Type="http://schemas.openxmlformats.org/officeDocument/2006/relationships/hyperlink" Target="https://www.smwcentral.net/?a=details&amp;id=38036&amp;p=section" TargetMode="External"/><Relationship Id="rId857" Type="http://schemas.openxmlformats.org/officeDocument/2006/relationships/hyperlink" Target="https://www.smwcentral.net/?a=details&amp;id=38888&amp;p=section" TargetMode="External"/><Relationship Id="rId1487" Type="http://schemas.openxmlformats.org/officeDocument/2006/relationships/hyperlink" Target="https://www.smwcentral.net/?a=details&amp;id=19720&amp;p=section" TargetMode="External"/><Relationship Id="rId1694" Type="http://schemas.openxmlformats.org/officeDocument/2006/relationships/hyperlink" Target="https://dl.smwcentral.net/42544/LAG.zip" TargetMode="External"/><Relationship Id="rId2538" Type="http://schemas.openxmlformats.org/officeDocument/2006/relationships/hyperlink" Target="https://dl.smwcentral.net/29486/Newbie%20Kaizo%20World%20v2.zip" TargetMode="External"/><Relationship Id="rId2745" Type="http://schemas.openxmlformats.org/officeDocument/2006/relationships/hyperlink" Target="https://www.smwcentral.net/?a=details&amp;id=38173&amp;p=section" TargetMode="External"/><Relationship Id="rId2952" Type="http://schemas.openxmlformats.org/officeDocument/2006/relationships/hyperlink" Target="https://dl.smwcentral.net/32290/Rikaizo%20Shells%201.1.zip" TargetMode="External"/><Relationship Id="rId717" Type="http://schemas.openxmlformats.org/officeDocument/2006/relationships/hyperlink" Target="https://www.smwcentral.net/?a=details&amp;id=5963&amp;p=section" TargetMode="External"/><Relationship Id="rId924" Type="http://schemas.openxmlformats.org/officeDocument/2006/relationships/hyperlink" Target="https://dl.smwcentral.net/19263/Duck%20Island.zip" TargetMode="External"/><Relationship Id="rId1347" Type="http://schemas.openxmlformats.org/officeDocument/2006/relationships/hyperlink" Target="https://www.smwcentral.net/?a=details&amp;id=30143&amp;p=section" TargetMode="External"/><Relationship Id="rId1554" Type="http://schemas.openxmlformats.org/officeDocument/2006/relationships/hyperlink" Target="https://dl.smwcentral.net/41561/Notam.zip" TargetMode="External"/><Relationship Id="rId1761" Type="http://schemas.openxmlformats.org/officeDocument/2006/relationships/hyperlink" Target="https://www.smwcentral.net/?a=details&amp;id=10212&amp;p=section" TargetMode="External"/><Relationship Id="rId2605" Type="http://schemas.openxmlformats.org/officeDocument/2006/relationships/hyperlink" Target="https://www.smwcentral.net/?a=details&amp;id=17088&amp;p=section" TargetMode="External"/><Relationship Id="rId2812" Type="http://schemas.openxmlformats.org/officeDocument/2006/relationships/hyperlink" Target="https://dl.smwcentral.net/38118/pjcafe.zip" TargetMode="External"/><Relationship Id="rId5011" Type="http://schemas.openxmlformats.org/officeDocument/2006/relationships/hyperlink" Target="https://www.smwcentral.net/?a=details&amp;id=9960&amp;p=section" TargetMode="External"/><Relationship Id="rId53" Type="http://schemas.openxmlformats.org/officeDocument/2006/relationships/hyperlink" Target="https://www.smwcentral.net/?a=details&amp;id=9893&amp;p=section" TargetMode="External"/><Relationship Id="rId1207" Type="http://schemas.openxmlformats.org/officeDocument/2006/relationships/hyperlink" Target="https://www.smwcentral.net/?a=details&amp;id=32301&amp;p=section" TargetMode="External"/><Relationship Id="rId1414" Type="http://schemas.openxmlformats.org/officeDocument/2006/relationships/hyperlink" Target="https://dl.smwcentral.net/26184/INSOMNIA1.1.zip" TargetMode="External"/><Relationship Id="rId1621" Type="http://schemas.openxmlformats.org/officeDocument/2006/relationships/hyperlink" Target="https://www.smwcentral.net/?a=details&amp;id=31405&amp;p=section" TargetMode="External"/><Relationship Id="rId4777" Type="http://schemas.openxmlformats.org/officeDocument/2006/relationships/hyperlink" Target="https://www.smwcentral.net/?a=details&amp;id=33105&amp;p=section" TargetMode="External"/><Relationship Id="rId4984" Type="http://schemas.openxmlformats.org/officeDocument/2006/relationships/hyperlink" Target="https://dl.smwcentral.net/9902/The%20Secret%20of%20the%20Switches%20%28Demo%201.1%29.zip" TargetMode="External"/><Relationship Id="rId3379" Type="http://schemas.openxmlformats.org/officeDocument/2006/relationships/hyperlink" Target="https://www.smwcentral.net/?a=details&amp;id=4975&amp;p=section" TargetMode="External"/><Relationship Id="rId3586" Type="http://schemas.openxmlformats.org/officeDocument/2006/relationships/hyperlink" Target="https://dl.smwcentral.net/28570/Super_Husky_World_1.1.zip" TargetMode="External"/><Relationship Id="rId3793" Type="http://schemas.openxmlformats.org/officeDocument/2006/relationships/hyperlink" Target="https://www.smwcentral.net/?a=details&amp;id=9894&amp;p=section" TargetMode="External"/><Relationship Id="rId4637" Type="http://schemas.openxmlformats.org/officeDocument/2006/relationships/hyperlink" Target="https://www.smwcentral.net/?a=details&amp;id=27304&amp;p=section" TargetMode="External"/><Relationship Id="rId2188" Type="http://schemas.openxmlformats.org/officeDocument/2006/relationships/hyperlink" Target="https://dl.smwcentral.net/38098/MariosMisadventures1.4.3.zip" TargetMode="External"/><Relationship Id="rId2395" Type="http://schemas.openxmlformats.org/officeDocument/2006/relationships/hyperlink" Target="https://www.smwcentral.net/?a=details&amp;id=25624&amp;p=section" TargetMode="External"/><Relationship Id="rId3239" Type="http://schemas.openxmlformats.org/officeDocument/2006/relationships/hyperlink" Target="https://www.smwcentral.net/?a=details&amp;id=31145&amp;p=section" TargetMode="External"/><Relationship Id="rId3446" Type="http://schemas.openxmlformats.org/officeDocument/2006/relationships/hyperlink" Target="https://dl.smwcentral.net/30424/Super%20Chambo%20World%201.1.zip" TargetMode="External"/><Relationship Id="rId4844" Type="http://schemas.openxmlformats.org/officeDocument/2006/relationships/hyperlink" Target="https://dl.smwcentral.net/13496/The%20Hooray%21%20-%20Fishing%20Season%20%28v1.01.1%29.zip" TargetMode="External"/><Relationship Id="rId367" Type="http://schemas.openxmlformats.org/officeDocument/2006/relationships/hyperlink" Target="https://www.smwcentral.net/?a=details&amp;id=5277&amp;p=section" TargetMode="External"/><Relationship Id="rId574" Type="http://schemas.openxmlformats.org/officeDocument/2006/relationships/hyperlink" Target="https://dl.smwcentral.net/38340/BurningStar2Deluxe.zip" TargetMode="External"/><Relationship Id="rId2048" Type="http://schemas.openxmlformats.org/officeDocument/2006/relationships/hyperlink" Target="https://dl.smwcentral.net/5982/MRTYI%20demo.zip" TargetMode="External"/><Relationship Id="rId2255" Type="http://schemas.openxmlformats.org/officeDocument/2006/relationships/hyperlink" Target="https://www.smwcentral.net/?a=details&amp;id=5551&amp;p=section" TargetMode="External"/><Relationship Id="rId3653" Type="http://schemas.openxmlformats.org/officeDocument/2006/relationships/hyperlink" Target="https://www.smwcentral.net/?a=details&amp;id=30838&amp;p=section" TargetMode="External"/><Relationship Id="rId3860" Type="http://schemas.openxmlformats.org/officeDocument/2006/relationships/hyperlink" Target="https://dl.smwcentral.net/19560/smfooland34.zip" TargetMode="External"/><Relationship Id="rId4704" Type="http://schemas.openxmlformats.org/officeDocument/2006/relationships/hyperlink" Target="https://dl.smwcentral.net/38000/vldc6%20v1.1.zip" TargetMode="External"/><Relationship Id="rId4911" Type="http://schemas.openxmlformats.org/officeDocument/2006/relationships/hyperlink" Target="https://www.smwcentral.net/?a=details&amp;id=9695&amp;p=section" TargetMode="External"/><Relationship Id="rId227" Type="http://schemas.openxmlformats.org/officeDocument/2006/relationships/hyperlink" Target="https://www.smwcentral.net/?a=details&amp;id=41808&amp;p=section" TargetMode="External"/><Relationship Id="rId781" Type="http://schemas.openxmlformats.org/officeDocument/2006/relationships/hyperlink" Target="https://www.smwcentral.net/?a=details&amp;id=38571&amp;p=section" TargetMode="External"/><Relationship Id="rId2462" Type="http://schemas.openxmlformats.org/officeDocument/2006/relationships/hyperlink" Target="https://dl.smwcentral.net/5166/Nador%20Quest%20%28demo%202%29.zip" TargetMode="External"/><Relationship Id="rId3306" Type="http://schemas.openxmlformats.org/officeDocument/2006/relationships/hyperlink" Target="https://dl.smwcentral.net/31961/sortesbiblicae1.666.zip" TargetMode="External"/><Relationship Id="rId3513" Type="http://schemas.openxmlformats.org/officeDocument/2006/relationships/hyperlink" Target="https://www.smwcentral.net/?a=details&amp;id=17625&amp;p=section" TargetMode="External"/><Relationship Id="rId3720" Type="http://schemas.openxmlformats.org/officeDocument/2006/relationships/hyperlink" Target="https://dl.smwcentral.net/5248/SMA%20Demo%201.zip" TargetMode="External"/><Relationship Id="rId434" Type="http://schemas.openxmlformats.org/officeDocument/2006/relationships/hyperlink" Target="https://dl.smwcentral.net/14999/BiobsChallenge.zip" TargetMode="External"/><Relationship Id="rId641" Type="http://schemas.openxmlformats.org/officeDocument/2006/relationships/hyperlink" Target="https://www.smwcentral.net/?a=details&amp;id=29613&amp;p=section" TargetMode="External"/><Relationship Id="rId1064" Type="http://schemas.openxmlformats.org/officeDocument/2006/relationships/hyperlink" Target="https://dl.smwcentral.net/18831/First%20Foray%20C3%20Demo%20v1.1.zip" TargetMode="External"/><Relationship Id="rId1271" Type="http://schemas.openxmlformats.org/officeDocument/2006/relationships/hyperlink" Target="https://www.smwcentral.net/?a=details&amp;id=39974&amp;p=section" TargetMode="External"/><Relationship Id="rId2115" Type="http://schemas.openxmlformats.org/officeDocument/2006/relationships/hyperlink" Target="https://www.smwcentral.net/?a=details&amp;id=5564&amp;p=section" TargetMode="External"/><Relationship Id="rId2322" Type="http://schemas.openxmlformats.org/officeDocument/2006/relationships/hyperlink" Target="https://dl.smwcentral.net/37517/Med%27s%20World%20A%20Stick%27s%20Birthday.zip" TargetMode="External"/><Relationship Id="rId5478" Type="http://schemas.openxmlformats.org/officeDocument/2006/relationships/hyperlink" Target="https://dl.smwcentral.net/23778/YUMP%202.zip" TargetMode="External"/><Relationship Id="rId501" Type="http://schemas.openxmlformats.org/officeDocument/2006/relationships/hyperlink" Target="https://www.smwcentral.net/?a=details&amp;id=9877&amp;p=section" TargetMode="External"/><Relationship Id="rId1131" Type="http://schemas.openxmlformats.org/officeDocument/2006/relationships/hyperlink" Target="https://www.smwcentral.net/?a=details&amp;id=32819&amp;p=section" TargetMode="External"/><Relationship Id="rId4287" Type="http://schemas.openxmlformats.org/officeDocument/2006/relationships/hyperlink" Target="https://www.smwcentral.net/?a=details&amp;id=6274&amp;p=section" TargetMode="External"/><Relationship Id="rId4494" Type="http://schemas.openxmlformats.org/officeDocument/2006/relationships/hyperlink" Target="https://dl.smwcentral.net/24342/Super_Smile_Face_World.zip" TargetMode="External"/><Relationship Id="rId5338" Type="http://schemas.openxmlformats.org/officeDocument/2006/relationships/hyperlink" Target="https://dl.smwcentral.net/27018/WaluigiRoad01.zip" TargetMode="External"/><Relationship Id="rId3096" Type="http://schemas.openxmlformats.org/officeDocument/2006/relationships/hyperlink" Target="https://dl.smwcentral.net/41048/Shellab.zip" TargetMode="External"/><Relationship Id="rId4147" Type="http://schemas.openxmlformats.org/officeDocument/2006/relationships/hyperlink" Target="https://www.smwcentral.net/?a=details&amp;id=21677&amp;p=section" TargetMode="External"/><Relationship Id="rId4354" Type="http://schemas.openxmlformats.org/officeDocument/2006/relationships/hyperlink" Target="https://dl.smwcentral.net/39725/SuperNanaWorld.zip" TargetMode="External"/><Relationship Id="rId4561" Type="http://schemas.openxmlformats.org/officeDocument/2006/relationships/hyperlink" Target="https://www.smwcentral.net/?a=details&amp;id=23049&amp;p=section" TargetMode="External"/><Relationship Id="rId5405" Type="http://schemas.openxmlformats.org/officeDocument/2006/relationships/hyperlink" Target="https://www.smwcentral.net/?a=details&amp;id=26447&amp;p=section" TargetMode="External"/><Relationship Id="rId1948" Type="http://schemas.openxmlformats.org/officeDocument/2006/relationships/hyperlink" Target="https://dl.smwcentral.net/10075/Mario%20Got%20Bored.zip" TargetMode="External"/><Relationship Id="rId3163" Type="http://schemas.openxmlformats.org/officeDocument/2006/relationships/hyperlink" Target="https://www.smwcentral.net/?a=details&amp;id=37886&amp;p=section" TargetMode="External"/><Relationship Id="rId3370" Type="http://schemas.openxmlformats.org/officeDocument/2006/relationships/hyperlink" Target="https://dl.smwcentral.net/17105/mice.zip" TargetMode="External"/><Relationship Id="rId4007" Type="http://schemas.openxmlformats.org/officeDocument/2006/relationships/hyperlink" Target="https://www.smwcentral.net/?a=details&amp;id=15266&amp;p=section" TargetMode="External"/><Relationship Id="rId4214" Type="http://schemas.openxmlformats.org/officeDocument/2006/relationships/hyperlink" Target="https://dl.smwcentral.net/9643/Mario%20the%20meteor.zip" TargetMode="External"/><Relationship Id="rId4421" Type="http://schemas.openxmlformats.org/officeDocument/2006/relationships/hyperlink" Target="https://www.smwcentral.net/?a=details&amp;id=17292&amp;p=section" TargetMode="External"/><Relationship Id="rId291" Type="http://schemas.openxmlformats.org/officeDocument/2006/relationships/hyperlink" Target="https://www.smwcentral.net/?a=details&amp;id=33435&amp;p=section" TargetMode="External"/><Relationship Id="rId1808" Type="http://schemas.openxmlformats.org/officeDocument/2006/relationships/hyperlink" Target="https://dl.smwcentral.net/28951/Luminescent%20v1.02.zip" TargetMode="External"/><Relationship Id="rId3023" Type="http://schemas.openxmlformats.org/officeDocument/2006/relationships/hyperlink" Target="https://www.smwcentral.net/?a=details&amp;id=22102&amp;p=section" TargetMode="External"/><Relationship Id="rId151" Type="http://schemas.openxmlformats.org/officeDocument/2006/relationships/hyperlink" Target="https://www.smwcentral.net/?a=details&amp;id=21253&amp;p=section" TargetMode="External"/><Relationship Id="rId3230" Type="http://schemas.openxmlformats.org/officeDocument/2006/relationships/hyperlink" Target="https://dl.smwcentral.net/22627/skill2demo.zip" TargetMode="External"/><Relationship Id="rId5195" Type="http://schemas.openxmlformats.org/officeDocument/2006/relationships/hyperlink" Target="https://www.smwcentral.net/?a=details&amp;id=23741&amp;p=section" TargetMode="External"/><Relationship Id="rId2789" Type="http://schemas.openxmlformats.org/officeDocument/2006/relationships/hyperlink" Target="https://www.smwcentral.net/?a=details&amp;id=41584&amp;p=section" TargetMode="External"/><Relationship Id="rId2996" Type="http://schemas.openxmlformats.org/officeDocument/2006/relationships/hyperlink" Target="https://dl.smwcentral.net/10272/Rozen%20Maiden%20%28The%20Lapislazuri%20Travel%29%20%28Demo%29.zip" TargetMode="External"/><Relationship Id="rId968" Type="http://schemas.openxmlformats.org/officeDocument/2006/relationships/hyperlink" Target="https://dl.smwcentral.net/19167/snakes1.05.zip" TargetMode="External"/><Relationship Id="rId1598" Type="http://schemas.openxmlformats.org/officeDocument/2006/relationships/hyperlink" Target="https://dl.smwcentral.net/33016/KOK.zip" TargetMode="External"/><Relationship Id="rId2649" Type="http://schemas.openxmlformats.org/officeDocument/2006/relationships/hyperlink" Target="https://www.smwcentral.net/?a=details&amp;id=39508&amp;p=section" TargetMode="External"/><Relationship Id="rId2856" Type="http://schemas.openxmlformats.org/officeDocument/2006/relationships/hyperlink" Target="https://dl.smwcentral.net/35878/PropL-R%20Block.zip" TargetMode="External"/><Relationship Id="rId3907" Type="http://schemas.openxmlformats.org/officeDocument/2006/relationships/hyperlink" Target="https://www.smwcentral.net/?a=details&amp;id=17005&amp;p=section" TargetMode="External"/><Relationship Id="rId5055" Type="http://schemas.openxmlformats.org/officeDocument/2006/relationships/hyperlink" Target="https://www.smwcentral.net/?a=details&amp;id=28936&amp;p=section" TargetMode="External"/><Relationship Id="rId5262" Type="http://schemas.openxmlformats.org/officeDocument/2006/relationships/hyperlink" Target="https://dl.smwcentral.net/37640/What%27sUpDog.zip" TargetMode="External"/><Relationship Id="rId97" Type="http://schemas.openxmlformats.org/officeDocument/2006/relationships/hyperlink" Target="https://www.smwcentral.net/?a=details&amp;id=38259&amp;p=section" TargetMode="External"/><Relationship Id="rId828" Type="http://schemas.openxmlformats.org/officeDocument/2006/relationships/hyperlink" Target="https://dl.smwcentral.net/27165/Death%20of%20a%20Plumber%201.2.zip" TargetMode="External"/><Relationship Id="rId1458" Type="http://schemas.openxmlformats.org/officeDocument/2006/relationships/hyperlink" Target="https://dl.smwcentral.net/38753/JinRokhsAdventure.zip" TargetMode="External"/><Relationship Id="rId1665" Type="http://schemas.openxmlformats.org/officeDocument/2006/relationships/hyperlink" Target="https://www.smwcentral.net/?a=details&amp;id=28942&amp;p=section" TargetMode="External"/><Relationship Id="rId1872" Type="http://schemas.openxmlformats.org/officeDocument/2006/relationships/hyperlink" Target="https://dl.smwcentral.net/10137/Mario%20and%20Luigi%20MEGA%20Adventure%201%20Demo%202.0.zip" TargetMode="External"/><Relationship Id="rId2509" Type="http://schemas.openxmlformats.org/officeDocument/2006/relationships/hyperlink" Target="https://www.smwcentral.net/?a=details&amp;id=16558&amp;p=section" TargetMode="External"/><Relationship Id="rId2716" Type="http://schemas.openxmlformats.org/officeDocument/2006/relationships/hyperlink" Target="https://dl.smwcentral.net/20091/Kaizo%20Kindergarten%20v1.09.zip" TargetMode="External"/><Relationship Id="rId4071" Type="http://schemas.openxmlformats.org/officeDocument/2006/relationships/hyperlink" Target="https://www.smwcentral.net/?a=details&amp;id=21996&amp;p=section" TargetMode="External"/><Relationship Id="rId5122" Type="http://schemas.openxmlformats.org/officeDocument/2006/relationships/hyperlink" Target="https://dl.smwcentral.net/28264/Toadventure.zip" TargetMode="External"/><Relationship Id="rId1318" Type="http://schemas.openxmlformats.org/officeDocument/2006/relationships/hyperlink" Target="https://dl.smwcentral.net/22131/Hope%27s%20Wind.zip" TargetMode="External"/><Relationship Id="rId1525" Type="http://schemas.openxmlformats.org/officeDocument/2006/relationships/hyperlink" Target="https://www.smwcentral.net/?a=details&amp;id=28577&amp;p=section" TargetMode="External"/><Relationship Id="rId2923" Type="http://schemas.openxmlformats.org/officeDocument/2006/relationships/hyperlink" Target="https://www.smwcentral.net/?a=details&amp;id=10233&amp;p=section" TargetMode="External"/><Relationship Id="rId1732" Type="http://schemas.openxmlformats.org/officeDocument/2006/relationships/hyperlink" Target="https://dl.smwcentral.net/9890/lost%20in%20yoshi%27s%20island%20remix.zip" TargetMode="External"/><Relationship Id="rId4888" Type="http://schemas.openxmlformats.org/officeDocument/2006/relationships/hyperlink" Target="https://dl.smwcentral.net/5603/The%20Lost%20Woods.zip" TargetMode="External"/><Relationship Id="rId24" Type="http://schemas.openxmlformats.org/officeDocument/2006/relationships/hyperlink" Target="https://dl.smwcentral.net/25843/12DAY.zip" TargetMode="External"/><Relationship Id="rId2299" Type="http://schemas.openxmlformats.org/officeDocument/2006/relationships/hyperlink" Target="https://www.smwcentral.net/?a=details&amp;id=29146&amp;p=section" TargetMode="External"/><Relationship Id="rId3697" Type="http://schemas.openxmlformats.org/officeDocument/2006/relationships/hyperlink" Target="https://www.smwcentral.net/?a=details&amp;id=21832&amp;p=section" TargetMode="External"/><Relationship Id="rId4748" Type="http://schemas.openxmlformats.org/officeDocument/2006/relationships/hyperlink" Target="https://dl.smwcentral.net/41949/The%20Crimson%20Castle.zip" TargetMode="External"/><Relationship Id="rId4955" Type="http://schemas.openxmlformats.org/officeDocument/2006/relationships/hyperlink" Target="https://www.smwcentral.net/?a=details&amp;id=9909&amp;p=section" TargetMode="External"/><Relationship Id="rId3557" Type="http://schemas.openxmlformats.org/officeDocument/2006/relationships/hyperlink" Target="https://www.smwcentral.net/?a=details&amp;id=29056&amp;p=section" TargetMode="External"/><Relationship Id="rId3764" Type="http://schemas.openxmlformats.org/officeDocument/2006/relationships/hyperlink" Target="https://dl.smwcentral.net/9696/smbthecastle.zip" TargetMode="External"/><Relationship Id="rId3971" Type="http://schemas.openxmlformats.org/officeDocument/2006/relationships/hyperlink" Target="https://www.smwcentral.net/?a=details&amp;id=28587&amp;p=section" TargetMode="External"/><Relationship Id="rId4608" Type="http://schemas.openxmlformats.org/officeDocument/2006/relationships/hyperlink" Target="https://dl.smwcentral.net/30971/SV%20State%20World.zip" TargetMode="External"/><Relationship Id="rId4815" Type="http://schemas.openxmlformats.org/officeDocument/2006/relationships/hyperlink" Target="https://www.smwcentral.net/?a=details&amp;id=14671&amp;p=section" TargetMode="External"/><Relationship Id="rId478" Type="http://schemas.openxmlformats.org/officeDocument/2006/relationships/hyperlink" Target="https://dl.smwcentral.net/39679/boot.zip" TargetMode="External"/><Relationship Id="rId685" Type="http://schemas.openxmlformats.org/officeDocument/2006/relationships/hyperlink" Target="https://www.smwcentral.net/?a=details&amp;id=38522&amp;p=section" TargetMode="External"/><Relationship Id="rId892" Type="http://schemas.openxmlformats.org/officeDocument/2006/relationships/hyperlink" Target="https://dl.smwcentral.net/39212/DK4%20Rise%20and%20Repeat.zip" TargetMode="External"/><Relationship Id="rId2159" Type="http://schemas.openxmlformats.org/officeDocument/2006/relationships/hyperlink" Target="https://www.smwcentral.net/?a=details&amp;id=28978&amp;p=section" TargetMode="External"/><Relationship Id="rId2366" Type="http://schemas.openxmlformats.org/officeDocument/2006/relationships/hyperlink" Target="https://dl.smwcentral.net/32943/Mini%20Kaizo.zip" TargetMode="External"/><Relationship Id="rId2573" Type="http://schemas.openxmlformats.org/officeDocument/2006/relationships/hyperlink" Target="https://www.smwcentral.net/?a=details&amp;id=31053&amp;p=section" TargetMode="External"/><Relationship Id="rId2780" Type="http://schemas.openxmlformats.org/officeDocument/2006/relationships/hyperlink" Target="https://dl.smwcentral.net/35328/Pit_Of_RTA.zip" TargetMode="External"/><Relationship Id="rId3417" Type="http://schemas.openxmlformats.org/officeDocument/2006/relationships/hyperlink" Target="https://www.smwcentral.net/?a=details&amp;id=34508&amp;p=section" TargetMode="External"/><Relationship Id="rId3624" Type="http://schemas.openxmlformats.org/officeDocument/2006/relationships/hyperlink" Target="https://dl.smwcentral.net/19910/SKB1.1.zip" TargetMode="External"/><Relationship Id="rId3831" Type="http://schemas.openxmlformats.org/officeDocument/2006/relationships/hyperlink" Target="https://www.smwcentral.net/?a=details&amp;id=20166&amp;p=section" TargetMode="External"/><Relationship Id="rId338" Type="http://schemas.openxmlformats.org/officeDocument/2006/relationships/hyperlink" Target="https://dl.smwcentral.net/39637/Arkin.zip" TargetMode="External"/><Relationship Id="rId545" Type="http://schemas.openxmlformats.org/officeDocument/2006/relationships/hyperlink" Target="https://www.smwcentral.net/?a=details&amp;id=20443&amp;p=section" TargetMode="External"/><Relationship Id="rId752" Type="http://schemas.openxmlformats.org/officeDocument/2006/relationships/hyperlink" Target="https://dl.smwcentral.net/39939/Cosmic%20Expedition%201.2.zip" TargetMode="External"/><Relationship Id="rId1175" Type="http://schemas.openxmlformats.org/officeDocument/2006/relationships/hyperlink" Target="https://www.smwcentral.net/?a=details&amp;id=38711&amp;p=section" TargetMode="External"/><Relationship Id="rId1382" Type="http://schemas.openxmlformats.org/officeDocument/2006/relationships/hyperlink" Target="https://dl.smwcentral.net/38900/In%20Absentia%20of%20Knowing%20%281.0%29.zip" TargetMode="External"/><Relationship Id="rId2019" Type="http://schemas.openxmlformats.org/officeDocument/2006/relationships/hyperlink" Target="https://www.smwcentral.net/?a=details&amp;id=32691&amp;p=section" TargetMode="External"/><Relationship Id="rId2226" Type="http://schemas.openxmlformats.org/officeDocument/2006/relationships/hyperlink" Target="https://dl.smwcentral.net/33606/Mario%27s_Ruined_Seclusion_1.0.0.zip" TargetMode="External"/><Relationship Id="rId2433" Type="http://schemas.openxmlformats.org/officeDocument/2006/relationships/hyperlink" Target="https://www.smwcentral.net/?a=details&amp;id=25216&amp;p=section" TargetMode="External"/><Relationship Id="rId2640" Type="http://schemas.openxmlformats.org/officeDocument/2006/relationships/hyperlink" Target="https://dl.smwcentral.net/38848/OdeToTheOriginalSin.zip" TargetMode="External"/><Relationship Id="rId405" Type="http://schemas.openxmlformats.org/officeDocument/2006/relationships/hyperlink" Target="https://www.smwcentral.net/?a=details&amp;id=41268&amp;p=section" TargetMode="External"/><Relationship Id="rId612" Type="http://schemas.openxmlformats.org/officeDocument/2006/relationships/hyperlink" Target="https://dl.smwcentral.net/22475/Carls_Toilet.zip" TargetMode="External"/><Relationship Id="rId1035" Type="http://schemas.openxmlformats.org/officeDocument/2006/relationships/hyperlink" Target="https://www.smwcentral.net/?a=details&amp;id=14531&amp;p=section" TargetMode="External"/><Relationship Id="rId1242" Type="http://schemas.openxmlformats.org/officeDocument/2006/relationships/hyperlink" Target="https://dl.smwcentral.net/11495/Hack%203%20Release.zip" TargetMode="External"/><Relationship Id="rId2500" Type="http://schemas.openxmlformats.org/officeDocument/2006/relationships/hyperlink" Target="https://dl.smwcentral.net/9871/NRMB.zip" TargetMode="External"/><Relationship Id="rId4398" Type="http://schemas.openxmlformats.org/officeDocument/2006/relationships/hyperlink" Target="https://dl.smwcentral.net/41828/Super%20Ordinary%20World.zip" TargetMode="External"/><Relationship Id="rId5449" Type="http://schemas.openxmlformats.org/officeDocument/2006/relationships/hyperlink" Target="https://www.smwcentral.net/?a=details&amp;id=34071&amp;p=section" TargetMode="External"/><Relationship Id="rId1102" Type="http://schemas.openxmlformats.org/officeDocument/2006/relationships/hyperlink" Target="https://dl.smwcentral.net/35861/Free%20Verse%20For%20Sara.zip" TargetMode="External"/><Relationship Id="rId4258" Type="http://schemas.openxmlformats.org/officeDocument/2006/relationships/hyperlink" Target="https://dl.smwcentral.net/5183/SMA2%20Demo%201%23%20alpha%20version.zip" TargetMode="External"/><Relationship Id="rId4465" Type="http://schemas.openxmlformats.org/officeDocument/2006/relationships/hyperlink" Target="https://www.smwcentral.net/?a=details&amp;id=29464&amp;p=section" TargetMode="External"/><Relationship Id="rId5309" Type="http://schemas.openxmlformats.org/officeDocument/2006/relationships/hyperlink" Target="https://www.smwcentral.net/?a=details&amp;id=10027&amp;p=section" TargetMode="External"/><Relationship Id="rId3067" Type="http://schemas.openxmlformats.org/officeDocument/2006/relationships/hyperlink" Target="https://www.smwcentral.net/?a=details&amp;id=27874&amp;p=section" TargetMode="External"/><Relationship Id="rId3274" Type="http://schemas.openxmlformats.org/officeDocument/2006/relationships/hyperlink" Target="https://dl.smwcentral.net/14465/SMWHcollab_1_2.zip" TargetMode="External"/><Relationship Id="rId4118" Type="http://schemas.openxmlformats.org/officeDocument/2006/relationships/hyperlink" Target="https://dl.smwcentral.net/28886/smwnoia.zip" TargetMode="External"/><Relationship Id="rId4672" Type="http://schemas.openxmlformats.org/officeDocument/2006/relationships/hyperlink" Target="https://dl.smwcentral.net/25475/Terra1.0.zip" TargetMode="External"/><Relationship Id="rId195" Type="http://schemas.openxmlformats.org/officeDocument/2006/relationships/hyperlink" Target="https://www.smwcentral.net/?a=details&amp;id=39597&amp;p=section" TargetMode="External"/><Relationship Id="rId1919" Type="http://schemas.openxmlformats.org/officeDocument/2006/relationships/hyperlink" Target="https://www.smwcentral.net/?a=details&amp;id=9852&amp;p=section" TargetMode="External"/><Relationship Id="rId3481" Type="http://schemas.openxmlformats.org/officeDocument/2006/relationships/hyperlink" Target="https://www.smwcentral.net/?a=details&amp;id=40498&amp;p=section" TargetMode="External"/><Relationship Id="rId4325" Type="http://schemas.openxmlformats.org/officeDocument/2006/relationships/hyperlink" Target="https://www.smwcentral.net/?a=details&amp;id=24654&amp;p=section" TargetMode="External"/><Relationship Id="rId4532" Type="http://schemas.openxmlformats.org/officeDocument/2006/relationships/hyperlink" Target="https://dl.smwcentral.net/39025/Super_Toest_World.zip" TargetMode="External"/><Relationship Id="rId2083" Type="http://schemas.openxmlformats.org/officeDocument/2006/relationships/hyperlink" Target="https://www.smwcentral.net/?a=details&amp;id=25224&amp;p=section" TargetMode="External"/><Relationship Id="rId2290" Type="http://schemas.openxmlformats.org/officeDocument/2006/relationships/hyperlink" Target="https://dl.smwcentral.net/38576/Marios_Pizza_Party_2.zip" TargetMode="External"/><Relationship Id="rId3134" Type="http://schemas.openxmlformats.org/officeDocument/2006/relationships/hyperlink" Target="https://dl.smwcentral.net/35462/Short%20but%20Savage.zip" TargetMode="External"/><Relationship Id="rId3341" Type="http://schemas.openxmlformats.org/officeDocument/2006/relationships/hyperlink" Target="https://www.smwcentral.net/?a=details&amp;id=22530&amp;p=section" TargetMode="External"/><Relationship Id="rId262" Type="http://schemas.openxmlformats.org/officeDocument/2006/relationships/hyperlink" Target="https://dl.smwcentral.net/39362/All%20in%20a%20Day%27s%20World.zip" TargetMode="External"/><Relationship Id="rId2150" Type="http://schemas.openxmlformats.org/officeDocument/2006/relationships/hyperlink" Target="https://dl.smwcentral.net/33315/Mario%27s%20Evil%20Level%20v1.5.zip" TargetMode="External"/><Relationship Id="rId3201" Type="http://schemas.openxmlformats.org/officeDocument/2006/relationships/hyperlink" Target="https://www.smwcentral.net/?a=details&amp;id=26494&amp;p=section" TargetMode="External"/><Relationship Id="rId5099" Type="http://schemas.openxmlformats.org/officeDocument/2006/relationships/hyperlink" Target="https://www.smwcentral.net/?a=details&amp;id=5577&amp;p=section" TargetMode="External"/><Relationship Id="rId122" Type="http://schemas.openxmlformats.org/officeDocument/2006/relationships/hyperlink" Target="https://dl.smwcentral.net/21194/A%20Journey%20to%20Save%20the%20Yoshis%20%281.7.1%29.zip" TargetMode="External"/><Relationship Id="rId2010" Type="http://schemas.openxmlformats.org/officeDocument/2006/relationships/hyperlink" Target="https://dl.smwcentral.net/22072/Mario%20Mania%201.1.zip" TargetMode="External"/><Relationship Id="rId5166" Type="http://schemas.openxmlformats.org/officeDocument/2006/relationships/hyperlink" Target="https://dl.smwcentral.net/37885/Transatlantic_Flight-V1.1.zip" TargetMode="External"/><Relationship Id="rId5373" Type="http://schemas.openxmlformats.org/officeDocument/2006/relationships/hyperlink" Target="https://www.smwcentral.net/?a=details&amp;id=26183&amp;p=section" TargetMode="External"/><Relationship Id="rId1569" Type="http://schemas.openxmlformats.org/officeDocument/2006/relationships/hyperlink" Target="https://www.smwcentral.net/?a=details&amp;id=9980&amp;p=section" TargetMode="External"/><Relationship Id="rId2967" Type="http://schemas.openxmlformats.org/officeDocument/2006/relationships/hyperlink" Target="https://www.smwcentral.net/?a=details&amp;id=27312&amp;p=section" TargetMode="External"/><Relationship Id="rId4182" Type="http://schemas.openxmlformats.org/officeDocument/2006/relationships/hyperlink" Target="https://dl.smwcentral.net/32736/Super%20Mario%20World%20-%20Season%203%20%28Demo%20V1%29.zip" TargetMode="External"/><Relationship Id="rId5026" Type="http://schemas.openxmlformats.org/officeDocument/2006/relationships/hyperlink" Target="https://dl.smwcentral.net/27225/USM%20v1.04a.zip" TargetMode="External"/><Relationship Id="rId5233" Type="http://schemas.openxmlformats.org/officeDocument/2006/relationships/hyperlink" Target="https://www.smwcentral.net/?a=details&amp;id=31800&amp;p=section" TargetMode="External"/><Relationship Id="rId5440" Type="http://schemas.openxmlformats.org/officeDocument/2006/relationships/hyperlink" Target="https://dl.smwcentral.net/42427/ynt_mario_en_v1.0.6.zip" TargetMode="External"/><Relationship Id="rId939" Type="http://schemas.openxmlformats.org/officeDocument/2006/relationships/hyperlink" Target="https://www.smwcentral.net/?a=details&amp;id=39699&amp;p=section" TargetMode="External"/><Relationship Id="rId1776" Type="http://schemas.openxmlformats.org/officeDocument/2006/relationships/hyperlink" Target="https://dl.smwcentral.net/10000/Luigi%27s%20First%20Adventure%20%28Demo%29.zip" TargetMode="External"/><Relationship Id="rId1983" Type="http://schemas.openxmlformats.org/officeDocument/2006/relationships/hyperlink" Target="https://www.smwcentral.net/?a=details&amp;id=9645&amp;p=section" TargetMode="External"/><Relationship Id="rId2827" Type="http://schemas.openxmlformats.org/officeDocument/2006/relationships/hyperlink" Target="https://www.smwcentral.net/?a=details&amp;id=15341&amp;p=section" TargetMode="External"/><Relationship Id="rId4042" Type="http://schemas.openxmlformats.org/officeDocument/2006/relationships/hyperlink" Target="https://dl.smwcentral.net/20259/SMW4.zip" TargetMode="External"/><Relationship Id="rId68" Type="http://schemas.openxmlformats.org/officeDocument/2006/relationships/hyperlink" Target="https://dl.smwcentral.net/5257/5%20Orbs%20Demo%201.zip" TargetMode="External"/><Relationship Id="rId1429" Type="http://schemas.openxmlformats.org/officeDocument/2006/relationships/hyperlink" Target="https://www.smwcentral.net/?a=details&amp;id=11342&amp;p=section" TargetMode="External"/><Relationship Id="rId1636" Type="http://schemas.openxmlformats.org/officeDocument/2006/relationships/hyperlink" Target="https://dl.smwcentral.net/24719/KurisuMarioWorld.zip" TargetMode="External"/><Relationship Id="rId1843" Type="http://schemas.openxmlformats.org/officeDocument/2006/relationships/hyperlink" Target="https://www.smwcentral.net/?a=details&amp;id=10092&amp;p=section" TargetMode="External"/><Relationship Id="rId4999" Type="http://schemas.openxmlformats.org/officeDocument/2006/relationships/hyperlink" Target="https://www.smwcentral.net/?a=details&amp;id=28591&amp;p=section" TargetMode="External"/><Relationship Id="rId5300" Type="http://schemas.openxmlformats.org/officeDocument/2006/relationships/hyperlink" Target="https://dl.smwcentral.net/31246/Vincere.zip" TargetMode="External"/><Relationship Id="rId1703" Type="http://schemas.openxmlformats.org/officeDocument/2006/relationships/hyperlink" Target="https://www.smwcentral.net/?a=details&amp;id=6468&amp;p=section" TargetMode="External"/><Relationship Id="rId1910" Type="http://schemas.openxmlformats.org/officeDocument/2006/relationships/hyperlink" Target="https://dl.smwcentral.net/21232/mario%20at%20the%20kasranova%20levels%202%20-%20imgelemden%20hallice.zip" TargetMode="External"/><Relationship Id="rId4859" Type="http://schemas.openxmlformats.org/officeDocument/2006/relationships/hyperlink" Target="https://www.smwcentral.net/?a=details&amp;id=36686&amp;p=section" TargetMode="External"/><Relationship Id="rId3668" Type="http://schemas.openxmlformats.org/officeDocument/2006/relationships/hyperlink" Target="https://dl.smwcentral.net/41555/SLL2%20NewIntro.zip" TargetMode="External"/><Relationship Id="rId3875" Type="http://schemas.openxmlformats.org/officeDocument/2006/relationships/hyperlink" Target="https://www.smwcentral.net/?a=details&amp;id=6794&amp;p=section" TargetMode="External"/><Relationship Id="rId4719" Type="http://schemas.openxmlformats.org/officeDocument/2006/relationships/hyperlink" Target="https://www.smwcentral.net/?a=details&amp;id=17437&amp;p=section" TargetMode="External"/><Relationship Id="rId4926" Type="http://schemas.openxmlformats.org/officeDocument/2006/relationships/hyperlink" Target="https://dl.smwcentral.net/37627/The%20Path%20from%20Prisminia%20%28Chapter%201%2B2%20Demo%2C%20v2.1%29.zip" TargetMode="External"/><Relationship Id="rId589" Type="http://schemas.openxmlformats.org/officeDocument/2006/relationships/hyperlink" Target="https://www.smwcentral.net/?a=details&amp;id=41726&amp;p=section" TargetMode="External"/><Relationship Id="rId796" Type="http://schemas.openxmlformats.org/officeDocument/2006/relationships/hyperlink" Target="https://dl.smwcentral.net/28678/daemon%20land%202.zip" TargetMode="External"/><Relationship Id="rId2477" Type="http://schemas.openxmlformats.org/officeDocument/2006/relationships/hyperlink" Target="https://www.smwcentral.net/?a=details&amp;id=38883&amp;p=section" TargetMode="External"/><Relationship Id="rId2684" Type="http://schemas.openxmlformats.org/officeDocument/2006/relationships/hyperlink" Target="https://dl.smwcentral.net/27800/Orcus%20v1.1.zip" TargetMode="External"/><Relationship Id="rId3528" Type="http://schemas.openxmlformats.org/officeDocument/2006/relationships/hyperlink" Target="https://dl.smwcentral.net/26267/Super%20Fast%20World.zip" TargetMode="External"/><Relationship Id="rId3735" Type="http://schemas.openxmlformats.org/officeDocument/2006/relationships/hyperlink" Target="https://www.smwcentral.net/?a=details&amp;id=22012&amp;p=section" TargetMode="External"/><Relationship Id="rId5090" Type="http://schemas.openxmlformats.org/officeDocument/2006/relationships/hyperlink" Target="https://dl.smwcentral.net/10250/TVW.zip" TargetMode="External"/><Relationship Id="rId449" Type="http://schemas.openxmlformats.org/officeDocument/2006/relationships/hyperlink" Target="https://www.smwcentral.net/?a=details&amp;id=30171&amp;p=section" TargetMode="External"/><Relationship Id="rId656" Type="http://schemas.openxmlformats.org/officeDocument/2006/relationships/hyperlink" Target="https://dl.smwcentral.net/14735/Cheepfix.zip" TargetMode="External"/><Relationship Id="rId863" Type="http://schemas.openxmlformats.org/officeDocument/2006/relationships/hyperlink" Target="https://www.smwcentral.net/?a=details&amp;id=22036&amp;p=section" TargetMode="External"/><Relationship Id="rId1079" Type="http://schemas.openxmlformats.org/officeDocument/2006/relationships/hyperlink" Target="https://www.smwcentral.net/?a=details&amp;id=30756&amp;p=section" TargetMode="External"/><Relationship Id="rId1286" Type="http://schemas.openxmlformats.org/officeDocument/2006/relationships/hyperlink" Target="https://dl.smwcentral.net/32937/HammerTime%20V1.5.zip" TargetMode="External"/><Relationship Id="rId1493" Type="http://schemas.openxmlformats.org/officeDocument/2006/relationships/hyperlink" Target="https://www.smwcentral.net/?a=details&amp;id=27318&amp;p=section" TargetMode="External"/><Relationship Id="rId2337" Type="http://schemas.openxmlformats.org/officeDocument/2006/relationships/hyperlink" Target="https://www.smwcentral.net/?a=details&amp;id=14144&amp;p=section" TargetMode="External"/><Relationship Id="rId2544" Type="http://schemas.openxmlformats.org/officeDocument/2006/relationships/hyperlink" Target="https://dl.smwcentral.net/41036/NHWorld.v1.3.zip" TargetMode="External"/><Relationship Id="rId2891" Type="http://schemas.openxmlformats.org/officeDocument/2006/relationships/hyperlink" Target="https://www.smwcentral.net/?a=details&amp;id=10108&amp;p=section" TargetMode="External"/><Relationship Id="rId3942" Type="http://schemas.openxmlformats.org/officeDocument/2006/relationships/hyperlink" Target="https://dl.smwcentral.net/9750/Super_Mario_Revelations.zip" TargetMode="External"/><Relationship Id="rId309" Type="http://schemas.openxmlformats.org/officeDocument/2006/relationships/hyperlink" Target="https://www.smwcentral.net/?a=details&amp;id=14122&amp;p=section" TargetMode="External"/><Relationship Id="rId516" Type="http://schemas.openxmlformats.org/officeDocument/2006/relationships/hyperlink" Target="https://dl.smwcentral.net/33106/BH1R.zip" TargetMode="External"/><Relationship Id="rId1146" Type="http://schemas.openxmlformats.org/officeDocument/2006/relationships/hyperlink" Target="https://dl.smwcentral.net/38992/GasPackV1.zip" TargetMode="External"/><Relationship Id="rId2751" Type="http://schemas.openxmlformats.org/officeDocument/2006/relationships/hyperlink" Target="https://www.smwcentral.net/?a=details&amp;id=6763&amp;p=section" TargetMode="External"/><Relationship Id="rId3802" Type="http://schemas.openxmlformats.org/officeDocument/2006/relationships/hyperlink" Target="https://dl.smwcentral.net/10036/Super%20Mario%20Bros.%20Remix.zip" TargetMode="External"/><Relationship Id="rId723" Type="http://schemas.openxmlformats.org/officeDocument/2006/relationships/hyperlink" Target="https://www.smwcentral.net/?a=details&amp;id=28250&amp;p=section" TargetMode="External"/><Relationship Id="rId930" Type="http://schemas.openxmlformats.org/officeDocument/2006/relationships/hyperlink" Target="https://dl.smwcentral.net/40965/Dusty%20Shells.zip" TargetMode="External"/><Relationship Id="rId1006" Type="http://schemas.openxmlformats.org/officeDocument/2006/relationships/hyperlink" Target="https://dl.smwcentral.net/33233/EVERY%20LEVEL%20LUDWIG%21%20%28V1.0.2%29.zip" TargetMode="External"/><Relationship Id="rId1353" Type="http://schemas.openxmlformats.org/officeDocument/2006/relationships/hyperlink" Target="https://www.smwcentral.net/?a=details&amp;id=36778&amp;p=section" TargetMode="External"/><Relationship Id="rId1560" Type="http://schemas.openxmlformats.org/officeDocument/2006/relationships/hyperlink" Target="https://dl.smwcentral.net/12161/Kamek%27s%20Island%201.7.zip" TargetMode="External"/><Relationship Id="rId2404" Type="http://schemas.openxmlformats.org/officeDocument/2006/relationships/hyperlink" Target="https://dl.smwcentral.net/25402/Mostly%20Harmless.zip" TargetMode="External"/><Relationship Id="rId2611" Type="http://schemas.openxmlformats.org/officeDocument/2006/relationships/hyperlink" Target="https://www.smwcentral.net/?a=details&amp;id=25966&amp;p=section" TargetMode="External"/><Relationship Id="rId1213" Type="http://schemas.openxmlformats.org/officeDocument/2006/relationships/hyperlink" Target="https://www.smwcentral.net/?a=details&amp;id=39832&amp;p=section" TargetMode="External"/><Relationship Id="rId1420" Type="http://schemas.openxmlformats.org/officeDocument/2006/relationships/hyperlink" Target="https://dl.smwcentral.net/28130/Intershellar.zip" TargetMode="External"/><Relationship Id="rId4369" Type="http://schemas.openxmlformats.org/officeDocument/2006/relationships/hyperlink" Target="https://www.smwcentral.net/?a=details&amp;id=23434&amp;p=section" TargetMode="External"/><Relationship Id="rId4576" Type="http://schemas.openxmlformats.org/officeDocument/2006/relationships/hyperlink" Target="https://dl.smwcentral.net/39972/SuperWow1.1.zip" TargetMode="External"/><Relationship Id="rId4783" Type="http://schemas.openxmlformats.org/officeDocument/2006/relationships/hyperlink" Target="https://www.smwcentral.net/?a=details&amp;id=33734&amp;p=section" TargetMode="External"/><Relationship Id="rId4990" Type="http://schemas.openxmlformats.org/officeDocument/2006/relationships/hyperlink" Target="https://dl.smwcentral.net/13850/TSH2v121.zip" TargetMode="External"/><Relationship Id="rId3178" Type="http://schemas.openxmlformats.org/officeDocument/2006/relationships/hyperlink" Target="https://dl.smwcentral.net/35347/Six%20Pack.zip" TargetMode="External"/><Relationship Id="rId3385" Type="http://schemas.openxmlformats.org/officeDocument/2006/relationships/hyperlink" Target="https://www.smwcentral.net/?a=details&amp;id=26815&amp;p=section" TargetMode="External"/><Relationship Id="rId3592" Type="http://schemas.openxmlformats.org/officeDocument/2006/relationships/hyperlink" Target="https://dl.smwcentral.net/9881/Super%20impressive%20world.zip" TargetMode="External"/><Relationship Id="rId4229" Type="http://schemas.openxmlformats.org/officeDocument/2006/relationships/hyperlink" Target="https://www.smwcentral.net/?a=details&amp;id=10041&amp;p=section" TargetMode="External"/><Relationship Id="rId4436" Type="http://schemas.openxmlformats.org/officeDocument/2006/relationships/hyperlink" Target="https://dl.smwcentral.net/39863/SuperReasonableWorld.zip" TargetMode="External"/><Relationship Id="rId4643" Type="http://schemas.openxmlformats.org/officeDocument/2006/relationships/hyperlink" Target="https://www.smwcentral.net/?a=details&amp;id=26826&amp;p=section" TargetMode="External"/><Relationship Id="rId4850" Type="http://schemas.openxmlformats.org/officeDocument/2006/relationships/hyperlink" Target="https://dl.smwcentral.net/19664/The_Hunt_for_the_Chocolate_Egg.zip" TargetMode="External"/><Relationship Id="rId2194" Type="http://schemas.openxmlformats.org/officeDocument/2006/relationships/hyperlink" Target="https://dl.smwcentral.net/23290/mmmeat.zip" TargetMode="External"/><Relationship Id="rId3038" Type="http://schemas.openxmlformats.org/officeDocument/2006/relationships/hyperlink" Target="https://dl.smwcentral.net/24739/Sayonara%201.1.zip" TargetMode="External"/><Relationship Id="rId3245" Type="http://schemas.openxmlformats.org/officeDocument/2006/relationships/hyperlink" Target="https://www.smwcentral.net/?a=details&amp;id=15677&amp;p=section" TargetMode="External"/><Relationship Id="rId3452" Type="http://schemas.openxmlformats.org/officeDocument/2006/relationships/hyperlink" Target="https://dl.smwcentral.net/9727/Super%20Choco-The%20Insane%20Islands.zip" TargetMode="External"/><Relationship Id="rId4503" Type="http://schemas.openxmlformats.org/officeDocument/2006/relationships/hyperlink" Target="https://www.smwcentral.net/?a=details&amp;id=18426&amp;p=section" TargetMode="External"/><Relationship Id="rId4710" Type="http://schemas.openxmlformats.org/officeDocument/2006/relationships/hyperlink" Target="https://dl.smwcentral.net/14812/VLDC9%20v1.11.zip" TargetMode="External"/><Relationship Id="rId166" Type="http://schemas.openxmlformats.org/officeDocument/2006/relationships/hyperlink" Target="https://dl.smwcentral.net/38177/A%20Short%20kaizo%202%20by%20Lush_50%20%282022-24%29.zip" TargetMode="External"/><Relationship Id="rId373" Type="http://schemas.openxmlformats.org/officeDocument/2006/relationships/hyperlink" Target="https://www.smwcentral.net/?a=details&amp;id=30968&amp;p=section" TargetMode="External"/><Relationship Id="rId580" Type="http://schemas.openxmlformats.org/officeDocument/2006/relationships/hyperlink" Target="https://dl.smwcentral.net/40001/BUZZED.zip" TargetMode="External"/><Relationship Id="rId2054" Type="http://schemas.openxmlformats.org/officeDocument/2006/relationships/hyperlink" Target="https://dl.smwcentral.net/33669/Mario%20Saves%20Easter%202023.zip" TargetMode="External"/><Relationship Id="rId2261" Type="http://schemas.openxmlformats.org/officeDocument/2006/relationships/hyperlink" Target="https://www.smwcentral.net/?a=details&amp;id=8721&amp;p=section" TargetMode="External"/><Relationship Id="rId3105" Type="http://schemas.openxmlformats.org/officeDocument/2006/relationships/hyperlink" Target="https://www.smwcentral.net/?a=details&amp;id=34009&amp;p=section" TargetMode="External"/><Relationship Id="rId3312" Type="http://schemas.openxmlformats.org/officeDocument/2006/relationships/hyperlink" Target="https://dl.smwcentral.net/41266/SpaceDeluxe.zip" TargetMode="External"/><Relationship Id="rId233" Type="http://schemas.openxmlformats.org/officeDocument/2006/relationships/hyperlink" Target="https://www.smwcentral.net/?a=details&amp;id=5368&amp;p=section" TargetMode="External"/><Relationship Id="rId440" Type="http://schemas.openxmlformats.org/officeDocument/2006/relationships/hyperlink" Target="https://dl.smwcentral.net/42683/Blackout%20shells.zip" TargetMode="External"/><Relationship Id="rId1070" Type="http://schemas.openxmlformats.org/officeDocument/2006/relationships/hyperlink" Target="https://dl.smwcentral.net/28341/Flip%20The%20Switch.bps.zip" TargetMode="External"/><Relationship Id="rId2121" Type="http://schemas.openxmlformats.org/officeDocument/2006/relationships/hyperlink" Target="https://www.smwcentral.net/?a=details&amp;id=11662&amp;p=section" TargetMode="External"/><Relationship Id="rId5277" Type="http://schemas.openxmlformats.org/officeDocument/2006/relationships/hyperlink" Target="https://www.smwcentral.net/?a=details&amp;id=24708&amp;p=section" TargetMode="External"/><Relationship Id="rId5484" Type="http://schemas.openxmlformats.org/officeDocument/2006/relationships/hyperlink" Target="https://dl.smwcentral.net/15935/zgc147.zip" TargetMode="External"/><Relationship Id="rId300" Type="http://schemas.openxmlformats.org/officeDocument/2006/relationships/hyperlink" Target="https://dl.smwcentral.net/15640/Another%20Mario%20Remastered.zip" TargetMode="External"/><Relationship Id="rId4086" Type="http://schemas.openxmlformats.org/officeDocument/2006/relationships/hyperlink" Target="https://dl.smwcentral.net/9901/Super%20Mario%20World%20Master%20Quest%204%20Redrawn%20Update%201.2.zip" TargetMode="External"/><Relationship Id="rId5137" Type="http://schemas.openxmlformats.org/officeDocument/2006/relationships/hyperlink" Target="https://www.smwcentral.net/?a=details&amp;id=37513&amp;p=section" TargetMode="External"/><Relationship Id="rId1887" Type="http://schemas.openxmlformats.org/officeDocument/2006/relationships/hyperlink" Target="https://www.smwcentral.net/?a=details&amp;id=22897&amp;p=section" TargetMode="External"/><Relationship Id="rId2938" Type="http://schemas.openxmlformats.org/officeDocument/2006/relationships/hyperlink" Target="https://dl.smwcentral.net/14000/Hack%20demo%202.zip" TargetMode="External"/><Relationship Id="rId4293" Type="http://schemas.openxmlformats.org/officeDocument/2006/relationships/hyperlink" Target="https://www.smwcentral.net/?a=details&amp;id=25678&amp;p=section" TargetMode="External"/><Relationship Id="rId5344" Type="http://schemas.openxmlformats.org/officeDocument/2006/relationships/hyperlink" Target="https://dl.smwcentral.net/10112/wario%20land.zip" TargetMode="External"/><Relationship Id="rId1747" Type="http://schemas.openxmlformats.org/officeDocument/2006/relationships/hyperlink" Target="https://www.smwcentral.net/?a=details&amp;id=32513&amp;p=section" TargetMode="External"/><Relationship Id="rId1954" Type="http://schemas.openxmlformats.org/officeDocument/2006/relationships/hyperlink" Target="https://dl.smwcentral.net/13582/Mario%20in%20Another%20Land.zip" TargetMode="External"/><Relationship Id="rId4153" Type="http://schemas.openxmlformats.org/officeDocument/2006/relationships/hyperlink" Target="https://www.smwcentral.net/?a=details&amp;id=32091&amp;p=section" TargetMode="External"/><Relationship Id="rId4360" Type="http://schemas.openxmlformats.org/officeDocument/2006/relationships/hyperlink" Target="https://dl.smwcentral.net/38086/Super%20Nario%20World%28v1.1%29.zip" TargetMode="External"/><Relationship Id="rId5204" Type="http://schemas.openxmlformats.org/officeDocument/2006/relationships/hyperlink" Target="https://dl.smwcentral.net/38769/zip.zip" TargetMode="External"/><Relationship Id="rId5411" Type="http://schemas.openxmlformats.org/officeDocument/2006/relationships/hyperlink" Target="https://www.smwcentral.net/?a=details&amp;id=32844&amp;p=section" TargetMode="External"/><Relationship Id="rId39" Type="http://schemas.openxmlformats.org/officeDocument/2006/relationships/hyperlink" Target="https://www.smwcentral.net/?a=details&amp;id=39850&amp;p=section" TargetMode="External"/><Relationship Id="rId1607" Type="http://schemas.openxmlformats.org/officeDocument/2006/relationships/hyperlink" Target="https://www.smwcentral.net/?a=details&amp;id=9903&amp;p=section" TargetMode="External"/><Relationship Id="rId1814" Type="http://schemas.openxmlformats.org/officeDocument/2006/relationships/hyperlink" Target="https://dl.smwcentral.net/11760/LM%201.0%20Adventures%20v1.1.zip" TargetMode="External"/><Relationship Id="rId4013" Type="http://schemas.openxmlformats.org/officeDocument/2006/relationships/hyperlink" Target="https://www.smwcentral.net/?a=details&amp;id=25462&amp;p=section" TargetMode="External"/><Relationship Id="rId4220" Type="http://schemas.openxmlformats.org/officeDocument/2006/relationships/hyperlink" Target="https://dl.smwcentral.net/9733/Mario2008v4.zip" TargetMode="External"/><Relationship Id="rId3779" Type="http://schemas.openxmlformats.org/officeDocument/2006/relationships/hyperlink" Target="https://www.smwcentral.net/?a=details&amp;id=9786&amp;p=section" TargetMode="External"/><Relationship Id="rId2588" Type="http://schemas.openxmlformats.org/officeDocument/2006/relationships/hyperlink" Target="https://dl.smwcentral.net/42653/Ninpp%20World.zip" TargetMode="External"/><Relationship Id="rId3986" Type="http://schemas.openxmlformats.org/officeDocument/2006/relationships/hyperlink" Target="https://dl.smwcentral.net/19293/smw%20smb4%20a%20trip%20full%20of%20fun%20fixed%2Cagain%2Cyes.zip" TargetMode="External"/><Relationship Id="rId1397" Type="http://schemas.openxmlformats.org/officeDocument/2006/relationships/hyperlink" Target="https://www.smwcentral.net/?a=details&amp;id=35054&amp;p=section" TargetMode="External"/><Relationship Id="rId2795" Type="http://schemas.openxmlformats.org/officeDocument/2006/relationships/hyperlink" Target="https://www.smwcentral.net/?a=details&amp;id=24373&amp;p=section" TargetMode="External"/><Relationship Id="rId3639" Type="http://schemas.openxmlformats.org/officeDocument/2006/relationships/hyperlink" Target="https://www.smwcentral.net/?a=details&amp;id=27103&amp;p=section" TargetMode="External"/><Relationship Id="rId3846" Type="http://schemas.openxmlformats.org/officeDocument/2006/relationships/hyperlink" Target="https://dl.smwcentral.net/10022/SME%20patch.zip" TargetMode="External"/><Relationship Id="rId5061" Type="http://schemas.openxmlformats.org/officeDocument/2006/relationships/hyperlink" Target="https://www.smwcentral.net/?a=details&amp;id=30338&amp;p=section" TargetMode="External"/><Relationship Id="rId767" Type="http://schemas.openxmlformats.org/officeDocument/2006/relationships/hyperlink" Target="https://www.smwcentral.net/?a=details&amp;id=27238&amp;p=section" TargetMode="External"/><Relationship Id="rId974" Type="http://schemas.openxmlformats.org/officeDocument/2006/relationships/hyperlink" Target="https://dl.smwcentral.net/32749/Endeavor%20%281.0%29.zip" TargetMode="External"/><Relationship Id="rId2448" Type="http://schemas.openxmlformats.org/officeDocument/2006/relationships/hyperlink" Target="https://dl.smwcentral.net/35259/Mycelium.zip" TargetMode="External"/><Relationship Id="rId2655" Type="http://schemas.openxmlformats.org/officeDocument/2006/relationships/hyperlink" Target="https://www.smwcentral.net/?a=details&amp;id=36841&amp;p=section" TargetMode="External"/><Relationship Id="rId2862" Type="http://schemas.openxmlformats.org/officeDocument/2006/relationships/hyperlink" Target="https://dl.smwcentral.net/34156/PunishingPothole3.zip" TargetMode="External"/><Relationship Id="rId3706" Type="http://schemas.openxmlformats.org/officeDocument/2006/relationships/hyperlink" Target="https://dl.smwcentral.net/10053/Super%20Mario%20-%20The%20Ultimate%20Challenge%20-%20Demo.zip" TargetMode="External"/><Relationship Id="rId3913" Type="http://schemas.openxmlformats.org/officeDocument/2006/relationships/hyperlink" Target="https://www.smwcentral.net/?a=details&amp;id=41494&amp;p=section" TargetMode="External"/><Relationship Id="rId627" Type="http://schemas.openxmlformats.org/officeDocument/2006/relationships/hyperlink" Target="https://www.smwcentral.net/?a=details&amp;id=42393&amp;p=section" TargetMode="External"/><Relationship Id="rId834" Type="http://schemas.openxmlformats.org/officeDocument/2006/relationships/hyperlink" Target="https://dl.smwcentral.net/23833/DeClock%20Mario%20World%20Remastered%201.1.zip" TargetMode="External"/><Relationship Id="rId1257" Type="http://schemas.openxmlformats.org/officeDocument/2006/relationships/hyperlink" Target="https://www.smwcentral.net/?a=details&amp;id=39600&amp;p=section" TargetMode="External"/><Relationship Id="rId1464" Type="http://schemas.openxmlformats.org/officeDocument/2006/relationships/hyperlink" Target="https://dl.smwcentral.net/33622/Joeey%27s%20Level%20Collection%20-%20Demo%204.zip" TargetMode="External"/><Relationship Id="rId1671" Type="http://schemas.openxmlformats.org/officeDocument/2006/relationships/hyperlink" Target="https://www.smwcentral.net/?a=details&amp;id=40131&amp;p=section" TargetMode="External"/><Relationship Id="rId2308" Type="http://schemas.openxmlformats.org/officeDocument/2006/relationships/hyperlink" Target="https://dl.smwcentral.net/6055/MaSeHiHa.zip" TargetMode="External"/><Relationship Id="rId2515" Type="http://schemas.openxmlformats.org/officeDocument/2006/relationships/hyperlink" Target="https://www.smwcentral.net/?a=details&amp;id=20885&amp;p=section" TargetMode="External"/><Relationship Id="rId2722" Type="http://schemas.openxmlformats.org/officeDocument/2006/relationships/hyperlink" Target="https://dl.smwcentral.net/27854/Papaya%20Mountain.zip" TargetMode="External"/><Relationship Id="rId901" Type="http://schemas.openxmlformats.org/officeDocument/2006/relationships/hyperlink" Target="https://www.smwcentral.net/?a=details&amp;id=37065&amp;p=section" TargetMode="External"/><Relationship Id="rId1117" Type="http://schemas.openxmlformats.org/officeDocument/2006/relationships/hyperlink" Target="https://www.smwcentral.net/?a=details&amp;id=37900&amp;p=section" TargetMode="External"/><Relationship Id="rId1324" Type="http://schemas.openxmlformats.org/officeDocument/2006/relationships/hyperlink" Target="https://dl.smwcentral.net/19402/HotHead%20Heights.zip" TargetMode="External"/><Relationship Id="rId1531" Type="http://schemas.openxmlformats.org/officeDocument/2006/relationships/hyperlink" Target="https://www.smwcentral.net/?a=details&amp;id=39791&amp;p=section" TargetMode="External"/><Relationship Id="rId4687" Type="http://schemas.openxmlformats.org/officeDocument/2006/relationships/hyperlink" Target="https://www.smwcentral.net/?a=details&amp;id=13947&amp;p=section" TargetMode="External"/><Relationship Id="rId4894" Type="http://schemas.openxmlformats.org/officeDocument/2006/relationships/hyperlink" Target="https://dl.smwcentral.net/10084/The%20Mario%20World.zip" TargetMode="External"/><Relationship Id="rId30" Type="http://schemas.openxmlformats.org/officeDocument/2006/relationships/hyperlink" Target="https://dl.smwcentral.net/6593/2%20Player%20Co-op%20Quest%202.zip" TargetMode="External"/><Relationship Id="rId3289" Type="http://schemas.openxmlformats.org/officeDocument/2006/relationships/hyperlink" Target="https://www.smwcentral.net/?a=details&amp;id=41656&amp;p=section" TargetMode="External"/><Relationship Id="rId3496" Type="http://schemas.openxmlformats.org/officeDocument/2006/relationships/hyperlink" Target="https://dl.smwcentral.net/9678/downlaod.zip" TargetMode="External"/><Relationship Id="rId4547" Type="http://schemas.openxmlformats.org/officeDocument/2006/relationships/hyperlink" Target="https://www.smwcentral.net/?a=details&amp;id=36587&amp;p=section" TargetMode="External"/><Relationship Id="rId4754" Type="http://schemas.openxmlformats.org/officeDocument/2006/relationships/hyperlink" Target="https://dl.smwcentral.net/13915/%234-Hunter%27sRevenge%201_1.zip" TargetMode="External"/><Relationship Id="rId2098" Type="http://schemas.openxmlformats.org/officeDocument/2006/relationships/hyperlink" Target="https://dl.smwcentral.net/9798/MWU-Ex.zip" TargetMode="External"/><Relationship Id="rId3149" Type="http://schemas.openxmlformats.org/officeDocument/2006/relationships/hyperlink" Target="https://www.smwcentral.net/?a=details&amp;id=32095&amp;p=section" TargetMode="External"/><Relationship Id="rId3356" Type="http://schemas.openxmlformats.org/officeDocument/2006/relationships/hyperlink" Target="https://dl.smwcentral.net/26923/Stardust1.1.zip" TargetMode="External"/><Relationship Id="rId3563" Type="http://schemas.openxmlformats.org/officeDocument/2006/relationships/hyperlink" Target="https://www.smwcentral.net/?a=details&amp;id=34189&amp;p=section" TargetMode="External"/><Relationship Id="rId4407" Type="http://schemas.openxmlformats.org/officeDocument/2006/relationships/hyperlink" Target="https://www.smwcentral.net/?a=details&amp;id=40175&amp;p=section" TargetMode="External"/><Relationship Id="rId4961" Type="http://schemas.openxmlformats.org/officeDocument/2006/relationships/hyperlink" Target="https://www.smwcentral.net/?a=details&amp;id=24625&amp;p=section" TargetMode="External"/><Relationship Id="rId277" Type="http://schemas.openxmlformats.org/officeDocument/2006/relationships/hyperlink" Target="https://www.smwcentral.net/?a=details&amp;id=31224&amp;p=section" TargetMode="External"/><Relationship Id="rId484" Type="http://schemas.openxmlformats.org/officeDocument/2006/relationships/hyperlink" Target="https://dl.smwcentral.net/39209/Bounceland%20v1.02.zip" TargetMode="External"/><Relationship Id="rId2165" Type="http://schemas.openxmlformats.org/officeDocument/2006/relationships/hyperlink" Target="https://www.smwcentral.net/?a=details&amp;id=9953&amp;p=section" TargetMode="External"/><Relationship Id="rId3009" Type="http://schemas.openxmlformats.org/officeDocument/2006/relationships/hyperlink" Target="https://www.smwcentral.net/?a=details&amp;id=33634&amp;p=section" TargetMode="External"/><Relationship Id="rId3216" Type="http://schemas.openxmlformats.org/officeDocument/2006/relationships/hyperlink" Target="https://dl.smwcentral.net/11697/SMW%20Piranha%20island%201.1.zip" TargetMode="External"/><Relationship Id="rId3770" Type="http://schemas.openxmlformats.org/officeDocument/2006/relationships/hyperlink" Target="https://dl.smwcentral.net/9762/Super%20Mario%20Bros.%20-%20The%20Seven%20Wands.zip" TargetMode="External"/><Relationship Id="rId4614" Type="http://schemas.openxmlformats.org/officeDocument/2006/relationships/hyperlink" Target="https://dl.smwcentral.net/37677/SweetShell.zip" TargetMode="External"/><Relationship Id="rId4821" Type="http://schemas.openxmlformats.org/officeDocument/2006/relationships/hyperlink" Target="https://www.smwcentral.net/?a=details&amp;id=29915&amp;p=section" TargetMode="External"/><Relationship Id="rId137" Type="http://schemas.openxmlformats.org/officeDocument/2006/relationships/hyperlink" Target="https://www.smwcentral.net/?a=details&amp;id=10266&amp;p=section" TargetMode="External"/><Relationship Id="rId344" Type="http://schemas.openxmlformats.org/officeDocument/2006/relationships/hyperlink" Target="https://dl.smwcentral.net/41455/AssortmentOfWyverns.zip" TargetMode="External"/><Relationship Id="rId691" Type="http://schemas.openxmlformats.org/officeDocument/2006/relationships/hyperlink" Target="https://www.smwcentral.net/?a=details&amp;id=39655&amp;p=section" TargetMode="External"/><Relationship Id="rId2025" Type="http://schemas.openxmlformats.org/officeDocument/2006/relationships/hyperlink" Target="https://www.smwcentral.net/?a=details&amp;id=9033&amp;p=section" TargetMode="External"/><Relationship Id="rId2372" Type="http://schemas.openxmlformats.org/officeDocument/2006/relationships/hyperlink" Target="https://dl.smwcentral.net/14969/MintGreenYoshi_s_Challenge.zip" TargetMode="External"/><Relationship Id="rId3423" Type="http://schemas.openxmlformats.org/officeDocument/2006/relationships/hyperlink" Target="https://www.smwcentral.net/?a=details&amp;id=26187&amp;p=section" TargetMode="External"/><Relationship Id="rId3630" Type="http://schemas.openxmlformats.org/officeDocument/2006/relationships/hyperlink" Target="https://dl.smwcentral.net/34039/SKJWv1.1.zip" TargetMode="External"/><Relationship Id="rId551" Type="http://schemas.openxmlformats.org/officeDocument/2006/relationships/hyperlink" Target="https://www.smwcentral.net/?a=details&amp;id=42661&amp;p=section" TargetMode="External"/><Relationship Id="rId1181" Type="http://schemas.openxmlformats.org/officeDocument/2006/relationships/hyperlink" Target="https://www.smwcentral.net/?a=details&amp;id=5002&amp;p=section" TargetMode="External"/><Relationship Id="rId2232" Type="http://schemas.openxmlformats.org/officeDocument/2006/relationships/hyperlink" Target="https://dl.smwcentral.net/12310/Mario%27s%20Search%20for%20the%20Shrine%20of%20Eternal%20Ice%20%28Version%201.1%29.zip" TargetMode="External"/><Relationship Id="rId5388" Type="http://schemas.openxmlformats.org/officeDocument/2006/relationships/hyperlink" Target="https://dl.smwcentral.net/37046/Edge.zip" TargetMode="External"/><Relationship Id="rId204" Type="http://schemas.openxmlformats.org/officeDocument/2006/relationships/hyperlink" Target="https://dl.smwcentral.net/17750/A%20work%20project%20thing....bps.zip" TargetMode="External"/><Relationship Id="rId411" Type="http://schemas.openxmlformats.org/officeDocument/2006/relationships/hyperlink" Target="https://www.smwcentral.net/?a=details&amp;id=31047&amp;p=section" TargetMode="External"/><Relationship Id="rId1041" Type="http://schemas.openxmlformats.org/officeDocument/2006/relationships/hyperlink" Target="https://www.smwcentral.net/?a=details&amp;id=18823&amp;p=section" TargetMode="External"/><Relationship Id="rId1998" Type="http://schemas.openxmlformats.org/officeDocument/2006/relationships/hyperlink" Target="https://dl.smwcentral.net/14712/Mario_is_Stupid.zip" TargetMode="External"/><Relationship Id="rId4197" Type="http://schemas.openxmlformats.org/officeDocument/2006/relationships/hyperlink" Target="https://www.smwcentral.net/?a=details&amp;id=10043&amp;p=section" TargetMode="External"/><Relationship Id="rId5248" Type="http://schemas.openxmlformats.org/officeDocument/2006/relationships/hyperlink" Target="https://dl.smwcentral.net/17473/Unnamed%20Pit.zip" TargetMode="External"/><Relationship Id="rId5455" Type="http://schemas.openxmlformats.org/officeDocument/2006/relationships/hyperlink" Target="https://www.smwcentral.net/?a=details&amp;id=10072&amp;p=section" TargetMode="External"/><Relationship Id="rId1858" Type="http://schemas.openxmlformats.org/officeDocument/2006/relationships/hyperlink" Target="https://dl.smwcentral.net/9837/mario%20-%20tcuh.zip" TargetMode="External"/><Relationship Id="rId4057" Type="http://schemas.openxmlformats.org/officeDocument/2006/relationships/hyperlink" Target="https://www.smwcentral.net/?a=details&amp;id=6267&amp;p=section" TargetMode="External"/><Relationship Id="rId4264" Type="http://schemas.openxmlformats.org/officeDocument/2006/relationships/hyperlink" Target="https://dl.smwcentral.net/13498/Super%20Mario%20A%20Familiar%20Land.zip" TargetMode="External"/><Relationship Id="rId4471" Type="http://schemas.openxmlformats.org/officeDocument/2006/relationships/hyperlink" Target="https://www.smwcentral.net/?a=details&amp;id=17489&amp;p=section" TargetMode="External"/><Relationship Id="rId5108" Type="http://schemas.openxmlformats.org/officeDocument/2006/relationships/hyperlink" Target="https://dl.smwcentral.net/22869/Toad%20Kaizo%20World.zip" TargetMode="External"/><Relationship Id="rId5315" Type="http://schemas.openxmlformats.org/officeDocument/2006/relationships/hyperlink" Target="https://www.smwcentral.net/?a=details&amp;id=9778&amp;p=section" TargetMode="External"/><Relationship Id="rId2909" Type="http://schemas.openxmlformats.org/officeDocument/2006/relationships/hyperlink" Target="https://www.smwcentral.net/?a=details&amp;id=33491&amp;p=section" TargetMode="External"/><Relationship Id="rId3073" Type="http://schemas.openxmlformats.org/officeDocument/2006/relationships/hyperlink" Target="https://www.smwcentral.net/?a=details&amp;id=34840&amp;p=section" TargetMode="External"/><Relationship Id="rId3280" Type="http://schemas.openxmlformats.org/officeDocument/2006/relationships/hyperlink" Target="https://dl.smwcentral.net/23383/Snoman%27s%20Land%20v1.2.zip" TargetMode="External"/><Relationship Id="rId4124" Type="http://schemas.openxmlformats.org/officeDocument/2006/relationships/hyperlink" Target="https://dl.smwcentral.net/24426/A%20ROM%20Hack..zip" TargetMode="External"/><Relationship Id="rId4331" Type="http://schemas.openxmlformats.org/officeDocument/2006/relationships/hyperlink" Target="https://www.smwcentral.net/?a=details&amp;id=25596&amp;p=section" TargetMode="External"/><Relationship Id="rId1718" Type="http://schemas.openxmlformats.org/officeDocument/2006/relationships/hyperlink" Target="https://dl.smwcentral.net/24705/LittleMarioWorld.zip" TargetMode="External"/><Relationship Id="rId1925" Type="http://schemas.openxmlformats.org/officeDocument/2006/relationships/hyperlink" Target="https://www.smwcentral.net/?a=details&amp;id=10018&amp;p=section" TargetMode="External"/><Relationship Id="rId3140" Type="http://schemas.openxmlformats.org/officeDocument/2006/relationships/hyperlink" Target="https://dl.smwcentral.net/5533/Shy%20Guy%27s%20Adventure%20C3%20Demo.zip" TargetMode="External"/><Relationship Id="rId2699" Type="http://schemas.openxmlformats.org/officeDocument/2006/relationships/hyperlink" Target="https://www.smwcentral.net/?a=details&amp;id=32445&amp;p=section" TargetMode="External"/><Relationship Id="rId3000" Type="http://schemas.openxmlformats.org/officeDocument/2006/relationships/hyperlink" Target="https://dl.smwcentral.net/31185/rta%20abuse%202.zip" TargetMode="External"/><Relationship Id="rId3957" Type="http://schemas.openxmlformats.org/officeDocument/2006/relationships/hyperlink" Target="https://www.smwcentral.net/?a=details&amp;id=9791&amp;p=section" TargetMode="External"/><Relationship Id="rId878" Type="http://schemas.openxmlformats.org/officeDocument/2006/relationships/hyperlink" Target="https://dl.smwcentral.net/27847/domenyX_Paradise.zip" TargetMode="External"/><Relationship Id="rId2559" Type="http://schemas.openxmlformats.org/officeDocument/2006/relationships/hyperlink" Target="https://www.smwcentral.net/?a=details&amp;id=37949&amp;p=section" TargetMode="External"/><Relationship Id="rId2766" Type="http://schemas.openxmlformats.org/officeDocument/2006/relationships/hyperlink" Target="https://dl.smwcentral.net/15170/Piranhatopia.zip" TargetMode="External"/><Relationship Id="rId2973" Type="http://schemas.openxmlformats.org/officeDocument/2006/relationships/hyperlink" Target="https://www.smwcentral.net/?a=details&amp;id=42671&amp;p=section" TargetMode="External"/><Relationship Id="rId3817" Type="http://schemas.openxmlformats.org/officeDocument/2006/relationships/hyperlink" Target="https://www.smwcentral.net/?a=details&amp;id=5452&amp;p=section" TargetMode="External"/><Relationship Id="rId5172" Type="http://schemas.openxmlformats.org/officeDocument/2006/relationships/hyperlink" Target="https://dl.smwcentral.net/26737/trashdumb.zip" TargetMode="External"/><Relationship Id="rId738" Type="http://schemas.openxmlformats.org/officeDocument/2006/relationships/hyperlink" Target="https://dl.smwcentral.net/16466/Contest%20Maniac.zip" TargetMode="External"/><Relationship Id="rId945" Type="http://schemas.openxmlformats.org/officeDocument/2006/relationships/hyperlink" Target="https://www.smwcentral.net/?a=details&amp;id=41159&amp;p=section" TargetMode="External"/><Relationship Id="rId1368" Type="http://schemas.openxmlformats.org/officeDocument/2006/relationships/hyperlink" Target="https://dl.smwcentral.net/5539/Ieo.zip" TargetMode="External"/><Relationship Id="rId1575" Type="http://schemas.openxmlformats.org/officeDocument/2006/relationships/hyperlink" Target="https://www.smwcentral.net/?a=details&amp;id=36844&amp;p=section" TargetMode="External"/><Relationship Id="rId1782" Type="http://schemas.openxmlformats.org/officeDocument/2006/relationships/hyperlink" Target="https://dl.smwcentral.net/32187/Luigi%27s%20Lost%20Levels%202%20-%20Back%20With%20A%20Revenge.zip" TargetMode="External"/><Relationship Id="rId2419" Type="http://schemas.openxmlformats.org/officeDocument/2006/relationships/hyperlink" Target="https://www.smwcentral.net/?a=details&amp;id=30027&amp;p=section" TargetMode="External"/><Relationship Id="rId2626" Type="http://schemas.openxmlformats.org/officeDocument/2006/relationships/hyperlink" Target="https://dl.smwcentral.net/33041/Ghim-Scholar.zip" TargetMode="External"/><Relationship Id="rId2833" Type="http://schemas.openxmlformats.org/officeDocument/2006/relationships/hyperlink" Target="https://www.smwcentral.net/?a=details&amp;id=36836&amp;p=section" TargetMode="External"/><Relationship Id="rId5032" Type="http://schemas.openxmlformats.org/officeDocument/2006/relationships/hyperlink" Target="https://dl.smwcentral.net/6230/The%20Unworld%20Recharged.zip" TargetMode="External"/><Relationship Id="rId74" Type="http://schemas.openxmlformats.org/officeDocument/2006/relationships/hyperlink" Target="https://dl.smwcentral.net/40929/8%20SCREENS.zip" TargetMode="External"/><Relationship Id="rId805" Type="http://schemas.openxmlformats.org/officeDocument/2006/relationships/hyperlink" Target="https://www.smwcentral.net/?a=details&amp;id=28537&amp;p=section" TargetMode="External"/><Relationship Id="rId1228" Type="http://schemas.openxmlformats.org/officeDocument/2006/relationships/hyperlink" Target="https://dl.smwcentral.net/38745/Hack%200%202%20v1.1.zip" TargetMode="External"/><Relationship Id="rId1435" Type="http://schemas.openxmlformats.org/officeDocument/2006/relationships/hyperlink" Target="https://www.smwcentral.net/?a=details&amp;id=15956&amp;p=section" TargetMode="External"/><Relationship Id="rId4798" Type="http://schemas.openxmlformats.org/officeDocument/2006/relationships/hyperlink" Target="https://dl.smwcentral.net/42107/4BoosOfTheApocalypse.zip" TargetMode="External"/><Relationship Id="rId1642" Type="http://schemas.openxmlformats.org/officeDocument/2006/relationships/hyperlink" Target="https://dl.smwcentral.net/35061/Kuuwote%27s%20Level%20Pack%20%232%20%28fixed%29.zip" TargetMode="External"/><Relationship Id="rId2900" Type="http://schemas.openxmlformats.org/officeDocument/2006/relationships/hyperlink" Target="https://dl.smwcentral.net/35284/Random_BS_Go.zip" TargetMode="External"/><Relationship Id="rId1502" Type="http://schemas.openxmlformats.org/officeDocument/2006/relationships/hyperlink" Target="https://dl.smwcentral.net/5492/Just%20Blob.zip" TargetMode="External"/><Relationship Id="rId4658" Type="http://schemas.openxmlformats.org/officeDocument/2006/relationships/hyperlink" Target="https://dl.smwcentral.net/10071/Teh%20Hack.zip" TargetMode="External"/><Relationship Id="rId4865" Type="http://schemas.openxmlformats.org/officeDocument/2006/relationships/hyperlink" Target="https://www.smwcentral.net/?a=details&amp;id=39497&amp;p=section" TargetMode="External"/><Relationship Id="rId388" Type="http://schemas.openxmlformats.org/officeDocument/2006/relationships/hyperlink" Target="https://dl.smwcentral.net/11477/Banzai%20Mario%20World.zip" TargetMode="External"/><Relationship Id="rId2069" Type="http://schemas.openxmlformats.org/officeDocument/2006/relationships/hyperlink" Target="https://www.smwcentral.net/?a=details&amp;id=10256&amp;p=section" TargetMode="External"/><Relationship Id="rId3467" Type="http://schemas.openxmlformats.org/officeDocument/2006/relationships/hyperlink" Target="https://www.smwcentral.net/?a=details&amp;id=39453&amp;p=section" TargetMode="External"/><Relationship Id="rId3674" Type="http://schemas.openxmlformats.org/officeDocument/2006/relationships/hyperlink" Target="https://dl.smwcentral.net/40430/SuperLuigiWorldDeluxe.zip" TargetMode="External"/><Relationship Id="rId3881" Type="http://schemas.openxmlformats.org/officeDocument/2006/relationships/hyperlink" Target="https://www.smwcentral.net/?a=details&amp;id=10205&amp;p=section" TargetMode="External"/><Relationship Id="rId4518" Type="http://schemas.openxmlformats.org/officeDocument/2006/relationships/hyperlink" Target="https://dl.smwcentral.net/22253/Super_Swunsh_World1.1.zip" TargetMode="External"/><Relationship Id="rId4725" Type="http://schemas.openxmlformats.org/officeDocument/2006/relationships/hyperlink" Target="https://www.smwcentral.net/?a=details&amp;id=5106&amp;p=section" TargetMode="External"/><Relationship Id="rId4932" Type="http://schemas.openxmlformats.org/officeDocument/2006/relationships/hyperlink" Target="https://dl.smwcentral.net/9982/The%20Plumber%20Saga.zip" TargetMode="External"/><Relationship Id="rId595" Type="http://schemas.openxmlformats.org/officeDocument/2006/relationships/hyperlink" Target="https://www.smwcentral.net/?a=details&amp;id=26500&amp;p=section" TargetMode="External"/><Relationship Id="rId2276" Type="http://schemas.openxmlformats.org/officeDocument/2006/relationships/hyperlink" Target="https://dl.smwcentral.net/13707/MarioDawnToDarkness_fixed.zip" TargetMode="External"/><Relationship Id="rId2483" Type="http://schemas.openxmlformats.org/officeDocument/2006/relationships/hyperlink" Target="https://www.smwcentral.net/?a=details&amp;id=10198&amp;p=section" TargetMode="External"/><Relationship Id="rId2690" Type="http://schemas.openxmlformats.org/officeDocument/2006/relationships/hyperlink" Target="https://dl.smwcentral.net/10283/Outrageous%20Mario%20World%206_2.zip" TargetMode="External"/><Relationship Id="rId3327" Type="http://schemas.openxmlformats.org/officeDocument/2006/relationships/hyperlink" Target="https://www.smwcentral.net/?a=details&amp;id=40229&amp;p=section" TargetMode="External"/><Relationship Id="rId3534" Type="http://schemas.openxmlformats.org/officeDocument/2006/relationships/hyperlink" Target="https://dl.smwcentral.net/31454/FlashWorld.zip" TargetMode="External"/><Relationship Id="rId3741" Type="http://schemas.openxmlformats.org/officeDocument/2006/relationships/hyperlink" Target="https://www.smwcentral.net/?a=details&amp;id=15456&amp;p=section" TargetMode="External"/><Relationship Id="rId248" Type="http://schemas.openxmlformats.org/officeDocument/2006/relationships/hyperlink" Target="https://dl.smwcentral.net/9993/Aionios%20Dynami.zip" TargetMode="External"/><Relationship Id="rId455" Type="http://schemas.openxmlformats.org/officeDocument/2006/relationships/hyperlink" Target="https://www.smwcentral.net/?a=details&amp;id=27212&amp;p=section" TargetMode="External"/><Relationship Id="rId662" Type="http://schemas.openxmlformats.org/officeDocument/2006/relationships/hyperlink" Target="https://dl.smwcentral.net/33810/Chicanery.zip" TargetMode="External"/><Relationship Id="rId1085" Type="http://schemas.openxmlformats.org/officeDocument/2006/relationships/hyperlink" Target="https://www.smwcentral.net/?a=details&amp;id=32790&amp;p=section" TargetMode="External"/><Relationship Id="rId1292" Type="http://schemas.openxmlformats.org/officeDocument/2006/relationships/hyperlink" Target="https://dl.smwcentral.net/32655/Hardcore_Mario.zip" TargetMode="External"/><Relationship Id="rId2136" Type="http://schemas.openxmlformats.org/officeDocument/2006/relationships/hyperlink" Target="https://dl.smwcentral.net/21139/MariosDayOff.zip" TargetMode="External"/><Relationship Id="rId2343" Type="http://schemas.openxmlformats.org/officeDocument/2006/relationships/hyperlink" Target="https://www.smwcentral.net/?a=details&amp;id=37658&amp;p=section" TargetMode="External"/><Relationship Id="rId2550" Type="http://schemas.openxmlformats.org/officeDocument/2006/relationships/hyperlink" Target="https://dl.smwcentral.net/38111/Nightmare%20Cafe%20-%20Ninji%27s%20Adventure%20V1.0A.zip" TargetMode="External"/><Relationship Id="rId3601" Type="http://schemas.openxmlformats.org/officeDocument/2006/relationships/hyperlink" Target="https://www.smwcentral.net/?a=details&amp;id=33988&amp;p=section" TargetMode="External"/><Relationship Id="rId108" Type="http://schemas.openxmlformats.org/officeDocument/2006/relationships/hyperlink" Target="https://dl.smwcentral.net/10456/GW.zip" TargetMode="External"/><Relationship Id="rId315" Type="http://schemas.openxmlformats.org/officeDocument/2006/relationships/hyperlink" Target="https://www.smwcentral.net/?a=details&amp;id=42560&amp;p=section" TargetMode="External"/><Relationship Id="rId522" Type="http://schemas.openxmlformats.org/officeDocument/2006/relationships/hyperlink" Target="https://dl.smwcentral.net/35118/Bowser%27s%20Revenge%20v1.1.zip" TargetMode="External"/><Relationship Id="rId1152" Type="http://schemas.openxmlformats.org/officeDocument/2006/relationships/hyperlink" Target="https://dl.smwcentral.net/38899/gemstones.zip" TargetMode="External"/><Relationship Id="rId2203" Type="http://schemas.openxmlformats.org/officeDocument/2006/relationships/hyperlink" Target="https://www.smwcentral.net/?a=details&amp;id=9816&amp;p=section" TargetMode="External"/><Relationship Id="rId2410" Type="http://schemas.openxmlformats.org/officeDocument/2006/relationships/hyperlink" Target="https://dl.smwcentral.net/21516/Much%20Ado%20About%20Eggs.zip" TargetMode="External"/><Relationship Id="rId5359" Type="http://schemas.openxmlformats.org/officeDocument/2006/relationships/hyperlink" Target="https://www.smwcentral.net/?a=details&amp;id=34920&amp;p=section" TargetMode="External"/><Relationship Id="rId1012" Type="http://schemas.openxmlformats.org/officeDocument/2006/relationships/hyperlink" Target="https://dl.smwcentral.net/31571/Everything%20Is%20Not%20All%20Right.zip" TargetMode="External"/><Relationship Id="rId4168" Type="http://schemas.openxmlformats.org/officeDocument/2006/relationships/hyperlink" Target="https://dl.smwcentral.net/6467/SMW%20La%20Nouvelle%20Vague.zip" TargetMode="External"/><Relationship Id="rId4375" Type="http://schemas.openxmlformats.org/officeDocument/2006/relationships/hyperlink" Target="https://www.smwcentral.net/?a=details&amp;id=9882&amp;p=section" TargetMode="External"/><Relationship Id="rId5219" Type="http://schemas.openxmlformats.org/officeDocument/2006/relationships/hyperlink" Target="https://www.smwcentral.net/?a=details&amp;id=40070&amp;p=section" TargetMode="External"/><Relationship Id="rId5426" Type="http://schemas.openxmlformats.org/officeDocument/2006/relationships/hyperlink" Target="https://dl.smwcentral.net/22346/Xulaph_Kaizo_World.zip" TargetMode="External"/><Relationship Id="rId1969" Type="http://schemas.openxmlformats.org/officeDocument/2006/relationships/hyperlink" Target="https://www.smwcentral.net/?a=details&amp;id=35757&amp;p=section" TargetMode="External"/><Relationship Id="rId3184" Type="http://schemas.openxmlformats.org/officeDocument/2006/relationships/hyperlink" Target="https://dl.smwcentral.net/34912/Slow_and_Slower.zip" TargetMode="External"/><Relationship Id="rId4028" Type="http://schemas.openxmlformats.org/officeDocument/2006/relationships/hyperlink" Target="https://dl.smwcentral.net/5237/SMW2%20Demo.zip" TargetMode="External"/><Relationship Id="rId4235" Type="http://schemas.openxmlformats.org/officeDocument/2006/relationships/hyperlink" Target="https://www.smwcentral.net/?a=details&amp;id=9767&amp;p=section" TargetMode="External"/><Relationship Id="rId4582" Type="http://schemas.openxmlformats.org/officeDocument/2006/relationships/hyperlink" Target="https://dl.smwcentral.net/10009/Yoshi%27s%20Land%201.zip" TargetMode="External"/><Relationship Id="rId1829" Type="http://schemas.openxmlformats.org/officeDocument/2006/relationships/hyperlink" Target="https://www.smwcentral.net/?a=details&amp;id=38063&amp;p=section" TargetMode="External"/><Relationship Id="rId3391" Type="http://schemas.openxmlformats.org/officeDocument/2006/relationships/hyperlink" Target="https://www.smwcentral.net/?a=details&amp;id=19914&amp;p=section" TargetMode="External"/><Relationship Id="rId4442" Type="http://schemas.openxmlformats.org/officeDocument/2006/relationships/hyperlink" Target="https://dl.smwcentral.net/31608/SRW%20return%20to%20hack%20%28final%29.zip" TargetMode="External"/><Relationship Id="rId3044" Type="http://schemas.openxmlformats.org/officeDocument/2006/relationships/hyperlink" Target="https://dl.smwcentral.net/38971/AWildScytherAppeared.zip" TargetMode="External"/><Relationship Id="rId3251" Type="http://schemas.openxmlformats.org/officeDocument/2006/relationships/hyperlink" Target="https://www.smwcentral.net/?a=details&amp;id=33649&amp;p=section" TargetMode="External"/><Relationship Id="rId4302" Type="http://schemas.openxmlformats.org/officeDocument/2006/relationships/hyperlink" Target="https://dl.smwcentral.net/9805/SMTEC%20Demo%20One%20Final%20Fix.zip" TargetMode="External"/><Relationship Id="rId172" Type="http://schemas.openxmlformats.org/officeDocument/2006/relationships/hyperlink" Target="https://dl.smwcentral.net/15923/A%20Special%20Birthday.zip" TargetMode="External"/><Relationship Id="rId2060" Type="http://schemas.openxmlformats.org/officeDocument/2006/relationships/hyperlink" Target="https://dl.smwcentral.net/28253/Mario%20Saves%20Princess%20Peach.zip" TargetMode="External"/><Relationship Id="rId3111" Type="http://schemas.openxmlformats.org/officeDocument/2006/relationships/hyperlink" Target="https://www.smwcentral.net/?a=details&amp;id=37792&amp;p=section" TargetMode="External"/><Relationship Id="rId989" Type="http://schemas.openxmlformats.org/officeDocument/2006/relationships/hyperlink" Target="https://www.smwcentral.net/?a=details&amp;id=34176&amp;p=section" TargetMode="External"/><Relationship Id="rId2877" Type="http://schemas.openxmlformats.org/officeDocument/2006/relationships/hyperlink" Target="https://www.smwcentral.net/?a=details&amp;id=9985&amp;p=section" TargetMode="External"/><Relationship Id="rId5076" Type="http://schemas.openxmlformats.org/officeDocument/2006/relationships/hyperlink" Target="https://dl.smwcentral.net/40657/THROWING%20HANDS.zip" TargetMode="External"/><Relationship Id="rId5283" Type="http://schemas.openxmlformats.org/officeDocument/2006/relationships/hyperlink" Target="https://www.smwcentral.net/?a=details&amp;id=19028&amp;p=section" TargetMode="External"/><Relationship Id="rId5490" Type="http://schemas.openxmlformats.org/officeDocument/2006/relationships/hyperlink" Target="https://dl.smwcentral.net/39168/%E2%8F%B1%EF%B8%8E%20Slow%20Motion%20Mario.zip" TargetMode="External"/><Relationship Id="rId849" Type="http://schemas.openxmlformats.org/officeDocument/2006/relationships/hyperlink" Target="https://www.smwcentral.net/?a=details&amp;id=21639&amp;p=section" TargetMode="External"/><Relationship Id="rId1479" Type="http://schemas.openxmlformats.org/officeDocument/2006/relationships/hyperlink" Target="https://www.smwcentral.net/?a=details&amp;id=38777&amp;p=section" TargetMode="External"/><Relationship Id="rId1686" Type="http://schemas.openxmlformats.org/officeDocument/2006/relationships/hyperlink" Target="https://dl.smwcentral.net/6828/Lemmy%27s%20Htarw%20v1_1.zip" TargetMode="External"/><Relationship Id="rId3928" Type="http://schemas.openxmlformats.org/officeDocument/2006/relationships/hyperlink" Target="https://dl.smwcentral.net/17584/Super%20Mario%20OWMS.zip" TargetMode="External"/><Relationship Id="rId4092" Type="http://schemas.openxmlformats.org/officeDocument/2006/relationships/hyperlink" Target="https://dl.smwcentral.net/40597/SMW_MIX_BETA2.zip" TargetMode="External"/><Relationship Id="rId5143" Type="http://schemas.openxmlformats.org/officeDocument/2006/relationships/hyperlink" Target="https://www.smwcentral.net/?a=details&amp;id=23974&amp;p=section" TargetMode="External"/><Relationship Id="rId5350" Type="http://schemas.openxmlformats.org/officeDocument/2006/relationships/hyperlink" Target="https://dl.smwcentral.net/5372/Wario%C2%B4s%20Return.zip" TargetMode="External"/><Relationship Id="rId1339" Type="http://schemas.openxmlformats.org/officeDocument/2006/relationships/hyperlink" Target="https://www.smwcentral.net/?a=details&amp;id=14166&amp;p=section" TargetMode="External"/><Relationship Id="rId1893" Type="http://schemas.openxmlformats.org/officeDocument/2006/relationships/hyperlink" Target="https://www.smwcentral.net/?a=details&amp;id=5113&amp;p=section" TargetMode="External"/><Relationship Id="rId2737" Type="http://schemas.openxmlformats.org/officeDocument/2006/relationships/hyperlink" Target="https://www.smwcentral.net/?a=details&amp;id=15088&amp;p=section" TargetMode="External"/><Relationship Id="rId2944" Type="http://schemas.openxmlformats.org/officeDocument/2006/relationships/hyperlink" Target="https://dl.smwcentral.net/4964/revenge%20of%20bowser%20and%20the%20legend%20of%20the%20seven%20eggs.zip" TargetMode="External"/><Relationship Id="rId5003" Type="http://schemas.openxmlformats.org/officeDocument/2006/relationships/hyperlink" Target="https://www.smwcentral.net/?a=details&amp;id=29914&amp;p=section" TargetMode="External"/><Relationship Id="rId5210" Type="http://schemas.openxmlformats.org/officeDocument/2006/relationships/hyperlink" Target="https://dl.smwcentral.net/22676/UKW2%20Version%201.2.zip" TargetMode="External"/><Relationship Id="rId709" Type="http://schemas.openxmlformats.org/officeDocument/2006/relationships/hyperlink" Target="https://www.smwcentral.net/?a=details&amp;id=19550&amp;p=section" TargetMode="External"/><Relationship Id="rId916" Type="http://schemas.openxmlformats.org/officeDocument/2006/relationships/hyperlink" Target="https://dl.smwcentral.net/28857/Dreams.zip" TargetMode="External"/><Relationship Id="rId1546" Type="http://schemas.openxmlformats.org/officeDocument/2006/relationships/hyperlink" Target="https://dl.smwcentral.net/33210/KaizoMarathon1_1.zip" TargetMode="External"/><Relationship Id="rId1753" Type="http://schemas.openxmlformats.org/officeDocument/2006/relationships/hyperlink" Target="https://www.smwcentral.net/?a=details&amp;id=14809&amp;p=section" TargetMode="External"/><Relationship Id="rId1960" Type="http://schemas.openxmlformats.org/officeDocument/2006/relationships/hyperlink" Target="https://dl.smwcentral.net/37694/Mario%20In%20Lucid%20Dream.zip" TargetMode="External"/><Relationship Id="rId2804" Type="http://schemas.openxmlformats.org/officeDocument/2006/relationships/hyperlink" Target="https://dl.smwcentral.net/5131/Pokeys_Adventure_Demo1_v11.zip" TargetMode="External"/><Relationship Id="rId45" Type="http://schemas.openxmlformats.org/officeDocument/2006/relationships/hyperlink" Target="https://www.smwcentral.net/?a=details&amp;id=38406&amp;p=section" TargetMode="External"/><Relationship Id="rId1406" Type="http://schemas.openxmlformats.org/officeDocument/2006/relationships/hyperlink" Target="https://dl.smwcentral.net/6302/Infinity%20Edge%20%282nd%20Edition%29.zip" TargetMode="External"/><Relationship Id="rId1613" Type="http://schemas.openxmlformats.org/officeDocument/2006/relationships/hyperlink" Target="https://www.smwcentral.net/?a=details&amp;id=18203&amp;p=section" TargetMode="External"/><Relationship Id="rId1820" Type="http://schemas.openxmlformats.org/officeDocument/2006/relationships/hyperlink" Target="https://dl.smwcentral.net/30107/Lydian%20Mario%20World.zip" TargetMode="External"/><Relationship Id="rId4769" Type="http://schemas.openxmlformats.org/officeDocument/2006/relationships/hyperlink" Target="https://www.smwcentral.net/?a=details&amp;id=32750&amp;p=section" TargetMode="External"/><Relationship Id="rId4976" Type="http://schemas.openxmlformats.org/officeDocument/2006/relationships/hyperlink" Target="https://dl.smwcentral.net/9543/TSRP2v2.2.zip" TargetMode="External"/><Relationship Id="rId3578" Type="http://schemas.openxmlformats.org/officeDocument/2006/relationships/hyperlink" Target="https://dl.smwcentral.net/19280/Super%20Herbihalt%20World.zip" TargetMode="External"/><Relationship Id="rId3785" Type="http://schemas.openxmlformats.org/officeDocument/2006/relationships/hyperlink" Target="https://www.smwcentral.net/?a=details&amp;id=31151&amp;p=section" TargetMode="External"/><Relationship Id="rId3992" Type="http://schemas.openxmlformats.org/officeDocument/2006/relationships/hyperlink" Target="https://dl.smwcentral.net/42676/Super%20Mario%20World%20-%20Bowser%27s%20Return%20%282026%20Version%20-%20Update%202%29.zip" TargetMode="External"/><Relationship Id="rId4629" Type="http://schemas.openxmlformats.org/officeDocument/2006/relationships/hyperlink" Target="https://www.smwcentral.net/?a=details&amp;id=10163&amp;p=section" TargetMode="External"/><Relationship Id="rId4836" Type="http://schemas.openxmlformats.org/officeDocument/2006/relationships/hyperlink" Target="https://dl.smwcentral.net/5082/The%20Haunt.zip" TargetMode="External"/><Relationship Id="rId499" Type="http://schemas.openxmlformats.org/officeDocument/2006/relationships/hyperlink" Target="https://www.smwcentral.net/?a=details&amp;id=9774&amp;p=section" TargetMode="External"/><Relationship Id="rId2387" Type="http://schemas.openxmlformats.org/officeDocument/2006/relationships/hyperlink" Target="https://www.smwcentral.net/?a=details&amp;id=18419&amp;p=section" TargetMode="External"/><Relationship Id="rId2594" Type="http://schemas.openxmlformats.org/officeDocument/2006/relationships/hyperlink" Target="https://dl.smwcentral.net/32178/NoBiggieWorld1.1.zip" TargetMode="External"/><Relationship Id="rId3438" Type="http://schemas.openxmlformats.org/officeDocument/2006/relationships/hyperlink" Target="https://dl.smwcentral.net/31821/Broke%20Fixed.zip" TargetMode="External"/><Relationship Id="rId3645" Type="http://schemas.openxmlformats.org/officeDocument/2006/relationships/hyperlink" Target="https://www.smwcentral.net/?a=details&amp;id=40178&amp;p=section" TargetMode="External"/><Relationship Id="rId3852" Type="http://schemas.openxmlformats.org/officeDocument/2006/relationships/hyperlink" Target="https://dl.smwcentral.net/10184/Super%20Mario%20Expedition.zip" TargetMode="External"/><Relationship Id="rId359" Type="http://schemas.openxmlformats.org/officeDocument/2006/relationships/hyperlink" Target="https://www.smwcentral.net/?a=details&amp;id=21408&amp;p=section" TargetMode="External"/><Relationship Id="rId566" Type="http://schemas.openxmlformats.org/officeDocument/2006/relationships/hyperlink" Target="https://dl.smwcentral.net/34494/bunbun3v1.01.zip" TargetMode="External"/><Relationship Id="rId773" Type="http://schemas.openxmlformats.org/officeDocument/2006/relationships/hyperlink" Target="https://www.smwcentral.net/?a=details&amp;id=27355&amp;p=section" TargetMode="External"/><Relationship Id="rId1196" Type="http://schemas.openxmlformats.org/officeDocument/2006/relationships/hyperlink" Target="https://dl.smwcentral.net/39587/Gratitude%201_1.zip" TargetMode="External"/><Relationship Id="rId2247" Type="http://schemas.openxmlformats.org/officeDocument/2006/relationships/hyperlink" Target="https://www.smwcentral.net/?a=details&amp;id=14710&amp;p=section" TargetMode="External"/><Relationship Id="rId2454" Type="http://schemas.openxmlformats.org/officeDocument/2006/relationships/hyperlink" Target="https://dl.smwcentral.net/38186/Myth%20of%20Mana%201.2.zip" TargetMode="External"/><Relationship Id="rId3505" Type="http://schemas.openxmlformats.org/officeDocument/2006/relationships/hyperlink" Target="https://www.smwcentral.net/?a=details&amp;id=40662&amp;p=section" TargetMode="External"/><Relationship Id="rId4903" Type="http://schemas.openxmlformats.org/officeDocument/2006/relationships/hyperlink" Target="https://www.smwcentral.net/?a=details&amp;id=10096&amp;p=section" TargetMode="External"/><Relationship Id="rId219" Type="http://schemas.openxmlformats.org/officeDocument/2006/relationships/hyperlink" Target="https://www.smwcentral.net/?a=details&amp;id=31179&amp;p=section" TargetMode="External"/><Relationship Id="rId426" Type="http://schemas.openxmlformats.org/officeDocument/2006/relationships/hyperlink" Target="https://dl.smwcentral.net/5055/BBG.zip" TargetMode="External"/><Relationship Id="rId633" Type="http://schemas.openxmlformats.org/officeDocument/2006/relationships/hyperlink" Target="https://www.smwcentral.net/?a=details&amp;id=9704&amp;p=section" TargetMode="External"/><Relationship Id="rId980" Type="http://schemas.openxmlformats.org/officeDocument/2006/relationships/hyperlink" Target="https://dl.smwcentral.net/34714/entropy_v101.zip" TargetMode="External"/><Relationship Id="rId1056" Type="http://schemas.openxmlformats.org/officeDocument/2006/relationships/hyperlink" Target="https://dl.smwcentral.net/26571/fedora.zip" TargetMode="External"/><Relationship Id="rId1263" Type="http://schemas.openxmlformats.org/officeDocument/2006/relationships/hyperlink" Target="https://www.smwcentral.net/?a=details&amp;id=39722&amp;p=section" TargetMode="External"/><Relationship Id="rId2107" Type="http://schemas.openxmlformats.org/officeDocument/2006/relationships/hyperlink" Target="https://www.smwcentral.net/?a=details&amp;id=13372&amp;p=section" TargetMode="External"/><Relationship Id="rId2314" Type="http://schemas.openxmlformats.org/officeDocument/2006/relationships/hyperlink" Target="https://dl.smwcentral.net/39059/Mastery%20Shells.zip" TargetMode="External"/><Relationship Id="rId2661" Type="http://schemas.openxmlformats.org/officeDocument/2006/relationships/hyperlink" Target="https://www.smwcentral.net/?a=details&amp;id=16348&amp;p=section" TargetMode="External"/><Relationship Id="rId3712" Type="http://schemas.openxmlformats.org/officeDocument/2006/relationships/hyperlink" Target="https://dl.smwcentral.net/23339/Super%20Mario%2032%20Levels.zip" TargetMode="External"/><Relationship Id="rId840" Type="http://schemas.openxmlformats.org/officeDocument/2006/relationships/hyperlink" Target="https://dl.smwcentral.net/34025/DEEZ%20shells.zip" TargetMode="External"/><Relationship Id="rId1470" Type="http://schemas.openxmlformats.org/officeDocument/2006/relationships/hyperlink" Target="https://dl.smwcentral.net/38785/Jono%20Hack%201.0.0.zip" TargetMode="External"/><Relationship Id="rId2521" Type="http://schemas.openxmlformats.org/officeDocument/2006/relationships/hyperlink" Target="https://www.smwcentral.net/?a=details&amp;id=34324&amp;p=section" TargetMode="External"/><Relationship Id="rId4279" Type="http://schemas.openxmlformats.org/officeDocument/2006/relationships/hyperlink" Target="https://www.smwcentral.net/?a=details&amp;id=9747&amp;p=section" TargetMode="External"/><Relationship Id="rId700" Type="http://schemas.openxmlformats.org/officeDocument/2006/relationships/hyperlink" Target="https://dl.smwcentral.net/19575/CMW2_fixed.zip" TargetMode="External"/><Relationship Id="rId1123" Type="http://schemas.openxmlformats.org/officeDocument/2006/relationships/hyperlink" Target="https://www.smwcentral.net/?a=details&amp;id=27158&amp;p=section" TargetMode="External"/><Relationship Id="rId1330" Type="http://schemas.openxmlformats.org/officeDocument/2006/relationships/hyperlink" Target="https://dl.smwcentral.net/9956/HILTSWALTB.zip" TargetMode="External"/><Relationship Id="rId3088" Type="http://schemas.openxmlformats.org/officeDocument/2006/relationships/hyperlink" Target="https://dl.smwcentral.net/41448/SHELLS%204%20KIDULTS%20BY%20N3TS.zip" TargetMode="External"/><Relationship Id="rId4486" Type="http://schemas.openxmlformats.org/officeDocument/2006/relationships/hyperlink" Target="https://dl.smwcentral.net/38184/SuperSigmaWorld.zip" TargetMode="External"/><Relationship Id="rId4693" Type="http://schemas.openxmlformats.org/officeDocument/2006/relationships/hyperlink" Target="https://www.smwcentral.net/?a=details&amp;id=29409&amp;p=section" TargetMode="External"/><Relationship Id="rId3295" Type="http://schemas.openxmlformats.org/officeDocument/2006/relationships/hyperlink" Target="https://www.smwcentral.net/?a=details&amp;id=37804&amp;p=section" TargetMode="External"/><Relationship Id="rId4139" Type="http://schemas.openxmlformats.org/officeDocument/2006/relationships/hyperlink" Target="https://www.smwcentral.net/?a=details&amp;id=11608&amp;p=section" TargetMode="External"/><Relationship Id="rId4346" Type="http://schemas.openxmlformats.org/officeDocument/2006/relationships/hyperlink" Target="https://dl.smwcentral.net/40837/SUPER%20NETS%20KAIZO%20WORLD%202.zip" TargetMode="External"/><Relationship Id="rId4553" Type="http://schemas.openxmlformats.org/officeDocument/2006/relationships/hyperlink" Target="https://www.smwcentral.net/?a=details&amp;id=17982&amp;p=section" TargetMode="External"/><Relationship Id="rId4760" Type="http://schemas.openxmlformats.org/officeDocument/2006/relationships/hyperlink" Target="https://dl.smwcentral.net/41893/The%20Dimensional%20Castle%20Starring%20Aeron%20%28version%201.3.8.2%29.zip" TargetMode="External"/><Relationship Id="rId3155" Type="http://schemas.openxmlformats.org/officeDocument/2006/relationships/hyperlink" Target="https://www.smwcentral.net/?a=details&amp;id=38720&amp;p=section" TargetMode="External"/><Relationship Id="rId3362" Type="http://schemas.openxmlformats.org/officeDocument/2006/relationships/hyperlink" Target="https://dl.smwcentral.net/41376/Staycation.zip" TargetMode="External"/><Relationship Id="rId4206" Type="http://schemas.openxmlformats.org/officeDocument/2006/relationships/hyperlink" Target="https://dl.smwcentral.net/6410/New%20Super%20Mario%20World%20-%20The%20%20Lost%20Levels.zip" TargetMode="External"/><Relationship Id="rId4413" Type="http://schemas.openxmlformats.org/officeDocument/2006/relationships/hyperlink" Target="https://www.smwcentral.net/?a=details&amp;id=27712&amp;p=section" TargetMode="External"/><Relationship Id="rId4620" Type="http://schemas.openxmlformats.org/officeDocument/2006/relationships/hyperlink" Target="https://dl.smwcentral.net/21634/T3rminus%20Journey%C2%B4s%20End.zip" TargetMode="External"/><Relationship Id="rId283" Type="http://schemas.openxmlformats.org/officeDocument/2006/relationships/hyperlink" Target="https://www.smwcentral.net/?a=details&amp;id=10216&amp;p=section" TargetMode="External"/><Relationship Id="rId490" Type="http://schemas.openxmlformats.org/officeDocument/2006/relationships/hyperlink" Target="https://dl.smwcentral.net/11682/Bowser%20JR.s%20pirate%20ship.zip" TargetMode="External"/><Relationship Id="rId2171" Type="http://schemas.openxmlformats.org/officeDocument/2006/relationships/hyperlink" Target="https://www.smwcentral.net/?a=details&amp;id=5317&amp;p=section" TargetMode="External"/><Relationship Id="rId3015" Type="http://schemas.openxmlformats.org/officeDocument/2006/relationships/hyperlink" Target="https://www.smwcentral.net/?a=details&amp;id=38077&amp;p=section" TargetMode="External"/><Relationship Id="rId3222" Type="http://schemas.openxmlformats.org/officeDocument/2006/relationships/hyperlink" Target="https://dl.smwcentral.net/9686/SMWR.zip" TargetMode="External"/><Relationship Id="rId143" Type="http://schemas.openxmlformats.org/officeDocument/2006/relationships/hyperlink" Target="https://www.smwcentral.net/?a=details&amp;id=22382&amp;p=section" TargetMode="External"/><Relationship Id="rId350" Type="http://schemas.openxmlformats.org/officeDocument/2006/relationships/hyperlink" Target="https://dl.smwcentral.net/37783/Attempt%20at%20a%20normal%20hack%20v1.11.zip" TargetMode="External"/><Relationship Id="rId2031" Type="http://schemas.openxmlformats.org/officeDocument/2006/relationships/hyperlink" Target="https://www.smwcentral.net/?a=details&amp;id=24890&amp;p=section" TargetMode="External"/><Relationship Id="rId5187" Type="http://schemas.openxmlformats.org/officeDocument/2006/relationships/hyperlink" Target="https://www.smwcentral.net/?a=details&amp;id=35741&amp;p=section" TargetMode="External"/><Relationship Id="rId5394" Type="http://schemas.openxmlformats.org/officeDocument/2006/relationships/hyperlink" Target="https://dl.smwcentral.net/10412/WMW.zip" TargetMode="External"/><Relationship Id="rId9" Type="http://schemas.openxmlformats.org/officeDocument/2006/relationships/hyperlink" Target="https://www.smwcentral.net/?a=details&amp;id=32479&amp;p=section" TargetMode="External"/><Relationship Id="rId210" Type="http://schemas.openxmlformats.org/officeDocument/2006/relationships/hyperlink" Target="https://dl.smwcentral.net/32964/A1%20Mario%20World%20vA.01.zip" TargetMode="External"/><Relationship Id="rId2988" Type="http://schemas.openxmlformats.org/officeDocument/2006/relationships/hyperlink" Target="https://dl.smwcentral.net/35290/Rooms%20of%20Despair.zip" TargetMode="External"/><Relationship Id="rId5047" Type="http://schemas.openxmlformats.org/officeDocument/2006/relationships/hyperlink" Target="https://www.smwcentral.net/?a=details&amp;id=10025&amp;p=section" TargetMode="External"/><Relationship Id="rId5254" Type="http://schemas.openxmlformats.org/officeDocument/2006/relationships/hyperlink" Target="https://dl.smwcentral.net/32577/Untamed_v2.zip" TargetMode="External"/><Relationship Id="rId1797" Type="http://schemas.openxmlformats.org/officeDocument/2006/relationships/hyperlink" Target="https://www.smwcentral.net/?a=details&amp;id=37057&amp;p=section" TargetMode="External"/><Relationship Id="rId2848" Type="http://schemas.openxmlformats.org/officeDocument/2006/relationships/hyperlink" Target="https://dl.smwcentral.net/17956/PJH%203%20-%20MLM.zip" TargetMode="External"/><Relationship Id="rId5461" Type="http://schemas.openxmlformats.org/officeDocument/2006/relationships/hyperlink" Target="https://www.smwcentral.net/?a=details&amp;id=10302&amp;p=section" TargetMode="External"/><Relationship Id="rId89" Type="http://schemas.openxmlformats.org/officeDocument/2006/relationships/hyperlink" Target="https://www.smwcentral.net/?a=details&amp;id=32181&amp;p=section" TargetMode="External"/><Relationship Id="rId1657" Type="http://schemas.openxmlformats.org/officeDocument/2006/relationships/hyperlink" Target="https://www.smwcentral.net/?a=details&amp;id=39020&amp;p=section" TargetMode="External"/><Relationship Id="rId1864" Type="http://schemas.openxmlformats.org/officeDocument/2006/relationships/hyperlink" Target="https://dl.smwcentral.net/28604/White%20Castle.zip" TargetMode="External"/><Relationship Id="rId2708" Type="http://schemas.openxmlformats.org/officeDocument/2006/relationships/hyperlink" Target="https://dl.smwcentral.net/39148/Pandarosa%20v1.6.zip" TargetMode="External"/><Relationship Id="rId2915" Type="http://schemas.openxmlformats.org/officeDocument/2006/relationships/hyperlink" Target="https://www.smwcentral.net/?a=details&amp;id=35559&amp;p=section" TargetMode="External"/><Relationship Id="rId4063" Type="http://schemas.openxmlformats.org/officeDocument/2006/relationships/hyperlink" Target="https://www.smwcentral.net/?a=details&amp;id=28581&amp;p=section" TargetMode="External"/><Relationship Id="rId4270" Type="http://schemas.openxmlformats.org/officeDocument/2006/relationships/hyperlink" Target="https://dl.smwcentral.net/10111/SM%20-%20BS%20dehmoh.zip" TargetMode="External"/><Relationship Id="rId5114" Type="http://schemas.openxmlformats.org/officeDocument/2006/relationships/hyperlink" Target="https://dl.smwcentral.net/42620/Toad%27s%20World%20%282026%20Version%201.2%29.zip" TargetMode="External"/><Relationship Id="rId5321" Type="http://schemas.openxmlformats.org/officeDocument/2006/relationships/hyperlink" Target="https://www.smwcentral.net/?a=details&amp;id=13214&amp;p=section" TargetMode="External"/><Relationship Id="rId1517" Type="http://schemas.openxmlformats.org/officeDocument/2006/relationships/hyperlink" Target="https://www.smwcentral.net/?a=details&amp;id=9899&amp;p=section" TargetMode="External"/><Relationship Id="rId1724" Type="http://schemas.openxmlformats.org/officeDocument/2006/relationships/hyperlink" Target="https://dl.smwcentral.net/9916/Lost%20and%20Found%20Full%20version.zip" TargetMode="External"/><Relationship Id="rId4130" Type="http://schemas.openxmlformats.org/officeDocument/2006/relationships/hyperlink" Target="https://dl.smwcentral.net/40321/Super%20Mario%20World%20-%20Adventure%20in%20Forest%20Land%20v1.0.zip" TargetMode="External"/><Relationship Id="rId16" Type="http://schemas.openxmlformats.org/officeDocument/2006/relationships/hyperlink" Target="https://dl.smwcentral.net/38104/100%20Rooms%20of%20Enemies%20-%2010th%20Anniversary%20Edition.zip" TargetMode="External"/><Relationship Id="rId1931" Type="http://schemas.openxmlformats.org/officeDocument/2006/relationships/hyperlink" Target="https://www.smwcentral.net/?a=details&amp;id=26935&amp;p=section" TargetMode="External"/><Relationship Id="rId3689" Type="http://schemas.openxmlformats.org/officeDocument/2006/relationships/hyperlink" Target="https://www.smwcentral.net/?a=details&amp;id=42519&amp;p=section" TargetMode="External"/><Relationship Id="rId3896" Type="http://schemas.openxmlformats.org/officeDocument/2006/relationships/hyperlink" Target="https://dl.smwcentral.net/14243/sml%20demo2.zip" TargetMode="External"/><Relationship Id="rId2498" Type="http://schemas.openxmlformats.org/officeDocument/2006/relationships/hyperlink" Target="https://dl.smwcentral.net/35173/New%20Nightmare%20Cafe%205%20V1.zip" TargetMode="External"/><Relationship Id="rId3549" Type="http://schemas.openxmlformats.org/officeDocument/2006/relationships/hyperlink" Target="https://www.smwcentral.net/?a=details&amp;id=31123&amp;p=section" TargetMode="External"/><Relationship Id="rId4947" Type="http://schemas.openxmlformats.org/officeDocument/2006/relationships/hyperlink" Target="https://www.smwcentral.net/?a=details&amp;id=26558&amp;p=section" TargetMode="External"/><Relationship Id="rId677" Type="http://schemas.openxmlformats.org/officeDocument/2006/relationships/hyperlink" Target="https://www.smwcentral.net/?a=details&amp;id=37901&amp;p=section" TargetMode="External"/><Relationship Id="rId2358" Type="http://schemas.openxmlformats.org/officeDocument/2006/relationships/hyperlink" Target="https://dl.smwcentral.net/27345/MidnightLightning1.1.zip" TargetMode="External"/><Relationship Id="rId3756" Type="http://schemas.openxmlformats.org/officeDocument/2006/relationships/hyperlink" Target="https://dl.smwcentral.net/35786/Super%20Mario%20Bros%20-%20Merry%20Moutaint%20Christmas%20Adventure%20-%20SMW%20Christmas%20Edition%20V3.2.zip" TargetMode="External"/><Relationship Id="rId3963" Type="http://schemas.openxmlformats.org/officeDocument/2006/relationships/hyperlink" Target="https://www.smwcentral.net/?a=details&amp;id=9841&amp;p=section" TargetMode="External"/><Relationship Id="rId4807" Type="http://schemas.openxmlformats.org/officeDocument/2006/relationships/hyperlink" Target="https://www.smwcentral.net/?a=details&amp;id=31221&amp;p=section" TargetMode="External"/><Relationship Id="rId884" Type="http://schemas.openxmlformats.org/officeDocument/2006/relationships/hyperlink" Target="https://dl.smwcentral.net/27833/horses1.2.zip" TargetMode="External"/><Relationship Id="rId2565" Type="http://schemas.openxmlformats.org/officeDocument/2006/relationships/hyperlink" Target="https://www.smwcentral.net/?a=details&amp;id=27733&amp;p=section" TargetMode="External"/><Relationship Id="rId2772" Type="http://schemas.openxmlformats.org/officeDocument/2006/relationships/hyperlink" Target="https://dl.smwcentral.net/18608/Pit%20Of%20God.zip" TargetMode="External"/><Relationship Id="rId3409" Type="http://schemas.openxmlformats.org/officeDocument/2006/relationships/hyperlink" Target="https://www.smwcentral.net/?a=details&amp;id=42415&amp;p=section" TargetMode="External"/><Relationship Id="rId3616" Type="http://schemas.openxmlformats.org/officeDocument/2006/relationships/hyperlink" Target="https://dl.smwcentral.net/35498/Kamek%20World.zip" TargetMode="External"/><Relationship Id="rId3823" Type="http://schemas.openxmlformats.org/officeDocument/2006/relationships/hyperlink" Target="https://www.smwcentral.net/?a=details&amp;id=30202&amp;p=section" TargetMode="External"/><Relationship Id="rId537" Type="http://schemas.openxmlformats.org/officeDocument/2006/relationships/hyperlink" Target="https://www.smwcentral.net/?a=details&amp;id=22536&amp;p=section" TargetMode="External"/><Relationship Id="rId744" Type="http://schemas.openxmlformats.org/officeDocument/2006/relationships/hyperlink" Target="https://dl.smwcentral.net/18476/CoolZone.zip" TargetMode="External"/><Relationship Id="rId951" Type="http://schemas.openxmlformats.org/officeDocument/2006/relationships/hyperlink" Target="https://www.smwcentral.net/?a=details&amp;id=9784&amp;p=section" TargetMode="External"/><Relationship Id="rId1167" Type="http://schemas.openxmlformats.org/officeDocument/2006/relationships/hyperlink" Target="https://www.smwcentral.net/?a=details&amp;id=39080&amp;p=section" TargetMode="External"/><Relationship Id="rId1374" Type="http://schemas.openxmlformats.org/officeDocument/2006/relationships/hyperlink" Target="https://dl.smwcentral.net/39650/Illuminati.zip" TargetMode="External"/><Relationship Id="rId1581" Type="http://schemas.openxmlformats.org/officeDocument/2006/relationships/hyperlink" Target="https://www.smwcentral.net/?a=details&amp;id=10113&amp;p=section" TargetMode="External"/><Relationship Id="rId2218" Type="http://schemas.openxmlformats.org/officeDocument/2006/relationships/hyperlink" Target="https://dl.smwcentral.net/25924/Mario%27s%20Redemption%20Quest%20v1.1.zip" TargetMode="External"/><Relationship Id="rId2425" Type="http://schemas.openxmlformats.org/officeDocument/2006/relationships/hyperlink" Target="https://www.smwcentral.net/?a=details&amp;id=20595&amp;p=section" TargetMode="External"/><Relationship Id="rId2632" Type="http://schemas.openxmlformats.org/officeDocument/2006/relationships/hyperlink" Target="https://dl.smwcentral.net/41331/obstinate%20v1.0.zip" TargetMode="External"/><Relationship Id="rId80" Type="http://schemas.openxmlformats.org/officeDocument/2006/relationships/hyperlink" Target="https://dl.smwcentral.net/27975/8%3B40.zip" TargetMode="External"/><Relationship Id="rId604" Type="http://schemas.openxmlformats.org/officeDocument/2006/relationships/hyperlink" Target="https://dl.smwcentral.net/21010/Captain%20Barry%27s%20Treasure%20V1.2.zip" TargetMode="External"/><Relationship Id="rId811" Type="http://schemas.openxmlformats.org/officeDocument/2006/relationships/hyperlink" Target="https://www.smwcentral.net/?a=details&amp;id=32591&amp;p=section" TargetMode="External"/><Relationship Id="rId1027" Type="http://schemas.openxmlformats.org/officeDocument/2006/relationships/hyperlink" Target="https://www.smwcentral.net/?a=details&amp;id=39342&amp;p=section" TargetMode="External"/><Relationship Id="rId1234" Type="http://schemas.openxmlformats.org/officeDocument/2006/relationships/hyperlink" Target="https://dl.smwcentral.net/25269/Hack%201%202%202.zip" TargetMode="External"/><Relationship Id="rId1441" Type="http://schemas.openxmlformats.org/officeDocument/2006/relationships/hyperlink" Target="https://www.smwcentral.net/?a=details&amp;id=10285&amp;p=section" TargetMode="External"/><Relationship Id="rId4597" Type="http://schemas.openxmlformats.org/officeDocument/2006/relationships/hyperlink" Target="https://www.smwcentral.net/?a=details&amp;id=32222&amp;p=section" TargetMode="External"/><Relationship Id="rId1301" Type="http://schemas.openxmlformats.org/officeDocument/2006/relationships/hyperlink" Target="https://www.smwcentral.net/?a=details&amp;id=28326&amp;p=section" TargetMode="External"/><Relationship Id="rId3199" Type="http://schemas.openxmlformats.org/officeDocument/2006/relationships/hyperlink" Target="https://www.smwcentral.net/?a=details&amp;id=10107&amp;p=section" TargetMode="External"/><Relationship Id="rId4457" Type="http://schemas.openxmlformats.org/officeDocument/2006/relationships/hyperlink" Target="https://www.smwcentral.net/?a=details&amp;id=20717&amp;p=section" TargetMode="External"/><Relationship Id="rId4664" Type="http://schemas.openxmlformats.org/officeDocument/2006/relationships/hyperlink" Target="https://dl.smwcentral.net/32788/TEN%20v1.2b.zip" TargetMode="External"/><Relationship Id="rId3059" Type="http://schemas.openxmlformats.org/officeDocument/2006/relationships/hyperlink" Target="https://www.smwcentral.net/?a=details&amp;id=5099&amp;p=section" TargetMode="External"/><Relationship Id="rId3266" Type="http://schemas.openxmlformats.org/officeDocument/2006/relationships/hyperlink" Target="https://dl.smwcentral.net/10118/SMWRemixD1.1.zip" TargetMode="External"/><Relationship Id="rId3473" Type="http://schemas.openxmlformats.org/officeDocument/2006/relationships/hyperlink" Target="https://www.smwcentral.net/?a=details&amp;id=9637&amp;p=section" TargetMode="External"/><Relationship Id="rId4317" Type="http://schemas.openxmlformats.org/officeDocument/2006/relationships/hyperlink" Target="https://www.smwcentral.net/?a=details&amp;id=31968&amp;p=section" TargetMode="External"/><Relationship Id="rId4524" Type="http://schemas.openxmlformats.org/officeDocument/2006/relationships/hyperlink" Target="https://dl.smwcentral.net/39927/Super%20Tapes%20World.zip" TargetMode="External"/><Relationship Id="rId4871" Type="http://schemas.openxmlformats.org/officeDocument/2006/relationships/hyperlink" Target="https://www.smwcentral.net/?a=details&amp;id=9525&amp;p=section" TargetMode="External"/><Relationship Id="rId187" Type="http://schemas.openxmlformats.org/officeDocument/2006/relationships/hyperlink" Target="https://www.smwcentral.net/?a=details&amp;id=17125&amp;p=section" TargetMode="External"/><Relationship Id="rId394" Type="http://schemas.openxmlformats.org/officeDocument/2006/relationships/hyperlink" Target="https://dl.smwcentral.net/22210/2020%20Basic%20Mario%20UPDATE.zip" TargetMode="External"/><Relationship Id="rId2075" Type="http://schemas.openxmlformats.org/officeDocument/2006/relationships/hyperlink" Target="https://www.smwcentral.net/?a=details&amp;id=9814&amp;p=section" TargetMode="External"/><Relationship Id="rId2282" Type="http://schemas.openxmlformats.org/officeDocument/2006/relationships/hyperlink" Target="https://dl.smwcentral.net/17178/MarioAdventureInTheDreamWorld.zip" TargetMode="External"/><Relationship Id="rId3126" Type="http://schemas.openxmlformats.org/officeDocument/2006/relationships/hyperlink" Target="https://dl.smwcentral.net/38084/Shooey.zip" TargetMode="External"/><Relationship Id="rId3680" Type="http://schemas.openxmlformats.org/officeDocument/2006/relationships/hyperlink" Target="https://dl.smwcentral.net/29309/Super%20Luigi%20King%20Koopa%20and%20the%20PU.zip" TargetMode="External"/><Relationship Id="rId4731" Type="http://schemas.openxmlformats.org/officeDocument/2006/relationships/hyperlink" Target="https://www.smwcentral.net/?a=details&amp;id=38710&amp;p=section" TargetMode="External"/><Relationship Id="rId254" Type="http://schemas.openxmlformats.org/officeDocument/2006/relationships/hyperlink" Target="https://dl.smwcentral.net/33026/Alabaras%20Shells%201.2.zip" TargetMode="External"/><Relationship Id="rId1091" Type="http://schemas.openxmlformats.org/officeDocument/2006/relationships/hyperlink" Target="https://www.smwcentral.net/?a=details&amp;id=38315&amp;p=section" TargetMode="External"/><Relationship Id="rId3333" Type="http://schemas.openxmlformats.org/officeDocument/2006/relationships/hyperlink" Target="https://www.smwcentral.net/?a=details&amp;id=38128&amp;p=section" TargetMode="External"/><Relationship Id="rId3540" Type="http://schemas.openxmlformats.org/officeDocument/2006/relationships/hyperlink" Target="https://dl.smwcentral.net/31166/Super%20Foo%20World%201.1.zip" TargetMode="External"/><Relationship Id="rId5298" Type="http://schemas.openxmlformats.org/officeDocument/2006/relationships/hyperlink" Target="https://dl.smwcentral.net/40105/veryhard.zip" TargetMode="External"/><Relationship Id="rId114" Type="http://schemas.openxmlformats.org/officeDocument/2006/relationships/hyperlink" Target="https://dl.smwcentral.net/21887/A%20halloween%20walk%20%28Music%20Fixed%29.zip" TargetMode="External"/><Relationship Id="rId461" Type="http://schemas.openxmlformats.org/officeDocument/2006/relationships/hyperlink" Target="https://www.smwcentral.net/?a=details&amp;id=10194&amp;p=section" TargetMode="External"/><Relationship Id="rId2142" Type="http://schemas.openxmlformats.org/officeDocument/2006/relationships/hyperlink" Target="https://dl.smwcentral.net/10268/MEA2.zip" TargetMode="External"/><Relationship Id="rId3400" Type="http://schemas.openxmlformats.org/officeDocument/2006/relationships/hyperlink" Target="https://dl.smwcentral.net/5443/1UPSuperMarioWorld.zip" TargetMode="External"/><Relationship Id="rId321" Type="http://schemas.openxmlformats.org/officeDocument/2006/relationships/hyperlink" Target="https://www.smwcentral.net/?a=details&amp;id=32317&amp;p=section" TargetMode="External"/><Relationship Id="rId2002" Type="http://schemas.openxmlformats.org/officeDocument/2006/relationships/hyperlink" Target="https://dl.smwcentral.net/29650/keymanship.zip" TargetMode="External"/><Relationship Id="rId2959" Type="http://schemas.openxmlformats.org/officeDocument/2006/relationships/hyperlink" Target="https://www.smwcentral.net/?a=details&amp;id=32137&amp;p=section" TargetMode="External"/><Relationship Id="rId5158" Type="http://schemas.openxmlformats.org/officeDocument/2006/relationships/hyperlink" Target="https://dl.smwcentral.net/38786/Tower_Of_Nopecr.zip" TargetMode="External"/><Relationship Id="rId5365" Type="http://schemas.openxmlformats.org/officeDocument/2006/relationships/hyperlink" Target="https://www.smwcentral.net/?a=details&amp;id=39891&amp;p=section" TargetMode="External"/><Relationship Id="rId1768" Type="http://schemas.openxmlformats.org/officeDocument/2006/relationships/hyperlink" Target="https://dl.smwcentral.net/5127/ladv4_rev0422.zip" TargetMode="External"/><Relationship Id="rId2819" Type="http://schemas.openxmlformats.org/officeDocument/2006/relationships/hyperlink" Target="https://www.smwcentral.net/?a=details&amp;id=34843&amp;p=section" TargetMode="External"/><Relationship Id="rId4174" Type="http://schemas.openxmlformats.org/officeDocument/2006/relationships/hyperlink" Target="https://dl.smwcentral.net/5266/SMWPIEI%20%28fixed%29.zip" TargetMode="External"/><Relationship Id="rId4381" Type="http://schemas.openxmlformats.org/officeDocument/2006/relationships/hyperlink" Target="https://www.smwcentral.net/?a=details&amp;id=24397&amp;p=section" TargetMode="External"/><Relationship Id="rId5018" Type="http://schemas.openxmlformats.org/officeDocument/2006/relationships/hyperlink" Target="https://dl.smwcentral.net/10200/The%20Tower%20Tyrant%20DEMO.zip" TargetMode="External"/><Relationship Id="rId5225" Type="http://schemas.openxmlformats.org/officeDocument/2006/relationships/hyperlink" Target="https://www.smwcentral.net/?a=details&amp;id=28912&amp;p=section" TargetMode="External"/><Relationship Id="rId5432" Type="http://schemas.openxmlformats.org/officeDocument/2006/relationships/hyperlink" Target="https://dl.smwcentral.net/15893/YASH%20F1.0.zip" TargetMode="External"/><Relationship Id="rId1628" Type="http://schemas.openxmlformats.org/officeDocument/2006/relationships/hyperlink" Target="https://dl.smwcentral.net/15921/Kruela%20Mario.zip" TargetMode="External"/><Relationship Id="rId1975" Type="http://schemas.openxmlformats.org/officeDocument/2006/relationships/hyperlink" Target="https://www.smwcentral.net/?a=details&amp;id=22397&amp;p=section" TargetMode="External"/><Relationship Id="rId3190" Type="http://schemas.openxmlformats.org/officeDocument/2006/relationships/hyperlink" Target="https://dl.smwcentral.net/42654/Smoked%20Fish%20and%20Cabbage%20v2.1.zip" TargetMode="External"/><Relationship Id="rId4034" Type="http://schemas.openxmlformats.org/officeDocument/2006/relationships/hyperlink" Target="https://dl.smwcentral.net/28563/SMW3.zip" TargetMode="External"/><Relationship Id="rId4241" Type="http://schemas.openxmlformats.org/officeDocument/2006/relationships/hyperlink" Target="https://www.smwcentral.net/?a=details&amp;id=20336&amp;p=section" TargetMode="External"/><Relationship Id="rId1835" Type="http://schemas.openxmlformats.org/officeDocument/2006/relationships/hyperlink" Target="https://www.smwcentral.net/?a=details&amp;id=9891&amp;p=section" TargetMode="External"/><Relationship Id="rId3050" Type="http://schemas.openxmlformats.org/officeDocument/2006/relationships/hyperlink" Target="https://dl.smwcentral.net/20200/Secret_Of_Mario.zip" TargetMode="External"/><Relationship Id="rId4101" Type="http://schemas.openxmlformats.org/officeDocument/2006/relationships/hyperlink" Target="https://www.smwcentral.net/?a=details&amp;id=41928&amp;p=section" TargetMode="External"/><Relationship Id="rId1902" Type="http://schemas.openxmlformats.org/officeDocument/2006/relationships/hyperlink" Target="https://dl.smwcentral.net/18437/MLSDT2R.zip" TargetMode="External"/><Relationship Id="rId3867" Type="http://schemas.openxmlformats.org/officeDocument/2006/relationships/hyperlink" Target="https://www.smwcentral.net/?a=details&amp;id=9854&amp;p=section" TargetMode="External"/><Relationship Id="rId4918" Type="http://schemas.openxmlformats.org/officeDocument/2006/relationships/hyperlink" Target="https://dl.smwcentral.net/28543/NewComfy1.02.zip" TargetMode="External"/><Relationship Id="rId788" Type="http://schemas.openxmlformats.org/officeDocument/2006/relationships/hyperlink" Target="https://dl.smwcentral.net/40612/cygnus.zip" TargetMode="External"/><Relationship Id="rId995" Type="http://schemas.openxmlformats.org/officeDocument/2006/relationships/hyperlink" Target="https://www.smwcentral.net/?a=details&amp;id=14533&amp;p=section" TargetMode="External"/><Relationship Id="rId2469" Type="http://schemas.openxmlformats.org/officeDocument/2006/relationships/hyperlink" Target="https://www.smwcentral.net/?a=details&amp;id=32900&amp;p=section" TargetMode="External"/><Relationship Id="rId2676" Type="http://schemas.openxmlformats.org/officeDocument/2006/relationships/hyperlink" Target="https://dl.smwcentral.net/33927/Oops%21%20All%20Fortresses.zip" TargetMode="External"/><Relationship Id="rId2883" Type="http://schemas.openxmlformats.org/officeDocument/2006/relationships/hyperlink" Target="https://www.smwcentral.net/?a=details&amp;id=29695&amp;p=section" TargetMode="External"/><Relationship Id="rId3727" Type="http://schemas.openxmlformats.org/officeDocument/2006/relationships/hyperlink" Target="https://www.smwcentral.net/?a=details&amp;id=9702&amp;p=section" TargetMode="External"/><Relationship Id="rId3934" Type="http://schemas.openxmlformats.org/officeDocument/2006/relationships/hyperlink" Target="https://dl.smwcentral.net/5520/Super%20Mario%20Planet.zip" TargetMode="External"/><Relationship Id="rId5082" Type="http://schemas.openxmlformats.org/officeDocument/2006/relationships/hyperlink" Target="https://dl.smwcentral.net/28440/Time%20Out%21%20%5BDemo%202%5D.zip" TargetMode="External"/><Relationship Id="rId648" Type="http://schemas.openxmlformats.org/officeDocument/2006/relationships/hyperlink" Target="https://dl.smwcentral.net/9713/Chaos%20Chronicles%20Demo%201%20%28Fixed%29.zip" TargetMode="External"/><Relationship Id="rId855" Type="http://schemas.openxmlformats.org/officeDocument/2006/relationships/hyperlink" Target="https://www.smwcentral.net/?a=details&amp;id=37981&amp;p=section" TargetMode="External"/><Relationship Id="rId1278" Type="http://schemas.openxmlformats.org/officeDocument/2006/relationships/hyperlink" Target="https://dl.smwcentral.net/42450/Halloween%20Kaizo%20World%20v1.2.zip" TargetMode="External"/><Relationship Id="rId1485" Type="http://schemas.openxmlformats.org/officeDocument/2006/relationships/hyperlink" Target="https://www.smwcentral.net/?a=details&amp;id=41515&amp;p=section" TargetMode="External"/><Relationship Id="rId1692" Type="http://schemas.openxmlformats.org/officeDocument/2006/relationships/hyperlink" Target="https://dl.smwcentral.net/31338/Lessness_World_2.zip" TargetMode="External"/><Relationship Id="rId2329" Type="http://schemas.openxmlformats.org/officeDocument/2006/relationships/hyperlink" Target="https://www.smwcentral.net/?a=details&amp;id=37601&amp;p=section" TargetMode="External"/><Relationship Id="rId2536" Type="http://schemas.openxmlformats.org/officeDocument/2006/relationships/hyperlink" Target="https://dl.smwcentral.net/21909/newDOTsfc.zip" TargetMode="External"/><Relationship Id="rId2743" Type="http://schemas.openxmlformats.org/officeDocument/2006/relationships/hyperlink" Target="https://www.smwcentral.net/?a=details&amp;id=40112&amp;p=section" TargetMode="External"/><Relationship Id="rId508" Type="http://schemas.openxmlformats.org/officeDocument/2006/relationships/hyperlink" Target="https://dl.smwcentral.net/22233/Bowser%27s%20Castle%202.zip" TargetMode="External"/><Relationship Id="rId715" Type="http://schemas.openxmlformats.org/officeDocument/2006/relationships/hyperlink" Target="https://www.smwcentral.net/?a=details&amp;id=6970&amp;p=section" TargetMode="External"/><Relationship Id="rId922" Type="http://schemas.openxmlformats.org/officeDocument/2006/relationships/hyperlink" Target="https://dl.smwcentral.net/27931/Drkrdnk%20World.zip" TargetMode="External"/><Relationship Id="rId1138" Type="http://schemas.openxmlformats.org/officeDocument/2006/relationships/hyperlink" Target="https://dl.smwcentral.net/14607/game.zip" TargetMode="External"/><Relationship Id="rId1345" Type="http://schemas.openxmlformats.org/officeDocument/2006/relationships/hyperlink" Target="https://www.smwcentral.net/?a=details&amp;id=9489&amp;p=section" TargetMode="External"/><Relationship Id="rId1552" Type="http://schemas.openxmlformats.org/officeDocument/2006/relationships/hyperlink" Target="https://dl.smwcentral.net/16060/Kaizo%20Mario%20World%203.zip" TargetMode="External"/><Relationship Id="rId2603" Type="http://schemas.openxmlformats.org/officeDocument/2006/relationships/hyperlink" Target="https://www.smwcentral.net/?a=details&amp;id=37734&amp;p=section" TargetMode="External"/><Relationship Id="rId2950" Type="http://schemas.openxmlformats.org/officeDocument/2006/relationships/hyperlink" Target="https://dl.smwcentral.net/26042/Riff%20World%202.zip" TargetMode="External"/><Relationship Id="rId1205" Type="http://schemas.openxmlformats.org/officeDocument/2006/relationships/hyperlink" Target="https://www.smwcentral.net/?a=details&amp;id=34307&amp;p=section" TargetMode="External"/><Relationship Id="rId2810" Type="http://schemas.openxmlformats.org/officeDocument/2006/relationships/hyperlink" Target="https://dl.smwcentral.net/37953/pj.zip" TargetMode="External"/><Relationship Id="rId4568" Type="http://schemas.openxmlformats.org/officeDocument/2006/relationships/hyperlink" Target="https://dl.smwcentral.net/37763/SuperWhatWorld.zip" TargetMode="External"/><Relationship Id="rId51" Type="http://schemas.openxmlformats.org/officeDocument/2006/relationships/hyperlink" Target="https://www.smwcentral.net/?a=details&amp;id=30435&amp;p=section" TargetMode="External"/><Relationship Id="rId1412" Type="http://schemas.openxmlformats.org/officeDocument/2006/relationships/hyperlink" Target="https://dl.smwcentral.net/25878/Insert%20Coin.zip" TargetMode="External"/><Relationship Id="rId3377" Type="http://schemas.openxmlformats.org/officeDocument/2006/relationships/hyperlink" Target="https://www.smwcentral.net/?a=details&amp;id=41092&amp;p=section" TargetMode="External"/><Relationship Id="rId4775" Type="http://schemas.openxmlformats.org/officeDocument/2006/relationships/hyperlink" Target="https://www.smwcentral.net/?a=details&amp;id=37607&amp;p=section" TargetMode="External"/><Relationship Id="rId4982" Type="http://schemas.openxmlformats.org/officeDocument/2006/relationships/hyperlink" Target="https://dl.smwcentral.net/24565/Secret%20Island.zip" TargetMode="External"/><Relationship Id="rId298" Type="http://schemas.openxmlformats.org/officeDocument/2006/relationships/hyperlink" Target="https://dl.smwcentral.net/9671/Another%20Mario%20Hack.zip" TargetMode="External"/><Relationship Id="rId3584" Type="http://schemas.openxmlformats.org/officeDocument/2006/relationships/hyperlink" Target="https://dl.smwcentral.net/34151/superHuhWorld.zip" TargetMode="External"/><Relationship Id="rId3791" Type="http://schemas.openxmlformats.org/officeDocument/2006/relationships/hyperlink" Target="https://www.smwcentral.net/?a=details&amp;id=5151&amp;p=section" TargetMode="External"/><Relationship Id="rId4428" Type="http://schemas.openxmlformats.org/officeDocument/2006/relationships/hyperlink" Target="https://dl.smwcentral.net/34158/Super%20Practice%20World.zip" TargetMode="External"/><Relationship Id="rId4635" Type="http://schemas.openxmlformats.org/officeDocument/2006/relationships/hyperlink" Target="https://www.smwcentral.net/?a=details&amp;id=41987&amp;p=section" TargetMode="External"/><Relationship Id="rId4842" Type="http://schemas.openxmlformats.org/officeDocument/2006/relationships/hyperlink" Target="https://dl.smwcentral.net/33813/The%20Hodgepodge.zip" TargetMode="External"/><Relationship Id="rId158" Type="http://schemas.openxmlformats.org/officeDocument/2006/relationships/hyperlink" Target="https://dl.smwcentral.net/41328/a2xtgaidengaiden.zip" TargetMode="External"/><Relationship Id="rId2186" Type="http://schemas.openxmlformats.org/officeDocument/2006/relationships/hyperlink" Target="https://dl.smwcentral.net/41279/MariosMisadventures2%20v1.2.5.zip" TargetMode="External"/><Relationship Id="rId2393" Type="http://schemas.openxmlformats.org/officeDocument/2006/relationships/hyperlink" Target="https://www.smwcentral.net/?a=details&amp;id=19837&amp;p=section" TargetMode="External"/><Relationship Id="rId3237" Type="http://schemas.openxmlformats.org/officeDocument/2006/relationships/hyperlink" Target="https://www.smwcentral.net/?a=details&amp;id=31172&amp;p=section" TargetMode="External"/><Relationship Id="rId3444" Type="http://schemas.openxmlformats.org/officeDocument/2006/relationships/hyperlink" Target="https://dl.smwcentral.net/9914/scw.zip" TargetMode="External"/><Relationship Id="rId3651" Type="http://schemas.openxmlformats.org/officeDocument/2006/relationships/hyperlink" Target="https://www.smwcentral.net/?a=details&amp;id=34469&amp;p=section" TargetMode="External"/><Relationship Id="rId4702" Type="http://schemas.openxmlformats.org/officeDocument/2006/relationships/hyperlink" Target="https://dl.smwcentral.net/10158/The%205%20Keys%20-%28DEMO%29-.zip" TargetMode="External"/><Relationship Id="rId365" Type="http://schemas.openxmlformats.org/officeDocument/2006/relationships/hyperlink" Target="https://www.smwcentral.net/?a=details&amp;id=31182&amp;p=section" TargetMode="External"/><Relationship Id="rId572" Type="http://schemas.openxmlformats.org/officeDocument/2006/relationships/hyperlink" Target="https://dl.smwcentral.net/33860/burningstar1.3.zip" TargetMode="External"/><Relationship Id="rId2046" Type="http://schemas.openxmlformats.org/officeDocument/2006/relationships/hyperlink" Target="https://dl.smwcentral.net/20754/Mario%20Rescues%20the%20Golden%20Mushroom%20V1.1.4.zip" TargetMode="External"/><Relationship Id="rId2253" Type="http://schemas.openxmlformats.org/officeDocument/2006/relationships/hyperlink" Target="https://www.smwcentral.net/?a=details&amp;id=18509&amp;p=section" TargetMode="External"/><Relationship Id="rId2460" Type="http://schemas.openxmlformats.org/officeDocument/2006/relationships/hyperlink" Target="https://dl.smwcentral.net/19044/Nachos%20and%20Fried%20Oreos.zip" TargetMode="External"/><Relationship Id="rId3304" Type="http://schemas.openxmlformats.org/officeDocument/2006/relationships/hyperlink" Target="https://dl.smwcentral.net/31450/Sorrow_and_Misery.zip" TargetMode="External"/><Relationship Id="rId3511" Type="http://schemas.openxmlformats.org/officeDocument/2006/relationships/hyperlink" Target="https://www.smwcentral.net/?a=details&amp;id=41566&amp;p=section" TargetMode="External"/><Relationship Id="rId225" Type="http://schemas.openxmlformats.org/officeDocument/2006/relationships/hyperlink" Target="https://www.smwcentral.net/?a=details&amp;id=33319&amp;p=section" TargetMode="External"/><Relationship Id="rId432" Type="http://schemas.openxmlformats.org/officeDocument/2006/relationships/hyperlink" Target="https://dl.smwcentral.net/39116/Binary%20World%20Submission%201.0.11.zip" TargetMode="External"/><Relationship Id="rId1062" Type="http://schemas.openxmlformats.org/officeDocument/2006/relationships/hyperlink" Target="https://dl.smwcentral.net/26828/fireandice.zip" TargetMode="External"/><Relationship Id="rId2113" Type="http://schemas.openxmlformats.org/officeDocument/2006/relationships/hyperlink" Target="https://www.smwcentral.net/?a=details&amp;id=10188&amp;p=section" TargetMode="External"/><Relationship Id="rId2320" Type="http://schemas.openxmlformats.org/officeDocument/2006/relationships/hyperlink" Target="https://dl.smwcentral.net/10237/Mecha-Bowser%27s%20Revenge%20Demo.zip" TargetMode="External"/><Relationship Id="rId5269" Type="http://schemas.openxmlformats.org/officeDocument/2006/relationships/hyperlink" Target="https://www.smwcentral.net/?a=details&amp;id=5493&amp;p=section" TargetMode="External"/><Relationship Id="rId5476" Type="http://schemas.openxmlformats.org/officeDocument/2006/relationships/hyperlink" Target="https://dl.smwcentral.net/15892/yumpy%20boy.zip" TargetMode="External"/><Relationship Id="rId4078" Type="http://schemas.openxmlformats.org/officeDocument/2006/relationships/hyperlink" Target="https://dl.smwcentral.net/42555/Super%20Mario%20World%20II.zip" TargetMode="External"/><Relationship Id="rId4285" Type="http://schemas.openxmlformats.org/officeDocument/2006/relationships/hyperlink" Target="https://www.smwcentral.net/?a=details&amp;id=25657&amp;p=section" TargetMode="External"/><Relationship Id="rId4492" Type="http://schemas.openxmlformats.org/officeDocument/2006/relationships/hyperlink" Target="https://dl.smwcentral.net/20223/Super%20Slim%20World%20v1.5.zip" TargetMode="External"/><Relationship Id="rId5129" Type="http://schemas.openxmlformats.org/officeDocument/2006/relationships/hyperlink" Target="https://www.smwcentral.net/?a=details&amp;id=25031&amp;p=section" TargetMode="External"/><Relationship Id="rId5336" Type="http://schemas.openxmlformats.org/officeDocument/2006/relationships/hyperlink" Target="https://dl.smwcentral.net/40960/waluigi02-f02b.zip" TargetMode="External"/><Relationship Id="rId1879" Type="http://schemas.openxmlformats.org/officeDocument/2006/relationships/hyperlink" Target="https://www.smwcentral.net/?a=details&amp;id=39488&amp;p=section" TargetMode="External"/><Relationship Id="rId3094" Type="http://schemas.openxmlformats.org/officeDocument/2006/relationships/hyperlink" Target="https://dl.smwcentral.net/42489/Shella%20Sick%20%28A%20Hella%20Sick%20Shell%20Hack%29%20v1_1.zip" TargetMode="External"/><Relationship Id="rId4145" Type="http://schemas.openxmlformats.org/officeDocument/2006/relationships/hyperlink" Target="https://www.smwcentral.net/?a=details&amp;id=5589&amp;p=section" TargetMode="External"/><Relationship Id="rId1739" Type="http://schemas.openxmlformats.org/officeDocument/2006/relationships/hyperlink" Target="https://www.smwcentral.net/?a=details&amp;id=26771&amp;p=section" TargetMode="External"/><Relationship Id="rId1946" Type="http://schemas.openxmlformats.org/officeDocument/2006/relationships/hyperlink" Target="https://dl.smwcentral.net/32143/mario%20goes%20to%20wendys.zip" TargetMode="External"/><Relationship Id="rId4005" Type="http://schemas.openxmlformats.org/officeDocument/2006/relationships/hyperlink" Target="https://www.smwcentral.net/?a=details&amp;id=9962&amp;p=section" TargetMode="External"/><Relationship Id="rId4352" Type="http://schemas.openxmlformats.org/officeDocument/2006/relationships/hyperlink" Target="https://dl.smwcentral.net/14096/Super%20Nambona%20World%201%20Level%20Demo.zip" TargetMode="External"/><Relationship Id="rId5403" Type="http://schemas.openxmlformats.org/officeDocument/2006/relationships/hyperlink" Target="https://www.smwcentral.net/?a=details&amp;id=24118&amp;p=section" TargetMode="External"/><Relationship Id="rId1806" Type="http://schemas.openxmlformats.org/officeDocument/2006/relationships/hyperlink" Target="https://dl.smwcentral.net/10190/Luigis%20Story.zip" TargetMode="External"/><Relationship Id="rId3161" Type="http://schemas.openxmlformats.org/officeDocument/2006/relationships/hyperlink" Target="https://www.smwcentral.net/?a=details&amp;id=38712&amp;p=section" TargetMode="External"/><Relationship Id="rId4212" Type="http://schemas.openxmlformats.org/officeDocument/2006/relationships/hyperlink" Target="https://dl.smwcentral.net/13720/Megaman29thfull2.zip" TargetMode="External"/><Relationship Id="rId3021" Type="http://schemas.openxmlformats.org/officeDocument/2006/relationships/hyperlink" Target="https://www.smwcentral.net/?a=details&amp;id=24141&amp;p=section" TargetMode="External"/><Relationship Id="rId3978" Type="http://schemas.openxmlformats.org/officeDocument/2006/relationships/hyperlink" Target="https://dl.smwcentral.net/25489/Super%20Mario%20Universe.zip" TargetMode="External"/><Relationship Id="rId899" Type="http://schemas.openxmlformats.org/officeDocument/2006/relationships/hyperlink" Target="https://www.smwcentral.net/?a=details&amp;id=9655&amp;p=section" TargetMode="External"/><Relationship Id="rId2787" Type="http://schemas.openxmlformats.org/officeDocument/2006/relationships/hyperlink" Target="https://www.smwcentral.net/?a=details&amp;id=35230&amp;p=section" TargetMode="External"/><Relationship Id="rId3838" Type="http://schemas.openxmlformats.org/officeDocument/2006/relationships/hyperlink" Target="https://dl.smwcentral.net/10010/Denied.zip" TargetMode="External"/><Relationship Id="rId5193" Type="http://schemas.openxmlformats.org/officeDocument/2006/relationships/hyperlink" Target="https://www.smwcentral.net/?a=details&amp;id=25564&amp;p=section" TargetMode="External"/><Relationship Id="rId759" Type="http://schemas.openxmlformats.org/officeDocument/2006/relationships/hyperlink" Target="https://www.smwcentral.net/?a=details&amp;id=42541&amp;p=section" TargetMode="External"/><Relationship Id="rId966" Type="http://schemas.openxmlformats.org/officeDocument/2006/relationships/hyperlink" Target="https://dl.smwcentral.net/6983/Electra%20Demo%20C3.zip" TargetMode="External"/><Relationship Id="rId1389" Type="http://schemas.openxmlformats.org/officeDocument/2006/relationships/hyperlink" Target="https://www.smwcentral.net/?a=details&amp;id=26202&amp;p=section" TargetMode="External"/><Relationship Id="rId1596" Type="http://schemas.openxmlformats.org/officeDocument/2006/relationships/hyperlink" Target="https://dl.smwcentral.net/26517/KillLuigi1.0.zip" TargetMode="External"/><Relationship Id="rId2647" Type="http://schemas.openxmlformats.org/officeDocument/2006/relationships/hyperlink" Target="https://www.smwcentral.net/?a=details&amp;id=37764&amp;p=section" TargetMode="External"/><Relationship Id="rId2994" Type="http://schemas.openxmlformats.org/officeDocument/2006/relationships/hyperlink" Target="https://dl.smwcentral.net/10119/Armada.zip" TargetMode="External"/><Relationship Id="rId5053" Type="http://schemas.openxmlformats.org/officeDocument/2006/relationships/hyperlink" Target="https://www.smwcentral.net/?a=details&amp;id=28332&amp;p=section" TargetMode="External"/><Relationship Id="rId5260" Type="http://schemas.openxmlformats.org/officeDocument/2006/relationships/hyperlink" Target="https://dl.smwcentral.net/9783/Hack.zip" TargetMode="External"/><Relationship Id="rId619" Type="http://schemas.openxmlformats.org/officeDocument/2006/relationships/hyperlink" Target="https://www.smwcentral.net/?a=details&amp;id=15634&amp;p=section" TargetMode="External"/><Relationship Id="rId1249" Type="http://schemas.openxmlformats.org/officeDocument/2006/relationships/hyperlink" Target="https://www.smwcentral.net/?a=details&amp;id=37570&amp;p=section" TargetMode="External"/><Relationship Id="rId2854" Type="http://schemas.openxmlformats.org/officeDocument/2006/relationships/hyperlink" Target="https://dl.smwcentral.net/38743/Project_Bonestorm.tar.gz_.zip" TargetMode="External"/><Relationship Id="rId3905" Type="http://schemas.openxmlformats.org/officeDocument/2006/relationships/hyperlink" Target="https://www.smwcentral.net/?a=details&amp;id=17478&amp;p=section" TargetMode="External"/><Relationship Id="rId5120" Type="http://schemas.openxmlformats.org/officeDocument/2006/relationships/hyperlink" Target="https://dl.smwcentral.net/31771/ToadettesKaizoTuesday.zip" TargetMode="External"/><Relationship Id="rId95" Type="http://schemas.openxmlformats.org/officeDocument/2006/relationships/hyperlink" Target="https://www.smwcentral.net/?a=details&amp;id=21704&amp;p=section" TargetMode="External"/><Relationship Id="rId826" Type="http://schemas.openxmlformats.org/officeDocument/2006/relationships/hyperlink" Target="https://dl.smwcentral.net/41540/Dearly%20Detested.zip" TargetMode="External"/><Relationship Id="rId1109" Type="http://schemas.openxmlformats.org/officeDocument/2006/relationships/hyperlink" Target="https://www.smwcentral.net/?a=details&amp;id=41460&amp;p=section" TargetMode="External"/><Relationship Id="rId1456" Type="http://schemas.openxmlformats.org/officeDocument/2006/relationships/hyperlink" Target="https://dl.smwcentral.net/4962/Jigsaw%27s%20Test.zip" TargetMode="External"/><Relationship Id="rId1663" Type="http://schemas.openxmlformats.org/officeDocument/2006/relationships/hyperlink" Target="https://www.smwcentral.net/?a=details&amp;id=29091&amp;p=section" TargetMode="External"/><Relationship Id="rId1870" Type="http://schemas.openxmlformats.org/officeDocument/2006/relationships/hyperlink" Target="https://dl.smwcentral.net/40092/M%26L%20UI.zip" TargetMode="External"/><Relationship Id="rId2507" Type="http://schemas.openxmlformats.org/officeDocument/2006/relationships/hyperlink" Target="https://www.smwcentral.net/?a=details&amp;id=9663&amp;p=section" TargetMode="External"/><Relationship Id="rId2714" Type="http://schemas.openxmlformats.org/officeDocument/2006/relationships/hyperlink" Target="https://dl.smwcentral.net/13941/Pandora%27s%20Box%20C3%20Demo.zip" TargetMode="External"/><Relationship Id="rId2921" Type="http://schemas.openxmlformats.org/officeDocument/2006/relationships/hyperlink" Target="https://www.smwcentral.net/?a=details&amp;id=38314&amp;p=section" TargetMode="External"/><Relationship Id="rId1316" Type="http://schemas.openxmlformats.org/officeDocument/2006/relationships/hyperlink" Target="https://dl.smwcentral.net/38890/Home%20v1.0%20Lush_50.zip" TargetMode="External"/><Relationship Id="rId1523" Type="http://schemas.openxmlformats.org/officeDocument/2006/relationships/hyperlink" Target="https://www.smwcentral.net/?a=details&amp;id=38419&amp;p=section" TargetMode="External"/><Relationship Id="rId1730" Type="http://schemas.openxmlformats.org/officeDocument/2006/relationships/hyperlink" Target="https://dl.smwcentral.net/17968/Lost%20in%20the%20Forest.zip" TargetMode="External"/><Relationship Id="rId4679" Type="http://schemas.openxmlformats.org/officeDocument/2006/relationships/hyperlink" Target="https://www.smwcentral.net/?a=details&amp;id=31520&amp;p=section" TargetMode="External"/><Relationship Id="rId4886" Type="http://schemas.openxmlformats.org/officeDocument/2006/relationships/hyperlink" Target="https://dl.smwcentral.net/10229/tlle.zip" TargetMode="External"/><Relationship Id="rId22" Type="http://schemas.openxmlformats.org/officeDocument/2006/relationships/hyperlink" Target="https://dl.smwcentral.net/41558/10yumps%28real%29.zip" TargetMode="External"/><Relationship Id="rId3488" Type="http://schemas.openxmlformats.org/officeDocument/2006/relationships/hyperlink" Target="https://dl.smwcentral.net/26319/Super%20DB%20World.zip" TargetMode="External"/><Relationship Id="rId3695" Type="http://schemas.openxmlformats.org/officeDocument/2006/relationships/hyperlink" Target="https://www.smwcentral.net/?a=details&amp;id=21953&amp;p=section" TargetMode="External"/><Relationship Id="rId4539" Type="http://schemas.openxmlformats.org/officeDocument/2006/relationships/hyperlink" Target="https://www.smwcentral.net/?a=details&amp;id=24457&amp;p=section" TargetMode="External"/><Relationship Id="rId4746" Type="http://schemas.openxmlformats.org/officeDocument/2006/relationships/hyperlink" Target="https://dl.smwcentral.net/38682/The%20Conventional%20Isle%20v1_1.zip" TargetMode="External"/><Relationship Id="rId4953" Type="http://schemas.openxmlformats.org/officeDocument/2006/relationships/hyperlink" Target="https://www.smwcentral.net/?a=details&amp;id=33033&amp;p=section" TargetMode="External"/><Relationship Id="rId2297" Type="http://schemas.openxmlformats.org/officeDocument/2006/relationships/hyperlink" Target="https://www.smwcentral.net/?a=details&amp;id=29522&amp;p=section" TargetMode="External"/><Relationship Id="rId3348" Type="http://schemas.openxmlformats.org/officeDocument/2006/relationships/hyperlink" Target="https://dl.smwcentral.net/39517/Stacks%20Cafe%20V1.0%20by%20Lush_50.zip" TargetMode="External"/><Relationship Id="rId3555" Type="http://schemas.openxmlformats.org/officeDocument/2006/relationships/hyperlink" Target="https://www.smwcentral.net/?a=details&amp;id=36828&amp;p=section" TargetMode="External"/><Relationship Id="rId3762" Type="http://schemas.openxmlformats.org/officeDocument/2006/relationships/hyperlink" Target="https://dl.smwcentral.net/42366/SMB3%20as%20Dinosaur%20Land%20v3.4.zip" TargetMode="External"/><Relationship Id="rId4606" Type="http://schemas.openxmlformats.org/officeDocument/2006/relationships/hyperlink" Target="https://dl.smwcentral.net/30221/SV%20Practice%20World.zip" TargetMode="External"/><Relationship Id="rId4813" Type="http://schemas.openxmlformats.org/officeDocument/2006/relationships/hyperlink" Target="https://www.smwcentral.net/?a=details&amp;id=14627&amp;p=section" TargetMode="External"/><Relationship Id="rId269" Type="http://schemas.openxmlformats.org/officeDocument/2006/relationships/hyperlink" Target="https://www.smwcentral.net/?a=details&amp;id=32393&amp;p=section" TargetMode="External"/><Relationship Id="rId476" Type="http://schemas.openxmlformats.org/officeDocument/2006/relationships/hyperlink" Target="https://dl.smwcentral.net/27043/BooSide%201.0.zip" TargetMode="External"/><Relationship Id="rId683" Type="http://schemas.openxmlformats.org/officeDocument/2006/relationships/hyperlink" Target="https://www.smwcentral.net/?a=details&amp;id=38847&amp;p=section" TargetMode="External"/><Relationship Id="rId890" Type="http://schemas.openxmlformats.org/officeDocument/2006/relationships/hyperlink" Target="https://dl.smwcentral.net/17934/Donkey%20Kong%203%20Another%20Rise%21%20Ver1.3.zip" TargetMode="External"/><Relationship Id="rId2157" Type="http://schemas.openxmlformats.org/officeDocument/2006/relationships/hyperlink" Target="https://www.smwcentral.net/?a=details&amp;id=31857&amp;p=section" TargetMode="External"/><Relationship Id="rId2364" Type="http://schemas.openxmlformats.org/officeDocument/2006/relationships/hyperlink" Target="https://dl.smwcentral.net/32526/Mini%20Challenge%20Medley%20%28Demo%201.0%29.zip" TargetMode="External"/><Relationship Id="rId2571" Type="http://schemas.openxmlformats.org/officeDocument/2006/relationships/hyperlink" Target="https://www.smwcentral.net/?a=details&amp;id=27778&amp;p=section" TargetMode="External"/><Relationship Id="rId3208" Type="http://schemas.openxmlformats.org/officeDocument/2006/relationships/hyperlink" Target="https://dl.smwcentral.net/18528/DEMO2.zip" TargetMode="External"/><Relationship Id="rId3415" Type="http://schemas.openxmlformats.org/officeDocument/2006/relationships/hyperlink" Target="https://www.smwcentral.net/?a=details&amp;id=28818&amp;p=section" TargetMode="External"/><Relationship Id="rId129" Type="http://schemas.openxmlformats.org/officeDocument/2006/relationships/hyperlink" Target="https://www.smwcentral.net/?a=details&amp;id=23107&amp;p=section" TargetMode="External"/><Relationship Id="rId336" Type="http://schemas.openxmlformats.org/officeDocument/2006/relationships/hyperlink" Target="https://dl.smwcentral.net/37655/Are%20The%20Enemies%20Smarter%20Than%20A%20Caveman%20%28v1.01%29.zip" TargetMode="External"/><Relationship Id="rId543" Type="http://schemas.openxmlformats.org/officeDocument/2006/relationships/hyperlink" Target="https://www.smwcentral.net/?a=details&amp;id=28764&amp;p=section" TargetMode="External"/><Relationship Id="rId1173" Type="http://schemas.openxmlformats.org/officeDocument/2006/relationships/hyperlink" Target="https://www.smwcentral.net/?a=details&amp;id=34422&amp;p=section" TargetMode="External"/><Relationship Id="rId1380" Type="http://schemas.openxmlformats.org/officeDocument/2006/relationships/hyperlink" Target="https://dl.smwcentral.net/29046/In%20A%20Random%20Adventure.zip" TargetMode="External"/><Relationship Id="rId2017" Type="http://schemas.openxmlformats.org/officeDocument/2006/relationships/hyperlink" Target="https://www.smwcentral.net/?a=details&amp;id=40735&amp;p=section" TargetMode="External"/><Relationship Id="rId2224" Type="http://schemas.openxmlformats.org/officeDocument/2006/relationships/hyperlink" Target="https://dl.smwcentral.net/9878/MRA%20Beta.zip" TargetMode="External"/><Relationship Id="rId3622" Type="http://schemas.openxmlformats.org/officeDocument/2006/relationships/hyperlink" Target="https://dl.smwcentral.net/17909/Super%20Kekcroc%20World%20Official%20Release.zip" TargetMode="External"/><Relationship Id="rId403" Type="http://schemas.openxmlformats.org/officeDocument/2006/relationships/hyperlink" Target="https://www.smwcentral.net/?a=details&amp;id=28731&amp;p=section" TargetMode="External"/><Relationship Id="rId750" Type="http://schemas.openxmlformats.org/officeDocument/2006/relationships/hyperlink" Target="https://dl.smwcentral.net/27923/Cornucopia_of_Kaizo.zip" TargetMode="External"/><Relationship Id="rId1033" Type="http://schemas.openxmlformats.org/officeDocument/2006/relationships/hyperlink" Target="https://www.smwcentral.net/?a=details&amp;id=23330&amp;p=section" TargetMode="External"/><Relationship Id="rId2431" Type="http://schemas.openxmlformats.org/officeDocument/2006/relationships/hyperlink" Target="https://www.smwcentral.net/?a=details&amp;id=39638&amp;p=section" TargetMode="External"/><Relationship Id="rId4189" Type="http://schemas.openxmlformats.org/officeDocument/2006/relationships/hyperlink" Target="https://www.smwcentral.net/?a=details&amp;id=39208&amp;p=section" TargetMode="External"/><Relationship Id="rId610" Type="http://schemas.openxmlformats.org/officeDocument/2006/relationships/hyperlink" Target="https://dl.smwcentral.net/6264/ctc%21.zip" TargetMode="External"/><Relationship Id="rId1240" Type="http://schemas.openxmlformats.org/officeDocument/2006/relationships/hyperlink" Target="https://dl.smwcentral.net/42289/Hack%2025.zip" TargetMode="External"/><Relationship Id="rId4049" Type="http://schemas.openxmlformats.org/officeDocument/2006/relationships/hyperlink" Target="https://www.smwcentral.net/?a=details&amp;id=15465&amp;p=section" TargetMode="External"/><Relationship Id="rId4396" Type="http://schemas.openxmlformats.org/officeDocument/2006/relationships/hyperlink" Target="https://dl.smwcentral.net/34768/Super%20Maybe%20Upwards.zip" TargetMode="External"/><Relationship Id="rId5447" Type="http://schemas.openxmlformats.org/officeDocument/2006/relationships/hyperlink" Target="https://www.smwcentral.net/?a=details&amp;id=9770&amp;p=section" TargetMode="External"/><Relationship Id="rId1100" Type="http://schemas.openxmlformats.org/officeDocument/2006/relationships/hyperlink" Target="https://dl.smwcentral.net/39759/Free%20Luigi.zip" TargetMode="External"/><Relationship Id="rId4256" Type="http://schemas.openxmlformats.org/officeDocument/2006/relationships/hyperlink" Target="https://dl.smwcentral.net/5444/Super%20Mario%27s%20Legend%20%5BD1F%5D.zip" TargetMode="External"/><Relationship Id="rId4463" Type="http://schemas.openxmlformats.org/officeDocument/2006/relationships/hyperlink" Target="https://www.smwcentral.net/?a=details&amp;id=16863&amp;p=section" TargetMode="External"/><Relationship Id="rId4670" Type="http://schemas.openxmlformats.org/officeDocument/2006/relationships/hyperlink" Target="https://dl.smwcentral.net/20208/Terminus2RealWithOW.zip" TargetMode="External"/><Relationship Id="rId5307" Type="http://schemas.openxmlformats.org/officeDocument/2006/relationships/hyperlink" Target="https://www.smwcentral.net/?a=details&amp;id=10123&amp;p=section" TargetMode="External"/><Relationship Id="rId1917" Type="http://schemas.openxmlformats.org/officeDocument/2006/relationships/hyperlink" Target="https://www.smwcentral.net/?a=details&amp;id=10069&amp;p=section" TargetMode="External"/><Relationship Id="rId3065" Type="http://schemas.openxmlformats.org/officeDocument/2006/relationships/hyperlink" Target="https://www.smwcentral.net/?a=details&amp;id=29143&amp;p=section" TargetMode="External"/><Relationship Id="rId3272" Type="http://schemas.openxmlformats.org/officeDocument/2006/relationships/hyperlink" Target="https://dl.smwcentral.net/10336/SMWHcollab.zip" TargetMode="External"/><Relationship Id="rId4116" Type="http://schemas.openxmlformats.org/officeDocument/2006/relationships/hyperlink" Target="https://dl.smwcentral.net/40129/SMW-3%20v1.1.zip" TargetMode="External"/><Relationship Id="rId4323" Type="http://schemas.openxmlformats.org/officeDocument/2006/relationships/hyperlink" Target="https://www.smwcentral.net/?a=details&amp;id=23467&amp;p=section" TargetMode="External"/><Relationship Id="rId4530" Type="http://schemas.openxmlformats.org/officeDocument/2006/relationships/hyperlink" Target="https://dl.smwcentral.net/30270/Leathal%20W.zip" TargetMode="External"/><Relationship Id="rId193" Type="http://schemas.openxmlformats.org/officeDocument/2006/relationships/hyperlink" Target="https://www.smwcentral.net/?a=details&amp;id=32994&amp;p=section" TargetMode="External"/><Relationship Id="rId2081" Type="http://schemas.openxmlformats.org/officeDocument/2006/relationships/hyperlink" Target="https://www.smwcentral.net/?a=details&amp;id=13963&amp;p=section" TargetMode="External"/><Relationship Id="rId3132" Type="http://schemas.openxmlformats.org/officeDocument/2006/relationships/hyperlink" Target="https://dl.smwcentral.net/28657/short%20and%20sweet%20v1.2.zip" TargetMode="External"/><Relationship Id="rId260" Type="http://schemas.openxmlformats.org/officeDocument/2006/relationships/hyperlink" Target="https://dl.smwcentral.net/9721/Alex_Kidd_Demo1_%28IPS%2C_for_clean_ROM%29.zip" TargetMode="External"/><Relationship Id="rId5097" Type="http://schemas.openxmlformats.org/officeDocument/2006/relationships/hyperlink" Target="https://www.smwcentral.net/?a=details&amp;id=22845&amp;p=section" TargetMode="External"/><Relationship Id="rId120" Type="http://schemas.openxmlformats.org/officeDocument/2006/relationships/hyperlink" Target="https://dl.smwcentral.net/37605/AHelpingHand1_2.zip" TargetMode="External"/><Relationship Id="rId2898" Type="http://schemas.openxmlformats.org/officeDocument/2006/relationships/hyperlink" Target="https://dl.smwcentral.net/37882/Random%20Access%20Memoby.zip" TargetMode="External"/><Relationship Id="rId3949" Type="http://schemas.openxmlformats.org/officeDocument/2006/relationships/hyperlink" Target="https://www.smwcentral.net/?a=details&amp;id=35049&amp;p=section" TargetMode="External"/><Relationship Id="rId5164" Type="http://schemas.openxmlformats.org/officeDocument/2006/relationships/hyperlink" Target="https://dl.smwcentral.net/33007/Trans%20Liberation%20Forever%202.04.zip" TargetMode="External"/><Relationship Id="rId2758" Type="http://schemas.openxmlformats.org/officeDocument/2006/relationships/hyperlink" Target="https://dl.smwcentral.net/33410/Pineapple%20Porcupine%20v1.1.zip" TargetMode="External"/><Relationship Id="rId2965" Type="http://schemas.openxmlformats.org/officeDocument/2006/relationships/hyperlink" Target="https://www.smwcentral.net/?a=details&amp;id=20190&amp;p=section" TargetMode="External"/><Relationship Id="rId3809" Type="http://schemas.openxmlformats.org/officeDocument/2006/relationships/hyperlink" Target="https://www.smwcentral.net/?a=details&amp;id=9793&amp;p=section" TargetMode="External"/><Relationship Id="rId5024" Type="http://schemas.openxmlformats.org/officeDocument/2006/relationships/hyperlink" Target="https://dl.smwcentral.net/20204/The%20Underground.zip" TargetMode="External"/><Relationship Id="rId5371" Type="http://schemas.openxmlformats.org/officeDocument/2006/relationships/hyperlink" Target="https://www.smwcentral.net/?a=details&amp;id=27869&amp;p=section" TargetMode="External"/><Relationship Id="rId937" Type="http://schemas.openxmlformats.org/officeDocument/2006/relationships/hyperlink" Target="https://www.smwcentral.net/?a=details&amp;id=24535&amp;p=section" TargetMode="External"/><Relationship Id="rId1567" Type="http://schemas.openxmlformats.org/officeDocument/2006/relationships/hyperlink" Target="https://www.smwcentral.net/?a=details&amp;id=42143&amp;p=section" TargetMode="External"/><Relationship Id="rId1774" Type="http://schemas.openxmlformats.org/officeDocument/2006/relationships/hyperlink" Target="https://dl.smwcentral.net/5180/Luigi%27s%20Decision.zip" TargetMode="External"/><Relationship Id="rId1981" Type="http://schemas.openxmlformats.org/officeDocument/2006/relationships/hyperlink" Target="https://www.smwcentral.net/?a=details&amp;id=14633&amp;p=section" TargetMode="External"/><Relationship Id="rId2618" Type="http://schemas.openxmlformats.org/officeDocument/2006/relationships/hyperlink" Target="https://dl.smwcentral.net/32303/Nova%20Concept%20-%20a%20love%20letter%20to%20SIG.zip" TargetMode="External"/><Relationship Id="rId2825" Type="http://schemas.openxmlformats.org/officeDocument/2006/relationships/hyperlink" Target="https://www.smwcentral.net/?a=details&amp;id=9654&amp;p=section" TargetMode="External"/><Relationship Id="rId4180" Type="http://schemas.openxmlformats.org/officeDocument/2006/relationships/hyperlink" Target="https://dl.smwcentral.net/31925/Super%20Mario%20World%20-%20Season%202%20%282021%29.zip" TargetMode="External"/><Relationship Id="rId5231" Type="http://schemas.openxmlformats.org/officeDocument/2006/relationships/hyperlink" Target="https://www.smwcentral.net/?a=details&amp;id=37636&amp;p=section" TargetMode="External"/><Relationship Id="rId66" Type="http://schemas.openxmlformats.org/officeDocument/2006/relationships/hyperlink" Target="https://dl.smwcentral.net/9639/5LevelHack.zip" TargetMode="External"/><Relationship Id="rId1427" Type="http://schemas.openxmlformats.org/officeDocument/2006/relationships/hyperlink" Target="https://www.smwcentral.net/?a=details&amp;id=39904&amp;p=section" TargetMode="External"/><Relationship Id="rId1634" Type="http://schemas.openxmlformats.org/officeDocument/2006/relationships/hyperlink" Target="https://dl.smwcentral.net/9969/K_STA.zip" TargetMode="External"/><Relationship Id="rId1841" Type="http://schemas.openxmlformats.org/officeDocument/2006/relationships/hyperlink" Target="https://www.smwcentral.net/?a=details&amp;id=29716&amp;p=section" TargetMode="External"/><Relationship Id="rId4040" Type="http://schemas.openxmlformats.org/officeDocument/2006/relationships/hyperlink" Target="https://dl.smwcentral.net/5245/Hack.zip" TargetMode="External"/><Relationship Id="rId4997" Type="http://schemas.openxmlformats.org/officeDocument/2006/relationships/hyperlink" Target="https://www.smwcentral.net/?a=details&amp;id=9970&amp;p=section" TargetMode="External"/><Relationship Id="rId3599" Type="http://schemas.openxmlformats.org/officeDocument/2006/relationships/hyperlink" Target="https://www.smwcentral.net/?a=details&amp;id=14819&amp;p=section" TargetMode="External"/><Relationship Id="rId4857" Type="http://schemas.openxmlformats.org/officeDocument/2006/relationships/hyperlink" Target="https://www.smwcentral.net/?a=details&amp;id=24693&amp;p=section" TargetMode="External"/><Relationship Id="rId1701" Type="http://schemas.openxmlformats.org/officeDocument/2006/relationships/hyperlink" Target="https://www.smwcentral.net/?a=details&amp;id=22418&amp;p=section" TargetMode="External"/><Relationship Id="rId3459" Type="http://schemas.openxmlformats.org/officeDocument/2006/relationships/hyperlink" Target="https://www.smwcentral.net/?a=details&amp;id=21323&amp;p=section" TargetMode="External"/><Relationship Id="rId3666" Type="http://schemas.openxmlformats.org/officeDocument/2006/relationships/hyperlink" Target="https://dl.smwcentral.net/21515/Super%20Luigi%20Land%20Rev.%2011-20-2019.zip" TargetMode="External"/><Relationship Id="rId587" Type="http://schemas.openxmlformats.org/officeDocument/2006/relationships/hyperlink" Target="https://www.smwcentral.net/?a=details&amp;id=14605&amp;p=section" TargetMode="External"/><Relationship Id="rId2268" Type="http://schemas.openxmlformats.org/officeDocument/2006/relationships/hyperlink" Target="https://dl.smwcentral.net/20943/Mario%20Luigi%20and%20the%207%20eggs%20of%20peace.zip" TargetMode="External"/><Relationship Id="rId3319" Type="http://schemas.openxmlformats.org/officeDocument/2006/relationships/hyperlink" Target="https://www.smwcentral.net/?a=details&amp;id=10219&amp;p=section" TargetMode="External"/><Relationship Id="rId3873" Type="http://schemas.openxmlformats.org/officeDocument/2006/relationships/hyperlink" Target="https://www.smwcentral.net/?a=details&amp;id=6745&amp;p=section" TargetMode="External"/><Relationship Id="rId4717" Type="http://schemas.openxmlformats.org/officeDocument/2006/relationships/hyperlink" Target="https://www.smwcentral.net/?a=details&amp;id=40765&amp;p=section" TargetMode="External"/><Relationship Id="rId4924" Type="http://schemas.openxmlformats.org/officeDocument/2006/relationships/hyperlink" Target="https://dl.smwcentral.net/10121/The%20Old%20Mansion.zip" TargetMode="External"/><Relationship Id="rId447" Type="http://schemas.openxmlformats.org/officeDocument/2006/relationships/hyperlink" Target="https://www.smwcentral.net/?a=details&amp;id=41314&amp;p=section" TargetMode="External"/><Relationship Id="rId794" Type="http://schemas.openxmlformats.org/officeDocument/2006/relationships/hyperlink" Target="https://dl.smwcentral.net/31117/daemon%20land%201.2.zip" TargetMode="External"/><Relationship Id="rId1077" Type="http://schemas.openxmlformats.org/officeDocument/2006/relationships/hyperlink" Target="https://www.smwcentral.net/?a=details&amp;id=29600&amp;p=section" TargetMode="External"/><Relationship Id="rId2128" Type="http://schemas.openxmlformats.org/officeDocument/2006/relationships/hyperlink" Target="https://dl.smwcentral.net/26949/MariosBizarreAdventure_v1.1.zip" TargetMode="External"/><Relationship Id="rId2475" Type="http://schemas.openxmlformats.org/officeDocument/2006/relationships/hyperlink" Target="https://www.smwcentral.net/?a=details&amp;id=33695&amp;p=section" TargetMode="External"/><Relationship Id="rId2682" Type="http://schemas.openxmlformats.org/officeDocument/2006/relationships/hyperlink" Target="https://dl.smwcentral.net/34381/Oozitgarn%20v1.0.zip" TargetMode="External"/><Relationship Id="rId3526" Type="http://schemas.openxmlformats.org/officeDocument/2006/relationships/hyperlink" Target="https://dl.smwcentral.net/19571/SuperFartWorld.zip" TargetMode="External"/><Relationship Id="rId3733" Type="http://schemas.openxmlformats.org/officeDocument/2006/relationships/hyperlink" Target="https://www.smwcentral.net/?a=details&amp;id=10130&amp;p=section" TargetMode="External"/><Relationship Id="rId3940" Type="http://schemas.openxmlformats.org/officeDocument/2006/relationships/hyperlink" Target="https://dl.smwcentral.net/10100/Redux.zip" TargetMode="External"/><Relationship Id="rId654" Type="http://schemas.openxmlformats.org/officeDocument/2006/relationships/hyperlink" Target="https://dl.smwcentral.net/34198/CheapNasty.zip" TargetMode="External"/><Relationship Id="rId861" Type="http://schemas.openxmlformats.org/officeDocument/2006/relationships/hyperlink" Target="https://www.smwcentral.net/?a=details&amp;id=12147&amp;p=section" TargetMode="External"/><Relationship Id="rId1284" Type="http://schemas.openxmlformats.org/officeDocument/2006/relationships/hyperlink" Target="https://dl.smwcentral.net/32774/Halo%2014%20Side%20B.zip" TargetMode="External"/><Relationship Id="rId1491" Type="http://schemas.openxmlformats.org/officeDocument/2006/relationships/hyperlink" Target="https://www.smwcentral.net/?a=details&amp;id=15656&amp;p=section" TargetMode="External"/><Relationship Id="rId2335" Type="http://schemas.openxmlformats.org/officeDocument/2006/relationships/hyperlink" Target="https://www.smwcentral.net/?a=details&amp;id=9869&amp;p=section" TargetMode="External"/><Relationship Id="rId2542" Type="http://schemas.openxmlformats.org/officeDocument/2006/relationships/hyperlink" Target="https://dl.smwcentral.net/29066/Nextl_Christmas_Demo_-_1.1_.zip" TargetMode="External"/><Relationship Id="rId3800" Type="http://schemas.openxmlformats.org/officeDocument/2006/relationships/hyperlink" Target="https://dl.smwcentral.net/25738/Super%20Mario%20Bros.%20Peach%27s%20Adventure.zip" TargetMode="External"/><Relationship Id="rId307" Type="http://schemas.openxmlformats.org/officeDocument/2006/relationships/hyperlink" Target="https://www.smwcentral.net/?a=details&amp;id=11837&amp;p=section" TargetMode="External"/><Relationship Id="rId514" Type="http://schemas.openxmlformats.org/officeDocument/2006/relationships/hyperlink" Target="https://dl.smwcentral.net/28708/Bowser%27s%20Hideout%202_fix.zip" TargetMode="External"/><Relationship Id="rId721" Type="http://schemas.openxmlformats.org/officeDocument/2006/relationships/hyperlink" Target="https://www.smwcentral.net/?a=details&amp;id=6095&amp;p=section" TargetMode="External"/><Relationship Id="rId1144" Type="http://schemas.openxmlformats.org/officeDocument/2006/relationships/hyperlink" Target="https://dl.smwcentral.net/23229/Garlic%201.1.zip" TargetMode="External"/><Relationship Id="rId1351" Type="http://schemas.openxmlformats.org/officeDocument/2006/relationships/hyperlink" Target="https://www.smwcentral.net/?a=details&amp;id=35470&amp;p=section" TargetMode="External"/><Relationship Id="rId2402" Type="http://schemas.openxmlformats.org/officeDocument/2006/relationships/hyperlink" Target="https://dl.smwcentral.net/9865/Morton%27s%20Tyranny%20Zip.zip" TargetMode="External"/><Relationship Id="rId1004" Type="http://schemas.openxmlformats.org/officeDocument/2006/relationships/hyperlink" Target="https://dl.smwcentral.net/9038/every%20level%20lemmy%20-%20version%203.zip" TargetMode="External"/><Relationship Id="rId1211" Type="http://schemas.openxmlformats.org/officeDocument/2006/relationships/hyperlink" Target="https://www.smwcentral.net/?a=details&amp;id=28970&amp;p=section" TargetMode="External"/><Relationship Id="rId4367" Type="http://schemas.openxmlformats.org/officeDocument/2006/relationships/hyperlink" Target="https://www.smwcentral.net/?a=details&amp;id=34369&amp;p=section" TargetMode="External"/><Relationship Id="rId4574" Type="http://schemas.openxmlformats.org/officeDocument/2006/relationships/hyperlink" Target="https://dl.smwcentral.net/27303/Super_World.zip" TargetMode="External"/><Relationship Id="rId4781" Type="http://schemas.openxmlformats.org/officeDocument/2006/relationships/hyperlink" Target="https://www.smwcentral.net/?a=details&amp;id=16046&amp;p=section" TargetMode="External"/><Relationship Id="rId5418" Type="http://schemas.openxmlformats.org/officeDocument/2006/relationships/hyperlink" Target="https://dl.smwcentral.net/22025/WrathOfBowserV1_1.zip" TargetMode="External"/><Relationship Id="rId3176" Type="http://schemas.openxmlformats.org/officeDocument/2006/relationships/hyperlink" Target="https://dl.smwcentral.net/32079/siw%20c%20%26%20c.zip" TargetMode="External"/><Relationship Id="rId3383" Type="http://schemas.openxmlformats.org/officeDocument/2006/relationships/hyperlink" Target="https://www.smwcentral.net/?a=details&amp;id=28333&amp;p=section" TargetMode="External"/><Relationship Id="rId3590" Type="http://schemas.openxmlformats.org/officeDocument/2006/relationships/hyperlink" Target="https://dl.smwcentral.net/39366/super-iwmoladudps-world_v0.0.6.zip" TargetMode="External"/><Relationship Id="rId4227" Type="http://schemas.openxmlformats.org/officeDocument/2006/relationships/hyperlink" Target="https://www.smwcentral.net/?a=details&amp;id=9966&amp;p=section" TargetMode="External"/><Relationship Id="rId4434" Type="http://schemas.openxmlformats.org/officeDocument/2006/relationships/hyperlink" Target="https://dl.smwcentral.net/28166/RDK.zip" TargetMode="External"/><Relationship Id="rId2192" Type="http://schemas.openxmlformats.org/officeDocument/2006/relationships/hyperlink" Target="https://dl.smwcentral.net/6131/Mario%27s%20Mistake.zip" TargetMode="External"/><Relationship Id="rId3036" Type="http://schemas.openxmlformats.org/officeDocument/2006/relationships/hyperlink" Target="https://dl.smwcentral.net/34245/Saving_Libertys_Kaizo_Adventure.zip" TargetMode="External"/><Relationship Id="rId3243" Type="http://schemas.openxmlformats.org/officeDocument/2006/relationships/hyperlink" Target="https://www.smwcentral.net/?a=details&amp;id=22919&amp;p=section" TargetMode="External"/><Relationship Id="rId4641" Type="http://schemas.openxmlformats.org/officeDocument/2006/relationships/hyperlink" Target="https://www.smwcentral.net/?a=details&amp;id=32910&amp;p=section" TargetMode="External"/><Relationship Id="rId164" Type="http://schemas.openxmlformats.org/officeDocument/2006/relationships/hyperlink" Target="https://dl.smwcentral.net/32874/A_short_kaizo_v1.1.zip" TargetMode="External"/><Relationship Id="rId371" Type="http://schemas.openxmlformats.org/officeDocument/2006/relationships/hyperlink" Target="https://www.smwcentral.net/?a=details&amp;id=18071&amp;p=section" TargetMode="External"/><Relationship Id="rId2052" Type="http://schemas.openxmlformats.org/officeDocument/2006/relationships/hyperlink" Target="https://dl.smwcentral.net/28944/Mario%20Saves%20Christmas%202021.zip" TargetMode="External"/><Relationship Id="rId3450" Type="http://schemas.openxmlformats.org/officeDocument/2006/relationships/hyperlink" Target="https://dl.smwcentral.net/25008/Super%20Chill%20World%20v2.zip" TargetMode="External"/><Relationship Id="rId4501" Type="http://schemas.openxmlformats.org/officeDocument/2006/relationships/hyperlink" Target="https://www.smwcentral.net/?a=details&amp;id=19988&amp;p=section" TargetMode="External"/><Relationship Id="rId3103" Type="http://schemas.openxmlformats.org/officeDocument/2006/relationships/hyperlink" Target="https://www.smwcentral.net/?a=details&amp;id=32697&amp;p=section" TargetMode="External"/><Relationship Id="rId3310" Type="http://schemas.openxmlformats.org/officeDocument/2006/relationships/hyperlink" Target="https://dl.smwcentral.net/29721/South%20Point%20Hotel.zip" TargetMode="External"/><Relationship Id="rId5068" Type="http://schemas.openxmlformats.org/officeDocument/2006/relationships/hyperlink" Target="https://dl.smwcentral.net/27729/TIAGHTPIYJSPKW_V1.1.1.zip" TargetMode="External"/><Relationship Id="rId231" Type="http://schemas.openxmlformats.org/officeDocument/2006/relationships/hyperlink" Target="https://www.smwcentral.net/?a=details&amp;id=6777&amp;p=section" TargetMode="External"/><Relationship Id="rId2869" Type="http://schemas.openxmlformats.org/officeDocument/2006/relationships/hyperlink" Target="https://www.smwcentral.net/?a=details&amp;id=25582&amp;p=section" TargetMode="External"/><Relationship Id="rId5275" Type="http://schemas.openxmlformats.org/officeDocument/2006/relationships/hyperlink" Target="https://www.smwcentral.net/?a=details&amp;id=24833&amp;p=section" TargetMode="External"/><Relationship Id="rId5482" Type="http://schemas.openxmlformats.org/officeDocument/2006/relationships/hyperlink" Target="https://dl.smwcentral.net/24421/Zap%20Lena%20World%20v1.2.zip" TargetMode="External"/><Relationship Id="rId1678" Type="http://schemas.openxmlformats.org/officeDocument/2006/relationships/hyperlink" Target="https://dl.smwcentral.net/38653/LearningToFly2_0.zip" TargetMode="External"/><Relationship Id="rId1885" Type="http://schemas.openxmlformats.org/officeDocument/2006/relationships/hyperlink" Target="https://www.smwcentral.net/?a=details&amp;id=9802&amp;p=section" TargetMode="External"/><Relationship Id="rId2729" Type="http://schemas.openxmlformats.org/officeDocument/2006/relationships/hyperlink" Target="https://www.smwcentral.net/?a=details&amp;id=41839&amp;p=section" TargetMode="External"/><Relationship Id="rId2936" Type="http://schemas.openxmlformats.org/officeDocument/2006/relationships/hyperlink" Target="https://dl.smwcentral.net/35107/Retrograde%20Nine%201.02.zip" TargetMode="External"/><Relationship Id="rId4084" Type="http://schemas.openxmlformats.org/officeDocument/2006/relationships/hyperlink" Target="https://dl.smwcentral.net/6315/Super%20Mario%20World%20Master%20Quest%206%20%2CUPDATE%201%2C3.zip" TargetMode="External"/><Relationship Id="rId4291" Type="http://schemas.openxmlformats.org/officeDocument/2006/relationships/hyperlink" Target="https://www.smwcentral.net/?a=details&amp;id=9728&amp;p=section" TargetMode="External"/><Relationship Id="rId5135" Type="http://schemas.openxmlformats.org/officeDocument/2006/relationships/hyperlink" Target="https://www.smwcentral.net/?a=details&amp;id=38917&amp;p=section" TargetMode="External"/><Relationship Id="rId5342" Type="http://schemas.openxmlformats.org/officeDocument/2006/relationships/hyperlink" Target="https://dl.smwcentral.net/9650/Wario%20Land%205.zip" TargetMode="External"/><Relationship Id="rId908" Type="http://schemas.openxmlformats.org/officeDocument/2006/relationships/hyperlink" Target="https://dl.smwcentral.net/6255/Dr.%20Mario%20World%20Redrawn%20SMWC.zip" TargetMode="External"/><Relationship Id="rId1538" Type="http://schemas.openxmlformats.org/officeDocument/2006/relationships/hyperlink" Target="https://dl.smwcentral.net/26043/KaizoDreamland.zip" TargetMode="External"/><Relationship Id="rId4151" Type="http://schemas.openxmlformats.org/officeDocument/2006/relationships/hyperlink" Target="https://www.smwcentral.net/?a=details&amp;id=31349&amp;p=section" TargetMode="External"/><Relationship Id="rId5202" Type="http://schemas.openxmlformats.org/officeDocument/2006/relationships/hyperlink" Target="https://dl.smwcentral.net/39095/Ultimate_Carl_Heaven.zip" TargetMode="External"/><Relationship Id="rId1745" Type="http://schemas.openxmlformats.org/officeDocument/2006/relationships/hyperlink" Target="https://www.smwcentral.net/?a=details&amp;id=30864&amp;p=section" TargetMode="External"/><Relationship Id="rId1952" Type="http://schemas.openxmlformats.org/officeDocument/2006/relationships/hyperlink" Target="https://dl.smwcentral.net/10141/mario%20in%20a%20strange%20adventure.zip" TargetMode="External"/><Relationship Id="rId4011" Type="http://schemas.openxmlformats.org/officeDocument/2006/relationships/hyperlink" Target="https://www.smwcentral.net/?a=details&amp;id=36862&amp;p=section" TargetMode="External"/><Relationship Id="rId37" Type="http://schemas.openxmlformats.org/officeDocument/2006/relationships/hyperlink" Target="https://www.smwcentral.net/?a=details&amp;id=39007&amp;p=section" TargetMode="External"/><Relationship Id="rId1605" Type="http://schemas.openxmlformats.org/officeDocument/2006/relationships/hyperlink" Target="https://www.smwcentral.net/?a=details&amp;id=23425&amp;p=section" TargetMode="External"/><Relationship Id="rId1812" Type="http://schemas.openxmlformats.org/officeDocument/2006/relationships/hyperlink" Target="https://dl.smwcentral.net/5572/Lunar%20Legends%2C%20The%20Search%20-%20C3%20Demo.zip" TargetMode="External"/><Relationship Id="rId4968" Type="http://schemas.openxmlformats.org/officeDocument/2006/relationships/hyperlink" Target="https://dl.smwcentral.net/9875/The%20Saga%20-%20Kame.zip" TargetMode="External"/><Relationship Id="rId3777" Type="http://schemas.openxmlformats.org/officeDocument/2006/relationships/hyperlink" Target="https://www.smwcentral.net/?a=details&amp;id=6764&amp;p=section" TargetMode="External"/><Relationship Id="rId3984" Type="http://schemas.openxmlformats.org/officeDocument/2006/relationships/hyperlink" Target="https://dl.smwcentral.net/5198/SuperMarioVersusBowsersNewArmy.zip" TargetMode="External"/><Relationship Id="rId4828" Type="http://schemas.openxmlformats.org/officeDocument/2006/relationships/hyperlink" Target="https://dl.smwcentral.net/21388/The%20Halloween%20Island%20V1.2.zip" TargetMode="External"/><Relationship Id="rId698" Type="http://schemas.openxmlformats.org/officeDocument/2006/relationships/hyperlink" Target="https://dl.smwcentral.net/17198/Classic%20Mario%20Demo%202.zip" TargetMode="External"/><Relationship Id="rId2379" Type="http://schemas.openxmlformats.org/officeDocument/2006/relationships/hyperlink" Target="https://www.smwcentral.net/?a=details&amp;id=24114&amp;p=section" TargetMode="External"/><Relationship Id="rId2586" Type="http://schemas.openxmlformats.org/officeDocument/2006/relationships/hyperlink" Target="https://dl.smwcentral.net/35775/Ninji%20Story%202%20V1.0B.zip" TargetMode="External"/><Relationship Id="rId2793" Type="http://schemas.openxmlformats.org/officeDocument/2006/relationships/hyperlink" Target="https://www.smwcentral.net/?a=details&amp;id=42543&amp;p=section" TargetMode="External"/><Relationship Id="rId3637" Type="http://schemas.openxmlformats.org/officeDocument/2006/relationships/hyperlink" Target="https://www.smwcentral.net/?a=details&amp;id=26877&amp;p=section" TargetMode="External"/><Relationship Id="rId3844" Type="http://schemas.openxmlformats.org/officeDocument/2006/relationships/hyperlink" Target="https://dl.smwcentral.net/15576/Super%20Mario%20Element%20Worlds%20FIXED.zip" TargetMode="External"/><Relationship Id="rId558" Type="http://schemas.openxmlformats.org/officeDocument/2006/relationships/hyperlink" Target="https://dl.smwcentral.net/33690/BUDDY%20SHELL%20v1.zip" TargetMode="External"/><Relationship Id="rId765" Type="http://schemas.openxmlformats.org/officeDocument/2006/relationships/hyperlink" Target="https://www.smwcentral.net/?a=details&amp;id=33950&amp;p=section" TargetMode="External"/><Relationship Id="rId972" Type="http://schemas.openxmlformats.org/officeDocument/2006/relationships/hyperlink" Target="https://dl.smwcentral.net/28338/Empyrean_v1.0.zip" TargetMode="External"/><Relationship Id="rId1188" Type="http://schemas.openxmlformats.org/officeDocument/2006/relationships/hyperlink" Target="https://dl.smwcentral.net/19541/Grand%20Poo%20World%202%201.1.zip" TargetMode="External"/><Relationship Id="rId1395" Type="http://schemas.openxmlformats.org/officeDocument/2006/relationships/hyperlink" Target="https://www.smwcentral.net/?a=details&amp;id=36666&amp;p=section" TargetMode="External"/><Relationship Id="rId2239" Type="http://schemas.openxmlformats.org/officeDocument/2006/relationships/hyperlink" Target="https://www.smwcentral.net/?a=details&amp;id=10033&amp;p=section" TargetMode="External"/><Relationship Id="rId2446" Type="http://schemas.openxmlformats.org/officeDocument/2006/relationships/hyperlink" Target="https://dl.smwcentral.net/30077/My%20New%20Favorite%20Hack.zip" TargetMode="External"/><Relationship Id="rId2653" Type="http://schemas.openxmlformats.org/officeDocument/2006/relationships/hyperlink" Target="https://www.smwcentral.net/?a=details&amp;id=42110&amp;p=section" TargetMode="External"/><Relationship Id="rId2860" Type="http://schemas.openxmlformats.org/officeDocument/2006/relationships/hyperlink" Target="https://dl.smwcentral.net/11350/PunishingPothole2.zip" TargetMode="External"/><Relationship Id="rId3704" Type="http://schemas.openxmlformats.org/officeDocument/2006/relationships/hyperlink" Target="https://dl.smwcentral.net/27968/Super%20Mario%20-%20Modo%20Competitivo.zip" TargetMode="External"/><Relationship Id="rId418" Type="http://schemas.openxmlformats.org/officeDocument/2006/relationships/hyperlink" Target="https://dl.smwcentral.net/31618/BeginningBrew%20-%20Super%20Real%20World.zip" TargetMode="External"/><Relationship Id="rId625" Type="http://schemas.openxmlformats.org/officeDocument/2006/relationships/hyperlink" Target="https://www.smwcentral.net/?a=details&amp;id=42459&amp;p=section" TargetMode="External"/><Relationship Id="rId832" Type="http://schemas.openxmlformats.org/officeDocument/2006/relationships/hyperlink" Target="https://dl.smwcentral.net/38714/Deathshredder.zip" TargetMode="External"/><Relationship Id="rId1048" Type="http://schemas.openxmlformats.org/officeDocument/2006/relationships/hyperlink" Target="https://dl.smwcentral.net/37848/Fantasia.zip" TargetMode="External"/><Relationship Id="rId1255" Type="http://schemas.openxmlformats.org/officeDocument/2006/relationships/hyperlink" Target="https://www.smwcentral.net/?a=details&amp;id=39521&amp;p=section" TargetMode="External"/><Relationship Id="rId1462" Type="http://schemas.openxmlformats.org/officeDocument/2006/relationships/hyperlink" Target="https://dl.smwcentral.net/39093/25690-SMW-JoeBidenPS2.zip" TargetMode="External"/><Relationship Id="rId2306" Type="http://schemas.openxmlformats.org/officeDocument/2006/relationships/hyperlink" Target="https://dl.smwcentral.net/32694/Marisa%27s%20Dimensional%20Adventure%20Demo%202.zip" TargetMode="External"/><Relationship Id="rId2513" Type="http://schemas.openxmlformats.org/officeDocument/2006/relationships/hyperlink" Target="https://www.smwcentral.net/?a=details&amp;id=9979&amp;p=section" TargetMode="External"/><Relationship Id="rId3911" Type="http://schemas.openxmlformats.org/officeDocument/2006/relationships/hyperlink" Target="https://www.smwcentral.net/?a=details&amp;id=16048&amp;p=section" TargetMode="External"/><Relationship Id="rId1115" Type="http://schemas.openxmlformats.org/officeDocument/2006/relationships/hyperlink" Target="https://www.smwcentral.net/?a=details&amp;id=13445&amp;p=section" TargetMode="External"/><Relationship Id="rId1322" Type="http://schemas.openxmlformats.org/officeDocument/2006/relationships/hyperlink" Target="https://dl.smwcentral.net/9273/Horrifying%20Mario%20World.zip" TargetMode="External"/><Relationship Id="rId2720" Type="http://schemas.openxmlformats.org/officeDocument/2006/relationships/hyperlink" Target="https://dl.smwcentral.net/27799/Pitmk2v1.03.zip" TargetMode="External"/><Relationship Id="rId4478" Type="http://schemas.openxmlformats.org/officeDocument/2006/relationships/hyperlink" Target="https://dl.smwcentral.net/18422/SuperSheffyWorldDeluxe.zip" TargetMode="External"/><Relationship Id="rId3287" Type="http://schemas.openxmlformats.org/officeDocument/2006/relationships/hyperlink" Target="https://www.smwcentral.net/?a=details&amp;id=6304&amp;p=section" TargetMode="External"/><Relationship Id="rId4338" Type="http://schemas.openxmlformats.org/officeDocument/2006/relationships/hyperlink" Target="https://dl.smwcentral.net/23075/SuperMooWorld.zip" TargetMode="External"/><Relationship Id="rId4685" Type="http://schemas.openxmlformats.org/officeDocument/2006/relationships/hyperlink" Target="https://www.smwcentral.net/?a=details&amp;id=32572&amp;p=section" TargetMode="External"/><Relationship Id="rId4892" Type="http://schemas.openxmlformats.org/officeDocument/2006/relationships/hyperlink" Target="https://dl.smwcentral.net/34379/MCP.zip" TargetMode="External"/><Relationship Id="rId2096" Type="http://schemas.openxmlformats.org/officeDocument/2006/relationships/hyperlink" Target="https://dl.smwcentral.net/9896/DaKingDemo.zip" TargetMode="External"/><Relationship Id="rId3494" Type="http://schemas.openxmlformats.org/officeDocument/2006/relationships/hyperlink" Target="https://dl.smwcentral.net/9825/Super%20Demo%20World%203.zip" TargetMode="External"/><Relationship Id="rId4545" Type="http://schemas.openxmlformats.org/officeDocument/2006/relationships/hyperlink" Target="https://www.smwcentral.net/?a=details&amp;id=34766&amp;p=section" TargetMode="External"/><Relationship Id="rId4752" Type="http://schemas.openxmlformats.org/officeDocument/2006/relationships/hyperlink" Target="https://dl.smwcentral.net/11441/Crater%201_32.zip" TargetMode="External"/><Relationship Id="rId3147" Type="http://schemas.openxmlformats.org/officeDocument/2006/relationships/hyperlink" Target="https://www.smwcentral.net/?a=details&amp;id=5950&amp;p=section" TargetMode="External"/><Relationship Id="rId3354" Type="http://schemas.openxmlformats.org/officeDocument/2006/relationships/hyperlink" Target="https://dl.smwcentral.net/23490/Standard%20SMW%20ROM%20Hack%20%28Fixed%20Demo%29.bps.zip" TargetMode="External"/><Relationship Id="rId3561" Type="http://schemas.openxmlformats.org/officeDocument/2006/relationships/hyperlink" Target="https://www.smwcentral.net/?a=details&amp;id=15216&amp;p=section" TargetMode="External"/><Relationship Id="rId4405" Type="http://schemas.openxmlformats.org/officeDocument/2006/relationships/hyperlink" Target="https://www.smwcentral.net/?a=details&amp;id=39546&amp;p=section" TargetMode="External"/><Relationship Id="rId4612" Type="http://schemas.openxmlformats.org/officeDocument/2006/relationships/hyperlink" Target="https://dl.smwcentral.net/24498/Sweet%20n%27%20Sour%20v1.1.zip" TargetMode="External"/><Relationship Id="rId275" Type="http://schemas.openxmlformats.org/officeDocument/2006/relationships/hyperlink" Target="https://www.smwcentral.net/?a=details&amp;id=38889&amp;p=section" TargetMode="External"/><Relationship Id="rId482" Type="http://schemas.openxmlformats.org/officeDocument/2006/relationships/hyperlink" Target="https://dl.smwcentral.net/17843/Boris%20V2.zip" TargetMode="External"/><Relationship Id="rId2163" Type="http://schemas.openxmlformats.org/officeDocument/2006/relationships/hyperlink" Target="https://www.smwcentral.net/?a=details&amp;id=28058&amp;p=section" TargetMode="External"/><Relationship Id="rId2370" Type="http://schemas.openxmlformats.org/officeDocument/2006/relationships/hyperlink" Target="https://dl.smwcentral.net/38002/Mint%20Chocolate.zip" TargetMode="External"/><Relationship Id="rId3007" Type="http://schemas.openxmlformats.org/officeDocument/2006/relationships/hyperlink" Target="https://www.smwcentral.net/?a=details&amp;id=27430&amp;p=section" TargetMode="External"/><Relationship Id="rId3214" Type="http://schemas.openxmlformats.org/officeDocument/2006/relationships/hyperlink" Target="https://dl.smwcentral.net/31238/Super%20Mario%20o%20Sumi%C3%A7o%20de%20%C3%8Dris%20Demo%20ver%201.2.zip" TargetMode="External"/><Relationship Id="rId3421" Type="http://schemas.openxmlformats.org/officeDocument/2006/relationships/hyperlink" Target="https://www.smwcentral.net/?a=details&amp;id=22519&amp;p=section" TargetMode="External"/><Relationship Id="rId135" Type="http://schemas.openxmlformats.org/officeDocument/2006/relationships/hyperlink" Target="https://www.smwcentral.net/?a=details&amp;id=9973&amp;p=section" TargetMode="External"/><Relationship Id="rId342" Type="http://schemas.openxmlformats.org/officeDocument/2006/relationships/hyperlink" Target="https://dl.smwcentral.net/20671/Armaidia.zip" TargetMode="External"/><Relationship Id="rId2023" Type="http://schemas.openxmlformats.org/officeDocument/2006/relationships/hyperlink" Target="https://www.smwcentral.net/?a=details&amp;id=26194&amp;p=section" TargetMode="External"/><Relationship Id="rId2230" Type="http://schemas.openxmlformats.org/officeDocument/2006/relationships/hyperlink" Target="https://dl.smwcentral.net/16492/Mario%27s%20Search%20for%20the%208%20Jewels%202%20-%20by%20MaiK.zip" TargetMode="External"/><Relationship Id="rId5179" Type="http://schemas.openxmlformats.org/officeDocument/2006/relationships/hyperlink" Target="https://www.smwcentral.net/?a=details&amp;id=28235&amp;p=section" TargetMode="External"/><Relationship Id="rId5386" Type="http://schemas.openxmlformats.org/officeDocument/2006/relationships/hyperlink" Target="https://dl.smwcentral.net/20891/Whats_The_Name_Of_This_Hack_v1_7.zip" TargetMode="External"/><Relationship Id="rId202" Type="http://schemas.openxmlformats.org/officeDocument/2006/relationships/hyperlink" Target="https://dl.smwcentral.net/29748/A%20WIP.zip" TargetMode="External"/><Relationship Id="rId4195" Type="http://schemas.openxmlformats.org/officeDocument/2006/relationships/hyperlink" Target="https://www.smwcentral.net/?a=details&amp;id=5593&amp;p=section" TargetMode="External"/><Relationship Id="rId5039" Type="http://schemas.openxmlformats.org/officeDocument/2006/relationships/hyperlink" Target="https://www.smwcentral.net/?a=details&amp;id=6225&amp;p=section" TargetMode="External"/><Relationship Id="rId5246" Type="http://schemas.openxmlformats.org/officeDocument/2006/relationships/hyperlink" Target="https://dl.smwcentral.net/22495/Unnamed%202D%20Mario%20Game%20Beta%202.2.zip" TargetMode="External"/><Relationship Id="rId5453" Type="http://schemas.openxmlformats.org/officeDocument/2006/relationships/hyperlink" Target="https://www.smwcentral.net/?a=details&amp;id=29590&amp;p=section" TargetMode="External"/><Relationship Id="rId1789" Type="http://schemas.openxmlformats.org/officeDocument/2006/relationships/hyperlink" Target="https://www.smwcentral.net/?a=details&amp;id=21799&amp;p=section" TargetMode="External"/><Relationship Id="rId1996" Type="http://schemas.openxmlformats.org/officeDocument/2006/relationships/hyperlink" Target="https://dl.smwcentral.net/10154/Mario%20Is%20Sick%21%20V.6.zip" TargetMode="External"/><Relationship Id="rId4055" Type="http://schemas.openxmlformats.org/officeDocument/2006/relationships/hyperlink" Target="https://www.smwcentral.net/?a=details&amp;id=15568&amp;p=section" TargetMode="External"/><Relationship Id="rId4262" Type="http://schemas.openxmlformats.org/officeDocument/2006/relationships/hyperlink" Target="https://dl.smwcentral.net/41432/Super%20Mario%27s%20Wacky%20Worlds%20SD.zip" TargetMode="External"/><Relationship Id="rId5106" Type="http://schemas.openxmlformats.org/officeDocument/2006/relationships/hyperlink" Target="https://dl.smwcentral.net/36780/To%20Shell%20And%20Back%21%201.3.zip" TargetMode="External"/><Relationship Id="rId1649" Type="http://schemas.openxmlformats.org/officeDocument/2006/relationships/hyperlink" Target="https://www.smwcentral.net/?a=details&amp;id=42458&amp;p=section" TargetMode="External"/><Relationship Id="rId1856" Type="http://schemas.openxmlformats.org/officeDocument/2006/relationships/hyperlink" Target="https://dl.smwcentral.net/5276/Crazy%20adventure%20demo%201.zip" TargetMode="External"/><Relationship Id="rId2907" Type="http://schemas.openxmlformats.org/officeDocument/2006/relationships/hyperlink" Target="https://www.smwcentral.net/?a=details&amp;id=36825&amp;p=section" TargetMode="External"/><Relationship Id="rId3071" Type="http://schemas.openxmlformats.org/officeDocument/2006/relationships/hyperlink" Target="https://www.smwcentral.net/?a=details&amp;id=28509&amp;p=section" TargetMode="External"/><Relationship Id="rId5313" Type="http://schemas.openxmlformats.org/officeDocument/2006/relationships/hyperlink" Target="https://www.smwcentral.net/?a=details&amp;id=9799&amp;p=section" TargetMode="External"/><Relationship Id="rId1509" Type="http://schemas.openxmlformats.org/officeDocument/2006/relationships/hyperlink" Target="https://www.smwcentral.net/?a=details&amp;id=10495&amp;p=section" TargetMode="External"/><Relationship Id="rId1716" Type="http://schemas.openxmlformats.org/officeDocument/2006/relationships/hyperlink" Target="https://dl.smwcentral.net/24758/bonusroom.zip" TargetMode="External"/><Relationship Id="rId1923" Type="http://schemas.openxmlformats.org/officeDocument/2006/relationships/hyperlink" Target="https://www.smwcentral.net/?a=details&amp;id=41397&amp;p=section" TargetMode="External"/><Relationship Id="rId4122" Type="http://schemas.openxmlformats.org/officeDocument/2006/relationships/hyperlink" Target="https://dl.smwcentral.net/5495/APK%20C3%20Demo.zip" TargetMode="External"/><Relationship Id="rId3888" Type="http://schemas.openxmlformats.org/officeDocument/2006/relationships/hyperlink" Target="https://dl.smwcentral.net/20859/smi2.zip" TargetMode="External"/><Relationship Id="rId4939" Type="http://schemas.openxmlformats.org/officeDocument/2006/relationships/hyperlink" Target="https://www.smwcentral.net/?a=details&amp;id=25186&amp;p=section" TargetMode="External"/><Relationship Id="rId2697" Type="http://schemas.openxmlformats.org/officeDocument/2006/relationships/hyperlink" Target="https://www.smwcentral.net/?a=details&amp;id=6969&amp;p=section" TargetMode="External"/><Relationship Id="rId3748" Type="http://schemas.openxmlformats.org/officeDocument/2006/relationships/hyperlink" Target="https://dl.smwcentral.net/25840/SuperMarioBalloonWorld.zip" TargetMode="External"/><Relationship Id="rId669" Type="http://schemas.openxmlformats.org/officeDocument/2006/relationships/hyperlink" Target="https://www.smwcentral.net/?a=details&amp;id=10151&amp;p=section" TargetMode="External"/><Relationship Id="rId876" Type="http://schemas.openxmlformats.org/officeDocument/2006/relationships/hyperlink" Target="https://dl.smwcentral.net/22814/domenyXvsCorona.zip" TargetMode="External"/><Relationship Id="rId1299" Type="http://schemas.openxmlformats.org/officeDocument/2006/relationships/hyperlink" Target="https://www.smwcentral.net/?a=details&amp;id=27872&amp;p=section" TargetMode="External"/><Relationship Id="rId2557" Type="http://schemas.openxmlformats.org/officeDocument/2006/relationships/hyperlink" Target="https://www.smwcentral.net/?a=details&amp;id=27776&amp;p=section" TargetMode="External"/><Relationship Id="rId3608" Type="http://schemas.openxmlformats.org/officeDocument/2006/relationships/hyperlink" Target="https://dl.smwcentral.net/35025/Super%20Joe%20Bros%203%20V1.1.zip" TargetMode="External"/><Relationship Id="rId3955" Type="http://schemas.openxmlformats.org/officeDocument/2006/relationships/hyperlink" Target="https://www.smwcentral.net/?a=details&amp;id=41047&amp;p=section" TargetMode="External"/><Relationship Id="rId5170" Type="http://schemas.openxmlformats.org/officeDocument/2006/relationships/hyperlink" Target="https://dl.smwcentral.net/16080/TF.zip" TargetMode="External"/><Relationship Id="rId529" Type="http://schemas.openxmlformats.org/officeDocument/2006/relationships/hyperlink" Target="https://www.smwcentral.net/?a=details&amp;id=10178&amp;p=section" TargetMode="External"/><Relationship Id="rId736" Type="http://schemas.openxmlformats.org/officeDocument/2006/relationships/hyperlink" Target="https://dl.smwcentral.net/35616/Commuter_V1.zip" TargetMode="External"/><Relationship Id="rId1159" Type="http://schemas.openxmlformats.org/officeDocument/2006/relationships/hyperlink" Target="https://www.smwcentral.net/?a=details&amp;id=15302&amp;p=section" TargetMode="External"/><Relationship Id="rId1366" Type="http://schemas.openxmlformats.org/officeDocument/2006/relationships/hyperlink" Target="https://dl.smwcentral.net/42072/dogs_of_war.zip" TargetMode="External"/><Relationship Id="rId2417" Type="http://schemas.openxmlformats.org/officeDocument/2006/relationships/hyperlink" Target="https://www.smwcentral.net/?a=details&amp;id=6550&amp;p=section" TargetMode="External"/><Relationship Id="rId2764" Type="http://schemas.openxmlformats.org/officeDocument/2006/relationships/hyperlink" Target="https://dl.smwcentral.net/41226/Pipetastic1.1.zip" TargetMode="External"/><Relationship Id="rId2971" Type="http://schemas.openxmlformats.org/officeDocument/2006/relationships/hyperlink" Target="https://www.smwcentral.net/?a=details&amp;id=36801&amp;p=section" TargetMode="External"/><Relationship Id="rId3815" Type="http://schemas.openxmlformats.org/officeDocument/2006/relationships/hyperlink" Target="https://www.smwcentral.net/?a=details&amp;id=10139&amp;p=section" TargetMode="External"/><Relationship Id="rId5030" Type="http://schemas.openxmlformats.org/officeDocument/2006/relationships/hyperlink" Target="https://dl.smwcentral.net/9653/The%20Unworld.zip" TargetMode="External"/><Relationship Id="rId943" Type="http://schemas.openxmlformats.org/officeDocument/2006/relationships/hyperlink" Target="https://www.smwcentral.net/?a=details&amp;id=38528&amp;p=section" TargetMode="External"/><Relationship Id="rId1019" Type="http://schemas.openxmlformats.org/officeDocument/2006/relationships/hyperlink" Target="https://www.smwcentral.net/?a=details&amp;id=40635&amp;p=section" TargetMode="External"/><Relationship Id="rId1573" Type="http://schemas.openxmlformats.org/officeDocument/2006/relationships/hyperlink" Target="https://www.smwcentral.net/?a=details&amp;id=32837&amp;p=section" TargetMode="External"/><Relationship Id="rId1780" Type="http://schemas.openxmlformats.org/officeDocument/2006/relationships/hyperlink" Target="https://dl.smwcentral.net/16689/Luigi%27s%20Lost%20Levels.zip" TargetMode="External"/><Relationship Id="rId2624" Type="http://schemas.openxmlformats.org/officeDocument/2006/relationships/hyperlink" Target="https://dl.smwcentral.net/27992/GhimUpdate.zip" TargetMode="External"/><Relationship Id="rId2831" Type="http://schemas.openxmlformats.org/officeDocument/2006/relationships/hyperlink" Target="https://www.smwcentral.net/?a=details&amp;id=42028&amp;p=section" TargetMode="External"/><Relationship Id="rId72" Type="http://schemas.openxmlformats.org/officeDocument/2006/relationships/hyperlink" Target="https://dl.smwcentral.net/40952/6HOURS.zip" TargetMode="External"/><Relationship Id="rId803" Type="http://schemas.openxmlformats.org/officeDocument/2006/relationships/hyperlink" Target="https://www.smwcentral.net/?a=details&amp;id=29831&amp;p=section" TargetMode="External"/><Relationship Id="rId1226" Type="http://schemas.openxmlformats.org/officeDocument/2006/relationships/hyperlink" Target="https://dl.smwcentral.net/24991/Hack%200.zip" TargetMode="External"/><Relationship Id="rId1433" Type="http://schemas.openxmlformats.org/officeDocument/2006/relationships/hyperlink" Target="https://www.smwcentral.net/?a=details&amp;id=26898&amp;p=section" TargetMode="External"/><Relationship Id="rId1640" Type="http://schemas.openxmlformats.org/officeDocument/2006/relationships/hyperlink" Target="https://dl.smwcentral.net/34900/Kuuwote%27s%20Level%20Pack%20%231.zip" TargetMode="External"/><Relationship Id="rId4589" Type="http://schemas.openxmlformats.org/officeDocument/2006/relationships/hyperlink" Target="https://www.smwcentral.net/?a=details&amp;id=21910&amp;p=section" TargetMode="External"/><Relationship Id="rId4796" Type="http://schemas.openxmlformats.org/officeDocument/2006/relationships/hyperlink" Target="https://dl.smwcentral.net/42166/The%20Found%20Levels%20featuring%20Aeron%20%28version%201.4.5%29.zip" TargetMode="External"/><Relationship Id="rId1500" Type="http://schemas.openxmlformats.org/officeDocument/2006/relationships/hyperlink" Target="https://dl.smwcentral.net/6050/hack%202%20patch.zip" TargetMode="External"/><Relationship Id="rId3398" Type="http://schemas.openxmlformats.org/officeDocument/2006/relationships/hyperlink" Target="https://dl.smwcentral.net/5024/ssworld.zip" TargetMode="External"/><Relationship Id="rId4449" Type="http://schemas.openxmlformats.org/officeDocument/2006/relationships/hyperlink" Target="https://www.smwcentral.net/?a=details&amp;id=18529&amp;p=section" TargetMode="External"/><Relationship Id="rId4656" Type="http://schemas.openxmlformats.org/officeDocument/2006/relationships/hyperlink" Target="https://dl.smwcentral.net/21873/Technicolor%20Mario%20World%20-%20Demo%202%20%28Bug%20Fix%203%29.zip" TargetMode="External"/><Relationship Id="rId4863" Type="http://schemas.openxmlformats.org/officeDocument/2006/relationships/hyperlink" Target="https://www.smwcentral.net/?a=details&amp;id=10002&amp;p=section" TargetMode="External"/><Relationship Id="rId3258" Type="http://schemas.openxmlformats.org/officeDocument/2006/relationships/hyperlink" Target="https://dl.smwcentral.net/10234/Smw2%20The%20unkown%20threats%20F.I.X.E.D.zip" TargetMode="External"/><Relationship Id="rId3465" Type="http://schemas.openxmlformats.org/officeDocument/2006/relationships/hyperlink" Target="https://www.smwcentral.net/?a=details&amp;id=18738&amp;p=section" TargetMode="External"/><Relationship Id="rId3672" Type="http://schemas.openxmlformats.org/officeDocument/2006/relationships/hyperlink" Target="https://dl.smwcentral.net/35747/slw0.5_w2_demo%20v0.5.zip" TargetMode="External"/><Relationship Id="rId4309" Type="http://schemas.openxmlformats.org/officeDocument/2006/relationships/hyperlink" Target="https://www.smwcentral.net/?a=details&amp;id=42645&amp;p=section" TargetMode="External"/><Relationship Id="rId4516" Type="http://schemas.openxmlformats.org/officeDocument/2006/relationships/hyperlink" Target="https://dl.smwcentral.net/29988/Swordi%20World%202%201.1.zip" TargetMode="External"/><Relationship Id="rId4723" Type="http://schemas.openxmlformats.org/officeDocument/2006/relationships/hyperlink" Target="https://www.smwcentral.net/?a=details&amp;id=5260&amp;p=section" TargetMode="External"/><Relationship Id="rId179" Type="http://schemas.openxmlformats.org/officeDocument/2006/relationships/hyperlink" Target="https://www.smwcentral.net/?a=details&amp;id=5031&amp;p=section" TargetMode="External"/><Relationship Id="rId386" Type="http://schemas.openxmlformats.org/officeDocument/2006/relationships/hyperlink" Target="https://dl.smwcentral.net/32912/BanShell.zip" TargetMode="External"/><Relationship Id="rId593" Type="http://schemas.openxmlformats.org/officeDocument/2006/relationships/hyperlink" Target="https://www.smwcentral.net/?a=details&amp;id=39487&amp;p=section" TargetMode="External"/><Relationship Id="rId2067" Type="http://schemas.openxmlformats.org/officeDocument/2006/relationships/hyperlink" Target="https://www.smwcentral.net/?a=details&amp;id=37877&amp;p=section" TargetMode="External"/><Relationship Id="rId2274" Type="http://schemas.openxmlformats.org/officeDocument/2006/relationships/hyperlink" Target="https://dl.smwcentral.net/10145/MCW.zip" TargetMode="External"/><Relationship Id="rId2481" Type="http://schemas.openxmlformats.org/officeDocument/2006/relationships/hyperlink" Target="https://www.smwcentral.net/?a=details&amp;id=30309&amp;p=section" TargetMode="External"/><Relationship Id="rId3118" Type="http://schemas.openxmlformats.org/officeDocument/2006/relationships/hyperlink" Target="https://dl.smwcentral.net/39179/shellventure10.zip" TargetMode="External"/><Relationship Id="rId3325" Type="http://schemas.openxmlformats.org/officeDocument/2006/relationships/hyperlink" Target="https://www.smwcentral.net/?a=details&amp;id=31344&amp;p=section" TargetMode="External"/><Relationship Id="rId3532" Type="http://schemas.openxmlformats.org/officeDocument/2006/relationships/hyperlink" Target="https://dl.smwcentral.net/41357/Follow%20the%20Fish.zip" TargetMode="External"/><Relationship Id="rId4930" Type="http://schemas.openxmlformats.org/officeDocument/2006/relationships/hyperlink" Target="https://dl.smwcentral.net/32607/The%20Pit%20Level%202%20REMASTERED.zip" TargetMode="External"/><Relationship Id="rId246" Type="http://schemas.openxmlformats.org/officeDocument/2006/relationships/hyperlink" Target="https://dl.smwcentral.net/34827/Agnosthesia.zip" TargetMode="External"/><Relationship Id="rId453" Type="http://schemas.openxmlformats.org/officeDocument/2006/relationships/hyperlink" Target="https://www.smwcentral.net/?a=details&amp;id=32646&amp;p=section" TargetMode="External"/><Relationship Id="rId660" Type="http://schemas.openxmlformats.org/officeDocument/2006/relationships/hyperlink" Target="https://dl.smwcentral.net/30753/CHIV1.1.zip" TargetMode="External"/><Relationship Id="rId1083" Type="http://schemas.openxmlformats.org/officeDocument/2006/relationships/hyperlink" Target="https://www.smwcentral.net/?a=details&amp;id=28842&amp;p=section" TargetMode="External"/><Relationship Id="rId1290" Type="http://schemas.openxmlformats.org/officeDocument/2006/relationships/hyperlink" Target="https://dl.smwcentral.net/31460/hangin-with-mr-koopa-2.zip" TargetMode="External"/><Relationship Id="rId2134" Type="http://schemas.openxmlformats.org/officeDocument/2006/relationships/hyperlink" Target="https://dl.smwcentral.net/9861/SMW%20Mario%27s%20Cool%20Mission.zip" TargetMode="External"/><Relationship Id="rId2341" Type="http://schemas.openxmlformats.org/officeDocument/2006/relationships/hyperlink" Target="https://www.smwcentral.net/?a=details&amp;id=34925&amp;p=section" TargetMode="External"/><Relationship Id="rId106" Type="http://schemas.openxmlformats.org/officeDocument/2006/relationships/hyperlink" Target="https://dl.smwcentral.net/26928/A%20Goblin%27s%20Quest.zip" TargetMode="External"/><Relationship Id="rId313" Type="http://schemas.openxmlformats.org/officeDocument/2006/relationships/hyperlink" Target="https://www.smwcentral.net/?a=details&amp;id=42255&amp;p=section" TargetMode="External"/><Relationship Id="rId1150" Type="http://schemas.openxmlformats.org/officeDocument/2006/relationships/hyperlink" Target="https://dl.smwcentral.net/33990/Gauntlet%202.zip" TargetMode="External"/><Relationship Id="rId4099" Type="http://schemas.openxmlformats.org/officeDocument/2006/relationships/hyperlink" Target="https://www.smwcentral.net/?a=details&amp;id=13364&amp;p=section" TargetMode="External"/><Relationship Id="rId5357" Type="http://schemas.openxmlformats.org/officeDocument/2006/relationships/hyperlink" Target="https://www.smwcentral.net/?a=details&amp;id=27024&amp;p=section" TargetMode="External"/><Relationship Id="rId520" Type="http://schemas.openxmlformats.org/officeDocument/2006/relationships/hyperlink" Target="https://dl.smwcentral.net/10046/SMB%20BP%20DEMO.zip" TargetMode="External"/><Relationship Id="rId2201" Type="http://schemas.openxmlformats.org/officeDocument/2006/relationships/hyperlink" Target="https://www.smwcentral.net/?a=details&amp;id=13292&amp;p=section" TargetMode="External"/><Relationship Id="rId1010" Type="http://schemas.openxmlformats.org/officeDocument/2006/relationships/hyperlink" Target="https://dl.smwcentral.net/40892/Everyone%27s%20Gone%20v1.1.zip" TargetMode="External"/><Relationship Id="rId1967" Type="http://schemas.openxmlformats.org/officeDocument/2006/relationships/hyperlink" Target="https://www.smwcentral.net/?a=details&amp;id=28229&amp;p=section" TargetMode="External"/><Relationship Id="rId4166" Type="http://schemas.openxmlformats.org/officeDocument/2006/relationships/hyperlink" Target="https://dl.smwcentral.net/9801/Super%20Mario%20World%20Jurassic%20Path%20%28Demo%201%29.zip" TargetMode="External"/><Relationship Id="rId4373" Type="http://schemas.openxmlformats.org/officeDocument/2006/relationships/hyperlink" Target="https://www.smwcentral.net/?a=details&amp;id=40217&amp;p=section" TargetMode="External"/><Relationship Id="rId4580" Type="http://schemas.openxmlformats.org/officeDocument/2006/relationships/hyperlink" Target="https://dl.smwcentral.net/28837/Super%20Yeet%20World.zip" TargetMode="External"/><Relationship Id="rId5217" Type="http://schemas.openxmlformats.org/officeDocument/2006/relationships/hyperlink" Target="https://www.smwcentral.net/?a=details&amp;id=41359&amp;p=section" TargetMode="External"/><Relationship Id="rId5424" Type="http://schemas.openxmlformats.org/officeDocument/2006/relationships/hyperlink" Target="https://dl.smwcentral.net/17482/xka_shack.zip" TargetMode="External"/><Relationship Id="rId4026" Type="http://schemas.openxmlformats.org/officeDocument/2006/relationships/hyperlink" Target="https://dl.smwcentral.net/9853/SMW1.5.zip" TargetMode="External"/><Relationship Id="rId4440" Type="http://schemas.openxmlformats.org/officeDocument/2006/relationships/hyperlink" Target="https://dl.smwcentral.net/42386/Super%20Regiane-se.zip" TargetMode="External"/><Relationship Id="rId3042" Type="http://schemas.openxmlformats.org/officeDocument/2006/relationships/hyperlink" Target="https://dl.smwcentral.net/29498/Scary_Bosses_and_Nice_Sprites.zip" TargetMode="External"/><Relationship Id="rId3859" Type="http://schemas.openxmlformats.org/officeDocument/2006/relationships/hyperlink" Target="https://www.smwcentral.net/?a=details&amp;id=19560&amp;p=section" TargetMode="External"/><Relationship Id="rId5281" Type="http://schemas.openxmlformats.org/officeDocument/2006/relationships/hyperlink" Target="https://www.smwcentral.net/?a=details&amp;id=6692&amp;p=section" TargetMode="External"/><Relationship Id="rId2875" Type="http://schemas.openxmlformats.org/officeDocument/2006/relationships/hyperlink" Target="https://www.smwcentral.net/?a=details&amp;id=34164&amp;p=section" TargetMode="External"/><Relationship Id="rId3926" Type="http://schemas.openxmlformats.org/officeDocument/2006/relationships/hyperlink" Target="https://dl.smwcentral.net/22929/Outbreak%20Demo%20-%20Fixed.zip" TargetMode="External"/><Relationship Id="rId847" Type="http://schemas.openxmlformats.org/officeDocument/2006/relationships/hyperlink" Target="https://www.smwcentral.net/?a=details&amp;id=9950&amp;p=section" TargetMode="External"/><Relationship Id="rId1477" Type="http://schemas.openxmlformats.org/officeDocument/2006/relationships/hyperlink" Target="https://www.smwcentral.net/?a=details&amp;id=14495&amp;p=section" TargetMode="External"/><Relationship Id="rId1891" Type="http://schemas.openxmlformats.org/officeDocument/2006/relationships/hyperlink" Target="https://www.smwcentral.net/?a=details&amp;id=9851&amp;p=section" TargetMode="External"/><Relationship Id="rId2528" Type="http://schemas.openxmlformats.org/officeDocument/2006/relationships/hyperlink" Target="https://dl.smwcentral.net/33614/NSMWE%202023%20Demo%20Pt-Br%20%2B%20Usa%20Ver%201.1.zip" TargetMode="External"/><Relationship Id="rId2942" Type="http://schemas.openxmlformats.org/officeDocument/2006/relationships/hyperlink" Target="https://dl.smwcentral.net/21865/Return_Trip_%283rd%29.zip" TargetMode="External"/><Relationship Id="rId914" Type="http://schemas.openxmlformats.org/officeDocument/2006/relationships/hyperlink" Target="https://dl.smwcentral.net/42023/Dream%20Eater.zip" TargetMode="External"/><Relationship Id="rId1544" Type="http://schemas.openxmlformats.org/officeDocument/2006/relationships/hyperlink" Target="https://dl.smwcentral.net/24760/Kaizo%20Kong%20Country%20v1.0.bps.zip" TargetMode="External"/><Relationship Id="rId5001" Type="http://schemas.openxmlformats.org/officeDocument/2006/relationships/hyperlink" Target="https://www.smwcentral.net/?a=details&amp;id=31894&amp;p=section" TargetMode="External"/><Relationship Id="rId1611" Type="http://schemas.openxmlformats.org/officeDocument/2006/relationships/hyperlink" Target="https://www.smwcentral.net/?a=details&amp;id=15195&amp;p=section" TargetMode="External"/><Relationship Id="rId4767" Type="http://schemas.openxmlformats.org/officeDocument/2006/relationships/hyperlink" Target="https://www.smwcentral.net/?a=details&amp;id=31168&amp;p=section" TargetMode="External"/><Relationship Id="rId3369" Type="http://schemas.openxmlformats.org/officeDocument/2006/relationships/hyperlink" Target="https://www.smwcentral.net/?a=details&amp;id=17105&amp;p=section" TargetMode="External"/><Relationship Id="rId2385" Type="http://schemas.openxmlformats.org/officeDocument/2006/relationships/hyperlink" Target="https://www.smwcentral.net/?a=details&amp;id=22491&amp;p=section" TargetMode="External"/><Relationship Id="rId3783" Type="http://schemas.openxmlformats.org/officeDocument/2006/relationships/hyperlink" Target="https://www.smwcentral.net/?a=details&amp;id=10047&amp;p=section" TargetMode="External"/><Relationship Id="rId4834" Type="http://schemas.openxmlformats.org/officeDocument/2006/relationships/hyperlink" Target="https://dl.smwcentral.net/34341/The%20The%20Hard.zip" TargetMode="External"/><Relationship Id="rId357" Type="http://schemas.openxmlformats.org/officeDocument/2006/relationships/hyperlink" Target="https://www.smwcentral.net/?a=details&amp;id=38239&amp;p=section" TargetMode="External"/><Relationship Id="rId2038" Type="http://schemas.openxmlformats.org/officeDocument/2006/relationships/hyperlink" Target="https://dl.smwcentral.net/31372/Mario_Quits_1.0.zip" TargetMode="External"/><Relationship Id="rId3436" Type="http://schemas.openxmlformats.org/officeDocument/2006/relationships/hyperlink" Target="https://dl.smwcentral.net/35008/SuperBrehWorldV.2.zip" TargetMode="External"/><Relationship Id="rId3850" Type="http://schemas.openxmlformats.org/officeDocument/2006/relationships/hyperlink" Target="https://dl.smwcentral.net/13342/Super%20Mario%20Escapades%20DEMO.zip" TargetMode="External"/><Relationship Id="rId4901" Type="http://schemas.openxmlformats.org/officeDocument/2006/relationships/hyperlink" Target="https://www.smwcentral.net/?a=details&amp;id=10261&amp;p=section" TargetMode="External"/><Relationship Id="rId771" Type="http://schemas.openxmlformats.org/officeDocument/2006/relationships/hyperlink" Target="https://www.smwcentral.net/?a=details&amp;id=26998&amp;p=section" TargetMode="External"/><Relationship Id="rId2452" Type="http://schemas.openxmlformats.org/officeDocument/2006/relationships/hyperlink" Target="https://dl.smwcentral.net/9981/Mystical%20island%201.0.2.zip" TargetMode="External"/><Relationship Id="rId3503" Type="http://schemas.openxmlformats.org/officeDocument/2006/relationships/hyperlink" Target="https://www.smwcentral.net/?a=details&amp;id=40663&amp;p=section" TargetMode="External"/><Relationship Id="rId424" Type="http://schemas.openxmlformats.org/officeDocument/2006/relationships/hyperlink" Target="https://dl.smwcentral.net/33461/Beyond%20Beco%20World.zip" TargetMode="External"/><Relationship Id="rId1054" Type="http://schemas.openxmlformats.org/officeDocument/2006/relationships/hyperlink" Target="https://dl.smwcentral.net/38986/Hack%20for%20Father.zip" TargetMode="External"/><Relationship Id="rId2105" Type="http://schemas.openxmlformats.org/officeDocument/2006/relationships/hyperlink" Target="https://www.smwcentral.net/?a=details&amp;id=9897&amp;p=section" TargetMode="External"/><Relationship Id="rId1121" Type="http://schemas.openxmlformats.org/officeDocument/2006/relationships/hyperlink" Target="https://www.smwcentral.net/?a=details&amp;id=38371&amp;p=section" TargetMode="External"/><Relationship Id="rId4277" Type="http://schemas.openxmlformats.org/officeDocument/2006/relationships/hyperlink" Target="https://www.smwcentral.net/?a=details&amp;id=14920&amp;p=section" TargetMode="External"/><Relationship Id="rId4691" Type="http://schemas.openxmlformats.org/officeDocument/2006/relationships/hyperlink" Target="https://www.smwcentral.net/?a=details&amp;id=32409&amp;p=section" TargetMode="External"/><Relationship Id="rId5328" Type="http://schemas.openxmlformats.org/officeDocument/2006/relationships/hyperlink" Target="https://dl.smwcentral.net/35849/wakeupcallREMIX1.2.zip" TargetMode="External"/><Relationship Id="rId3293" Type="http://schemas.openxmlformats.org/officeDocument/2006/relationships/hyperlink" Target="https://www.smwcentral.net/?a=details&amp;id=42582&amp;p=section" TargetMode="External"/><Relationship Id="rId4344" Type="http://schemas.openxmlformats.org/officeDocument/2006/relationships/hyperlink" Target="https://dl.smwcentral.net/41290/NETS%20WORLD%201%20%28%20REMAKE%20%29.zip" TargetMode="External"/><Relationship Id="rId1938" Type="http://schemas.openxmlformats.org/officeDocument/2006/relationships/hyperlink" Target="https://dl.smwcentral.net/18681/Pay%20your%20taxes%20kids.zip" TargetMode="External"/><Relationship Id="rId3360" Type="http://schemas.openxmlformats.org/officeDocument/2006/relationships/hyperlink" Target="https://dl.smwcentral.net/42496/Starting%20with%20Kaizo%202%20-%201.0.1.zip" TargetMode="External"/><Relationship Id="rId281" Type="http://schemas.openxmlformats.org/officeDocument/2006/relationships/hyperlink" Target="https://www.smwcentral.net/?a=details&amp;id=5420&amp;p=section" TargetMode="External"/><Relationship Id="rId3013" Type="http://schemas.openxmlformats.org/officeDocument/2006/relationships/hyperlink" Target="https://www.smwcentral.net/?a=details&amp;id=37596&amp;p=section" TargetMode="External"/><Relationship Id="rId4411" Type="http://schemas.openxmlformats.org/officeDocument/2006/relationships/hyperlink" Target="https://www.smwcentral.net/?a=details&amp;id=19565&amp;p=section" TargetMode="External"/><Relationship Id="rId2779" Type="http://schemas.openxmlformats.org/officeDocument/2006/relationships/hyperlink" Target="https://www.smwcentral.net/?a=details&amp;id=35328&amp;p=section" TargetMode="External"/><Relationship Id="rId5185" Type="http://schemas.openxmlformats.org/officeDocument/2006/relationships/hyperlink" Target="https://www.smwcentral.net/?a=details&amp;id=14167&amp;p=section" TargetMode="External"/><Relationship Id="rId1795" Type="http://schemas.openxmlformats.org/officeDocument/2006/relationships/hyperlink" Target="https://www.smwcentral.net/?a=details&amp;id=39177&amp;p=section" TargetMode="External"/><Relationship Id="rId2846" Type="http://schemas.openxmlformats.org/officeDocument/2006/relationships/hyperlink" Target="https://dl.smwcentral.net/18695/PJH%202%20-%20YJoJ.zip" TargetMode="External"/><Relationship Id="rId5252" Type="http://schemas.openxmlformats.org/officeDocument/2006/relationships/hyperlink" Target="https://dl.smwcentral.net/32500/keyB.zip" TargetMode="External"/><Relationship Id="rId87" Type="http://schemas.openxmlformats.org/officeDocument/2006/relationships/hyperlink" Target="https://www.smwcentral.net/?a=details&amp;id=23415&amp;p=section" TargetMode="External"/><Relationship Id="rId818" Type="http://schemas.openxmlformats.org/officeDocument/2006/relationships/hyperlink" Target="https://dl.smwcentral.net/23431/DayOfTheMuncher.zip" TargetMode="External"/><Relationship Id="rId1448" Type="http://schemas.openxmlformats.org/officeDocument/2006/relationships/hyperlink" Target="https://dl.smwcentral.net/10006/Jerry%27s%20Vacation.zip" TargetMode="External"/><Relationship Id="rId1862" Type="http://schemas.openxmlformats.org/officeDocument/2006/relationships/hyperlink" Target="https://dl.smwcentral.net/29048/marioandfriends.zip" TargetMode="External"/><Relationship Id="rId2913" Type="http://schemas.openxmlformats.org/officeDocument/2006/relationships/hyperlink" Target="https://www.smwcentral.net/?a=details&amp;id=12691&amp;p=section" TargetMode="External"/><Relationship Id="rId1515" Type="http://schemas.openxmlformats.org/officeDocument/2006/relationships/hyperlink" Target="https://www.smwcentral.net/?a=details&amp;id=6283&amp;p=section" TargetMode="External"/><Relationship Id="rId3687" Type="http://schemas.openxmlformats.org/officeDocument/2006/relationships/hyperlink" Target="https://www.smwcentral.net/?a=details&amp;id=40742&amp;p=section" TargetMode="External"/><Relationship Id="rId4738" Type="http://schemas.openxmlformats.org/officeDocument/2006/relationships/hyperlink" Target="https://dl.smwcentral.net/41814/32.zip" TargetMode="External"/><Relationship Id="rId2289" Type="http://schemas.openxmlformats.org/officeDocument/2006/relationships/hyperlink" Target="https://www.smwcentral.net/?a=details&amp;id=38576&amp;p=section" TargetMode="External"/><Relationship Id="rId3754" Type="http://schemas.openxmlformats.org/officeDocument/2006/relationships/hyperlink" Target="https://dl.smwcentral.net/5333/Super%20Mario%20Broken%20Anomaly.zip" TargetMode="External"/><Relationship Id="rId4805" Type="http://schemas.openxmlformats.org/officeDocument/2006/relationships/hyperlink" Target="https://www.smwcentral.net/?a=details&amp;id=39021&amp;p=section" TargetMode="External"/><Relationship Id="rId675" Type="http://schemas.openxmlformats.org/officeDocument/2006/relationships/hyperlink" Target="https://www.smwcentral.net/?a=details&amp;id=27385&amp;p=section" TargetMode="External"/><Relationship Id="rId2356" Type="http://schemas.openxmlformats.org/officeDocument/2006/relationships/hyperlink" Target="https://dl.smwcentral.net/37802/Midday.zip" TargetMode="External"/><Relationship Id="rId2770" Type="http://schemas.openxmlformats.org/officeDocument/2006/relationships/hyperlink" Target="https://dl.smwcentral.net/32328/pit%20of%20abuse.zip" TargetMode="External"/><Relationship Id="rId3407" Type="http://schemas.openxmlformats.org/officeDocument/2006/relationships/hyperlink" Target="https://www.smwcentral.net/?a=details&amp;id=37478&amp;p=section" TargetMode="External"/><Relationship Id="rId3821" Type="http://schemas.openxmlformats.org/officeDocument/2006/relationships/hyperlink" Target="https://www.smwcentral.net/?a=details&amp;id=15943&amp;p=section" TargetMode="External"/><Relationship Id="rId328" Type="http://schemas.openxmlformats.org/officeDocument/2006/relationships/hyperlink" Target="https://dl.smwcentral.net/41875/Arcadia.zip" TargetMode="External"/><Relationship Id="rId742" Type="http://schemas.openxmlformats.org/officeDocument/2006/relationships/hyperlink" Target="https://dl.smwcentral.net/6085/tubular.zip" TargetMode="External"/><Relationship Id="rId1372" Type="http://schemas.openxmlformats.org/officeDocument/2006/relationships/hyperlink" Target="https://dl.smwcentral.net/18391/Il%20Maniero%20Spettrale.zip" TargetMode="External"/><Relationship Id="rId2009" Type="http://schemas.openxmlformats.org/officeDocument/2006/relationships/hyperlink" Target="https://www.smwcentral.net/?a=details&amp;id=22072&amp;p=section" TargetMode="External"/><Relationship Id="rId2423" Type="http://schemas.openxmlformats.org/officeDocument/2006/relationships/hyperlink" Target="https://www.smwcentral.net/?a=details&amp;id=25204&amp;p=section" TargetMode="External"/><Relationship Id="rId1025" Type="http://schemas.openxmlformats.org/officeDocument/2006/relationships/hyperlink" Target="https://www.smwcentral.net/?a=details&amp;id=41309&amp;p=section" TargetMode="External"/><Relationship Id="rId4595" Type="http://schemas.openxmlformats.org/officeDocument/2006/relationships/hyperlink" Target="https://www.smwcentral.net/?a=details&amp;id=19369&amp;p=section" TargetMode="External"/><Relationship Id="rId3197" Type="http://schemas.openxmlformats.org/officeDocument/2006/relationships/hyperlink" Target="https://www.smwcentral.net/?a=details&amp;id=10257&amp;p=section" TargetMode="External"/><Relationship Id="rId4248" Type="http://schemas.openxmlformats.org/officeDocument/2006/relationships/hyperlink" Target="https://dl.smwcentral.net/41496/Super%20Mario%20Yggdrasil.zip" TargetMode="External"/><Relationship Id="rId4662" Type="http://schemas.openxmlformats.org/officeDocument/2006/relationships/hyperlink" Target="https://dl.smwcentral.net/22304/TEN.zip" TargetMode="External"/><Relationship Id="rId185" Type="http://schemas.openxmlformats.org/officeDocument/2006/relationships/hyperlink" Target="https://www.smwcentral.net/?a=details&amp;id=41554&amp;p=section" TargetMode="External"/><Relationship Id="rId1909" Type="http://schemas.openxmlformats.org/officeDocument/2006/relationships/hyperlink" Target="https://www.smwcentral.net/?a=details&amp;id=21232&amp;p=section" TargetMode="External"/><Relationship Id="rId3264" Type="http://schemas.openxmlformats.org/officeDocument/2006/relationships/hyperlink" Target="https://dl.smwcentral.net/41378/Luigi%27s%20Mystic%20Saga.zip" TargetMode="External"/><Relationship Id="rId4315" Type="http://schemas.openxmlformats.org/officeDocument/2006/relationships/hyperlink" Target="https://www.smwcentral.net/?a=details&amp;id=9756&amp;p=section" TargetMode="External"/><Relationship Id="rId2280" Type="http://schemas.openxmlformats.org/officeDocument/2006/relationships/hyperlink" Target="https://dl.smwcentral.net/21156/Curse%20of%20King%20Boo.zip" TargetMode="External"/><Relationship Id="rId3331" Type="http://schemas.openxmlformats.org/officeDocument/2006/relationships/hyperlink" Target="https://www.smwcentral.net/?a=details&amp;id=14631&amp;p=section" TargetMode="External"/><Relationship Id="rId252" Type="http://schemas.openxmlformats.org/officeDocument/2006/relationships/hyperlink" Target="https://dl.smwcentral.net/18612/Akogare%20v1.2.zip" TargetMode="External"/><Relationship Id="rId5089" Type="http://schemas.openxmlformats.org/officeDocument/2006/relationships/hyperlink" Target="https://www.smwcentral.net/?a=details&amp;id=10250&amp;p=section" TargetMode="External"/><Relationship Id="rId1699" Type="http://schemas.openxmlformats.org/officeDocument/2006/relationships/hyperlink" Target="https://www.smwcentral.net/?a=details&amp;id=41477&amp;p=section" TargetMode="External"/><Relationship Id="rId2000" Type="http://schemas.openxmlformats.org/officeDocument/2006/relationships/hyperlink" Target="https://dl.smwcentral.net/32566/v1.1.zip" TargetMode="External"/><Relationship Id="rId5156" Type="http://schemas.openxmlformats.org/officeDocument/2006/relationships/hyperlink" Target="https://dl.smwcentral.net/14452/tower%20of%20keys.zip" TargetMode="External"/><Relationship Id="rId4172" Type="http://schemas.openxmlformats.org/officeDocument/2006/relationships/hyperlink" Target="https://dl.smwcentral.net/10074/MovingDay-Snowshoe.zip" TargetMode="External"/><Relationship Id="rId5223" Type="http://schemas.openxmlformats.org/officeDocument/2006/relationships/hyperlink" Target="https://www.smwcentral.net/?a=details&amp;id=14932&amp;p=section" TargetMode="External"/><Relationship Id="rId1766" Type="http://schemas.openxmlformats.org/officeDocument/2006/relationships/hyperlink" Target="https://dl.smwcentral.net/27348/ladv3_ose_v10.zip" TargetMode="External"/><Relationship Id="rId2817" Type="http://schemas.openxmlformats.org/officeDocument/2006/relationships/hyperlink" Target="https://www.smwcentral.net/?a=details&amp;id=38956&amp;p=section" TargetMode="External"/><Relationship Id="rId58" Type="http://schemas.openxmlformats.org/officeDocument/2006/relationships/hyperlink" Target="https://dl.smwcentral.net/34013/nonsense.zip" TargetMode="External"/><Relationship Id="rId1419" Type="http://schemas.openxmlformats.org/officeDocument/2006/relationships/hyperlink" Target="https://www.smwcentral.net/?a=details&amp;id=28130&amp;p=section" TargetMode="External"/><Relationship Id="rId1833" Type="http://schemas.openxmlformats.org/officeDocument/2006/relationships/hyperlink" Target="https://www.smwcentral.net/?a=details&amp;id=6416&amp;p=section" TargetMode="External"/><Relationship Id="rId4989" Type="http://schemas.openxmlformats.org/officeDocument/2006/relationships/hyperlink" Target="https://www.smwcentral.net/?a=details&amp;id=13850&amp;p=section" TargetMode="External"/><Relationship Id="rId1900" Type="http://schemas.openxmlformats.org/officeDocument/2006/relationships/hyperlink" Target="https://dl.smwcentral.net/9968/Mario%20and%20the%20pipe%20of%20challenges.zip" TargetMode="External"/><Relationship Id="rId3658" Type="http://schemas.openxmlformats.org/officeDocument/2006/relationships/hyperlink" Target="https://dl.smwcentral.net/26130/Super%20LSG%20World%201.2.zip" TargetMode="External"/><Relationship Id="rId4709" Type="http://schemas.openxmlformats.org/officeDocument/2006/relationships/hyperlink" Target="https://www.smwcentral.net/?a=details&amp;id=14812&amp;p=section" TargetMode="External"/><Relationship Id="rId579" Type="http://schemas.openxmlformats.org/officeDocument/2006/relationships/hyperlink" Target="https://www.smwcentral.net/?a=details&amp;id=40001&amp;p=section" TargetMode="External"/><Relationship Id="rId993" Type="http://schemas.openxmlformats.org/officeDocument/2006/relationships/hyperlink" Target="https://www.smwcentral.net/?a=details&amp;id=15985&amp;p=section" TargetMode="External"/><Relationship Id="rId2674" Type="http://schemas.openxmlformats.org/officeDocument/2006/relationships/hyperlink" Target="https://dl.smwcentral.net/18376/Oops%20all%20keys.zip" TargetMode="External"/><Relationship Id="rId5080" Type="http://schemas.openxmlformats.org/officeDocument/2006/relationships/hyperlink" Target="https://dl.smwcentral.net/41580/TILIA%202.3.zip" TargetMode="External"/><Relationship Id="rId646" Type="http://schemas.openxmlformats.org/officeDocument/2006/relationships/hyperlink" Target="https://dl.smwcentral.net/40504/CR2.zip" TargetMode="External"/><Relationship Id="rId1276" Type="http://schemas.openxmlformats.org/officeDocument/2006/relationships/hyperlink" Target="https://dl.smwcentral.net/28590/Halloween%20Islands.zip" TargetMode="External"/><Relationship Id="rId2327" Type="http://schemas.openxmlformats.org/officeDocument/2006/relationships/hyperlink" Target="https://www.smwcentral.net/?a=details&amp;id=9669&amp;p=section" TargetMode="External"/><Relationship Id="rId3725" Type="http://schemas.openxmlformats.org/officeDocument/2006/relationships/hyperlink" Target="https://www.smwcentral.net/?a=details&amp;id=42669&amp;p=section" TargetMode="External"/><Relationship Id="rId1690" Type="http://schemas.openxmlformats.org/officeDocument/2006/relationships/hyperlink" Target="https://dl.smwcentral.net/22972/LW%201.2.zip" TargetMode="External"/><Relationship Id="rId2741" Type="http://schemas.openxmlformats.org/officeDocument/2006/relationships/hyperlink" Target="https://www.smwcentral.net/?a=details&amp;id=24148&amp;p=section" TargetMode="External"/><Relationship Id="rId713" Type="http://schemas.openxmlformats.org/officeDocument/2006/relationships/hyperlink" Target="https://www.smwcentral.net/?a=details&amp;id=32999&amp;p=section" TargetMode="External"/><Relationship Id="rId1343" Type="http://schemas.openxmlformats.org/officeDocument/2006/relationships/hyperlink" Target="https://www.smwcentral.net/?a=details&amp;id=9952&amp;p=section" TargetMode="External"/><Relationship Id="rId4499" Type="http://schemas.openxmlformats.org/officeDocument/2006/relationships/hyperlink" Target="https://www.smwcentral.net/?a=details&amp;id=16432&amp;p=section" TargetMode="External"/><Relationship Id="rId1410" Type="http://schemas.openxmlformats.org/officeDocument/2006/relationships/hyperlink" Target="https://dl.smwcentral.net/38124/Initiation%202.zip" TargetMode="External"/><Relationship Id="rId4566" Type="http://schemas.openxmlformats.org/officeDocument/2006/relationships/hyperlink" Target="https://dl.smwcentral.net/22088/super-weekend-world_v10.zip" TargetMode="External"/><Relationship Id="rId4980" Type="http://schemas.openxmlformats.org/officeDocument/2006/relationships/hyperlink" Target="https://dl.smwcentral.net/16696/TSRPR%20v1.2.zip" TargetMode="External"/><Relationship Id="rId3168" Type="http://schemas.openxmlformats.org/officeDocument/2006/relationships/hyperlink" Target="https://dl.smwcentral.net/42650/Simply%20Kaizo.zip" TargetMode="External"/><Relationship Id="rId3582" Type="http://schemas.openxmlformats.org/officeDocument/2006/relationships/hyperlink" Target="https://dl.smwcentral.net/21337/Super%20Herbihalt%20World%203%20%2820102019%29.zip" TargetMode="External"/><Relationship Id="rId4219" Type="http://schemas.openxmlformats.org/officeDocument/2006/relationships/hyperlink" Target="https://www.smwcentral.net/?a=details&amp;id=9733&amp;p=section" TargetMode="External"/><Relationship Id="rId4633" Type="http://schemas.openxmlformats.org/officeDocument/2006/relationships/hyperlink" Target="https://www.smwcentral.net/?a=details&amp;id=10090&amp;p=section" TargetMode="External"/><Relationship Id="rId2184" Type="http://schemas.openxmlformats.org/officeDocument/2006/relationships/hyperlink" Target="https://dl.smwcentral.net/9703/Mario%27s%20Mad%20Adventure%20%282%20Parts%29.zip" TargetMode="External"/><Relationship Id="rId3235" Type="http://schemas.openxmlformats.org/officeDocument/2006/relationships/hyperlink" Target="https://www.smwcentral.net/?a=details&amp;id=10228&amp;p=section" TargetMode="External"/><Relationship Id="rId156" Type="http://schemas.openxmlformats.org/officeDocument/2006/relationships/hyperlink" Target="https://dl.smwcentral.net/23961/A%20Rushed%20Project.zip" TargetMode="External"/><Relationship Id="rId570" Type="http://schemas.openxmlformats.org/officeDocument/2006/relationships/hyperlink" Target="https://dl.smwcentral.net/24356/BunbunWorld2_1.1.zip" TargetMode="External"/><Relationship Id="rId2251" Type="http://schemas.openxmlformats.org/officeDocument/2006/relationships/hyperlink" Target="https://www.smwcentral.net/?a=details&amp;id=9868&amp;p=section" TargetMode="External"/><Relationship Id="rId3302" Type="http://schemas.openxmlformats.org/officeDocument/2006/relationships/hyperlink" Target="https://dl.smwcentral.net/27342/sophiescrown.zip" TargetMode="External"/><Relationship Id="rId4700" Type="http://schemas.openxmlformats.org/officeDocument/2006/relationships/hyperlink" Target="https://dl.smwcentral.net/9779/5%20Dragon%20Gems.zip" TargetMode="External"/><Relationship Id="rId223" Type="http://schemas.openxmlformats.org/officeDocument/2006/relationships/hyperlink" Target="https://www.smwcentral.net/?a=details&amp;id=29945&amp;p=section" TargetMode="External"/><Relationship Id="rId4076" Type="http://schemas.openxmlformats.org/officeDocument/2006/relationships/hyperlink" Target="https://dl.smwcentral.net/19884/SMW_Hacks_101_Fixed.zip" TargetMode="External"/><Relationship Id="rId5474" Type="http://schemas.openxmlformats.org/officeDocument/2006/relationships/hyperlink" Target="https://dl.smwcentral.net/32596/Yuki%20Mario%20World%201.zip" TargetMode="External"/><Relationship Id="rId4490" Type="http://schemas.openxmlformats.org/officeDocument/2006/relationships/hyperlink" Target="https://dl.smwcentral.net/30661/SliderWorld.zip" TargetMode="External"/><Relationship Id="rId5127" Type="http://schemas.openxmlformats.org/officeDocument/2006/relationships/hyperlink" Target="https://www.smwcentral.net/?a=details&amp;id=20120&amp;p=section" TargetMode="External"/><Relationship Id="rId1737" Type="http://schemas.openxmlformats.org/officeDocument/2006/relationships/hyperlink" Target="https://www.smwcentral.net/?a=details&amp;id=41461&amp;p=section" TargetMode="External"/><Relationship Id="rId3092" Type="http://schemas.openxmlformats.org/officeDocument/2006/relationships/hyperlink" Target="https://dl.smwcentral.net/18729/shellsretriever.zip" TargetMode="External"/><Relationship Id="rId4143" Type="http://schemas.openxmlformats.org/officeDocument/2006/relationships/hyperlink" Target="https://www.smwcentral.net/?a=details&amp;id=9991&amp;p=section" TargetMode="External"/><Relationship Id="rId29" Type="http://schemas.openxmlformats.org/officeDocument/2006/relationships/hyperlink" Target="https://www.smwcentral.net/?a=details&amp;id=6593&amp;p=section" TargetMode="External"/><Relationship Id="rId4210" Type="http://schemas.openxmlformats.org/officeDocument/2006/relationships/hyperlink" Target="https://dl.smwcentral.net/10062/SMWTMW_demo.zip" TargetMode="External"/><Relationship Id="rId1804" Type="http://schemas.openxmlformats.org/officeDocument/2006/relationships/hyperlink" Target="https://dl.smwcentral.net/9912/LSSDemo1.1.zip" TargetMode="External"/><Relationship Id="rId3976" Type="http://schemas.openxmlformats.org/officeDocument/2006/relationships/hyperlink" Target="https://dl.smwcentral.net/9855/smu.zip" TargetMode="External"/><Relationship Id="rId897" Type="http://schemas.openxmlformats.org/officeDocument/2006/relationships/hyperlink" Target="https://www.smwcentral.net/?a=details&amp;id=20577&amp;p=section" TargetMode="External"/><Relationship Id="rId2578" Type="http://schemas.openxmlformats.org/officeDocument/2006/relationships/hyperlink" Target="https://dl.smwcentral.net/20801/Ninja%20World%202.zip" TargetMode="External"/><Relationship Id="rId2992" Type="http://schemas.openxmlformats.org/officeDocument/2006/relationships/hyperlink" Target="https://dl.smwcentral.net/35251/Rose%20Tinted%20Glasses.zip" TargetMode="External"/><Relationship Id="rId3629" Type="http://schemas.openxmlformats.org/officeDocument/2006/relationships/hyperlink" Target="https://www.smwcentral.net/?a=details&amp;id=34039&amp;p=section" TargetMode="External"/><Relationship Id="rId5051" Type="http://schemas.openxmlformats.org/officeDocument/2006/relationships/hyperlink" Target="https://www.smwcentral.net/?a=details&amp;id=33848&amp;p=section" TargetMode="External"/><Relationship Id="rId964" Type="http://schemas.openxmlformats.org/officeDocument/2006/relationships/hyperlink" Target="https://dl.smwcentral.net/26644/El%20Dorado.zip" TargetMode="External"/><Relationship Id="rId1594" Type="http://schemas.openxmlformats.org/officeDocument/2006/relationships/hyperlink" Target="https://dl.smwcentral.net/5604/Amazing%20Kid%20demo1.zip" TargetMode="External"/><Relationship Id="rId2645" Type="http://schemas.openxmlformats.org/officeDocument/2006/relationships/hyperlink" Target="https://www.smwcentral.net/?a=details&amp;id=30560&amp;p=section" TargetMode="External"/><Relationship Id="rId617" Type="http://schemas.openxmlformats.org/officeDocument/2006/relationships/hyperlink" Target="https://www.smwcentral.net/?a=details&amp;id=24990&amp;p=section" TargetMode="External"/><Relationship Id="rId1247" Type="http://schemas.openxmlformats.org/officeDocument/2006/relationships/hyperlink" Target="https://www.smwcentral.net/?a=details&amp;id=25350&amp;p=section" TargetMode="External"/><Relationship Id="rId1661" Type="http://schemas.openxmlformats.org/officeDocument/2006/relationships/hyperlink" Target="https://www.smwcentral.net/?a=details&amp;id=38323&amp;p=section" TargetMode="External"/><Relationship Id="rId2712" Type="http://schemas.openxmlformats.org/officeDocument/2006/relationships/hyperlink" Target="https://dl.smwcentral.net/9641/Pandemonium%20Fortress%202%20v1.02.zip" TargetMode="External"/><Relationship Id="rId1314" Type="http://schemas.openxmlformats.org/officeDocument/2006/relationships/hyperlink" Target="https://dl.smwcentral.net/42212/Hidden%20Dream%20in%20the%20Deep%20Time%20%28v1.1%29.zip" TargetMode="External"/><Relationship Id="rId4884" Type="http://schemas.openxmlformats.org/officeDocument/2006/relationships/hyperlink" Target="https://dl.smwcentral.net/5543/The%20Lost%20Land%203.zip" TargetMode="External"/><Relationship Id="rId3486" Type="http://schemas.openxmlformats.org/officeDocument/2006/relationships/hyperlink" Target="https://dl.smwcentral.net/17266/Super%20Dazran%20World%20Demo%202.zip" TargetMode="External"/><Relationship Id="rId4537" Type="http://schemas.openxmlformats.org/officeDocument/2006/relationships/hyperlink" Target="https://www.smwcentral.net/?a=details&amp;id=9806&amp;p=section" TargetMode="External"/><Relationship Id="rId20" Type="http://schemas.openxmlformats.org/officeDocument/2006/relationships/hyperlink" Target="https://dl.smwcentral.net/35444/100th%20Birthday%20Cake.zip" TargetMode="External"/><Relationship Id="rId2088" Type="http://schemas.openxmlformats.org/officeDocument/2006/relationships/hyperlink" Target="https://dl.smwcentral.net/6632/SMWMightyFull3.zip" TargetMode="External"/><Relationship Id="rId3139" Type="http://schemas.openxmlformats.org/officeDocument/2006/relationships/hyperlink" Target="https://www.smwcentral.net/?a=details&amp;id=5533&amp;p=section" TargetMode="External"/><Relationship Id="rId4951" Type="http://schemas.openxmlformats.org/officeDocument/2006/relationships/hyperlink" Target="https://www.smwcentral.net/?a=details&amp;id=9722&amp;p=section" TargetMode="External"/><Relationship Id="rId474" Type="http://schemas.openxmlformats.org/officeDocument/2006/relationships/hyperlink" Target="https://dl.smwcentral.net/32564/Boon%27s%20Adventure%20Demo.zip" TargetMode="External"/><Relationship Id="rId2155" Type="http://schemas.openxmlformats.org/officeDocument/2006/relationships/hyperlink" Target="https://www.smwcentral.net/?a=details&amp;id=10243&amp;p=section" TargetMode="External"/><Relationship Id="rId3553" Type="http://schemas.openxmlformats.org/officeDocument/2006/relationships/hyperlink" Target="https://www.smwcentral.net/?a=details&amp;id=34846&amp;p=section" TargetMode="External"/><Relationship Id="rId4604" Type="http://schemas.openxmlformats.org/officeDocument/2006/relationships/hyperlink" Target="https://dl.smwcentral.net/31469/SV%20Bounce%20World%202.zip" TargetMode="External"/><Relationship Id="rId127" Type="http://schemas.openxmlformats.org/officeDocument/2006/relationships/hyperlink" Target="https://www.smwcentral.net/?a=details&amp;id=10147&amp;p=section" TargetMode="External"/><Relationship Id="rId3206" Type="http://schemas.openxmlformats.org/officeDocument/2006/relationships/hyperlink" Target="https://dl.smwcentral.net/41305/SMW%20Friends%20and%20Rivalry%20v1.05b.zip" TargetMode="External"/><Relationship Id="rId3620" Type="http://schemas.openxmlformats.org/officeDocument/2006/relationships/hyperlink" Target="https://dl.smwcentral.net/25202/Super%20Kekcroc%20World%203%20Ver%201.6.zip" TargetMode="External"/><Relationship Id="rId541" Type="http://schemas.openxmlformats.org/officeDocument/2006/relationships/hyperlink" Target="https://www.smwcentral.net/?a=details&amp;id=30536&amp;p=section" TargetMode="External"/><Relationship Id="rId1171" Type="http://schemas.openxmlformats.org/officeDocument/2006/relationships/hyperlink" Target="https://www.smwcentral.net/?a=details&amp;id=33276&amp;p=section" TargetMode="External"/><Relationship Id="rId2222" Type="http://schemas.openxmlformats.org/officeDocument/2006/relationships/hyperlink" Target="https://dl.smwcentral.net/19903/Marios_Return.zip" TargetMode="External"/><Relationship Id="rId5378" Type="http://schemas.openxmlformats.org/officeDocument/2006/relationships/hyperlink" Target="https://dl.smwcentral.net/6421/WTH2.zip" TargetMode="External"/><Relationship Id="rId1988" Type="http://schemas.openxmlformats.org/officeDocument/2006/relationships/hyperlink" Target="https://dl.smwcentral.net/10068/M%20Is%20Missing%203.zip" TargetMode="External"/><Relationship Id="rId4394" Type="http://schemas.openxmlformats.org/officeDocument/2006/relationships/hyperlink" Target="https://dl.smwcentral.net/22591/SuperOnePointOh.zip" TargetMode="External"/><Relationship Id="rId5445" Type="http://schemas.openxmlformats.org/officeDocument/2006/relationships/hyperlink" Target="https://www.smwcentral.net/?a=details&amp;id=26657&amp;p=section" TargetMode="External"/><Relationship Id="rId4047" Type="http://schemas.openxmlformats.org/officeDocument/2006/relationships/hyperlink" Target="https://www.smwcentral.net/?a=details&amp;id=10056&amp;p=section" TargetMode="External"/><Relationship Id="rId4461" Type="http://schemas.openxmlformats.org/officeDocument/2006/relationships/hyperlink" Target="https://www.smwcentral.net/?a=details&amp;id=39968&amp;p=section" TargetMode="External"/><Relationship Id="rId3063" Type="http://schemas.openxmlformats.org/officeDocument/2006/relationships/hyperlink" Target="https://www.smwcentral.net/?a=details&amp;id=40746&amp;p=section" TargetMode="External"/><Relationship Id="rId4114" Type="http://schemas.openxmlformats.org/officeDocument/2006/relationships/hyperlink" Target="https://dl.smwcentral.net/37830/SMW-2.zip" TargetMode="External"/><Relationship Id="rId1708" Type="http://schemas.openxmlformats.org/officeDocument/2006/relationships/hyperlink" Target="https://dl.smwcentral.net/18835/LilMallowWorld.zip" TargetMode="External"/><Relationship Id="rId3130" Type="http://schemas.openxmlformats.org/officeDocument/2006/relationships/hyperlink" Target="https://dl.smwcentral.net/32716/ShortnHard%20v1.3.zip" TargetMode="External"/><Relationship Id="rId2896" Type="http://schemas.openxmlformats.org/officeDocument/2006/relationships/hyperlink" Target="https://dl.smwcentral.net/9711/NekoNeko.zip" TargetMode="External"/><Relationship Id="rId3947" Type="http://schemas.openxmlformats.org/officeDocument/2006/relationships/hyperlink" Target="https://www.smwcentral.net/?a=details&amp;id=26132&amp;p=section" TargetMode="External"/><Relationship Id="rId868" Type="http://schemas.openxmlformats.org/officeDocument/2006/relationships/hyperlink" Target="https://dl.smwcentral.net/25772/DiskDefrag.zip" TargetMode="External"/><Relationship Id="rId1498" Type="http://schemas.openxmlformats.org/officeDocument/2006/relationships/hyperlink" Target="https://dl.smwcentral.net/31396/shell.zip" TargetMode="External"/><Relationship Id="rId2549" Type="http://schemas.openxmlformats.org/officeDocument/2006/relationships/hyperlink" Target="https://www.smwcentral.net/?a=details&amp;id=38111&amp;p=section" TargetMode="External"/><Relationship Id="rId2963" Type="http://schemas.openxmlformats.org/officeDocument/2006/relationships/hyperlink" Target="https://www.smwcentral.net/?a=details&amp;id=9735&amp;p=section" TargetMode="External"/><Relationship Id="rId935" Type="http://schemas.openxmlformats.org/officeDocument/2006/relationships/hyperlink" Target="https://www.smwcentral.net/?a=details&amp;id=34492&amp;p=section" TargetMode="External"/><Relationship Id="rId1565" Type="http://schemas.openxmlformats.org/officeDocument/2006/relationships/hyperlink" Target="https://www.smwcentral.net/?a=details&amp;id=4959&amp;p=section" TargetMode="External"/><Relationship Id="rId2616" Type="http://schemas.openxmlformats.org/officeDocument/2006/relationships/hyperlink" Target="https://dl.smwcentral.net/14704/NS%20remastered%20music.zip" TargetMode="External"/><Relationship Id="rId5022" Type="http://schemas.openxmlformats.org/officeDocument/2006/relationships/hyperlink" Target="https://dl.smwcentral.net/30657/Release.zip" TargetMode="External"/><Relationship Id="rId1218" Type="http://schemas.openxmlformats.org/officeDocument/2006/relationships/hyperlink" Target="https://dl.smwcentral.net/10236/Twilight%20Demo%202%20%283%29.zip" TargetMode="External"/><Relationship Id="rId1632" Type="http://schemas.openxmlformats.org/officeDocument/2006/relationships/hyperlink" Target="https://dl.smwcentral.net/6757/kumikyoku.zip" TargetMode="External"/><Relationship Id="rId4788" Type="http://schemas.openxmlformats.org/officeDocument/2006/relationships/hyperlink" Target="https://dl.smwcentral.net/9824/Super%20Mario%20Eternity%200.7.1.zip" TargetMode="External"/><Relationship Id="rId4855" Type="http://schemas.openxmlformats.org/officeDocument/2006/relationships/hyperlink" Target="https://www.smwcentral.net/?a=details&amp;id=28336&amp;p=section" TargetMode="External"/><Relationship Id="rId3457" Type="http://schemas.openxmlformats.org/officeDocument/2006/relationships/hyperlink" Target="https://www.smwcentral.net/?a=details&amp;id=29715&amp;p=section" TargetMode="External"/><Relationship Id="rId3871" Type="http://schemas.openxmlformats.org/officeDocument/2006/relationships/hyperlink" Target="https://www.smwcentral.net/?a=details&amp;id=10076&amp;p=section" TargetMode="External"/><Relationship Id="rId4508" Type="http://schemas.openxmlformats.org/officeDocument/2006/relationships/hyperlink" Target="https://dl.smwcentral.net/41925/fire.zip" TargetMode="External"/><Relationship Id="rId4922" Type="http://schemas.openxmlformats.org/officeDocument/2006/relationships/hyperlink" Target="https://dl.smwcentral.net/9710/ninjisaga.zip" TargetMode="External"/><Relationship Id="rId378" Type="http://schemas.openxmlformats.org/officeDocument/2006/relationships/hyperlink" Target="https://dl.smwcentral.net/41843/BallBusterV1.4.zip" TargetMode="External"/><Relationship Id="rId792" Type="http://schemas.openxmlformats.org/officeDocument/2006/relationships/hyperlink" Target="https://dl.smwcentral.net/32552/Daddy_v1.2.zip" TargetMode="External"/><Relationship Id="rId2059" Type="http://schemas.openxmlformats.org/officeDocument/2006/relationships/hyperlink" Target="https://www.smwcentral.net/?a=details&amp;id=28253&amp;p=section" TargetMode="External"/><Relationship Id="rId2473" Type="http://schemas.openxmlformats.org/officeDocument/2006/relationships/hyperlink" Target="https://www.smwcentral.net/?a=details&amp;id=36680&amp;p=section" TargetMode="External"/><Relationship Id="rId3524" Type="http://schemas.openxmlformats.org/officeDocument/2006/relationships/hyperlink" Target="https://dl.smwcentral.net/10067/SuperFailWorld.zip" TargetMode="External"/><Relationship Id="rId445" Type="http://schemas.openxmlformats.org/officeDocument/2006/relationships/hyperlink" Target="https://www.smwcentral.net/?a=details&amp;id=35280&amp;p=section" TargetMode="External"/><Relationship Id="rId1075" Type="http://schemas.openxmlformats.org/officeDocument/2006/relationships/hyperlink" Target="https://www.smwcentral.net/?a=details&amp;id=18791&amp;p=section" TargetMode="External"/><Relationship Id="rId2126" Type="http://schemas.openxmlformats.org/officeDocument/2006/relationships/hyperlink" Target="https://dl.smwcentral.net/10034/Mario%27s%20Bathroom%20Adventure.zip" TargetMode="External"/><Relationship Id="rId2540" Type="http://schemas.openxmlformats.org/officeDocument/2006/relationships/hyperlink" Target="https://dl.smwcentral.net/31323/Nextl_-_Summer_Special_Demo_Release_10_juli_22.zip" TargetMode="External"/><Relationship Id="rId512" Type="http://schemas.openxmlformats.org/officeDocument/2006/relationships/hyperlink" Target="https://dl.smwcentral.net/32728/BH1Fix.zip" TargetMode="External"/><Relationship Id="rId1142" Type="http://schemas.openxmlformats.org/officeDocument/2006/relationships/hyperlink" Target="https://dl.smwcentral.net/34928/GanjaWorld.zip" TargetMode="External"/><Relationship Id="rId4298" Type="http://schemas.openxmlformats.org/officeDocument/2006/relationships/hyperlink" Target="https://dl.smwcentral.net/5187/Super%20Mario%20-The%20Cookie%20Crisis%20v0.53.zip" TargetMode="External"/><Relationship Id="rId5349" Type="http://schemas.openxmlformats.org/officeDocument/2006/relationships/hyperlink" Target="https://www.smwcentral.net/?a=details&amp;id=5372&amp;p=section" TargetMode="External"/><Relationship Id="rId4365" Type="http://schemas.openxmlformats.org/officeDocument/2006/relationships/hyperlink" Target="https://www.smwcentral.net/?a=details&amp;id=31577&amp;p=section" TargetMode="External"/><Relationship Id="rId1959" Type="http://schemas.openxmlformats.org/officeDocument/2006/relationships/hyperlink" Target="https://www.smwcentral.net/?a=details&amp;id=37694&amp;p=section" TargetMode="External"/><Relationship Id="rId4018" Type="http://schemas.openxmlformats.org/officeDocument/2006/relationships/hyperlink" Target="https://dl.smwcentral.net/19535/Super%20Mario%20World%20-%20Some%20Random%20Adventure%20%28Demo%202%29.zip" TargetMode="External"/><Relationship Id="rId5416" Type="http://schemas.openxmlformats.org/officeDocument/2006/relationships/hyperlink" Target="https://dl.smwcentral.net/39888/worm.zip" TargetMode="External"/><Relationship Id="rId3381" Type="http://schemas.openxmlformats.org/officeDocument/2006/relationships/hyperlink" Target="https://www.smwcentral.net/?a=details&amp;id=9758&amp;p=section" TargetMode="External"/><Relationship Id="rId4432" Type="http://schemas.openxmlformats.org/officeDocument/2006/relationships/hyperlink" Target="https://dl.smwcentral.net/9781/Super%20race%20world.zip" TargetMode="External"/><Relationship Id="rId3034" Type="http://schemas.openxmlformats.org/officeDocument/2006/relationships/hyperlink" Target="https://dl.smwcentral.net/26096/SaveLuigiV5.1.zip" TargetMode="External"/><Relationship Id="rId2050" Type="http://schemas.openxmlformats.org/officeDocument/2006/relationships/hyperlink" Target="https://dl.smwcentral.net/21687/Mario%20Saves%20Christmas%20V1.2.zip" TargetMode="External"/><Relationship Id="rId3101" Type="http://schemas.openxmlformats.org/officeDocument/2006/relationships/hyperlink" Target="https://www.smwcentral.net/?a=details&amp;id=38203&amp;p=section" TargetMode="External"/><Relationship Id="rId5273" Type="http://schemas.openxmlformats.org/officeDocument/2006/relationships/hyperlink" Target="https://www.smwcentral.net/?a=details&amp;id=41740&amp;p=section" TargetMode="External"/><Relationship Id="rId839" Type="http://schemas.openxmlformats.org/officeDocument/2006/relationships/hyperlink" Target="https://www.smwcentral.net/?a=details&amp;id=34025&amp;p=section" TargetMode="External"/><Relationship Id="rId1469" Type="http://schemas.openxmlformats.org/officeDocument/2006/relationships/hyperlink" Target="https://www.smwcentral.net/?a=details&amp;id=38785&amp;p=section" TargetMode="External"/><Relationship Id="rId2867" Type="http://schemas.openxmlformats.org/officeDocument/2006/relationships/hyperlink" Target="https://www.smwcentral.net/?a=details&amp;id=32480&amp;p=section" TargetMode="External"/><Relationship Id="rId3918" Type="http://schemas.openxmlformats.org/officeDocument/2006/relationships/hyperlink" Target="https://dl.smwcentral.net/10168/SMNL.zip" TargetMode="External"/><Relationship Id="rId5340" Type="http://schemas.openxmlformats.org/officeDocument/2006/relationships/hyperlink" Target="https://dl.smwcentral.net/17837/Waluigi%27s%20Wadventure%20-%20Demo%202.1.zip" TargetMode="External"/><Relationship Id="rId1883" Type="http://schemas.openxmlformats.org/officeDocument/2006/relationships/hyperlink" Target="https://www.smwcentral.net/?a=details&amp;id=41605&amp;p=section" TargetMode="External"/><Relationship Id="rId2934" Type="http://schemas.openxmlformats.org/officeDocument/2006/relationships/hyperlink" Target="https://dl.smwcentral.net/38510/Retro%20Marioland%20v1.2.zip" TargetMode="External"/><Relationship Id="rId906" Type="http://schemas.openxmlformats.org/officeDocument/2006/relationships/hyperlink" Target="https://dl.smwcentral.net/26004/double.zip" TargetMode="External"/><Relationship Id="rId1536" Type="http://schemas.openxmlformats.org/officeDocument/2006/relationships/hyperlink" Target="https://dl.smwcentral.net/38727/Kaizo%20Crisis%202.zip" TargetMode="External"/><Relationship Id="rId1950" Type="http://schemas.openxmlformats.org/officeDocument/2006/relationships/hyperlink" Target="https://dl.smwcentral.net/10140/MiaMW.zip" TargetMode="External"/><Relationship Id="rId1603" Type="http://schemas.openxmlformats.org/officeDocument/2006/relationships/hyperlink" Target="https://www.smwcentral.net/?a=details&amp;id=18523&amp;p=section" TargetMode="External"/><Relationship Id="rId4759" Type="http://schemas.openxmlformats.org/officeDocument/2006/relationships/hyperlink" Target="https://www.smwcentral.net/?a=details&amp;id=41893&amp;p=section" TargetMode="External"/><Relationship Id="rId3775" Type="http://schemas.openxmlformats.org/officeDocument/2006/relationships/hyperlink" Target="https://www.smwcentral.net/?a=details&amp;id=9670&amp;p=section" TargetMode="External"/><Relationship Id="rId4826" Type="http://schemas.openxmlformats.org/officeDocument/2006/relationships/hyperlink" Target="https://dl.smwcentral.net/40345/The_Hackrooms.zip" TargetMode="External"/><Relationship Id="rId696" Type="http://schemas.openxmlformats.org/officeDocument/2006/relationships/hyperlink" Target="https://dl.smwcentral.net/5546/Cinnamon%20Hills.zip" TargetMode="External"/><Relationship Id="rId2377" Type="http://schemas.openxmlformats.org/officeDocument/2006/relationships/hyperlink" Target="https://www.smwcentral.net/?a=details&amp;id=36957&amp;p=section" TargetMode="External"/><Relationship Id="rId2791" Type="http://schemas.openxmlformats.org/officeDocument/2006/relationships/hyperlink" Target="https://www.smwcentral.net/?a=details&amp;id=42098&amp;p=section" TargetMode="External"/><Relationship Id="rId3428" Type="http://schemas.openxmlformats.org/officeDocument/2006/relationships/hyperlink" Target="https://dl.smwcentral.net/30305/Super%20Beco%20World%203%20v1.1.zip" TargetMode="External"/><Relationship Id="rId349" Type="http://schemas.openxmlformats.org/officeDocument/2006/relationships/hyperlink" Target="https://www.smwcentral.net/?a=details&amp;id=37783&amp;p=section" TargetMode="External"/><Relationship Id="rId763" Type="http://schemas.openxmlformats.org/officeDocument/2006/relationships/hyperlink" Target="https://www.smwcentral.net/?a=details&amp;id=41278&amp;p=section" TargetMode="External"/><Relationship Id="rId1393" Type="http://schemas.openxmlformats.org/officeDocument/2006/relationships/hyperlink" Target="https://www.smwcentral.net/?a=details&amp;id=29540&amp;p=section" TargetMode="External"/><Relationship Id="rId2444" Type="http://schemas.openxmlformats.org/officeDocument/2006/relationships/hyperlink" Target="https://dl.smwcentral.net/39058/My%20Name%20is%20Goal.zip" TargetMode="External"/><Relationship Id="rId3842" Type="http://schemas.openxmlformats.org/officeDocument/2006/relationships/hyperlink" Target="https://dl.smwcentral.net/41188/Super%20Mario%20DX.zip" TargetMode="External"/><Relationship Id="rId416" Type="http://schemas.openxmlformats.org/officeDocument/2006/relationships/hyperlink" Target="https://dl.smwcentral.net/34163/BeginningoftheEnd.zip" TargetMode="External"/><Relationship Id="rId1046" Type="http://schemas.openxmlformats.org/officeDocument/2006/relationships/hyperlink" Target="https://dl.smwcentral.net/24854/FallGuysWorld.zip" TargetMode="External"/><Relationship Id="rId830" Type="http://schemas.openxmlformats.org/officeDocument/2006/relationships/hyperlink" Target="https://dl.smwcentral.net/15505/DeathZone.zip" TargetMode="External"/><Relationship Id="rId1460" Type="http://schemas.openxmlformats.org/officeDocument/2006/relationships/hyperlink" Target="https://dl.smwcentral.net/39726/JISH.zip" TargetMode="External"/><Relationship Id="rId2511" Type="http://schemas.openxmlformats.org/officeDocument/2006/relationships/hyperlink" Target="https://www.smwcentral.net/?a=details&amp;id=9763&amp;p=section" TargetMode="External"/><Relationship Id="rId1113" Type="http://schemas.openxmlformats.org/officeDocument/2006/relationships/hyperlink" Target="https://www.smwcentral.net/?a=details&amp;id=40494&amp;p=section" TargetMode="External"/><Relationship Id="rId4269" Type="http://schemas.openxmlformats.org/officeDocument/2006/relationships/hyperlink" Target="https://www.smwcentral.net/?a=details&amp;id=10111&amp;p=section" TargetMode="External"/><Relationship Id="rId4683" Type="http://schemas.openxmlformats.org/officeDocument/2006/relationships/hyperlink" Target="https://www.smwcentral.net/?a=details&amp;id=30173&amp;p=section" TargetMode="External"/><Relationship Id="rId3285" Type="http://schemas.openxmlformats.org/officeDocument/2006/relationships/hyperlink" Target="https://www.smwcentral.net/?a=details&amp;id=29548&amp;p=section" TargetMode="External"/><Relationship Id="rId4336" Type="http://schemas.openxmlformats.org/officeDocument/2006/relationships/hyperlink" Target="https://dl.smwcentral.net/36887/Super%20Monty%20World%20v1.2.zip" TargetMode="External"/><Relationship Id="rId4750" Type="http://schemas.openxmlformats.org/officeDocument/2006/relationships/hyperlink" Target="https://dl.smwcentral.net/37477/The%20Darkside%20REMASTERED%5B1.3%5D.zip" TargetMode="External"/><Relationship Id="rId3352" Type="http://schemas.openxmlformats.org/officeDocument/2006/relationships/hyperlink" Target="https://dl.smwcentral.net/24320/Stand%20Tall%20v1.2.zip" TargetMode="External"/><Relationship Id="rId4403" Type="http://schemas.openxmlformats.org/officeDocument/2006/relationships/hyperlink" Target="https://www.smwcentral.net/?a=details&amp;id=9771&amp;p=section" TargetMode="External"/><Relationship Id="rId273" Type="http://schemas.openxmlformats.org/officeDocument/2006/relationships/hyperlink" Target="https://www.smwcentral.net/?a=details&amp;id=22417&amp;p=section" TargetMode="External"/><Relationship Id="rId3005" Type="http://schemas.openxmlformats.org/officeDocument/2006/relationships/hyperlink" Target="https://www.smwcentral.net/?a=details&amp;id=41539&amp;p=section" TargetMode="External"/><Relationship Id="rId340" Type="http://schemas.openxmlformats.org/officeDocument/2006/relationships/hyperlink" Target="https://dl.smwcentral.net/27209/ARMAGEDDON_1.1.zip" TargetMode="External"/><Relationship Id="rId2021" Type="http://schemas.openxmlformats.org/officeDocument/2006/relationships/hyperlink" Target="https://www.smwcentral.net/?a=details&amp;id=33227&amp;p=section" TargetMode="External"/><Relationship Id="rId5177" Type="http://schemas.openxmlformats.org/officeDocument/2006/relationships/hyperlink" Target="https://www.smwcentral.net/?a=details&amp;id=22832&amp;p=section" TargetMode="External"/><Relationship Id="rId4193" Type="http://schemas.openxmlformats.org/officeDocument/2006/relationships/hyperlink" Target="https://www.smwcentral.net/?a=details&amp;id=9053&amp;p=section" TargetMode="External"/><Relationship Id="rId1787" Type="http://schemas.openxmlformats.org/officeDocument/2006/relationships/hyperlink" Target="https://www.smwcentral.net/?a=details&amp;id=17632&amp;p=section" TargetMode="External"/><Relationship Id="rId2838" Type="http://schemas.openxmlformats.org/officeDocument/2006/relationships/hyperlink" Target="https://dl.smwcentral.net/32472/Primal%20Shells.zip" TargetMode="External"/><Relationship Id="rId5244" Type="http://schemas.openxmlformats.org/officeDocument/2006/relationships/hyperlink" Target="https://dl.smwcentral.net/25250/Unlit%20Candles%201.2.zip" TargetMode="External"/><Relationship Id="rId79" Type="http://schemas.openxmlformats.org/officeDocument/2006/relationships/hyperlink" Target="https://www.smwcentral.net/?a=details&amp;id=27975&amp;p=section" TargetMode="External"/><Relationship Id="rId1854" Type="http://schemas.openxmlformats.org/officeDocument/2006/relationships/hyperlink" Target="https://dl.smwcentral.net/11900/M%26W%20-%20ISoL.zip" TargetMode="External"/><Relationship Id="rId2905" Type="http://schemas.openxmlformats.org/officeDocument/2006/relationships/hyperlink" Target="https://www.smwcentral.net/?a=details&amp;id=35680&amp;p=section" TargetMode="External"/><Relationship Id="rId4260" Type="http://schemas.openxmlformats.org/officeDocument/2006/relationships/hyperlink" Target="https://dl.smwcentral.net/9839/SMATPF%20Final%20Version.zip" TargetMode="External"/><Relationship Id="rId5311" Type="http://schemas.openxmlformats.org/officeDocument/2006/relationships/hyperlink" Target="https://www.smwcentral.net/?a=details&amp;id=9812&amp;p=section" TargetMode="External"/><Relationship Id="rId1507" Type="http://schemas.openxmlformats.org/officeDocument/2006/relationships/hyperlink" Target="https://www.smwcentral.net/?a=details&amp;id=26449&amp;p=section" TargetMode="External"/><Relationship Id="rId1921" Type="http://schemas.openxmlformats.org/officeDocument/2006/relationships/hyperlink" Target="https://www.smwcentral.net/?a=details&amp;id=29559&amp;p=section" TargetMode="External"/><Relationship Id="rId3679" Type="http://schemas.openxmlformats.org/officeDocument/2006/relationships/hyperlink" Target="https://www.smwcentral.net/?a=details&amp;id=29309&amp;p=section" TargetMode="External"/><Relationship Id="rId1297" Type="http://schemas.openxmlformats.org/officeDocument/2006/relationships/hyperlink" Target="https://www.smwcentral.net/?a=details&amp;id=41380&amp;p=section" TargetMode="External"/><Relationship Id="rId2695" Type="http://schemas.openxmlformats.org/officeDocument/2006/relationships/hyperlink" Target="https://www.smwcentral.net/?a=details&amp;id=42588&amp;p=section" TargetMode="External"/><Relationship Id="rId3746" Type="http://schemas.openxmlformats.org/officeDocument/2006/relationships/hyperlink" Target="https://dl.smwcentral.net/17086/Super%20Mario%20Aways%20-%20Redrawn.zip" TargetMode="External"/><Relationship Id="rId667" Type="http://schemas.openxmlformats.org/officeDocument/2006/relationships/hyperlink" Target="https://www.smwcentral.net/?a=details&amp;id=11289&amp;p=section" TargetMode="External"/><Relationship Id="rId2348" Type="http://schemas.openxmlformats.org/officeDocument/2006/relationships/hyperlink" Target="https://dl.smwcentral.net/28692/MemoryLane1.1.zip" TargetMode="External"/><Relationship Id="rId2762" Type="http://schemas.openxmlformats.org/officeDocument/2006/relationships/hyperlink" Target="https://dl.smwcentral.net/39132/Pipe_City_v1.1.zip" TargetMode="External"/><Relationship Id="rId3813" Type="http://schemas.openxmlformats.org/officeDocument/2006/relationships/hyperlink" Target="https://www.smwcentral.net/?a=details&amp;id=10156&amp;p=section" TargetMode="External"/><Relationship Id="rId734" Type="http://schemas.openxmlformats.org/officeDocument/2006/relationships/hyperlink" Target="https://dl.smwcentral.net/25095/Comfy1.2.zip" TargetMode="External"/><Relationship Id="rId1364" Type="http://schemas.openxmlformats.org/officeDocument/2006/relationships/hyperlink" Target="https://dl.smwcentral.net/26890/ides_of_march1.1.zip" TargetMode="External"/><Relationship Id="rId2415" Type="http://schemas.openxmlformats.org/officeDocument/2006/relationships/hyperlink" Target="https://www.smwcentral.net/?a=details&amp;id=15820&amp;p=section" TargetMode="External"/><Relationship Id="rId70" Type="http://schemas.openxmlformats.org/officeDocument/2006/relationships/hyperlink" Target="https://dl.smwcentral.net/22945/5.3.20%20Magnolia.zip" TargetMode="External"/><Relationship Id="rId801" Type="http://schemas.openxmlformats.org/officeDocument/2006/relationships/hyperlink" Target="https://www.smwcentral.net/?a=details&amp;id=25165&amp;p=section" TargetMode="External"/><Relationship Id="rId1017" Type="http://schemas.openxmlformats.org/officeDocument/2006/relationships/hyperlink" Target="https://www.smwcentral.net/?a=details&amp;id=37571&amp;p=section" TargetMode="External"/><Relationship Id="rId1431" Type="http://schemas.openxmlformats.org/officeDocument/2006/relationships/hyperlink" Target="https://www.smwcentral.net/?a=details&amp;id=10907&amp;p=section" TargetMode="External"/><Relationship Id="rId4587" Type="http://schemas.openxmlformats.org/officeDocument/2006/relationships/hyperlink" Target="https://www.smwcentral.net/?a=details&amp;id=10020&amp;p=section" TargetMode="External"/><Relationship Id="rId3189" Type="http://schemas.openxmlformats.org/officeDocument/2006/relationships/hyperlink" Target="https://www.smwcentral.net/?a=details&amp;id=42654&amp;p=section" TargetMode="External"/><Relationship Id="rId4654" Type="http://schemas.openxmlformats.org/officeDocument/2006/relationships/hyperlink" Target="https://dl.smwcentral.net/27311/Tebeo%202.zip" TargetMode="External"/><Relationship Id="rId3256" Type="http://schemas.openxmlformats.org/officeDocument/2006/relationships/hyperlink" Target="https://dl.smwcentral.net/17462/SMW-R.zip" TargetMode="External"/><Relationship Id="rId4307" Type="http://schemas.openxmlformats.org/officeDocument/2006/relationships/hyperlink" Target="https://www.smwcentral.net/?a=details&amp;id=9760&amp;p=section" TargetMode="External"/><Relationship Id="rId177" Type="http://schemas.openxmlformats.org/officeDocument/2006/relationships/hyperlink" Target="https://www.smwcentral.net/?a=details&amp;id=28197&amp;p=section" TargetMode="External"/><Relationship Id="rId591" Type="http://schemas.openxmlformats.org/officeDocument/2006/relationships/hyperlink" Target="https://www.smwcentral.net/?a=details&amp;id=38387&amp;p=section" TargetMode="External"/><Relationship Id="rId2272" Type="http://schemas.openxmlformats.org/officeDocument/2006/relationships/hyperlink" Target="https://dl.smwcentral.net/9725/Mario%20-%20Apocalypse%20Dawn%20Demo%201.zip" TargetMode="External"/><Relationship Id="rId3670" Type="http://schemas.openxmlformats.org/officeDocument/2006/relationships/hyperlink" Target="https://dl.smwcentral.net/9753/SLRPGW%20%28Demo%201%29.zip" TargetMode="External"/><Relationship Id="rId4721" Type="http://schemas.openxmlformats.org/officeDocument/2006/relationships/hyperlink" Target="https://www.smwcentral.net/?a=details&amp;id=34022&amp;p=section" TargetMode="External"/><Relationship Id="rId244" Type="http://schemas.openxmlformats.org/officeDocument/2006/relationships/hyperlink" Target="https://dl.smwcentral.net/32364/ac.zip" TargetMode="External"/><Relationship Id="rId3323" Type="http://schemas.openxmlformats.org/officeDocument/2006/relationships/hyperlink" Target="https://www.smwcentral.net/?a=details&amp;id=26381&amp;p=section" TargetMode="External"/><Relationship Id="rId311" Type="http://schemas.openxmlformats.org/officeDocument/2006/relationships/hyperlink" Target="https://www.smwcentral.net/?a=details&amp;id=27588&amp;p=section" TargetMode="External"/><Relationship Id="rId4097" Type="http://schemas.openxmlformats.org/officeDocument/2006/relationships/hyperlink" Target="https://www.smwcentral.net/?a=details&amp;id=25540&amp;p=section" TargetMode="External"/><Relationship Id="rId5148" Type="http://schemas.openxmlformats.org/officeDocument/2006/relationships/hyperlink" Target="https://dl.smwcentral.net/6059/Touhou%20Mario.zip" TargetMode="External"/><Relationship Id="rId1758" Type="http://schemas.openxmlformats.org/officeDocument/2006/relationships/hyperlink" Target="https://dl.smwcentral.net/10073/Luigi%20demo%201.zip" TargetMode="External"/><Relationship Id="rId2809" Type="http://schemas.openxmlformats.org/officeDocument/2006/relationships/hyperlink" Target="https://www.smwcentral.net/?a=details&amp;id=37953&amp;p=section" TargetMode="External"/><Relationship Id="rId4164" Type="http://schemas.openxmlformats.org/officeDocument/2006/relationships/hyperlink" Target="https://dl.smwcentral.net/9803/Journey%20To%20Plover%20Hill.zip" TargetMode="External"/><Relationship Id="rId5215" Type="http://schemas.openxmlformats.org/officeDocument/2006/relationships/hyperlink" Target="https://www.smwcentral.net/?a=details&amp;id=21058&amp;p=section" TargetMode="External"/><Relationship Id="rId3180" Type="http://schemas.openxmlformats.org/officeDocument/2006/relationships/hyperlink" Target="https://dl.smwcentral.net/37314/Sixth%20Grade%20Kaizo.zip" TargetMode="External"/><Relationship Id="rId4231" Type="http://schemas.openxmlformats.org/officeDocument/2006/relationships/hyperlink" Target="https://www.smwcentral.net/?a=details&amp;id=9772&amp;p=section" TargetMode="External"/><Relationship Id="rId1825" Type="http://schemas.openxmlformats.org/officeDocument/2006/relationships/hyperlink" Target="https://www.smwcentral.net/?a=details&amp;id=28580&amp;p=section" TargetMode="External"/><Relationship Id="rId3997" Type="http://schemas.openxmlformats.org/officeDocument/2006/relationships/hyperlink" Target="https://www.smwcentral.net/?a=details&amp;id=23494&amp;p=section" TargetMode="External"/><Relationship Id="rId2599" Type="http://schemas.openxmlformats.org/officeDocument/2006/relationships/hyperlink" Target="https://www.smwcentral.net/?a=details&amp;id=33562&amp;p=section" TargetMode="External"/><Relationship Id="rId985" Type="http://schemas.openxmlformats.org/officeDocument/2006/relationships/hyperlink" Target="https://www.smwcentral.net/?a=details&amp;id=38966&amp;p=section" TargetMode="External"/><Relationship Id="rId2666" Type="http://schemas.openxmlformats.org/officeDocument/2006/relationships/hyperlink" Target="https://dl.smwcentral.net/37004/Onegai%20My%20Melody%20Adventure%20v1.1.zip" TargetMode="External"/><Relationship Id="rId3717" Type="http://schemas.openxmlformats.org/officeDocument/2006/relationships/hyperlink" Target="https://www.smwcentral.net/?a=details&amp;id=6070&amp;p=section" TargetMode="External"/><Relationship Id="rId5072" Type="http://schemas.openxmlformats.org/officeDocument/2006/relationships/hyperlink" Target="https://dl.smwcentral.net/9697/TDPV03.zip" TargetMode="External"/><Relationship Id="rId638" Type="http://schemas.openxmlformats.org/officeDocument/2006/relationships/hyperlink" Target="https://dl.smwcentral.net/27260/Cazeaje%20World.zip" TargetMode="External"/><Relationship Id="rId1268" Type="http://schemas.openxmlformats.org/officeDocument/2006/relationships/hyperlink" Target="https://dl.smwcentral.net/9859/HAKURANKAI%20DEMO.zip" TargetMode="External"/><Relationship Id="rId1682" Type="http://schemas.openxmlformats.org/officeDocument/2006/relationships/hyperlink" Target="https://dl.smwcentral.net/17046/LegendsOfMario_v1.2.zip" TargetMode="External"/><Relationship Id="rId2319" Type="http://schemas.openxmlformats.org/officeDocument/2006/relationships/hyperlink" Target="https://www.smwcentral.net/?a=details&amp;id=10237&amp;p=section" TargetMode="External"/><Relationship Id="rId2733" Type="http://schemas.openxmlformats.org/officeDocument/2006/relationships/hyperlink" Target="https://www.smwcentral.net/?a=details&amp;id=18146&amp;p=section" TargetMode="External"/><Relationship Id="rId705" Type="http://schemas.openxmlformats.org/officeDocument/2006/relationships/hyperlink" Target="https://www.smwcentral.net/?a=details&amp;id=9726&amp;p=section" TargetMode="External"/><Relationship Id="rId1335" Type="http://schemas.openxmlformats.org/officeDocument/2006/relationships/hyperlink" Target="https://www.smwcentral.net/?a=details&amp;id=32158&amp;p=section" TargetMode="External"/><Relationship Id="rId2800" Type="http://schemas.openxmlformats.org/officeDocument/2006/relationships/hyperlink" Target="https://dl.smwcentral.net/42699/Pointless%201.0.zip" TargetMode="External"/><Relationship Id="rId41" Type="http://schemas.openxmlformats.org/officeDocument/2006/relationships/hyperlink" Target="https://www.smwcentral.net/?a=details&amp;id=41543&amp;p=section" TargetMode="External"/><Relationship Id="rId1402" Type="http://schemas.openxmlformats.org/officeDocument/2006/relationships/hyperlink" Target="https://dl.smwcentral.net/37867/inert%20aeronaut%20v1.1.zip" TargetMode="External"/><Relationship Id="rId4558" Type="http://schemas.openxmlformats.org/officeDocument/2006/relationships/hyperlink" Target="https://dl.smwcentral.net/42614/Super%20Waluigi%20-%20Rescue%20Wario%20v1.4.zip" TargetMode="External"/><Relationship Id="rId4972" Type="http://schemas.openxmlformats.org/officeDocument/2006/relationships/hyperlink" Target="https://dl.smwcentral.net/17555/The%20Search%20for%20Salmon%201.2.zip" TargetMode="External"/><Relationship Id="rId3574" Type="http://schemas.openxmlformats.org/officeDocument/2006/relationships/hyperlink" Target="https://dl.smwcentral.net/17304/Super%20Hark%20Bros%201.21.zip" TargetMode="External"/><Relationship Id="rId4625" Type="http://schemas.openxmlformats.org/officeDocument/2006/relationships/hyperlink" Target="https://www.smwcentral.net/?a=details&amp;id=35716&amp;p=section" TargetMode="External"/><Relationship Id="rId495" Type="http://schemas.openxmlformats.org/officeDocument/2006/relationships/hyperlink" Target="https://www.smwcentral.net/?a=details&amp;id=18822&amp;p=section" TargetMode="External"/><Relationship Id="rId2176" Type="http://schemas.openxmlformats.org/officeDocument/2006/relationships/hyperlink" Target="https://dl.smwcentral.net/14534/MLA%20Demo%201.zip" TargetMode="External"/><Relationship Id="rId2590" Type="http://schemas.openxmlformats.org/officeDocument/2006/relationships/hyperlink" Target="https://dl.smwcentral.net/28233/Nintense.zip" TargetMode="External"/><Relationship Id="rId3227" Type="http://schemas.openxmlformats.org/officeDocument/2006/relationships/hyperlink" Target="https://www.smwcentral.net/?a=details&amp;id=19073&amp;p=section" TargetMode="External"/><Relationship Id="rId3641" Type="http://schemas.openxmlformats.org/officeDocument/2006/relationships/hyperlink" Target="https://www.smwcentral.net/?a=details&amp;id=38590&amp;p=section" TargetMode="External"/><Relationship Id="rId148" Type="http://schemas.openxmlformats.org/officeDocument/2006/relationships/hyperlink" Target="https://dl.smwcentral.net/42626/a%20pretty%20view.zip" TargetMode="External"/><Relationship Id="rId562" Type="http://schemas.openxmlformats.org/officeDocument/2006/relationships/hyperlink" Target="https://dl.smwcentral.net/37743/BuddyShell2REDUX.zip" TargetMode="External"/><Relationship Id="rId1192" Type="http://schemas.openxmlformats.org/officeDocument/2006/relationships/hyperlink" Target="https://dl.smwcentral.net/22880/Grand%20Troll%20World%201.zip" TargetMode="External"/><Relationship Id="rId2243" Type="http://schemas.openxmlformats.org/officeDocument/2006/relationships/hyperlink" Target="https://www.smwcentral.net/?a=details&amp;id=12794&amp;p=section" TargetMode="External"/><Relationship Id="rId5399" Type="http://schemas.openxmlformats.org/officeDocument/2006/relationships/hyperlink" Target="https://www.smwcentral.net/?a=details&amp;id=16890&amp;p=section" TargetMode="External"/><Relationship Id="rId215" Type="http://schemas.openxmlformats.org/officeDocument/2006/relationships/hyperlink" Target="https://www.smwcentral.net/?a=details&amp;id=32375&amp;p=section" TargetMode="External"/><Relationship Id="rId2310" Type="http://schemas.openxmlformats.org/officeDocument/2006/relationships/hyperlink" Target="https://dl.smwcentral.net/29054/MasterOfShellSMWC.zip" TargetMode="External"/><Relationship Id="rId5466" Type="http://schemas.openxmlformats.org/officeDocument/2006/relationships/hyperlink" Target="https://dl.smwcentral.net/10024/Yoshirofullversion1.1.zip" TargetMode="External"/><Relationship Id="rId4068" Type="http://schemas.openxmlformats.org/officeDocument/2006/relationships/hyperlink" Target="https://dl.smwcentral.net/6843/Super%20Mario%20World%20Classic%20Comebacks.zip" TargetMode="External"/><Relationship Id="rId4482" Type="http://schemas.openxmlformats.org/officeDocument/2006/relationships/hyperlink" Target="https://dl.smwcentral.net/26670/Super%20ShyGuys%20Journey.zip" TargetMode="External"/><Relationship Id="rId5119" Type="http://schemas.openxmlformats.org/officeDocument/2006/relationships/hyperlink" Target="https://www.smwcentral.net/?a=details&amp;id=31771&amp;p=section" TargetMode="External"/><Relationship Id="rId3084" Type="http://schemas.openxmlformats.org/officeDocument/2006/relationships/hyperlink" Target="https://dl.smwcentral.net/25586/Shell%20Out.zip" TargetMode="External"/><Relationship Id="rId4135" Type="http://schemas.openxmlformats.org/officeDocument/2006/relationships/hyperlink" Target="https://www.smwcentral.net/?a=details&amp;id=13663&amp;p=section" TargetMode="External"/><Relationship Id="rId1729" Type="http://schemas.openxmlformats.org/officeDocument/2006/relationships/hyperlink" Target="https://www.smwcentral.net/?a=details&amp;id=17968&amp;p=section" TargetMode="External"/><Relationship Id="rId3151" Type="http://schemas.openxmlformats.org/officeDocument/2006/relationships/hyperlink" Target="https://www.smwcentral.net/?a=details&amp;id=25665&amp;p=section" TargetMode="External"/><Relationship Id="rId4202" Type="http://schemas.openxmlformats.org/officeDocument/2006/relationships/hyperlink" Target="https://dl.smwcentral.net/10221/tha.zip" TargetMode="External"/><Relationship Id="rId3968" Type="http://schemas.openxmlformats.org/officeDocument/2006/relationships/hyperlink" Target="https://dl.smwcentral.net/16490/Super%20mario%20Ubs.zip" TargetMode="External"/><Relationship Id="rId5" Type="http://schemas.openxmlformats.org/officeDocument/2006/relationships/hyperlink" Target="https://www.smwcentral.net/?a=details&amp;id=6027&amp;p=section" TargetMode="External"/><Relationship Id="rId889" Type="http://schemas.openxmlformats.org/officeDocument/2006/relationships/hyperlink" Target="https://www.smwcentral.net/?a=details&amp;id=17934&amp;p=section" TargetMode="External"/><Relationship Id="rId5390" Type="http://schemas.openxmlformats.org/officeDocument/2006/relationships/hyperlink" Target="https://dl.smwcentral.net/42624/WhiteMenCantToss.zip" TargetMode="External"/><Relationship Id="rId1586" Type="http://schemas.openxmlformats.org/officeDocument/2006/relationships/hyperlink" Target="https://dl.smwcentral.net/9755/Kid%20Adventure%20%28English%20version%29.zip" TargetMode="External"/><Relationship Id="rId2984" Type="http://schemas.openxmlformats.org/officeDocument/2006/relationships/hyperlink" Target="https://dl.smwcentral.net/27140/Romp%20of%20Otters%201.1.zip" TargetMode="External"/><Relationship Id="rId5043" Type="http://schemas.openxmlformats.org/officeDocument/2006/relationships/hyperlink" Target="https://www.smwcentral.net/?a=details&amp;id=15340&amp;p=section" TargetMode="External"/><Relationship Id="rId609" Type="http://schemas.openxmlformats.org/officeDocument/2006/relationships/hyperlink" Target="https://www.smwcentral.net/?a=details&amp;id=6264&amp;p=section" TargetMode="External"/><Relationship Id="rId956" Type="http://schemas.openxmlformats.org/officeDocument/2006/relationships/hyperlink" Target="https://dl.smwcentral.net/38298/EGO%20WORLD.zip" TargetMode="External"/><Relationship Id="rId1239" Type="http://schemas.openxmlformats.org/officeDocument/2006/relationships/hyperlink" Target="https://www.smwcentral.net/?a=details&amp;id=42289&amp;p=section" TargetMode="External"/><Relationship Id="rId2637" Type="http://schemas.openxmlformats.org/officeDocument/2006/relationships/hyperlink" Target="https://www.smwcentral.net/?a=details&amp;id=35139&amp;p=section" TargetMode="External"/><Relationship Id="rId5110" Type="http://schemas.openxmlformats.org/officeDocument/2006/relationships/hyperlink" Target="https://dl.smwcentral.net/26862/Toad%20Kaizo%20World%202.zip" TargetMode="External"/><Relationship Id="rId1653" Type="http://schemas.openxmlformats.org/officeDocument/2006/relationships/hyperlink" Target="https://www.smwcentral.net/?a=details&amp;id=38747&amp;p=section" TargetMode="External"/><Relationship Id="rId2704" Type="http://schemas.openxmlformats.org/officeDocument/2006/relationships/hyperlink" Target="https://dl.smwcentral.net/39183/pacshacagain.zip" TargetMode="External"/><Relationship Id="rId1306" Type="http://schemas.openxmlformats.org/officeDocument/2006/relationships/hyperlink" Target="https://dl.smwcentral.net/40743/Heckin%20Spoop%20World%20v1.3.zip" TargetMode="External"/><Relationship Id="rId1720" Type="http://schemas.openxmlformats.org/officeDocument/2006/relationships/hyperlink" Target="https://dl.smwcentral.net/37666/Long%20Road%20to%20Ruin%201.1.zip" TargetMode="External"/><Relationship Id="rId4876" Type="http://schemas.openxmlformats.org/officeDocument/2006/relationships/hyperlink" Target="https://dl.smwcentral.net/35088/The%20long%20way%20home%20II%20V1.1.zip" TargetMode="External"/><Relationship Id="rId12" Type="http://schemas.openxmlformats.org/officeDocument/2006/relationships/hyperlink" Target="https://dl.smwcentral.net/5988/1island1.2.zip" TargetMode="External"/><Relationship Id="rId3478" Type="http://schemas.openxmlformats.org/officeDocument/2006/relationships/hyperlink" Target="https://dl.smwcentral.net/22171/Super%20Creme%20World.zip" TargetMode="External"/><Relationship Id="rId3892" Type="http://schemas.openxmlformats.org/officeDocument/2006/relationships/hyperlink" Target="https://dl.smwcentral.net/9804/Super%20Mario%20Islands%20Demo%202.zip" TargetMode="External"/><Relationship Id="rId4529" Type="http://schemas.openxmlformats.org/officeDocument/2006/relationships/hyperlink" Target="https://www.smwcentral.net/?a=details&amp;id=30270&amp;p=section" TargetMode="External"/><Relationship Id="rId4943" Type="http://schemas.openxmlformats.org/officeDocument/2006/relationships/hyperlink" Target="https://www.smwcentral.net/?a=details&amp;id=32483&amp;p=section" TargetMode="External"/><Relationship Id="rId399" Type="http://schemas.openxmlformats.org/officeDocument/2006/relationships/hyperlink" Target="https://www.smwcentral.net/?a=details&amp;id=30707&amp;p=section" TargetMode="External"/><Relationship Id="rId2494" Type="http://schemas.openxmlformats.org/officeDocument/2006/relationships/hyperlink" Target="https://dl.smwcentral.net/33638/NEW%20Nightmare%20cafe%203%20V1.0.zip" TargetMode="External"/><Relationship Id="rId3545" Type="http://schemas.openxmlformats.org/officeDocument/2006/relationships/hyperlink" Target="https://www.smwcentral.net/?a=details&amp;id=34184&amp;p=section" TargetMode="External"/><Relationship Id="rId466" Type="http://schemas.openxmlformats.org/officeDocument/2006/relationships/hyperlink" Target="https://dl.smwcentral.net/27797/BoliKa%20V1.1.zip" TargetMode="External"/><Relationship Id="rId880" Type="http://schemas.openxmlformats.org/officeDocument/2006/relationships/hyperlink" Target="https://dl.smwcentral.net/34952/DontDigDown%20v7.zip" TargetMode="External"/><Relationship Id="rId1096" Type="http://schemas.openxmlformats.org/officeDocument/2006/relationships/hyperlink" Target="https://dl.smwcentral.net/39475/Fragaria%20V1.2.zip" TargetMode="External"/><Relationship Id="rId2147" Type="http://schemas.openxmlformats.org/officeDocument/2006/relationships/hyperlink" Target="https://www.smwcentral.net/?a=details&amp;id=36826&amp;p=section" TargetMode="External"/><Relationship Id="rId2561" Type="http://schemas.openxmlformats.org/officeDocument/2006/relationships/hyperlink" Target="https://www.smwcentral.net/?a=details&amp;id=38934&amp;p=section" TargetMode="External"/><Relationship Id="rId119" Type="http://schemas.openxmlformats.org/officeDocument/2006/relationships/hyperlink" Target="https://www.smwcentral.net/?a=details&amp;id=37605&amp;p=section" TargetMode="External"/><Relationship Id="rId533" Type="http://schemas.openxmlformats.org/officeDocument/2006/relationships/hyperlink" Target="https://www.smwcentral.net/?a=details&amp;id=30248&amp;p=section" TargetMode="External"/><Relationship Id="rId1163" Type="http://schemas.openxmlformats.org/officeDocument/2006/relationships/hyperlink" Target="https://www.smwcentral.net/?a=details&amp;id=25591&amp;p=section" TargetMode="External"/><Relationship Id="rId2214" Type="http://schemas.openxmlformats.org/officeDocument/2006/relationships/hyperlink" Target="https://dl.smwcentral.net/20324/MQFTW.zip" TargetMode="External"/><Relationship Id="rId3612" Type="http://schemas.openxmlformats.org/officeDocument/2006/relationships/hyperlink" Target="https://dl.smwcentral.net/31836/Joe%20Bros%202%20V1.5.zip" TargetMode="External"/><Relationship Id="rId600" Type="http://schemas.openxmlformats.org/officeDocument/2006/relationships/hyperlink" Target="https://dl.smwcentral.net/32084/Capirotada%20Land%202.1.zip" TargetMode="External"/><Relationship Id="rId1230" Type="http://schemas.openxmlformats.org/officeDocument/2006/relationships/hyperlink" Target="https://dl.smwcentral.net/40017/Hack03Releasev1.1.zip" TargetMode="External"/><Relationship Id="rId4386" Type="http://schemas.openxmlformats.org/officeDocument/2006/relationships/hyperlink" Target="https://dl.smwcentral.net/28782/Super%20Nova%20World%201.1.zip" TargetMode="External"/><Relationship Id="rId5437" Type="http://schemas.openxmlformats.org/officeDocument/2006/relationships/hyperlink" Target="https://www.smwcentral.net/?a=details&amp;id=28710&amp;p=section" TargetMode="External"/><Relationship Id="rId4039" Type="http://schemas.openxmlformats.org/officeDocument/2006/relationships/hyperlink" Target="https://www.smwcentral.net/?a=details&amp;id=5245&amp;p=section" TargetMode="External"/><Relationship Id="rId4453" Type="http://schemas.openxmlformats.org/officeDocument/2006/relationships/hyperlink" Target="https://www.smwcentral.net/?a=details&amp;id=23981&amp;p=section" TargetMode="External"/><Relationship Id="rId3055" Type="http://schemas.openxmlformats.org/officeDocument/2006/relationships/hyperlink" Target="https://www.smwcentral.net/?a=details&amp;id=5074&amp;p=section" TargetMode="External"/><Relationship Id="rId4106" Type="http://schemas.openxmlformats.org/officeDocument/2006/relationships/hyperlink" Target="https://dl.smwcentral.net/27237/Super%20Mario%20World%20The%20Garden.zip" TargetMode="External"/><Relationship Id="rId4520" Type="http://schemas.openxmlformats.org/officeDocument/2006/relationships/hyperlink" Target="https://dl.smwcentral.net/26113/Super%20Swunsh%20World%202.zip" TargetMode="External"/><Relationship Id="rId390" Type="http://schemas.openxmlformats.org/officeDocument/2006/relationships/hyperlink" Target="https://dl.smwcentral.net/9652/banzai%27s%20Level%20Sampler.zip" TargetMode="External"/><Relationship Id="rId2071" Type="http://schemas.openxmlformats.org/officeDocument/2006/relationships/hyperlink" Target="https://www.smwcentral.net/?a=details&amp;id=27627&amp;p=section" TargetMode="External"/><Relationship Id="rId3122" Type="http://schemas.openxmlformats.org/officeDocument/2006/relationships/hyperlink" Target="https://dl.smwcentral.net/39649/SHINE%20v1.1.zip" TargetMode="External"/><Relationship Id="rId5294" Type="http://schemas.openxmlformats.org/officeDocument/2006/relationships/hyperlink" Target="https://dl.smwcentral.net/37735/Venture1_2.zip" TargetMode="External"/><Relationship Id="rId110" Type="http://schemas.openxmlformats.org/officeDocument/2006/relationships/hyperlink" Target="https://dl.smwcentral.net/10416/A%20Hack%20Thing%20v1.3.zip" TargetMode="External"/><Relationship Id="rId2888" Type="http://schemas.openxmlformats.org/officeDocument/2006/relationships/hyperlink" Target="https://dl.smwcentral.net/27001/R-ACK.zip" TargetMode="External"/><Relationship Id="rId3939" Type="http://schemas.openxmlformats.org/officeDocument/2006/relationships/hyperlink" Target="https://www.smwcentral.net/?a=details&amp;id=10100&amp;p=section" TargetMode="External"/><Relationship Id="rId2955" Type="http://schemas.openxmlformats.org/officeDocument/2006/relationships/hyperlink" Target="https://www.smwcentral.net/?a=details&amp;id=9029&amp;p=section" TargetMode="External"/><Relationship Id="rId5361" Type="http://schemas.openxmlformats.org/officeDocument/2006/relationships/hyperlink" Target="https://www.smwcentral.net/?a=details&amp;id=38468&amp;p=section" TargetMode="External"/><Relationship Id="rId927" Type="http://schemas.openxmlformats.org/officeDocument/2006/relationships/hyperlink" Target="https://www.smwcentral.net/?a=details&amp;id=22132&amp;p=section" TargetMode="External"/><Relationship Id="rId1557" Type="http://schemas.openxmlformats.org/officeDocument/2006/relationships/hyperlink" Target="https://www.smwcentral.net/?a=details&amp;id=9918&amp;p=section" TargetMode="External"/><Relationship Id="rId1971" Type="http://schemas.openxmlformats.org/officeDocument/2006/relationships/hyperlink" Target="https://www.smwcentral.net/?a=details&amp;id=38322&amp;p=section" TargetMode="External"/><Relationship Id="rId2608" Type="http://schemas.openxmlformats.org/officeDocument/2006/relationships/hyperlink" Target="https://dl.smwcentral.net/21406/dracula1.021.zip" TargetMode="External"/><Relationship Id="rId5014" Type="http://schemas.openxmlformats.org/officeDocument/2006/relationships/hyperlink" Target="https://dl.smwcentral.net/41257/Sholmes%20Adventure%20updated.zip" TargetMode="External"/><Relationship Id="rId1624" Type="http://schemas.openxmlformats.org/officeDocument/2006/relationships/hyperlink" Target="https://dl.smwcentral.net/39813/KrefeldKaizoRelayRace2025.zip" TargetMode="External"/><Relationship Id="rId4030" Type="http://schemas.openxmlformats.org/officeDocument/2006/relationships/hyperlink" Target="https://dl.smwcentral.net/26444/Super%20Mario%20World%202021.zip" TargetMode="External"/><Relationship Id="rId3796" Type="http://schemas.openxmlformats.org/officeDocument/2006/relationships/hyperlink" Target="https://dl.smwcentral.net/10223/smbe.zip" TargetMode="External"/><Relationship Id="rId2398" Type="http://schemas.openxmlformats.org/officeDocument/2006/relationships/hyperlink" Target="https://dl.smwcentral.net/38359/MoonFinder_.zip" TargetMode="External"/><Relationship Id="rId3449" Type="http://schemas.openxmlformats.org/officeDocument/2006/relationships/hyperlink" Target="https://www.smwcentral.net/?a=details&amp;id=25008&amp;p=section" TargetMode="External"/><Relationship Id="rId4847" Type="http://schemas.openxmlformats.org/officeDocument/2006/relationships/hyperlink" Target="https://www.smwcentral.net/?a=details&amp;id=24997&amp;p=section" TargetMode="External"/><Relationship Id="rId3863" Type="http://schemas.openxmlformats.org/officeDocument/2006/relationships/hyperlink" Target="https://www.smwcentral.net/?a=details&amp;id=15487&amp;p=section" TargetMode="External"/><Relationship Id="rId4914" Type="http://schemas.openxmlformats.org/officeDocument/2006/relationships/hyperlink" Target="https://dl.smwcentral.net/5557/tmf.zip" TargetMode="External"/><Relationship Id="rId784" Type="http://schemas.openxmlformats.org/officeDocument/2006/relationships/hyperlink" Target="https://dl.smwcentral.net/26252/CuteKaizoWorldv1.1.zip" TargetMode="External"/><Relationship Id="rId1067" Type="http://schemas.openxmlformats.org/officeDocument/2006/relationships/hyperlink" Target="https://www.smwcentral.net/?a=details&amp;id=15713&amp;p=section" TargetMode="External"/><Relationship Id="rId2465" Type="http://schemas.openxmlformats.org/officeDocument/2006/relationships/hyperlink" Target="https://www.smwcentral.net/?a=details&amp;id=31239&amp;p=section" TargetMode="External"/><Relationship Id="rId3516" Type="http://schemas.openxmlformats.org/officeDocument/2006/relationships/hyperlink" Target="https://dl.smwcentral.net/39264/SuperEmptyLand.zip" TargetMode="External"/><Relationship Id="rId3930" Type="http://schemas.openxmlformats.org/officeDocument/2006/relationships/hyperlink" Target="https://dl.smwcentral.net/16416/SMPWv2.zip" TargetMode="External"/><Relationship Id="rId437" Type="http://schemas.openxmlformats.org/officeDocument/2006/relationships/hyperlink" Target="https://www.smwcentral.net/?a=details&amp;id=18119&amp;p=section" TargetMode="External"/><Relationship Id="rId851" Type="http://schemas.openxmlformats.org/officeDocument/2006/relationships/hyperlink" Target="https://www.smwcentral.net/?a=details&amp;id=10541&amp;p=section" TargetMode="External"/><Relationship Id="rId1481" Type="http://schemas.openxmlformats.org/officeDocument/2006/relationships/hyperlink" Target="https://www.smwcentral.net/?a=details&amp;id=13781&amp;p=section" TargetMode="External"/><Relationship Id="rId2118" Type="http://schemas.openxmlformats.org/officeDocument/2006/relationships/hyperlink" Target="https://dl.smwcentral.net/13836/Mario%27s%20amazing%20adventure.zip" TargetMode="External"/><Relationship Id="rId2532" Type="http://schemas.openxmlformats.org/officeDocument/2006/relationships/hyperlink" Target="https://dl.smwcentral.net/17987/NewTerritory%20v1.2%20DEMO.zip" TargetMode="External"/><Relationship Id="rId504" Type="http://schemas.openxmlformats.org/officeDocument/2006/relationships/hyperlink" Target="https://dl.smwcentral.net/40169/BowsersCasino.zip" TargetMode="External"/><Relationship Id="rId1134" Type="http://schemas.openxmlformats.org/officeDocument/2006/relationships/hyperlink" Target="https://dl.smwcentral.net/33054/Gambol_v1.1_.zip" TargetMode="External"/><Relationship Id="rId1201" Type="http://schemas.openxmlformats.org/officeDocument/2006/relationships/hyperlink" Target="https://www.smwcentral.net/?a=details&amp;id=41387&amp;p=section" TargetMode="External"/><Relationship Id="rId4357" Type="http://schemas.openxmlformats.org/officeDocument/2006/relationships/hyperlink" Target="https://www.smwcentral.net/?a=details&amp;id=39689&amp;p=section" TargetMode="External"/><Relationship Id="rId4771" Type="http://schemas.openxmlformats.org/officeDocument/2006/relationships/hyperlink" Target="https://www.smwcentral.net/?a=details&amp;id=10064&amp;p=section" TargetMode="External"/><Relationship Id="rId5408" Type="http://schemas.openxmlformats.org/officeDocument/2006/relationships/hyperlink" Target="https://dl.smwcentral.net/4980/World%20of%20Illusion.zip" TargetMode="External"/><Relationship Id="rId3373" Type="http://schemas.openxmlformats.org/officeDocument/2006/relationships/hyperlink" Target="https://www.smwcentral.net/?a=details&amp;id=27282&amp;p=section" TargetMode="External"/><Relationship Id="rId4424" Type="http://schemas.openxmlformats.org/officeDocument/2006/relationships/hyperlink" Target="https://dl.smwcentral.net/40658/fish_plinko-1.5.zip" TargetMode="External"/><Relationship Id="rId294" Type="http://schemas.openxmlformats.org/officeDocument/2006/relationships/hyperlink" Target="https://dl.smwcentral.net/10059/GenSMWHackUnfinished.zip" TargetMode="External"/><Relationship Id="rId3026" Type="http://schemas.openxmlformats.org/officeDocument/2006/relationships/hyperlink" Target="https://dl.smwcentral.net/39086/Saphros_Blindrace_1.zip" TargetMode="External"/><Relationship Id="rId361" Type="http://schemas.openxmlformats.org/officeDocument/2006/relationships/hyperlink" Target="https://www.smwcentral.net/?a=details&amp;id=40535&amp;p=section" TargetMode="External"/><Relationship Id="rId2042" Type="http://schemas.openxmlformats.org/officeDocument/2006/relationships/hyperlink" Target="https://dl.smwcentral.net/23536/Mario%20Rescues%204th%20Of%20July.zip" TargetMode="External"/><Relationship Id="rId3440" Type="http://schemas.openxmlformats.org/officeDocument/2006/relationships/hyperlink" Target="https://dl.smwcentral.net/37921/Super%20Bulti%20World.zip" TargetMode="External"/><Relationship Id="rId5198" Type="http://schemas.openxmlformats.org/officeDocument/2006/relationships/hyperlink" Target="https://dl.smwcentral.net/29669/ukraine%20detroit.zip" TargetMode="External"/><Relationship Id="rId2859" Type="http://schemas.openxmlformats.org/officeDocument/2006/relationships/hyperlink" Target="https://www.smwcentral.net/?a=details&amp;id=11350&amp;p=section" TargetMode="External"/><Relationship Id="rId5265" Type="http://schemas.openxmlformats.org/officeDocument/2006/relationships/hyperlink" Target="https://www.smwcentral.net/?a=details&amp;id=41548&amp;p=section" TargetMode="External"/><Relationship Id="rId1875" Type="http://schemas.openxmlformats.org/officeDocument/2006/relationships/hyperlink" Target="https://www.smwcentral.net/?a=details&amp;id=10098&amp;p=section" TargetMode="External"/><Relationship Id="rId4281" Type="http://schemas.openxmlformats.org/officeDocument/2006/relationships/hyperlink" Target="https://www.smwcentral.net/?a=details&amp;id=9820&amp;p=section" TargetMode="External"/><Relationship Id="rId5332" Type="http://schemas.openxmlformats.org/officeDocument/2006/relationships/hyperlink" Target="https://dl.smwcentral.net/10259/Wall%20Mario%201%20%28Demo%201%29.zip" TargetMode="External"/><Relationship Id="rId1528" Type="http://schemas.openxmlformats.org/officeDocument/2006/relationships/hyperlink" Target="https://dl.smwcentral.net/38472/Kaizo%20Beats%20vol%203.zip" TargetMode="External"/><Relationship Id="rId2926" Type="http://schemas.openxmlformats.org/officeDocument/2006/relationships/hyperlink" Target="https://dl.smwcentral.net/41191/Replica.zip" TargetMode="External"/><Relationship Id="rId1942" Type="http://schemas.openxmlformats.org/officeDocument/2006/relationships/hyperlink" Target="https://dl.smwcentral.net/10282/Mario%20goes%20to%20the%20Adventure%20Park.zip" TargetMode="External"/><Relationship Id="rId4001" Type="http://schemas.openxmlformats.org/officeDocument/2006/relationships/hyperlink" Target="https://www.smwcentral.net/?a=details&amp;id=10166&amp;p=section" TargetMode="External"/><Relationship Id="rId3767" Type="http://schemas.openxmlformats.org/officeDocument/2006/relationships/hyperlink" Target="https://www.smwcentral.net/?a=details&amp;id=37334&amp;p=section" TargetMode="External"/><Relationship Id="rId4818" Type="http://schemas.openxmlformats.org/officeDocument/2006/relationships/hyperlink" Target="https://dl.smwcentral.net/34298/The%20Great%20Search.zip" TargetMode="External"/><Relationship Id="rId688" Type="http://schemas.openxmlformats.org/officeDocument/2006/relationships/hyperlink" Target="https://dl.smwcentral.net/14831/CP.zip" TargetMode="External"/><Relationship Id="rId2369" Type="http://schemas.openxmlformats.org/officeDocument/2006/relationships/hyperlink" Target="https://www.smwcentral.net/?a=details&amp;id=38002&amp;p=section" TargetMode="External"/><Relationship Id="rId2783" Type="http://schemas.openxmlformats.org/officeDocument/2006/relationships/hyperlink" Target="https://www.smwcentral.net/?a=details&amp;id=34061&amp;p=section" TargetMode="External"/><Relationship Id="rId3834" Type="http://schemas.openxmlformats.org/officeDocument/2006/relationships/hyperlink" Target="https://dl.smwcentral.net/9822/Super%20Mario%20Cosmos.zip" TargetMode="External"/><Relationship Id="rId755" Type="http://schemas.openxmlformats.org/officeDocument/2006/relationships/hyperlink" Target="https://www.smwcentral.net/?a=details&amp;id=38657&amp;p=section" TargetMode="External"/><Relationship Id="rId1385" Type="http://schemas.openxmlformats.org/officeDocument/2006/relationships/hyperlink" Target="https://www.smwcentral.net/?a=details&amp;id=34720&amp;p=section" TargetMode="External"/><Relationship Id="rId2436" Type="http://schemas.openxmlformats.org/officeDocument/2006/relationships/hyperlink" Target="https://dl.smwcentral.net/12920/My%20little%20Puzzles%20-%20The%20Road%20to%20Wisdom%20v1.1.zip" TargetMode="External"/><Relationship Id="rId2850" Type="http://schemas.openxmlformats.org/officeDocument/2006/relationships/hyperlink" Target="https://dl.smwcentral.net/16709/ProjectL.zip" TargetMode="External"/><Relationship Id="rId91" Type="http://schemas.openxmlformats.org/officeDocument/2006/relationships/hyperlink" Target="https://www.smwcentral.net/?a=details&amp;id=28957&amp;p=section" TargetMode="External"/><Relationship Id="rId408" Type="http://schemas.openxmlformats.org/officeDocument/2006/relationships/hyperlink" Target="https://dl.smwcentral.net/40437/BeautifulNotSoDangerous_v1.0%20.zip" TargetMode="External"/><Relationship Id="rId822" Type="http://schemas.openxmlformats.org/officeDocument/2006/relationships/hyperlink" Target="https://dl.smwcentral.net/14329/DMQ.zip" TargetMode="External"/><Relationship Id="rId1038" Type="http://schemas.openxmlformats.org/officeDocument/2006/relationships/hyperlink" Target="https://dl.smwcentral.net/28771/EZ%20Kaizo%201.0.zip" TargetMode="External"/><Relationship Id="rId1452" Type="http://schemas.openxmlformats.org/officeDocument/2006/relationships/hyperlink" Target="https://dl.smwcentral.net/38765/Jigoku%20Mario%20World%203.zip" TargetMode="External"/><Relationship Id="rId2503" Type="http://schemas.openxmlformats.org/officeDocument/2006/relationships/hyperlink" Target="https://www.smwcentral.net/?a=details&amp;id=35115&amp;p=section" TargetMode="External"/><Relationship Id="rId3901" Type="http://schemas.openxmlformats.org/officeDocument/2006/relationships/hyperlink" Target="https://www.smwcentral.net/?a=details&amp;id=10260&amp;p=section" TargetMode="External"/><Relationship Id="rId1105" Type="http://schemas.openxmlformats.org/officeDocument/2006/relationships/hyperlink" Target="https://www.smwcentral.net/?a=details&amp;id=9819&amp;p=section" TargetMode="External"/><Relationship Id="rId3277" Type="http://schemas.openxmlformats.org/officeDocument/2006/relationships/hyperlink" Target="https://www.smwcentral.net/?a=details&amp;id=5275&amp;p=section" TargetMode="External"/><Relationship Id="rId4675" Type="http://schemas.openxmlformats.org/officeDocument/2006/relationships/hyperlink" Target="https://www.smwcentral.net/?a=details&amp;id=37971&amp;p=section" TargetMode="External"/><Relationship Id="rId198" Type="http://schemas.openxmlformats.org/officeDocument/2006/relationships/hyperlink" Target="https://dl.smwcentral.net/10546/A%20Vanilla%20Level%20v1.4.zip" TargetMode="External"/><Relationship Id="rId3691" Type="http://schemas.openxmlformats.org/officeDocument/2006/relationships/hyperlink" Target="https://www.smwcentral.net/?a=details&amp;id=17104&amp;p=section" TargetMode="External"/><Relationship Id="rId4328" Type="http://schemas.openxmlformats.org/officeDocument/2006/relationships/hyperlink" Target="https://dl.smwcentral.net/25332/super_mio_world.zip" TargetMode="External"/><Relationship Id="rId4742" Type="http://schemas.openxmlformats.org/officeDocument/2006/relationships/hyperlink" Target="https://dl.smwcentral.net/10557/TheCoinHunt_v1.zip" TargetMode="External"/><Relationship Id="rId2293" Type="http://schemas.openxmlformats.org/officeDocument/2006/relationships/hyperlink" Target="https://www.smwcentral.net/?a=details&amp;id=9928&amp;p=section" TargetMode="External"/><Relationship Id="rId3344" Type="http://schemas.openxmlformats.org/officeDocument/2006/relationships/hyperlink" Target="https://dl.smwcentral.net/38560/SRE%20X.zip" TargetMode="External"/><Relationship Id="rId265" Type="http://schemas.openxmlformats.org/officeDocument/2006/relationships/hyperlink" Target="https://www.smwcentral.net/?a=details&amp;id=14727&amp;p=section" TargetMode="External"/><Relationship Id="rId2360" Type="http://schemas.openxmlformats.org/officeDocument/2006/relationships/hyperlink" Target="https://dl.smwcentral.net/27264/miku.zip" TargetMode="External"/><Relationship Id="rId3411" Type="http://schemas.openxmlformats.org/officeDocument/2006/relationships/hyperlink" Target="https://www.smwcentral.net/?a=details&amp;id=19706&amp;p=section" TargetMode="External"/><Relationship Id="rId332" Type="http://schemas.openxmlformats.org/officeDocument/2006/relationships/hyperlink" Target="https://dl.smwcentral.net/9926/Archipelago%20of%20Truth%20Collection.zip" TargetMode="External"/><Relationship Id="rId2013" Type="http://schemas.openxmlformats.org/officeDocument/2006/relationships/hyperlink" Target="https://www.smwcentral.net/?a=details&amp;id=18257&amp;p=section" TargetMode="External"/><Relationship Id="rId5169" Type="http://schemas.openxmlformats.org/officeDocument/2006/relationships/hyperlink" Target="https://www.smwcentral.net/?a=details&amp;id=16080&amp;p=section" TargetMode="External"/><Relationship Id="rId4185" Type="http://schemas.openxmlformats.org/officeDocument/2006/relationships/hyperlink" Target="https://www.smwcentral.net/?a=details&amp;id=5446&amp;p=section" TargetMode="External"/><Relationship Id="rId5236" Type="http://schemas.openxmlformats.org/officeDocument/2006/relationships/hyperlink" Target="https://dl.smwcentral.net/25406/UnintendedBehavior.zip" TargetMode="External"/><Relationship Id="rId1779" Type="http://schemas.openxmlformats.org/officeDocument/2006/relationships/hyperlink" Target="https://www.smwcentral.net/?a=details&amp;id=16689&amp;p=section" TargetMode="External"/><Relationship Id="rId4252" Type="http://schemas.openxmlformats.org/officeDocument/2006/relationships/hyperlink" Target="https://dl.smwcentral.net/5023/smiha.zip" TargetMode="External"/><Relationship Id="rId1846" Type="http://schemas.openxmlformats.org/officeDocument/2006/relationships/hyperlink" Target="https://dl.smwcentral.net/9856/M%26L%20Adventures.zip" TargetMode="External"/><Relationship Id="rId5303" Type="http://schemas.openxmlformats.org/officeDocument/2006/relationships/hyperlink" Target="https://www.smwcentral.net/?a=details&amp;id=10005&amp;p=section" TargetMode="External"/><Relationship Id="rId1913" Type="http://schemas.openxmlformats.org/officeDocument/2006/relationships/hyperlink" Target="https://www.smwcentral.net/?a=details&amp;id=9971&amp;p=section" TargetMode="External"/><Relationship Id="rId2687" Type="http://schemas.openxmlformats.org/officeDocument/2006/relationships/hyperlink" Target="https://www.smwcentral.net/?a=details&amp;id=33078&amp;p=section" TargetMode="External"/><Relationship Id="rId3738" Type="http://schemas.openxmlformats.org/officeDocument/2006/relationships/hyperlink" Target="https://dl.smwcentral.net/41602/SMAR2%20%28Demo%29.zip" TargetMode="External"/><Relationship Id="rId5093" Type="http://schemas.openxmlformats.org/officeDocument/2006/relationships/hyperlink" Target="https://www.smwcentral.net/?a=details&amp;id=28247&amp;p=section" TargetMode="External"/><Relationship Id="rId659" Type="http://schemas.openxmlformats.org/officeDocument/2006/relationships/hyperlink" Target="https://www.smwcentral.net/?a=details&amp;id=30753&amp;p=section" TargetMode="External"/><Relationship Id="rId1289" Type="http://schemas.openxmlformats.org/officeDocument/2006/relationships/hyperlink" Target="https://www.smwcentral.net/?a=details&amp;id=31460&amp;p=section" TargetMode="External"/><Relationship Id="rId5160" Type="http://schemas.openxmlformats.org/officeDocument/2006/relationships/hyperlink" Target="https://dl.smwcentral.net/32042/TowerOfShells2TrueInsanity.zip" TargetMode="External"/><Relationship Id="rId1356" Type="http://schemas.openxmlformats.org/officeDocument/2006/relationships/hyperlink" Target="https://dl.smwcentral.net/12916/I%20Come%20In%20Peace.zip" TargetMode="External"/><Relationship Id="rId2754" Type="http://schemas.openxmlformats.org/officeDocument/2006/relationships/hyperlink" Target="https://dl.smwcentral.net/14791/Phenomenal%20Mario%20World%20Demo.zip" TargetMode="External"/><Relationship Id="rId3805" Type="http://schemas.openxmlformats.org/officeDocument/2006/relationships/hyperlink" Target="https://www.smwcentral.net/?a=details&amp;id=11063&amp;p=section" TargetMode="External"/><Relationship Id="rId726" Type="http://schemas.openxmlformats.org/officeDocument/2006/relationships/hyperlink" Target="https://dl.smwcentral.net/12725/COLORS%202.zip" TargetMode="External"/><Relationship Id="rId1009" Type="http://schemas.openxmlformats.org/officeDocument/2006/relationships/hyperlink" Target="https://www.smwcentral.net/?a=details&amp;id=40892&amp;p=section" TargetMode="External"/><Relationship Id="rId1770" Type="http://schemas.openxmlformats.org/officeDocument/2006/relationships/hyperlink" Target="https://dl.smwcentral.net/34399/ladv_ose_v131.zip" TargetMode="External"/><Relationship Id="rId2407" Type="http://schemas.openxmlformats.org/officeDocument/2006/relationships/hyperlink" Target="https://www.smwcentral.net/?a=details&amp;id=42537&amp;p=section" TargetMode="External"/><Relationship Id="rId2821" Type="http://schemas.openxmlformats.org/officeDocument/2006/relationships/hyperlink" Target="https://www.smwcentral.net/?a=details&amp;id=24866&amp;p=section" TargetMode="External"/><Relationship Id="rId62" Type="http://schemas.openxmlformats.org/officeDocument/2006/relationships/hyperlink" Target="https://dl.smwcentral.net/39505/balderdash.zip" TargetMode="External"/><Relationship Id="rId1423" Type="http://schemas.openxmlformats.org/officeDocument/2006/relationships/hyperlink" Target="https://www.smwcentral.net/?a=details&amp;id=18238&amp;p=section" TargetMode="External"/><Relationship Id="rId4579" Type="http://schemas.openxmlformats.org/officeDocument/2006/relationships/hyperlink" Target="https://www.smwcentral.net/?a=details&amp;id=28837&amp;p=section" TargetMode="External"/><Relationship Id="rId4993" Type="http://schemas.openxmlformats.org/officeDocument/2006/relationships/hyperlink" Target="https://www.smwcentral.net/?a=details&amp;id=9992&amp;p=section" TargetMode="External"/><Relationship Id="rId3595" Type="http://schemas.openxmlformats.org/officeDocument/2006/relationships/hyperlink" Target="https://www.smwcentral.net/?a=details&amp;id=24299&amp;p=section" TargetMode="External"/><Relationship Id="rId4646" Type="http://schemas.openxmlformats.org/officeDocument/2006/relationships/hyperlink" Target="https://dl.smwcentral.net/39548/%5BHack%5D%20TE%27S%20EXO%20%28v1.01%29.zip" TargetMode="External"/><Relationship Id="rId2197" Type="http://schemas.openxmlformats.org/officeDocument/2006/relationships/hyperlink" Target="https://www.smwcentral.net/?a=details&amp;id=10217&amp;p=section" TargetMode="External"/><Relationship Id="rId3248" Type="http://schemas.openxmlformats.org/officeDocument/2006/relationships/hyperlink" Target="https://dl.smwcentral.net/32461/Chaotic%20Adventure%201.1.zip" TargetMode="External"/><Relationship Id="rId3662" Type="http://schemas.openxmlformats.org/officeDocument/2006/relationships/hyperlink" Target="https://dl.smwcentral.net/15639/SLA.zip" TargetMode="External"/><Relationship Id="rId4713" Type="http://schemas.openxmlformats.org/officeDocument/2006/relationships/hyperlink" Target="https://www.smwcentral.net/?a=details&amp;id=10195&amp;p=section" TargetMode="External"/><Relationship Id="rId169" Type="http://schemas.openxmlformats.org/officeDocument/2006/relationships/hyperlink" Target="https://www.smwcentral.net/?a=details&amp;id=10089&amp;p=section" TargetMode="External"/><Relationship Id="rId583" Type="http://schemas.openxmlformats.org/officeDocument/2006/relationships/hyperlink" Target="https://www.smwcentral.net/?a=details&amp;id=9267&amp;p=section" TargetMode="External"/><Relationship Id="rId2264" Type="http://schemas.openxmlformats.org/officeDocument/2006/relationships/hyperlink" Target="https://dl.smwcentral.net/5422/Mario%27s%20Walk%20Home.zip" TargetMode="External"/><Relationship Id="rId3315" Type="http://schemas.openxmlformats.org/officeDocument/2006/relationships/hyperlink" Target="https://www.smwcentral.net/?a=details&amp;id=41529&amp;p=section" TargetMode="External"/><Relationship Id="rId236" Type="http://schemas.openxmlformats.org/officeDocument/2006/relationships/hyperlink" Target="https://dl.smwcentral.net/9742/Adventure%20of%20the%20red%20plumber.zip" TargetMode="External"/><Relationship Id="rId650" Type="http://schemas.openxmlformats.org/officeDocument/2006/relationships/hyperlink" Target="https://dl.smwcentral.net/9680/chaoscomplexx.zip" TargetMode="External"/><Relationship Id="rId1280" Type="http://schemas.openxmlformats.org/officeDocument/2006/relationships/hyperlink" Target="https://dl.smwcentral.net/41546/Halo%2014%20-%20Definitive%20Edition.zip" TargetMode="External"/><Relationship Id="rId2331" Type="http://schemas.openxmlformats.org/officeDocument/2006/relationships/hyperlink" Target="https://www.smwcentral.net/?a=details&amp;id=17688&amp;p=section" TargetMode="External"/><Relationship Id="rId5487" Type="http://schemas.openxmlformats.org/officeDocument/2006/relationships/hyperlink" Target="https://www.smwcentral.net/?a=details&amp;id=35050&amp;p=section" TargetMode="External"/><Relationship Id="rId303" Type="http://schemas.openxmlformats.org/officeDocument/2006/relationships/hyperlink" Target="https://www.smwcentral.net/?a=details&amp;id=15076&amp;p=section" TargetMode="External"/><Relationship Id="rId4089" Type="http://schemas.openxmlformats.org/officeDocument/2006/relationships/hyperlink" Target="https://www.smwcentral.net/?a=details&amp;id=29698&amp;p=section" TargetMode="External"/><Relationship Id="rId1000" Type="http://schemas.openxmlformats.org/officeDocument/2006/relationships/hyperlink" Target="https://dl.smwcentral.net/5499/Euphoria%20Isle.zip" TargetMode="External"/><Relationship Id="rId4156" Type="http://schemas.openxmlformats.org/officeDocument/2006/relationships/hyperlink" Target="https://dl.smwcentral.net/9792/SMW%20Glitch%20Land%20-%20Demo%201.zip" TargetMode="External"/><Relationship Id="rId4570" Type="http://schemas.openxmlformats.org/officeDocument/2006/relationships/hyperlink" Target="https://dl.smwcentral.net/39555/SuperWhateverQuest1_1.zip" TargetMode="External"/><Relationship Id="rId5207" Type="http://schemas.openxmlformats.org/officeDocument/2006/relationships/hyperlink" Target="https://www.smwcentral.net/?a=details&amp;id=18664&amp;p=section" TargetMode="External"/><Relationship Id="rId1817" Type="http://schemas.openxmlformats.org/officeDocument/2006/relationships/hyperlink" Target="https://www.smwcentral.net/?a=details&amp;id=33600&amp;p=section" TargetMode="External"/><Relationship Id="rId3172" Type="http://schemas.openxmlformats.org/officeDocument/2006/relationships/hyperlink" Target="https://dl.smwcentral.net/34478/singlelevelcollab.zip" TargetMode="External"/><Relationship Id="rId4223" Type="http://schemas.openxmlformats.org/officeDocument/2006/relationships/hyperlink" Target="https://www.smwcentral.net/?a=details&amp;id=28693&amp;p=section" TargetMode="External"/><Relationship Id="rId160" Type="http://schemas.openxmlformats.org/officeDocument/2006/relationships/hyperlink" Target="https://dl.smwcentral.net/38269/A%20Semi-Normal%20Castle%20v1.2.1.zip" TargetMode="External"/><Relationship Id="rId3989" Type="http://schemas.openxmlformats.org/officeDocument/2006/relationships/hyperlink" Target="https://www.smwcentral.net/?a=details&amp;id=16452&amp;p=section" TargetMode="External"/><Relationship Id="rId5064" Type="http://schemas.openxmlformats.org/officeDocument/2006/relationships/hyperlink" Target="https://dl.smwcentral.net/33796/this%20hack%20needs%20a%20name.zip" TargetMode="External"/><Relationship Id="rId977" Type="http://schemas.openxmlformats.org/officeDocument/2006/relationships/hyperlink" Target="https://www.smwcentral.net/?a=details&amp;id=29699&amp;p=section" TargetMode="External"/><Relationship Id="rId2658" Type="http://schemas.openxmlformats.org/officeDocument/2006/relationships/hyperlink" Target="https://dl.smwcentral.net/40252/ONE.zip" TargetMode="External"/><Relationship Id="rId3709" Type="http://schemas.openxmlformats.org/officeDocument/2006/relationships/hyperlink" Target="https://www.smwcentral.net/?a=details&amp;id=6068&amp;p=section" TargetMode="External"/><Relationship Id="rId4080" Type="http://schemas.openxmlformats.org/officeDocument/2006/relationships/hyperlink" Target="https://dl.smwcentral.net/9832/Super%20Mario%20World%20Master%20Quest%201.zip" TargetMode="External"/><Relationship Id="rId1674" Type="http://schemas.openxmlformats.org/officeDocument/2006/relationships/hyperlink" Target="https://dl.smwcentral.net/42361/Learn2Kaizo%20v1.1.zip" TargetMode="External"/><Relationship Id="rId2725" Type="http://schemas.openxmlformats.org/officeDocument/2006/relationships/hyperlink" Target="https://www.smwcentral.net/?a=details&amp;id=34888&amp;p=section" TargetMode="External"/><Relationship Id="rId5131" Type="http://schemas.openxmlformats.org/officeDocument/2006/relationships/hyperlink" Target="https://www.smwcentral.net/?a=details&amp;id=25030&amp;p=section" TargetMode="External"/><Relationship Id="rId1327" Type="http://schemas.openxmlformats.org/officeDocument/2006/relationships/hyperlink" Target="https://www.smwcentral.net/?a=details&amp;id=28688&amp;p=section" TargetMode="External"/><Relationship Id="rId1741" Type="http://schemas.openxmlformats.org/officeDocument/2006/relationships/hyperlink" Target="https://www.smwcentral.net/?a=details&amp;id=15632&amp;p=section" TargetMode="External"/><Relationship Id="rId4897" Type="http://schemas.openxmlformats.org/officeDocument/2006/relationships/hyperlink" Target="https://www.smwcentral.net/?a=details&amp;id=30156&amp;p=section" TargetMode="External"/><Relationship Id="rId33" Type="http://schemas.openxmlformats.org/officeDocument/2006/relationships/hyperlink" Target="https://www.smwcentral.net/?a=details&amp;id=38065&amp;p=section" TargetMode="External"/><Relationship Id="rId3499" Type="http://schemas.openxmlformats.org/officeDocument/2006/relationships/hyperlink" Target="https://www.smwcentral.net/?a=details&amp;id=29568&amp;p=section" TargetMode="External"/><Relationship Id="rId3566" Type="http://schemas.openxmlformats.org/officeDocument/2006/relationships/hyperlink" Target="https://dl.smwcentral.net/23156/Super%20Godly%20Worl%2069.zip" TargetMode="External"/><Relationship Id="rId4964" Type="http://schemas.openxmlformats.org/officeDocument/2006/relationships/hyperlink" Target="https://dl.smwcentral.net/29606/The%20Rock%20n%20Roll%20Mario%20Show%20Set%20Two%20v1.1.zip" TargetMode="External"/><Relationship Id="rId487" Type="http://schemas.openxmlformats.org/officeDocument/2006/relationships/hyperlink" Target="https://www.smwcentral.net/?a=details&amp;id=10199&amp;p=section" TargetMode="External"/><Relationship Id="rId2168" Type="http://schemas.openxmlformats.org/officeDocument/2006/relationships/hyperlink" Target="https://dl.smwcentral.net/5573/MIE.zip" TargetMode="External"/><Relationship Id="rId3219" Type="http://schemas.openxmlformats.org/officeDocument/2006/relationships/hyperlink" Target="https://www.smwcentral.net/?a=details&amp;id=28851&amp;p=section" TargetMode="External"/><Relationship Id="rId3980" Type="http://schemas.openxmlformats.org/officeDocument/2006/relationships/hyperlink" Target="https://dl.smwcentral.net/9817/Super%20Mario%20Universe%20II%20-%20The%20Adventure%20Resumes.zip" TargetMode="External"/><Relationship Id="rId4617" Type="http://schemas.openxmlformats.org/officeDocument/2006/relationships/hyperlink" Target="https://www.smwcentral.net/?a=details&amp;id=33640&amp;p=section" TargetMode="External"/><Relationship Id="rId1184" Type="http://schemas.openxmlformats.org/officeDocument/2006/relationships/hyperlink" Target="https://dl.smwcentral.net/16406/GP%20v1.1.zip" TargetMode="External"/><Relationship Id="rId2582" Type="http://schemas.openxmlformats.org/officeDocument/2006/relationships/hyperlink" Target="https://dl.smwcentral.net/41388/NinjiBurstV1.5.zip" TargetMode="External"/><Relationship Id="rId3633" Type="http://schemas.openxmlformats.org/officeDocument/2006/relationships/hyperlink" Target="https://www.smwcentral.net/?a=details&amp;id=16700&amp;p=section" TargetMode="External"/><Relationship Id="rId554" Type="http://schemas.openxmlformats.org/officeDocument/2006/relationships/hyperlink" Target="https://dl.smwcentral.net/39595/Brutal%20Bunny%20%28SMW%29.zip" TargetMode="External"/><Relationship Id="rId2235" Type="http://schemas.openxmlformats.org/officeDocument/2006/relationships/hyperlink" Target="https://www.smwcentral.net/?a=details&amp;id=10079&amp;p=section" TargetMode="External"/><Relationship Id="rId3700" Type="http://schemas.openxmlformats.org/officeDocument/2006/relationships/hyperlink" Target="https://dl.smwcentral.net/5150/supermario.zip" TargetMode="External"/><Relationship Id="rId207" Type="http://schemas.openxmlformats.org/officeDocument/2006/relationships/hyperlink" Target="https://www.smwcentral.net/?a=details&amp;id=10209&amp;p=section" TargetMode="External"/><Relationship Id="rId621" Type="http://schemas.openxmlformats.org/officeDocument/2006/relationships/hyperlink" Target="https://www.smwcentral.net/?a=details&amp;id=10063&amp;p=section" TargetMode="External"/><Relationship Id="rId1251" Type="http://schemas.openxmlformats.org/officeDocument/2006/relationships/hyperlink" Target="https://www.smwcentral.net/?a=details&amp;id=40619&amp;p=section" TargetMode="External"/><Relationship Id="rId2302" Type="http://schemas.openxmlformats.org/officeDocument/2006/relationships/hyperlink" Target="https://dl.smwcentral.net/39933/Marisa%20and%20Reimu%27s%20Hack%202.zip" TargetMode="External"/><Relationship Id="rId5458" Type="http://schemas.openxmlformats.org/officeDocument/2006/relationships/hyperlink" Target="https://dl.smwcentral.net/36719/Yoshisrescuerun1.2%20%282%29.zip" TargetMode="External"/><Relationship Id="rId4474" Type="http://schemas.openxmlformats.org/officeDocument/2006/relationships/hyperlink" Target="https://dl.smwcentral.net/26747/SSGESRs2.zip" TargetMode="External"/><Relationship Id="rId3076" Type="http://schemas.openxmlformats.org/officeDocument/2006/relationships/hyperlink" Target="https://dl.smwcentral.net/29776/sheffy%2099%20v1.1.zip" TargetMode="External"/><Relationship Id="rId3490" Type="http://schemas.openxmlformats.org/officeDocument/2006/relationships/hyperlink" Target="https://dl.smwcentral.net/32346/Super%20Deboche%20World.zip" TargetMode="External"/><Relationship Id="rId4127" Type="http://schemas.openxmlformats.org/officeDocument/2006/relationships/hyperlink" Target="https://www.smwcentral.net/?a=details&amp;id=28619&amp;p=section" TargetMode="External"/><Relationship Id="rId4541" Type="http://schemas.openxmlformats.org/officeDocument/2006/relationships/hyperlink" Target="https://www.smwcentral.net/?a=details&amp;id=35795&amp;p=section" TargetMode="External"/><Relationship Id="rId2092" Type="http://schemas.openxmlformats.org/officeDocument/2006/relationships/hyperlink" Target="https://dl.smwcentral.net/11616/Mario%20vs%20Sonic%20v6.zip" TargetMode="External"/><Relationship Id="rId3143" Type="http://schemas.openxmlformats.org/officeDocument/2006/relationships/hyperlink" Target="https://www.smwcentral.net/?a=details&amp;id=25911&amp;p=section" TargetMode="External"/><Relationship Id="rId131" Type="http://schemas.openxmlformats.org/officeDocument/2006/relationships/hyperlink" Target="https://www.smwcentral.net/?a=details&amp;id=10014&amp;p=section" TargetMode="External"/><Relationship Id="rId3210" Type="http://schemas.openxmlformats.org/officeDocument/2006/relationships/hyperlink" Target="https://dl.smwcentral.net/9440/SMW%20La%20Nouvelle%20Vague.zip" TargetMode="External"/><Relationship Id="rId2976" Type="http://schemas.openxmlformats.org/officeDocument/2006/relationships/hyperlink" Target="https://dl.smwcentral.net/19683/RHRS1.zip" TargetMode="External"/><Relationship Id="rId5382" Type="http://schemas.openxmlformats.org/officeDocument/2006/relationships/hyperlink" Target="https://dl.smwcentral.net/10021/What%20the...%20Hack.zip" TargetMode="External"/><Relationship Id="rId948" Type="http://schemas.openxmlformats.org/officeDocument/2006/relationships/hyperlink" Target="https://dl.smwcentral.net/41895/echoesto%20topia.zip" TargetMode="External"/><Relationship Id="rId1578" Type="http://schemas.openxmlformats.org/officeDocument/2006/relationships/hyperlink" Target="https://dl.smwcentral.net/21546/patch.zip" TargetMode="External"/><Relationship Id="rId1992" Type="http://schemas.openxmlformats.org/officeDocument/2006/relationships/hyperlink" Target="https://dl.smwcentral.net/10197/Alt%20Mario%20is%20Missing%202.zip" TargetMode="External"/><Relationship Id="rId2629" Type="http://schemas.openxmlformats.org/officeDocument/2006/relationships/hyperlink" Target="https://www.smwcentral.net/?a=details&amp;id=29614&amp;p=section" TargetMode="External"/><Relationship Id="rId5035" Type="http://schemas.openxmlformats.org/officeDocument/2006/relationships/hyperlink" Target="https://www.smwcentral.net/?a=details&amp;id=23816&amp;p=section" TargetMode="External"/><Relationship Id="rId1645" Type="http://schemas.openxmlformats.org/officeDocument/2006/relationships/hyperlink" Target="https://www.smwcentral.net/?a=details&amp;id=37671&amp;p=section" TargetMode="External"/><Relationship Id="rId4051" Type="http://schemas.openxmlformats.org/officeDocument/2006/relationships/hyperlink" Target="https://www.smwcentral.net/?a=details&amp;id=24029&amp;p=section" TargetMode="External"/><Relationship Id="rId5102" Type="http://schemas.openxmlformats.org/officeDocument/2006/relationships/hyperlink" Target="https://dl.smwcentral.net/30607/TmD.zip" TargetMode="External"/><Relationship Id="rId1712" Type="http://schemas.openxmlformats.org/officeDocument/2006/relationships/hyperlink" Target="https://dl.smwcentral.net/33042/Linnaea.zip" TargetMode="External"/><Relationship Id="rId4868" Type="http://schemas.openxmlformats.org/officeDocument/2006/relationships/hyperlink" Target="https://dl.smwcentral.net/29774/The%20Legend%20of%20Zelda%20-%20The%20Mini%20Quest.zip" TargetMode="External"/><Relationship Id="rId3884" Type="http://schemas.openxmlformats.org/officeDocument/2006/relationships/hyperlink" Target="https://dl.smwcentral.net/5000/yoshi_heaven.zip" TargetMode="External"/><Relationship Id="rId4935" Type="http://schemas.openxmlformats.org/officeDocument/2006/relationships/hyperlink" Target="https://www.smwcentral.net/?a=details&amp;id=27443&amp;p=section" TargetMode="External"/><Relationship Id="rId2486" Type="http://schemas.openxmlformats.org/officeDocument/2006/relationships/hyperlink" Target="https://dl.smwcentral.net/15252/New%20Easter%20World%20W1%20DEMO.zip" TargetMode="External"/><Relationship Id="rId3537" Type="http://schemas.openxmlformats.org/officeDocument/2006/relationships/hyperlink" Target="https://www.smwcentral.net/?a=details&amp;id=18172&amp;p=section" TargetMode="External"/><Relationship Id="rId3951" Type="http://schemas.openxmlformats.org/officeDocument/2006/relationships/hyperlink" Target="https://www.smwcentral.net/?a=details&amp;id=10060&amp;p=section" TargetMode="External"/><Relationship Id="rId458" Type="http://schemas.openxmlformats.org/officeDocument/2006/relationships/hyperlink" Target="https://dl.smwcentral.net/39591/Bluerio%27s%20Adventure.zip" TargetMode="External"/><Relationship Id="rId872" Type="http://schemas.openxmlformats.org/officeDocument/2006/relationships/hyperlink" Target="https://dl.smwcentral.net/21689/domenyXChristmas.zip" TargetMode="External"/><Relationship Id="rId1088" Type="http://schemas.openxmlformats.org/officeDocument/2006/relationships/hyperlink" Target="https://dl.smwcentral.net/28063/Forgotten-Town.zip" TargetMode="External"/><Relationship Id="rId2139" Type="http://schemas.openxmlformats.org/officeDocument/2006/relationships/hyperlink" Target="https://www.smwcentral.net/?a=details&amp;id=39635&amp;p=section" TargetMode="External"/><Relationship Id="rId2553" Type="http://schemas.openxmlformats.org/officeDocument/2006/relationships/hyperlink" Target="https://www.smwcentral.net/?a=details&amp;id=27737&amp;p=section" TargetMode="External"/><Relationship Id="rId3604" Type="http://schemas.openxmlformats.org/officeDocument/2006/relationships/hyperlink" Target="https://dl.smwcentral.net/41099/IzToat%20World.zip" TargetMode="External"/><Relationship Id="rId525" Type="http://schemas.openxmlformats.org/officeDocument/2006/relationships/hyperlink" Target="https://www.smwcentral.net/?a=details&amp;id=35354&amp;p=section" TargetMode="External"/><Relationship Id="rId1155" Type="http://schemas.openxmlformats.org/officeDocument/2006/relationships/hyperlink" Target="https://www.smwcentral.net/?a=details&amp;id=32925&amp;p=section" TargetMode="External"/><Relationship Id="rId2206" Type="http://schemas.openxmlformats.org/officeDocument/2006/relationships/hyperlink" Target="https://dl.smwcentral.net/17452/MNOSE.zip" TargetMode="External"/><Relationship Id="rId2620" Type="http://schemas.openxmlformats.org/officeDocument/2006/relationships/hyperlink" Target="https://dl.smwcentral.net/37634/Nuatepra.zip" TargetMode="External"/><Relationship Id="rId1222" Type="http://schemas.openxmlformats.org/officeDocument/2006/relationships/hyperlink" Target="https://dl.smwcentral.net/25869/Hack%20-1.zip" TargetMode="External"/><Relationship Id="rId4378" Type="http://schemas.openxmlformats.org/officeDocument/2006/relationships/hyperlink" Target="https://dl.smwcentral.net/6965/SNW%20c3%20DEMO%201.zip" TargetMode="External"/><Relationship Id="rId5429" Type="http://schemas.openxmlformats.org/officeDocument/2006/relationships/hyperlink" Target="https://www.smwcentral.net/?a=details&amp;id=26899&amp;p=section" TargetMode="External"/><Relationship Id="rId3394" Type="http://schemas.openxmlformats.org/officeDocument/2006/relationships/hyperlink" Target="https://dl.smwcentral.net/35655/Summer.zip" TargetMode="External"/><Relationship Id="rId4792" Type="http://schemas.openxmlformats.org/officeDocument/2006/relationships/hyperlink" Target="https://dl.smwcentral.net/9935/The_Forgotten_Island.zip" TargetMode="External"/><Relationship Id="rId3047" Type="http://schemas.openxmlformats.org/officeDocument/2006/relationships/hyperlink" Target="https://www.smwcentral.net/?a=details&amp;id=37602&amp;p=section" TargetMode="External"/><Relationship Id="rId4445" Type="http://schemas.openxmlformats.org/officeDocument/2006/relationships/hyperlink" Target="https://www.smwcentral.net/?a=details&amp;id=21703&amp;p=section" TargetMode="External"/><Relationship Id="rId3461" Type="http://schemas.openxmlformats.org/officeDocument/2006/relationships/hyperlink" Target="https://www.smwcentral.net/?a=details&amp;id=13833&amp;p=section" TargetMode="External"/><Relationship Id="rId4512" Type="http://schemas.openxmlformats.org/officeDocument/2006/relationships/hyperlink" Target="https://dl.smwcentral.net/22141/Super%20Sweg%20World.zip" TargetMode="External"/><Relationship Id="rId382" Type="http://schemas.openxmlformats.org/officeDocument/2006/relationships/hyperlink" Target="https://dl.smwcentral.net/40622/BIM%21.zip" TargetMode="External"/><Relationship Id="rId2063" Type="http://schemas.openxmlformats.org/officeDocument/2006/relationships/hyperlink" Target="https://www.smwcentral.net/?a=details&amp;id=20687&amp;p=section" TargetMode="External"/><Relationship Id="rId3114" Type="http://schemas.openxmlformats.org/officeDocument/2006/relationships/hyperlink" Target="https://dl.smwcentral.net/41542/Shellshock%20V%201.3.zip" TargetMode="External"/><Relationship Id="rId2130" Type="http://schemas.openxmlformats.org/officeDocument/2006/relationships/hyperlink" Target="https://dl.smwcentral.net/27388/MariosBizarreAdventureDLC.zip" TargetMode="External"/><Relationship Id="rId5286" Type="http://schemas.openxmlformats.org/officeDocument/2006/relationships/hyperlink" Target="https://dl.smwcentral.net/28289/VanillaCraft.zip" TargetMode="External"/><Relationship Id="rId102" Type="http://schemas.openxmlformats.org/officeDocument/2006/relationships/hyperlink" Target="https://dl.smwcentral.net/31904/A%20FIP.zip" TargetMode="External"/><Relationship Id="rId5353" Type="http://schemas.openxmlformats.org/officeDocument/2006/relationships/hyperlink" Target="https://www.smwcentral.net/?a=details&amp;id=17731&amp;p=section" TargetMode="External"/><Relationship Id="rId1896" Type="http://schemas.openxmlformats.org/officeDocument/2006/relationships/hyperlink" Target="https://dl.smwcentral.net/9618/Mario%20and%20the%20parallel%20world%20%5B%20FR%20%5D.zip" TargetMode="External"/><Relationship Id="rId2947" Type="http://schemas.openxmlformats.org/officeDocument/2006/relationships/hyperlink" Target="https://www.smwcentral.net/?a=details&amp;id=40108&amp;p=section" TargetMode="External"/><Relationship Id="rId5006" Type="http://schemas.openxmlformats.org/officeDocument/2006/relationships/hyperlink" Target="https://dl.smwcentral.net/35279/pht.zip" TargetMode="External"/><Relationship Id="rId919" Type="http://schemas.openxmlformats.org/officeDocument/2006/relationships/hyperlink" Target="https://www.smwcentral.net/?a=details&amp;id=9978&amp;p=section" TargetMode="External"/><Relationship Id="rId1549" Type="http://schemas.openxmlformats.org/officeDocument/2006/relationships/hyperlink" Target="https://www.smwcentral.net/?a=details&amp;id=16058&amp;p=section" TargetMode="External"/><Relationship Id="rId1963" Type="http://schemas.openxmlformats.org/officeDocument/2006/relationships/hyperlink" Target="https://www.smwcentral.net/?a=details&amp;id=24685&amp;p=section" TargetMode="External"/><Relationship Id="rId4022" Type="http://schemas.openxmlformats.org/officeDocument/2006/relationships/hyperlink" Target="https://dl.smwcentral.net/16522/SMWTSOL.zip" TargetMode="External"/><Relationship Id="rId5420" Type="http://schemas.openxmlformats.org/officeDocument/2006/relationships/hyperlink" Target="https://dl.smwcentral.net/13765/Wrecking%20Crew%20%2798%20v1.3.zip" TargetMode="External"/><Relationship Id="rId1616" Type="http://schemas.openxmlformats.org/officeDocument/2006/relationships/hyperlink" Target="https://dl.smwcentral.net/33726/KR%20World.zip" TargetMode="External"/><Relationship Id="rId3788" Type="http://schemas.openxmlformats.org/officeDocument/2006/relationships/hyperlink" Target="https://dl.smwcentral.net/10171/SMB5Rv5.zip" TargetMode="External"/><Relationship Id="rId4839" Type="http://schemas.openxmlformats.org/officeDocument/2006/relationships/hyperlink" Target="https://www.smwcentral.net/?a=details&amp;id=14592&amp;p=section" TargetMode="External"/><Relationship Id="rId3855" Type="http://schemas.openxmlformats.org/officeDocument/2006/relationships/hyperlink" Target="https://www.smwcentral.net/?a=details&amp;id=27400&amp;p=section" TargetMode="External"/><Relationship Id="rId776" Type="http://schemas.openxmlformats.org/officeDocument/2006/relationships/hyperlink" Target="https://dl.smwcentral.net/31127/Cubes%20Kaizo%20World%203%20v1.2.zip" TargetMode="External"/><Relationship Id="rId2457" Type="http://schemas.openxmlformats.org/officeDocument/2006/relationships/hyperlink" Target="https://www.smwcentral.net/?a=details&amp;id=35753&amp;p=section" TargetMode="External"/><Relationship Id="rId3508" Type="http://schemas.openxmlformats.org/officeDocument/2006/relationships/hyperlink" Target="https://dl.smwcentral.net/41022/Super%20Dram%20World%203%20v1.3.zip" TargetMode="External"/><Relationship Id="rId4906" Type="http://schemas.openxmlformats.org/officeDocument/2006/relationships/hyperlink" Target="https://dl.smwcentral.net/9835/tMPHE.zip" TargetMode="External"/><Relationship Id="rId429" Type="http://schemas.openxmlformats.org/officeDocument/2006/relationships/hyperlink" Target="https://www.smwcentral.net/?a=details&amp;id=35070&amp;p=section" TargetMode="External"/><Relationship Id="rId1059" Type="http://schemas.openxmlformats.org/officeDocument/2006/relationships/hyperlink" Target="https://www.smwcentral.net/?a=details&amp;id=9807&amp;p=section" TargetMode="External"/><Relationship Id="rId1473" Type="http://schemas.openxmlformats.org/officeDocument/2006/relationships/hyperlink" Target="https://www.smwcentral.net/?a=details&amp;id=38474&amp;p=section" TargetMode="External"/><Relationship Id="rId2871" Type="http://schemas.openxmlformats.org/officeDocument/2006/relationships/hyperlink" Target="https://www.smwcentral.net/?a=details&amp;id=9795&amp;p=section" TargetMode="External"/><Relationship Id="rId3922" Type="http://schemas.openxmlformats.org/officeDocument/2006/relationships/hyperlink" Target="https://dl.smwcentral.net/4987/odyssey_v02.zip" TargetMode="External"/><Relationship Id="rId843" Type="http://schemas.openxmlformats.org/officeDocument/2006/relationships/hyperlink" Target="https://www.smwcentral.net/?a=details&amp;id=26493&amp;p=section" TargetMode="External"/><Relationship Id="rId1126" Type="http://schemas.openxmlformats.org/officeDocument/2006/relationships/hyperlink" Target="https://dl.smwcentral.net/41041/GADZOOKS.zip" TargetMode="External"/><Relationship Id="rId2524" Type="http://schemas.openxmlformats.org/officeDocument/2006/relationships/hyperlink" Target="https://dl.smwcentral.net/21541/New%20Super%20Mario%20World%202%20Around%20The%20World.zip" TargetMode="External"/><Relationship Id="rId910" Type="http://schemas.openxmlformats.org/officeDocument/2006/relationships/hyperlink" Target="https://dl.smwcentral.net/38795/Dreadshredder%20v1.01.zip" TargetMode="External"/><Relationship Id="rId1540" Type="http://schemas.openxmlformats.org/officeDocument/2006/relationships/hyperlink" Target="https://dl.smwcentral.net/21425/Kaizo%20Island.zip" TargetMode="External"/><Relationship Id="rId4696" Type="http://schemas.openxmlformats.org/officeDocument/2006/relationships/hyperlink" Target="https://dl.smwcentral.net/40281/4heroesforever.zip" TargetMode="External"/><Relationship Id="rId3298" Type="http://schemas.openxmlformats.org/officeDocument/2006/relationships/hyperlink" Target="https://dl.smwcentral.net/39188/Sonic%20in%20a%20Kaizo%20World.zip" TargetMode="External"/><Relationship Id="rId4349" Type="http://schemas.openxmlformats.org/officeDocument/2006/relationships/hyperlink" Target="https://www.smwcentral.net/?a=details&amp;id=25559&amp;p=section" TargetMode="External"/><Relationship Id="rId4763" Type="http://schemas.openxmlformats.org/officeDocument/2006/relationships/hyperlink" Target="https://www.smwcentral.net/?a=details&amp;id=5161&amp;p=section" TargetMode="External"/><Relationship Id="rId3365" Type="http://schemas.openxmlformats.org/officeDocument/2006/relationships/hyperlink" Target="https://www.smwcentral.net/?a=details&amp;id=33561&amp;p=section" TargetMode="External"/><Relationship Id="rId4416" Type="http://schemas.openxmlformats.org/officeDocument/2006/relationships/hyperlink" Target="https://dl.smwcentral.net/6351/SpluC_FINAL4.3.zip" TargetMode="External"/><Relationship Id="rId4830" Type="http://schemas.openxmlformats.org/officeDocument/2006/relationships/hyperlink" Target="https://dl.smwcentral.net/5588/THOCDEMOFIXED.zip" TargetMode="External"/><Relationship Id="rId286" Type="http://schemas.openxmlformats.org/officeDocument/2006/relationships/hyperlink" Target="https://dl.smwcentral.net/27829/Anita%20Kaizo%20Land%20V1.1.zip" TargetMode="External"/><Relationship Id="rId2381" Type="http://schemas.openxmlformats.org/officeDocument/2006/relationships/hyperlink" Target="https://www.smwcentral.net/?a=details&amp;id=34095&amp;p=section" TargetMode="External"/><Relationship Id="rId3018" Type="http://schemas.openxmlformats.org/officeDocument/2006/relationships/hyperlink" Target="https://dl.smwcentral.net/42274/Sakaya%20Sanctuary%201.2.zip" TargetMode="External"/><Relationship Id="rId3432" Type="http://schemas.openxmlformats.org/officeDocument/2006/relationships/hyperlink" Target="https://dl.smwcentral.net/9642/SuperBlooperDemo1.zip" TargetMode="External"/><Relationship Id="rId353" Type="http://schemas.openxmlformats.org/officeDocument/2006/relationships/hyperlink" Target="https://www.smwcentral.net/?a=details&amp;id=38595&amp;p=section" TargetMode="External"/><Relationship Id="rId2034" Type="http://schemas.openxmlformats.org/officeDocument/2006/relationships/hyperlink" Target="https://dl.smwcentral.net/9946/Icemario.zip" TargetMode="External"/><Relationship Id="rId420" Type="http://schemas.openxmlformats.org/officeDocument/2006/relationships/hyperlink" Target="https://dl.smwcentral.net/40744/Beneath%20the%20Bottom%20of%20the%20Screen.zip" TargetMode="External"/><Relationship Id="rId1050" Type="http://schemas.openxmlformats.org/officeDocument/2006/relationships/hyperlink" Target="https://dl.smwcentral.net/33932/faraday.zip" TargetMode="External"/><Relationship Id="rId2101" Type="http://schemas.openxmlformats.org/officeDocument/2006/relationships/hyperlink" Target="https://www.smwcentral.net/?a=details&amp;id=10185&amp;p=section" TargetMode="External"/><Relationship Id="rId5257" Type="http://schemas.openxmlformats.org/officeDocument/2006/relationships/hyperlink" Target="https://www.smwcentral.net/?a=details&amp;id=22946&amp;p=section" TargetMode="External"/><Relationship Id="rId1867" Type="http://schemas.openxmlformats.org/officeDocument/2006/relationships/hyperlink" Target="https://www.smwcentral.net/?a=details&amp;id=34207&amp;p=section" TargetMode="External"/><Relationship Id="rId2918" Type="http://schemas.openxmlformats.org/officeDocument/2006/relationships/hyperlink" Target="https://dl.smwcentral.net/10173/Redeeming%20Peach%20%28V.%201.2%29.zip" TargetMode="External"/><Relationship Id="rId4273" Type="http://schemas.openxmlformats.org/officeDocument/2006/relationships/hyperlink" Target="https://www.smwcentral.net/?a=details&amp;id=9994&amp;p=section" TargetMode="External"/><Relationship Id="rId5324" Type="http://schemas.openxmlformats.org/officeDocument/2006/relationships/hyperlink" Target="https://dl.smwcentral.net/40549/VuitGrups.zip" TargetMode="External"/><Relationship Id="rId1934" Type="http://schemas.openxmlformats.org/officeDocument/2006/relationships/hyperlink" Target="https://dl.smwcentral.net/12826/MGU3.zip" TargetMode="External"/><Relationship Id="rId4340" Type="http://schemas.openxmlformats.org/officeDocument/2006/relationships/hyperlink" Target="https://dl.smwcentral.net/37625/super-muncher-slopes.zip" TargetMode="External"/><Relationship Id="rId3759" Type="http://schemas.openxmlformats.org/officeDocument/2006/relationships/hyperlink" Target="https://www.smwcentral.net/?a=details&amp;id=17554&amp;p=section" TargetMode="External"/><Relationship Id="rId5181" Type="http://schemas.openxmlformats.org/officeDocument/2006/relationships/hyperlink" Target="https://www.smwcentral.net/?a=details&amp;id=33538&amp;p=section" TargetMode="External"/><Relationship Id="rId2775" Type="http://schemas.openxmlformats.org/officeDocument/2006/relationships/hyperlink" Target="https://www.smwcentral.net/?a=details&amp;id=16829&amp;p=section" TargetMode="External"/><Relationship Id="rId3826" Type="http://schemas.openxmlformats.org/officeDocument/2006/relationships/hyperlink" Target="https://dl.smwcentral.net/26960/Super%20Mario%20Bros%20Vanilla%20Islands%201.1.zip" TargetMode="External"/><Relationship Id="rId747" Type="http://schemas.openxmlformats.org/officeDocument/2006/relationships/hyperlink" Target="https://www.smwcentral.net/?a=details&amp;id=42700&amp;p=section" TargetMode="External"/><Relationship Id="rId1377" Type="http://schemas.openxmlformats.org/officeDocument/2006/relationships/hyperlink" Target="https://www.smwcentral.net/?a=details&amp;id=30330&amp;p=section" TargetMode="External"/><Relationship Id="rId1791" Type="http://schemas.openxmlformats.org/officeDocument/2006/relationships/hyperlink" Target="https://www.smwcentral.net/?a=details&amp;id=31321&amp;p=section" TargetMode="External"/><Relationship Id="rId2428" Type="http://schemas.openxmlformats.org/officeDocument/2006/relationships/hyperlink" Target="https://dl.smwcentral.net/40447/My%20entries%20contest%20collection.zip" TargetMode="External"/><Relationship Id="rId2842" Type="http://schemas.openxmlformats.org/officeDocument/2006/relationships/hyperlink" Target="https://dl.smwcentral.net/21331/Death%20and%20Despair.zip" TargetMode="External"/><Relationship Id="rId83" Type="http://schemas.openxmlformats.org/officeDocument/2006/relationships/hyperlink" Target="https://www.smwcentral.net/?a=details&amp;id=21890&amp;p=section" TargetMode="External"/><Relationship Id="rId814" Type="http://schemas.openxmlformats.org/officeDocument/2006/relationships/hyperlink" Target="https://dl.smwcentral.net/33684/Turkey.zip" TargetMode="External"/><Relationship Id="rId1444" Type="http://schemas.openxmlformats.org/officeDocument/2006/relationships/hyperlink" Target="https://dl.smwcentral.net/37712/Lost%20Lasagna%20DEMO%202.zip" TargetMode="External"/><Relationship Id="rId1511" Type="http://schemas.openxmlformats.org/officeDocument/2006/relationships/hyperlink" Target="https://www.smwcentral.net/?a=details&amp;id=9739&amp;p=section" TargetMode="External"/><Relationship Id="rId4667" Type="http://schemas.openxmlformats.org/officeDocument/2006/relationships/hyperlink" Target="https://www.smwcentral.net/?a=details&amp;id=19261&amp;p=section" TargetMode="External"/><Relationship Id="rId3269" Type="http://schemas.openxmlformats.org/officeDocument/2006/relationships/hyperlink" Target="https://www.smwcentral.net/?a=details&amp;id=39103&amp;p=section" TargetMode="External"/><Relationship Id="rId3683" Type="http://schemas.openxmlformats.org/officeDocument/2006/relationships/hyperlink" Target="https://www.smwcentral.net/?a=details&amp;id=17936&amp;p=section" TargetMode="External"/><Relationship Id="rId2285" Type="http://schemas.openxmlformats.org/officeDocument/2006/relationships/hyperlink" Target="https://www.smwcentral.net/?a=details&amp;id=41143&amp;p=section" TargetMode="External"/><Relationship Id="rId3336" Type="http://schemas.openxmlformats.org/officeDocument/2006/relationships/hyperlink" Target="https://dl.smwcentral.net/38195/Sponge%20World.zip" TargetMode="External"/><Relationship Id="rId4734" Type="http://schemas.openxmlformats.org/officeDocument/2006/relationships/hyperlink" Target="https://dl.smwcentral.net/33977/The%20Cave%20of%20Loathing%20%281.0%29.zip" TargetMode="External"/><Relationship Id="rId257" Type="http://schemas.openxmlformats.org/officeDocument/2006/relationships/hyperlink" Target="https://www.smwcentral.net/?a=details&amp;id=13589&amp;p=section" TargetMode="External"/><Relationship Id="rId3750" Type="http://schemas.openxmlformats.org/officeDocument/2006/relationships/hyperlink" Target="https://dl.smwcentral.net/9692/Hack.zip" TargetMode="External"/><Relationship Id="rId4801" Type="http://schemas.openxmlformats.org/officeDocument/2006/relationships/hyperlink" Target="https://www.smwcentral.net/?a=details&amp;id=30014&amp;p=section" TargetMode="External"/><Relationship Id="rId671" Type="http://schemas.openxmlformats.org/officeDocument/2006/relationships/hyperlink" Target="https://www.smwcentral.net/?a=details&amp;id=28862&amp;p=section" TargetMode="External"/><Relationship Id="rId2352" Type="http://schemas.openxmlformats.org/officeDocument/2006/relationships/hyperlink" Target="https://dl.smwcentral.net/37167/MFC.zip" TargetMode="External"/><Relationship Id="rId3403" Type="http://schemas.openxmlformats.org/officeDocument/2006/relationships/hyperlink" Target="https://www.smwcentral.net/?a=details&amp;id=32893&amp;p=section" TargetMode="External"/><Relationship Id="rId324" Type="http://schemas.openxmlformats.org/officeDocument/2006/relationships/hyperlink" Target="https://dl.smwcentral.net/32781/Apple%20Guardian%201.1.zip" TargetMode="External"/><Relationship Id="rId2005" Type="http://schemas.openxmlformats.org/officeDocument/2006/relationships/hyperlink" Target="https://www.smwcentral.net/?a=details&amp;id=23172&amp;p=section" TargetMode="External"/><Relationship Id="rId1021" Type="http://schemas.openxmlformats.org/officeDocument/2006/relationships/hyperlink" Target="https://www.smwcentral.net/?a=details&amp;id=10001&amp;p=section" TargetMode="External"/><Relationship Id="rId4177" Type="http://schemas.openxmlformats.org/officeDocument/2006/relationships/hyperlink" Target="https://www.smwcentral.net/?a=details&amp;id=4990&amp;p=section" TargetMode="External"/><Relationship Id="rId4591" Type="http://schemas.openxmlformats.org/officeDocument/2006/relationships/hyperlink" Target="https://www.smwcentral.net/?a=details&amp;id=16029&amp;p=section" TargetMode="External"/><Relationship Id="rId5228" Type="http://schemas.openxmlformats.org/officeDocument/2006/relationships/hyperlink" Target="https://dl.smwcentral.net/32546/Unforgiving%20Tower%202.zip" TargetMode="External"/><Relationship Id="rId3193" Type="http://schemas.openxmlformats.org/officeDocument/2006/relationships/hyperlink" Target="https://www.smwcentral.net/?a=details&amp;id=37442&amp;p=section" TargetMode="External"/><Relationship Id="rId4244" Type="http://schemas.openxmlformats.org/officeDocument/2006/relationships/hyperlink" Target="https://dl.smwcentral.net/22082/Wornilla%20-%20LostLevels.zip" TargetMode="External"/><Relationship Id="rId1838" Type="http://schemas.openxmlformats.org/officeDocument/2006/relationships/hyperlink" Target="https://dl.smwcentral.net/38927/marioandfriends2.zip" TargetMode="External"/><Relationship Id="rId3260" Type="http://schemas.openxmlformats.org/officeDocument/2006/relationships/hyperlink" Target="https://dl.smwcentral.net/25235/SMW2%2B3-TheEssenceStar.zip" TargetMode="External"/><Relationship Id="rId4311" Type="http://schemas.openxmlformats.org/officeDocument/2006/relationships/hyperlink" Target="https://www.smwcentral.net/?a=details&amp;id=9797&amp;p=section" TargetMode="External"/><Relationship Id="rId181" Type="http://schemas.openxmlformats.org/officeDocument/2006/relationships/hyperlink" Target="https://www.smwcentral.net/?a=details&amp;id=41930&amp;p=section" TargetMode="External"/><Relationship Id="rId1905" Type="http://schemas.openxmlformats.org/officeDocument/2006/relationships/hyperlink" Target="https://www.smwcentral.net/?a=details&amp;id=9941&amp;p=section" TargetMode="External"/><Relationship Id="rId5085" Type="http://schemas.openxmlformats.org/officeDocument/2006/relationships/hyperlink" Target="https://www.smwcentral.net/?a=details&amp;id=26719&amp;p=section" TargetMode="External"/><Relationship Id="rId998" Type="http://schemas.openxmlformats.org/officeDocument/2006/relationships/hyperlink" Target="https://dl.smwcentral.net/31318/Eudaimonia.zip" TargetMode="External"/><Relationship Id="rId2679" Type="http://schemas.openxmlformats.org/officeDocument/2006/relationships/hyperlink" Target="https://www.smwcentral.net/?a=details&amp;id=39798&amp;p=section" TargetMode="External"/><Relationship Id="rId1695" Type="http://schemas.openxmlformats.org/officeDocument/2006/relationships/hyperlink" Target="https://www.smwcentral.net/?a=details&amp;id=24702&amp;p=section" TargetMode="External"/><Relationship Id="rId2746" Type="http://schemas.openxmlformats.org/officeDocument/2006/relationships/hyperlink" Target="https://dl.smwcentral.net/38173/Perchance.zip" TargetMode="External"/><Relationship Id="rId5152" Type="http://schemas.openxmlformats.org/officeDocument/2006/relationships/hyperlink" Target="https://dl.smwcentral.net/38036/Tower%20of%20Glory.zip" TargetMode="External"/><Relationship Id="rId718" Type="http://schemas.openxmlformats.org/officeDocument/2006/relationships/hyperlink" Target="https://dl.smwcentral.net/5963/Collection.zip" TargetMode="External"/><Relationship Id="rId1348" Type="http://schemas.openxmlformats.org/officeDocument/2006/relationships/hyperlink" Target="https://dl.smwcentral.net/30143/HYPERION_2.0.1.zip" TargetMode="External"/><Relationship Id="rId1762" Type="http://schemas.openxmlformats.org/officeDocument/2006/relationships/hyperlink" Target="https://dl.smwcentral.net/10212/Luigi%20lost%20in%20Telinc%27s%20World%20-%20Demo%201.5.zip" TargetMode="External"/><Relationship Id="rId1415" Type="http://schemas.openxmlformats.org/officeDocument/2006/relationships/hyperlink" Target="https://www.smwcentral.net/?a=details&amp;id=31864&amp;p=section" TargetMode="External"/><Relationship Id="rId2813" Type="http://schemas.openxmlformats.org/officeDocument/2006/relationships/hyperlink" Target="https://www.smwcentral.net/?a=details&amp;id=30068&amp;p=section" TargetMode="External"/><Relationship Id="rId54" Type="http://schemas.openxmlformats.org/officeDocument/2006/relationships/hyperlink" Target="https://dl.smwcentral.net/9893/3_Trials_I8Strudel_V_1.zip" TargetMode="External"/><Relationship Id="rId4985" Type="http://schemas.openxmlformats.org/officeDocument/2006/relationships/hyperlink" Target="https://www.smwcentral.net/?a=details&amp;id=6161&amp;p=section" TargetMode="External"/><Relationship Id="rId2189" Type="http://schemas.openxmlformats.org/officeDocument/2006/relationships/hyperlink" Target="https://www.smwcentral.net/?a=details&amp;id=10225&amp;p=section" TargetMode="External"/><Relationship Id="rId3587" Type="http://schemas.openxmlformats.org/officeDocument/2006/relationships/hyperlink" Target="https://www.smwcentral.net/?a=details&amp;id=32933&amp;p=section" TargetMode="External"/><Relationship Id="rId4638" Type="http://schemas.openxmlformats.org/officeDocument/2006/relationships/hyperlink" Target="https://dl.smwcentral.net/27304/Tartastrophe.zip" TargetMode="External"/><Relationship Id="rId3654" Type="http://schemas.openxmlformats.org/officeDocument/2006/relationships/hyperlink" Target="https://dl.smwcentral.net/30838/LOUISFINALE.zip" TargetMode="External"/><Relationship Id="rId4705" Type="http://schemas.openxmlformats.org/officeDocument/2006/relationships/hyperlink" Target="https://www.smwcentral.net/?a=details&amp;id=6872&amp;p=section" TargetMode="External"/><Relationship Id="rId575" Type="http://schemas.openxmlformats.org/officeDocument/2006/relationships/hyperlink" Target="https://www.smwcentral.net/?a=details&amp;id=25065&amp;p=section" TargetMode="External"/><Relationship Id="rId2256" Type="http://schemas.openxmlformats.org/officeDocument/2006/relationships/hyperlink" Target="https://dl.smwcentral.net/5551/MTH%20by%20Mawwo7.zip" TargetMode="External"/><Relationship Id="rId2670" Type="http://schemas.openxmlformats.org/officeDocument/2006/relationships/hyperlink" Target="https://dl.smwcentral.net/13051/Oogtar%27s_Quest.zip" TargetMode="External"/><Relationship Id="rId3307" Type="http://schemas.openxmlformats.org/officeDocument/2006/relationships/hyperlink" Target="https://www.smwcentral.net/?a=details&amp;id=21740&amp;p=section" TargetMode="External"/><Relationship Id="rId3721" Type="http://schemas.openxmlformats.org/officeDocument/2006/relationships/hyperlink" Target="https://www.smwcentral.net/?a=details&amp;id=10103&amp;p=section" TargetMode="External"/><Relationship Id="rId228" Type="http://schemas.openxmlformats.org/officeDocument/2006/relationships/hyperlink" Target="https://dl.smwcentral.net/41808/Adventure%20in%20Gemstone%20Islands%20v2.03.zip" TargetMode="External"/><Relationship Id="rId642" Type="http://schemas.openxmlformats.org/officeDocument/2006/relationships/hyperlink" Target="https://dl.smwcentral.net/29613/Celeste.zip" TargetMode="External"/><Relationship Id="rId1272" Type="http://schemas.openxmlformats.org/officeDocument/2006/relationships/hyperlink" Target="https://dl.smwcentral.net/39974/Halloween%20Hack.zip" TargetMode="External"/><Relationship Id="rId2323" Type="http://schemas.openxmlformats.org/officeDocument/2006/relationships/hyperlink" Target="https://www.smwcentral.net/?a=details&amp;id=33618&amp;p=section" TargetMode="External"/><Relationship Id="rId5479" Type="http://schemas.openxmlformats.org/officeDocument/2006/relationships/hyperlink" Target="https://www.smwcentral.net/?a=details&amp;id=23031&amp;p=section" TargetMode="External"/><Relationship Id="rId4495" Type="http://schemas.openxmlformats.org/officeDocument/2006/relationships/hyperlink" Target="https://www.smwcentral.net/?a=details&amp;id=28669&amp;p=section" TargetMode="External"/><Relationship Id="rId3097" Type="http://schemas.openxmlformats.org/officeDocument/2006/relationships/hyperlink" Target="https://www.smwcentral.net/?a=details&amp;id=26886&amp;p=section" TargetMode="External"/><Relationship Id="rId4148" Type="http://schemas.openxmlformats.org/officeDocument/2006/relationships/hyperlink" Target="https://dl.smwcentral.net/21677/SMW%20Christmas%20Edition.zip" TargetMode="External"/><Relationship Id="rId3164" Type="http://schemas.openxmlformats.org/officeDocument/2006/relationships/hyperlink" Target="https://dl.smwcentral.net/37886/Simple%20Symphony%201.2%20%281%29.zip" TargetMode="External"/><Relationship Id="rId4562" Type="http://schemas.openxmlformats.org/officeDocument/2006/relationships/hyperlink" Target="https://dl.smwcentral.net/23049/Super%20Wario%20World%202%20-%20The%20Four%20Castles.zip" TargetMode="External"/><Relationship Id="rId1809" Type="http://schemas.openxmlformats.org/officeDocument/2006/relationships/hyperlink" Target="https://www.smwcentral.net/?a=details&amp;id=6498&amp;p=section" TargetMode="External"/><Relationship Id="rId4215" Type="http://schemas.openxmlformats.org/officeDocument/2006/relationships/hyperlink" Target="https://www.smwcentral.net/?a=details&amp;id=18817&amp;p=section" TargetMode="External"/><Relationship Id="rId2180" Type="http://schemas.openxmlformats.org/officeDocument/2006/relationships/hyperlink" Target="https://dl.smwcentral.net/4982/MariosLostWorldDemo.zip" TargetMode="External"/><Relationship Id="rId3231" Type="http://schemas.openxmlformats.org/officeDocument/2006/relationships/hyperlink" Target="https://www.smwcentral.net/?a=details&amp;id=10143&amp;p=section" TargetMode="External"/><Relationship Id="rId152" Type="http://schemas.openxmlformats.org/officeDocument/2006/relationships/hyperlink" Target="https://dl.smwcentral.net/21253/A_Random_Pit.zip" TargetMode="External"/><Relationship Id="rId2997" Type="http://schemas.openxmlformats.org/officeDocument/2006/relationships/hyperlink" Target="https://www.smwcentral.net/?a=details&amp;id=30649&amp;p=section" TargetMode="External"/><Relationship Id="rId969" Type="http://schemas.openxmlformats.org/officeDocument/2006/relationships/hyperlink" Target="https://www.smwcentral.net/?a=details&amp;id=30888&amp;p=section" TargetMode="External"/><Relationship Id="rId1599" Type="http://schemas.openxmlformats.org/officeDocument/2006/relationships/hyperlink" Target="https://www.smwcentral.net/?a=details&amp;id=27275&amp;p=section" TargetMode="External"/><Relationship Id="rId5056" Type="http://schemas.openxmlformats.org/officeDocument/2006/relationships/hyperlink" Target="https://dl.smwcentral.net/28936/Things4U2Play.zip" TargetMode="External"/><Relationship Id="rId5470" Type="http://schemas.openxmlformats.org/officeDocument/2006/relationships/hyperlink" Target="https://dl.smwcentral.net/39741/You%20Have%20No%20Life%20-%20SMW.zip" TargetMode="External"/><Relationship Id="rId4072" Type="http://schemas.openxmlformats.org/officeDocument/2006/relationships/hyperlink" Target="https://dl.smwcentral.net/21996/smw_ft_marisa.zip" TargetMode="External"/><Relationship Id="rId5123" Type="http://schemas.openxmlformats.org/officeDocument/2006/relationships/hyperlink" Target="https://www.smwcentral.net/?a=details&amp;id=32718&amp;p=section" TargetMode="External"/><Relationship Id="rId1666" Type="http://schemas.openxmlformats.org/officeDocument/2006/relationships/hyperlink" Target="https://dl.smwcentral.net/28942/LADM3.zip" TargetMode="External"/><Relationship Id="rId2717" Type="http://schemas.openxmlformats.org/officeDocument/2006/relationships/hyperlink" Target="https://www.smwcentral.net/?a=details&amp;id=22045&amp;p=section" TargetMode="External"/><Relationship Id="rId1319" Type="http://schemas.openxmlformats.org/officeDocument/2006/relationships/hyperlink" Target="https://www.smwcentral.net/?a=details&amp;id=30172&amp;p=section" TargetMode="External"/><Relationship Id="rId1733" Type="http://schemas.openxmlformats.org/officeDocument/2006/relationships/hyperlink" Target="https://www.smwcentral.net/?a=details&amp;id=7005&amp;p=section" TargetMode="External"/><Relationship Id="rId4889" Type="http://schemas.openxmlformats.org/officeDocument/2006/relationships/hyperlink" Target="https://www.smwcentral.net/?a=details&amp;id=9922&amp;p=section" TargetMode="External"/><Relationship Id="rId25" Type="http://schemas.openxmlformats.org/officeDocument/2006/relationships/hyperlink" Target="https://www.smwcentral.net/?a=details&amp;id=34370&amp;p=section" TargetMode="External"/><Relationship Id="rId1800" Type="http://schemas.openxmlformats.org/officeDocument/2006/relationships/hyperlink" Target="https://dl.smwcentral.net/13613/Luigi%27s%20Revenge%21.zip" TargetMode="External"/><Relationship Id="rId4956" Type="http://schemas.openxmlformats.org/officeDocument/2006/relationships/hyperlink" Target="https://dl.smwcentral.net/9909/TRAoaDP.zip" TargetMode="External"/><Relationship Id="rId3558" Type="http://schemas.openxmlformats.org/officeDocument/2006/relationships/hyperlink" Target="https://dl.smwcentral.net/29056/Super%20germdove%20World.zip" TargetMode="External"/><Relationship Id="rId3972" Type="http://schemas.openxmlformats.org/officeDocument/2006/relationships/hyperlink" Target="https://dl.smwcentral.net/28587/Super%20Mario%20Ultra%20World%20Demo.zip" TargetMode="External"/><Relationship Id="rId4609" Type="http://schemas.openxmlformats.org/officeDocument/2006/relationships/hyperlink" Target="https://www.smwcentral.net/?a=details&amp;id=33999&amp;p=section" TargetMode="External"/><Relationship Id="rId479" Type="http://schemas.openxmlformats.org/officeDocument/2006/relationships/hyperlink" Target="https://www.smwcentral.net/?a=details&amp;id=40521&amp;p=section" TargetMode="External"/><Relationship Id="rId893" Type="http://schemas.openxmlformats.org/officeDocument/2006/relationships/hyperlink" Target="https://www.smwcentral.net/?a=details&amp;id=27143&amp;p=section" TargetMode="External"/><Relationship Id="rId2574" Type="http://schemas.openxmlformats.org/officeDocument/2006/relationships/hyperlink" Target="https://dl.smwcentral.net/31053/Nightmares.zip" TargetMode="External"/><Relationship Id="rId3625" Type="http://schemas.openxmlformats.org/officeDocument/2006/relationships/hyperlink" Target="https://www.smwcentral.net/?a=details&amp;id=9989&amp;p=section" TargetMode="External"/><Relationship Id="rId546" Type="http://schemas.openxmlformats.org/officeDocument/2006/relationships/hyperlink" Target="https://dl.smwcentral.net/20443/BRMVR%20Demo%202%20C3%20July%202019.zip" TargetMode="External"/><Relationship Id="rId1176" Type="http://schemas.openxmlformats.org/officeDocument/2006/relationships/hyperlink" Target="https://dl.smwcentral.net/38711/good%20old%20days%204.00.zip" TargetMode="External"/><Relationship Id="rId2227" Type="http://schemas.openxmlformats.org/officeDocument/2006/relationships/hyperlink" Target="https://www.smwcentral.net/?a=details&amp;id=5373&amp;p=section" TargetMode="External"/><Relationship Id="rId960" Type="http://schemas.openxmlformats.org/officeDocument/2006/relationships/hyperlink" Target="https://dl.smwcentral.net/35343/hack.zip" TargetMode="External"/><Relationship Id="rId1243" Type="http://schemas.openxmlformats.org/officeDocument/2006/relationships/hyperlink" Target="https://www.smwcentral.net/?a=details&amp;id=15993&amp;p=section" TargetMode="External"/><Relationship Id="rId1590" Type="http://schemas.openxmlformats.org/officeDocument/2006/relationships/hyperlink" Target="https://dl.smwcentral.net/9862/Kid%20Adventure%203%20%28English%20version%29.zip" TargetMode="External"/><Relationship Id="rId2641" Type="http://schemas.openxmlformats.org/officeDocument/2006/relationships/hyperlink" Target="https://www.smwcentral.net/?a=details&amp;id=28027&amp;p=section" TargetMode="External"/><Relationship Id="rId4399" Type="http://schemas.openxmlformats.org/officeDocument/2006/relationships/hyperlink" Target="https://www.smwcentral.net/?a=details&amp;id=40758&amp;p=section" TargetMode="External"/><Relationship Id="rId613" Type="http://schemas.openxmlformats.org/officeDocument/2006/relationships/hyperlink" Target="https://www.smwcentral.net/?a=details&amp;id=22856&amp;p=section" TargetMode="External"/><Relationship Id="rId1310" Type="http://schemas.openxmlformats.org/officeDocument/2006/relationships/hyperlink" Target="https://dl.smwcentral.net/6069/Hertz%20Donut.zip" TargetMode="External"/><Relationship Id="rId4466" Type="http://schemas.openxmlformats.org/officeDocument/2006/relationships/hyperlink" Target="https://dl.smwcentral.net/29464/Super%20Sauce%20Search%20-As%20Intended%21-.zip" TargetMode="External"/><Relationship Id="rId4880" Type="http://schemas.openxmlformats.org/officeDocument/2006/relationships/hyperlink" Target="https://dl.smwcentral.net/10244/The%20Lost%20Land.zip" TargetMode="External"/><Relationship Id="rId3068" Type="http://schemas.openxmlformats.org/officeDocument/2006/relationships/hyperlink" Target="https://dl.smwcentral.net/27874/ShallowPits.v1.1.zip" TargetMode="External"/><Relationship Id="rId3482" Type="http://schemas.openxmlformats.org/officeDocument/2006/relationships/hyperlink" Target="https://dl.smwcentral.net/40498/Super%20%20Daisy%20World.zip" TargetMode="External"/><Relationship Id="rId4119" Type="http://schemas.openxmlformats.org/officeDocument/2006/relationships/hyperlink" Target="https://www.smwcentral.net/?a=details&amp;id=10267&amp;p=section" TargetMode="External"/><Relationship Id="rId4533" Type="http://schemas.openxmlformats.org/officeDocument/2006/relationships/hyperlink" Target="https://www.smwcentral.net/?a=details&amp;id=30836&amp;p=section" TargetMode="External"/><Relationship Id="rId2084" Type="http://schemas.openxmlformats.org/officeDocument/2006/relationships/hyperlink" Target="https://dl.smwcentral.net/25224/awfulhack.zip" TargetMode="External"/><Relationship Id="rId3135" Type="http://schemas.openxmlformats.org/officeDocument/2006/relationships/hyperlink" Target="https://www.smwcentral.net/?a=details&amp;id=17922&amp;p=section" TargetMode="External"/><Relationship Id="rId4600" Type="http://schemas.openxmlformats.org/officeDocument/2006/relationships/hyperlink" Target="https://dl.smwcentral.net/9829/SMWJ%28H%29.zip" TargetMode="External"/><Relationship Id="rId470" Type="http://schemas.openxmlformats.org/officeDocument/2006/relationships/hyperlink" Target="https://dl.smwcentral.net/5346/Bonni%27s%20Quest%20-%20Demo%202%20%5BFixed%5D.zip" TargetMode="External"/><Relationship Id="rId2151" Type="http://schemas.openxmlformats.org/officeDocument/2006/relationships/hyperlink" Target="https://www.smwcentral.net/?a=details&amp;id=5261&amp;p=section" TargetMode="External"/><Relationship Id="rId3202" Type="http://schemas.openxmlformats.org/officeDocument/2006/relationships/hyperlink" Target="https://dl.smwcentral.net/26494/SMW%20coin%20chaos%20v1.4.zip" TargetMode="External"/><Relationship Id="rId123" Type="http://schemas.openxmlformats.org/officeDocument/2006/relationships/hyperlink" Target="https://www.smwcentral.net/?a=details&amp;id=11306&amp;p=section" TargetMode="External"/><Relationship Id="rId5374" Type="http://schemas.openxmlformats.org/officeDocument/2006/relationships/hyperlink" Target="https://dl.smwcentral.net/26183/WTF.zip" TargetMode="External"/><Relationship Id="rId2968" Type="http://schemas.openxmlformats.org/officeDocument/2006/relationships/hyperlink" Target="https://dl.smwcentral.net/27312/Roger%20Gang%20Vol%201.zip" TargetMode="External"/><Relationship Id="rId5027" Type="http://schemas.openxmlformats.org/officeDocument/2006/relationships/hyperlink" Target="https://www.smwcentral.net/?a=details&amp;id=29951&amp;p=section" TargetMode="External"/><Relationship Id="rId1984" Type="http://schemas.openxmlformats.org/officeDocument/2006/relationships/hyperlink" Target="https://dl.smwcentral.net/9645/Mario%20Into%20Megaman%202.0.zip" TargetMode="External"/><Relationship Id="rId4390" Type="http://schemas.openxmlformats.org/officeDocument/2006/relationships/hyperlink" Target="https://dl.smwcentral.net/9879/Super%20Odd%20World%202.zip" TargetMode="External"/><Relationship Id="rId5441" Type="http://schemas.openxmlformats.org/officeDocument/2006/relationships/hyperlink" Target="https://www.smwcentral.net/?a=details&amp;id=17614&amp;p=section" TargetMode="External"/><Relationship Id="rId1637" Type="http://schemas.openxmlformats.org/officeDocument/2006/relationships/hyperlink" Target="https://www.smwcentral.net/?a=details&amp;id=26237&amp;p=section" TargetMode="External"/><Relationship Id="rId4043" Type="http://schemas.openxmlformats.org/officeDocument/2006/relationships/hyperlink" Target="https://www.smwcentral.net/?a=details&amp;id=32569&amp;p=section" TargetMode="External"/><Relationship Id="rId1704" Type="http://schemas.openxmlformats.org/officeDocument/2006/relationships/hyperlink" Target="https://dl.smwcentral.net/6468/Life%20Of%20Glitches.zip" TargetMode="External"/><Relationship Id="rId4110" Type="http://schemas.openxmlformats.org/officeDocument/2006/relationships/hyperlink" Target="https://dl.smwcentral.net/9777/SMW%20the%20Reture%201st%20World%20Demo.zip" TargetMode="External"/><Relationship Id="rId797" Type="http://schemas.openxmlformats.org/officeDocument/2006/relationships/hyperlink" Target="https://www.smwcentral.net/?a=details&amp;id=32105&amp;p=section" TargetMode="External"/><Relationship Id="rId2478" Type="http://schemas.openxmlformats.org/officeDocument/2006/relationships/hyperlink" Target="https://dl.smwcentral.net/38883/Neighborhood%20of%20Make-Believe%20v1.1.zip" TargetMode="External"/><Relationship Id="rId3876" Type="http://schemas.openxmlformats.org/officeDocument/2006/relationships/hyperlink" Target="https://dl.smwcentral.net/6794/smw%20patch.zip" TargetMode="External"/><Relationship Id="rId4927" Type="http://schemas.openxmlformats.org/officeDocument/2006/relationships/hyperlink" Target="https://www.smwcentral.net/?a=details&amp;id=15823&amp;p=section" TargetMode="External"/><Relationship Id="rId2892" Type="http://schemas.openxmlformats.org/officeDocument/2006/relationships/hyperlink" Target="https://dl.smwcentral.net/10108/MelinRescue.zip" TargetMode="External"/><Relationship Id="rId3529" Type="http://schemas.openxmlformats.org/officeDocument/2006/relationships/hyperlink" Target="https://www.smwcentral.net/?a=details&amp;id=16099&amp;p=section" TargetMode="External"/><Relationship Id="rId3943" Type="http://schemas.openxmlformats.org/officeDocument/2006/relationships/hyperlink" Target="https://www.smwcentral.net/?a=details&amp;id=5464&amp;p=section" TargetMode="External"/><Relationship Id="rId864" Type="http://schemas.openxmlformats.org/officeDocument/2006/relationships/hyperlink" Target="https://dl.smwcentral.net/22036/dininhoworld.zip" TargetMode="External"/><Relationship Id="rId1494" Type="http://schemas.openxmlformats.org/officeDocument/2006/relationships/hyperlink" Target="https://dl.smwcentral.net/27318/Just%20Another%20Bad%20Kaizo%20Hack.zip" TargetMode="External"/><Relationship Id="rId2545" Type="http://schemas.openxmlformats.org/officeDocument/2006/relationships/hyperlink" Target="https://www.smwcentral.net/?a=details&amp;id=39731&amp;p=section" TargetMode="External"/><Relationship Id="rId517" Type="http://schemas.openxmlformats.org/officeDocument/2006/relationships/hyperlink" Target="https://www.smwcentral.net/?a=details&amp;id=6874&amp;p=section" TargetMode="External"/><Relationship Id="rId931" Type="http://schemas.openxmlformats.org/officeDocument/2006/relationships/hyperlink" Target="https://www.smwcentral.net/?a=details&amp;id=30589&amp;p=section" TargetMode="External"/><Relationship Id="rId1147" Type="http://schemas.openxmlformats.org/officeDocument/2006/relationships/hyperlink" Target="https://www.smwcentral.net/?a=details&amp;id=33615&amp;p=section" TargetMode="External"/><Relationship Id="rId1561" Type="http://schemas.openxmlformats.org/officeDocument/2006/relationships/hyperlink" Target="https://www.smwcentral.net/?a=details&amp;id=12812&amp;p=section" TargetMode="External"/><Relationship Id="rId2612" Type="http://schemas.openxmlformats.org/officeDocument/2006/relationships/hyperlink" Target="https://dl.smwcentral.net/25966/Nothing%20Crazy.zip" TargetMode="External"/><Relationship Id="rId1214" Type="http://schemas.openxmlformats.org/officeDocument/2006/relationships/hyperlink" Target="https://dl.smwcentral.net/39832/Gynura.zip" TargetMode="External"/><Relationship Id="rId4784" Type="http://schemas.openxmlformats.org/officeDocument/2006/relationships/hyperlink" Target="https://dl.smwcentral.net/33734/TheFiveFiveRoomRoomCastle_V1.0.zip" TargetMode="External"/><Relationship Id="rId3386" Type="http://schemas.openxmlformats.org/officeDocument/2006/relationships/hyperlink" Target="https://dl.smwcentral.net/26815/Streak%20of%20Tigers%201.1.zip" TargetMode="External"/><Relationship Id="rId4437" Type="http://schemas.openxmlformats.org/officeDocument/2006/relationships/hyperlink" Target="https://www.smwcentral.net/?a=details&amp;id=41864&amp;p=section" TargetMode="External"/><Relationship Id="rId3039" Type="http://schemas.openxmlformats.org/officeDocument/2006/relationships/hyperlink" Target="https://www.smwcentral.net/?a=details&amp;id=31276&amp;p=section" TargetMode="External"/><Relationship Id="rId3453" Type="http://schemas.openxmlformats.org/officeDocument/2006/relationships/hyperlink" Target="https://www.smwcentral.net/?a=details&amp;id=26197&amp;p=section" TargetMode="External"/><Relationship Id="rId4851" Type="http://schemas.openxmlformats.org/officeDocument/2006/relationships/hyperlink" Target="https://www.smwcentral.net/?a=details&amp;id=18200&amp;p=section" TargetMode="External"/><Relationship Id="rId374" Type="http://schemas.openxmlformats.org/officeDocument/2006/relationships/hyperlink" Target="https://dl.smwcentral.net/30968/Backyard.zip" TargetMode="External"/><Relationship Id="rId2055" Type="http://schemas.openxmlformats.org/officeDocument/2006/relationships/hyperlink" Target="https://www.smwcentral.net/?a=details&amp;id=29823&amp;p=section" TargetMode="External"/><Relationship Id="rId3106" Type="http://schemas.openxmlformats.org/officeDocument/2006/relationships/hyperlink" Target="https://dl.smwcentral.net/34009/Shells3AndKnuckles.zip" TargetMode="External"/><Relationship Id="rId4504" Type="http://schemas.openxmlformats.org/officeDocument/2006/relationships/hyperlink" Target="https://dl.smwcentral.net/18426/Super_Stacey_World_1.2.zip" TargetMode="External"/><Relationship Id="rId3520" Type="http://schemas.openxmlformats.org/officeDocument/2006/relationships/hyperlink" Target="https://dl.smwcentral.net/5519/SEW.zip" TargetMode="External"/><Relationship Id="rId441" Type="http://schemas.openxmlformats.org/officeDocument/2006/relationships/hyperlink" Target="https://www.smwcentral.net/?a=details&amp;id=38957&amp;p=section" TargetMode="External"/><Relationship Id="rId1071" Type="http://schemas.openxmlformats.org/officeDocument/2006/relationships/hyperlink" Target="https://www.smwcentral.net/?a=details&amp;id=13745&amp;p=section" TargetMode="External"/><Relationship Id="rId2122" Type="http://schemas.openxmlformats.org/officeDocument/2006/relationships/hyperlink" Target="https://dl.smwcentral.net/11662/Mario%27sAsceticAdventuredemo.zip" TargetMode="External"/><Relationship Id="rId5278" Type="http://schemas.openxmlformats.org/officeDocument/2006/relationships/hyperlink" Target="https://dl.smwcentral.net/24708/VMW%20v0.01.zip" TargetMode="External"/><Relationship Id="rId1888" Type="http://schemas.openxmlformats.org/officeDocument/2006/relationships/hyperlink" Target="https://dl.smwcentral.net/22897/MarioAndTheKaizoTrials.zip" TargetMode="External"/><Relationship Id="rId2939" Type="http://schemas.openxmlformats.org/officeDocument/2006/relationships/hyperlink" Target="https://www.smwcentral.net/?a=details&amp;id=14026&amp;p=section" TargetMode="External"/><Relationship Id="rId4294" Type="http://schemas.openxmlformats.org/officeDocument/2006/relationships/hyperlink" Target="https://dl.smwcentral.net/25678/starseeker_c3.zip" TargetMode="External"/><Relationship Id="rId5345" Type="http://schemas.openxmlformats.org/officeDocument/2006/relationships/hyperlink" Target="https://www.smwcentral.net/?a=details&amp;id=5500&amp;p=section" TargetMode="External"/><Relationship Id="rId4361" Type="http://schemas.openxmlformats.org/officeDocument/2006/relationships/hyperlink" Target="https://www.smwcentral.net/?a=details&amp;id=28977&amp;p=section" TargetMode="External"/><Relationship Id="rId5412" Type="http://schemas.openxmlformats.org/officeDocument/2006/relationships/hyperlink" Target="https://dl.smwcentral.net/32844/World%20of%20Shells%20V%201.4.zip" TargetMode="External"/><Relationship Id="rId1955" Type="http://schemas.openxmlformats.org/officeDocument/2006/relationships/hyperlink" Target="https://www.smwcentral.net/?a=details&amp;id=9845&amp;p=section" TargetMode="External"/><Relationship Id="rId4014" Type="http://schemas.openxmlformats.org/officeDocument/2006/relationships/hyperlink" Target="https://dl.smwcentral.net/25462/Super%20Mario%20World%20-%20Neeberz%27s%20Hack.zip" TargetMode="External"/><Relationship Id="rId1608" Type="http://schemas.openxmlformats.org/officeDocument/2006/relationships/hyperlink" Target="https://dl.smwcentral.net/9903/Koopa%20Castle%20Demo%201.zip" TargetMode="External"/><Relationship Id="rId3030" Type="http://schemas.openxmlformats.org/officeDocument/2006/relationships/hyperlink" Target="https://dl.smwcentral.net/36760/Sauna%20Mario%20World%201.5.zip" TargetMode="External"/><Relationship Id="rId2796" Type="http://schemas.openxmlformats.org/officeDocument/2006/relationships/hyperlink" Target="https://dl.smwcentral.net/24373/plombier%20du%20fromage.zip" TargetMode="External"/><Relationship Id="rId3847" Type="http://schemas.openxmlformats.org/officeDocument/2006/relationships/hyperlink" Target="https://www.smwcentral.net/?a=details&amp;id=21176&amp;p=section" TargetMode="External"/><Relationship Id="rId768" Type="http://schemas.openxmlformats.org/officeDocument/2006/relationships/hyperlink" Target="https://dl.smwcentral.net/27238/crossfire_v1.2.zip" TargetMode="External"/><Relationship Id="rId1398" Type="http://schemas.openxmlformats.org/officeDocument/2006/relationships/hyperlink" Target="https://dl.smwcentral.net/35054/Incredibous%20Shells%20v1.4.zip" TargetMode="External"/><Relationship Id="rId2449" Type="http://schemas.openxmlformats.org/officeDocument/2006/relationships/hyperlink" Target="https://www.smwcentral.net/?a=details&amp;id=9738&amp;p=section" TargetMode="External"/><Relationship Id="rId2863" Type="http://schemas.openxmlformats.org/officeDocument/2006/relationships/hyperlink" Target="https://www.smwcentral.net/?a=details&amp;id=28386&amp;p=section" TargetMode="External"/><Relationship Id="rId3914" Type="http://schemas.openxmlformats.org/officeDocument/2006/relationships/hyperlink" Target="https://dl.smwcentral.net/41494/SuperMarioMakersHolidayExtravaganza1_1.zip" TargetMode="External"/><Relationship Id="rId835" Type="http://schemas.openxmlformats.org/officeDocument/2006/relationships/hyperlink" Target="https://www.smwcentral.net/?a=details&amp;id=31559&amp;p=section" TargetMode="External"/><Relationship Id="rId1465" Type="http://schemas.openxmlformats.org/officeDocument/2006/relationships/hyperlink" Target="https://www.smwcentral.net/?a=details&amp;id=34098&amp;p=section" TargetMode="External"/><Relationship Id="rId2516" Type="http://schemas.openxmlformats.org/officeDocument/2006/relationships/hyperlink" Target="https://dl.smwcentral.net/20885/New%20Super%20Mario%20Land.zip" TargetMode="External"/><Relationship Id="rId1118" Type="http://schemas.openxmlformats.org/officeDocument/2006/relationships/hyperlink" Target="https://dl.smwcentral.net/37900/FulfillTheDream.zip" TargetMode="External"/><Relationship Id="rId1532" Type="http://schemas.openxmlformats.org/officeDocument/2006/relationships/hyperlink" Target="https://dl.smwcentral.net/39791/KCDV.zip" TargetMode="External"/><Relationship Id="rId2930" Type="http://schemas.openxmlformats.org/officeDocument/2006/relationships/hyperlink" Target="https://dl.smwcentral.net/10180/RESMW.zip" TargetMode="External"/><Relationship Id="rId4688" Type="http://schemas.openxmlformats.org/officeDocument/2006/relationships/hyperlink" Target="https://dl.smwcentral.net/13947/VLDC1.zip" TargetMode="External"/><Relationship Id="rId902" Type="http://schemas.openxmlformats.org/officeDocument/2006/relationships/hyperlink" Target="https://dl.smwcentral.net/37065/Doro%20Chill.zip" TargetMode="External"/><Relationship Id="rId4755" Type="http://schemas.openxmlformats.org/officeDocument/2006/relationships/hyperlink" Target="https://www.smwcentral.net/?a=details&amp;id=9170&amp;p=section" TargetMode="External"/><Relationship Id="rId278" Type="http://schemas.openxmlformats.org/officeDocument/2006/relationships/hyperlink" Target="https://dl.smwcentral.net/31224/ambivalence%20v101.zip" TargetMode="External"/><Relationship Id="rId3357" Type="http://schemas.openxmlformats.org/officeDocument/2006/relationships/hyperlink" Target="https://www.smwcentral.net/?a=details&amp;id=40438&amp;p=section" TargetMode="External"/><Relationship Id="rId3771" Type="http://schemas.openxmlformats.org/officeDocument/2006/relationships/hyperlink" Target="https://www.smwcentral.net/?a=details&amp;id=18086&amp;p=section" TargetMode="External"/><Relationship Id="rId4408" Type="http://schemas.openxmlformats.org/officeDocument/2006/relationships/hyperlink" Target="https://dl.smwcentral.net/40175/Super_pcclub88_World_II_.zip" TargetMode="External"/><Relationship Id="rId4822" Type="http://schemas.openxmlformats.org/officeDocument/2006/relationships/hyperlink" Target="https://dl.smwcentral.net/29915/The%20grey%20chapter.zip" TargetMode="External"/><Relationship Id="rId692" Type="http://schemas.openxmlformats.org/officeDocument/2006/relationships/hyperlink" Target="https://dl.smwcentral.net/39655/Chrysalis.zip" TargetMode="External"/><Relationship Id="rId2373" Type="http://schemas.openxmlformats.org/officeDocument/2006/relationships/hyperlink" Target="https://www.smwcentral.net/?a=details&amp;id=14845&amp;p=section" TargetMode="External"/><Relationship Id="rId3424" Type="http://schemas.openxmlformats.org/officeDocument/2006/relationships/hyperlink" Target="https://dl.smwcentral.net/26187/Super%20Beco%20World.zip" TargetMode="External"/><Relationship Id="rId345" Type="http://schemas.openxmlformats.org/officeDocument/2006/relationships/hyperlink" Target="https://www.smwcentral.net/?a=details&amp;id=28839&amp;p=section" TargetMode="External"/><Relationship Id="rId2026" Type="http://schemas.openxmlformats.org/officeDocument/2006/relationships/hyperlink" Target="https://dl.smwcentral.net/9033/MarioMustDie.zip" TargetMode="External"/><Relationship Id="rId2440" Type="http://schemas.openxmlformats.org/officeDocument/2006/relationships/hyperlink" Target="https://dl.smwcentral.net/14882/My%20little%20Puzzles%203%20-%20The%20Key%20to%20Eternity.zip" TargetMode="External"/><Relationship Id="rId412" Type="http://schemas.openxmlformats.org/officeDocument/2006/relationships/hyperlink" Target="https://dl.smwcentral.net/31047/BEES%20in%20Space.zip" TargetMode="External"/><Relationship Id="rId1042" Type="http://schemas.openxmlformats.org/officeDocument/2006/relationships/hyperlink" Target="https://dl.smwcentral.net/18823/Facedesk.zip" TargetMode="External"/><Relationship Id="rId4198" Type="http://schemas.openxmlformats.org/officeDocument/2006/relationships/hyperlink" Target="https://dl.smwcentral.net/10043/SMW%20The%20Crazy%20Quest%20%28DEMO%20v1.0%29.zip" TargetMode="External"/><Relationship Id="rId5249" Type="http://schemas.openxmlformats.org/officeDocument/2006/relationships/hyperlink" Target="https://www.smwcentral.net/?a=details&amp;id=29660&amp;p=section" TargetMode="External"/><Relationship Id="rId4265" Type="http://schemas.openxmlformats.org/officeDocument/2006/relationships/hyperlink" Target="https://www.smwcentral.net/?a=details&amp;id=9900&amp;p=section" TargetMode="External"/><Relationship Id="rId5316" Type="http://schemas.openxmlformats.org/officeDocument/2006/relationships/hyperlink" Target="https://dl.smwcentral.net/9778/vip%20mario%204%20-%20mario%20edition.zip" TargetMode="External"/><Relationship Id="rId1859" Type="http://schemas.openxmlformats.org/officeDocument/2006/relationships/hyperlink" Target="https://www.smwcentral.net/?a=details&amp;id=36967&amp;p=section" TargetMode="External"/><Relationship Id="rId1926" Type="http://schemas.openxmlformats.org/officeDocument/2006/relationships/hyperlink" Target="https://dl.smwcentral.net/10018/MES.zip" TargetMode="External"/><Relationship Id="rId3281" Type="http://schemas.openxmlformats.org/officeDocument/2006/relationships/hyperlink" Target="https://www.smwcentral.net/?a=details&amp;id=16084&amp;p=section" TargetMode="External"/><Relationship Id="rId4332" Type="http://schemas.openxmlformats.org/officeDocument/2006/relationships/hyperlink" Target="https://dl.smwcentral.net/25596/MishDemo.zip" TargetMode="External"/><Relationship Id="rId3001" Type="http://schemas.openxmlformats.org/officeDocument/2006/relationships/hyperlink" Target="https://www.smwcentral.net/?a=details&amp;id=31184&amp;p=section" TargetMode="External"/><Relationship Id="rId2767" Type="http://schemas.openxmlformats.org/officeDocument/2006/relationships/hyperlink" Target="https://www.smwcentral.net/?a=details&amp;id=31373&amp;p=section" TargetMode="External"/><Relationship Id="rId5173" Type="http://schemas.openxmlformats.org/officeDocument/2006/relationships/hyperlink" Target="https://www.smwcentral.net/?a=details&amp;id=13554&amp;p=section" TargetMode="External"/><Relationship Id="rId739" Type="http://schemas.openxmlformats.org/officeDocument/2006/relationships/hyperlink" Target="https://www.smwcentral.net/?a=details&amp;id=31137&amp;p=section" TargetMode="External"/><Relationship Id="rId1369" Type="http://schemas.openxmlformats.org/officeDocument/2006/relationships/hyperlink" Target="https://www.smwcentral.net/?a=details&amp;id=9860&amp;p=section" TargetMode="External"/><Relationship Id="rId3818" Type="http://schemas.openxmlformats.org/officeDocument/2006/relationships/hyperlink" Target="https://dl.smwcentral.net/5452/smbbc%20%28demo4%29.zip" TargetMode="External"/><Relationship Id="rId5240" Type="http://schemas.openxmlformats.org/officeDocument/2006/relationships/hyperlink" Target="https://dl.smwcentral.net/32166/Unintended%20Behavior%203%20v1.1.zip" TargetMode="External"/><Relationship Id="rId1783" Type="http://schemas.openxmlformats.org/officeDocument/2006/relationships/hyperlink" Target="https://www.smwcentral.net/?a=details&amp;id=32235&amp;p=section" TargetMode="External"/><Relationship Id="rId2834" Type="http://schemas.openxmlformats.org/officeDocument/2006/relationships/hyperlink" Target="https://dl.smwcentral.net/36836/PricklyGoo.zip" TargetMode="External"/><Relationship Id="rId75" Type="http://schemas.openxmlformats.org/officeDocument/2006/relationships/hyperlink" Target="https://www.smwcentral.net/?a=details&amp;id=20899&amp;p=section" TargetMode="External"/><Relationship Id="rId806" Type="http://schemas.openxmlformats.org/officeDocument/2006/relationships/hyperlink" Target="https://dl.smwcentral.net/28537/Dark%20Shelly%20World.zip" TargetMode="External"/><Relationship Id="rId1436" Type="http://schemas.openxmlformats.org/officeDocument/2006/relationships/hyperlink" Target="https://dl.smwcentral.net/15956/SMW%20HACK%20IUDICIUM%20TRIBUNALIS%20ver%202.25%20by%20user%3DID28020.zip" TargetMode="External"/><Relationship Id="rId1850" Type="http://schemas.openxmlformats.org/officeDocument/2006/relationships/hyperlink" Target="https://dl.smwcentral.net/18162/MarioLuigiPowerBlastDemo.zip" TargetMode="External"/><Relationship Id="rId2901" Type="http://schemas.openxmlformats.org/officeDocument/2006/relationships/hyperlink" Target="https://www.smwcentral.net/?a=details&amp;id=33916&amp;p=section" TargetMode="External"/><Relationship Id="rId1503" Type="http://schemas.openxmlformats.org/officeDocument/2006/relationships/hyperlink" Target="https://www.smwcentral.net/?a=details&amp;id=41451&amp;p=section" TargetMode="External"/><Relationship Id="rId4659" Type="http://schemas.openxmlformats.org/officeDocument/2006/relationships/hyperlink" Target="https://www.smwcentral.net/?a=details&amp;id=10169&amp;p=section" TargetMode="External"/><Relationship Id="rId3675" Type="http://schemas.openxmlformats.org/officeDocument/2006/relationships/hyperlink" Target="https://www.smwcentral.net/?a=details&amp;id=10049&amp;p=section" TargetMode="External"/><Relationship Id="rId4726" Type="http://schemas.openxmlformats.org/officeDocument/2006/relationships/hyperlink" Target="https://dl.smwcentral.net/5106/The%20Big%20Boo%27s%20Legion%202%20demo.zip" TargetMode="External"/><Relationship Id="rId596" Type="http://schemas.openxmlformats.org/officeDocument/2006/relationships/hyperlink" Target="https://dl.smwcentral.net/26500/Cangrejo%20Kaizo%20Land%20v1.1.zip" TargetMode="External"/><Relationship Id="rId2277" Type="http://schemas.openxmlformats.org/officeDocument/2006/relationships/hyperlink" Target="https://www.smwcentral.net/?a=details&amp;id=10131&amp;p=section" TargetMode="External"/><Relationship Id="rId2691" Type="http://schemas.openxmlformats.org/officeDocument/2006/relationships/hyperlink" Target="https://www.smwcentral.net/?a=details&amp;id=37926&amp;p=section" TargetMode="External"/><Relationship Id="rId3328" Type="http://schemas.openxmlformats.org/officeDocument/2006/relationships/hyperlink" Target="https://dl.smwcentral.net/40229/Spesh%20Planet%202.zip" TargetMode="External"/><Relationship Id="rId3742" Type="http://schemas.openxmlformats.org/officeDocument/2006/relationships/hyperlink" Target="https://dl.smwcentral.net/15456/SMAv1.6.zip" TargetMode="External"/><Relationship Id="rId249" Type="http://schemas.openxmlformats.org/officeDocument/2006/relationships/hyperlink" Target="https://www.smwcentral.net/?a=details&amp;id=27094&amp;p=section" TargetMode="External"/><Relationship Id="rId663" Type="http://schemas.openxmlformats.org/officeDocument/2006/relationships/hyperlink" Target="https://www.smwcentral.net/?a=details&amp;id=38058&amp;p=section" TargetMode="External"/><Relationship Id="rId1293" Type="http://schemas.openxmlformats.org/officeDocument/2006/relationships/hyperlink" Target="https://www.smwcentral.net/?a=details&amp;id=33450&amp;p=section" TargetMode="External"/><Relationship Id="rId2344" Type="http://schemas.openxmlformats.org/officeDocument/2006/relationships/hyperlink" Target="https://dl.smwcentral.net/37658/Memento%20Mori.zip" TargetMode="External"/><Relationship Id="rId316" Type="http://schemas.openxmlformats.org/officeDocument/2006/relationships/hyperlink" Target="https://dl.smwcentral.net/42560/Aperitif1.1.zip" TargetMode="External"/><Relationship Id="rId730" Type="http://schemas.openxmlformats.org/officeDocument/2006/relationships/hyperlink" Target="https://dl.smwcentral.net/10248/Combo_Breaker_demo.zip" TargetMode="External"/><Relationship Id="rId1013" Type="http://schemas.openxmlformats.org/officeDocument/2006/relationships/hyperlink" Target="https://www.smwcentral.net/?a=details&amp;id=11946&amp;p=section" TargetMode="External"/><Relationship Id="rId1360" Type="http://schemas.openxmlformats.org/officeDocument/2006/relationships/hyperlink" Target="https://dl.smwcentral.net/38270/IWBTRH%20Prototype%20v1.01.zip" TargetMode="External"/><Relationship Id="rId2411" Type="http://schemas.openxmlformats.org/officeDocument/2006/relationships/hyperlink" Target="https://www.smwcentral.net/?a=details&amp;id=27022&amp;p=section" TargetMode="External"/><Relationship Id="rId4169" Type="http://schemas.openxmlformats.org/officeDocument/2006/relationships/hyperlink" Target="https://www.smwcentral.net/?a=details&amp;id=39962&amp;p=section" TargetMode="External"/><Relationship Id="rId4583" Type="http://schemas.openxmlformats.org/officeDocument/2006/relationships/hyperlink" Target="https://www.smwcentral.net/?a=details&amp;id=21303&amp;p=section" TargetMode="External"/><Relationship Id="rId3185" Type="http://schemas.openxmlformats.org/officeDocument/2006/relationships/hyperlink" Target="https://www.smwcentral.net/?a=details&amp;id=21787&amp;p=section" TargetMode="External"/><Relationship Id="rId4236" Type="http://schemas.openxmlformats.org/officeDocument/2006/relationships/hyperlink" Target="https://dl.smwcentral.net/9767/Super_Mario_Worldwide.zip" TargetMode="External"/><Relationship Id="rId4650" Type="http://schemas.openxmlformats.org/officeDocument/2006/relationships/hyperlink" Target="https://dl.smwcentral.net/42509/tearsjoyandhappiness.zip" TargetMode="External"/><Relationship Id="rId3252" Type="http://schemas.openxmlformats.org/officeDocument/2006/relationships/hyperlink" Target="https://dl.smwcentral.net/33649/SMW%20with%20Levels%20from%20SMB%203.zip" TargetMode="External"/><Relationship Id="rId4303" Type="http://schemas.openxmlformats.org/officeDocument/2006/relationships/hyperlink" Target="https://www.smwcentral.net/?a=details&amp;id=26778&amp;p=section" TargetMode="External"/><Relationship Id="rId173" Type="http://schemas.openxmlformats.org/officeDocument/2006/relationships/hyperlink" Target="https://www.smwcentral.net/?a=details&amp;id=14841&amp;p=section" TargetMode="External"/><Relationship Id="rId240" Type="http://schemas.openxmlformats.org/officeDocument/2006/relationships/hyperlink" Target="https://dl.smwcentral.net/42362/Aeron%27s%20Golden%20Cookie%20Quest%20-%20Special%20Edition%20%28ver.5.0.1%29.zip" TargetMode="External"/><Relationship Id="rId5077" Type="http://schemas.openxmlformats.org/officeDocument/2006/relationships/hyperlink" Target="https://www.smwcentral.net/?a=details&amp;id=10241&amp;p=section" TargetMode="External"/><Relationship Id="rId4093" Type="http://schemas.openxmlformats.org/officeDocument/2006/relationships/hyperlink" Target="https://www.smwcentral.net/?a=details&amp;id=37161&amp;p=section" TargetMode="External"/><Relationship Id="rId5144" Type="http://schemas.openxmlformats.org/officeDocument/2006/relationships/hyperlink" Target="https://dl.smwcentral.net/23974/Totally%20Vanilla.zip" TargetMode="External"/><Relationship Id="rId5491" Type="http://schemas.openxmlformats.org/officeDocument/2006/relationships/hyperlink" Target="https://www.smwcentral.net/?a=details&amp;id=21950&amp;p=section" TargetMode="External"/><Relationship Id="rId1687" Type="http://schemas.openxmlformats.org/officeDocument/2006/relationships/hyperlink" Target="https://www.smwcentral.net/?a=details&amp;id=23089&amp;p=section" TargetMode="External"/><Relationship Id="rId2738" Type="http://schemas.openxmlformats.org/officeDocument/2006/relationships/hyperlink" Target="https://dl.smwcentral.net/15088/PIM%20v1.4.1.zip" TargetMode="External"/><Relationship Id="rId1754" Type="http://schemas.openxmlformats.org/officeDocument/2006/relationships/hyperlink" Target="https://dl.smwcentral.net/14809/Luigi%20and%20the%20island%20of%20mystery.zip" TargetMode="External"/><Relationship Id="rId2805" Type="http://schemas.openxmlformats.org/officeDocument/2006/relationships/hyperlink" Target="https://www.smwcentral.net/?a=details&amp;id=9998&amp;p=section" TargetMode="External"/><Relationship Id="rId4160" Type="http://schemas.openxmlformats.org/officeDocument/2006/relationships/hyperlink" Target="https://dl.smwcentral.net/10012/Super%20Mario%20HFTDC.zip" TargetMode="External"/><Relationship Id="rId5211" Type="http://schemas.openxmlformats.org/officeDocument/2006/relationships/hyperlink" Target="https://www.smwcentral.net/?a=details&amp;id=9732&amp;p=section" TargetMode="External"/><Relationship Id="rId46" Type="http://schemas.openxmlformats.org/officeDocument/2006/relationships/hyperlink" Target="https://dl.smwcentral.net/38406/22H%20v1.1.zip" TargetMode="External"/><Relationship Id="rId1407" Type="http://schemas.openxmlformats.org/officeDocument/2006/relationships/hyperlink" Target="https://www.smwcentral.net/?a=details&amp;id=30663&amp;p=section" TargetMode="External"/><Relationship Id="rId1821" Type="http://schemas.openxmlformats.org/officeDocument/2006/relationships/hyperlink" Target="https://www.smwcentral.net/?a=details&amp;id=24419&amp;p=section" TargetMode="External"/><Relationship Id="rId4977" Type="http://schemas.openxmlformats.org/officeDocument/2006/relationships/hyperlink" Target="https://www.smwcentral.net/?a=details&amp;id=4974&amp;p=section" TargetMode="External"/><Relationship Id="rId3579" Type="http://schemas.openxmlformats.org/officeDocument/2006/relationships/hyperlink" Target="https://www.smwcentral.net/?a=details&amp;id=19661&amp;p=section" TargetMode="External"/><Relationship Id="rId2595" Type="http://schemas.openxmlformats.org/officeDocument/2006/relationships/hyperlink" Target="https://www.smwcentral.net/?a=details&amp;id=29572&amp;p=section" TargetMode="External"/><Relationship Id="rId3993" Type="http://schemas.openxmlformats.org/officeDocument/2006/relationships/hyperlink" Target="https://www.smwcentral.net/?a=details&amp;id=42380&amp;p=section" TargetMode="External"/><Relationship Id="rId567" Type="http://schemas.openxmlformats.org/officeDocument/2006/relationships/hyperlink" Target="https://www.smwcentral.net/?a=details&amp;id=20177&amp;p=section" TargetMode="External"/><Relationship Id="rId1197" Type="http://schemas.openxmlformats.org/officeDocument/2006/relationships/hyperlink" Target="https://www.smwcentral.net/?a=details&amp;id=37071&amp;p=section" TargetMode="External"/><Relationship Id="rId2248" Type="http://schemas.openxmlformats.org/officeDocument/2006/relationships/hyperlink" Target="https://dl.smwcentral.net/14710/MSA%203%20FINAL%201.1.0.0.zip" TargetMode="External"/><Relationship Id="rId3646" Type="http://schemas.openxmlformats.org/officeDocument/2006/relationships/hyperlink" Target="https://dl.smwcentral.net/40178/Super%20Linkdeadx%20Dream.zi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0"/>
  <sheetViews>
    <sheetView showGridLines="0" workbookViewId="0">
      <selection sqref="A1:L2"/>
    </sheetView>
  </sheetViews>
  <sheetFormatPr defaultRowHeight="13.5"/>
  <cols>
    <col min="1" max="12" width="14" customWidth="1"/>
  </cols>
  <sheetData>
    <row r="1" spans="1:12">
      <c r="A1" s="50" t="s">
        <v>0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</row>
    <row r="2" spans="1:12">
      <c r="A2" s="48"/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</row>
    <row r="3" spans="1:12" ht="13.9">
      <c r="A3" s="47" t="s">
        <v>1</v>
      </c>
      <c r="B3" s="48"/>
      <c r="C3" s="48"/>
      <c r="D3" s="48"/>
      <c r="E3" s="48"/>
      <c r="F3" s="48"/>
      <c r="G3" s="48"/>
      <c r="H3" s="48"/>
      <c r="I3" s="48"/>
      <c r="J3" s="48"/>
      <c r="K3" s="48"/>
      <c r="L3" s="48"/>
    </row>
    <row r="4" spans="1:12">
      <c r="A4" s="43" t="s">
        <v>2</v>
      </c>
      <c r="B4" s="44"/>
      <c r="C4" s="45"/>
      <c r="D4" s="43" t="s">
        <v>3</v>
      </c>
      <c r="E4" s="44"/>
      <c r="F4" s="45"/>
      <c r="G4" s="43" t="s">
        <v>4</v>
      </c>
      <c r="H4" s="44"/>
      <c r="I4" s="45"/>
      <c r="J4" s="43" t="s">
        <v>5</v>
      </c>
      <c r="K4" s="44"/>
      <c r="L4" s="45"/>
    </row>
    <row r="5" spans="1:12">
      <c r="A5" s="53">
        <f>Settings!$B$5</f>
        <v>2747</v>
      </c>
      <c r="B5" s="35"/>
      <c r="C5" s="36"/>
      <c r="D5" s="51">
        <f>COUNTIF(Tracker!$B$2:$B$501,"&lt;&gt;")</f>
        <v>0</v>
      </c>
      <c r="E5" s="35"/>
      <c r="F5" s="36"/>
      <c r="G5" s="54">
        <f>COUNTIF(Tracker!$J$2:$J$501,"Yes")</f>
        <v>0</v>
      </c>
      <c r="H5" s="35"/>
      <c r="I5" s="36"/>
      <c r="J5" s="59">
        <f>IFERROR(COUNTIF(Tracker!$J$2:$J$501,"Yes")/COUNTIF(Tracker!$B$2:$B$501,"&lt;&gt;"),0)</f>
        <v>0</v>
      </c>
      <c r="K5" s="35"/>
      <c r="L5" s="36"/>
    </row>
    <row r="6" spans="1:12">
      <c r="A6" s="37"/>
      <c r="B6" s="38"/>
      <c r="C6" s="39"/>
      <c r="D6" s="37"/>
      <c r="E6" s="38"/>
      <c r="F6" s="39"/>
      <c r="G6" s="37"/>
      <c r="H6" s="38"/>
      <c r="I6" s="39"/>
      <c r="J6" s="37"/>
      <c r="K6" s="38"/>
      <c r="L6" s="39"/>
    </row>
    <row r="7" spans="1:12">
      <c r="A7" s="40"/>
      <c r="B7" s="41"/>
      <c r="C7" s="42"/>
      <c r="D7" s="40"/>
      <c r="E7" s="41"/>
      <c r="F7" s="42"/>
      <c r="G7" s="40"/>
      <c r="H7" s="41"/>
      <c r="I7" s="42"/>
      <c r="J7" s="40"/>
      <c r="K7" s="41"/>
      <c r="L7" s="42"/>
    </row>
    <row r="8" spans="1:12">
      <c r="A8" s="43" t="s">
        <v>6</v>
      </c>
      <c r="B8" s="44"/>
      <c r="C8" s="45"/>
      <c r="D8" s="43" t="s">
        <v>7</v>
      </c>
      <c r="E8" s="44"/>
      <c r="F8" s="45"/>
      <c r="G8" s="43" t="s">
        <v>8</v>
      </c>
      <c r="H8" s="44"/>
      <c r="I8" s="45"/>
      <c r="J8" s="43" t="s">
        <v>9</v>
      </c>
      <c r="K8" s="44"/>
      <c r="L8" s="45"/>
    </row>
    <row r="9" spans="1:12">
      <c r="A9" s="60">
        <f>SUMIFS(Tracker!$E$2:$E$501,Tracker!$J$2:$J$501,"Yes")</f>
        <v>0</v>
      </c>
      <c r="B9" s="35"/>
      <c r="C9" s="36"/>
      <c r="D9" s="55">
        <f>IFERROR(SUM(Tracker!$L$2:$L$501)/COUNT(Tracker!$L$2:$L$501),0)</f>
        <v>0</v>
      </c>
      <c r="E9" s="35"/>
      <c r="F9" s="36"/>
      <c r="G9" s="56" t="str">
        <f>Settings!$B$6</f>
        <v>2026.07.26</v>
      </c>
      <c r="H9" s="35"/>
      <c r="I9" s="36"/>
      <c r="J9" s="34" t="str">
        <f>Settings!$B$7</f>
        <v>Initial embedded catalog</v>
      </c>
      <c r="K9" s="35"/>
      <c r="L9" s="36"/>
    </row>
    <row r="10" spans="1:12">
      <c r="A10" s="37"/>
      <c r="B10" s="38"/>
      <c r="C10" s="39"/>
      <c r="D10" s="37"/>
      <c r="E10" s="38"/>
      <c r="F10" s="39"/>
      <c r="G10" s="37"/>
      <c r="H10" s="38"/>
      <c r="I10" s="39"/>
      <c r="J10" s="37"/>
      <c r="K10" s="38"/>
      <c r="L10" s="39"/>
    </row>
    <row r="11" spans="1:12">
      <c r="A11" s="40"/>
      <c r="B11" s="41"/>
      <c r="C11" s="42"/>
      <c r="D11" s="40"/>
      <c r="E11" s="41"/>
      <c r="F11" s="42"/>
      <c r="G11" s="40"/>
      <c r="H11" s="41"/>
      <c r="I11" s="42"/>
      <c r="J11" s="40"/>
      <c r="K11" s="41"/>
      <c r="L11" s="42"/>
    </row>
    <row r="13" spans="1:12">
      <c r="A13" s="58" t="s">
        <v>10</v>
      </c>
      <c r="B13" s="35"/>
      <c r="C13" s="35"/>
      <c r="D13" s="35"/>
      <c r="E13" s="35"/>
      <c r="F13" s="36"/>
      <c r="G13" s="46" t="s">
        <v>11</v>
      </c>
      <c r="H13" s="35"/>
      <c r="I13" s="35"/>
      <c r="J13" s="35"/>
      <c r="K13" s="35"/>
      <c r="L13" s="36"/>
    </row>
    <row r="14" spans="1:12">
      <c r="A14" s="37"/>
      <c r="B14" s="38"/>
      <c r="C14" s="38"/>
      <c r="D14" s="38"/>
      <c r="E14" s="38"/>
      <c r="F14" s="39"/>
      <c r="G14" s="37"/>
      <c r="H14" s="38"/>
      <c r="I14" s="38"/>
      <c r="J14" s="38"/>
      <c r="K14" s="38"/>
      <c r="L14" s="39"/>
    </row>
    <row r="15" spans="1:12">
      <c r="A15" s="37"/>
      <c r="B15" s="38"/>
      <c r="C15" s="38"/>
      <c r="D15" s="38"/>
      <c r="E15" s="38"/>
      <c r="F15" s="39"/>
      <c r="G15" s="37"/>
      <c r="H15" s="38"/>
      <c r="I15" s="38"/>
      <c r="J15" s="38"/>
      <c r="K15" s="38"/>
      <c r="L15" s="39"/>
    </row>
    <row r="16" spans="1:12">
      <c r="A16" s="37"/>
      <c r="B16" s="38"/>
      <c r="C16" s="38"/>
      <c r="D16" s="38"/>
      <c r="E16" s="38"/>
      <c r="F16" s="39"/>
      <c r="G16" s="37"/>
      <c r="H16" s="38"/>
      <c r="I16" s="38"/>
      <c r="J16" s="38"/>
      <c r="K16" s="38"/>
      <c r="L16" s="39"/>
    </row>
    <row r="17" spans="1:12">
      <c r="A17" s="40"/>
      <c r="B17" s="41"/>
      <c r="C17" s="41"/>
      <c r="D17" s="41"/>
      <c r="E17" s="41"/>
      <c r="F17" s="42"/>
      <c r="G17" s="40"/>
      <c r="H17" s="41"/>
      <c r="I17" s="41"/>
      <c r="J17" s="41"/>
      <c r="K17" s="41"/>
      <c r="L17" s="42"/>
    </row>
    <row r="20" spans="1:12" ht="16.899999999999999">
      <c r="A20" s="61" t="s">
        <v>12</v>
      </c>
      <c r="B20" s="44"/>
      <c r="C20" s="44"/>
      <c r="D20" s="44"/>
      <c r="E20" s="44"/>
      <c r="F20" s="44"/>
      <c r="G20" s="44"/>
      <c r="H20" s="45"/>
      <c r="I20" s="57" t="s">
        <v>13</v>
      </c>
      <c r="J20" s="35"/>
      <c r="K20" s="35"/>
      <c r="L20" s="36"/>
    </row>
    <row r="21" spans="1:12">
      <c r="A21" s="30" t="s">
        <v>14</v>
      </c>
      <c r="B21" s="31"/>
      <c r="C21" s="32"/>
      <c r="D21" s="33"/>
      <c r="E21" s="33"/>
      <c r="F21" s="33"/>
      <c r="G21" s="33"/>
      <c r="H21" s="31"/>
      <c r="I21" s="37"/>
      <c r="J21" s="38"/>
      <c r="K21" s="38"/>
      <c r="L21" s="39"/>
    </row>
    <row r="22" spans="1:12">
      <c r="A22" s="30" t="s">
        <v>15</v>
      </c>
      <c r="B22" s="31"/>
      <c r="C22" s="32"/>
      <c r="D22" s="33"/>
      <c r="E22" s="33"/>
      <c r="F22" s="33"/>
      <c r="G22" s="33"/>
      <c r="H22" s="31"/>
      <c r="I22" s="37"/>
      <c r="J22" s="38"/>
      <c r="K22" s="38"/>
      <c r="L22" s="39"/>
    </row>
    <row r="23" spans="1:12">
      <c r="A23" s="30" t="s">
        <v>16</v>
      </c>
      <c r="B23" s="31"/>
      <c r="C23" s="32"/>
      <c r="D23" s="31"/>
      <c r="E23" s="30" t="s">
        <v>17</v>
      </c>
      <c r="F23" s="31"/>
      <c r="G23" s="32"/>
      <c r="H23" s="31"/>
      <c r="I23" s="40"/>
      <c r="J23" s="41"/>
      <c r="K23" s="41"/>
      <c r="L23" s="42"/>
    </row>
    <row r="24" spans="1:12">
      <c r="A24" s="30" t="s">
        <v>18</v>
      </c>
      <c r="B24" s="31"/>
      <c r="C24" s="32"/>
      <c r="D24" s="33"/>
      <c r="E24" s="33"/>
      <c r="F24" s="33"/>
      <c r="G24" s="33"/>
      <c r="H24" s="31"/>
      <c r="I24" s="52" t="s">
        <v>19</v>
      </c>
      <c r="J24" s="35"/>
      <c r="K24" s="35"/>
      <c r="L24" s="36"/>
    </row>
    <row r="25" spans="1:12">
      <c r="A25" s="30" t="s">
        <v>20</v>
      </c>
      <c r="B25" s="31"/>
      <c r="C25" s="49"/>
      <c r="D25" s="31"/>
      <c r="I25" s="37"/>
      <c r="J25" s="38"/>
      <c r="K25" s="38"/>
      <c r="L25" s="39"/>
    </row>
    <row r="26" spans="1:12">
      <c r="A26" s="30" t="s">
        <v>21</v>
      </c>
      <c r="B26" s="31"/>
      <c r="C26" s="32"/>
      <c r="D26" s="33"/>
      <c r="E26" s="33"/>
      <c r="F26" s="33"/>
      <c r="G26" s="33"/>
      <c r="H26" s="31"/>
      <c r="I26" s="37"/>
      <c r="J26" s="38"/>
      <c r="K26" s="38"/>
      <c r="L26" s="39"/>
    </row>
    <row r="27" spans="1:12">
      <c r="A27" s="30" t="s">
        <v>22</v>
      </c>
      <c r="B27" s="31"/>
      <c r="C27" s="32"/>
      <c r="D27" s="33"/>
      <c r="E27" s="33"/>
      <c r="F27" s="33"/>
      <c r="G27" s="33"/>
      <c r="H27" s="31"/>
      <c r="I27" s="40"/>
      <c r="J27" s="41"/>
      <c r="K27" s="41"/>
      <c r="L27" s="42"/>
    </row>
    <row r="32" spans="1:12">
      <c r="A32" s="1" t="s">
        <v>17</v>
      </c>
      <c r="B32" s="2" t="s">
        <v>23</v>
      </c>
      <c r="C32" s="3" t="s">
        <v>24</v>
      </c>
      <c r="E32" s="1" t="s">
        <v>25</v>
      </c>
      <c r="F32" s="3" t="s">
        <v>26</v>
      </c>
    </row>
    <row r="33" spans="1:6">
      <c r="A33" s="12" t="s">
        <v>27</v>
      </c>
      <c r="B33" s="13">
        <f>COUNTIF(Tracker!$F$2:$F$501,A33)</f>
        <v>0</v>
      </c>
      <c r="C33" s="14">
        <f>COUNTIFS(Tracker!$F$2:$F$501,A33,Tracker!$J$2:$J$501,"Yes")</f>
        <v>0</v>
      </c>
      <c r="E33" s="12" t="s">
        <v>28</v>
      </c>
      <c r="F33" s="14">
        <f>COUNTIF(Tracker!$K$2:$K$501,E33)</f>
        <v>0</v>
      </c>
    </row>
    <row r="34" spans="1:6">
      <c r="A34" s="8" t="s">
        <v>29</v>
      </c>
      <c r="B34" s="15">
        <f>COUNTIF(Tracker!$F$2:$F$501,A34)</f>
        <v>0</v>
      </c>
      <c r="C34" s="16">
        <f>COUNTIFS(Tracker!$F$2:$F$501,A34,Tracker!$J$2:$J$501,"Yes")</f>
        <v>0</v>
      </c>
      <c r="E34" s="8" t="s">
        <v>30</v>
      </c>
      <c r="F34" s="16">
        <f>COUNTIF(Tracker!$K$2:$K$501,E34)</f>
        <v>0</v>
      </c>
    </row>
    <row r="35" spans="1:6">
      <c r="A35" s="8" t="s">
        <v>31</v>
      </c>
      <c r="B35" s="15">
        <f>COUNTIF(Tracker!$F$2:$F$501,A35)</f>
        <v>0</v>
      </c>
      <c r="C35" s="16">
        <f>COUNTIFS(Tracker!$F$2:$F$501,A35,Tracker!$J$2:$J$501,"Yes")</f>
        <v>0</v>
      </c>
      <c r="E35" s="8" t="s">
        <v>32</v>
      </c>
      <c r="F35" s="16">
        <f>COUNTIF(Tracker!$K$2:$K$501,E35)</f>
        <v>0</v>
      </c>
    </row>
    <row r="36" spans="1:6">
      <c r="A36" s="8" t="s">
        <v>33</v>
      </c>
      <c r="B36" s="15">
        <f>COUNTIF(Tracker!$F$2:$F$501,A36)</f>
        <v>0</v>
      </c>
      <c r="C36" s="16">
        <f>COUNTIFS(Tracker!$F$2:$F$501,A36,Tracker!$J$2:$J$501,"Yes")</f>
        <v>0</v>
      </c>
      <c r="E36" s="10" t="s">
        <v>4</v>
      </c>
      <c r="F36" s="18">
        <f>COUNTIF(Tracker!$K$2:$K$501,E36)</f>
        <v>0</v>
      </c>
    </row>
    <row r="37" spans="1:6">
      <c r="A37" s="8" t="s">
        <v>34</v>
      </c>
      <c r="B37" s="15">
        <f>COUNTIF(Tracker!$F$2:$F$501,A37)</f>
        <v>0</v>
      </c>
      <c r="C37" s="16">
        <f>COUNTIFS(Tracker!$F$2:$F$501,A37,Tracker!$J$2:$J$501,"Yes")</f>
        <v>0</v>
      </c>
    </row>
    <row r="38" spans="1:6">
      <c r="A38" s="8" t="s">
        <v>35</v>
      </c>
      <c r="B38" s="15">
        <f>COUNTIF(Tracker!$F$2:$F$501,A38)</f>
        <v>0</v>
      </c>
      <c r="C38" s="16">
        <f>COUNTIFS(Tracker!$F$2:$F$501,A38,Tracker!$J$2:$J$501,"Yes")</f>
        <v>0</v>
      </c>
    </row>
    <row r="39" spans="1:6">
      <c r="A39" s="8" t="s">
        <v>36</v>
      </c>
      <c r="B39" s="15">
        <f>COUNTIF(Tracker!$F$2:$F$501,A39)</f>
        <v>0</v>
      </c>
      <c r="C39" s="16">
        <f>COUNTIFS(Tracker!$F$2:$F$501,A39,Tracker!$J$2:$J$501,"Yes")</f>
        <v>0</v>
      </c>
    </row>
    <row r="40" spans="1:6">
      <c r="A40" s="10" t="s">
        <v>37</v>
      </c>
      <c r="B40" s="17">
        <f>COUNTIF(Tracker!$F$2:$F$501,A40)</f>
        <v>0</v>
      </c>
      <c r="C40" s="18">
        <f>COUNTIFS(Tracker!$F$2:$F$501,A40,Tracker!$J$2:$J$501,"Yes")</f>
        <v>0</v>
      </c>
    </row>
  </sheetData>
  <mergeCells count="39">
    <mergeCell ref="C26:H26"/>
    <mergeCell ref="A1:L2"/>
    <mergeCell ref="G4:I4"/>
    <mergeCell ref="D5:F7"/>
    <mergeCell ref="A4:C4"/>
    <mergeCell ref="D8:F8"/>
    <mergeCell ref="A5:C7"/>
    <mergeCell ref="G5:I7"/>
    <mergeCell ref="J8:L8"/>
    <mergeCell ref="J5:L7"/>
    <mergeCell ref="G8:I8"/>
    <mergeCell ref="A3:L3"/>
    <mergeCell ref="C21:H21"/>
    <mergeCell ref="A25:B25"/>
    <mergeCell ref="C27:H27"/>
    <mergeCell ref="C25:D25"/>
    <mergeCell ref="A8:C8"/>
    <mergeCell ref="D4:F4"/>
    <mergeCell ref="A27:B27"/>
    <mergeCell ref="I24:L27"/>
    <mergeCell ref="A26:B26"/>
    <mergeCell ref="A21:B21"/>
    <mergeCell ref="D9:F11"/>
    <mergeCell ref="G9:I11"/>
    <mergeCell ref="A23:B23"/>
    <mergeCell ref="I20:L23"/>
    <mergeCell ref="C23:D23"/>
    <mergeCell ref="A24:B24"/>
    <mergeCell ref="C22:H22"/>
    <mergeCell ref="J9:L11"/>
    <mergeCell ref="E23:F23"/>
    <mergeCell ref="J4:L4"/>
    <mergeCell ref="G23:H23"/>
    <mergeCell ref="G13:L17"/>
    <mergeCell ref="A22:B22"/>
    <mergeCell ref="C24:H24"/>
    <mergeCell ref="A13:F17"/>
    <mergeCell ref="A9:C11"/>
    <mergeCell ref="A20:H20"/>
  </mergeCells>
  <dataValidations count="2">
    <dataValidation sqref="C23:D23" xr:uid="{00000000-0002-0000-0000-000000000000}">
      <formula1>0</formula1>
      <formula2>999</formula2>
    </dataValidation>
    <dataValidation type="list" sqref="G23:H23" xr:uid="{00000000-0002-0000-0000-000001000000}">
      <formula1>DifficultyList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501"/>
  <sheetViews>
    <sheetView showGridLines="0" tabSelected="1" workbookViewId="0">
      <pane xSplit="2" ySplit="1" topLeftCell="C2" activePane="bottomRight" state="frozen"/>
      <selection pane="topRight"/>
      <selection pane="bottomLeft"/>
      <selection pane="bottomRight" activeCell="C15" sqref="C15"/>
    </sheetView>
  </sheetViews>
  <sheetFormatPr defaultRowHeight="13.5"/>
  <cols>
    <col min="1" max="1" width="7.5" style="75" customWidth="1"/>
    <col min="2" max="2" width="31.875" style="75" customWidth="1"/>
    <col min="3" max="3" width="30" style="75" customWidth="1"/>
    <col min="4" max="4" width="28.125" style="75" customWidth="1"/>
    <col min="5" max="5" width="7.5" style="75" customWidth="1"/>
    <col min="6" max="6" width="14.0625" style="75" customWidth="1"/>
    <col min="7" max="7" width="17.8125" style="75" customWidth="1"/>
    <col min="8" max="9" width="13.125" style="75" customWidth="1"/>
    <col min="10" max="11" width="16.875" style="75" customWidth="1"/>
    <col min="12" max="12" width="12.1875" style="75" customWidth="1"/>
    <col min="13" max="15" width="23.4375" style="75" customWidth="1"/>
    <col min="16" max="17" width="15" style="75" customWidth="1"/>
    <col min="18" max="18" width="39.375" style="91" customWidth="1"/>
    <col min="19" max="25" width="0" hidden="1" customWidth="1"/>
  </cols>
  <sheetData>
    <row r="1" spans="1:18" ht="36" customHeight="1" thickTop="1" thickBot="1">
      <c r="A1" s="76" t="s">
        <v>38</v>
      </c>
      <c r="B1" s="78" t="s">
        <v>39</v>
      </c>
      <c r="C1" s="72" t="s">
        <v>40</v>
      </c>
      <c r="D1" s="72" t="s">
        <v>15</v>
      </c>
      <c r="E1" s="72" t="s">
        <v>16</v>
      </c>
      <c r="F1" s="72" t="s">
        <v>17</v>
      </c>
      <c r="G1" s="72" t="s">
        <v>18</v>
      </c>
      <c r="H1" s="72" t="s">
        <v>41</v>
      </c>
      <c r="I1" s="72" t="s">
        <v>42</v>
      </c>
      <c r="J1" s="72" t="s">
        <v>43</v>
      </c>
      <c r="K1" s="72" t="s">
        <v>25</v>
      </c>
      <c r="L1" s="72" t="s">
        <v>44</v>
      </c>
      <c r="M1" s="82" t="s">
        <v>13559</v>
      </c>
      <c r="N1" s="85"/>
      <c r="O1" s="86"/>
      <c r="P1" s="72" t="s">
        <v>48</v>
      </c>
      <c r="Q1" s="88" t="s">
        <v>49</v>
      </c>
      <c r="R1" s="89" t="s">
        <v>50</v>
      </c>
    </row>
    <row r="2" spans="1:18" ht="22.05" customHeight="1" thickTop="1">
      <c r="A2" s="77" t="str">
        <f>IF(C2="","",COUNTIF($C$2:C2,"&lt;&gt;"))</f>
        <v/>
      </c>
      <c r="B2" s="73"/>
      <c r="C2" s="73" t="str">
        <f>IFERROR(VLOOKUP($B2,'Hack Database'!$A:$J,2,FALSE),"")</f>
        <v/>
      </c>
      <c r="D2" s="73" t="str">
        <f>IFERROR(VLOOKUP($B2,'Hack Database'!$A:$J,3,FALSE),"")</f>
        <v/>
      </c>
      <c r="E2" s="79" t="str">
        <f>IFERROR(VLOOKUP($B2,'Hack Database'!$A:$J,4,FALSE),"")</f>
        <v/>
      </c>
      <c r="F2" s="73" t="str">
        <f>IFERROR(VLOOKUP($B2,'Hack Database'!$A:$J,5,FALSE),"")</f>
        <v/>
      </c>
      <c r="G2" s="73" t="str">
        <f>IFERROR(VLOOKUP($B2,'Hack Database'!$A:$J,6,FALSE),"")</f>
        <v/>
      </c>
      <c r="H2" s="80"/>
      <c r="I2" s="80"/>
      <c r="J2" s="73"/>
      <c r="K2" s="73" t="str">
        <f t="shared" ref="K2:K65" si="0">IF($B2="","",IF($J2="Yes","100% Complete",IF($H2="","Planned",IF($I2="","In Progress","Finished"))))</f>
        <v/>
      </c>
      <c r="L2" s="79"/>
      <c r="M2" s="73"/>
      <c r="N2" s="73"/>
      <c r="O2" s="73"/>
      <c r="P2" s="87" t="str">
        <f>IFERROR(HYPERLINK(VLOOKUP($B2,'Online Database'!$A:$J,9,FALSE),"Open Page"),IFERROR(HYPERLINK(VLOOKUP($B2,'Manual Database'!$A:$J,9,FALSE),"Open Page"),""))</f>
        <v/>
      </c>
      <c r="Q2" s="87" t="str">
        <f>IFERROR(HYPERLINK(VLOOKUP($B2,'Online Database'!$A:$J,10,FALSE),"Download"),IFERROR(HYPERLINK(VLOOKUP($B2,'Manual Database'!$A:$J,10,FALSE),"Download"),""))</f>
        <v/>
      </c>
      <c r="R2" s="73"/>
    </row>
    <row r="3" spans="1:18" ht="22.05" customHeight="1">
      <c r="A3" s="77" t="str">
        <f>IF(C3="","",COUNTIF($C$2:C3,"&lt;&gt;"))</f>
        <v/>
      </c>
      <c r="B3" s="73"/>
      <c r="C3" s="73" t="str">
        <f>IFERROR(VLOOKUP($B3,'Hack Database'!$A:$J,2,FALSE),"")</f>
        <v/>
      </c>
      <c r="D3" s="73" t="str">
        <f>IFERROR(VLOOKUP($B3,'Hack Database'!$A:$J,3,FALSE),"")</f>
        <v/>
      </c>
      <c r="E3" s="79" t="str">
        <f>IFERROR(VLOOKUP($B3,'Hack Database'!$A:$J,4,FALSE),"")</f>
        <v/>
      </c>
      <c r="F3" s="73" t="str">
        <f>IFERROR(VLOOKUP($B3,'Hack Database'!$A:$J,5,FALSE),"")</f>
        <v/>
      </c>
      <c r="G3" s="73" t="str">
        <f>IFERROR(VLOOKUP($B3,'Hack Database'!$A:$J,6,FALSE),"")</f>
        <v/>
      </c>
      <c r="H3" s="80"/>
      <c r="I3" s="80"/>
      <c r="J3" s="73"/>
      <c r="K3" s="73" t="str">
        <f t="shared" si="0"/>
        <v/>
      </c>
      <c r="L3" s="79"/>
      <c r="M3" s="73"/>
      <c r="N3" s="73"/>
      <c r="O3" s="73"/>
      <c r="P3" s="87" t="str">
        <f>IFERROR(HYPERLINK(VLOOKUP($B3,'Online Database'!$A:$J,9,FALSE),"Open Page"),IFERROR(HYPERLINK(VLOOKUP($B3,'Manual Database'!$A:$J,9,FALSE),"Open Page"),""))</f>
        <v/>
      </c>
      <c r="Q3" s="87" t="str">
        <f>IFERROR(HYPERLINK(VLOOKUP($B3,'Online Database'!$A:$J,10,FALSE),"Download"),IFERROR(HYPERLINK(VLOOKUP($B3,'Manual Database'!$A:$J,10,FALSE),"Download"),""))</f>
        <v/>
      </c>
      <c r="R3" s="73"/>
    </row>
    <row r="4" spans="1:18" ht="22.05" customHeight="1">
      <c r="A4" s="77" t="str">
        <f>IF(C4="","",COUNTIF($C$2:C4,"&lt;&gt;"))</f>
        <v/>
      </c>
      <c r="B4" s="73"/>
      <c r="C4" s="73" t="str">
        <f>IFERROR(VLOOKUP($B4,'Hack Database'!$A:$J,2,FALSE),"")</f>
        <v/>
      </c>
      <c r="D4" s="73" t="str">
        <f>IFERROR(VLOOKUP($B4,'Hack Database'!$A:$J,3,FALSE),"")</f>
        <v/>
      </c>
      <c r="E4" s="79" t="str">
        <f>IFERROR(VLOOKUP($B4,'Hack Database'!$A:$J,4,FALSE),"")</f>
        <v/>
      </c>
      <c r="F4" s="73" t="str">
        <f>IFERROR(VLOOKUP($B4,'Hack Database'!$A:$J,5,FALSE),"")</f>
        <v/>
      </c>
      <c r="G4" s="73" t="str">
        <f>IFERROR(VLOOKUP($B4,'Hack Database'!$A:$J,6,FALSE),"")</f>
        <v/>
      </c>
      <c r="H4" s="80"/>
      <c r="I4" s="80"/>
      <c r="J4" s="73"/>
      <c r="K4" s="73" t="str">
        <f t="shared" si="0"/>
        <v/>
      </c>
      <c r="L4" s="79"/>
      <c r="M4" s="73"/>
      <c r="N4" s="73"/>
      <c r="O4" s="73"/>
      <c r="P4" s="87" t="str">
        <f>IFERROR(HYPERLINK(VLOOKUP($B4,'Online Database'!$A:$J,9,FALSE),"Open Page"),IFERROR(HYPERLINK(VLOOKUP($B4,'Manual Database'!$A:$J,9,FALSE),"Open Page"),""))</f>
        <v/>
      </c>
      <c r="Q4" s="87" t="str">
        <f>IFERROR(HYPERLINK(VLOOKUP($B4,'Online Database'!$A:$J,10,FALSE),"Download"),IFERROR(HYPERLINK(VLOOKUP($B4,'Manual Database'!$A:$J,10,FALSE),"Download"),""))</f>
        <v/>
      </c>
      <c r="R4" s="73"/>
    </row>
    <row r="5" spans="1:18" ht="22.05" customHeight="1">
      <c r="A5" s="77" t="str">
        <f>IF(C5="","",COUNTIF($C$2:C5,"&lt;&gt;"))</f>
        <v/>
      </c>
      <c r="B5" s="73"/>
      <c r="C5" s="73" t="str">
        <f>IFERROR(VLOOKUP($B5,'Hack Database'!$A:$J,2,FALSE),"")</f>
        <v/>
      </c>
      <c r="D5" s="73" t="str">
        <f>IFERROR(VLOOKUP($B5,'Hack Database'!$A:$J,3,FALSE),"")</f>
        <v/>
      </c>
      <c r="E5" s="79" t="str">
        <f>IFERROR(VLOOKUP($B5,'Hack Database'!$A:$J,4,FALSE),"")</f>
        <v/>
      </c>
      <c r="F5" s="73" t="str">
        <f>IFERROR(VLOOKUP($B5,'Hack Database'!$A:$J,5,FALSE),"")</f>
        <v/>
      </c>
      <c r="G5" s="73" t="str">
        <f>IFERROR(VLOOKUP($B5,'Hack Database'!$A:$J,6,FALSE),"")</f>
        <v/>
      </c>
      <c r="H5" s="80"/>
      <c r="I5" s="80"/>
      <c r="J5" s="73"/>
      <c r="K5" s="73" t="str">
        <f t="shared" si="0"/>
        <v/>
      </c>
      <c r="L5" s="79"/>
      <c r="M5" s="73"/>
      <c r="N5" s="73"/>
      <c r="O5" s="73"/>
      <c r="P5" s="87" t="str">
        <f>IFERROR(HYPERLINK(VLOOKUP($B5,'Online Database'!$A:$J,9,FALSE),"Open Page"),IFERROR(HYPERLINK(VLOOKUP($B5,'Manual Database'!$A:$J,9,FALSE),"Open Page"),""))</f>
        <v/>
      </c>
      <c r="Q5" s="87" t="str">
        <f>IFERROR(HYPERLINK(VLOOKUP($B5,'Online Database'!$A:$J,10,FALSE),"Download"),IFERROR(HYPERLINK(VLOOKUP($B5,'Manual Database'!$A:$J,10,FALSE),"Download"),""))</f>
        <v/>
      </c>
      <c r="R5" s="73"/>
    </row>
    <row r="6" spans="1:18" ht="22.05" customHeight="1">
      <c r="A6" s="77" t="str">
        <f>IF(C6="","",COUNTIF($C$2:C6,"&lt;&gt;"))</f>
        <v/>
      </c>
      <c r="B6" s="73"/>
      <c r="C6" s="73" t="str">
        <f>IFERROR(VLOOKUP($B6,'Hack Database'!$A:$J,2,FALSE),"")</f>
        <v/>
      </c>
      <c r="D6" s="73" t="str">
        <f>IFERROR(VLOOKUP($B6,'Hack Database'!$A:$J,3,FALSE),"")</f>
        <v/>
      </c>
      <c r="E6" s="79" t="str">
        <f>IFERROR(VLOOKUP($B6,'Hack Database'!$A:$J,4,FALSE),"")</f>
        <v/>
      </c>
      <c r="F6" s="73" t="str">
        <f>IFERROR(VLOOKUP($B6,'Hack Database'!$A:$J,5,FALSE),"")</f>
        <v/>
      </c>
      <c r="G6" s="73" t="str">
        <f>IFERROR(VLOOKUP($B6,'Hack Database'!$A:$J,6,FALSE),"")</f>
        <v/>
      </c>
      <c r="H6" s="80"/>
      <c r="I6" s="80"/>
      <c r="J6" s="73"/>
      <c r="K6" s="73" t="str">
        <f t="shared" si="0"/>
        <v/>
      </c>
      <c r="L6" s="79"/>
      <c r="M6" s="73"/>
      <c r="N6" s="73"/>
      <c r="O6" s="73"/>
      <c r="P6" s="87" t="str">
        <f>IFERROR(HYPERLINK(VLOOKUP($B6,'Online Database'!$A:$J,9,FALSE),"Open Page"),IFERROR(HYPERLINK(VLOOKUP($B6,'Manual Database'!$A:$J,9,FALSE),"Open Page"),""))</f>
        <v/>
      </c>
      <c r="Q6" s="87" t="str">
        <f>IFERROR(HYPERLINK(VLOOKUP($B6,'Online Database'!$A:$J,10,FALSE),"Download"),IFERROR(HYPERLINK(VLOOKUP($B6,'Manual Database'!$A:$J,10,FALSE),"Download"),""))</f>
        <v/>
      </c>
      <c r="R6" s="73"/>
    </row>
    <row r="7" spans="1:18" ht="22.05" customHeight="1">
      <c r="A7" s="77" t="str">
        <f>IF(C7="","",COUNTIF($C$2:C7,"&lt;&gt;"))</f>
        <v/>
      </c>
      <c r="B7" s="73"/>
      <c r="C7" s="73" t="str">
        <f>IFERROR(VLOOKUP($B7,'Hack Database'!$A:$J,2,FALSE),"")</f>
        <v/>
      </c>
      <c r="D7" s="73" t="str">
        <f>IFERROR(VLOOKUP($B7,'Hack Database'!$A:$J,3,FALSE),"")</f>
        <v/>
      </c>
      <c r="E7" s="79" t="str">
        <f>IFERROR(VLOOKUP($B7,'Hack Database'!$A:$J,4,FALSE),"")</f>
        <v/>
      </c>
      <c r="F7" s="73" t="str">
        <f>IFERROR(VLOOKUP($B7,'Hack Database'!$A:$J,5,FALSE),"")</f>
        <v/>
      </c>
      <c r="G7" s="73" t="str">
        <f>IFERROR(VLOOKUP($B7,'Hack Database'!$A:$J,6,FALSE),"")</f>
        <v/>
      </c>
      <c r="H7" s="80"/>
      <c r="I7" s="80"/>
      <c r="J7" s="73"/>
      <c r="K7" s="73" t="str">
        <f t="shared" si="0"/>
        <v/>
      </c>
      <c r="L7" s="79"/>
      <c r="M7" s="73"/>
      <c r="N7" s="73"/>
      <c r="O7" s="73"/>
      <c r="P7" s="87" t="str">
        <f>IFERROR(HYPERLINK(VLOOKUP($B7,'Online Database'!$A:$J,9,FALSE),"Open Page"),IFERROR(HYPERLINK(VLOOKUP($B7,'Manual Database'!$A:$J,9,FALSE),"Open Page"),""))</f>
        <v/>
      </c>
      <c r="Q7" s="87" t="str">
        <f>IFERROR(HYPERLINK(VLOOKUP($B7,'Online Database'!$A:$J,10,FALSE),"Download"),IFERROR(HYPERLINK(VLOOKUP($B7,'Manual Database'!$A:$J,10,FALSE),"Download"),""))</f>
        <v/>
      </c>
      <c r="R7" s="73"/>
    </row>
    <row r="8" spans="1:18" ht="22.05" customHeight="1">
      <c r="A8" s="77" t="str">
        <f>IF(C8="","",COUNTIF($C$2:C8,"&lt;&gt;"))</f>
        <v/>
      </c>
      <c r="B8" s="73"/>
      <c r="C8" s="73" t="str">
        <f>IFERROR(VLOOKUP($B8,'Hack Database'!$A:$J,2,FALSE),"")</f>
        <v/>
      </c>
      <c r="D8" s="73" t="str">
        <f>IFERROR(VLOOKUP($B8,'Hack Database'!$A:$J,3,FALSE),"")</f>
        <v/>
      </c>
      <c r="E8" s="79" t="str">
        <f>IFERROR(VLOOKUP($B8,'Hack Database'!$A:$J,4,FALSE),"")</f>
        <v/>
      </c>
      <c r="F8" s="73" t="str">
        <f>IFERROR(VLOOKUP($B8,'Hack Database'!$A:$J,5,FALSE),"")</f>
        <v/>
      </c>
      <c r="G8" s="73" t="str">
        <f>IFERROR(VLOOKUP($B8,'Hack Database'!$A:$J,6,FALSE),"")</f>
        <v/>
      </c>
      <c r="H8" s="80"/>
      <c r="I8" s="80"/>
      <c r="J8" s="73"/>
      <c r="K8" s="73" t="str">
        <f t="shared" si="0"/>
        <v/>
      </c>
      <c r="L8" s="79"/>
      <c r="M8" s="73"/>
      <c r="N8" s="73"/>
      <c r="O8" s="73"/>
      <c r="P8" s="87" t="str">
        <f>IFERROR(HYPERLINK(VLOOKUP($B8,'Online Database'!$A:$J,9,FALSE),"Open Page"),IFERROR(HYPERLINK(VLOOKUP($B8,'Manual Database'!$A:$J,9,FALSE),"Open Page"),""))</f>
        <v/>
      </c>
      <c r="Q8" s="87" t="str">
        <f>IFERROR(HYPERLINK(VLOOKUP($B8,'Online Database'!$A:$J,10,FALSE),"Download"),IFERROR(HYPERLINK(VLOOKUP($B8,'Manual Database'!$A:$J,10,FALSE),"Download"),""))</f>
        <v/>
      </c>
      <c r="R8" s="73"/>
    </row>
    <row r="9" spans="1:18" ht="22.05" customHeight="1">
      <c r="A9" s="77" t="str">
        <f>IF(C9="","",COUNTIF($C$2:C9,"&lt;&gt;"))</f>
        <v/>
      </c>
      <c r="B9" s="73"/>
      <c r="C9" s="73" t="str">
        <f>IFERROR(VLOOKUP($B9,'Hack Database'!$A:$J,2,FALSE),"")</f>
        <v/>
      </c>
      <c r="D9" s="73" t="str">
        <f>IFERROR(VLOOKUP($B9,'Hack Database'!$A:$J,3,FALSE),"")</f>
        <v/>
      </c>
      <c r="E9" s="79" t="str">
        <f>IFERROR(VLOOKUP($B9,'Hack Database'!$A:$J,4,FALSE),"")</f>
        <v/>
      </c>
      <c r="F9" s="73" t="str">
        <f>IFERROR(VLOOKUP($B9,'Hack Database'!$A:$J,5,FALSE),"")</f>
        <v/>
      </c>
      <c r="G9" s="73" t="str">
        <f>IFERROR(VLOOKUP($B9,'Hack Database'!$A:$J,6,FALSE),"")</f>
        <v/>
      </c>
      <c r="H9" s="80"/>
      <c r="I9" s="80"/>
      <c r="J9" s="73"/>
      <c r="K9" s="73" t="str">
        <f t="shared" si="0"/>
        <v/>
      </c>
      <c r="L9" s="79"/>
      <c r="M9" s="73"/>
      <c r="N9" s="73"/>
      <c r="O9" s="73"/>
      <c r="P9" s="87" t="str">
        <f>IFERROR(HYPERLINK(VLOOKUP($B9,'Online Database'!$A:$J,9,FALSE),"Open Page"),IFERROR(HYPERLINK(VLOOKUP($B9,'Manual Database'!$A:$J,9,FALSE),"Open Page"),""))</f>
        <v/>
      </c>
      <c r="Q9" s="87" t="str">
        <f>IFERROR(HYPERLINK(VLOOKUP($B9,'Online Database'!$A:$J,10,FALSE),"Download"),IFERROR(HYPERLINK(VLOOKUP($B9,'Manual Database'!$A:$J,10,FALSE),"Download"),""))</f>
        <v/>
      </c>
      <c r="R9" s="73"/>
    </row>
    <row r="10" spans="1:18" ht="22.05" customHeight="1">
      <c r="A10" s="77" t="str">
        <f>IF(C10="","",COUNTIF($C$2:C10,"&lt;&gt;"))</f>
        <v/>
      </c>
      <c r="B10" s="73"/>
      <c r="C10" s="73" t="str">
        <f>IFERROR(VLOOKUP($B10,'Hack Database'!$A:$J,2,FALSE),"")</f>
        <v/>
      </c>
      <c r="D10" s="73" t="str">
        <f>IFERROR(VLOOKUP($B10,'Hack Database'!$A:$J,3,FALSE),"")</f>
        <v/>
      </c>
      <c r="E10" s="79" t="str">
        <f>IFERROR(VLOOKUP($B10,'Hack Database'!$A:$J,4,FALSE),"")</f>
        <v/>
      </c>
      <c r="F10" s="73" t="str">
        <f>IFERROR(VLOOKUP($B10,'Hack Database'!$A:$J,5,FALSE),"")</f>
        <v/>
      </c>
      <c r="G10" s="73" t="str">
        <f>IFERROR(VLOOKUP($B10,'Hack Database'!$A:$J,6,FALSE),"")</f>
        <v/>
      </c>
      <c r="H10" s="80"/>
      <c r="I10" s="80"/>
      <c r="J10" s="73"/>
      <c r="K10" s="73" t="str">
        <f t="shared" si="0"/>
        <v/>
      </c>
      <c r="L10" s="79"/>
      <c r="M10" s="73"/>
      <c r="N10" s="73"/>
      <c r="O10" s="73"/>
      <c r="P10" s="87" t="str">
        <f>IFERROR(HYPERLINK(VLOOKUP($B10,'Online Database'!$A:$J,9,FALSE),"Open Page"),IFERROR(HYPERLINK(VLOOKUP($B10,'Manual Database'!$A:$J,9,FALSE),"Open Page"),""))</f>
        <v/>
      </c>
      <c r="Q10" s="87" t="str">
        <f>IFERROR(HYPERLINK(VLOOKUP($B10,'Online Database'!$A:$J,10,FALSE),"Download"),IFERROR(HYPERLINK(VLOOKUP($B10,'Manual Database'!$A:$J,10,FALSE),"Download"),""))</f>
        <v/>
      </c>
      <c r="R10" s="73"/>
    </row>
    <row r="11" spans="1:18" ht="22.05" customHeight="1">
      <c r="A11" s="77" t="str">
        <f>IF(C11="","",COUNTIF($C$2:C11,"&lt;&gt;"))</f>
        <v/>
      </c>
      <c r="B11" s="73"/>
      <c r="C11" s="73" t="str">
        <f>IFERROR(VLOOKUP($B11,'Hack Database'!$A:$J,2,FALSE),"")</f>
        <v/>
      </c>
      <c r="D11" s="73" t="str">
        <f>IFERROR(VLOOKUP($B11,'Hack Database'!$A:$J,3,FALSE),"")</f>
        <v/>
      </c>
      <c r="E11" s="79" t="str">
        <f>IFERROR(VLOOKUP($B11,'Hack Database'!$A:$J,4,FALSE),"")</f>
        <v/>
      </c>
      <c r="F11" s="73" t="str">
        <f>IFERROR(VLOOKUP($B11,'Hack Database'!$A:$J,5,FALSE),"")</f>
        <v/>
      </c>
      <c r="G11" s="73" t="str">
        <f>IFERROR(VLOOKUP($B11,'Hack Database'!$A:$J,6,FALSE),"")</f>
        <v/>
      </c>
      <c r="H11" s="80"/>
      <c r="I11" s="80"/>
      <c r="J11" s="73"/>
      <c r="K11" s="73" t="str">
        <f t="shared" si="0"/>
        <v/>
      </c>
      <c r="L11" s="79"/>
      <c r="M11" s="73"/>
      <c r="N11" s="73"/>
      <c r="O11" s="73"/>
      <c r="P11" s="87" t="str">
        <f>IFERROR(HYPERLINK(VLOOKUP($B11,'Online Database'!$A:$J,9,FALSE),"Open Page"),IFERROR(HYPERLINK(VLOOKUP($B11,'Manual Database'!$A:$J,9,FALSE),"Open Page"),""))</f>
        <v/>
      </c>
      <c r="Q11" s="87" t="str">
        <f>IFERROR(HYPERLINK(VLOOKUP($B11,'Online Database'!$A:$J,10,FALSE),"Download"),IFERROR(HYPERLINK(VLOOKUP($B11,'Manual Database'!$A:$J,10,FALSE),"Download"),""))</f>
        <v/>
      </c>
      <c r="R11" s="73"/>
    </row>
    <row r="12" spans="1:18" ht="22.05" customHeight="1">
      <c r="A12" s="77" t="str">
        <f>IF(C12="","",COUNTIF($C$2:C12,"&lt;&gt;"))</f>
        <v/>
      </c>
      <c r="B12" s="73"/>
      <c r="C12" s="73" t="str">
        <f>IFERROR(VLOOKUP($B12,'Hack Database'!$A:$J,2,FALSE),"")</f>
        <v/>
      </c>
      <c r="D12" s="73" t="str">
        <f>IFERROR(VLOOKUP($B12,'Hack Database'!$A:$J,3,FALSE),"")</f>
        <v/>
      </c>
      <c r="E12" s="79" t="str">
        <f>IFERROR(VLOOKUP($B12,'Hack Database'!$A:$J,4,FALSE),"")</f>
        <v/>
      </c>
      <c r="F12" s="73" t="str">
        <f>IFERROR(VLOOKUP($B12,'Hack Database'!$A:$J,5,FALSE),"")</f>
        <v/>
      </c>
      <c r="G12" s="73" t="str">
        <f>IFERROR(VLOOKUP($B12,'Hack Database'!$A:$J,6,FALSE),"")</f>
        <v/>
      </c>
      <c r="H12" s="80"/>
      <c r="I12" s="80"/>
      <c r="J12" s="73"/>
      <c r="K12" s="73" t="str">
        <f t="shared" si="0"/>
        <v/>
      </c>
      <c r="L12" s="79"/>
      <c r="M12" s="73"/>
      <c r="N12" s="73"/>
      <c r="O12" s="73"/>
      <c r="P12" s="87" t="str">
        <f>IFERROR(HYPERLINK(VLOOKUP($B12,'Online Database'!$A:$J,9,FALSE),"Open Page"),IFERROR(HYPERLINK(VLOOKUP($B12,'Manual Database'!$A:$J,9,FALSE),"Open Page"),""))</f>
        <v/>
      </c>
      <c r="Q12" s="87" t="str">
        <f>IFERROR(HYPERLINK(VLOOKUP($B12,'Online Database'!$A:$J,10,FALSE),"Download"),IFERROR(HYPERLINK(VLOOKUP($B12,'Manual Database'!$A:$J,10,FALSE),"Download"),""))</f>
        <v/>
      </c>
      <c r="R12" s="73"/>
    </row>
    <row r="13" spans="1:18" ht="22.05" customHeight="1">
      <c r="A13" s="77" t="str">
        <f>IF(C13="","",COUNTIF($C$2:C13,"&lt;&gt;"))</f>
        <v/>
      </c>
      <c r="B13" s="73"/>
      <c r="C13" s="73" t="str">
        <f>IFERROR(VLOOKUP($B13,'Hack Database'!$A:$J,2,FALSE),"")</f>
        <v/>
      </c>
      <c r="D13" s="73" t="str">
        <f>IFERROR(VLOOKUP($B13,'Hack Database'!$A:$J,3,FALSE),"")</f>
        <v/>
      </c>
      <c r="E13" s="79" t="str">
        <f>IFERROR(VLOOKUP($B13,'Hack Database'!$A:$J,4,FALSE),"")</f>
        <v/>
      </c>
      <c r="F13" s="73" t="str">
        <f>IFERROR(VLOOKUP($B13,'Hack Database'!$A:$J,5,FALSE),"")</f>
        <v/>
      </c>
      <c r="G13" s="73" t="str">
        <f>IFERROR(VLOOKUP($B13,'Hack Database'!$A:$J,6,FALSE),"")</f>
        <v/>
      </c>
      <c r="H13" s="80"/>
      <c r="I13" s="80"/>
      <c r="J13" s="73"/>
      <c r="K13" s="73" t="str">
        <f t="shared" si="0"/>
        <v/>
      </c>
      <c r="L13" s="79"/>
      <c r="M13" s="73"/>
      <c r="N13" s="73"/>
      <c r="O13" s="73"/>
      <c r="P13" s="87" t="str">
        <f>IFERROR(HYPERLINK(VLOOKUP($B13,'Online Database'!$A:$J,9,FALSE),"Open Page"),IFERROR(HYPERLINK(VLOOKUP($B13,'Manual Database'!$A:$J,9,FALSE),"Open Page"),""))</f>
        <v/>
      </c>
      <c r="Q13" s="87" t="str">
        <f>IFERROR(HYPERLINK(VLOOKUP($B13,'Online Database'!$A:$J,10,FALSE),"Download"),IFERROR(HYPERLINK(VLOOKUP($B13,'Manual Database'!$A:$J,10,FALSE),"Download"),""))</f>
        <v/>
      </c>
      <c r="R13" s="73"/>
    </row>
    <row r="14" spans="1:18" ht="22.05" customHeight="1">
      <c r="A14" s="77" t="str">
        <f>IF(C14="","",COUNTIF($C$2:C14,"&lt;&gt;"))</f>
        <v/>
      </c>
      <c r="B14" s="73"/>
      <c r="C14" s="73" t="str">
        <f>IFERROR(VLOOKUP($B14,'Hack Database'!$A:$J,2,FALSE),"")</f>
        <v/>
      </c>
      <c r="D14" s="73" t="str">
        <f>IFERROR(VLOOKUP($B14,'Hack Database'!$A:$J,3,FALSE),"")</f>
        <v/>
      </c>
      <c r="E14" s="79" t="str">
        <f>IFERROR(VLOOKUP($B14,'Hack Database'!$A:$J,4,FALSE),"")</f>
        <v/>
      </c>
      <c r="F14" s="73" t="str">
        <f>IFERROR(VLOOKUP($B14,'Hack Database'!$A:$J,5,FALSE),"")</f>
        <v/>
      </c>
      <c r="G14" s="73" t="str">
        <f>IFERROR(VLOOKUP($B14,'Hack Database'!$A:$J,6,FALSE),"")</f>
        <v/>
      </c>
      <c r="H14" s="80"/>
      <c r="I14" s="80"/>
      <c r="J14" s="73"/>
      <c r="K14" s="73" t="str">
        <f t="shared" si="0"/>
        <v/>
      </c>
      <c r="L14" s="79"/>
      <c r="M14" s="73"/>
      <c r="N14" s="73"/>
      <c r="O14" s="73"/>
      <c r="P14" s="87" t="str">
        <f>IFERROR(HYPERLINK(VLOOKUP($B14,'Online Database'!$A:$J,9,FALSE),"Open Page"),IFERROR(HYPERLINK(VLOOKUP($B14,'Manual Database'!$A:$J,9,FALSE),"Open Page"),""))</f>
        <v/>
      </c>
      <c r="Q14" s="87" t="str">
        <f>IFERROR(HYPERLINK(VLOOKUP($B14,'Online Database'!$A:$J,10,FALSE),"Download"),IFERROR(HYPERLINK(VLOOKUP($B14,'Manual Database'!$A:$J,10,FALSE),"Download"),""))</f>
        <v/>
      </c>
      <c r="R14" s="73"/>
    </row>
    <row r="15" spans="1:18" ht="22.05" customHeight="1">
      <c r="A15" s="77" t="str">
        <f>IF(C15="","",COUNTIF($C$2:C15,"&lt;&gt;"))</f>
        <v/>
      </c>
      <c r="B15" s="73"/>
      <c r="C15" s="73" t="str">
        <f>IFERROR(VLOOKUP($B15,'Hack Database'!$A:$J,2,FALSE),"")</f>
        <v/>
      </c>
      <c r="D15" s="73" t="str">
        <f>IFERROR(VLOOKUP($B15,'Hack Database'!$A:$J,3,FALSE),"")</f>
        <v/>
      </c>
      <c r="E15" s="79" t="str">
        <f>IFERROR(VLOOKUP($B15,'Hack Database'!$A:$J,4,FALSE),"")</f>
        <v/>
      </c>
      <c r="F15" s="73" t="str">
        <f>IFERROR(VLOOKUP($B15,'Hack Database'!$A:$J,5,FALSE),"")</f>
        <v/>
      </c>
      <c r="G15" s="73" t="str">
        <f>IFERROR(VLOOKUP($B15,'Hack Database'!$A:$J,6,FALSE),"")</f>
        <v/>
      </c>
      <c r="H15" s="80"/>
      <c r="I15" s="80"/>
      <c r="J15" s="73"/>
      <c r="K15" s="73" t="str">
        <f t="shared" si="0"/>
        <v/>
      </c>
      <c r="L15" s="79"/>
      <c r="M15" s="73"/>
      <c r="N15" s="73"/>
      <c r="O15" s="73"/>
      <c r="P15" s="87" t="str">
        <f>IFERROR(HYPERLINK(VLOOKUP($B15,'Online Database'!$A:$J,9,FALSE),"Open Page"),IFERROR(HYPERLINK(VLOOKUP($B15,'Manual Database'!$A:$J,9,FALSE),"Open Page"),""))</f>
        <v/>
      </c>
      <c r="Q15" s="87" t="str">
        <f>IFERROR(HYPERLINK(VLOOKUP($B15,'Online Database'!$A:$J,10,FALSE),"Download"),IFERROR(HYPERLINK(VLOOKUP($B15,'Manual Database'!$A:$J,10,FALSE),"Download"),""))</f>
        <v/>
      </c>
      <c r="R15" s="73"/>
    </row>
    <row r="16" spans="1:18" ht="22.05" customHeight="1">
      <c r="A16" s="77" t="str">
        <f>IF(C16="","",COUNTIF($C$2:C16,"&lt;&gt;"))</f>
        <v/>
      </c>
      <c r="B16" s="73"/>
      <c r="C16" s="73" t="str">
        <f>IFERROR(VLOOKUP($B16,'Hack Database'!$A:$J,2,FALSE),"")</f>
        <v/>
      </c>
      <c r="D16" s="73" t="str">
        <f>IFERROR(VLOOKUP($B16,'Hack Database'!$A:$J,3,FALSE),"")</f>
        <v/>
      </c>
      <c r="E16" s="79" t="str">
        <f>IFERROR(VLOOKUP($B16,'Hack Database'!$A:$J,4,FALSE),"")</f>
        <v/>
      </c>
      <c r="F16" s="73" t="str">
        <f>IFERROR(VLOOKUP($B16,'Hack Database'!$A:$J,5,FALSE),"")</f>
        <v/>
      </c>
      <c r="G16" s="73" t="str">
        <f>IFERROR(VLOOKUP($B16,'Hack Database'!$A:$J,6,FALSE),"")</f>
        <v/>
      </c>
      <c r="H16" s="80"/>
      <c r="I16" s="80"/>
      <c r="J16" s="73"/>
      <c r="K16" s="73" t="str">
        <f t="shared" si="0"/>
        <v/>
      </c>
      <c r="L16" s="79"/>
      <c r="M16" s="73"/>
      <c r="N16" s="73"/>
      <c r="O16" s="73"/>
      <c r="P16" s="87" t="str">
        <f>IFERROR(HYPERLINK(VLOOKUP($B16,'Online Database'!$A:$J,9,FALSE),"Open Page"),IFERROR(HYPERLINK(VLOOKUP($B16,'Manual Database'!$A:$J,9,FALSE),"Open Page"),""))</f>
        <v/>
      </c>
      <c r="Q16" s="87" t="str">
        <f>IFERROR(HYPERLINK(VLOOKUP($B16,'Online Database'!$A:$J,10,FALSE),"Download"),IFERROR(HYPERLINK(VLOOKUP($B16,'Manual Database'!$A:$J,10,FALSE),"Download"),""))</f>
        <v/>
      </c>
      <c r="R16" s="73"/>
    </row>
    <row r="17" spans="1:18" ht="22.05" customHeight="1">
      <c r="A17" s="77" t="str">
        <f>IF(C17="","",COUNTIF($C$2:C17,"&lt;&gt;"))</f>
        <v/>
      </c>
      <c r="B17" s="73"/>
      <c r="C17" s="73" t="str">
        <f>IFERROR(VLOOKUP($B17,'Hack Database'!$A:$J,2,FALSE),"")</f>
        <v/>
      </c>
      <c r="D17" s="73" t="str">
        <f>IFERROR(VLOOKUP($B17,'Hack Database'!$A:$J,3,FALSE),"")</f>
        <v/>
      </c>
      <c r="E17" s="79" t="str">
        <f>IFERROR(VLOOKUP($B17,'Hack Database'!$A:$J,4,FALSE),"")</f>
        <v/>
      </c>
      <c r="F17" s="73" t="str">
        <f>IFERROR(VLOOKUP($B17,'Hack Database'!$A:$J,5,FALSE),"")</f>
        <v/>
      </c>
      <c r="G17" s="73" t="str">
        <f>IFERROR(VLOOKUP($B17,'Hack Database'!$A:$J,6,FALSE),"")</f>
        <v/>
      </c>
      <c r="H17" s="80"/>
      <c r="I17" s="80"/>
      <c r="J17" s="73"/>
      <c r="K17" s="73" t="str">
        <f t="shared" si="0"/>
        <v/>
      </c>
      <c r="L17" s="79"/>
      <c r="M17" s="73"/>
      <c r="N17" s="73"/>
      <c r="O17" s="73"/>
      <c r="P17" s="87" t="str">
        <f>IFERROR(HYPERLINK(VLOOKUP($B17,'Online Database'!$A:$J,9,FALSE),"Open Page"),IFERROR(HYPERLINK(VLOOKUP($B17,'Manual Database'!$A:$J,9,FALSE),"Open Page"),""))</f>
        <v/>
      </c>
      <c r="Q17" s="87" t="str">
        <f>IFERROR(HYPERLINK(VLOOKUP($B17,'Online Database'!$A:$J,10,FALSE),"Download"),IFERROR(HYPERLINK(VLOOKUP($B17,'Manual Database'!$A:$J,10,FALSE),"Download"),""))</f>
        <v/>
      </c>
      <c r="R17" s="73"/>
    </row>
    <row r="18" spans="1:18" ht="22.05" customHeight="1">
      <c r="A18" s="77" t="str">
        <f>IF(C18="","",COUNTIF($C$2:C18,"&lt;&gt;"))</f>
        <v/>
      </c>
      <c r="B18" s="73"/>
      <c r="C18" s="73" t="str">
        <f>IFERROR(VLOOKUP($B18,'Hack Database'!$A:$J,2,FALSE),"")</f>
        <v/>
      </c>
      <c r="D18" s="73" t="str">
        <f>IFERROR(VLOOKUP($B18,'Hack Database'!$A:$J,3,FALSE),"")</f>
        <v/>
      </c>
      <c r="E18" s="79" t="str">
        <f>IFERROR(VLOOKUP($B18,'Hack Database'!$A:$J,4,FALSE),"")</f>
        <v/>
      </c>
      <c r="F18" s="73" t="str">
        <f>IFERROR(VLOOKUP($B18,'Hack Database'!$A:$J,5,FALSE),"")</f>
        <v/>
      </c>
      <c r="G18" s="73" t="str">
        <f>IFERROR(VLOOKUP($B18,'Hack Database'!$A:$J,6,FALSE),"")</f>
        <v/>
      </c>
      <c r="H18" s="80"/>
      <c r="I18" s="80"/>
      <c r="J18" s="73"/>
      <c r="K18" s="73" t="str">
        <f t="shared" si="0"/>
        <v/>
      </c>
      <c r="L18" s="79"/>
      <c r="M18" s="73"/>
      <c r="N18" s="73"/>
      <c r="O18" s="73"/>
      <c r="P18" s="87" t="str">
        <f>IFERROR(HYPERLINK(VLOOKUP($B18,'Online Database'!$A:$J,9,FALSE),"Open Page"),IFERROR(HYPERLINK(VLOOKUP($B18,'Manual Database'!$A:$J,9,FALSE),"Open Page"),""))</f>
        <v/>
      </c>
      <c r="Q18" s="87" t="str">
        <f>IFERROR(HYPERLINK(VLOOKUP($B18,'Online Database'!$A:$J,10,FALSE),"Download"),IFERROR(HYPERLINK(VLOOKUP($B18,'Manual Database'!$A:$J,10,FALSE),"Download"),""))</f>
        <v/>
      </c>
      <c r="R18" s="73"/>
    </row>
    <row r="19" spans="1:18" ht="22.05" customHeight="1">
      <c r="A19" s="77" t="str">
        <f>IF(C19="","",COUNTIF($C$2:C19,"&lt;&gt;"))</f>
        <v/>
      </c>
      <c r="B19" s="73"/>
      <c r="C19" s="73" t="str">
        <f>IFERROR(VLOOKUP($B19,'Hack Database'!$A:$J,2,FALSE),"")</f>
        <v/>
      </c>
      <c r="D19" s="73" t="str">
        <f>IFERROR(VLOOKUP($B19,'Hack Database'!$A:$J,3,FALSE),"")</f>
        <v/>
      </c>
      <c r="E19" s="79" t="str">
        <f>IFERROR(VLOOKUP($B19,'Hack Database'!$A:$J,4,FALSE),"")</f>
        <v/>
      </c>
      <c r="F19" s="73" t="str">
        <f>IFERROR(VLOOKUP($B19,'Hack Database'!$A:$J,5,FALSE),"")</f>
        <v/>
      </c>
      <c r="G19" s="73" t="str">
        <f>IFERROR(VLOOKUP($B19,'Hack Database'!$A:$J,6,FALSE),"")</f>
        <v/>
      </c>
      <c r="H19" s="80"/>
      <c r="I19" s="80"/>
      <c r="J19" s="73"/>
      <c r="K19" s="73" t="str">
        <f t="shared" si="0"/>
        <v/>
      </c>
      <c r="L19" s="79"/>
      <c r="M19" s="73"/>
      <c r="N19" s="73"/>
      <c r="O19" s="73"/>
      <c r="P19" s="87" t="str">
        <f>IFERROR(HYPERLINK(VLOOKUP($B19,'Online Database'!$A:$J,9,FALSE),"Open Page"),IFERROR(HYPERLINK(VLOOKUP($B19,'Manual Database'!$A:$J,9,FALSE),"Open Page"),""))</f>
        <v/>
      </c>
      <c r="Q19" s="87" t="str">
        <f>IFERROR(HYPERLINK(VLOOKUP($B19,'Online Database'!$A:$J,10,FALSE),"Download"),IFERROR(HYPERLINK(VLOOKUP($B19,'Manual Database'!$A:$J,10,FALSE),"Download"),""))</f>
        <v/>
      </c>
      <c r="R19" s="73"/>
    </row>
    <row r="20" spans="1:18" ht="22.05" customHeight="1">
      <c r="A20" s="77" t="str">
        <f>IF(C20="","",COUNTIF($C$2:C20,"&lt;&gt;"))</f>
        <v/>
      </c>
      <c r="B20" s="73"/>
      <c r="C20" s="73" t="str">
        <f>IFERROR(VLOOKUP($B20,'Hack Database'!$A:$J,2,FALSE),"")</f>
        <v/>
      </c>
      <c r="D20" s="73" t="str">
        <f>IFERROR(VLOOKUP($B20,'Hack Database'!$A:$J,3,FALSE),"")</f>
        <v/>
      </c>
      <c r="E20" s="79" t="str">
        <f>IFERROR(VLOOKUP($B20,'Hack Database'!$A:$J,4,FALSE),"")</f>
        <v/>
      </c>
      <c r="F20" s="73" t="str">
        <f>IFERROR(VLOOKUP($B20,'Hack Database'!$A:$J,5,FALSE),"")</f>
        <v/>
      </c>
      <c r="G20" s="73" t="str">
        <f>IFERROR(VLOOKUP($B20,'Hack Database'!$A:$J,6,FALSE),"")</f>
        <v/>
      </c>
      <c r="H20" s="80"/>
      <c r="I20" s="80"/>
      <c r="J20" s="73"/>
      <c r="K20" s="73" t="str">
        <f t="shared" si="0"/>
        <v/>
      </c>
      <c r="L20" s="79"/>
      <c r="M20" s="73"/>
      <c r="N20" s="73"/>
      <c r="O20" s="73"/>
      <c r="P20" s="87" t="str">
        <f>IFERROR(HYPERLINK(VLOOKUP($B20,'Online Database'!$A:$J,9,FALSE),"Open Page"),IFERROR(HYPERLINK(VLOOKUP($B20,'Manual Database'!$A:$J,9,FALSE),"Open Page"),""))</f>
        <v/>
      </c>
      <c r="Q20" s="87" t="str">
        <f>IFERROR(HYPERLINK(VLOOKUP($B20,'Online Database'!$A:$J,10,FALSE),"Download"),IFERROR(HYPERLINK(VLOOKUP($B20,'Manual Database'!$A:$J,10,FALSE),"Download"),""))</f>
        <v/>
      </c>
      <c r="R20" s="73"/>
    </row>
    <row r="21" spans="1:18" ht="22.05" customHeight="1">
      <c r="A21" s="77" t="str">
        <f>IF(C21="","",COUNTIF($C$2:C21,"&lt;&gt;"))</f>
        <v/>
      </c>
      <c r="B21" s="73"/>
      <c r="C21" s="73" t="str">
        <f>IFERROR(VLOOKUP($B21,'Hack Database'!$A:$J,2,FALSE),"")</f>
        <v/>
      </c>
      <c r="D21" s="73" t="str">
        <f>IFERROR(VLOOKUP($B21,'Hack Database'!$A:$J,3,FALSE),"")</f>
        <v/>
      </c>
      <c r="E21" s="79" t="str">
        <f>IFERROR(VLOOKUP($B21,'Hack Database'!$A:$J,4,FALSE),"")</f>
        <v/>
      </c>
      <c r="F21" s="73" t="str">
        <f>IFERROR(VLOOKUP($B21,'Hack Database'!$A:$J,5,FALSE),"")</f>
        <v/>
      </c>
      <c r="G21" s="73" t="str">
        <f>IFERROR(VLOOKUP($B21,'Hack Database'!$A:$J,6,FALSE),"")</f>
        <v/>
      </c>
      <c r="H21" s="80"/>
      <c r="I21" s="80"/>
      <c r="J21" s="73"/>
      <c r="K21" s="73" t="str">
        <f t="shared" si="0"/>
        <v/>
      </c>
      <c r="L21" s="79"/>
      <c r="M21" s="73"/>
      <c r="N21" s="73"/>
      <c r="O21" s="73"/>
      <c r="P21" s="87" t="str">
        <f>IFERROR(HYPERLINK(VLOOKUP($B21,'Online Database'!$A:$J,9,FALSE),"Open Page"),IFERROR(HYPERLINK(VLOOKUP($B21,'Manual Database'!$A:$J,9,FALSE),"Open Page"),""))</f>
        <v/>
      </c>
      <c r="Q21" s="87" t="str">
        <f>IFERROR(HYPERLINK(VLOOKUP($B21,'Online Database'!$A:$J,10,FALSE),"Download"),IFERROR(HYPERLINK(VLOOKUP($B21,'Manual Database'!$A:$J,10,FALSE),"Download"),""))</f>
        <v/>
      </c>
      <c r="R21" s="73"/>
    </row>
    <row r="22" spans="1:18" ht="22.05" customHeight="1">
      <c r="A22" s="77" t="str">
        <f>IF(C22="","",COUNTIF($C$2:C22,"&lt;&gt;"))</f>
        <v/>
      </c>
      <c r="B22" s="73"/>
      <c r="C22" s="73" t="str">
        <f>IFERROR(VLOOKUP($B22,'Hack Database'!$A:$J,2,FALSE),"")</f>
        <v/>
      </c>
      <c r="D22" s="73" t="str">
        <f>IFERROR(VLOOKUP($B22,'Hack Database'!$A:$J,3,FALSE),"")</f>
        <v/>
      </c>
      <c r="E22" s="79" t="str">
        <f>IFERROR(VLOOKUP($B22,'Hack Database'!$A:$J,4,FALSE),"")</f>
        <v/>
      </c>
      <c r="F22" s="73" t="str">
        <f>IFERROR(VLOOKUP($B22,'Hack Database'!$A:$J,5,FALSE),"")</f>
        <v/>
      </c>
      <c r="G22" s="73" t="str">
        <f>IFERROR(VLOOKUP($B22,'Hack Database'!$A:$J,6,FALSE),"")</f>
        <v/>
      </c>
      <c r="H22" s="80"/>
      <c r="I22" s="80"/>
      <c r="J22" s="73"/>
      <c r="K22" s="73" t="str">
        <f t="shared" si="0"/>
        <v/>
      </c>
      <c r="L22" s="79"/>
      <c r="M22" s="73"/>
      <c r="N22" s="73"/>
      <c r="O22" s="73"/>
      <c r="P22" s="87" t="str">
        <f>IFERROR(HYPERLINK(VLOOKUP($B22,'Online Database'!$A:$J,9,FALSE),"Open Page"),IFERROR(HYPERLINK(VLOOKUP($B22,'Manual Database'!$A:$J,9,FALSE),"Open Page"),""))</f>
        <v/>
      </c>
      <c r="Q22" s="87" t="str">
        <f>IFERROR(HYPERLINK(VLOOKUP($B22,'Online Database'!$A:$J,10,FALSE),"Download"),IFERROR(HYPERLINK(VLOOKUP($B22,'Manual Database'!$A:$J,10,FALSE),"Download"),""))</f>
        <v/>
      </c>
      <c r="R22" s="73"/>
    </row>
    <row r="23" spans="1:18" ht="22.05" customHeight="1">
      <c r="A23" s="77" t="str">
        <f>IF(C23="","",COUNTIF($C$2:C23,"&lt;&gt;"))</f>
        <v/>
      </c>
      <c r="B23" s="73"/>
      <c r="C23" s="73" t="str">
        <f>IFERROR(VLOOKUP($B23,'Hack Database'!$A:$J,2,FALSE),"")</f>
        <v/>
      </c>
      <c r="D23" s="73" t="str">
        <f>IFERROR(VLOOKUP($B23,'Hack Database'!$A:$J,3,FALSE),"")</f>
        <v/>
      </c>
      <c r="E23" s="79" t="str">
        <f>IFERROR(VLOOKUP($B23,'Hack Database'!$A:$J,4,FALSE),"")</f>
        <v/>
      </c>
      <c r="F23" s="73" t="str">
        <f>IFERROR(VLOOKUP($B23,'Hack Database'!$A:$J,5,FALSE),"")</f>
        <v/>
      </c>
      <c r="G23" s="73" t="str">
        <f>IFERROR(VLOOKUP($B23,'Hack Database'!$A:$J,6,FALSE),"")</f>
        <v/>
      </c>
      <c r="H23" s="80"/>
      <c r="I23" s="80"/>
      <c r="J23" s="73"/>
      <c r="K23" s="73" t="str">
        <f t="shared" si="0"/>
        <v/>
      </c>
      <c r="L23" s="79"/>
      <c r="M23" s="73"/>
      <c r="N23" s="73"/>
      <c r="O23" s="73"/>
      <c r="P23" s="87" t="str">
        <f>IFERROR(HYPERLINK(VLOOKUP($B23,'Online Database'!$A:$J,9,FALSE),"Open Page"),IFERROR(HYPERLINK(VLOOKUP($B23,'Manual Database'!$A:$J,9,FALSE),"Open Page"),""))</f>
        <v/>
      </c>
      <c r="Q23" s="87" t="str">
        <f>IFERROR(HYPERLINK(VLOOKUP($B23,'Online Database'!$A:$J,10,FALSE),"Download"),IFERROR(HYPERLINK(VLOOKUP($B23,'Manual Database'!$A:$J,10,FALSE),"Download"),""))</f>
        <v/>
      </c>
      <c r="R23" s="73"/>
    </row>
    <row r="24" spans="1:18" ht="22.05" customHeight="1">
      <c r="A24" s="77" t="str">
        <f>IF(C24="","",COUNTIF($C$2:C24,"&lt;&gt;"))</f>
        <v/>
      </c>
      <c r="B24" s="73"/>
      <c r="C24" s="73" t="str">
        <f>IFERROR(VLOOKUP($B24,'Hack Database'!$A:$J,2,FALSE),"")</f>
        <v/>
      </c>
      <c r="D24" s="73" t="str">
        <f>IFERROR(VLOOKUP($B24,'Hack Database'!$A:$J,3,FALSE),"")</f>
        <v/>
      </c>
      <c r="E24" s="79" t="str">
        <f>IFERROR(VLOOKUP($B24,'Hack Database'!$A:$J,4,FALSE),"")</f>
        <v/>
      </c>
      <c r="F24" s="73" t="str">
        <f>IFERROR(VLOOKUP($B24,'Hack Database'!$A:$J,5,FALSE),"")</f>
        <v/>
      </c>
      <c r="G24" s="73" t="str">
        <f>IFERROR(VLOOKUP($B24,'Hack Database'!$A:$J,6,FALSE),"")</f>
        <v/>
      </c>
      <c r="H24" s="80"/>
      <c r="I24" s="80"/>
      <c r="J24" s="73"/>
      <c r="K24" s="73" t="str">
        <f t="shared" si="0"/>
        <v/>
      </c>
      <c r="L24" s="79"/>
      <c r="M24" s="73"/>
      <c r="N24" s="73"/>
      <c r="O24" s="73"/>
      <c r="P24" s="87" t="str">
        <f>IFERROR(HYPERLINK(VLOOKUP($B24,'Online Database'!$A:$J,9,FALSE),"Open Page"),IFERROR(HYPERLINK(VLOOKUP($B24,'Manual Database'!$A:$J,9,FALSE),"Open Page"),""))</f>
        <v/>
      </c>
      <c r="Q24" s="87" t="str">
        <f>IFERROR(HYPERLINK(VLOOKUP($B24,'Online Database'!$A:$J,10,FALSE),"Download"),IFERROR(HYPERLINK(VLOOKUP($B24,'Manual Database'!$A:$J,10,FALSE),"Download"),""))</f>
        <v/>
      </c>
      <c r="R24" s="73"/>
    </row>
    <row r="25" spans="1:18" ht="22.05" customHeight="1">
      <c r="A25" s="77" t="str">
        <f>IF(C25="","",COUNTIF($C$2:C25,"&lt;&gt;"))</f>
        <v/>
      </c>
      <c r="B25" s="73"/>
      <c r="C25" s="73" t="str">
        <f>IFERROR(VLOOKUP($B25,'Hack Database'!$A:$J,2,FALSE),"")</f>
        <v/>
      </c>
      <c r="D25" s="73" t="str">
        <f>IFERROR(VLOOKUP($B25,'Hack Database'!$A:$J,3,FALSE),"")</f>
        <v/>
      </c>
      <c r="E25" s="79" t="str">
        <f>IFERROR(VLOOKUP($B25,'Hack Database'!$A:$J,4,FALSE),"")</f>
        <v/>
      </c>
      <c r="F25" s="73" t="str">
        <f>IFERROR(VLOOKUP($B25,'Hack Database'!$A:$J,5,FALSE),"")</f>
        <v/>
      </c>
      <c r="G25" s="73" t="str">
        <f>IFERROR(VLOOKUP($B25,'Hack Database'!$A:$J,6,FALSE),"")</f>
        <v/>
      </c>
      <c r="H25" s="80"/>
      <c r="I25" s="80"/>
      <c r="J25" s="73"/>
      <c r="K25" s="73" t="str">
        <f t="shared" si="0"/>
        <v/>
      </c>
      <c r="L25" s="79"/>
      <c r="M25" s="73"/>
      <c r="N25" s="73"/>
      <c r="O25" s="73"/>
      <c r="P25" s="87" t="str">
        <f>IFERROR(HYPERLINK(VLOOKUP($B25,'Online Database'!$A:$J,9,FALSE),"Open Page"),IFERROR(HYPERLINK(VLOOKUP($B25,'Manual Database'!$A:$J,9,FALSE),"Open Page"),""))</f>
        <v/>
      </c>
      <c r="Q25" s="87" t="str">
        <f>IFERROR(HYPERLINK(VLOOKUP($B25,'Online Database'!$A:$J,10,FALSE),"Download"),IFERROR(HYPERLINK(VLOOKUP($B25,'Manual Database'!$A:$J,10,FALSE),"Download"),""))</f>
        <v/>
      </c>
      <c r="R25" s="73"/>
    </row>
    <row r="26" spans="1:18" ht="22.05" customHeight="1">
      <c r="A26" s="77" t="str">
        <f>IF(C26="","",COUNTIF($C$2:C26,"&lt;&gt;"))</f>
        <v/>
      </c>
      <c r="B26" s="73"/>
      <c r="C26" s="73" t="str">
        <f>IFERROR(VLOOKUP($B26,'Hack Database'!$A:$J,2,FALSE),"")</f>
        <v/>
      </c>
      <c r="D26" s="73" t="str">
        <f>IFERROR(VLOOKUP($B26,'Hack Database'!$A:$J,3,FALSE),"")</f>
        <v/>
      </c>
      <c r="E26" s="79" t="str">
        <f>IFERROR(VLOOKUP($B26,'Hack Database'!$A:$J,4,FALSE),"")</f>
        <v/>
      </c>
      <c r="F26" s="73" t="str">
        <f>IFERROR(VLOOKUP($B26,'Hack Database'!$A:$J,5,FALSE),"")</f>
        <v/>
      </c>
      <c r="G26" s="73" t="str">
        <f>IFERROR(VLOOKUP($B26,'Hack Database'!$A:$J,6,FALSE),"")</f>
        <v/>
      </c>
      <c r="H26" s="80"/>
      <c r="I26" s="80"/>
      <c r="J26" s="73"/>
      <c r="K26" s="73" t="str">
        <f t="shared" si="0"/>
        <v/>
      </c>
      <c r="L26" s="79"/>
      <c r="M26" s="73"/>
      <c r="N26" s="73"/>
      <c r="O26" s="73"/>
      <c r="P26" s="87" t="str">
        <f>IFERROR(HYPERLINK(VLOOKUP($B26,'Online Database'!$A:$J,9,FALSE),"Open Page"),IFERROR(HYPERLINK(VLOOKUP($B26,'Manual Database'!$A:$J,9,FALSE),"Open Page"),""))</f>
        <v/>
      </c>
      <c r="Q26" s="87" t="str">
        <f>IFERROR(HYPERLINK(VLOOKUP($B26,'Online Database'!$A:$J,10,FALSE),"Download"),IFERROR(HYPERLINK(VLOOKUP($B26,'Manual Database'!$A:$J,10,FALSE),"Download"),""))</f>
        <v/>
      </c>
      <c r="R26" s="73"/>
    </row>
    <row r="27" spans="1:18" ht="22.05" customHeight="1">
      <c r="A27" s="77" t="str">
        <f>IF(C27="","",COUNTIF($C$2:C27,"&lt;&gt;"))</f>
        <v/>
      </c>
      <c r="B27" s="73"/>
      <c r="C27" s="73" t="str">
        <f>IFERROR(VLOOKUP($B27,'Hack Database'!$A:$J,2,FALSE),"")</f>
        <v/>
      </c>
      <c r="D27" s="73" t="str">
        <f>IFERROR(VLOOKUP($B27,'Hack Database'!$A:$J,3,FALSE),"")</f>
        <v/>
      </c>
      <c r="E27" s="79" t="str">
        <f>IFERROR(VLOOKUP($B27,'Hack Database'!$A:$J,4,FALSE),"")</f>
        <v/>
      </c>
      <c r="F27" s="73" t="str">
        <f>IFERROR(VLOOKUP($B27,'Hack Database'!$A:$J,5,FALSE),"")</f>
        <v/>
      </c>
      <c r="G27" s="73" t="str">
        <f>IFERROR(VLOOKUP($B27,'Hack Database'!$A:$J,6,FALSE),"")</f>
        <v/>
      </c>
      <c r="H27" s="80"/>
      <c r="I27" s="80"/>
      <c r="J27" s="73"/>
      <c r="K27" s="73" t="str">
        <f t="shared" si="0"/>
        <v/>
      </c>
      <c r="L27" s="79"/>
      <c r="M27" s="73"/>
      <c r="N27" s="73"/>
      <c r="O27" s="73"/>
      <c r="P27" s="87" t="str">
        <f>IFERROR(HYPERLINK(VLOOKUP($B27,'Online Database'!$A:$J,9,FALSE),"Open Page"),IFERROR(HYPERLINK(VLOOKUP($B27,'Manual Database'!$A:$J,9,FALSE),"Open Page"),""))</f>
        <v/>
      </c>
      <c r="Q27" s="87" t="str">
        <f>IFERROR(HYPERLINK(VLOOKUP($B27,'Online Database'!$A:$J,10,FALSE),"Download"),IFERROR(HYPERLINK(VLOOKUP($B27,'Manual Database'!$A:$J,10,FALSE),"Download"),""))</f>
        <v/>
      </c>
      <c r="R27" s="73"/>
    </row>
    <row r="28" spans="1:18" ht="22.05" customHeight="1">
      <c r="A28" s="77" t="str">
        <f>IF(C28="","",COUNTIF($C$2:C28,"&lt;&gt;"))</f>
        <v/>
      </c>
      <c r="B28" s="73"/>
      <c r="C28" s="73" t="str">
        <f>IFERROR(VLOOKUP($B28,'Hack Database'!$A:$J,2,FALSE),"")</f>
        <v/>
      </c>
      <c r="D28" s="73" t="str">
        <f>IFERROR(VLOOKUP($B28,'Hack Database'!$A:$J,3,FALSE),"")</f>
        <v/>
      </c>
      <c r="E28" s="79" t="str">
        <f>IFERROR(VLOOKUP($B28,'Hack Database'!$A:$J,4,FALSE),"")</f>
        <v/>
      </c>
      <c r="F28" s="73" t="str">
        <f>IFERROR(VLOOKUP($B28,'Hack Database'!$A:$J,5,FALSE),"")</f>
        <v/>
      </c>
      <c r="G28" s="73" t="str">
        <f>IFERROR(VLOOKUP($B28,'Hack Database'!$A:$J,6,FALSE),"")</f>
        <v/>
      </c>
      <c r="H28" s="80"/>
      <c r="I28" s="80"/>
      <c r="J28" s="73"/>
      <c r="K28" s="73" t="str">
        <f t="shared" si="0"/>
        <v/>
      </c>
      <c r="L28" s="79"/>
      <c r="M28" s="73"/>
      <c r="N28" s="73"/>
      <c r="O28" s="73"/>
      <c r="P28" s="87" t="str">
        <f>IFERROR(HYPERLINK(VLOOKUP($B28,'Online Database'!$A:$J,9,FALSE),"Open Page"),IFERROR(HYPERLINK(VLOOKUP($B28,'Manual Database'!$A:$J,9,FALSE),"Open Page"),""))</f>
        <v/>
      </c>
      <c r="Q28" s="87" t="str">
        <f>IFERROR(HYPERLINK(VLOOKUP($B28,'Online Database'!$A:$J,10,FALSE),"Download"),IFERROR(HYPERLINK(VLOOKUP($B28,'Manual Database'!$A:$J,10,FALSE),"Download"),""))</f>
        <v/>
      </c>
      <c r="R28" s="73"/>
    </row>
    <row r="29" spans="1:18" ht="22.05" customHeight="1">
      <c r="A29" s="77" t="str">
        <f>IF(C29="","",COUNTIF($C$2:C29,"&lt;&gt;"))</f>
        <v/>
      </c>
      <c r="B29" s="73"/>
      <c r="C29" s="73" t="str">
        <f>IFERROR(VLOOKUP($B29,'Hack Database'!$A:$J,2,FALSE),"")</f>
        <v/>
      </c>
      <c r="D29" s="73" t="str">
        <f>IFERROR(VLOOKUP($B29,'Hack Database'!$A:$J,3,FALSE),"")</f>
        <v/>
      </c>
      <c r="E29" s="79" t="str">
        <f>IFERROR(VLOOKUP($B29,'Hack Database'!$A:$J,4,FALSE),"")</f>
        <v/>
      </c>
      <c r="F29" s="73" t="str">
        <f>IFERROR(VLOOKUP($B29,'Hack Database'!$A:$J,5,FALSE),"")</f>
        <v/>
      </c>
      <c r="G29" s="73" t="str">
        <f>IFERROR(VLOOKUP($B29,'Hack Database'!$A:$J,6,FALSE),"")</f>
        <v/>
      </c>
      <c r="H29" s="80"/>
      <c r="I29" s="80"/>
      <c r="J29" s="73"/>
      <c r="K29" s="73" t="str">
        <f t="shared" si="0"/>
        <v/>
      </c>
      <c r="L29" s="79"/>
      <c r="M29" s="73"/>
      <c r="N29" s="73"/>
      <c r="O29" s="73"/>
      <c r="P29" s="87" t="str">
        <f>IFERROR(HYPERLINK(VLOOKUP($B29,'Online Database'!$A:$J,9,FALSE),"Open Page"),IFERROR(HYPERLINK(VLOOKUP($B29,'Manual Database'!$A:$J,9,FALSE),"Open Page"),""))</f>
        <v/>
      </c>
      <c r="Q29" s="87" t="str">
        <f>IFERROR(HYPERLINK(VLOOKUP($B29,'Online Database'!$A:$J,10,FALSE),"Download"),IFERROR(HYPERLINK(VLOOKUP($B29,'Manual Database'!$A:$J,10,FALSE),"Download"),""))</f>
        <v/>
      </c>
      <c r="R29" s="73"/>
    </row>
    <row r="30" spans="1:18" ht="22.05" customHeight="1">
      <c r="A30" s="77" t="str">
        <f>IF(C30="","",COUNTIF($C$2:C30,"&lt;&gt;"))</f>
        <v/>
      </c>
      <c r="B30" s="73"/>
      <c r="C30" s="73" t="str">
        <f>IFERROR(VLOOKUP($B30,'Hack Database'!$A:$J,2,FALSE),"")</f>
        <v/>
      </c>
      <c r="D30" s="73" t="str">
        <f>IFERROR(VLOOKUP($B30,'Hack Database'!$A:$J,3,FALSE),"")</f>
        <v/>
      </c>
      <c r="E30" s="79" t="str">
        <f>IFERROR(VLOOKUP($B30,'Hack Database'!$A:$J,4,FALSE),"")</f>
        <v/>
      </c>
      <c r="F30" s="73" t="str">
        <f>IFERROR(VLOOKUP($B30,'Hack Database'!$A:$J,5,FALSE),"")</f>
        <v/>
      </c>
      <c r="G30" s="73" t="str">
        <f>IFERROR(VLOOKUP($B30,'Hack Database'!$A:$J,6,FALSE),"")</f>
        <v/>
      </c>
      <c r="H30" s="80"/>
      <c r="I30" s="80"/>
      <c r="J30" s="73"/>
      <c r="K30" s="73" t="str">
        <f t="shared" si="0"/>
        <v/>
      </c>
      <c r="L30" s="79"/>
      <c r="M30" s="73"/>
      <c r="N30" s="73"/>
      <c r="O30" s="73"/>
      <c r="P30" s="87" t="str">
        <f>IFERROR(HYPERLINK(VLOOKUP($B30,'Online Database'!$A:$J,9,FALSE),"Open Page"),IFERROR(HYPERLINK(VLOOKUP($B30,'Manual Database'!$A:$J,9,FALSE),"Open Page"),""))</f>
        <v/>
      </c>
      <c r="Q30" s="87" t="str">
        <f>IFERROR(HYPERLINK(VLOOKUP($B30,'Online Database'!$A:$J,10,FALSE),"Download"),IFERROR(HYPERLINK(VLOOKUP($B30,'Manual Database'!$A:$J,10,FALSE),"Download"),""))</f>
        <v/>
      </c>
      <c r="R30" s="73"/>
    </row>
    <row r="31" spans="1:18" ht="22.05" customHeight="1">
      <c r="A31" s="77" t="str">
        <f>IF(C31="","",COUNTIF($C$2:C31,"&lt;&gt;"))</f>
        <v/>
      </c>
      <c r="B31" s="73"/>
      <c r="C31" s="73" t="str">
        <f>IFERROR(VLOOKUP($B31,'Hack Database'!$A:$J,2,FALSE),"")</f>
        <v/>
      </c>
      <c r="D31" s="73" t="str">
        <f>IFERROR(VLOOKUP($B31,'Hack Database'!$A:$J,3,FALSE),"")</f>
        <v/>
      </c>
      <c r="E31" s="79" t="str">
        <f>IFERROR(VLOOKUP($B31,'Hack Database'!$A:$J,4,FALSE),"")</f>
        <v/>
      </c>
      <c r="F31" s="73" t="str">
        <f>IFERROR(VLOOKUP($B31,'Hack Database'!$A:$J,5,FALSE),"")</f>
        <v/>
      </c>
      <c r="G31" s="73" t="str">
        <f>IFERROR(VLOOKUP($B31,'Hack Database'!$A:$J,6,FALSE),"")</f>
        <v/>
      </c>
      <c r="H31" s="80"/>
      <c r="I31" s="80"/>
      <c r="J31" s="73"/>
      <c r="K31" s="73" t="str">
        <f t="shared" si="0"/>
        <v/>
      </c>
      <c r="L31" s="79"/>
      <c r="M31" s="73"/>
      <c r="N31" s="73"/>
      <c r="O31" s="73"/>
      <c r="P31" s="87" t="str">
        <f>IFERROR(HYPERLINK(VLOOKUP($B31,'Online Database'!$A:$J,9,FALSE),"Open Page"),IFERROR(HYPERLINK(VLOOKUP($B31,'Manual Database'!$A:$J,9,FALSE),"Open Page"),""))</f>
        <v/>
      </c>
      <c r="Q31" s="87" t="str">
        <f>IFERROR(HYPERLINK(VLOOKUP($B31,'Online Database'!$A:$J,10,FALSE),"Download"),IFERROR(HYPERLINK(VLOOKUP($B31,'Manual Database'!$A:$J,10,FALSE),"Download"),""))</f>
        <v/>
      </c>
      <c r="R31" s="73"/>
    </row>
    <row r="32" spans="1:18" ht="22.05" customHeight="1">
      <c r="A32" s="77" t="str">
        <f>IF(C32="","",COUNTIF($C$2:C32,"&lt;&gt;"))</f>
        <v/>
      </c>
      <c r="B32" s="73"/>
      <c r="C32" s="73" t="str">
        <f>IFERROR(VLOOKUP($B32,'Hack Database'!$A:$J,2,FALSE),"")</f>
        <v/>
      </c>
      <c r="D32" s="73" t="str">
        <f>IFERROR(VLOOKUP($B32,'Hack Database'!$A:$J,3,FALSE),"")</f>
        <v/>
      </c>
      <c r="E32" s="79" t="str">
        <f>IFERROR(VLOOKUP($B32,'Hack Database'!$A:$J,4,FALSE),"")</f>
        <v/>
      </c>
      <c r="F32" s="73" t="str">
        <f>IFERROR(VLOOKUP($B32,'Hack Database'!$A:$J,5,FALSE),"")</f>
        <v/>
      </c>
      <c r="G32" s="73" t="str">
        <f>IFERROR(VLOOKUP($B32,'Hack Database'!$A:$J,6,FALSE),"")</f>
        <v/>
      </c>
      <c r="H32" s="80"/>
      <c r="I32" s="80"/>
      <c r="J32" s="73"/>
      <c r="K32" s="73" t="str">
        <f t="shared" si="0"/>
        <v/>
      </c>
      <c r="L32" s="79"/>
      <c r="M32" s="73"/>
      <c r="N32" s="73"/>
      <c r="O32" s="73"/>
      <c r="P32" s="87" t="str">
        <f>IFERROR(HYPERLINK(VLOOKUP($B32,'Online Database'!$A:$J,9,FALSE),"Open Page"),IFERROR(HYPERLINK(VLOOKUP($B32,'Manual Database'!$A:$J,9,FALSE),"Open Page"),""))</f>
        <v/>
      </c>
      <c r="Q32" s="87" t="str">
        <f>IFERROR(HYPERLINK(VLOOKUP($B32,'Online Database'!$A:$J,10,FALSE),"Download"),IFERROR(HYPERLINK(VLOOKUP($B32,'Manual Database'!$A:$J,10,FALSE),"Download"),""))</f>
        <v/>
      </c>
      <c r="R32" s="73"/>
    </row>
    <row r="33" spans="1:18" ht="22.05" customHeight="1">
      <c r="A33" s="77" t="str">
        <f>IF(C33="","",COUNTIF($C$2:C33,"&lt;&gt;"))</f>
        <v/>
      </c>
      <c r="B33" s="73"/>
      <c r="C33" s="73" t="str">
        <f>IFERROR(VLOOKUP($B33,'Hack Database'!$A:$J,2,FALSE),"")</f>
        <v/>
      </c>
      <c r="D33" s="73" t="str">
        <f>IFERROR(VLOOKUP($B33,'Hack Database'!$A:$J,3,FALSE),"")</f>
        <v/>
      </c>
      <c r="E33" s="79" t="str">
        <f>IFERROR(VLOOKUP($B33,'Hack Database'!$A:$J,4,FALSE),"")</f>
        <v/>
      </c>
      <c r="F33" s="73" t="str">
        <f>IFERROR(VLOOKUP($B33,'Hack Database'!$A:$J,5,FALSE),"")</f>
        <v/>
      </c>
      <c r="G33" s="73" t="str">
        <f>IFERROR(VLOOKUP($B33,'Hack Database'!$A:$J,6,FALSE),"")</f>
        <v/>
      </c>
      <c r="H33" s="80"/>
      <c r="I33" s="80"/>
      <c r="J33" s="73"/>
      <c r="K33" s="73" t="str">
        <f t="shared" si="0"/>
        <v/>
      </c>
      <c r="L33" s="79"/>
      <c r="M33" s="73"/>
      <c r="N33" s="73"/>
      <c r="O33" s="73"/>
      <c r="P33" s="87" t="str">
        <f>IFERROR(HYPERLINK(VLOOKUP($B33,'Online Database'!$A:$J,9,FALSE),"Open Page"),IFERROR(HYPERLINK(VLOOKUP($B33,'Manual Database'!$A:$J,9,FALSE),"Open Page"),""))</f>
        <v/>
      </c>
      <c r="Q33" s="87" t="str">
        <f>IFERROR(HYPERLINK(VLOOKUP($B33,'Online Database'!$A:$J,10,FALSE),"Download"),IFERROR(HYPERLINK(VLOOKUP($B33,'Manual Database'!$A:$J,10,FALSE),"Download"),""))</f>
        <v/>
      </c>
      <c r="R33" s="73"/>
    </row>
    <row r="34" spans="1:18" ht="22.05" customHeight="1">
      <c r="A34" s="77" t="str">
        <f>IF(C34="","",COUNTIF($C$2:C34,"&lt;&gt;"))</f>
        <v/>
      </c>
      <c r="B34" s="73"/>
      <c r="C34" s="73" t="str">
        <f>IFERROR(VLOOKUP($B34,'Hack Database'!$A:$J,2,FALSE),"")</f>
        <v/>
      </c>
      <c r="D34" s="73" t="str">
        <f>IFERROR(VLOOKUP($B34,'Hack Database'!$A:$J,3,FALSE),"")</f>
        <v/>
      </c>
      <c r="E34" s="79" t="str">
        <f>IFERROR(VLOOKUP($B34,'Hack Database'!$A:$J,4,FALSE),"")</f>
        <v/>
      </c>
      <c r="F34" s="73" t="str">
        <f>IFERROR(VLOOKUP($B34,'Hack Database'!$A:$J,5,FALSE),"")</f>
        <v/>
      </c>
      <c r="G34" s="73" t="str">
        <f>IFERROR(VLOOKUP($B34,'Hack Database'!$A:$J,6,FALSE),"")</f>
        <v/>
      </c>
      <c r="H34" s="80"/>
      <c r="I34" s="80"/>
      <c r="J34" s="73"/>
      <c r="K34" s="73" t="str">
        <f t="shared" si="0"/>
        <v/>
      </c>
      <c r="L34" s="79"/>
      <c r="M34" s="73"/>
      <c r="N34" s="73"/>
      <c r="O34" s="73"/>
      <c r="P34" s="87" t="str">
        <f>IFERROR(HYPERLINK(VLOOKUP($B34,'Online Database'!$A:$J,9,FALSE),"Open Page"),IFERROR(HYPERLINK(VLOOKUP($B34,'Manual Database'!$A:$J,9,FALSE),"Open Page"),""))</f>
        <v/>
      </c>
      <c r="Q34" s="87" t="str">
        <f>IFERROR(HYPERLINK(VLOOKUP($B34,'Online Database'!$A:$J,10,FALSE),"Download"),IFERROR(HYPERLINK(VLOOKUP($B34,'Manual Database'!$A:$J,10,FALSE),"Download"),""))</f>
        <v/>
      </c>
      <c r="R34" s="73"/>
    </row>
    <row r="35" spans="1:18" ht="22.05" customHeight="1">
      <c r="A35" s="77" t="str">
        <f>IF(C35="","",COUNTIF($C$2:C35,"&lt;&gt;"))</f>
        <v/>
      </c>
      <c r="B35" s="73"/>
      <c r="C35" s="73" t="str">
        <f>IFERROR(VLOOKUP($B35,'Hack Database'!$A:$J,2,FALSE),"")</f>
        <v/>
      </c>
      <c r="D35" s="73" t="str">
        <f>IFERROR(VLOOKUP($B35,'Hack Database'!$A:$J,3,FALSE),"")</f>
        <v/>
      </c>
      <c r="E35" s="79" t="str">
        <f>IFERROR(VLOOKUP($B35,'Hack Database'!$A:$J,4,FALSE),"")</f>
        <v/>
      </c>
      <c r="F35" s="73" t="str">
        <f>IFERROR(VLOOKUP($B35,'Hack Database'!$A:$J,5,FALSE),"")</f>
        <v/>
      </c>
      <c r="G35" s="73" t="str">
        <f>IFERROR(VLOOKUP($B35,'Hack Database'!$A:$J,6,FALSE),"")</f>
        <v/>
      </c>
      <c r="H35" s="80"/>
      <c r="I35" s="80"/>
      <c r="J35" s="73"/>
      <c r="K35" s="73" t="str">
        <f t="shared" si="0"/>
        <v/>
      </c>
      <c r="L35" s="79"/>
      <c r="M35" s="73"/>
      <c r="N35" s="73"/>
      <c r="O35" s="73"/>
      <c r="P35" s="87" t="str">
        <f>IFERROR(HYPERLINK(VLOOKUP($B35,'Online Database'!$A:$J,9,FALSE),"Open Page"),IFERROR(HYPERLINK(VLOOKUP($B35,'Manual Database'!$A:$J,9,FALSE),"Open Page"),""))</f>
        <v/>
      </c>
      <c r="Q35" s="87" t="str">
        <f>IFERROR(HYPERLINK(VLOOKUP($B35,'Online Database'!$A:$J,10,FALSE),"Download"),IFERROR(HYPERLINK(VLOOKUP($B35,'Manual Database'!$A:$J,10,FALSE),"Download"),""))</f>
        <v/>
      </c>
      <c r="R35" s="73"/>
    </row>
    <row r="36" spans="1:18" ht="22.05" customHeight="1">
      <c r="A36" s="77" t="str">
        <f>IF(C36="","",COUNTIF($C$2:C36,"&lt;&gt;"))</f>
        <v/>
      </c>
      <c r="B36" s="73"/>
      <c r="C36" s="73" t="str">
        <f>IFERROR(VLOOKUP($B36,'Hack Database'!$A:$J,2,FALSE),"")</f>
        <v/>
      </c>
      <c r="D36" s="73" t="str">
        <f>IFERROR(VLOOKUP($B36,'Hack Database'!$A:$J,3,FALSE),"")</f>
        <v/>
      </c>
      <c r="E36" s="79" t="str">
        <f>IFERROR(VLOOKUP($B36,'Hack Database'!$A:$J,4,FALSE),"")</f>
        <v/>
      </c>
      <c r="F36" s="73" t="str">
        <f>IFERROR(VLOOKUP($B36,'Hack Database'!$A:$J,5,FALSE),"")</f>
        <v/>
      </c>
      <c r="G36" s="73" t="str">
        <f>IFERROR(VLOOKUP($B36,'Hack Database'!$A:$J,6,FALSE),"")</f>
        <v/>
      </c>
      <c r="H36" s="80"/>
      <c r="I36" s="80"/>
      <c r="J36" s="73"/>
      <c r="K36" s="73" t="str">
        <f t="shared" si="0"/>
        <v/>
      </c>
      <c r="L36" s="79"/>
      <c r="M36" s="73"/>
      <c r="N36" s="73"/>
      <c r="O36" s="73"/>
      <c r="P36" s="87" t="str">
        <f>IFERROR(HYPERLINK(VLOOKUP($B36,'Online Database'!$A:$J,9,FALSE),"Open Page"),IFERROR(HYPERLINK(VLOOKUP($B36,'Manual Database'!$A:$J,9,FALSE),"Open Page"),""))</f>
        <v/>
      </c>
      <c r="Q36" s="87" t="str">
        <f>IFERROR(HYPERLINK(VLOOKUP($B36,'Online Database'!$A:$J,10,FALSE),"Download"),IFERROR(HYPERLINK(VLOOKUP($B36,'Manual Database'!$A:$J,10,FALSE),"Download"),""))</f>
        <v/>
      </c>
      <c r="R36" s="73"/>
    </row>
    <row r="37" spans="1:18" ht="22.05" customHeight="1">
      <c r="A37" s="77" t="str">
        <f>IF(C37="","",COUNTIF($C$2:C37,"&lt;&gt;"))</f>
        <v/>
      </c>
      <c r="B37" s="73"/>
      <c r="C37" s="73" t="str">
        <f>IFERROR(VLOOKUP($B37,'Hack Database'!$A:$J,2,FALSE),"")</f>
        <v/>
      </c>
      <c r="D37" s="73" t="str">
        <f>IFERROR(VLOOKUP($B37,'Hack Database'!$A:$J,3,FALSE),"")</f>
        <v/>
      </c>
      <c r="E37" s="79" t="str">
        <f>IFERROR(VLOOKUP($B37,'Hack Database'!$A:$J,4,FALSE),"")</f>
        <v/>
      </c>
      <c r="F37" s="73" t="str">
        <f>IFERROR(VLOOKUP($B37,'Hack Database'!$A:$J,5,FALSE),"")</f>
        <v/>
      </c>
      <c r="G37" s="73" t="str">
        <f>IFERROR(VLOOKUP($B37,'Hack Database'!$A:$J,6,FALSE),"")</f>
        <v/>
      </c>
      <c r="H37" s="80"/>
      <c r="I37" s="80"/>
      <c r="J37" s="73"/>
      <c r="K37" s="73" t="str">
        <f t="shared" si="0"/>
        <v/>
      </c>
      <c r="L37" s="79"/>
      <c r="M37" s="73"/>
      <c r="N37" s="73"/>
      <c r="O37" s="73"/>
      <c r="P37" s="87" t="str">
        <f>IFERROR(HYPERLINK(VLOOKUP($B37,'Online Database'!$A:$J,9,FALSE),"Open Page"),IFERROR(HYPERLINK(VLOOKUP($B37,'Manual Database'!$A:$J,9,FALSE),"Open Page"),""))</f>
        <v/>
      </c>
      <c r="Q37" s="87" t="str">
        <f>IFERROR(HYPERLINK(VLOOKUP($B37,'Online Database'!$A:$J,10,FALSE),"Download"),IFERROR(HYPERLINK(VLOOKUP($B37,'Manual Database'!$A:$J,10,FALSE),"Download"),""))</f>
        <v/>
      </c>
      <c r="R37" s="73"/>
    </row>
    <row r="38" spans="1:18" ht="22.05" customHeight="1">
      <c r="A38" s="77" t="str">
        <f>IF(C38="","",COUNTIF($C$2:C38,"&lt;&gt;"))</f>
        <v/>
      </c>
      <c r="B38" s="73"/>
      <c r="C38" s="73" t="str">
        <f>IFERROR(VLOOKUP($B38,'Hack Database'!$A:$J,2,FALSE),"")</f>
        <v/>
      </c>
      <c r="D38" s="73" t="str">
        <f>IFERROR(VLOOKUP($B38,'Hack Database'!$A:$J,3,FALSE),"")</f>
        <v/>
      </c>
      <c r="E38" s="79" t="str">
        <f>IFERROR(VLOOKUP($B38,'Hack Database'!$A:$J,4,FALSE),"")</f>
        <v/>
      </c>
      <c r="F38" s="73" t="str">
        <f>IFERROR(VLOOKUP($B38,'Hack Database'!$A:$J,5,FALSE),"")</f>
        <v/>
      </c>
      <c r="G38" s="73" t="str">
        <f>IFERROR(VLOOKUP($B38,'Hack Database'!$A:$J,6,FALSE),"")</f>
        <v/>
      </c>
      <c r="H38" s="80"/>
      <c r="I38" s="80"/>
      <c r="J38" s="73"/>
      <c r="K38" s="73" t="str">
        <f t="shared" si="0"/>
        <v/>
      </c>
      <c r="L38" s="79"/>
      <c r="M38" s="73"/>
      <c r="N38" s="73"/>
      <c r="O38" s="73"/>
      <c r="P38" s="87" t="str">
        <f>IFERROR(HYPERLINK(VLOOKUP($B38,'Online Database'!$A:$J,9,FALSE),"Open Page"),IFERROR(HYPERLINK(VLOOKUP($B38,'Manual Database'!$A:$J,9,FALSE),"Open Page"),""))</f>
        <v/>
      </c>
      <c r="Q38" s="87" t="str">
        <f>IFERROR(HYPERLINK(VLOOKUP($B38,'Online Database'!$A:$J,10,FALSE),"Download"),IFERROR(HYPERLINK(VLOOKUP($B38,'Manual Database'!$A:$J,10,FALSE),"Download"),""))</f>
        <v/>
      </c>
      <c r="R38" s="73"/>
    </row>
    <row r="39" spans="1:18" ht="22.05" customHeight="1">
      <c r="A39" s="77" t="str">
        <f>IF(C39="","",COUNTIF($C$2:C39,"&lt;&gt;"))</f>
        <v/>
      </c>
      <c r="B39" s="73"/>
      <c r="C39" s="73" t="str">
        <f>IFERROR(VLOOKUP($B39,'Hack Database'!$A:$J,2,FALSE),"")</f>
        <v/>
      </c>
      <c r="D39" s="73" t="str">
        <f>IFERROR(VLOOKUP($B39,'Hack Database'!$A:$J,3,FALSE),"")</f>
        <v/>
      </c>
      <c r="E39" s="79" t="str">
        <f>IFERROR(VLOOKUP($B39,'Hack Database'!$A:$J,4,FALSE),"")</f>
        <v/>
      </c>
      <c r="F39" s="73" t="str">
        <f>IFERROR(VLOOKUP($B39,'Hack Database'!$A:$J,5,FALSE),"")</f>
        <v/>
      </c>
      <c r="G39" s="73" t="str">
        <f>IFERROR(VLOOKUP($B39,'Hack Database'!$A:$J,6,FALSE),"")</f>
        <v/>
      </c>
      <c r="H39" s="80"/>
      <c r="I39" s="80"/>
      <c r="J39" s="73"/>
      <c r="K39" s="73" t="str">
        <f t="shared" si="0"/>
        <v/>
      </c>
      <c r="L39" s="79"/>
      <c r="M39" s="73"/>
      <c r="N39" s="73"/>
      <c r="O39" s="73"/>
      <c r="P39" s="87" t="str">
        <f>IFERROR(HYPERLINK(VLOOKUP($B39,'Online Database'!$A:$J,9,FALSE),"Open Page"),IFERROR(HYPERLINK(VLOOKUP($B39,'Manual Database'!$A:$J,9,FALSE),"Open Page"),""))</f>
        <v/>
      </c>
      <c r="Q39" s="87" t="str">
        <f>IFERROR(HYPERLINK(VLOOKUP($B39,'Online Database'!$A:$J,10,FALSE),"Download"),IFERROR(HYPERLINK(VLOOKUP($B39,'Manual Database'!$A:$J,10,FALSE),"Download"),""))</f>
        <v/>
      </c>
      <c r="R39" s="73"/>
    </row>
    <row r="40" spans="1:18" ht="22.05" customHeight="1">
      <c r="A40" s="77" t="str">
        <f>IF(C40="","",COUNTIF($C$2:C40,"&lt;&gt;"))</f>
        <v/>
      </c>
      <c r="B40" s="73"/>
      <c r="C40" s="73" t="str">
        <f>IFERROR(VLOOKUP($B40,'Hack Database'!$A:$J,2,FALSE),"")</f>
        <v/>
      </c>
      <c r="D40" s="73" t="str">
        <f>IFERROR(VLOOKUP($B40,'Hack Database'!$A:$J,3,FALSE),"")</f>
        <v/>
      </c>
      <c r="E40" s="79" t="str">
        <f>IFERROR(VLOOKUP($B40,'Hack Database'!$A:$J,4,FALSE),"")</f>
        <v/>
      </c>
      <c r="F40" s="73" t="str">
        <f>IFERROR(VLOOKUP($B40,'Hack Database'!$A:$J,5,FALSE),"")</f>
        <v/>
      </c>
      <c r="G40" s="73" t="str">
        <f>IFERROR(VLOOKUP($B40,'Hack Database'!$A:$J,6,FALSE),"")</f>
        <v/>
      </c>
      <c r="H40" s="80"/>
      <c r="I40" s="80"/>
      <c r="J40" s="73"/>
      <c r="K40" s="73" t="str">
        <f t="shared" si="0"/>
        <v/>
      </c>
      <c r="L40" s="79"/>
      <c r="M40" s="73"/>
      <c r="N40" s="73"/>
      <c r="O40" s="73"/>
      <c r="P40" s="87" t="str">
        <f>IFERROR(HYPERLINK(VLOOKUP($B40,'Online Database'!$A:$J,9,FALSE),"Open Page"),IFERROR(HYPERLINK(VLOOKUP($B40,'Manual Database'!$A:$J,9,FALSE),"Open Page"),""))</f>
        <v/>
      </c>
      <c r="Q40" s="87" t="str">
        <f>IFERROR(HYPERLINK(VLOOKUP($B40,'Online Database'!$A:$J,10,FALSE),"Download"),IFERROR(HYPERLINK(VLOOKUP($B40,'Manual Database'!$A:$J,10,FALSE),"Download"),""))</f>
        <v/>
      </c>
      <c r="R40" s="73"/>
    </row>
    <row r="41" spans="1:18" ht="22.05" customHeight="1">
      <c r="A41" s="77" t="str">
        <f>IF(C41="","",COUNTIF($C$2:C41,"&lt;&gt;"))</f>
        <v/>
      </c>
      <c r="B41" s="73"/>
      <c r="C41" s="73" t="str">
        <f>IFERROR(VLOOKUP($B41,'Hack Database'!$A:$J,2,FALSE),"")</f>
        <v/>
      </c>
      <c r="D41" s="73" t="str">
        <f>IFERROR(VLOOKUP($B41,'Hack Database'!$A:$J,3,FALSE),"")</f>
        <v/>
      </c>
      <c r="E41" s="79" t="str">
        <f>IFERROR(VLOOKUP($B41,'Hack Database'!$A:$J,4,FALSE),"")</f>
        <v/>
      </c>
      <c r="F41" s="73" t="str">
        <f>IFERROR(VLOOKUP($B41,'Hack Database'!$A:$J,5,FALSE),"")</f>
        <v/>
      </c>
      <c r="G41" s="73" t="str">
        <f>IFERROR(VLOOKUP($B41,'Hack Database'!$A:$J,6,FALSE),"")</f>
        <v/>
      </c>
      <c r="H41" s="80"/>
      <c r="I41" s="80"/>
      <c r="J41" s="73"/>
      <c r="K41" s="73" t="str">
        <f t="shared" si="0"/>
        <v/>
      </c>
      <c r="L41" s="79"/>
      <c r="M41" s="73"/>
      <c r="N41" s="73"/>
      <c r="O41" s="73"/>
      <c r="P41" s="87" t="str">
        <f>IFERROR(HYPERLINK(VLOOKUP($B41,'Online Database'!$A:$J,9,FALSE),"Open Page"),IFERROR(HYPERLINK(VLOOKUP($B41,'Manual Database'!$A:$J,9,FALSE),"Open Page"),""))</f>
        <v/>
      </c>
      <c r="Q41" s="87" t="str">
        <f>IFERROR(HYPERLINK(VLOOKUP($B41,'Online Database'!$A:$J,10,FALSE),"Download"),IFERROR(HYPERLINK(VLOOKUP($B41,'Manual Database'!$A:$J,10,FALSE),"Download"),""))</f>
        <v/>
      </c>
      <c r="R41" s="73"/>
    </row>
    <row r="42" spans="1:18" ht="22.05" customHeight="1">
      <c r="A42" s="77" t="str">
        <f>IF(C42="","",COUNTIF($C$2:C42,"&lt;&gt;"))</f>
        <v/>
      </c>
      <c r="B42" s="73"/>
      <c r="C42" s="73" t="str">
        <f>IFERROR(VLOOKUP($B42,'Hack Database'!$A:$J,2,FALSE),"")</f>
        <v/>
      </c>
      <c r="D42" s="73" t="str">
        <f>IFERROR(VLOOKUP($B42,'Hack Database'!$A:$J,3,FALSE),"")</f>
        <v/>
      </c>
      <c r="E42" s="79" t="str">
        <f>IFERROR(VLOOKUP($B42,'Hack Database'!$A:$J,4,FALSE),"")</f>
        <v/>
      </c>
      <c r="F42" s="73" t="str">
        <f>IFERROR(VLOOKUP($B42,'Hack Database'!$A:$J,5,FALSE),"")</f>
        <v/>
      </c>
      <c r="G42" s="73" t="str">
        <f>IFERROR(VLOOKUP($B42,'Hack Database'!$A:$J,6,FALSE),"")</f>
        <v/>
      </c>
      <c r="H42" s="80"/>
      <c r="I42" s="80"/>
      <c r="J42" s="73"/>
      <c r="K42" s="73" t="str">
        <f t="shared" si="0"/>
        <v/>
      </c>
      <c r="L42" s="79"/>
      <c r="M42" s="73"/>
      <c r="N42" s="73"/>
      <c r="O42" s="73"/>
      <c r="P42" s="87" t="str">
        <f>IFERROR(HYPERLINK(VLOOKUP($B42,'Online Database'!$A:$J,9,FALSE),"Open Page"),IFERROR(HYPERLINK(VLOOKUP($B42,'Manual Database'!$A:$J,9,FALSE),"Open Page"),""))</f>
        <v/>
      </c>
      <c r="Q42" s="87" t="str">
        <f>IFERROR(HYPERLINK(VLOOKUP($B42,'Online Database'!$A:$J,10,FALSE),"Download"),IFERROR(HYPERLINK(VLOOKUP($B42,'Manual Database'!$A:$J,10,FALSE),"Download"),""))</f>
        <v/>
      </c>
      <c r="R42" s="73"/>
    </row>
    <row r="43" spans="1:18" ht="22.05" customHeight="1">
      <c r="A43" s="77" t="str">
        <f>IF(C43="","",COUNTIF($C$2:C43,"&lt;&gt;"))</f>
        <v/>
      </c>
      <c r="B43" s="73"/>
      <c r="C43" s="73" t="str">
        <f>IFERROR(VLOOKUP($B43,'Hack Database'!$A:$J,2,FALSE),"")</f>
        <v/>
      </c>
      <c r="D43" s="73" t="str">
        <f>IFERROR(VLOOKUP($B43,'Hack Database'!$A:$J,3,FALSE),"")</f>
        <v/>
      </c>
      <c r="E43" s="79" t="str">
        <f>IFERROR(VLOOKUP($B43,'Hack Database'!$A:$J,4,FALSE),"")</f>
        <v/>
      </c>
      <c r="F43" s="73" t="str">
        <f>IFERROR(VLOOKUP($B43,'Hack Database'!$A:$J,5,FALSE),"")</f>
        <v/>
      </c>
      <c r="G43" s="73" t="str">
        <f>IFERROR(VLOOKUP($B43,'Hack Database'!$A:$J,6,FALSE),"")</f>
        <v/>
      </c>
      <c r="H43" s="80"/>
      <c r="I43" s="80"/>
      <c r="J43" s="73"/>
      <c r="K43" s="73" t="str">
        <f t="shared" si="0"/>
        <v/>
      </c>
      <c r="L43" s="79"/>
      <c r="M43" s="73"/>
      <c r="N43" s="73"/>
      <c r="O43" s="73"/>
      <c r="P43" s="87" t="str">
        <f>IFERROR(HYPERLINK(VLOOKUP($B43,'Online Database'!$A:$J,9,FALSE),"Open Page"),IFERROR(HYPERLINK(VLOOKUP($B43,'Manual Database'!$A:$J,9,FALSE),"Open Page"),""))</f>
        <v/>
      </c>
      <c r="Q43" s="87" t="str">
        <f>IFERROR(HYPERLINK(VLOOKUP($B43,'Online Database'!$A:$J,10,FALSE),"Download"),IFERROR(HYPERLINK(VLOOKUP($B43,'Manual Database'!$A:$J,10,FALSE),"Download"),""))</f>
        <v/>
      </c>
      <c r="R43" s="73"/>
    </row>
    <row r="44" spans="1:18" ht="22.05" customHeight="1">
      <c r="A44" s="77" t="str">
        <f>IF(C44="","",COUNTIF($C$2:C44,"&lt;&gt;"))</f>
        <v/>
      </c>
      <c r="B44" s="73"/>
      <c r="C44" s="73" t="str">
        <f>IFERROR(VLOOKUP($B44,'Hack Database'!$A:$J,2,FALSE),"")</f>
        <v/>
      </c>
      <c r="D44" s="73" t="str">
        <f>IFERROR(VLOOKUP($B44,'Hack Database'!$A:$J,3,FALSE),"")</f>
        <v/>
      </c>
      <c r="E44" s="79" t="str">
        <f>IFERROR(VLOOKUP($B44,'Hack Database'!$A:$J,4,FALSE),"")</f>
        <v/>
      </c>
      <c r="F44" s="73" t="str">
        <f>IFERROR(VLOOKUP($B44,'Hack Database'!$A:$J,5,FALSE),"")</f>
        <v/>
      </c>
      <c r="G44" s="73" t="str">
        <f>IFERROR(VLOOKUP($B44,'Hack Database'!$A:$J,6,FALSE),"")</f>
        <v/>
      </c>
      <c r="H44" s="80"/>
      <c r="I44" s="80"/>
      <c r="J44" s="73"/>
      <c r="K44" s="73" t="str">
        <f t="shared" si="0"/>
        <v/>
      </c>
      <c r="L44" s="79"/>
      <c r="M44" s="73"/>
      <c r="N44" s="73"/>
      <c r="O44" s="73"/>
      <c r="P44" s="87" t="str">
        <f>IFERROR(HYPERLINK(VLOOKUP($B44,'Online Database'!$A:$J,9,FALSE),"Open Page"),IFERROR(HYPERLINK(VLOOKUP($B44,'Manual Database'!$A:$J,9,FALSE),"Open Page"),""))</f>
        <v/>
      </c>
      <c r="Q44" s="87" t="str">
        <f>IFERROR(HYPERLINK(VLOOKUP($B44,'Online Database'!$A:$J,10,FALSE),"Download"),IFERROR(HYPERLINK(VLOOKUP($B44,'Manual Database'!$A:$J,10,FALSE),"Download"),""))</f>
        <v/>
      </c>
      <c r="R44" s="73"/>
    </row>
    <row r="45" spans="1:18" ht="22.05" customHeight="1">
      <c r="A45" s="77" t="str">
        <f>IF(C45="","",COUNTIF($C$2:C45,"&lt;&gt;"))</f>
        <v/>
      </c>
      <c r="B45" s="73"/>
      <c r="C45" s="73" t="str">
        <f>IFERROR(VLOOKUP($B45,'Hack Database'!$A:$J,2,FALSE),"")</f>
        <v/>
      </c>
      <c r="D45" s="73" t="str">
        <f>IFERROR(VLOOKUP($B45,'Hack Database'!$A:$J,3,FALSE),"")</f>
        <v/>
      </c>
      <c r="E45" s="79" t="str">
        <f>IFERROR(VLOOKUP($B45,'Hack Database'!$A:$J,4,FALSE),"")</f>
        <v/>
      </c>
      <c r="F45" s="73" t="str">
        <f>IFERROR(VLOOKUP($B45,'Hack Database'!$A:$J,5,FALSE),"")</f>
        <v/>
      </c>
      <c r="G45" s="73" t="str">
        <f>IFERROR(VLOOKUP($B45,'Hack Database'!$A:$J,6,FALSE),"")</f>
        <v/>
      </c>
      <c r="H45" s="80"/>
      <c r="I45" s="80"/>
      <c r="J45" s="73"/>
      <c r="K45" s="73" t="str">
        <f t="shared" si="0"/>
        <v/>
      </c>
      <c r="L45" s="79"/>
      <c r="M45" s="73"/>
      <c r="N45" s="73"/>
      <c r="O45" s="73"/>
      <c r="P45" s="87" t="str">
        <f>IFERROR(HYPERLINK(VLOOKUP($B45,'Online Database'!$A:$J,9,FALSE),"Open Page"),IFERROR(HYPERLINK(VLOOKUP($B45,'Manual Database'!$A:$J,9,FALSE),"Open Page"),""))</f>
        <v/>
      </c>
      <c r="Q45" s="87" t="str">
        <f>IFERROR(HYPERLINK(VLOOKUP($B45,'Online Database'!$A:$J,10,FALSE),"Download"),IFERROR(HYPERLINK(VLOOKUP($B45,'Manual Database'!$A:$J,10,FALSE),"Download"),""))</f>
        <v/>
      </c>
      <c r="R45" s="73"/>
    </row>
    <row r="46" spans="1:18" ht="22.05" customHeight="1">
      <c r="A46" s="77" t="str">
        <f>IF(C46="","",COUNTIF($C$2:C46,"&lt;&gt;"))</f>
        <v/>
      </c>
      <c r="B46" s="73"/>
      <c r="C46" s="73" t="str">
        <f>IFERROR(VLOOKUP($B46,'Hack Database'!$A:$J,2,FALSE),"")</f>
        <v/>
      </c>
      <c r="D46" s="73" t="str">
        <f>IFERROR(VLOOKUP($B46,'Hack Database'!$A:$J,3,FALSE),"")</f>
        <v/>
      </c>
      <c r="E46" s="79" t="str">
        <f>IFERROR(VLOOKUP($B46,'Hack Database'!$A:$J,4,FALSE),"")</f>
        <v/>
      </c>
      <c r="F46" s="73" t="str">
        <f>IFERROR(VLOOKUP($B46,'Hack Database'!$A:$J,5,FALSE),"")</f>
        <v/>
      </c>
      <c r="G46" s="73" t="str">
        <f>IFERROR(VLOOKUP($B46,'Hack Database'!$A:$J,6,FALSE),"")</f>
        <v/>
      </c>
      <c r="H46" s="80"/>
      <c r="I46" s="80"/>
      <c r="J46" s="73"/>
      <c r="K46" s="73" t="str">
        <f t="shared" si="0"/>
        <v/>
      </c>
      <c r="L46" s="79"/>
      <c r="M46" s="73"/>
      <c r="N46" s="73"/>
      <c r="O46" s="73"/>
      <c r="P46" s="87" t="str">
        <f>IFERROR(HYPERLINK(VLOOKUP($B46,'Online Database'!$A:$J,9,FALSE),"Open Page"),IFERROR(HYPERLINK(VLOOKUP($B46,'Manual Database'!$A:$J,9,FALSE),"Open Page"),""))</f>
        <v/>
      </c>
      <c r="Q46" s="87" t="str">
        <f>IFERROR(HYPERLINK(VLOOKUP($B46,'Online Database'!$A:$J,10,FALSE),"Download"),IFERROR(HYPERLINK(VLOOKUP($B46,'Manual Database'!$A:$J,10,FALSE),"Download"),""))</f>
        <v/>
      </c>
      <c r="R46" s="73"/>
    </row>
    <row r="47" spans="1:18" ht="22.05" customHeight="1">
      <c r="A47" s="77" t="str">
        <f>IF(C47="","",COUNTIF($C$2:C47,"&lt;&gt;"))</f>
        <v/>
      </c>
      <c r="B47" s="73"/>
      <c r="C47" s="73" t="str">
        <f>IFERROR(VLOOKUP($B47,'Hack Database'!$A:$J,2,FALSE),"")</f>
        <v/>
      </c>
      <c r="D47" s="73" t="str">
        <f>IFERROR(VLOOKUP($B47,'Hack Database'!$A:$J,3,FALSE),"")</f>
        <v/>
      </c>
      <c r="E47" s="79" t="str">
        <f>IFERROR(VLOOKUP($B47,'Hack Database'!$A:$J,4,FALSE),"")</f>
        <v/>
      </c>
      <c r="F47" s="73" t="str">
        <f>IFERROR(VLOOKUP($B47,'Hack Database'!$A:$J,5,FALSE),"")</f>
        <v/>
      </c>
      <c r="G47" s="73" t="str">
        <f>IFERROR(VLOOKUP($B47,'Hack Database'!$A:$J,6,FALSE),"")</f>
        <v/>
      </c>
      <c r="H47" s="80"/>
      <c r="I47" s="80"/>
      <c r="J47" s="73"/>
      <c r="K47" s="73" t="str">
        <f t="shared" si="0"/>
        <v/>
      </c>
      <c r="L47" s="79"/>
      <c r="M47" s="73"/>
      <c r="N47" s="73"/>
      <c r="O47" s="73"/>
      <c r="P47" s="87" t="str">
        <f>IFERROR(HYPERLINK(VLOOKUP($B47,'Online Database'!$A:$J,9,FALSE),"Open Page"),IFERROR(HYPERLINK(VLOOKUP($B47,'Manual Database'!$A:$J,9,FALSE),"Open Page"),""))</f>
        <v/>
      </c>
      <c r="Q47" s="87" t="str">
        <f>IFERROR(HYPERLINK(VLOOKUP($B47,'Online Database'!$A:$J,10,FALSE),"Download"),IFERROR(HYPERLINK(VLOOKUP($B47,'Manual Database'!$A:$J,10,FALSE),"Download"),""))</f>
        <v/>
      </c>
      <c r="R47" s="73"/>
    </row>
    <row r="48" spans="1:18" ht="22.05" customHeight="1">
      <c r="A48" s="77" t="str">
        <f>IF(C48="","",COUNTIF($C$2:C48,"&lt;&gt;"))</f>
        <v/>
      </c>
      <c r="B48" s="73"/>
      <c r="C48" s="73" t="str">
        <f>IFERROR(VLOOKUP($B48,'Hack Database'!$A:$J,2,FALSE),"")</f>
        <v/>
      </c>
      <c r="D48" s="73" t="str">
        <f>IFERROR(VLOOKUP($B48,'Hack Database'!$A:$J,3,FALSE),"")</f>
        <v/>
      </c>
      <c r="E48" s="79" t="str">
        <f>IFERROR(VLOOKUP($B48,'Hack Database'!$A:$J,4,FALSE),"")</f>
        <v/>
      </c>
      <c r="F48" s="73" t="str">
        <f>IFERROR(VLOOKUP($B48,'Hack Database'!$A:$J,5,FALSE),"")</f>
        <v/>
      </c>
      <c r="G48" s="73" t="str">
        <f>IFERROR(VLOOKUP($B48,'Hack Database'!$A:$J,6,FALSE),"")</f>
        <v/>
      </c>
      <c r="H48" s="80"/>
      <c r="I48" s="80"/>
      <c r="J48" s="73"/>
      <c r="K48" s="73" t="str">
        <f t="shared" si="0"/>
        <v/>
      </c>
      <c r="L48" s="79"/>
      <c r="M48" s="73"/>
      <c r="N48" s="73"/>
      <c r="O48" s="73"/>
      <c r="P48" s="87" t="str">
        <f>IFERROR(HYPERLINK(VLOOKUP($B48,'Online Database'!$A:$J,9,FALSE),"Open Page"),IFERROR(HYPERLINK(VLOOKUP($B48,'Manual Database'!$A:$J,9,FALSE),"Open Page"),""))</f>
        <v/>
      </c>
      <c r="Q48" s="87" t="str">
        <f>IFERROR(HYPERLINK(VLOOKUP($B48,'Online Database'!$A:$J,10,FALSE),"Download"),IFERROR(HYPERLINK(VLOOKUP($B48,'Manual Database'!$A:$J,10,FALSE),"Download"),""))</f>
        <v/>
      </c>
      <c r="R48" s="73"/>
    </row>
    <row r="49" spans="1:18" ht="22.05" customHeight="1">
      <c r="A49" s="77" t="str">
        <f>IF(C49="","",COUNTIF($C$2:C49,"&lt;&gt;"))</f>
        <v/>
      </c>
      <c r="B49" s="73"/>
      <c r="C49" s="73" t="str">
        <f>IFERROR(VLOOKUP($B49,'Hack Database'!$A:$J,2,FALSE),"")</f>
        <v/>
      </c>
      <c r="D49" s="73" t="str">
        <f>IFERROR(VLOOKUP($B49,'Hack Database'!$A:$J,3,FALSE),"")</f>
        <v/>
      </c>
      <c r="E49" s="79" t="str">
        <f>IFERROR(VLOOKUP($B49,'Hack Database'!$A:$J,4,FALSE),"")</f>
        <v/>
      </c>
      <c r="F49" s="73" t="str">
        <f>IFERROR(VLOOKUP($B49,'Hack Database'!$A:$J,5,FALSE),"")</f>
        <v/>
      </c>
      <c r="G49" s="73" t="str">
        <f>IFERROR(VLOOKUP($B49,'Hack Database'!$A:$J,6,FALSE),"")</f>
        <v/>
      </c>
      <c r="H49" s="80"/>
      <c r="I49" s="80"/>
      <c r="J49" s="73"/>
      <c r="K49" s="73" t="str">
        <f t="shared" si="0"/>
        <v/>
      </c>
      <c r="L49" s="79"/>
      <c r="M49" s="73"/>
      <c r="N49" s="73"/>
      <c r="O49" s="73"/>
      <c r="P49" s="87" t="str">
        <f>IFERROR(HYPERLINK(VLOOKUP($B49,'Online Database'!$A:$J,9,FALSE),"Open Page"),IFERROR(HYPERLINK(VLOOKUP($B49,'Manual Database'!$A:$J,9,FALSE),"Open Page"),""))</f>
        <v/>
      </c>
      <c r="Q49" s="87" t="str">
        <f>IFERROR(HYPERLINK(VLOOKUP($B49,'Online Database'!$A:$J,10,FALSE),"Download"),IFERROR(HYPERLINK(VLOOKUP($B49,'Manual Database'!$A:$J,10,FALSE),"Download"),""))</f>
        <v/>
      </c>
      <c r="R49" s="73"/>
    </row>
    <row r="50" spans="1:18" ht="22.05" customHeight="1">
      <c r="A50" s="77" t="str">
        <f>IF(C50="","",COUNTIF($C$2:C50,"&lt;&gt;"))</f>
        <v/>
      </c>
      <c r="B50" s="73"/>
      <c r="C50" s="73" t="str">
        <f>IFERROR(VLOOKUP($B50,'Hack Database'!$A:$J,2,FALSE),"")</f>
        <v/>
      </c>
      <c r="D50" s="73" t="str">
        <f>IFERROR(VLOOKUP($B50,'Hack Database'!$A:$J,3,FALSE),"")</f>
        <v/>
      </c>
      <c r="E50" s="79" t="str">
        <f>IFERROR(VLOOKUP($B50,'Hack Database'!$A:$J,4,FALSE),"")</f>
        <v/>
      </c>
      <c r="F50" s="73" t="str">
        <f>IFERROR(VLOOKUP($B50,'Hack Database'!$A:$J,5,FALSE),"")</f>
        <v/>
      </c>
      <c r="G50" s="73" t="str">
        <f>IFERROR(VLOOKUP($B50,'Hack Database'!$A:$J,6,FALSE),"")</f>
        <v/>
      </c>
      <c r="H50" s="80"/>
      <c r="I50" s="80"/>
      <c r="J50" s="73"/>
      <c r="K50" s="73" t="str">
        <f t="shared" si="0"/>
        <v/>
      </c>
      <c r="L50" s="79"/>
      <c r="M50" s="73"/>
      <c r="N50" s="73"/>
      <c r="O50" s="73"/>
      <c r="P50" s="87" t="str">
        <f>IFERROR(HYPERLINK(VLOOKUP($B50,'Online Database'!$A:$J,9,FALSE),"Open Page"),IFERROR(HYPERLINK(VLOOKUP($B50,'Manual Database'!$A:$J,9,FALSE),"Open Page"),""))</f>
        <v/>
      </c>
      <c r="Q50" s="87" t="str">
        <f>IFERROR(HYPERLINK(VLOOKUP($B50,'Online Database'!$A:$J,10,FALSE),"Download"),IFERROR(HYPERLINK(VLOOKUP($B50,'Manual Database'!$A:$J,10,FALSE),"Download"),""))</f>
        <v/>
      </c>
      <c r="R50" s="73"/>
    </row>
    <row r="51" spans="1:18" ht="22.05" customHeight="1">
      <c r="A51" s="77" t="str">
        <f>IF(C51="","",COUNTIF($C$2:C51,"&lt;&gt;"))</f>
        <v/>
      </c>
      <c r="B51" s="73"/>
      <c r="C51" s="73" t="str">
        <f>IFERROR(VLOOKUP($B51,'Hack Database'!$A:$J,2,FALSE),"")</f>
        <v/>
      </c>
      <c r="D51" s="73" t="str">
        <f>IFERROR(VLOOKUP($B51,'Hack Database'!$A:$J,3,FALSE),"")</f>
        <v/>
      </c>
      <c r="E51" s="79" t="str">
        <f>IFERROR(VLOOKUP($B51,'Hack Database'!$A:$J,4,FALSE),"")</f>
        <v/>
      </c>
      <c r="F51" s="73" t="str">
        <f>IFERROR(VLOOKUP($B51,'Hack Database'!$A:$J,5,FALSE),"")</f>
        <v/>
      </c>
      <c r="G51" s="73" t="str">
        <f>IFERROR(VLOOKUP($B51,'Hack Database'!$A:$J,6,FALSE),"")</f>
        <v/>
      </c>
      <c r="H51" s="80"/>
      <c r="I51" s="80"/>
      <c r="J51" s="73"/>
      <c r="K51" s="73" t="str">
        <f t="shared" si="0"/>
        <v/>
      </c>
      <c r="L51" s="79"/>
      <c r="M51" s="73"/>
      <c r="N51" s="73"/>
      <c r="O51" s="73"/>
      <c r="P51" s="87" t="str">
        <f>IFERROR(HYPERLINK(VLOOKUP($B51,'Online Database'!$A:$J,9,FALSE),"Open Page"),IFERROR(HYPERLINK(VLOOKUP($B51,'Manual Database'!$A:$J,9,FALSE),"Open Page"),""))</f>
        <v/>
      </c>
      <c r="Q51" s="87" t="str">
        <f>IFERROR(HYPERLINK(VLOOKUP($B51,'Online Database'!$A:$J,10,FALSE),"Download"),IFERROR(HYPERLINK(VLOOKUP($B51,'Manual Database'!$A:$J,10,FALSE),"Download"),""))</f>
        <v/>
      </c>
      <c r="R51" s="73"/>
    </row>
    <row r="52" spans="1:18" ht="22.05" customHeight="1">
      <c r="A52" s="77" t="str">
        <f>IF(C52="","",COUNTIF($C$2:C52,"&lt;&gt;"))</f>
        <v/>
      </c>
      <c r="B52" s="73"/>
      <c r="C52" s="73" t="str">
        <f>IFERROR(VLOOKUP($B52,'Hack Database'!$A:$J,2,FALSE),"")</f>
        <v/>
      </c>
      <c r="D52" s="73" t="str">
        <f>IFERROR(VLOOKUP($B52,'Hack Database'!$A:$J,3,FALSE),"")</f>
        <v/>
      </c>
      <c r="E52" s="79" t="str">
        <f>IFERROR(VLOOKUP($B52,'Hack Database'!$A:$J,4,FALSE),"")</f>
        <v/>
      </c>
      <c r="F52" s="73" t="str">
        <f>IFERROR(VLOOKUP($B52,'Hack Database'!$A:$J,5,FALSE),"")</f>
        <v/>
      </c>
      <c r="G52" s="73" t="str">
        <f>IFERROR(VLOOKUP($B52,'Hack Database'!$A:$J,6,FALSE),"")</f>
        <v/>
      </c>
      <c r="H52" s="80"/>
      <c r="I52" s="80"/>
      <c r="J52" s="73"/>
      <c r="K52" s="73" t="str">
        <f t="shared" si="0"/>
        <v/>
      </c>
      <c r="L52" s="79"/>
      <c r="M52" s="73"/>
      <c r="N52" s="73"/>
      <c r="O52" s="73"/>
      <c r="P52" s="87" t="str">
        <f>IFERROR(HYPERLINK(VLOOKUP($B52,'Online Database'!$A:$J,9,FALSE),"Open Page"),IFERROR(HYPERLINK(VLOOKUP($B52,'Manual Database'!$A:$J,9,FALSE),"Open Page"),""))</f>
        <v/>
      </c>
      <c r="Q52" s="87" t="str">
        <f>IFERROR(HYPERLINK(VLOOKUP($B52,'Online Database'!$A:$J,10,FALSE),"Download"),IFERROR(HYPERLINK(VLOOKUP($B52,'Manual Database'!$A:$J,10,FALSE),"Download"),""))</f>
        <v/>
      </c>
      <c r="R52" s="73"/>
    </row>
    <row r="53" spans="1:18" ht="22.05" customHeight="1">
      <c r="A53" s="77" t="str">
        <f>IF(C53="","",COUNTIF($C$2:C53,"&lt;&gt;"))</f>
        <v/>
      </c>
      <c r="B53" s="73"/>
      <c r="C53" s="73" t="str">
        <f>IFERROR(VLOOKUP($B53,'Hack Database'!$A:$J,2,FALSE),"")</f>
        <v/>
      </c>
      <c r="D53" s="73" t="str">
        <f>IFERROR(VLOOKUP($B53,'Hack Database'!$A:$J,3,FALSE),"")</f>
        <v/>
      </c>
      <c r="E53" s="79" t="str">
        <f>IFERROR(VLOOKUP($B53,'Hack Database'!$A:$J,4,FALSE),"")</f>
        <v/>
      </c>
      <c r="F53" s="73" t="str">
        <f>IFERROR(VLOOKUP($B53,'Hack Database'!$A:$J,5,FALSE),"")</f>
        <v/>
      </c>
      <c r="G53" s="73" t="str">
        <f>IFERROR(VLOOKUP($B53,'Hack Database'!$A:$J,6,FALSE),"")</f>
        <v/>
      </c>
      <c r="H53" s="80"/>
      <c r="I53" s="80"/>
      <c r="J53" s="73"/>
      <c r="K53" s="73" t="str">
        <f t="shared" si="0"/>
        <v/>
      </c>
      <c r="L53" s="79"/>
      <c r="M53" s="73"/>
      <c r="N53" s="73"/>
      <c r="O53" s="73"/>
      <c r="P53" s="87" t="str">
        <f>IFERROR(HYPERLINK(VLOOKUP($B53,'Online Database'!$A:$J,9,FALSE),"Open Page"),IFERROR(HYPERLINK(VLOOKUP($B53,'Manual Database'!$A:$J,9,FALSE),"Open Page"),""))</f>
        <v/>
      </c>
      <c r="Q53" s="87" t="str">
        <f>IFERROR(HYPERLINK(VLOOKUP($B53,'Online Database'!$A:$J,10,FALSE),"Download"),IFERROR(HYPERLINK(VLOOKUP($B53,'Manual Database'!$A:$J,10,FALSE),"Download"),""))</f>
        <v/>
      </c>
      <c r="R53" s="73"/>
    </row>
    <row r="54" spans="1:18" ht="22.05" customHeight="1">
      <c r="A54" s="77" t="str">
        <f>IF(C54="","",COUNTIF($C$2:C54,"&lt;&gt;"))</f>
        <v/>
      </c>
      <c r="B54" s="73"/>
      <c r="C54" s="73" t="str">
        <f>IFERROR(VLOOKUP($B54,'Hack Database'!$A:$J,2,FALSE),"")</f>
        <v/>
      </c>
      <c r="D54" s="73" t="str">
        <f>IFERROR(VLOOKUP($B54,'Hack Database'!$A:$J,3,FALSE),"")</f>
        <v/>
      </c>
      <c r="E54" s="79" t="str">
        <f>IFERROR(VLOOKUP($B54,'Hack Database'!$A:$J,4,FALSE),"")</f>
        <v/>
      </c>
      <c r="F54" s="73" t="str">
        <f>IFERROR(VLOOKUP($B54,'Hack Database'!$A:$J,5,FALSE),"")</f>
        <v/>
      </c>
      <c r="G54" s="73" t="str">
        <f>IFERROR(VLOOKUP($B54,'Hack Database'!$A:$J,6,FALSE),"")</f>
        <v/>
      </c>
      <c r="H54" s="80"/>
      <c r="I54" s="80"/>
      <c r="J54" s="73"/>
      <c r="K54" s="73" t="str">
        <f t="shared" si="0"/>
        <v/>
      </c>
      <c r="L54" s="79"/>
      <c r="M54" s="73"/>
      <c r="N54" s="73"/>
      <c r="O54" s="73"/>
      <c r="P54" s="87" t="str">
        <f>IFERROR(HYPERLINK(VLOOKUP($B54,'Online Database'!$A:$J,9,FALSE),"Open Page"),IFERROR(HYPERLINK(VLOOKUP($B54,'Manual Database'!$A:$J,9,FALSE),"Open Page"),""))</f>
        <v/>
      </c>
      <c r="Q54" s="87" t="str">
        <f>IFERROR(HYPERLINK(VLOOKUP($B54,'Online Database'!$A:$J,10,FALSE),"Download"),IFERROR(HYPERLINK(VLOOKUP($B54,'Manual Database'!$A:$J,10,FALSE),"Download"),""))</f>
        <v/>
      </c>
      <c r="R54" s="73"/>
    </row>
    <row r="55" spans="1:18" ht="22.05" customHeight="1">
      <c r="A55" s="77" t="str">
        <f>IF(C55="","",COUNTIF($C$2:C55,"&lt;&gt;"))</f>
        <v/>
      </c>
      <c r="B55" s="73"/>
      <c r="C55" s="73" t="str">
        <f>IFERROR(VLOOKUP($B55,'Hack Database'!$A:$J,2,FALSE),"")</f>
        <v/>
      </c>
      <c r="D55" s="73" t="str">
        <f>IFERROR(VLOOKUP($B55,'Hack Database'!$A:$J,3,FALSE),"")</f>
        <v/>
      </c>
      <c r="E55" s="79" t="str">
        <f>IFERROR(VLOOKUP($B55,'Hack Database'!$A:$J,4,FALSE),"")</f>
        <v/>
      </c>
      <c r="F55" s="73" t="str">
        <f>IFERROR(VLOOKUP($B55,'Hack Database'!$A:$J,5,FALSE),"")</f>
        <v/>
      </c>
      <c r="G55" s="73" t="str">
        <f>IFERROR(VLOOKUP($B55,'Hack Database'!$A:$J,6,FALSE),"")</f>
        <v/>
      </c>
      <c r="H55" s="80"/>
      <c r="I55" s="80"/>
      <c r="J55" s="73"/>
      <c r="K55" s="73" t="str">
        <f t="shared" si="0"/>
        <v/>
      </c>
      <c r="L55" s="79"/>
      <c r="M55" s="73"/>
      <c r="N55" s="73"/>
      <c r="O55" s="73"/>
      <c r="P55" s="87" t="str">
        <f>IFERROR(HYPERLINK(VLOOKUP($B55,'Online Database'!$A:$J,9,FALSE),"Open Page"),IFERROR(HYPERLINK(VLOOKUP($B55,'Manual Database'!$A:$J,9,FALSE),"Open Page"),""))</f>
        <v/>
      </c>
      <c r="Q55" s="87" t="str">
        <f>IFERROR(HYPERLINK(VLOOKUP($B55,'Online Database'!$A:$J,10,FALSE),"Download"),IFERROR(HYPERLINK(VLOOKUP($B55,'Manual Database'!$A:$J,10,FALSE),"Download"),""))</f>
        <v/>
      </c>
      <c r="R55" s="73"/>
    </row>
    <row r="56" spans="1:18" ht="22.05" customHeight="1">
      <c r="A56" s="77" t="str">
        <f>IF(C56="","",COUNTIF($C$2:C56,"&lt;&gt;"))</f>
        <v/>
      </c>
      <c r="B56" s="73"/>
      <c r="C56" s="73" t="str">
        <f>IFERROR(VLOOKUP($B56,'Hack Database'!$A:$J,2,FALSE),"")</f>
        <v/>
      </c>
      <c r="D56" s="73" t="str">
        <f>IFERROR(VLOOKUP($B56,'Hack Database'!$A:$J,3,FALSE),"")</f>
        <v/>
      </c>
      <c r="E56" s="79" t="str">
        <f>IFERROR(VLOOKUP($B56,'Hack Database'!$A:$J,4,FALSE),"")</f>
        <v/>
      </c>
      <c r="F56" s="73" t="str">
        <f>IFERROR(VLOOKUP($B56,'Hack Database'!$A:$J,5,FALSE),"")</f>
        <v/>
      </c>
      <c r="G56" s="73" t="str">
        <f>IFERROR(VLOOKUP($B56,'Hack Database'!$A:$J,6,FALSE),"")</f>
        <v/>
      </c>
      <c r="H56" s="80"/>
      <c r="I56" s="80"/>
      <c r="J56" s="73"/>
      <c r="K56" s="73" t="str">
        <f t="shared" si="0"/>
        <v/>
      </c>
      <c r="L56" s="79"/>
      <c r="M56" s="73"/>
      <c r="N56" s="73"/>
      <c r="O56" s="73"/>
      <c r="P56" s="87" t="str">
        <f>IFERROR(HYPERLINK(VLOOKUP($B56,'Online Database'!$A:$J,9,FALSE),"Open Page"),IFERROR(HYPERLINK(VLOOKUP($B56,'Manual Database'!$A:$J,9,FALSE),"Open Page"),""))</f>
        <v/>
      </c>
      <c r="Q56" s="87" t="str">
        <f>IFERROR(HYPERLINK(VLOOKUP($B56,'Online Database'!$A:$J,10,FALSE),"Download"),IFERROR(HYPERLINK(VLOOKUP($B56,'Manual Database'!$A:$J,10,FALSE),"Download"),""))</f>
        <v/>
      </c>
      <c r="R56" s="73"/>
    </row>
    <row r="57" spans="1:18" ht="22.05" customHeight="1">
      <c r="A57" s="77" t="str">
        <f>IF(C57="","",COUNTIF($C$2:C57,"&lt;&gt;"))</f>
        <v/>
      </c>
      <c r="B57" s="73"/>
      <c r="C57" s="73" t="str">
        <f>IFERROR(VLOOKUP($B57,'Hack Database'!$A:$J,2,FALSE),"")</f>
        <v/>
      </c>
      <c r="D57" s="73" t="str">
        <f>IFERROR(VLOOKUP($B57,'Hack Database'!$A:$J,3,FALSE),"")</f>
        <v/>
      </c>
      <c r="E57" s="79" t="str">
        <f>IFERROR(VLOOKUP($B57,'Hack Database'!$A:$J,4,FALSE),"")</f>
        <v/>
      </c>
      <c r="F57" s="73" t="str">
        <f>IFERROR(VLOOKUP($B57,'Hack Database'!$A:$J,5,FALSE),"")</f>
        <v/>
      </c>
      <c r="G57" s="73" t="str">
        <f>IFERROR(VLOOKUP($B57,'Hack Database'!$A:$J,6,FALSE),"")</f>
        <v/>
      </c>
      <c r="H57" s="80"/>
      <c r="I57" s="80"/>
      <c r="J57" s="73"/>
      <c r="K57" s="73" t="str">
        <f t="shared" si="0"/>
        <v/>
      </c>
      <c r="L57" s="79"/>
      <c r="M57" s="73"/>
      <c r="N57" s="73"/>
      <c r="O57" s="73"/>
      <c r="P57" s="87" t="str">
        <f>IFERROR(HYPERLINK(VLOOKUP($B57,'Online Database'!$A:$J,9,FALSE),"Open Page"),IFERROR(HYPERLINK(VLOOKUP($B57,'Manual Database'!$A:$J,9,FALSE),"Open Page"),""))</f>
        <v/>
      </c>
      <c r="Q57" s="87" t="str">
        <f>IFERROR(HYPERLINK(VLOOKUP($B57,'Online Database'!$A:$J,10,FALSE),"Download"),IFERROR(HYPERLINK(VLOOKUP($B57,'Manual Database'!$A:$J,10,FALSE),"Download"),""))</f>
        <v/>
      </c>
      <c r="R57" s="73"/>
    </row>
    <row r="58" spans="1:18" ht="22.05" customHeight="1">
      <c r="A58" s="77" t="str">
        <f>IF(C58="","",COUNTIF($C$2:C58,"&lt;&gt;"))</f>
        <v/>
      </c>
      <c r="B58" s="73"/>
      <c r="C58" s="73" t="str">
        <f>IFERROR(VLOOKUP($B58,'Hack Database'!$A:$J,2,FALSE),"")</f>
        <v/>
      </c>
      <c r="D58" s="73" t="str">
        <f>IFERROR(VLOOKUP($B58,'Hack Database'!$A:$J,3,FALSE),"")</f>
        <v/>
      </c>
      <c r="E58" s="79" t="str">
        <f>IFERROR(VLOOKUP($B58,'Hack Database'!$A:$J,4,FALSE),"")</f>
        <v/>
      </c>
      <c r="F58" s="73" t="str">
        <f>IFERROR(VLOOKUP($B58,'Hack Database'!$A:$J,5,FALSE),"")</f>
        <v/>
      </c>
      <c r="G58" s="73" t="str">
        <f>IFERROR(VLOOKUP($B58,'Hack Database'!$A:$J,6,FALSE),"")</f>
        <v/>
      </c>
      <c r="H58" s="80"/>
      <c r="I58" s="80"/>
      <c r="J58" s="73"/>
      <c r="K58" s="73" t="str">
        <f t="shared" si="0"/>
        <v/>
      </c>
      <c r="L58" s="79"/>
      <c r="M58" s="73"/>
      <c r="N58" s="73"/>
      <c r="O58" s="73"/>
      <c r="P58" s="87" t="str">
        <f>IFERROR(HYPERLINK(VLOOKUP($B58,'Online Database'!$A:$J,9,FALSE),"Open Page"),IFERROR(HYPERLINK(VLOOKUP($B58,'Manual Database'!$A:$J,9,FALSE),"Open Page"),""))</f>
        <v/>
      </c>
      <c r="Q58" s="87" t="str">
        <f>IFERROR(HYPERLINK(VLOOKUP($B58,'Online Database'!$A:$J,10,FALSE),"Download"),IFERROR(HYPERLINK(VLOOKUP($B58,'Manual Database'!$A:$J,10,FALSE),"Download"),""))</f>
        <v/>
      </c>
      <c r="R58" s="73"/>
    </row>
    <row r="59" spans="1:18" ht="22.05" customHeight="1">
      <c r="A59" s="77" t="str">
        <f>IF(C59="","",COUNTIF($C$2:C59,"&lt;&gt;"))</f>
        <v/>
      </c>
      <c r="B59" s="73"/>
      <c r="C59" s="73" t="str">
        <f>IFERROR(VLOOKUP($B59,'Hack Database'!$A:$J,2,FALSE),"")</f>
        <v/>
      </c>
      <c r="D59" s="73" t="str">
        <f>IFERROR(VLOOKUP($B59,'Hack Database'!$A:$J,3,FALSE),"")</f>
        <v/>
      </c>
      <c r="E59" s="79" t="str">
        <f>IFERROR(VLOOKUP($B59,'Hack Database'!$A:$J,4,FALSE),"")</f>
        <v/>
      </c>
      <c r="F59" s="73" t="str">
        <f>IFERROR(VLOOKUP($B59,'Hack Database'!$A:$J,5,FALSE),"")</f>
        <v/>
      </c>
      <c r="G59" s="73" t="str">
        <f>IFERROR(VLOOKUP($B59,'Hack Database'!$A:$J,6,FALSE),"")</f>
        <v/>
      </c>
      <c r="H59" s="80"/>
      <c r="I59" s="80"/>
      <c r="J59" s="73"/>
      <c r="K59" s="73" t="str">
        <f t="shared" si="0"/>
        <v/>
      </c>
      <c r="L59" s="79"/>
      <c r="M59" s="73"/>
      <c r="N59" s="73"/>
      <c r="O59" s="73"/>
      <c r="P59" s="87" t="str">
        <f>IFERROR(HYPERLINK(VLOOKUP($B59,'Online Database'!$A:$J,9,FALSE),"Open Page"),IFERROR(HYPERLINK(VLOOKUP($B59,'Manual Database'!$A:$J,9,FALSE),"Open Page"),""))</f>
        <v/>
      </c>
      <c r="Q59" s="87" t="str">
        <f>IFERROR(HYPERLINK(VLOOKUP($B59,'Online Database'!$A:$J,10,FALSE),"Download"),IFERROR(HYPERLINK(VLOOKUP($B59,'Manual Database'!$A:$J,10,FALSE),"Download"),""))</f>
        <v/>
      </c>
      <c r="R59" s="73"/>
    </row>
    <row r="60" spans="1:18" ht="22.05" customHeight="1">
      <c r="A60" s="77" t="str">
        <f>IF(C60="","",COUNTIF($C$2:C60,"&lt;&gt;"))</f>
        <v/>
      </c>
      <c r="B60" s="73"/>
      <c r="C60" s="73" t="str">
        <f>IFERROR(VLOOKUP($B60,'Hack Database'!$A:$J,2,FALSE),"")</f>
        <v/>
      </c>
      <c r="D60" s="73" t="str">
        <f>IFERROR(VLOOKUP($B60,'Hack Database'!$A:$J,3,FALSE),"")</f>
        <v/>
      </c>
      <c r="E60" s="79" t="str">
        <f>IFERROR(VLOOKUP($B60,'Hack Database'!$A:$J,4,FALSE),"")</f>
        <v/>
      </c>
      <c r="F60" s="73" t="str">
        <f>IFERROR(VLOOKUP($B60,'Hack Database'!$A:$J,5,FALSE),"")</f>
        <v/>
      </c>
      <c r="G60" s="73" t="str">
        <f>IFERROR(VLOOKUP($B60,'Hack Database'!$A:$J,6,FALSE),"")</f>
        <v/>
      </c>
      <c r="H60" s="80"/>
      <c r="I60" s="80"/>
      <c r="J60" s="73"/>
      <c r="K60" s="73" t="str">
        <f t="shared" si="0"/>
        <v/>
      </c>
      <c r="L60" s="79"/>
      <c r="M60" s="73"/>
      <c r="N60" s="73"/>
      <c r="O60" s="73"/>
      <c r="P60" s="87" t="str">
        <f>IFERROR(HYPERLINK(VLOOKUP($B60,'Online Database'!$A:$J,9,FALSE),"Open Page"),IFERROR(HYPERLINK(VLOOKUP($B60,'Manual Database'!$A:$J,9,FALSE),"Open Page"),""))</f>
        <v/>
      </c>
      <c r="Q60" s="87" t="str">
        <f>IFERROR(HYPERLINK(VLOOKUP($B60,'Online Database'!$A:$J,10,FALSE),"Download"),IFERROR(HYPERLINK(VLOOKUP($B60,'Manual Database'!$A:$J,10,FALSE),"Download"),""))</f>
        <v/>
      </c>
      <c r="R60" s="73"/>
    </row>
    <row r="61" spans="1:18" ht="22.05" customHeight="1">
      <c r="A61" s="77" t="str">
        <f>IF(C61="","",COUNTIF($C$2:C61,"&lt;&gt;"))</f>
        <v/>
      </c>
      <c r="B61" s="73"/>
      <c r="C61" s="73" t="str">
        <f>IFERROR(VLOOKUP($B61,'Hack Database'!$A:$J,2,FALSE),"")</f>
        <v/>
      </c>
      <c r="D61" s="73" t="str">
        <f>IFERROR(VLOOKUP($B61,'Hack Database'!$A:$J,3,FALSE),"")</f>
        <v/>
      </c>
      <c r="E61" s="79" t="str">
        <f>IFERROR(VLOOKUP($B61,'Hack Database'!$A:$J,4,FALSE),"")</f>
        <v/>
      </c>
      <c r="F61" s="73" t="str">
        <f>IFERROR(VLOOKUP($B61,'Hack Database'!$A:$J,5,FALSE),"")</f>
        <v/>
      </c>
      <c r="G61" s="73" t="str">
        <f>IFERROR(VLOOKUP($B61,'Hack Database'!$A:$J,6,FALSE),"")</f>
        <v/>
      </c>
      <c r="H61" s="80"/>
      <c r="I61" s="80"/>
      <c r="J61" s="73"/>
      <c r="K61" s="73" t="str">
        <f t="shared" si="0"/>
        <v/>
      </c>
      <c r="L61" s="79"/>
      <c r="M61" s="73"/>
      <c r="N61" s="73"/>
      <c r="O61" s="73"/>
      <c r="P61" s="87" t="str">
        <f>IFERROR(HYPERLINK(VLOOKUP($B61,'Online Database'!$A:$J,9,FALSE),"Open Page"),IFERROR(HYPERLINK(VLOOKUP($B61,'Manual Database'!$A:$J,9,FALSE),"Open Page"),""))</f>
        <v/>
      </c>
      <c r="Q61" s="87" t="str">
        <f>IFERROR(HYPERLINK(VLOOKUP($B61,'Online Database'!$A:$J,10,FALSE),"Download"),IFERROR(HYPERLINK(VLOOKUP($B61,'Manual Database'!$A:$J,10,FALSE),"Download"),""))</f>
        <v/>
      </c>
      <c r="R61" s="73"/>
    </row>
    <row r="62" spans="1:18" ht="22.05" customHeight="1">
      <c r="A62" s="77" t="str">
        <f>IF(C62="","",COUNTIF($C$2:C62,"&lt;&gt;"))</f>
        <v/>
      </c>
      <c r="B62" s="73"/>
      <c r="C62" s="73" t="str">
        <f>IFERROR(VLOOKUP($B62,'Hack Database'!$A:$J,2,FALSE),"")</f>
        <v/>
      </c>
      <c r="D62" s="73" t="str">
        <f>IFERROR(VLOOKUP($B62,'Hack Database'!$A:$J,3,FALSE),"")</f>
        <v/>
      </c>
      <c r="E62" s="79" t="str">
        <f>IFERROR(VLOOKUP($B62,'Hack Database'!$A:$J,4,FALSE),"")</f>
        <v/>
      </c>
      <c r="F62" s="73" t="str">
        <f>IFERROR(VLOOKUP($B62,'Hack Database'!$A:$J,5,FALSE),"")</f>
        <v/>
      </c>
      <c r="G62" s="73" t="str">
        <f>IFERROR(VLOOKUP($B62,'Hack Database'!$A:$J,6,FALSE),"")</f>
        <v/>
      </c>
      <c r="H62" s="80"/>
      <c r="I62" s="80"/>
      <c r="J62" s="73"/>
      <c r="K62" s="73" t="str">
        <f t="shared" si="0"/>
        <v/>
      </c>
      <c r="L62" s="79"/>
      <c r="M62" s="73"/>
      <c r="N62" s="73"/>
      <c r="O62" s="73"/>
      <c r="P62" s="87" t="str">
        <f>IFERROR(HYPERLINK(VLOOKUP($B62,'Online Database'!$A:$J,9,FALSE),"Open Page"),IFERROR(HYPERLINK(VLOOKUP($B62,'Manual Database'!$A:$J,9,FALSE),"Open Page"),""))</f>
        <v/>
      </c>
      <c r="Q62" s="87" t="str">
        <f>IFERROR(HYPERLINK(VLOOKUP($B62,'Online Database'!$A:$J,10,FALSE),"Download"),IFERROR(HYPERLINK(VLOOKUP($B62,'Manual Database'!$A:$J,10,FALSE),"Download"),""))</f>
        <v/>
      </c>
      <c r="R62" s="73"/>
    </row>
    <row r="63" spans="1:18" ht="22.05" customHeight="1">
      <c r="A63" s="77" t="str">
        <f>IF(C63="","",COUNTIF($C$2:C63,"&lt;&gt;"))</f>
        <v/>
      </c>
      <c r="B63" s="73"/>
      <c r="C63" s="73" t="str">
        <f>IFERROR(VLOOKUP($B63,'Hack Database'!$A:$J,2,FALSE),"")</f>
        <v/>
      </c>
      <c r="D63" s="73" t="str">
        <f>IFERROR(VLOOKUP($B63,'Hack Database'!$A:$J,3,FALSE),"")</f>
        <v/>
      </c>
      <c r="E63" s="79" t="str">
        <f>IFERROR(VLOOKUP($B63,'Hack Database'!$A:$J,4,FALSE),"")</f>
        <v/>
      </c>
      <c r="F63" s="73" t="str">
        <f>IFERROR(VLOOKUP($B63,'Hack Database'!$A:$J,5,FALSE),"")</f>
        <v/>
      </c>
      <c r="G63" s="73" t="str">
        <f>IFERROR(VLOOKUP($B63,'Hack Database'!$A:$J,6,FALSE),"")</f>
        <v/>
      </c>
      <c r="H63" s="80"/>
      <c r="I63" s="80"/>
      <c r="J63" s="73"/>
      <c r="K63" s="73" t="str">
        <f t="shared" si="0"/>
        <v/>
      </c>
      <c r="L63" s="79"/>
      <c r="M63" s="73"/>
      <c r="N63" s="73"/>
      <c r="O63" s="73"/>
      <c r="P63" s="87" t="str">
        <f>IFERROR(HYPERLINK(VLOOKUP($B63,'Online Database'!$A:$J,9,FALSE),"Open Page"),IFERROR(HYPERLINK(VLOOKUP($B63,'Manual Database'!$A:$J,9,FALSE),"Open Page"),""))</f>
        <v/>
      </c>
      <c r="Q63" s="87" t="str">
        <f>IFERROR(HYPERLINK(VLOOKUP($B63,'Online Database'!$A:$J,10,FALSE),"Download"),IFERROR(HYPERLINK(VLOOKUP($B63,'Manual Database'!$A:$J,10,FALSE),"Download"),""))</f>
        <v/>
      </c>
      <c r="R63" s="73"/>
    </row>
    <row r="64" spans="1:18" ht="22.05" customHeight="1">
      <c r="A64" s="77" t="str">
        <f>IF(C64="","",COUNTIF($C$2:C64,"&lt;&gt;"))</f>
        <v/>
      </c>
      <c r="B64" s="73"/>
      <c r="C64" s="73" t="str">
        <f>IFERROR(VLOOKUP($B64,'Hack Database'!$A:$J,2,FALSE),"")</f>
        <v/>
      </c>
      <c r="D64" s="73" t="str">
        <f>IFERROR(VLOOKUP($B64,'Hack Database'!$A:$J,3,FALSE),"")</f>
        <v/>
      </c>
      <c r="E64" s="79" t="str">
        <f>IFERROR(VLOOKUP($B64,'Hack Database'!$A:$J,4,FALSE),"")</f>
        <v/>
      </c>
      <c r="F64" s="73" t="str">
        <f>IFERROR(VLOOKUP($B64,'Hack Database'!$A:$J,5,FALSE),"")</f>
        <v/>
      </c>
      <c r="G64" s="73" t="str">
        <f>IFERROR(VLOOKUP($B64,'Hack Database'!$A:$J,6,FALSE),"")</f>
        <v/>
      </c>
      <c r="H64" s="80"/>
      <c r="I64" s="80"/>
      <c r="J64" s="73"/>
      <c r="K64" s="73" t="str">
        <f t="shared" si="0"/>
        <v/>
      </c>
      <c r="L64" s="79"/>
      <c r="M64" s="73"/>
      <c r="N64" s="73"/>
      <c r="O64" s="73"/>
      <c r="P64" s="87" t="str">
        <f>IFERROR(HYPERLINK(VLOOKUP($B64,'Online Database'!$A:$J,9,FALSE),"Open Page"),IFERROR(HYPERLINK(VLOOKUP($B64,'Manual Database'!$A:$J,9,FALSE),"Open Page"),""))</f>
        <v/>
      </c>
      <c r="Q64" s="87" t="str">
        <f>IFERROR(HYPERLINK(VLOOKUP($B64,'Online Database'!$A:$J,10,FALSE),"Download"),IFERROR(HYPERLINK(VLOOKUP($B64,'Manual Database'!$A:$J,10,FALSE),"Download"),""))</f>
        <v/>
      </c>
      <c r="R64" s="73"/>
    </row>
    <row r="65" spans="1:18" ht="22.05" customHeight="1">
      <c r="A65" s="77" t="str">
        <f>IF(C65="","",COUNTIF($C$2:C65,"&lt;&gt;"))</f>
        <v/>
      </c>
      <c r="B65" s="73"/>
      <c r="C65" s="73" t="str">
        <f>IFERROR(VLOOKUP($B65,'Hack Database'!$A:$J,2,FALSE),"")</f>
        <v/>
      </c>
      <c r="D65" s="73" t="str">
        <f>IFERROR(VLOOKUP($B65,'Hack Database'!$A:$J,3,FALSE),"")</f>
        <v/>
      </c>
      <c r="E65" s="79" t="str">
        <f>IFERROR(VLOOKUP($B65,'Hack Database'!$A:$J,4,FALSE),"")</f>
        <v/>
      </c>
      <c r="F65" s="73" t="str">
        <f>IFERROR(VLOOKUP($B65,'Hack Database'!$A:$J,5,FALSE),"")</f>
        <v/>
      </c>
      <c r="G65" s="73" t="str">
        <f>IFERROR(VLOOKUP($B65,'Hack Database'!$A:$J,6,FALSE),"")</f>
        <v/>
      </c>
      <c r="H65" s="80"/>
      <c r="I65" s="80"/>
      <c r="J65" s="73"/>
      <c r="K65" s="73" t="str">
        <f t="shared" si="0"/>
        <v/>
      </c>
      <c r="L65" s="79"/>
      <c r="M65" s="73"/>
      <c r="N65" s="73"/>
      <c r="O65" s="73"/>
      <c r="P65" s="87" t="str">
        <f>IFERROR(HYPERLINK(VLOOKUP($B65,'Online Database'!$A:$J,9,FALSE),"Open Page"),IFERROR(HYPERLINK(VLOOKUP($B65,'Manual Database'!$A:$J,9,FALSE),"Open Page"),""))</f>
        <v/>
      </c>
      <c r="Q65" s="87" t="str">
        <f>IFERROR(HYPERLINK(VLOOKUP($B65,'Online Database'!$A:$J,10,FALSE),"Download"),IFERROR(HYPERLINK(VLOOKUP($B65,'Manual Database'!$A:$J,10,FALSE),"Download"),""))</f>
        <v/>
      </c>
      <c r="R65" s="73"/>
    </row>
    <row r="66" spans="1:18" ht="22.05" customHeight="1">
      <c r="A66" s="77" t="str">
        <f>IF(C66="","",COUNTIF($C$2:C66,"&lt;&gt;"))</f>
        <v/>
      </c>
      <c r="B66" s="73"/>
      <c r="C66" s="73" t="str">
        <f>IFERROR(VLOOKUP($B66,'Hack Database'!$A:$J,2,FALSE),"")</f>
        <v/>
      </c>
      <c r="D66" s="73" t="str">
        <f>IFERROR(VLOOKUP($B66,'Hack Database'!$A:$J,3,FALSE),"")</f>
        <v/>
      </c>
      <c r="E66" s="79" t="str">
        <f>IFERROR(VLOOKUP($B66,'Hack Database'!$A:$J,4,FALSE),"")</f>
        <v/>
      </c>
      <c r="F66" s="73" t="str">
        <f>IFERROR(VLOOKUP($B66,'Hack Database'!$A:$J,5,FALSE),"")</f>
        <v/>
      </c>
      <c r="G66" s="73" t="str">
        <f>IFERROR(VLOOKUP($B66,'Hack Database'!$A:$J,6,FALSE),"")</f>
        <v/>
      </c>
      <c r="H66" s="80"/>
      <c r="I66" s="80"/>
      <c r="J66" s="73"/>
      <c r="K66" s="73" t="str">
        <f t="shared" ref="K66:K129" si="1">IF($B66="","",IF($J66="Yes","100% Complete",IF($H66="","Planned",IF($I66="","In Progress","Finished"))))</f>
        <v/>
      </c>
      <c r="L66" s="79"/>
      <c r="M66" s="73"/>
      <c r="N66" s="73"/>
      <c r="O66" s="73"/>
      <c r="P66" s="87" t="str">
        <f>IFERROR(HYPERLINK(VLOOKUP($B66,'Online Database'!$A:$J,9,FALSE),"Open Page"),IFERROR(HYPERLINK(VLOOKUP($B66,'Manual Database'!$A:$J,9,FALSE),"Open Page"),""))</f>
        <v/>
      </c>
      <c r="Q66" s="87" t="str">
        <f>IFERROR(HYPERLINK(VLOOKUP($B66,'Online Database'!$A:$J,10,FALSE),"Download"),IFERROR(HYPERLINK(VLOOKUP($B66,'Manual Database'!$A:$J,10,FALSE),"Download"),""))</f>
        <v/>
      </c>
      <c r="R66" s="73"/>
    </row>
    <row r="67" spans="1:18" ht="22.05" customHeight="1">
      <c r="A67" s="77" t="str">
        <f>IF(C67="","",COUNTIF($C$2:C67,"&lt;&gt;"))</f>
        <v/>
      </c>
      <c r="B67" s="73"/>
      <c r="C67" s="73" t="str">
        <f>IFERROR(VLOOKUP($B67,'Hack Database'!$A:$J,2,FALSE),"")</f>
        <v/>
      </c>
      <c r="D67" s="73" t="str">
        <f>IFERROR(VLOOKUP($B67,'Hack Database'!$A:$J,3,FALSE),"")</f>
        <v/>
      </c>
      <c r="E67" s="79" t="str">
        <f>IFERROR(VLOOKUP($B67,'Hack Database'!$A:$J,4,FALSE),"")</f>
        <v/>
      </c>
      <c r="F67" s="73" t="str">
        <f>IFERROR(VLOOKUP($B67,'Hack Database'!$A:$J,5,FALSE),"")</f>
        <v/>
      </c>
      <c r="G67" s="73" t="str">
        <f>IFERROR(VLOOKUP($B67,'Hack Database'!$A:$J,6,FALSE),"")</f>
        <v/>
      </c>
      <c r="H67" s="80"/>
      <c r="I67" s="80"/>
      <c r="J67" s="73"/>
      <c r="K67" s="73" t="str">
        <f t="shared" si="1"/>
        <v/>
      </c>
      <c r="L67" s="79"/>
      <c r="M67" s="73"/>
      <c r="N67" s="73"/>
      <c r="O67" s="73"/>
      <c r="P67" s="87" t="str">
        <f>IFERROR(HYPERLINK(VLOOKUP($B67,'Online Database'!$A:$J,9,FALSE),"Open Page"),IFERROR(HYPERLINK(VLOOKUP($B67,'Manual Database'!$A:$J,9,FALSE),"Open Page"),""))</f>
        <v/>
      </c>
      <c r="Q67" s="87" t="str">
        <f>IFERROR(HYPERLINK(VLOOKUP($B67,'Online Database'!$A:$J,10,FALSE),"Download"),IFERROR(HYPERLINK(VLOOKUP($B67,'Manual Database'!$A:$J,10,FALSE),"Download"),""))</f>
        <v/>
      </c>
      <c r="R67" s="73"/>
    </row>
    <row r="68" spans="1:18" ht="22.05" customHeight="1">
      <c r="A68" s="77" t="str">
        <f>IF(C68="","",COUNTIF($C$2:C68,"&lt;&gt;"))</f>
        <v/>
      </c>
      <c r="B68" s="73"/>
      <c r="C68" s="73" t="str">
        <f>IFERROR(VLOOKUP($B68,'Hack Database'!$A:$J,2,FALSE),"")</f>
        <v/>
      </c>
      <c r="D68" s="73" t="str">
        <f>IFERROR(VLOOKUP($B68,'Hack Database'!$A:$J,3,FALSE),"")</f>
        <v/>
      </c>
      <c r="E68" s="79" t="str">
        <f>IFERROR(VLOOKUP($B68,'Hack Database'!$A:$J,4,FALSE),"")</f>
        <v/>
      </c>
      <c r="F68" s="73" t="str">
        <f>IFERROR(VLOOKUP($B68,'Hack Database'!$A:$J,5,FALSE),"")</f>
        <v/>
      </c>
      <c r="G68" s="73" t="str">
        <f>IFERROR(VLOOKUP($B68,'Hack Database'!$A:$J,6,FALSE),"")</f>
        <v/>
      </c>
      <c r="H68" s="80"/>
      <c r="I68" s="80"/>
      <c r="J68" s="73"/>
      <c r="K68" s="73" t="str">
        <f t="shared" si="1"/>
        <v/>
      </c>
      <c r="L68" s="79"/>
      <c r="M68" s="73"/>
      <c r="N68" s="73"/>
      <c r="O68" s="73"/>
      <c r="P68" s="87" t="str">
        <f>IFERROR(HYPERLINK(VLOOKUP($B68,'Online Database'!$A:$J,9,FALSE),"Open Page"),IFERROR(HYPERLINK(VLOOKUP($B68,'Manual Database'!$A:$J,9,FALSE),"Open Page"),""))</f>
        <v/>
      </c>
      <c r="Q68" s="87" t="str">
        <f>IFERROR(HYPERLINK(VLOOKUP($B68,'Online Database'!$A:$J,10,FALSE),"Download"),IFERROR(HYPERLINK(VLOOKUP($B68,'Manual Database'!$A:$J,10,FALSE),"Download"),""))</f>
        <v/>
      </c>
      <c r="R68" s="73"/>
    </row>
    <row r="69" spans="1:18" ht="22.05" customHeight="1">
      <c r="A69" s="77" t="str">
        <f>IF(C69="","",COUNTIF($C$2:C69,"&lt;&gt;"))</f>
        <v/>
      </c>
      <c r="B69" s="73"/>
      <c r="C69" s="73" t="str">
        <f>IFERROR(VLOOKUP($B69,'Hack Database'!$A:$J,2,FALSE),"")</f>
        <v/>
      </c>
      <c r="D69" s="73" t="str">
        <f>IFERROR(VLOOKUP($B69,'Hack Database'!$A:$J,3,FALSE),"")</f>
        <v/>
      </c>
      <c r="E69" s="79" t="str">
        <f>IFERROR(VLOOKUP($B69,'Hack Database'!$A:$J,4,FALSE),"")</f>
        <v/>
      </c>
      <c r="F69" s="73" t="str">
        <f>IFERROR(VLOOKUP($B69,'Hack Database'!$A:$J,5,FALSE),"")</f>
        <v/>
      </c>
      <c r="G69" s="73" t="str">
        <f>IFERROR(VLOOKUP($B69,'Hack Database'!$A:$J,6,FALSE),"")</f>
        <v/>
      </c>
      <c r="H69" s="80"/>
      <c r="I69" s="80"/>
      <c r="J69" s="73"/>
      <c r="K69" s="73" t="str">
        <f t="shared" si="1"/>
        <v/>
      </c>
      <c r="L69" s="79"/>
      <c r="M69" s="73"/>
      <c r="N69" s="73"/>
      <c r="O69" s="73"/>
      <c r="P69" s="87" t="str">
        <f>IFERROR(HYPERLINK(VLOOKUP($B69,'Online Database'!$A:$J,9,FALSE),"Open Page"),IFERROR(HYPERLINK(VLOOKUP($B69,'Manual Database'!$A:$J,9,FALSE),"Open Page"),""))</f>
        <v/>
      </c>
      <c r="Q69" s="87" t="str">
        <f>IFERROR(HYPERLINK(VLOOKUP($B69,'Online Database'!$A:$J,10,FALSE),"Download"),IFERROR(HYPERLINK(VLOOKUP($B69,'Manual Database'!$A:$J,10,FALSE),"Download"),""))</f>
        <v/>
      </c>
      <c r="R69" s="73"/>
    </row>
    <row r="70" spans="1:18" ht="22.05" customHeight="1">
      <c r="A70" s="77" t="str">
        <f>IF(C70="","",COUNTIF($C$2:C70,"&lt;&gt;"))</f>
        <v/>
      </c>
      <c r="B70" s="73"/>
      <c r="C70" s="73" t="str">
        <f>IFERROR(VLOOKUP($B70,'Hack Database'!$A:$J,2,FALSE),"")</f>
        <v/>
      </c>
      <c r="D70" s="73" t="str">
        <f>IFERROR(VLOOKUP($B70,'Hack Database'!$A:$J,3,FALSE),"")</f>
        <v/>
      </c>
      <c r="E70" s="79" t="str">
        <f>IFERROR(VLOOKUP($B70,'Hack Database'!$A:$J,4,FALSE),"")</f>
        <v/>
      </c>
      <c r="F70" s="73" t="str">
        <f>IFERROR(VLOOKUP($B70,'Hack Database'!$A:$J,5,FALSE),"")</f>
        <v/>
      </c>
      <c r="G70" s="73" t="str">
        <f>IFERROR(VLOOKUP($B70,'Hack Database'!$A:$J,6,FALSE),"")</f>
        <v/>
      </c>
      <c r="H70" s="80"/>
      <c r="I70" s="80"/>
      <c r="J70" s="73"/>
      <c r="K70" s="73" t="str">
        <f t="shared" si="1"/>
        <v/>
      </c>
      <c r="L70" s="79"/>
      <c r="M70" s="73"/>
      <c r="N70" s="73"/>
      <c r="O70" s="73"/>
      <c r="P70" s="87" t="str">
        <f>IFERROR(HYPERLINK(VLOOKUP($B70,'Online Database'!$A:$J,9,FALSE),"Open Page"),IFERROR(HYPERLINK(VLOOKUP($B70,'Manual Database'!$A:$J,9,FALSE),"Open Page"),""))</f>
        <v/>
      </c>
      <c r="Q70" s="87" t="str">
        <f>IFERROR(HYPERLINK(VLOOKUP($B70,'Online Database'!$A:$J,10,FALSE),"Download"),IFERROR(HYPERLINK(VLOOKUP($B70,'Manual Database'!$A:$J,10,FALSE),"Download"),""))</f>
        <v/>
      </c>
      <c r="R70" s="73"/>
    </row>
    <row r="71" spans="1:18" ht="22.05" customHeight="1">
      <c r="A71" s="77" t="str">
        <f>IF(C71="","",COUNTIF($C$2:C71,"&lt;&gt;"))</f>
        <v/>
      </c>
      <c r="B71" s="73"/>
      <c r="C71" s="73" t="str">
        <f>IFERROR(VLOOKUP($B71,'Hack Database'!$A:$J,2,FALSE),"")</f>
        <v/>
      </c>
      <c r="D71" s="73" t="str">
        <f>IFERROR(VLOOKUP($B71,'Hack Database'!$A:$J,3,FALSE),"")</f>
        <v/>
      </c>
      <c r="E71" s="79" t="str">
        <f>IFERROR(VLOOKUP($B71,'Hack Database'!$A:$J,4,FALSE),"")</f>
        <v/>
      </c>
      <c r="F71" s="73" t="str">
        <f>IFERROR(VLOOKUP($B71,'Hack Database'!$A:$J,5,FALSE),"")</f>
        <v/>
      </c>
      <c r="G71" s="73" t="str">
        <f>IFERROR(VLOOKUP($B71,'Hack Database'!$A:$J,6,FALSE),"")</f>
        <v/>
      </c>
      <c r="H71" s="80"/>
      <c r="I71" s="80"/>
      <c r="J71" s="73"/>
      <c r="K71" s="73" t="str">
        <f t="shared" si="1"/>
        <v/>
      </c>
      <c r="L71" s="79"/>
      <c r="M71" s="73"/>
      <c r="N71" s="73"/>
      <c r="O71" s="73"/>
      <c r="P71" s="87" t="str">
        <f>IFERROR(HYPERLINK(VLOOKUP($B71,'Online Database'!$A:$J,9,FALSE),"Open Page"),IFERROR(HYPERLINK(VLOOKUP($B71,'Manual Database'!$A:$J,9,FALSE),"Open Page"),""))</f>
        <v/>
      </c>
      <c r="Q71" s="87" t="str">
        <f>IFERROR(HYPERLINK(VLOOKUP($B71,'Online Database'!$A:$J,10,FALSE),"Download"),IFERROR(HYPERLINK(VLOOKUP($B71,'Manual Database'!$A:$J,10,FALSE),"Download"),""))</f>
        <v/>
      </c>
      <c r="R71" s="73"/>
    </row>
    <row r="72" spans="1:18" ht="22.05" customHeight="1">
      <c r="A72" s="77" t="str">
        <f>IF(C72="","",COUNTIF($C$2:C72,"&lt;&gt;"))</f>
        <v/>
      </c>
      <c r="B72" s="73"/>
      <c r="C72" s="73" t="str">
        <f>IFERROR(VLOOKUP($B72,'Hack Database'!$A:$J,2,FALSE),"")</f>
        <v/>
      </c>
      <c r="D72" s="73" t="str">
        <f>IFERROR(VLOOKUP($B72,'Hack Database'!$A:$J,3,FALSE),"")</f>
        <v/>
      </c>
      <c r="E72" s="79" t="str">
        <f>IFERROR(VLOOKUP($B72,'Hack Database'!$A:$J,4,FALSE),"")</f>
        <v/>
      </c>
      <c r="F72" s="73" t="str">
        <f>IFERROR(VLOOKUP($B72,'Hack Database'!$A:$J,5,FALSE),"")</f>
        <v/>
      </c>
      <c r="G72" s="73" t="str">
        <f>IFERROR(VLOOKUP($B72,'Hack Database'!$A:$J,6,FALSE),"")</f>
        <v/>
      </c>
      <c r="H72" s="80"/>
      <c r="I72" s="80"/>
      <c r="J72" s="73"/>
      <c r="K72" s="73" t="str">
        <f t="shared" si="1"/>
        <v/>
      </c>
      <c r="L72" s="79"/>
      <c r="M72" s="73"/>
      <c r="N72" s="73"/>
      <c r="O72" s="73"/>
      <c r="P72" s="87" t="str">
        <f>IFERROR(HYPERLINK(VLOOKUP($B72,'Online Database'!$A:$J,9,FALSE),"Open Page"),IFERROR(HYPERLINK(VLOOKUP($B72,'Manual Database'!$A:$J,9,FALSE),"Open Page"),""))</f>
        <v/>
      </c>
      <c r="Q72" s="87" t="str">
        <f>IFERROR(HYPERLINK(VLOOKUP($B72,'Online Database'!$A:$J,10,FALSE),"Download"),IFERROR(HYPERLINK(VLOOKUP($B72,'Manual Database'!$A:$J,10,FALSE),"Download"),""))</f>
        <v/>
      </c>
      <c r="R72" s="73"/>
    </row>
    <row r="73" spans="1:18" ht="22.05" customHeight="1">
      <c r="A73" s="77" t="str">
        <f>IF(C73="","",COUNTIF($C$2:C73,"&lt;&gt;"))</f>
        <v/>
      </c>
      <c r="B73" s="73"/>
      <c r="C73" s="73" t="str">
        <f>IFERROR(VLOOKUP($B73,'Hack Database'!$A:$J,2,FALSE),"")</f>
        <v/>
      </c>
      <c r="D73" s="73" t="str">
        <f>IFERROR(VLOOKUP($B73,'Hack Database'!$A:$J,3,FALSE),"")</f>
        <v/>
      </c>
      <c r="E73" s="79" t="str">
        <f>IFERROR(VLOOKUP($B73,'Hack Database'!$A:$J,4,FALSE),"")</f>
        <v/>
      </c>
      <c r="F73" s="73" t="str">
        <f>IFERROR(VLOOKUP($B73,'Hack Database'!$A:$J,5,FALSE),"")</f>
        <v/>
      </c>
      <c r="G73" s="73" t="str">
        <f>IFERROR(VLOOKUP($B73,'Hack Database'!$A:$J,6,FALSE),"")</f>
        <v/>
      </c>
      <c r="H73" s="80"/>
      <c r="I73" s="80"/>
      <c r="J73" s="73"/>
      <c r="K73" s="73" t="str">
        <f t="shared" si="1"/>
        <v/>
      </c>
      <c r="L73" s="79"/>
      <c r="M73" s="73"/>
      <c r="N73" s="73"/>
      <c r="O73" s="73"/>
      <c r="P73" s="87" t="str">
        <f>IFERROR(HYPERLINK(VLOOKUP($B73,'Online Database'!$A:$J,9,FALSE),"Open Page"),IFERROR(HYPERLINK(VLOOKUP($B73,'Manual Database'!$A:$J,9,FALSE),"Open Page"),""))</f>
        <v/>
      </c>
      <c r="Q73" s="87" t="str">
        <f>IFERROR(HYPERLINK(VLOOKUP($B73,'Online Database'!$A:$J,10,FALSE),"Download"),IFERROR(HYPERLINK(VLOOKUP($B73,'Manual Database'!$A:$J,10,FALSE),"Download"),""))</f>
        <v/>
      </c>
      <c r="R73" s="73"/>
    </row>
    <row r="74" spans="1:18" ht="22.05" customHeight="1">
      <c r="A74" s="77" t="str">
        <f>IF(C74="","",COUNTIF($C$2:C74,"&lt;&gt;"))</f>
        <v/>
      </c>
      <c r="B74" s="73"/>
      <c r="C74" s="73" t="str">
        <f>IFERROR(VLOOKUP($B74,'Hack Database'!$A:$J,2,FALSE),"")</f>
        <v/>
      </c>
      <c r="D74" s="73" t="str">
        <f>IFERROR(VLOOKUP($B74,'Hack Database'!$A:$J,3,FALSE),"")</f>
        <v/>
      </c>
      <c r="E74" s="79" t="str">
        <f>IFERROR(VLOOKUP($B74,'Hack Database'!$A:$J,4,FALSE),"")</f>
        <v/>
      </c>
      <c r="F74" s="73" t="str">
        <f>IFERROR(VLOOKUP($B74,'Hack Database'!$A:$J,5,FALSE),"")</f>
        <v/>
      </c>
      <c r="G74" s="73" t="str">
        <f>IFERROR(VLOOKUP($B74,'Hack Database'!$A:$J,6,FALSE),"")</f>
        <v/>
      </c>
      <c r="H74" s="80"/>
      <c r="I74" s="80"/>
      <c r="J74" s="73"/>
      <c r="K74" s="73" t="str">
        <f t="shared" si="1"/>
        <v/>
      </c>
      <c r="L74" s="79"/>
      <c r="M74" s="73"/>
      <c r="N74" s="73"/>
      <c r="O74" s="73"/>
      <c r="P74" s="87" t="str">
        <f>IFERROR(HYPERLINK(VLOOKUP($B74,'Online Database'!$A:$J,9,FALSE),"Open Page"),IFERROR(HYPERLINK(VLOOKUP($B74,'Manual Database'!$A:$J,9,FALSE),"Open Page"),""))</f>
        <v/>
      </c>
      <c r="Q74" s="87" t="str">
        <f>IFERROR(HYPERLINK(VLOOKUP($B74,'Online Database'!$A:$J,10,FALSE),"Download"),IFERROR(HYPERLINK(VLOOKUP($B74,'Manual Database'!$A:$J,10,FALSE),"Download"),""))</f>
        <v/>
      </c>
      <c r="R74" s="73"/>
    </row>
    <row r="75" spans="1:18" ht="22.05" customHeight="1">
      <c r="A75" s="77" t="str">
        <f>IF(C75="","",COUNTIF($C$2:C75,"&lt;&gt;"))</f>
        <v/>
      </c>
      <c r="B75" s="73"/>
      <c r="C75" s="73" t="str">
        <f>IFERROR(VLOOKUP($B75,'Hack Database'!$A:$J,2,FALSE),"")</f>
        <v/>
      </c>
      <c r="D75" s="73" t="str">
        <f>IFERROR(VLOOKUP($B75,'Hack Database'!$A:$J,3,FALSE),"")</f>
        <v/>
      </c>
      <c r="E75" s="79" t="str">
        <f>IFERROR(VLOOKUP($B75,'Hack Database'!$A:$J,4,FALSE),"")</f>
        <v/>
      </c>
      <c r="F75" s="73" t="str">
        <f>IFERROR(VLOOKUP($B75,'Hack Database'!$A:$J,5,FALSE),"")</f>
        <v/>
      </c>
      <c r="G75" s="73" t="str">
        <f>IFERROR(VLOOKUP($B75,'Hack Database'!$A:$J,6,FALSE),"")</f>
        <v/>
      </c>
      <c r="H75" s="80"/>
      <c r="I75" s="80"/>
      <c r="J75" s="73"/>
      <c r="K75" s="73" t="str">
        <f t="shared" si="1"/>
        <v/>
      </c>
      <c r="L75" s="79"/>
      <c r="M75" s="73"/>
      <c r="N75" s="73"/>
      <c r="O75" s="73"/>
      <c r="P75" s="87" t="str">
        <f>IFERROR(HYPERLINK(VLOOKUP($B75,'Online Database'!$A:$J,9,FALSE),"Open Page"),IFERROR(HYPERLINK(VLOOKUP($B75,'Manual Database'!$A:$J,9,FALSE),"Open Page"),""))</f>
        <v/>
      </c>
      <c r="Q75" s="87" t="str">
        <f>IFERROR(HYPERLINK(VLOOKUP($B75,'Online Database'!$A:$J,10,FALSE),"Download"),IFERROR(HYPERLINK(VLOOKUP($B75,'Manual Database'!$A:$J,10,FALSE),"Download"),""))</f>
        <v/>
      </c>
      <c r="R75" s="73"/>
    </row>
    <row r="76" spans="1:18" ht="22.05" customHeight="1">
      <c r="A76" s="77" t="str">
        <f>IF(C76="","",COUNTIF($C$2:C76,"&lt;&gt;"))</f>
        <v/>
      </c>
      <c r="B76" s="73"/>
      <c r="C76" s="73" t="str">
        <f>IFERROR(VLOOKUP($B76,'Hack Database'!$A:$J,2,FALSE),"")</f>
        <v/>
      </c>
      <c r="D76" s="73" t="str">
        <f>IFERROR(VLOOKUP($B76,'Hack Database'!$A:$J,3,FALSE),"")</f>
        <v/>
      </c>
      <c r="E76" s="79" t="str">
        <f>IFERROR(VLOOKUP($B76,'Hack Database'!$A:$J,4,FALSE),"")</f>
        <v/>
      </c>
      <c r="F76" s="73" t="str">
        <f>IFERROR(VLOOKUP($B76,'Hack Database'!$A:$J,5,FALSE),"")</f>
        <v/>
      </c>
      <c r="G76" s="73" t="str">
        <f>IFERROR(VLOOKUP($B76,'Hack Database'!$A:$J,6,FALSE),"")</f>
        <v/>
      </c>
      <c r="H76" s="80"/>
      <c r="I76" s="80"/>
      <c r="J76" s="73"/>
      <c r="K76" s="73" t="str">
        <f t="shared" si="1"/>
        <v/>
      </c>
      <c r="L76" s="79"/>
      <c r="M76" s="73"/>
      <c r="N76" s="73"/>
      <c r="O76" s="73"/>
      <c r="P76" s="87" t="str">
        <f>IFERROR(HYPERLINK(VLOOKUP($B76,'Online Database'!$A:$J,9,FALSE),"Open Page"),IFERROR(HYPERLINK(VLOOKUP($B76,'Manual Database'!$A:$J,9,FALSE),"Open Page"),""))</f>
        <v/>
      </c>
      <c r="Q76" s="87" t="str">
        <f>IFERROR(HYPERLINK(VLOOKUP($B76,'Online Database'!$A:$J,10,FALSE),"Download"),IFERROR(HYPERLINK(VLOOKUP($B76,'Manual Database'!$A:$J,10,FALSE),"Download"),""))</f>
        <v/>
      </c>
      <c r="R76" s="73"/>
    </row>
    <row r="77" spans="1:18" ht="22.05" customHeight="1">
      <c r="A77" s="77" t="str">
        <f>IF(C77="","",COUNTIF($C$2:C77,"&lt;&gt;"))</f>
        <v/>
      </c>
      <c r="B77" s="73"/>
      <c r="C77" s="73" t="str">
        <f>IFERROR(VLOOKUP($B77,'Hack Database'!$A:$J,2,FALSE),"")</f>
        <v/>
      </c>
      <c r="D77" s="73" t="str">
        <f>IFERROR(VLOOKUP($B77,'Hack Database'!$A:$J,3,FALSE),"")</f>
        <v/>
      </c>
      <c r="E77" s="79" t="str">
        <f>IFERROR(VLOOKUP($B77,'Hack Database'!$A:$J,4,FALSE),"")</f>
        <v/>
      </c>
      <c r="F77" s="73" t="str">
        <f>IFERROR(VLOOKUP($B77,'Hack Database'!$A:$J,5,FALSE),"")</f>
        <v/>
      </c>
      <c r="G77" s="73" t="str">
        <f>IFERROR(VLOOKUP($B77,'Hack Database'!$A:$J,6,FALSE),"")</f>
        <v/>
      </c>
      <c r="H77" s="80"/>
      <c r="I77" s="80"/>
      <c r="J77" s="73"/>
      <c r="K77" s="73" t="str">
        <f t="shared" si="1"/>
        <v/>
      </c>
      <c r="L77" s="79"/>
      <c r="M77" s="73"/>
      <c r="N77" s="73"/>
      <c r="O77" s="73"/>
      <c r="P77" s="87" t="str">
        <f>IFERROR(HYPERLINK(VLOOKUP($B77,'Online Database'!$A:$J,9,FALSE),"Open Page"),IFERROR(HYPERLINK(VLOOKUP($B77,'Manual Database'!$A:$J,9,FALSE),"Open Page"),""))</f>
        <v/>
      </c>
      <c r="Q77" s="87" t="str">
        <f>IFERROR(HYPERLINK(VLOOKUP($B77,'Online Database'!$A:$J,10,FALSE),"Download"),IFERROR(HYPERLINK(VLOOKUP($B77,'Manual Database'!$A:$J,10,FALSE),"Download"),""))</f>
        <v/>
      </c>
      <c r="R77" s="73"/>
    </row>
    <row r="78" spans="1:18" ht="22.05" customHeight="1">
      <c r="A78" s="77" t="str">
        <f>IF(C78="","",COUNTIF($C$2:C78,"&lt;&gt;"))</f>
        <v/>
      </c>
      <c r="B78" s="73"/>
      <c r="C78" s="73" t="str">
        <f>IFERROR(VLOOKUP($B78,'Hack Database'!$A:$J,2,FALSE),"")</f>
        <v/>
      </c>
      <c r="D78" s="73" t="str">
        <f>IFERROR(VLOOKUP($B78,'Hack Database'!$A:$J,3,FALSE),"")</f>
        <v/>
      </c>
      <c r="E78" s="79" t="str">
        <f>IFERROR(VLOOKUP($B78,'Hack Database'!$A:$J,4,FALSE),"")</f>
        <v/>
      </c>
      <c r="F78" s="73" t="str">
        <f>IFERROR(VLOOKUP($B78,'Hack Database'!$A:$J,5,FALSE),"")</f>
        <v/>
      </c>
      <c r="G78" s="73" t="str">
        <f>IFERROR(VLOOKUP($B78,'Hack Database'!$A:$J,6,FALSE),"")</f>
        <v/>
      </c>
      <c r="H78" s="80"/>
      <c r="I78" s="80"/>
      <c r="J78" s="73"/>
      <c r="K78" s="73" t="str">
        <f t="shared" si="1"/>
        <v/>
      </c>
      <c r="L78" s="79"/>
      <c r="M78" s="73"/>
      <c r="N78" s="73"/>
      <c r="O78" s="73"/>
      <c r="P78" s="87" t="str">
        <f>IFERROR(HYPERLINK(VLOOKUP($B78,'Online Database'!$A:$J,9,FALSE),"Open Page"),IFERROR(HYPERLINK(VLOOKUP($B78,'Manual Database'!$A:$J,9,FALSE),"Open Page"),""))</f>
        <v/>
      </c>
      <c r="Q78" s="87" t="str">
        <f>IFERROR(HYPERLINK(VLOOKUP($B78,'Online Database'!$A:$J,10,FALSE),"Download"),IFERROR(HYPERLINK(VLOOKUP($B78,'Manual Database'!$A:$J,10,FALSE),"Download"),""))</f>
        <v/>
      </c>
      <c r="R78" s="73"/>
    </row>
    <row r="79" spans="1:18" ht="22.05" customHeight="1">
      <c r="A79" s="77" t="str">
        <f>IF(C79="","",COUNTIF($C$2:C79,"&lt;&gt;"))</f>
        <v/>
      </c>
      <c r="B79" s="73"/>
      <c r="C79" s="73" t="str">
        <f>IFERROR(VLOOKUP($B79,'Hack Database'!$A:$J,2,FALSE),"")</f>
        <v/>
      </c>
      <c r="D79" s="73" t="str">
        <f>IFERROR(VLOOKUP($B79,'Hack Database'!$A:$J,3,FALSE),"")</f>
        <v/>
      </c>
      <c r="E79" s="79" t="str">
        <f>IFERROR(VLOOKUP($B79,'Hack Database'!$A:$J,4,FALSE),"")</f>
        <v/>
      </c>
      <c r="F79" s="73" t="str">
        <f>IFERROR(VLOOKUP($B79,'Hack Database'!$A:$J,5,FALSE),"")</f>
        <v/>
      </c>
      <c r="G79" s="73" t="str">
        <f>IFERROR(VLOOKUP($B79,'Hack Database'!$A:$J,6,FALSE),"")</f>
        <v/>
      </c>
      <c r="H79" s="80"/>
      <c r="I79" s="80"/>
      <c r="J79" s="73"/>
      <c r="K79" s="73" t="str">
        <f t="shared" si="1"/>
        <v/>
      </c>
      <c r="L79" s="79"/>
      <c r="M79" s="73"/>
      <c r="N79" s="73"/>
      <c r="O79" s="73"/>
      <c r="P79" s="87" t="str">
        <f>IFERROR(HYPERLINK(VLOOKUP($B79,'Online Database'!$A:$J,9,FALSE),"Open Page"),IFERROR(HYPERLINK(VLOOKUP($B79,'Manual Database'!$A:$J,9,FALSE),"Open Page"),""))</f>
        <v/>
      </c>
      <c r="Q79" s="87" t="str">
        <f>IFERROR(HYPERLINK(VLOOKUP($B79,'Online Database'!$A:$J,10,FALSE),"Download"),IFERROR(HYPERLINK(VLOOKUP($B79,'Manual Database'!$A:$J,10,FALSE),"Download"),""))</f>
        <v/>
      </c>
      <c r="R79" s="73"/>
    </row>
    <row r="80" spans="1:18" ht="22.05" customHeight="1">
      <c r="A80" s="77" t="str">
        <f>IF(C80="","",COUNTIF($C$2:C80,"&lt;&gt;"))</f>
        <v/>
      </c>
      <c r="B80" s="73"/>
      <c r="C80" s="73" t="str">
        <f>IFERROR(VLOOKUP($B80,'Hack Database'!$A:$J,2,FALSE),"")</f>
        <v/>
      </c>
      <c r="D80" s="73" t="str">
        <f>IFERROR(VLOOKUP($B80,'Hack Database'!$A:$J,3,FALSE),"")</f>
        <v/>
      </c>
      <c r="E80" s="79" t="str">
        <f>IFERROR(VLOOKUP($B80,'Hack Database'!$A:$J,4,FALSE),"")</f>
        <v/>
      </c>
      <c r="F80" s="73" t="str">
        <f>IFERROR(VLOOKUP($B80,'Hack Database'!$A:$J,5,FALSE),"")</f>
        <v/>
      </c>
      <c r="G80" s="73" t="str">
        <f>IFERROR(VLOOKUP($B80,'Hack Database'!$A:$J,6,FALSE),"")</f>
        <v/>
      </c>
      <c r="H80" s="80"/>
      <c r="I80" s="80"/>
      <c r="J80" s="73"/>
      <c r="K80" s="73" t="str">
        <f t="shared" si="1"/>
        <v/>
      </c>
      <c r="L80" s="79"/>
      <c r="M80" s="73"/>
      <c r="N80" s="73"/>
      <c r="O80" s="73"/>
      <c r="P80" s="87" t="str">
        <f>IFERROR(HYPERLINK(VLOOKUP($B80,'Online Database'!$A:$J,9,FALSE),"Open Page"),IFERROR(HYPERLINK(VLOOKUP($B80,'Manual Database'!$A:$J,9,FALSE),"Open Page"),""))</f>
        <v/>
      </c>
      <c r="Q80" s="87" t="str">
        <f>IFERROR(HYPERLINK(VLOOKUP($B80,'Online Database'!$A:$J,10,FALSE),"Download"),IFERROR(HYPERLINK(VLOOKUP($B80,'Manual Database'!$A:$J,10,FALSE),"Download"),""))</f>
        <v/>
      </c>
      <c r="R80" s="73"/>
    </row>
    <row r="81" spans="1:18" ht="22.05" customHeight="1">
      <c r="A81" s="77" t="str">
        <f>IF(C81="","",COUNTIF($C$2:C81,"&lt;&gt;"))</f>
        <v/>
      </c>
      <c r="B81" s="73"/>
      <c r="C81" s="73" t="str">
        <f>IFERROR(VLOOKUP($B81,'Hack Database'!$A:$J,2,FALSE),"")</f>
        <v/>
      </c>
      <c r="D81" s="73" t="str">
        <f>IFERROR(VLOOKUP($B81,'Hack Database'!$A:$J,3,FALSE),"")</f>
        <v/>
      </c>
      <c r="E81" s="79" t="str">
        <f>IFERROR(VLOOKUP($B81,'Hack Database'!$A:$J,4,FALSE),"")</f>
        <v/>
      </c>
      <c r="F81" s="73" t="str">
        <f>IFERROR(VLOOKUP($B81,'Hack Database'!$A:$J,5,FALSE),"")</f>
        <v/>
      </c>
      <c r="G81" s="73" t="str">
        <f>IFERROR(VLOOKUP($B81,'Hack Database'!$A:$J,6,FALSE),"")</f>
        <v/>
      </c>
      <c r="H81" s="80"/>
      <c r="I81" s="80"/>
      <c r="J81" s="73"/>
      <c r="K81" s="73" t="str">
        <f t="shared" si="1"/>
        <v/>
      </c>
      <c r="L81" s="79"/>
      <c r="M81" s="73"/>
      <c r="N81" s="73"/>
      <c r="O81" s="73"/>
      <c r="P81" s="87" t="str">
        <f>IFERROR(HYPERLINK(VLOOKUP($B81,'Online Database'!$A:$J,9,FALSE),"Open Page"),IFERROR(HYPERLINK(VLOOKUP($B81,'Manual Database'!$A:$J,9,FALSE),"Open Page"),""))</f>
        <v/>
      </c>
      <c r="Q81" s="87" t="str">
        <f>IFERROR(HYPERLINK(VLOOKUP($B81,'Online Database'!$A:$J,10,FALSE),"Download"),IFERROR(HYPERLINK(VLOOKUP($B81,'Manual Database'!$A:$J,10,FALSE),"Download"),""))</f>
        <v/>
      </c>
      <c r="R81" s="73"/>
    </row>
    <row r="82" spans="1:18" ht="22.05" customHeight="1">
      <c r="A82" s="77" t="str">
        <f>IF(C82="","",COUNTIF($C$2:C82,"&lt;&gt;"))</f>
        <v/>
      </c>
      <c r="B82" s="73"/>
      <c r="C82" s="73" t="str">
        <f>IFERROR(VLOOKUP($B82,'Hack Database'!$A:$J,2,FALSE),"")</f>
        <v/>
      </c>
      <c r="D82" s="73" t="str">
        <f>IFERROR(VLOOKUP($B82,'Hack Database'!$A:$J,3,FALSE),"")</f>
        <v/>
      </c>
      <c r="E82" s="79" t="str">
        <f>IFERROR(VLOOKUP($B82,'Hack Database'!$A:$J,4,FALSE),"")</f>
        <v/>
      </c>
      <c r="F82" s="73" t="str">
        <f>IFERROR(VLOOKUP($B82,'Hack Database'!$A:$J,5,FALSE),"")</f>
        <v/>
      </c>
      <c r="G82" s="73" t="str">
        <f>IFERROR(VLOOKUP($B82,'Hack Database'!$A:$J,6,FALSE),"")</f>
        <v/>
      </c>
      <c r="H82" s="80"/>
      <c r="I82" s="80"/>
      <c r="J82" s="73"/>
      <c r="K82" s="73" t="str">
        <f t="shared" si="1"/>
        <v/>
      </c>
      <c r="L82" s="79"/>
      <c r="M82" s="73"/>
      <c r="N82" s="73"/>
      <c r="O82" s="73"/>
      <c r="P82" s="87" t="str">
        <f>IFERROR(HYPERLINK(VLOOKUP($B82,'Online Database'!$A:$J,9,FALSE),"Open Page"),IFERROR(HYPERLINK(VLOOKUP($B82,'Manual Database'!$A:$J,9,FALSE),"Open Page"),""))</f>
        <v/>
      </c>
      <c r="Q82" s="87" t="str">
        <f>IFERROR(HYPERLINK(VLOOKUP($B82,'Online Database'!$A:$J,10,FALSE),"Download"),IFERROR(HYPERLINK(VLOOKUP($B82,'Manual Database'!$A:$J,10,FALSE),"Download"),""))</f>
        <v/>
      </c>
      <c r="R82" s="73"/>
    </row>
    <row r="83" spans="1:18" ht="22.05" customHeight="1">
      <c r="A83" s="77" t="str">
        <f>IF(C83="","",COUNTIF($C$2:C83,"&lt;&gt;"))</f>
        <v/>
      </c>
      <c r="B83" s="73"/>
      <c r="C83" s="73" t="str">
        <f>IFERROR(VLOOKUP($B83,'Hack Database'!$A:$J,2,FALSE),"")</f>
        <v/>
      </c>
      <c r="D83" s="73" t="str">
        <f>IFERROR(VLOOKUP($B83,'Hack Database'!$A:$J,3,FALSE),"")</f>
        <v/>
      </c>
      <c r="E83" s="79" t="str">
        <f>IFERROR(VLOOKUP($B83,'Hack Database'!$A:$J,4,FALSE),"")</f>
        <v/>
      </c>
      <c r="F83" s="73" t="str">
        <f>IFERROR(VLOOKUP($B83,'Hack Database'!$A:$J,5,FALSE),"")</f>
        <v/>
      </c>
      <c r="G83" s="73" t="str">
        <f>IFERROR(VLOOKUP($B83,'Hack Database'!$A:$J,6,FALSE),"")</f>
        <v/>
      </c>
      <c r="H83" s="80"/>
      <c r="I83" s="80"/>
      <c r="J83" s="73"/>
      <c r="K83" s="73" t="str">
        <f t="shared" si="1"/>
        <v/>
      </c>
      <c r="L83" s="79"/>
      <c r="M83" s="73"/>
      <c r="N83" s="73"/>
      <c r="O83" s="73"/>
      <c r="P83" s="87" t="str">
        <f>IFERROR(HYPERLINK(VLOOKUP($B83,'Online Database'!$A:$J,9,FALSE),"Open Page"),IFERROR(HYPERLINK(VLOOKUP($B83,'Manual Database'!$A:$J,9,FALSE),"Open Page"),""))</f>
        <v/>
      </c>
      <c r="Q83" s="87" t="str">
        <f>IFERROR(HYPERLINK(VLOOKUP($B83,'Online Database'!$A:$J,10,FALSE),"Download"),IFERROR(HYPERLINK(VLOOKUP($B83,'Manual Database'!$A:$J,10,FALSE),"Download"),""))</f>
        <v/>
      </c>
      <c r="R83" s="73"/>
    </row>
    <row r="84" spans="1:18" ht="22.05" customHeight="1">
      <c r="A84" s="77" t="str">
        <f>IF(C84="","",COUNTIF($C$2:C84,"&lt;&gt;"))</f>
        <v/>
      </c>
      <c r="B84" s="73"/>
      <c r="C84" s="73" t="str">
        <f>IFERROR(VLOOKUP($B84,'Hack Database'!$A:$J,2,FALSE),"")</f>
        <v/>
      </c>
      <c r="D84" s="73" t="str">
        <f>IFERROR(VLOOKUP($B84,'Hack Database'!$A:$J,3,FALSE),"")</f>
        <v/>
      </c>
      <c r="E84" s="79" t="str">
        <f>IFERROR(VLOOKUP($B84,'Hack Database'!$A:$J,4,FALSE),"")</f>
        <v/>
      </c>
      <c r="F84" s="73" t="str">
        <f>IFERROR(VLOOKUP($B84,'Hack Database'!$A:$J,5,FALSE),"")</f>
        <v/>
      </c>
      <c r="G84" s="73" t="str">
        <f>IFERROR(VLOOKUP($B84,'Hack Database'!$A:$J,6,FALSE),"")</f>
        <v/>
      </c>
      <c r="H84" s="80"/>
      <c r="I84" s="80"/>
      <c r="J84" s="73"/>
      <c r="K84" s="73" t="str">
        <f t="shared" si="1"/>
        <v/>
      </c>
      <c r="L84" s="79"/>
      <c r="M84" s="73"/>
      <c r="N84" s="73"/>
      <c r="O84" s="73"/>
      <c r="P84" s="87" t="str">
        <f>IFERROR(HYPERLINK(VLOOKUP($B84,'Online Database'!$A:$J,9,FALSE),"Open Page"),IFERROR(HYPERLINK(VLOOKUP($B84,'Manual Database'!$A:$J,9,FALSE),"Open Page"),""))</f>
        <v/>
      </c>
      <c r="Q84" s="87" t="str">
        <f>IFERROR(HYPERLINK(VLOOKUP($B84,'Online Database'!$A:$J,10,FALSE),"Download"),IFERROR(HYPERLINK(VLOOKUP($B84,'Manual Database'!$A:$J,10,FALSE),"Download"),""))</f>
        <v/>
      </c>
      <c r="R84" s="73"/>
    </row>
    <row r="85" spans="1:18" ht="22.05" customHeight="1">
      <c r="A85" s="77" t="str">
        <f>IF(C85="","",COUNTIF($C$2:C85,"&lt;&gt;"))</f>
        <v/>
      </c>
      <c r="B85" s="73"/>
      <c r="C85" s="73" t="str">
        <f>IFERROR(VLOOKUP($B85,'Hack Database'!$A:$J,2,FALSE),"")</f>
        <v/>
      </c>
      <c r="D85" s="73" t="str">
        <f>IFERROR(VLOOKUP($B85,'Hack Database'!$A:$J,3,FALSE),"")</f>
        <v/>
      </c>
      <c r="E85" s="79" t="str">
        <f>IFERROR(VLOOKUP($B85,'Hack Database'!$A:$J,4,FALSE),"")</f>
        <v/>
      </c>
      <c r="F85" s="73" t="str">
        <f>IFERROR(VLOOKUP($B85,'Hack Database'!$A:$J,5,FALSE),"")</f>
        <v/>
      </c>
      <c r="G85" s="73" t="str">
        <f>IFERROR(VLOOKUP($B85,'Hack Database'!$A:$J,6,FALSE),"")</f>
        <v/>
      </c>
      <c r="H85" s="80"/>
      <c r="I85" s="80"/>
      <c r="J85" s="73"/>
      <c r="K85" s="73" t="str">
        <f t="shared" si="1"/>
        <v/>
      </c>
      <c r="L85" s="79"/>
      <c r="M85" s="73"/>
      <c r="N85" s="73"/>
      <c r="O85" s="73"/>
      <c r="P85" s="87" t="str">
        <f>IFERROR(HYPERLINK(VLOOKUP($B85,'Online Database'!$A:$J,9,FALSE),"Open Page"),IFERROR(HYPERLINK(VLOOKUP($B85,'Manual Database'!$A:$J,9,FALSE),"Open Page"),""))</f>
        <v/>
      </c>
      <c r="Q85" s="87" t="str">
        <f>IFERROR(HYPERLINK(VLOOKUP($B85,'Online Database'!$A:$J,10,FALSE),"Download"),IFERROR(HYPERLINK(VLOOKUP($B85,'Manual Database'!$A:$J,10,FALSE),"Download"),""))</f>
        <v/>
      </c>
      <c r="R85" s="73"/>
    </row>
    <row r="86" spans="1:18" ht="22.05" customHeight="1">
      <c r="A86" s="77" t="str">
        <f>IF(C86="","",COUNTIF($C$2:C86,"&lt;&gt;"))</f>
        <v/>
      </c>
      <c r="B86" s="73"/>
      <c r="C86" s="73" t="str">
        <f>IFERROR(VLOOKUP($B86,'Hack Database'!$A:$J,2,FALSE),"")</f>
        <v/>
      </c>
      <c r="D86" s="73" t="str">
        <f>IFERROR(VLOOKUP($B86,'Hack Database'!$A:$J,3,FALSE),"")</f>
        <v/>
      </c>
      <c r="E86" s="79" t="str">
        <f>IFERROR(VLOOKUP($B86,'Hack Database'!$A:$J,4,FALSE),"")</f>
        <v/>
      </c>
      <c r="F86" s="73" t="str">
        <f>IFERROR(VLOOKUP($B86,'Hack Database'!$A:$J,5,FALSE),"")</f>
        <v/>
      </c>
      <c r="G86" s="73" t="str">
        <f>IFERROR(VLOOKUP($B86,'Hack Database'!$A:$J,6,FALSE),"")</f>
        <v/>
      </c>
      <c r="H86" s="80"/>
      <c r="I86" s="80"/>
      <c r="J86" s="73"/>
      <c r="K86" s="73" t="str">
        <f t="shared" si="1"/>
        <v/>
      </c>
      <c r="L86" s="79"/>
      <c r="M86" s="73"/>
      <c r="N86" s="73"/>
      <c r="O86" s="73"/>
      <c r="P86" s="87" t="str">
        <f>IFERROR(HYPERLINK(VLOOKUP($B86,'Online Database'!$A:$J,9,FALSE),"Open Page"),IFERROR(HYPERLINK(VLOOKUP($B86,'Manual Database'!$A:$J,9,FALSE),"Open Page"),""))</f>
        <v/>
      </c>
      <c r="Q86" s="87" t="str">
        <f>IFERROR(HYPERLINK(VLOOKUP($B86,'Online Database'!$A:$J,10,FALSE),"Download"),IFERROR(HYPERLINK(VLOOKUP($B86,'Manual Database'!$A:$J,10,FALSE),"Download"),""))</f>
        <v/>
      </c>
      <c r="R86" s="73"/>
    </row>
    <row r="87" spans="1:18" ht="22.05" customHeight="1">
      <c r="A87" s="77" t="str">
        <f>IF(C87="","",COUNTIF($C$2:C87,"&lt;&gt;"))</f>
        <v/>
      </c>
      <c r="B87" s="73"/>
      <c r="C87" s="73" t="str">
        <f>IFERROR(VLOOKUP($B87,'Hack Database'!$A:$J,2,FALSE),"")</f>
        <v/>
      </c>
      <c r="D87" s="73" t="str">
        <f>IFERROR(VLOOKUP($B87,'Hack Database'!$A:$J,3,FALSE),"")</f>
        <v/>
      </c>
      <c r="E87" s="79" t="str">
        <f>IFERROR(VLOOKUP($B87,'Hack Database'!$A:$J,4,FALSE),"")</f>
        <v/>
      </c>
      <c r="F87" s="73" t="str">
        <f>IFERROR(VLOOKUP($B87,'Hack Database'!$A:$J,5,FALSE),"")</f>
        <v/>
      </c>
      <c r="G87" s="73" t="str">
        <f>IFERROR(VLOOKUP($B87,'Hack Database'!$A:$J,6,FALSE),"")</f>
        <v/>
      </c>
      <c r="H87" s="80"/>
      <c r="I87" s="80"/>
      <c r="J87" s="73"/>
      <c r="K87" s="73" t="str">
        <f t="shared" si="1"/>
        <v/>
      </c>
      <c r="L87" s="79"/>
      <c r="M87" s="73"/>
      <c r="N87" s="73"/>
      <c r="O87" s="73"/>
      <c r="P87" s="87" t="str">
        <f>IFERROR(HYPERLINK(VLOOKUP($B87,'Online Database'!$A:$J,9,FALSE),"Open Page"),IFERROR(HYPERLINK(VLOOKUP($B87,'Manual Database'!$A:$J,9,FALSE),"Open Page"),""))</f>
        <v/>
      </c>
      <c r="Q87" s="87" t="str">
        <f>IFERROR(HYPERLINK(VLOOKUP($B87,'Online Database'!$A:$J,10,FALSE),"Download"),IFERROR(HYPERLINK(VLOOKUP($B87,'Manual Database'!$A:$J,10,FALSE),"Download"),""))</f>
        <v/>
      </c>
      <c r="R87" s="73"/>
    </row>
    <row r="88" spans="1:18" ht="22.05" customHeight="1">
      <c r="A88" s="77" t="str">
        <f>IF(C88="","",COUNTIF($C$2:C88,"&lt;&gt;"))</f>
        <v/>
      </c>
      <c r="B88" s="73"/>
      <c r="C88" s="73" t="str">
        <f>IFERROR(VLOOKUP($B88,'Hack Database'!$A:$J,2,FALSE),"")</f>
        <v/>
      </c>
      <c r="D88" s="73" t="str">
        <f>IFERROR(VLOOKUP($B88,'Hack Database'!$A:$J,3,FALSE),"")</f>
        <v/>
      </c>
      <c r="E88" s="79" t="str">
        <f>IFERROR(VLOOKUP($B88,'Hack Database'!$A:$J,4,FALSE),"")</f>
        <v/>
      </c>
      <c r="F88" s="73" t="str">
        <f>IFERROR(VLOOKUP($B88,'Hack Database'!$A:$J,5,FALSE),"")</f>
        <v/>
      </c>
      <c r="G88" s="73" t="str">
        <f>IFERROR(VLOOKUP($B88,'Hack Database'!$A:$J,6,FALSE),"")</f>
        <v/>
      </c>
      <c r="H88" s="80"/>
      <c r="I88" s="80"/>
      <c r="J88" s="73"/>
      <c r="K88" s="73" t="str">
        <f t="shared" si="1"/>
        <v/>
      </c>
      <c r="L88" s="79"/>
      <c r="M88" s="73"/>
      <c r="N88" s="73"/>
      <c r="O88" s="73"/>
      <c r="P88" s="87" t="str">
        <f>IFERROR(HYPERLINK(VLOOKUP($B88,'Online Database'!$A:$J,9,FALSE),"Open Page"),IFERROR(HYPERLINK(VLOOKUP($B88,'Manual Database'!$A:$J,9,FALSE),"Open Page"),""))</f>
        <v/>
      </c>
      <c r="Q88" s="87" t="str">
        <f>IFERROR(HYPERLINK(VLOOKUP($B88,'Online Database'!$A:$J,10,FALSE),"Download"),IFERROR(HYPERLINK(VLOOKUP($B88,'Manual Database'!$A:$J,10,FALSE),"Download"),""))</f>
        <v/>
      </c>
      <c r="R88" s="73"/>
    </row>
    <row r="89" spans="1:18" ht="22.05" customHeight="1">
      <c r="A89" s="77" t="str">
        <f>IF(C89="","",COUNTIF($C$2:C89,"&lt;&gt;"))</f>
        <v/>
      </c>
      <c r="B89" s="73"/>
      <c r="C89" s="73" t="str">
        <f>IFERROR(VLOOKUP($B89,'Hack Database'!$A:$J,2,FALSE),"")</f>
        <v/>
      </c>
      <c r="D89" s="73" t="str">
        <f>IFERROR(VLOOKUP($B89,'Hack Database'!$A:$J,3,FALSE),"")</f>
        <v/>
      </c>
      <c r="E89" s="79" t="str">
        <f>IFERROR(VLOOKUP($B89,'Hack Database'!$A:$J,4,FALSE),"")</f>
        <v/>
      </c>
      <c r="F89" s="73" t="str">
        <f>IFERROR(VLOOKUP($B89,'Hack Database'!$A:$J,5,FALSE),"")</f>
        <v/>
      </c>
      <c r="G89" s="73" t="str">
        <f>IFERROR(VLOOKUP($B89,'Hack Database'!$A:$J,6,FALSE),"")</f>
        <v/>
      </c>
      <c r="H89" s="80"/>
      <c r="I89" s="80"/>
      <c r="J89" s="73"/>
      <c r="K89" s="73" t="str">
        <f t="shared" si="1"/>
        <v/>
      </c>
      <c r="L89" s="79"/>
      <c r="M89" s="73"/>
      <c r="N89" s="73"/>
      <c r="O89" s="73"/>
      <c r="P89" s="87" t="str">
        <f>IFERROR(HYPERLINK(VLOOKUP($B89,'Online Database'!$A:$J,9,FALSE),"Open Page"),IFERROR(HYPERLINK(VLOOKUP($B89,'Manual Database'!$A:$J,9,FALSE),"Open Page"),""))</f>
        <v/>
      </c>
      <c r="Q89" s="87" t="str">
        <f>IFERROR(HYPERLINK(VLOOKUP($B89,'Online Database'!$A:$J,10,FALSE),"Download"),IFERROR(HYPERLINK(VLOOKUP($B89,'Manual Database'!$A:$J,10,FALSE),"Download"),""))</f>
        <v/>
      </c>
      <c r="R89" s="73"/>
    </row>
    <row r="90" spans="1:18" ht="22.05" customHeight="1">
      <c r="A90" s="77" t="str">
        <f>IF(C90="","",COUNTIF($C$2:C90,"&lt;&gt;"))</f>
        <v/>
      </c>
      <c r="B90" s="73"/>
      <c r="C90" s="73" t="str">
        <f>IFERROR(VLOOKUP($B90,'Hack Database'!$A:$J,2,FALSE),"")</f>
        <v/>
      </c>
      <c r="D90" s="73" t="str">
        <f>IFERROR(VLOOKUP($B90,'Hack Database'!$A:$J,3,FALSE),"")</f>
        <v/>
      </c>
      <c r="E90" s="79" t="str">
        <f>IFERROR(VLOOKUP($B90,'Hack Database'!$A:$J,4,FALSE),"")</f>
        <v/>
      </c>
      <c r="F90" s="73" t="str">
        <f>IFERROR(VLOOKUP($B90,'Hack Database'!$A:$J,5,FALSE),"")</f>
        <v/>
      </c>
      <c r="G90" s="73" t="str">
        <f>IFERROR(VLOOKUP($B90,'Hack Database'!$A:$J,6,FALSE),"")</f>
        <v/>
      </c>
      <c r="H90" s="80"/>
      <c r="I90" s="80"/>
      <c r="J90" s="73"/>
      <c r="K90" s="73" t="str">
        <f t="shared" si="1"/>
        <v/>
      </c>
      <c r="L90" s="79"/>
      <c r="M90" s="73"/>
      <c r="N90" s="73"/>
      <c r="O90" s="73"/>
      <c r="P90" s="87" t="str">
        <f>IFERROR(HYPERLINK(VLOOKUP($B90,'Online Database'!$A:$J,9,FALSE),"Open Page"),IFERROR(HYPERLINK(VLOOKUP($B90,'Manual Database'!$A:$J,9,FALSE),"Open Page"),""))</f>
        <v/>
      </c>
      <c r="Q90" s="87" t="str">
        <f>IFERROR(HYPERLINK(VLOOKUP($B90,'Online Database'!$A:$J,10,FALSE),"Download"),IFERROR(HYPERLINK(VLOOKUP($B90,'Manual Database'!$A:$J,10,FALSE),"Download"),""))</f>
        <v/>
      </c>
      <c r="R90" s="73"/>
    </row>
    <row r="91" spans="1:18" ht="22.05" customHeight="1">
      <c r="A91" s="77" t="str">
        <f>IF(C91="","",COUNTIF($C$2:C91,"&lt;&gt;"))</f>
        <v/>
      </c>
      <c r="B91" s="73"/>
      <c r="C91" s="73" t="str">
        <f>IFERROR(VLOOKUP($B91,'Hack Database'!$A:$J,2,FALSE),"")</f>
        <v/>
      </c>
      <c r="D91" s="73" t="str">
        <f>IFERROR(VLOOKUP($B91,'Hack Database'!$A:$J,3,FALSE),"")</f>
        <v/>
      </c>
      <c r="E91" s="79" t="str">
        <f>IFERROR(VLOOKUP($B91,'Hack Database'!$A:$J,4,FALSE),"")</f>
        <v/>
      </c>
      <c r="F91" s="73" t="str">
        <f>IFERROR(VLOOKUP($B91,'Hack Database'!$A:$J,5,FALSE),"")</f>
        <v/>
      </c>
      <c r="G91" s="73" t="str">
        <f>IFERROR(VLOOKUP($B91,'Hack Database'!$A:$J,6,FALSE),"")</f>
        <v/>
      </c>
      <c r="H91" s="80"/>
      <c r="I91" s="80"/>
      <c r="J91" s="73"/>
      <c r="K91" s="73" t="str">
        <f t="shared" si="1"/>
        <v/>
      </c>
      <c r="L91" s="79"/>
      <c r="M91" s="73"/>
      <c r="N91" s="73"/>
      <c r="O91" s="73"/>
      <c r="P91" s="87" t="str">
        <f>IFERROR(HYPERLINK(VLOOKUP($B91,'Online Database'!$A:$J,9,FALSE),"Open Page"),IFERROR(HYPERLINK(VLOOKUP($B91,'Manual Database'!$A:$J,9,FALSE),"Open Page"),""))</f>
        <v/>
      </c>
      <c r="Q91" s="87" t="str">
        <f>IFERROR(HYPERLINK(VLOOKUP($B91,'Online Database'!$A:$J,10,FALSE),"Download"),IFERROR(HYPERLINK(VLOOKUP($B91,'Manual Database'!$A:$J,10,FALSE),"Download"),""))</f>
        <v/>
      </c>
      <c r="R91" s="73"/>
    </row>
    <row r="92" spans="1:18" ht="22.05" customHeight="1">
      <c r="A92" s="77" t="str">
        <f>IF(C92="","",COUNTIF($C$2:C92,"&lt;&gt;"))</f>
        <v/>
      </c>
      <c r="B92" s="73"/>
      <c r="C92" s="73" t="str">
        <f>IFERROR(VLOOKUP($B92,'Hack Database'!$A:$J,2,FALSE),"")</f>
        <v/>
      </c>
      <c r="D92" s="73" t="str">
        <f>IFERROR(VLOOKUP($B92,'Hack Database'!$A:$J,3,FALSE),"")</f>
        <v/>
      </c>
      <c r="E92" s="79" t="str">
        <f>IFERROR(VLOOKUP($B92,'Hack Database'!$A:$J,4,FALSE),"")</f>
        <v/>
      </c>
      <c r="F92" s="73" t="str">
        <f>IFERROR(VLOOKUP($B92,'Hack Database'!$A:$J,5,FALSE),"")</f>
        <v/>
      </c>
      <c r="G92" s="73" t="str">
        <f>IFERROR(VLOOKUP($B92,'Hack Database'!$A:$J,6,FALSE),"")</f>
        <v/>
      </c>
      <c r="H92" s="80"/>
      <c r="I92" s="80"/>
      <c r="J92" s="73"/>
      <c r="K92" s="73" t="str">
        <f t="shared" si="1"/>
        <v/>
      </c>
      <c r="L92" s="79"/>
      <c r="M92" s="73"/>
      <c r="N92" s="73"/>
      <c r="O92" s="73"/>
      <c r="P92" s="87" t="str">
        <f>IFERROR(HYPERLINK(VLOOKUP($B92,'Online Database'!$A:$J,9,FALSE),"Open Page"),IFERROR(HYPERLINK(VLOOKUP($B92,'Manual Database'!$A:$J,9,FALSE),"Open Page"),""))</f>
        <v/>
      </c>
      <c r="Q92" s="87" t="str">
        <f>IFERROR(HYPERLINK(VLOOKUP($B92,'Online Database'!$A:$J,10,FALSE),"Download"),IFERROR(HYPERLINK(VLOOKUP($B92,'Manual Database'!$A:$J,10,FALSE),"Download"),""))</f>
        <v/>
      </c>
      <c r="R92" s="73"/>
    </row>
    <row r="93" spans="1:18" ht="22.05" customHeight="1">
      <c r="A93" s="77" t="str">
        <f>IF(C93="","",COUNTIF($C$2:C93,"&lt;&gt;"))</f>
        <v/>
      </c>
      <c r="B93" s="73"/>
      <c r="C93" s="73" t="str">
        <f>IFERROR(VLOOKUP($B93,'Hack Database'!$A:$J,2,FALSE),"")</f>
        <v/>
      </c>
      <c r="D93" s="73" t="str">
        <f>IFERROR(VLOOKUP($B93,'Hack Database'!$A:$J,3,FALSE),"")</f>
        <v/>
      </c>
      <c r="E93" s="79" t="str">
        <f>IFERROR(VLOOKUP($B93,'Hack Database'!$A:$J,4,FALSE),"")</f>
        <v/>
      </c>
      <c r="F93" s="73" t="str">
        <f>IFERROR(VLOOKUP($B93,'Hack Database'!$A:$J,5,FALSE),"")</f>
        <v/>
      </c>
      <c r="G93" s="73" t="str">
        <f>IFERROR(VLOOKUP($B93,'Hack Database'!$A:$J,6,FALSE),"")</f>
        <v/>
      </c>
      <c r="H93" s="80"/>
      <c r="I93" s="80"/>
      <c r="J93" s="73"/>
      <c r="K93" s="73" t="str">
        <f t="shared" si="1"/>
        <v/>
      </c>
      <c r="L93" s="79"/>
      <c r="M93" s="73"/>
      <c r="N93" s="73"/>
      <c r="O93" s="73"/>
      <c r="P93" s="87" t="str">
        <f>IFERROR(HYPERLINK(VLOOKUP($B93,'Online Database'!$A:$J,9,FALSE),"Open Page"),IFERROR(HYPERLINK(VLOOKUP($B93,'Manual Database'!$A:$J,9,FALSE),"Open Page"),""))</f>
        <v/>
      </c>
      <c r="Q93" s="87" t="str">
        <f>IFERROR(HYPERLINK(VLOOKUP($B93,'Online Database'!$A:$J,10,FALSE),"Download"),IFERROR(HYPERLINK(VLOOKUP($B93,'Manual Database'!$A:$J,10,FALSE),"Download"),""))</f>
        <v/>
      </c>
      <c r="R93" s="73"/>
    </row>
    <row r="94" spans="1:18" ht="22.05" customHeight="1">
      <c r="A94" s="77" t="str">
        <f>IF(C94="","",COUNTIF($C$2:C94,"&lt;&gt;"))</f>
        <v/>
      </c>
      <c r="B94" s="73"/>
      <c r="C94" s="73" t="str">
        <f>IFERROR(VLOOKUP($B94,'Hack Database'!$A:$J,2,FALSE),"")</f>
        <v/>
      </c>
      <c r="D94" s="73" t="str">
        <f>IFERROR(VLOOKUP($B94,'Hack Database'!$A:$J,3,FALSE),"")</f>
        <v/>
      </c>
      <c r="E94" s="79" t="str">
        <f>IFERROR(VLOOKUP($B94,'Hack Database'!$A:$J,4,FALSE),"")</f>
        <v/>
      </c>
      <c r="F94" s="73" t="str">
        <f>IFERROR(VLOOKUP($B94,'Hack Database'!$A:$J,5,FALSE),"")</f>
        <v/>
      </c>
      <c r="G94" s="73" t="str">
        <f>IFERROR(VLOOKUP($B94,'Hack Database'!$A:$J,6,FALSE),"")</f>
        <v/>
      </c>
      <c r="H94" s="80"/>
      <c r="I94" s="80"/>
      <c r="J94" s="73"/>
      <c r="K94" s="73" t="str">
        <f t="shared" si="1"/>
        <v/>
      </c>
      <c r="L94" s="79"/>
      <c r="M94" s="73"/>
      <c r="N94" s="73"/>
      <c r="O94" s="73"/>
      <c r="P94" s="87" t="str">
        <f>IFERROR(HYPERLINK(VLOOKUP($B94,'Online Database'!$A:$J,9,FALSE),"Open Page"),IFERROR(HYPERLINK(VLOOKUP($B94,'Manual Database'!$A:$J,9,FALSE),"Open Page"),""))</f>
        <v/>
      </c>
      <c r="Q94" s="87" t="str">
        <f>IFERROR(HYPERLINK(VLOOKUP($B94,'Online Database'!$A:$J,10,FALSE),"Download"),IFERROR(HYPERLINK(VLOOKUP($B94,'Manual Database'!$A:$J,10,FALSE),"Download"),""))</f>
        <v/>
      </c>
      <c r="R94" s="73"/>
    </row>
    <row r="95" spans="1:18" ht="22.05" customHeight="1">
      <c r="A95" s="77" t="str">
        <f>IF(C95="","",COUNTIF($C$2:C95,"&lt;&gt;"))</f>
        <v/>
      </c>
      <c r="B95" s="73"/>
      <c r="C95" s="73" t="str">
        <f>IFERROR(VLOOKUP($B95,'Hack Database'!$A:$J,2,FALSE),"")</f>
        <v/>
      </c>
      <c r="D95" s="73" t="str">
        <f>IFERROR(VLOOKUP($B95,'Hack Database'!$A:$J,3,FALSE),"")</f>
        <v/>
      </c>
      <c r="E95" s="79" t="str">
        <f>IFERROR(VLOOKUP($B95,'Hack Database'!$A:$J,4,FALSE),"")</f>
        <v/>
      </c>
      <c r="F95" s="73" t="str">
        <f>IFERROR(VLOOKUP($B95,'Hack Database'!$A:$J,5,FALSE),"")</f>
        <v/>
      </c>
      <c r="G95" s="73" t="str">
        <f>IFERROR(VLOOKUP($B95,'Hack Database'!$A:$J,6,FALSE),"")</f>
        <v/>
      </c>
      <c r="H95" s="80"/>
      <c r="I95" s="80"/>
      <c r="J95" s="73"/>
      <c r="K95" s="73" t="str">
        <f t="shared" si="1"/>
        <v/>
      </c>
      <c r="L95" s="79"/>
      <c r="M95" s="73"/>
      <c r="N95" s="73"/>
      <c r="O95" s="73"/>
      <c r="P95" s="87" t="str">
        <f>IFERROR(HYPERLINK(VLOOKUP($B95,'Online Database'!$A:$J,9,FALSE),"Open Page"),IFERROR(HYPERLINK(VLOOKUP($B95,'Manual Database'!$A:$J,9,FALSE),"Open Page"),""))</f>
        <v/>
      </c>
      <c r="Q95" s="87" t="str">
        <f>IFERROR(HYPERLINK(VLOOKUP($B95,'Online Database'!$A:$J,10,FALSE),"Download"),IFERROR(HYPERLINK(VLOOKUP($B95,'Manual Database'!$A:$J,10,FALSE),"Download"),""))</f>
        <v/>
      </c>
      <c r="R95" s="73"/>
    </row>
    <row r="96" spans="1:18" ht="22.05" customHeight="1">
      <c r="A96" s="77" t="str">
        <f>IF(C96="","",COUNTIF($C$2:C96,"&lt;&gt;"))</f>
        <v/>
      </c>
      <c r="B96" s="73"/>
      <c r="C96" s="73" t="str">
        <f>IFERROR(VLOOKUP($B96,'Hack Database'!$A:$J,2,FALSE),"")</f>
        <v/>
      </c>
      <c r="D96" s="73" t="str">
        <f>IFERROR(VLOOKUP($B96,'Hack Database'!$A:$J,3,FALSE),"")</f>
        <v/>
      </c>
      <c r="E96" s="79" t="str">
        <f>IFERROR(VLOOKUP($B96,'Hack Database'!$A:$J,4,FALSE),"")</f>
        <v/>
      </c>
      <c r="F96" s="73" t="str">
        <f>IFERROR(VLOOKUP($B96,'Hack Database'!$A:$J,5,FALSE),"")</f>
        <v/>
      </c>
      <c r="G96" s="73" t="str">
        <f>IFERROR(VLOOKUP($B96,'Hack Database'!$A:$J,6,FALSE),"")</f>
        <v/>
      </c>
      <c r="H96" s="80"/>
      <c r="I96" s="80"/>
      <c r="J96" s="73"/>
      <c r="K96" s="73" t="str">
        <f t="shared" si="1"/>
        <v/>
      </c>
      <c r="L96" s="79"/>
      <c r="M96" s="73"/>
      <c r="N96" s="73"/>
      <c r="O96" s="73"/>
      <c r="P96" s="87" t="str">
        <f>IFERROR(HYPERLINK(VLOOKUP($B96,'Online Database'!$A:$J,9,FALSE),"Open Page"),IFERROR(HYPERLINK(VLOOKUP($B96,'Manual Database'!$A:$J,9,FALSE),"Open Page"),""))</f>
        <v/>
      </c>
      <c r="Q96" s="87" t="str">
        <f>IFERROR(HYPERLINK(VLOOKUP($B96,'Online Database'!$A:$J,10,FALSE),"Download"),IFERROR(HYPERLINK(VLOOKUP($B96,'Manual Database'!$A:$J,10,FALSE),"Download"),""))</f>
        <v/>
      </c>
      <c r="R96" s="73"/>
    </row>
    <row r="97" spans="1:18" ht="22.05" customHeight="1">
      <c r="A97" s="77" t="str">
        <f>IF(C97="","",COUNTIF($C$2:C97,"&lt;&gt;"))</f>
        <v/>
      </c>
      <c r="B97" s="73"/>
      <c r="C97" s="73" t="str">
        <f>IFERROR(VLOOKUP($B97,'Hack Database'!$A:$J,2,FALSE),"")</f>
        <v/>
      </c>
      <c r="D97" s="73" t="str">
        <f>IFERROR(VLOOKUP($B97,'Hack Database'!$A:$J,3,FALSE),"")</f>
        <v/>
      </c>
      <c r="E97" s="79" t="str">
        <f>IFERROR(VLOOKUP($B97,'Hack Database'!$A:$J,4,FALSE),"")</f>
        <v/>
      </c>
      <c r="F97" s="73" t="str">
        <f>IFERROR(VLOOKUP($B97,'Hack Database'!$A:$J,5,FALSE),"")</f>
        <v/>
      </c>
      <c r="G97" s="73" t="str">
        <f>IFERROR(VLOOKUP($B97,'Hack Database'!$A:$J,6,FALSE),"")</f>
        <v/>
      </c>
      <c r="H97" s="80"/>
      <c r="I97" s="80"/>
      <c r="J97" s="73"/>
      <c r="K97" s="73" t="str">
        <f t="shared" si="1"/>
        <v/>
      </c>
      <c r="L97" s="79"/>
      <c r="M97" s="73"/>
      <c r="N97" s="73"/>
      <c r="O97" s="73"/>
      <c r="P97" s="87" t="str">
        <f>IFERROR(HYPERLINK(VLOOKUP($B97,'Online Database'!$A:$J,9,FALSE),"Open Page"),IFERROR(HYPERLINK(VLOOKUP($B97,'Manual Database'!$A:$J,9,FALSE),"Open Page"),""))</f>
        <v/>
      </c>
      <c r="Q97" s="87" t="str">
        <f>IFERROR(HYPERLINK(VLOOKUP($B97,'Online Database'!$A:$J,10,FALSE),"Download"),IFERROR(HYPERLINK(VLOOKUP($B97,'Manual Database'!$A:$J,10,FALSE),"Download"),""))</f>
        <v/>
      </c>
      <c r="R97" s="73"/>
    </row>
    <row r="98" spans="1:18" ht="22.05" customHeight="1">
      <c r="A98" s="77" t="str">
        <f>IF(C98="","",COUNTIF($C$2:C98,"&lt;&gt;"))</f>
        <v/>
      </c>
      <c r="B98" s="73"/>
      <c r="C98" s="73" t="str">
        <f>IFERROR(VLOOKUP($B98,'Hack Database'!$A:$J,2,FALSE),"")</f>
        <v/>
      </c>
      <c r="D98" s="73" t="str">
        <f>IFERROR(VLOOKUP($B98,'Hack Database'!$A:$J,3,FALSE),"")</f>
        <v/>
      </c>
      <c r="E98" s="79" t="str">
        <f>IFERROR(VLOOKUP($B98,'Hack Database'!$A:$J,4,FALSE),"")</f>
        <v/>
      </c>
      <c r="F98" s="73" t="str">
        <f>IFERROR(VLOOKUP($B98,'Hack Database'!$A:$J,5,FALSE),"")</f>
        <v/>
      </c>
      <c r="G98" s="73" t="str">
        <f>IFERROR(VLOOKUP($B98,'Hack Database'!$A:$J,6,FALSE),"")</f>
        <v/>
      </c>
      <c r="H98" s="80"/>
      <c r="I98" s="80"/>
      <c r="J98" s="73"/>
      <c r="K98" s="73" t="str">
        <f t="shared" si="1"/>
        <v/>
      </c>
      <c r="L98" s="79"/>
      <c r="M98" s="73"/>
      <c r="N98" s="73"/>
      <c r="O98" s="73"/>
      <c r="P98" s="87" t="str">
        <f>IFERROR(HYPERLINK(VLOOKUP($B98,'Online Database'!$A:$J,9,FALSE),"Open Page"),IFERROR(HYPERLINK(VLOOKUP($B98,'Manual Database'!$A:$J,9,FALSE),"Open Page"),""))</f>
        <v/>
      </c>
      <c r="Q98" s="87" t="str">
        <f>IFERROR(HYPERLINK(VLOOKUP($B98,'Online Database'!$A:$J,10,FALSE),"Download"),IFERROR(HYPERLINK(VLOOKUP($B98,'Manual Database'!$A:$J,10,FALSE),"Download"),""))</f>
        <v/>
      </c>
      <c r="R98" s="73"/>
    </row>
    <row r="99" spans="1:18" ht="22.05" customHeight="1">
      <c r="A99" s="77" t="str">
        <f>IF(C99="","",COUNTIF($C$2:C99,"&lt;&gt;"))</f>
        <v/>
      </c>
      <c r="B99" s="73"/>
      <c r="C99" s="73" t="str">
        <f>IFERROR(VLOOKUP($B99,'Hack Database'!$A:$J,2,FALSE),"")</f>
        <v/>
      </c>
      <c r="D99" s="73" t="str">
        <f>IFERROR(VLOOKUP($B99,'Hack Database'!$A:$J,3,FALSE),"")</f>
        <v/>
      </c>
      <c r="E99" s="79" t="str">
        <f>IFERROR(VLOOKUP($B99,'Hack Database'!$A:$J,4,FALSE),"")</f>
        <v/>
      </c>
      <c r="F99" s="73" t="str">
        <f>IFERROR(VLOOKUP($B99,'Hack Database'!$A:$J,5,FALSE),"")</f>
        <v/>
      </c>
      <c r="G99" s="73" t="str">
        <f>IFERROR(VLOOKUP($B99,'Hack Database'!$A:$J,6,FALSE),"")</f>
        <v/>
      </c>
      <c r="H99" s="80"/>
      <c r="I99" s="80"/>
      <c r="J99" s="73"/>
      <c r="K99" s="73" t="str">
        <f t="shared" si="1"/>
        <v/>
      </c>
      <c r="L99" s="79"/>
      <c r="M99" s="73"/>
      <c r="N99" s="73"/>
      <c r="O99" s="73"/>
      <c r="P99" s="87" t="str">
        <f>IFERROR(HYPERLINK(VLOOKUP($B99,'Online Database'!$A:$J,9,FALSE),"Open Page"),IFERROR(HYPERLINK(VLOOKUP($B99,'Manual Database'!$A:$J,9,FALSE),"Open Page"),""))</f>
        <v/>
      </c>
      <c r="Q99" s="87" t="str">
        <f>IFERROR(HYPERLINK(VLOOKUP($B99,'Online Database'!$A:$J,10,FALSE),"Download"),IFERROR(HYPERLINK(VLOOKUP($B99,'Manual Database'!$A:$J,10,FALSE),"Download"),""))</f>
        <v/>
      </c>
      <c r="R99" s="73"/>
    </row>
    <row r="100" spans="1:18" ht="22.05" customHeight="1">
      <c r="A100" s="77" t="str">
        <f>IF(C100="","",COUNTIF($C$2:C100,"&lt;&gt;"))</f>
        <v/>
      </c>
      <c r="B100" s="73"/>
      <c r="C100" s="73" t="str">
        <f>IFERROR(VLOOKUP($B100,'Hack Database'!$A:$J,2,FALSE),"")</f>
        <v/>
      </c>
      <c r="D100" s="73" t="str">
        <f>IFERROR(VLOOKUP($B100,'Hack Database'!$A:$J,3,FALSE),"")</f>
        <v/>
      </c>
      <c r="E100" s="79" t="str">
        <f>IFERROR(VLOOKUP($B100,'Hack Database'!$A:$J,4,FALSE),"")</f>
        <v/>
      </c>
      <c r="F100" s="73" t="str">
        <f>IFERROR(VLOOKUP($B100,'Hack Database'!$A:$J,5,FALSE),"")</f>
        <v/>
      </c>
      <c r="G100" s="73" t="str">
        <f>IFERROR(VLOOKUP($B100,'Hack Database'!$A:$J,6,FALSE),"")</f>
        <v/>
      </c>
      <c r="H100" s="80"/>
      <c r="I100" s="80"/>
      <c r="J100" s="73"/>
      <c r="K100" s="73" t="str">
        <f t="shared" si="1"/>
        <v/>
      </c>
      <c r="L100" s="79"/>
      <c r="M100" s="73"/>
      <c r="N100" s="73"/>
      <c r="O100" s="73"/>
      <c r="P100" s="87" t="str">
        <f>IFERROR(HYPERLINK(VLOOKUP($B100,'Online Database'!$A:$J,9,FALSE),"Open Page"),IFERROR(HYPERLINK(VLOOKUP($B100,'Manual Database'!$A:$J,9,FALSE),"Open Page"),""))</f>
        <v/>
      </c>
      <c r="Q100" s="87" t="str">
        <f>IFERROR(HYPERLINK(VLOOKUP($B100,'Online Database'!$A:$J,10,FALSE),"Download"),IFERROR(HYPERLINK(VLOOKUP($B100,'Manual Database'!$A:$J,10,FALSE),"Download"),""))</f>
        <v/>
      </c>
      <c r="R100" s="73"/>
    </row>
    <row r="101" spans="1:18" ht="22.05" customHeight="1">
      <c r="A101" s="77" t="str">
        <f>IF(C101="","",COUNTIF($C$2:C101,"&lt;&gt;"))</f>
        <v/>
      </c>
      <c r="B101" s="73"/>
      <c r="C101" s="73" t="str">
        <f>IFERROR(VLOOKUP($B101,'Hack Database'!$A:$J,2,FALSE),"")</f>
        <v/>
      </c>
      <c r="D101" s="73" t="str">
        <f>IFERROR(VLOOKUP($B101,'Hack Database'!$A:$J,3,FALSE),"")</f>
        <v/>
      </c>
      <c r="E101" s="79" t="str">
        <f>IFERROR(VLOOKUP($B101,'Hack Database'!$A:$J,4,FALSE),"")</f>
        <v/>
      </c>
      <c r="F101" s="73" t="str">
        <f>IFERROR(VLOOKUP($B101,'Hack Database'!$A:$J,5,FALSE),"")</f>
        <v/>
      </c>
      <c r="G101" s="73" t="str">
        <f>IFERROR(VLOOKUP($B101,'Hack Database'!$A:$J,6,FALSE),"")</f>
        <v/>
      </c>
      <c r="H101" s="80"/>
      <c r="I101" s="80"/>
      <c r="J101" s="73"/>
      <c r="K101" s="73" t="str">
        <f t="shared" si="1"/>
        <v/>
      </c>
      <c r="L101" s="79"/>
      <c r="M101" s="73"/>
      <c r="N101" s="73"/>
      <c r="O101" s="73"/>
      <c r="P101" s="87" t="str">
        <f>IFERROR(HYPERLINK(VLOOKUP($B101,'Online Database'!$A:$J,9,FALSE),"Open Page"),IFERROR(HYPERLINK(VLOOKUP($B101,'Manual Database'!$A:$J,9,FALSE),"Open Page"),""))</f>
        <v/>
      </c>
      <c r="Q101" s="87" t="str">
        <f>IFERROR(HYPERLINK(VLOOKUP($B101,'Online Database'!$A:$J,10,FALSE),"Download"),IFERROR(HYPERLINK(VLOOKUP($B101,'Manual Database'!$A:$J,10,FALSE),"Download"),""))</f>
        <v/>
      </c>
      <c r="R101" s="73"/>
    </row>
    <row r="102" spans="1:18" ht="22.05" customHeight="1">
      <c r="A102" s="77" t="str">
        <f>IF(C102="","",COUNTIF($C$2:C102,"&lt;&gt;"))</f>
        <v/>
      </c>
      <c r="B102" s="73"/>
      <c r="C102" s="73" t="str">
        <f>IFERROR(VLOOKUP($B102,'Hack Database'!$A:$J,2,FALSE),"")</f>
        <v/>
      </c>
      <c r="D102" s="73" t="str">
        <f>IFERROR(VLOOKUP($B102,'Hack Database'!$A:$J,3,FALSE),"")</f>
        <v/>
      </c>
      <c r="E102" s="79" t="str">
        <f>IFERROR(VLOOKUP($B102,'Hack Database'!$A:$J,4,FALSE),"")</f>
        <v/>
      </c>
      <c r="F102" s="73" t="str">
        <f>IFERROR(VLOOKUP($B102,'Hack Database'!$A:$J,5,FALSE),"")</f>
        <v/>
      </c>
      <c r="G102" s="73" t="str">
        <f>IFERROR(VLOOKUP($B102,'Hack Database'!$A:$J,6,FALSE),"")</f>
        <v/>
      </c>
      <c r="H102" s="80"/>
      <c r="I102" s="80"/>
      <c r="J102" s="73"/>
      <c r="K102" s="73" t="str">
        <f t="shared" si="1"/>
        <v/>
      </c>
      <c r="L102" s="79"/>
      <c r="M102" s="73"/>
      <c r="N102" s="73"/>
      <c r="O102" s="73"/>
      <c r="P102" s="87" t="str">
        <f>IFERROR(HYPERLINK(VLOOKUP($B102,'Online Database'!$A:$J,9,FALSE),"Open Page"),IFERROR(HYPERLINK(VLOOKUP($B102,'Manual Database'!$A:$J,9,FALSE),"Open Page"),""))</f>
        <v/>
      </c>
      <c r="Q102" s="87" t="str">
        <f>IFERROR(HYPERLINK(VLOOKUP($B102,'Online Database'!$A:$J,10,FALSE),"Download"),IFERROR(HYPERLINK(VLOOKUP($B102,'Manual Database'!$A:$J,10,FALSE),"Download"),""))</f>
        <v/>
      </c>
      <c r="R102" s="73"/>
    </row>
    <row r="103" spans="1:18" ht="22.05" customHeight="1">
      <c r="A103" s="77" t="str">
        <f>IF(C103="","",COUNTIF($C$2:C103,"&lt;&gt;"))</f>
        <v/>
      </c>
      <c r="B103" s="73"/>
      <c r="C103" s="73" t="str">
        <f>IFERROR(VLOOKUP($B103,'Hack Database'!$A:$J,2,FALSE),"")</f>
        <v/>
      </c>
      <c r="D103" s="73" t="str">
        <f>IFERROR(VLOOKUP($B103,'Hack Database'!$A:$J,3,FALSE),"")</f>
        <v/>
      </c>
      <c r="E103" s="79" t="str">
        <f>IFERROR(VLOOKUP($B103,'Hack Database'!$A:$J,4,FALSE),"")</f>
        <v/>
      </c>
      <c r="F103" s="73" t="str">
        <f>IFERROR(VLOOKUP($B103,'Hack Database'!$A:$J,5,FALSE),"")</f>
        <v/>
      </c>
      <c r="G103" s="73" t="str">
        <f>IFERROR(VLOOKUP($B103,'Hack Database'!$A:$J,6,FALSE),"")</f>
        <v/>
      </c>
      <c r="H103" s="80"/>
      <c r="I103" s="80"/>
      <c r="J103" s="73"/>
      <c r="K103" s="73" t="str">
        <f t="shared" si="1"/>
        <v/>
      </c>
      <c r="L103" s="79"/>
      <c r="M103" s="73"/>
      <c r="N103" s="73"/>
      <c r="O103" s="73"/>
      <c r="P103" s="87" t="str">
        <f>IFERROR(HYPERLINK(VLOOKUP($B103,'Online Database'!$A:$J,9,FALSE),"Open Page"),IFERROR(HYPERLINK(VLOOKUP($B103,'Manual Database'!$A:$J,9,FALSE),"Open Page"),""))</f>
        <v/>
      </c>
      <c r="Q103" s="87" t="str">
        <f>IFERROR(HYPERLINK(VLOOKUP($B103,'Online Database'!$A:$J,10,FALSE),"Download"),IFERROR(HYPERLINK(VLOOKUP($B103,'Manual Database'!$A:$J,10,FALSE),"Download"),""))</f>
        <v/>
      </c>
      <c r="R103" s="73"/>
    </row>
    <row r="104" spans="1:18" ht="22.05" customHeight="1">
      <c r="A104" s="77" t="str">
        <f>IF(C104="","",COUNTIF($C$2:C104,"&lt;&gt;"))</f>
        <v/>
      </c>
      <c r="B104" s="73"/>
      <c r="C104" s="73" t="str">
        <f>IFERROR(VLOOKUP($B104,'Hack Database'!$A:$J,2,FALSE),"")</f>
        <v/>
      </c>
      <c r="D104" s="73" t="str">
        <f>IFERROR(VLOOKUP($B104,'Hack Database'!$A:$J,3,FALSE),"")</f>
        <v/>
      </c>
      <c r="E104" s="79" t="str">
        <f>IFERROR(VLOOKUP($B104,'Hack Database'!$A:$J,4,FALSE),"")</f>
        <v/>
      </c>
      <c r="F104" s="73" t="str">
        <f>IFERROR(VLOOKUP($B104,'Hack Database'!$A:$J,5,FALSE),"")</f>
        <v/>
      </c>
      <c r="G104" s="73" t="str">
        <f>IFERROR(VLOOKUP($B104,'Hack Database'!$A:$J,6,FALSE),"")</f>
        <v/>
      </c>
      <c r="H104" s="80"/>
      <c r="I104" s="80"/>
      <c r="J104" s="73"/>
      <c r="K104" s="73" t="str">
        <f t="shared" si="1"/>
        <v/>
      </c>
      <c r="L104" s="79"/>
      <c r="M104" s="73"/>
      <c r="N104" s="73"/>
      <c r="O104" s="73"/>
      <c r="P104" s="87" t="str">
        <f>IFERROR(HYPERLINK(VLOOKUP($B104,'Online Database'!$A:$J,9,FALSE),"Open Page"),IFERROR(HYPERLINK(VLOOKUP($B104,'Manual Database'!$A:$J,9,FALSE),"Open Page"),""))</f>
        <v/>
      </c>
      <c r="Q104" s="87" t="str">
        <f>IFERROR(HYPERLINK(VLOOKUP($B104,'Online Database'!$A:$J,10,FALSE),"Download"),IFERROR(HYPERLINK(VLOOKUP($B104,'Manual Database'!$A:$J,10,FALSE),"Download"),""))</f>
        <v/>
      </c>
      <c r="R104" s="73"/>
    </row>
    <row r="105" spans="1:18" ht="22.05" customHeight="1">
      <c r="A105" s="77" t="str">
        <f>IF(C105="","",COUNTIF($C$2:C105,"&lt;&gt;"))</f>
        <v/>
      </c>
      <c r="B105" s="73"/>
      <c r="C105" s="73" t="str">
        <f>IFERROR(VLOOKUP($B105,'Hack Database'!$A:$J,2,FALSE),"")</f>
        <v/>
      </c>
      <c r="D105" s="73" t="str">
        <f>IFERROR(VLOOKUP($B105,'Hack Database'!$A:$J,3,FALSE),"")</f>
        <v/>
      </c>
      <c r="E105" s="79" t="str">
        <f>IFERROR(VLOOKUP($B105,'Hack Database'!$A:$J,4,FALSE),"")</f>
        <v/>
      </c>
      <c r="F105" s="73" t="str">
        <f>IFERROR(VLOOKUP($B105,'Hack Database'!$A:$J,5,FALSE),"")</f>
        <v/>
      </c>
      <c r="G105" s="73" t="str">
        <f>IFERROR(VLOOKUP($B105,'Hack Database'!$A:$J,6,FALSE),"")</f>
        <v/>
      </c>
      <c r="H105" s="80"/>
      <c r="I105" s="80"/>
      <c r="J105" s="73"/>
      <c r="K105" s="73" t="str">
        <f t="shared" si="1"/>
        <v/>
      </c>
      <c r="L105" s="79"/>
      <c r="M105" s="73"/>
      <c r="N105" s="73"/>
      <c r="O105" s="73"/>
      <c r="P105" s="87" t="str">
        <f>IFERROR(HYPERLINK(VLOOKUP($B105,'Online Database'!$A:$J,9,FALSE),"Open Page"),IFERROR(HYPERLINK(VLOOKUP($B105,'Manual Database'!$A:$J,9,FALSE),"Open Page"),""))</f>
        <v/>
      </c>
      <c r="Q105" s="87" t="str">
        <f>IFERROR(HYPERLINK(VLOOKUP($B105,'Online Database'!$A:$J,10,FALSE),"Download"),IFERROR(HYPERLINK(VLOOKUP($B105,'Manual Database'!$A:$J,10,FALSE),"Download"),""))</f>
        <v/>
      </c>
      <c r="R105" s="73"/>
    </row>
    <row r="106" spans="1:18" ht="22.05" customHeight="1">
      <c r="A106" s="77" t="str">
        <f>IF(C106="","",COUNTIF($C$2:C106,"&lt;&gt;"))</f>
        <v/>
      </c>
      <c r="B106" s="73"/>
      <c r="C106" s="73" t="str">
        <f>IFERROR(VLOOKUP($B106,'Hack Database'!$A:$J,2,FALSE),"")</f>
        <v/>
      </c>
      <c r="D106" s="73" t="str">
        <f>IFERROR(VLOOKUP($B106,'Hack Database'!$A:$J,3,FALSE),"")</f>
        <v/>
      </c>
      <c r="E106" s="79" t="str">
        <f>IFERROR(VLOOKUP($B106,'Hack Database'!$A:$J,4,FALSE),"")</f>
        <v/>
      </c>
      <c r="F106" s="73" t="str">
        <f>IFERROR(VLOOKUP($B106,'Hack Database'!$A:$J,5,FALSE),"")</f>
        <v/>
      </c>
      <c r="G106" s="73" t="str">
        <f>IFERROR(VLOOKUP($B106,'Hack Database'!$A:$J,6,FALSE),"")</f>
        <v/>
      </c>
      <c r="H106" s="80"/>
      <c r="I106" s="80"/>
      <c r="J106" s="73"/>
      <c r="K106" s="73" t="str">
        <f t="shared" si="1"/>
        <v/>
      </c>
      <c r="L106" s="79"/>
      <c r="M106" s="73"/>
      <c r="N106" s="73"/>
      <c r="O106" s="73"/>
      <c r="P106" s="87" t="str">
        <f>IFERROR(HYPERLINK(VLOOKUP($B106,'Online Database'!$A:$J,9,FALSE),"Open Page"),IFERROR(HYPERLINK(VLOOKUP($B106,'Manual Database'!$A:$J,9,FALSE),"Open Page"),""))</f>
        <v/>
      </c>
      <c r="Q106" s="87" t="str">
        <f>IFERROR(HYPERLINK(VLOOKUP($B106,'Online Database'!$A:$J,10,FALSE),"Download"),IFERROR(HYPERLINK(VLOOKUP($B106,'Manual Database'!$A:$J,10,FALSE),"Download"),""))</f>
        <v/>
      </c>
      <c r="R106" s="73"/>
    </row>
    <row r="107" spans="1:18" ht="22.05" customHeight="1">
      <c r="A107" s="77" t="str">
        <f>IF(C107="","",COUNTIF($C$2:C107,"&lt;&gt;"))</f>
        <v/>
      </c>
      <c r="B107" s="73"/>
      <c r="C107" s="73" t="str">
        <f>IFERROR(VLOOKUP($B107,'Hack Database'!$A:$J,2,FALSE),"")</f>
        <v/>
      </c>
      <c r="D107" s="73" t="str">
        <f>IFERROR(VLOOKUP($B107,'Hack Database'!$A:$J,3,FALSE),"")</f>
        <v/>
      </c>
      <c r="E107" s="79" t="str">
        <f>IFERROR(VLOOKUP($B107,'Hack Database'!$A:$J,4,FALSE),"")</f>
        <v/>
      </c>
      <c r="F107" s="73" t="str">
        <f>IFERROR(VLOOKUP($B107,'Hack Database'!$A:$J,5,FALSE),"")</f>
        <v/>
      </c>
      <c r="G107" s="73" t="str">
        <f>IFERROR(VLOOKUP($B107,'Hack Database'!$A:$J,6,FALSE),"")</f>
        <v/>
      </c>
      <c r="H107" s="80"/>
      <c r="I107" s="80"/>
      <c r="J107" s="73"/>
      <c r="K107" s="73" t="str">
        <f t="shared" si="1"/>
        <v/>
      </c>
      <c r="L107" s="79"/>
      <c r="M107" s="73"/>
      <c r="N107" s="73"/>
      <c r="O107" s="73"/>
      <c r="P107" s="87" t="str">
        <f>IFERROR(HYPERLINK(VLOOKUP($B107,'Online Database'!$A:$J,9,FALSE),"Open Page"),IFERROR(HYPERLINK(VLOOKUP($B107,'Manual Database'!$A:$J,9,FALSE),"Open Page"),""))</f>
        <v/>
      </c>
      <c r="Q107" s="87" t="str">
        <f>IFERROR(HYPERLINK(VLOOKUP($B107,'Online Database'!$A:$J,10,FALSE),"Download"),IFERROR(HYPERLINK(VLOOKUP($B107,'Manual Database'!$A:$J,10,FALSE),"Download"),""))</f>
        <v/>
      </c>
      <c r="R107" s="73"/>
    </row>
    <row r="108" spans="1:18" ht="22.05" customHeight="1">
      <c r="A108" s="77" t="str">
        <f>IF(C108="","",COUNTIF($C$2:C108,"&lt;&gt;"))</f>
        <v/>
      </c>
      <c r="B108" s="73"/>
      <c r="C108" s="73" t="str">
        <f>IFERROR(VLOOKUP($B108,'Hack Database'!$A:$J,2,FALSE),"")</f>
        <v/>
      </c>
      <c r="D108" s="73" t="str">
        <f>IFERROR(VLOOKUP($B108,'Hack Database'!$A:$J,3,FALSE),"")</f>
        <v/>
      </c>
      <c r="E108" s="79" t="str">
        <f>IFERROR(VLOOKUP($B108,'Hack Database'!$A:$J,4,FALSE),"")</f>
        <v/>
      </c>
      <c r="F108" s="73" t="str">
        <f>IFERROR(VLOOKUP($B108,'Hack Database'!$A:$J,5,FALSE),"")</f>
        <v/>
      </c>
      <c r="G108" s="73" t="str">
        <f>IFERROR(VLOOKUP($B108,'Hack Database'!$A:$J,6,FALSE),"")</f>
        <v/>
      </c>
      <c r="H108" s="80"/>
      <c r="I108" s="80"/>
      <c r="J108" s="73"/>
      <c r="K108" s="73" t="str">
        <f t="shared" si="1"/>
        <v/>
      </c>
      <c r="L108" s="79"/>
      <c r="M108" s="73"/>
      <c r="N108" s="73"/>
      <c r="O108" s="73"/>
      <c r="P108" s="87" t="str">
        <f>IFERROR(HYPERLINK(VLOOKUP($B108,'Online Database'!$A:$J,9,FALSE),"Open Page"),IFERROR(HYPERLINK(VLOOKUP($B108,'Manual Database'!$A:$J,9,FALSE),"Open Page"),""))</f>
        <v/>
      </c>
      <c r="Q108" s="87" t="str">
        <f>IFERROR(HYPERLINK(VLOOKUP($B108,'Online Database'!$A:$J,10,FALSE),"Download"),IFERROR(HYPERLINK(VLOOKUP($B108,'Manual Database'!$A:$J,10,FALSE),"Download"),""))</f>
        <v/>
      </c>
      <c r="R108" s="73"/>
    </row>
    <row r="109" spans="1:18" ht="22.05" customHeight="1">
      <c r="A109" s="77" t="str">
        <f>IF(C109="","",COUNTIF($C$2:C109,"&lt;&gt;"))</f>
        <v/>
      </c>
      <c r="B109" s="73"/>
      <c r="C109" s="73" t="str">
        <f>IFERROR(VLOOKUP($B109,'Hack Database'!$A:$J,2,FALSE),"")</f>
        <v/>
      </c>
      <c r="D109" s="73" t="str">
        <f>IFERROR(VLOOKUP($B109,'Hack Database'!$A:$J,3,FALSE),"")</f>
        <v/>
      </c>
      <c r="E109" s="79" t="str">
        <f>IFERROR(VLOOKUP($B109,'Hack Database'!$A:$J,4,FALSE),"")</f>
        <v/>
      </c>
      <c r="F109" s="73" t="str">
        <f>IFERROR(VLOOKUP($B109,'Hack Database'!$A:$J,5,FALSE),"")</f>
        <v/>
      </c>
      <c r="G109" s="73" t="str">
        <f>IFERROR(VLOOKUP($B109,'Hack Database'!$A:$J,6,FALSE),"")</f>
        <v/>
      </c>
      <c r="H109" s="80"/>
      <c r="I109" s="80"/>
      <c r="J109" s="73"/>
      <c r="K109" s="73" t="str">
        <f t="shared" si="1"/>
        <v/>
      </c>
      <c r="L109" s="79"/>
      <c r="M109" s="73"/>
      <c r="N109" s="73"/>
      <c r="O109" s="73"/>
      <c r="P109" s="87" t="str">
        <f>IFERROR(HYPERLINK(VLOOKUP($B109,'Online Database'!$A:$J,9,FALSE),"Open Page"),IFERROR(HYPERLINK(VLOOKUP($B109,'Manual Database'!$A:$J,9,FALSE),"Open Page"),""))</f>
        <v/>
      </c>
      <c r="Q109" s="87" t="str">
        <f>IFERROR(HYPERLINK(VLOOKUP($B109,'Online Database'!$A:$J,10,FALSE),"Download"),IFERROR(HYPERLINK(VLOOKUP($B109,'Manual Database'!$A:$J,10,FALSE),"Download"),""))</f>
        <v/>
      </c>
      <c r="R109" s="73"/>
    </row>
    <row r="110" spans="1:18" ht="22.05" customHeight="1">
      <c r="A110" s="77" t="str">
        <f>IF(C110="","",COUNTIF($C$2:C110,"&lt;&gt;"))</f>
        <v/>
      </c>
      <c r="B110" s="73"/>
      <c r="C110" s="73" t="str">
        <f>IFERROR(VLOOKUP($B110,'Hack Database'!$A:$J,2,FALSE),"")</f>
        <v/>
      </c>
      <c r="D110" s="73" t="str">
        <f>IFERROR(VLOOKUP($B110,'Hack Database'!$A:$J,3,FALSE),"")</f>
        <v/>
      </c>
      <c r="E110" s="79" t="str">
        <f>IFERROR(VLOOKUP($B110,'Hack Database'!$A:$J,4,FALSE),"")</f>
        <v/>
      </c>
      <c r="F110" s="73" t="str">
        <f>IFERROR(VLOOKUP($B110,'Hack Database'!$A:$J,5,FALSE),"")</f>
        <v/>
      </c>
      <c r="G110" s="73" t="str">
        <f>IFERROR(VLOOKUP($B110,'Hack Database'!$A:$J,6,FALSE),"")</f>
        <v/>
      </c>
      <c r="H110" s="80"/>
      <c r="I110" s="80"/>
      <c r="J110" s="73"/>
      <c r="K110" s="73" t="str">
        <f t="shared" si="1"/>
        <v/>
      </c>
      <c r="L110" s="79"/>
      <c r="M110" s="73"/>
      <c r="N110" s="73"/>
      <c r="O110" s="73"/>
      <c r="P110" s="87" t="str">
        <f>IFERROR(HYPERLINK(VLOOKUP($B110,'Online Database'!$A:$J,9,FALSE),"Open Page"),IFERROR(HYPERLINK(VLOOKUP($B110,'Manual Database'!$A:$J,9,FALSE),"Open Page"),""))</f>
        <v/>
      </c>
      <c r="Q110" s="87" t="str">
        <f>IFERROR(HYPERLINK(VLOOKUP($B110,'Online Database'!$A:$J,10,FALSE),"Download"),IFERROR(HYPERLINK(VLOOKUP($B110,'Manual Database'!$A:$J,10,FALSE),"Download"),""))</f>
        <v/>
      </c>
      <c r="R110" s="73"/>
    </row>
    <row r="111" spans="1:18" ht="22.05" customHeight="1">
      <c r="A111" s="77" t="str">
        <f>IF(C111="","",COUNTIF($C$2:C111,"&lt;&gt;"))</f>
        <v/>
      </c>
      <c r="B111" s="73"/>
      <c r="C111" s="73" t="str">
        <f>IFERROR(VLOOKUP($B111,'Hack Database'!$A:$J,2,FALSE),"")</f>
        <v/>
      </c>
      <c r="D111" s="73" t="str">
        <f>IFERROR(VLOOKUP($B111,'Hack Database'!$A:$J,3,FALSE),"")</f>
        <v/>
      </c>
      <c r="E111" s="79" t="str">
        <f>IFERROR(VLOOKUP($B111,'Hack Database'!$A:$J,4,FALSE),"")</f>
        <v/>
      </c>
      <c r="F111" s="73" t="str">
        <f>IFERROR(VLOOKUP($B111,'Hack Database'!$A:$J,5,FALSE),"")</f>
        <v/>
      </c>
      <c r="G111" s="73" t="str">
        <f>IFERROR(VLOOKUP($B111,'Hack Database'!$A:$J,6,FALSE),"")</f>
        <v/>
      </c>
      <c r="H111" s="80"/>
      <c r="I111" s="80"/>
      <c r="J111" s="73"/>
      <c r="K111" s="73" t="str">
        <f t="shared" si="1"/>
        <v/>
      </c>
      <c r="L111" s="79"/>
      <c r="M111" s="73"/>
      <c r="N111" s="73"/>
      <c r="O111" s="73"/>
      <c r="P111" s="87" t="str">
        <f>IFERROR(HYPERLINK(VLOOKUP($B111,'Online Database'!$A:$J,9,FALSE),"Open Page"),IFERROR(HYPERLINK(VLOOKUP($B111,'Manual Database'!$A:$J,9,FALSE),"Open Page"),""))</f>
        <v/>
      </c>
      <c r="Q111" s="87" t="str">
        <f>IFERROR(HYPERLINK(VLOOKUP($B111,'Online Database'!$A:$J,10,FALSE),"Download"),IFERROR(HYPERLINK(VLOOKUP($B111,'Manual Database'!$A:$J,10,FALSE),"Download"),""))</f>
        <v/>
      </c>
      <c r="R111" s="73"/>
    </row>
    <row r="112" spans="1:18" ht="22.05" customHeight="1">
      <c r="A112" s="77" t="str">
        <f>IF(C112="","",COUNTIF($C$2:C112,"&lt;&gt;"))</f>
        <v/>
      </c>
      <c r="B112" s="73"/>
      <c r="C112" s="73" t="str">
        <f>IFERROR(VLOOKUP($B112,'Hack Database'!$A:$J,2,FALSE),"")</f>
        <v/>
      </c>
      <c r="D112" s="73" t="str">
        <f>IFERROR(VLOOKUP($B112,'Hack Database'!$A:$J,3,FALSE),"")</f>
        <v/>
      </c>
      <c r="E112" s="79" t="str">
        <f>IFERROR(VLOOKUP($B112,'Hack Database'!$A:$J,4,FALSE),"")</f>
        <v/>
      </c>
      <c r="F112" s="73" t="str">
        <f>IFERROR(VLOOKUP($B112,'Hack Database'!$A:$J,5,FALSE),"")</f>
        <v/>
      </c>
      <c r="G112" s="73" t="str">
        <f>IFERROR(VLOOKUP($B112,'Hack Database'!$A:$J,6,FALSE),"")</f>
        <v/>
      </c>
      <c r="H112" s="80"/>
      <c r="I112" s="80"/>
      <c r="J112" s="73"/>
      <c r="K112" s="73" t="str">
        <f t="shared" si="1"/>
        <v/>
      </c>
      <c r="L112" s="79"/>
      <c r="M112" s="73"/>
      <c r="N112" s="73"/>
      <c r="O112" s="73"/>
      <c r="P112" s="87" t="str">
        <f>IFERROR(HYPERLINK(VLOOKUP($B112,'Online Database'!$A:$J,9,FALSE),"Open Page"),IFERROR(HYPERLINK(VLOOKUP($B112,'Manual Database'!$A:$J,9,FALSE),"Open Page"),""))</f>
        <v/>
      </c>
      <c r="Q112" s="87" t="str">
        <f>IFERROR(HYPERLINK(VLOOKUP($B112,'Online Database'!$A:$J,10,FALSE),"Download"),IFERROR(HYPERLINK(VLOOKUP($B112,'Manual Database'!$A:$J,10,FALSE),"Download"),""))</f>
        <v/>
      </c>
      <c r="R112" s="73"/>
    </row>
    <row r="113" spans="1:18" ht="22.05" customHeight="1">
      <c r="A113" s="77" t="str">
        <f>IF(C113="","",COUNTIF($C$2:C113,"&lt;&gt;"))</f>
        <v/>
      </c>
      <c r="B113" s="73"/>
      <c r="C113" s="73" t="str">
        <f>IFERROR(VLOOKUP($B113,'Hack Database'!$A:$J,2,FALSE),"")</f>
        <v/>
      </c>
      <c r="D113" s="73" t="str">
        <f>IFERROR(VLOOKUP($B113,'Hack Database'!$A:$J,3,FALSE),"")</f>
        <v/>
      </c>
      <c r="E113" s="79" t="str">
        <f>IFERROR(VLOOKUP($B113,'Hack Database'!$A:$J,4,FALSE),"")</f>
        <v/>
      </c>
      <c r="F113" s="73" t="str">
        <f>IFERROR(VLOOKUP($B113,'Hack Database'!$A:$J,5,FALSE),"")</f>
        <v/>
      </c>
      <c r="G113" s="73" t="str">
        <f>IFERROR(VLOOKUP($B113,'Hack Database'!$A:$J,6,FALSE),"")</f>
        <v/>
      </c>
      <c r="H113" s="80"/>
      <c r="I113" s="80"/>
      <c r="J113" s="73"/>
      <c r="K113" s="73" t="str">
        <f t="shared" si="1"/>
        <v/>
      </c>
      <c r="L113" s="79"/>
      <c r="M113" s="73"/>
      <c r="N113" s="73"/>
      <c r="O113" s="73"/>
      <c r="P113" s="87" t="str">
        <f>IFERROR(HYPERLINK(VLOOKUP($B113,'Online Database'!$A:$J,9,FALSE),"Open Page"),IFERROR(HYPERLINK(VLOOKUP($B113,'Manual Database'!$A:$J,9,FALSE),"Open Page"),""))</f>
        <v/>
      </c>
      <c r="Q113" s="87" t="str">
        <f>IFERROR(HYPERLINK(VLOOKUP($B113,'Online Database'!$A:$J,10,FALSE),"Download"),IFERROR(HYPERLINK(VLOOKUP($B113,'Manual Database'!$A:$J,10,FALSE),"Download"),""))</f>
        <v/>
      </c>
      <c r="R113" s="73"/>
    </row>
    <row r="114" spans="1:18" ht="22.05" customHeight="1">
      <c r="A114" s="77" t="str">
        <f>IF(C114="","",COUNTIF($C$2:C114,"&lt;&gt;"))</f>
        <v/>
      </c>
      <c r="B114" s="73"/>
      <c r="C114" s="73" t="str">
        <f>IFERROR(VLOOKUP($B114,'Hack Database'!$A:$J,2,FALSE),"")</f>
        <v/>
      </c>
      <c r="D114" s="73" t="str">
        <f>IFERROR(VLOOKUP($B114,'Hack Database'!$A:$J,3,FALSE),"")</f>
        <v/>
      </c>
      <c r="E114" s="79" t="str">
        <f>IFERROR(VLOOKUP($B114,'Hack Database'!$A:$J,4,FALSE),"")</f>
        <v/>
      </c>
      <c r="F114" s="73" t="str">
        <f>IFERROR(VLOOKUP($B114,'Hack Database'!$A:$J,5,FALSE),"")</f>
        <v/>
      </c>
      <c r="G114" s="73" t="str">
        <f>IFERROR(VLOOKUP($B114,'Hack Database'!$A:$J,6,FALSE),"")</f>
        <v/>
      </c>
      <c r="H114" s="80"/>
      <c r="I114" s="80"/>
      <c r="J114" s="73"/>
      <c r="K114" s="73" t="str">
        <f t="shared" si="1"/>
        <v/>
      </c>
      <c r="L114" s="79"/>
      <c r="M114" s="73"/>
      <c r="N114" s="73"/>
      <c r="O114" s="73"/>
      <c r="P114" s="87" t="str">
        <f>IFERROR(HYPERLINK(VLOOKUP($B114,'Online Database'!$A:$J,9,FALSE),"Open Page"),IFERROR(HYPERLINK(VLOOKUP($B114,'Manual Database'!$A:$J,9,FALSE),"Open Page"),""))</f>
        <v/>
      </c>
      <c r="Q114" s="87" t="str">
        <f>IFERROR(HYPERLINK(VLOOKUP($B114,'Online Database'!$A:$J,10,FALSE),"Download"),IFERROR(HYPERLINK(VLOOKUP($B114,'Manual Database'!$A:$J,10,FALSE),"Download"),""))</f>
        <v/>
      </c>
      <c r="R114" s="73"/>
    </row>
    <row r="115" spans="1:18" ht="22.05" customHeight="1">
      <c r="A115" s="77" t="str">
        <f>IF(C115="","",COUNTIF($C$2:C115,"&lt;&gt;"))</f>
        <v/>
      </c>
      <c r="B115" s="73"/>
      <c r="C115" s="73" t="str">
        <f>IFERROR(VLOOKUP($B115,'Hack Database'!$A:$J,2,FALSE),"")</f>
        <v/>
      </c>
      <c r="D115" s="73" t="str">
        <f>IFERROR(VLOOKUP($B115,'Hack Database'!$A:$J,3,FALSE),"")</f>
        <v/>
      </c>
      <c r="E115" s="79" t="str">
        <f>IFERROR(VLOOKUP($B115,'Hack Database'!$A:$J,4,FALSE),"")</f>
        <v/>
      </c>
      <c r="F115" s="73" t="str">
        <f>IFERROR(VLOOKUP($B115,'Hack Database'!$A:$J,5,FALSE),"")</f>
        <v/>
      </c>
      <c r="G115" s="73" t="str">
        <f>IFERROR(VLOOKUP($B115,'Hack Database'!$A:$J,6,FALSE),"")</f>
        <v/>
      </c>
      <c r="H115" s="80"/>
      <c r="I115" s="80"/>
      <c r="J115" s="73"/>
      <c r="K115" s="73" t="str">
        <f t="shared" si="1"/>
        <v/>
      </c>
      <c r="L115" s="79"/>
      <c r="M115" s="73"/>
      <c r="N115" s="73"/>
      <c r="O115" s="73"/>
      <c r="P115" s="87" t="str">
        <f>IFERROR(HYPERLINK(VLOOKUP($B115,'Online Database'!$A:$J,9,FALSE),"Open Page"),IFERROR(HYPERLINK(VLOOKUP($B115,'Manual Database'!$A:$J,9,FALSE),"Open Page"),""))</f>
        <v/>
      </c>
      <c r="Q115" s="87" t="str">
        <f>IFERROR(HYPERLINK(VLOOKUP($B115,'Online Database'!$A:$J,10,FALSE),"Download"),IFERROR(HYPERLINK(VLOOKUP($B115,'Manual Database'!$A:$J,10,FALSE),"Download"),""))</f>
        <v/>
      </c>
      <c r="R115" s="73"/>
    </row>
    <row r="116" spans="1:18" ht="22.05" customHeight="1">
      <c r="A116" s="77" t="str">
        <f>IF(C116="","",COUNTIF($C$2:C116,"&lt;&gt;"))</f>
        <v/>
      </c>
      <c r="B116" s="73"/>
      <c r="C116" s="73" t="str">
        <f>IFERROR(VLOOKUP($B116,'Hack Database'!$A:$J,2,FALSE),"")</f>
        <v/>
      </c>
      <c r="D116" s="73" t="str">
        <f>IFERROR(VLOOKUP($B116,'Hack Database'!$A:$J,3,FALSE),"")</f>
        <v/>
      </c>
      <c r="E116" s="79" t="str">
        <f>IFERROR(VLOOKUP($B116,'Hack Database'!$A:$J,4,FALSE),"")</f>
        <v/>
      </c>
      <c r="F116" s="73" t="str">
        <f>IFERROR(VLOOKUP($B116,'Hack Database'!$A:$J,5,FALSE),"")</f>
        <v/>
      </c>
      <c r="G116" s="73" t="str">
        <f>IFERROR(VLOOKUP($B116,'Hack Database'!$A:$J,6,FALSE),"")</f>
        <v/>
      </c>
      <c r="H116" s="80"/>
      <c r="I116" s="80"/>
      <c r="J116" s="73"/>
      <c r="K116" s="73" t="str">
        <f t="shared" si="1"/>
        <v/>
      </c>
      <c r="L116" s="79"/>
      <c r="M116" s="73"/>
      <c r="N116" s="73"/>
      <c r="O116" s="73"/>
      <c r="P116" s="87" t="str">
        <f>IFERROR(HYPERLINK(VLOOKUP($B116,'Online Database'!$A:$J,9,FALSE),"Open Page"),IFERROR(HYPERLINK(VLOOKUP($B116,'Manual Database'!$A:$J,9,FALSE),"Open Page"),""))</f>
        <v/>
      </c>
      <c r="Q116" s="87" t="str">
        <f>IFERROR(HYPERLINK(VLOOKUP($B116,'Online Database'!$A:$J,10,FALSE),"Download"),IFERROR(HYPERLINK(VLOOKUP($B116,'Manual Database'!$A:$J,10,FALSE),"Download"),""))</f>
        <v/>
      </c>
      <c r="R116" s="73"/>
    </row>
    <row r="117" spans="1:18" ht="22.05" customHeight="1">
      <c r="A117" s="77" t="str">
        <f>IF(C117="","",COUNTIF($C$2:C117,"&lt;&gt;"))</f>
        <v/>
      </c>
      <c r="B117" s="73"/>
      <c r="C117" s="73" t="str">
        <f>IFERROR(VLOOKUP($B117,'Hack Database'!$A:$J,2,FALSE),"")</f>
        <v/>
      </c>
      <c r="D117" s="73" t="str">
        <f>IFERROR(VLOOKUP($B117,'Hack Database'!$A:$J,3,FALSE),"")</f>
        <v/>
      </c>
      <c r="E117" s="79" t="str">
        <f>IFERROR(VLOOKUP($B117,'Hack Database'!$A:$J,4,FALSE),"")</f>
        <v/>
      </c>
      <c r="F117" s="73" t="str">
        <f>IFERROR(VLOOKUP($B117,'Hack Database'!$A:$J,5,FALSE),"")</f>
        <v/>
      </c>
      <c r="G117" s="73" t="str">
        <f>IFERROR(VLOOKUP($B117,'Hack Database'!$A:$J,6,FALSE),"")</f>
        <v/>
      </c>
      <c r="H117" s="80"/>
      <c r="I117" s="80"/>
      <c r="J117" s="73"/>
      <c r="K117" s="73" t="str">
        <f t="shared" si="1"/>
        <v/>
      </c>
      <c r="L117" s="79"/>
      <c r="M117" s="73"/>
      <c r="N117" s="73"/>
      <c r="O117" s="73"/>
      <c r="P117" s="87" t="str">
        <f>IFERROR(HYPERLINK(VLOOKUP($B117,'Online Database'!$A:$J,9,FALSE),"Open Page"),IFERROR(HYPERLINK(VLOOKUP($B117,'Manual Database'!$A:$J,9,FALSE),"Open Page"),""))</f>
        <v/>
      </c>
      <c r="Q117" s="87" t="str">
        <f>IFERROR(HYPERLINK(VLOOKUP($B117,'Online Database'!$A:$J,10,FALSE),"Download"),IFERROR(HYPERLINK(VLOOKUP($B117,'Manual Database'!$A:$J,10,FALSE),"Download"),""))</f>
        <v/>
      </c>
      <c r="R117" s="73"/>
    </row>
    <row r="118" spans="1:18" ht="22.05" customHeight="1">
      <c r="A118" s="77" t="str">
        <f>IF(C118="","",COUNTIF($C$2:C118,"&lt;&gt;"))</f>
        <v/>
      </c>
      <c r="B118" s="73"/>
      <c r="C118" s="73" t="str">
        <f>IFERROR(VLOOKUP($B118,'Hack Database'!$A:$J,2,FALSE),"")</f>
        <v/>
      </c>
      <c r="D118" s="73" t="str">
        <f>IFERROR(VLOOKUP($B118,'Hack Database'!$A:$J,3,FALSE),"")</f>
        <v/>
      </c>
      <c r="E118" s="79" t="str">
        <f>IFERROR(VLOOKUP($B118,'Hack Database'!$A:$J,4,FALSE),"")</f>
        <v/>
      </c>
      <c r="F118" s="73" t="str">
        <f>IFERROR(VLOOKUP($B118,'Hack Database'!$A:$J,5,FALSE),"")</f>
        <v/>
      </c>
      <c r="G118" s="73" t="str">
        <f>IFERROR(VLOOKUP($B118,'Hack Database'!$A:$J,6,FALSE),"")</f>
        <v/>
      </c>
      <c r="H118" s="80"/>
      <c r="I118" s="80"/>
      <c r="J118" s="73"/>
      <c r="K118" s="73" t="str">
        <f t="shared" si="1"/>
        <v/>
      </c>
      <c r="L118" s="79"/>
      <c r="M118" s="73"/>
      <c r="N118" s="73"/>
      <c r="O118" s="73"/>
      <c r="P118" s="87" t="str">
        <f>IFERROR(HYPERLINK(VLOOKUP($B118,'Online Database'!$A:$J,9,FALSE),"Open Page"),IFERROR(HYPERLINK(VLOOKUP($B118,'Manual Database'!$A:$J,9,FALSE),"Open Page"),""))</f>
        <v/>
      </c>
      <c r="Q118" s="87" t="str">
        <f>IFERROR(HYPERLINK(VLOOKUP($B118,'Online Database'!$A:$J,10,FALSE),"Download"),IFERROR(HYPERLINK(VLOOKUP($B118,'Manual Database'!$A:$J,10,FALSE),"Download"),""))</f>
        <v/>
      </c>
      <c r="R118" s="73"/>
    </row>
    <row r="119" spans="1:18" ht="22.05" customHeight="1">
      <c r="A119" s="77" t="str">
        <f>IF(C119="","",COUNTIF($C$2:C119,"&lt;&gt;"))</f>
        <v/>
      </c>
      <c r="B119" s="73"/>
      <c r="C119" s="73" t="str">
        <f>IFERROR(VLOOKUP($B119,'Hack Database'!$A:$J,2,FALSE),"")</f>
        <v/>
      </c>
      <c r="D119" s="73" t="str">
        <f>IFERROR(VLOOKUP($B119,'Hack Database'!$A:$J,3,FALSE),"")</f>
        <v/>
      </c>
      <c r="E119" s="79" t="str">
        <f>IFERROR(VLOOKUP($B119,'Hack Database'!$A:$J,4,FALSE),"")</f>
        <v/>
      </c>
      <c r="F119" s="73" t="str">
        <f>IFERROR(VLOOKUP($B119,'Hack Database'!$A:$J,5,FALSE),"")</f>
        <v/>
      </c>
      <c r="G119" s="73" t="str">
        <f>IFERROR(VLOOKUP($B119,'Hack Database'!$A:$J,6,FALSE),"")</f>
        <v/>
      </c>
      <c r="H119" s="80"/>
      <c r="I119" s="80"/>
      <c r="J119" s="73"/>
      <c r="K119" s="73" t="str">
        <f t="shared" si="1"/>
        <v/>
      </c>
      <c r="L119" s="79"/>
      <c r="M119" s="73"/>
      <c r="N119" s="73"/>
      <c r="O119" s="73"/>
      <c r="P119" s="87" t="str">
        <f>IFERROR(HYPERLINK(VLOOKUP($B119,'Online Database'!$A:$J,9,FALSE),"Open Page"),IFERROR(HYPERLINK(VLOOKUP($B119,'Manual Database'!$A:$J,9,FALSE),"Open Page"),""))</f>
        <v/>
      </c>
      <c r="Q119" s="87" t="str">
        <f>IFERROR(HYPERLINK(VLOOKUP($B119,'Online Database'!$A:$J,10,FALSE),"Download"),IFERROR(HYPERLINK(VLOOKUP($B119,'Manual Database'!$A:$J,10,FALSE),"Download"),""))</f>
        <v/>
      </c>
      <c r="R119" s="73"/>
    </row>
    <row r="120" spans="1:18" ht="22.05" customHeight="1">
      <c r="A120" s="77" t="str">
        <f>IF(C120="","",COUNTIF($C$2:C120,"&lt;&gt;"))</f>
        <v/>
      </c>
      <c r="B120" s="73"/>
      <c r="C120" s="73" t="str">
        <f>IFERROR(VLOOKUP($B120,'Hack Database'!$A:$J,2,FALSE),"")</f>
        <v/>
      </c>
      <c r="D120" s="73" t="str">
        <f>IFERROR(VLOOKUP($B120,'Hack Database'!$A:$J,3,FALSE),"")</f>
        <v/>
      </c>
      <c r="E120" s="79" t="str">
        <f>IFERROR(VLOOKUP($B120,'Hack Database'!$A:$J,4,FALSE),"")</f>
        <v/>
      </c>
      <c r="F120" s="73" t="str">
        <f>IFERROR(VLOOKUP($B120,'Hack Database'!$A:$J,5,FALSE),"")</f>
        <v/>
      </c>
      <c r="G120" s="73" t="str">
        <f>IFERROR(VLOOKUP($B120,'Hack Database'!$A:$J,6,FALSE),"")</f>
        <v/>
      </c>
      <c r="H120" s="80"/>
      <c r="I120" s="80"/>
      <c r="J120" s="73"/>
      <c r="K120" s="73" t="str">
        <f t="shared" si="1"/>
        <v/>
      </c>
      <c r="L120" s="79"/>
      <c r="M120" s="73"/>
      <c r="N120" s="73"/>
      <c r="O120" s="73"/>
      <c r="P120" s="87" t="str">
        <f>IFERROR(HYPERLINK(VLOOKUP($B120,'Online Database'!$A:$J,9,FALSE),"Open Page"),IFERROR(HYPERLINK(VLOOKUP($B120,'Manual Database'!$A:$J,9,FALSE),"Open Page"),""))</f>
        <v/>
      </c>
      <c r="Q120" s="87" t="str">
        <f>IFERROR(HYPERLINK(VLOOKUP($B120,'Online Database'!$A:$J,10,FALSE),"Download"),IFERROR(HYPERLINK(VLOOKUP($B120,'Manual Database'!$A:$J,10,FALSE),"Download"),""))</f>
        <v/>
      </c>
      <c r="R120" s="73"/>
    </row>
    <row r="121" spans="1:18" ht="22.05" customHeight="1">
      <c r="A121" s="77" t="str">
        <f>IF(C121="","",COUNTIF($C$2:C121,"&lt;&gt;"))</f>
        <v/>
      </c>
      <c r="B121" s="73"/>
      <c r="C121" s="73" t="str">
        <f>IFERROR(VLOOKUP($B121,'Hack Database'!$A:$J,2,FALSE),"")</f>
        <v/>
      </c>
      <c r="D121" s="73" t="str">
        <f>IFERROR(VLOOKUP($B121,'Hack Database'!$A:$J,3,FALSE),"")</f>
        <v/>
      </c>
      <c r="E121" s="79" t="str">
        <f>IFERROR(VLOOKUP($B121,'Hack Database'!$A:$J,4,FALSE),"")</f>
        <v/>
      </c>
      <c r="F121" s="73" t="str">
        <f>IFERROR(VLOOKUP($B121,'Hack Database'!$A:$J,5,FALSE),"")</f>
        <v/>
      </c>
      <c r="G121" s="73" t="str">
        <f>IFERROR(VLOOKUP($B121,'Hack Database'!$A:$J,6,FALSE),"")</f>
        <v/>
      </c>
      <c r="H121" s="80"/>
      <c r="I121" s="80"/>
      <c r="J121" s="73"/>
      <c r="K121" s="73" t="str">
        <f t="shared" si="1"/>
        <v/>
      </c>
      <c r="L121" s="79"/>
      <c r="M121" s="73"/>
      <c r="N121" s="73"/>
      <c r="O121" s="73"/>
      <c r="P121" s="87" t="str">
        <f>IFERROR(HYPERLINK(VLOOKUP($B121,'Online Database'!$A:$J,9,FALSE),"Open Page"),IFERROR(HYPERLINK(VLOOKUP($B121,'Manual Database'!$A:$J,9,FALSE),"Open Page"),""))</f>
        <v/>
      </c>
      <c r="Q121" s="87" t="str">
        <f>IFERROR(HYPERLINK(VLOOKUP($B121,'Online Database'!$A:$J,10,FALSE),"Download"),IFERROR(HYPERLINK(VLOOKUP($B121,'Manual Database'!$A:$J,10,FALSE),"Download"),""))</f>
        <v/>
      </c>
      <c r="R121" s="73"/>
    </row>
    <row r="122" spans="1:18" ht="22.05" customHeight="1">
      <c r="A122" s="77" t="str">
        <f>IF(C122="","",COUNTIF($C$2:C122,"&lt;&gt;"))</f>
        <v/>
      </c>
      <c r="B122" s="73"/>
      <c r="C122" s="73" t="str">
        <f>IFERROR(VLOOKUP($B122,'Hack Database'!$A:$J,2,FALSE),"")</f>
        <v/>
      </c>
      <c r="D122" s="73" t="str">
        <f>IFERROR(VLOOKUP($B122,'Hack Database'!$A:$J,3,FALSE),"")</f>
        <v/>
      </c>
      <c r="E122" s="79" t="str">
        <f>IFERROR(VLOOKUP($B122,'Hack Database'!$A:$J,4,FALSE),"")</f>
        <v/>
      </c>
      <c r="F122" s="73" t="str">
        <f>IFERROR(VLOOKUP($B122,'Hack Database'!$A:$J,5,FALSE),"")</f>
        <v/>
      </c>
      <c r="G122" s="73" t="str">
        <f>IFERROR(VLOOKUP($B122,'Hack Database'!$A:$J,6,FALSE),"")</f>
        <v/>
      </c>
      <c r="H122" s="80"/>
      <c r="I122" s="80"/>
      <c r="J122" s="73"/>
      <c r="K122" s="73" t="str">
        <f t="shared" si="1"/>
        <v/>
      </c>
      <c r="L122" s="79"/>
      <c r="M122" s="73"/>
      <c r="N122" s="73"/>
      <c r="O122" s="73"/>
      <c r="P122" s="87" t="str">
        <f>IFERROR(HYPERLINK(VLOOKUP($B122,'Online Database'!$A:$J,9,FALSE),"Open Page"),IFERROR(HYPERLINK(VLOOKUP($B122,'Manual Database'!$A:$J,9,FALSE),"Open Page"),""))</f>
        <v/>
      </c>
      <c r="Q122" s="87" t="str">
        <f>IFERROR(HYPERLINK(VLOOKUP($B122,'Online Database'!$A:$J,10,FALSE),"Download"),IFERROR(HYPERLINK(VLOOKUP($B122,'Manual Database'!$A:$J,10,FALSE),"Download"),""))</f>
        <v/>
      </c>
      <c r="R122" s="73"/>
    </row>
    <row r="123" spans="1:18" ht="22.05" customHeight="1">
      <c r="A123" s="77" t="str">
        <f>IF(C123="","",COUNTIF($C$2:C123,"&lt;&gt;"))</f>
        <v/>
      </c>
      <c r="B123" s="73"/>
      <c r="C123" s="73" t="str">
        <f>IFERROR(VLOOKUP($B123,'Hack Database'!$A:$J,2,FALSE),"")</f>
        <v/>
      </c>
      <c r="D123" s="73" t="str">
        <f>IFERROR(VLOOKUP($B123,'Hack Database'!$A:$J,3,FALSE),"")</f>
        <v/>
      </c>
      <c r="E123" s="79" t="str">
        <f>IFERROR(VLOOKUP($B123,'Hack Database'!$A:$J,4,FALSE),"")</f>
        <v/>
      </c>
      <c r="F123" s="73" t="str">
        <f>IFERROR(VLOOKUP($B123,'Hack Database'!$A:$J,5,FALSE),"")</f>
        <v/>
      </c>
      <c r="G123" s="73" t="str">
        <f>IFERROR(VLOOKUP($B123,'Hack Database'!$A:$J,6,FALSE),"")</f>
        <v/>
      </c>
      <c r="H123" s="80"/>
      <c r="I123" s="80"/>
      <c r="J123" s="73"/>
      <c r="K123" s="73" t="str">
        <f t="shared" si="1"/>
        <v/>
      </c>
      <c r="L123" s="79"/>
      <c r="M123" s="73"/>
      <c r="N123" s="73"/>
      <c r="O123" s="73"/>
      <c r="P123" s="87" t="str">
        <f>IFERROR(HYPERLINK(VLOOKUP($B123,'Online Database'!$A:$J,9,FALSE),"Open Page"),IFERROR(HYPERLINK(VLOOKUP($B123,'Manual Database'!$A:$J,9,FALSE),"Open Page"),""))</f>
        <v/>
      </c>
      <c r="Q123" s="87" t="str">
        <f>IFERROR(HYPERLINK(VLOOKUP($B123,'Online Database'!$A:$J,10,FALSE),"Download"),IFERROR(HYPERLINK(VLOOKUP($B123,'Manual Database'!$A:$J,10,FALSE),"Download"),""))</f>
        <v/>
      </c>
      <c r="R123" s="73"/>
    </row>
    <row r="124" spans="1:18" ht="22.05" customHeight="1">
      <c r="A124" s="77" t="str">
        <f>IF(C124="","",COUNTIF($C$2:C124,"&lt;&gt;"))</f>
        <v/>
      </c>
      <c r="B124" s="73"/>
      <c r="C124" s="73" t="str">
        <f>IFERROR(VLOOKUP($B124,'Hack Database'!$A:$J,2,FALSE),"")</f>
        <v/>
      </c>
      <c r="D124" s="73" t="str">
        <f>IFERROR(VLOOKUP($B124,'Hack Database'!$A:$J,3,FALSE),"")</f>
        <v/>
      </c>
      <c r="E124" s="79" t="str">
        <f>IFERROR(VLOOKUP($B124,'Hack Database'!$A:$J,4,FALSE),"")</f>
        <v/>
      </c>
      <c r="F124" s="73" t="str">
        <f>IFERROR(VLOOKUP($B124,'Hack Database'!$A:$J,5,FALSE),"")</f>
        <v/>
      </c>
      <c r="G124" s="73" t="str">
        <f>IFERROR(VLOOKUP($B124,'Hack Database'!$A:$J,6,FALSE),"")</f>
        <v/>
      </c>
      <c r="H124" s="80"/>
      <c r="I124" s="80"/>
      <c r="J124" s="73"/>
      <c r="K124" s="73" t="str">
        <f t="shared" si="1"/>
        <v/>
      </c>
      <c r="L124" s="79"/>
      <c r="M124" s="73"/>
      <c r="N124" s="73"/>
      <c r="O124" s="73"/>
      <c r="P124" s="87" t="str">
        <f>IFERROR(HYPERLINK(VLOOKUP($B124,'Online Database'!$A:$J,9,FALSE),"Open Page"),IFERROR(HYPERLINK(VLOOKUP($B124,'Manual Database'!$A:$J,9,FALSE),"Open Page"),""))</f>
        <v/>
      </c>
      <c r="Q124" s="87" t="str">
        <f>IFERROR(HYPERLINK(VLOOKUP($B124,'Online Database'!$A:$J,10,FALSE),"Download"),IFERROR(HYPERLINK(VLOOKUP($B124,'Manual Database'!$A:$J,10,FALSE),"Download"),""))</f>
        <v/>
      </c>
      <c r="R124" s="73"/>
    </row>
    <row r="125" spans="1:18" ht="22.05" customHeight="1">
      <c r="A125" s="77" t="str">
        <f>IF(C125="","",COUNTIF($C$2:C125,"&lt;&gt;"))</f>
        <v/>
      </c>
      <c r="B125" s="73"/>
      <c r="C125" s="73" t="str">
        <f>IFERROR(VLOOKUP($B125,'Hack Database'!$A:$J,2,FALSE),"")</f>
        <v/>
      </c>
      <c r="D125" s="73" t="str">
        <f>IFERROR(VLOOKUP($B125,'Hack Database'!$A:$J,3,FALSE),"")</f>
        <v/>
      </c>
      <c r="E125" s="79" t="str">
        <f>IFERROR(VLOOKUP($B125,'Hack Database'!$A:$J,4,FALSE),"")</f>
        <v/>
      </c>
      <c r="F125" s="73" t="str">
        <f>IFERROR(VLOOKUP($B125,'Hack Database'!$A:$J,5,FALSE),"")</f>
        <v/>
      </c>
      <c r="G125" s="73" t="str">
        <f>IFERROR(VLOOKUP($B125,'Hack Database'!$A:$J,6,FALSE),"")</f>
        <v/>
      </c>
      <c r="H125" s="80"/>
      <c r="I125" s="80"/>
      <c r="J125" s="73"/>
      <c r="K125" s="73" t="str">
        <f t="shared" si="1"/>
        <v/>
      </c>
      <c r="L125" s="79"/>
      <c r="M125" s="73"/>
      <c r="N125" s="73"/>
      <c r="O125" s="73"/>
      <c r="P125" s="87" t="str">
        <f>IFERROR(HYPERLINK(VLOOKUP($B125,'Online Database'!$A:$J,9,FALSE),"Open Page"),IFERROR(HYPERLINK(VLOOKUP($B125,'Manual Database'!$A:$J,9,FALSE),"Open Page"),""))</f>
        <v/>
      </c>
      <c r="Q125" s="87" t="str">
        <f>IFERROR(HYPERLINK(VLOOKUP($B125,'Online Database'!$A:$J,10,FALSE),"Download"),IFERROR(HYPERLINK(VLOOKUP($B125,'Manual Database'!$A:$J,10,FALSE),"Download"),""))</f>
        <v/>
      </c>
      <c r="R125" s="73"/>
    </row>
    <row r="126" spans="1:18" ht="22.05" customHeight="1">
      <c r="A126" s="77" t="str">
        <f>IF(C126="","",COUNTIF($C$2:C126,"&lt;&gt;"))</f>
        <v/>
      </c>
      <c r="B126" s="73"/>
      <c r="C126" s="73" t="str">
        <f>IFERROR(VLOOKUP($B126,'Hack Database'!$A:$J,2,FALSE),"")</f>
        <v/>
      </c>
      <c r="D126" s="73" t="str">
        <f>IFERROR(VLOOKUP($B126,'Hack Database'!$A:$J,3,FALSE),"")</f>
        <v/>
      </c>
      <c r="E126" s="79" t="str">
        <f>IFERROR(VLOOKUP($B126,'Hack Database'!$A:$J,4,FALSE),"")</f>
        <v/>
      </c>
      <c r="F126" s="73" t="str">
        <f>IFERROR(VLOOKUP($B126,'Hack Database'!$A:$J,5,FALSE),"")</f>
        <v/>
      </c>
      <c r="G126" s="73" t="str">
        <f>IFERROR(VLOOKUP($B126,'Hack Database'!$A:$J,6,FALSE),"")</f>
        <v/>
      </c>
      <c r="H126" s="80"/>
      <c r="I126" s="80"/>
      <c r="J126" s="73"/>
      <c r="K126" s="73" t="str">
        <f t="shared" si="1"/>
        <v/>
      </c>
      <c r="L126" s="79"/>
      <c r="M126" s="73"/>
      <c r="N126" s="73"/>
      <c r="O126" s="73"/>
      <c r="P126" s="87" t="str">
        <f>IFERROR(HYPERLINK(VLOOKUP($B126,'Online Database'!$A:$J,9,FALSE),"Open Page"),IFERROR(HYPERLINK(VLOOKUP($B126,'Manual Database'!$A:$J,9,FALSE),"Open Page"),""))</f>
        <v/>
      </c>
      <c r="Q126" s="87" t="str">
        <f>IFERROR(HYPERLINK(VLOOKUP($B126,'Online Database'!$A:$J,10,FALSE),"Download"),IFERROR(HYPERLINK(VLOOKUP($B126,'Manual Database'!$A:$J,10,FALSE),"Download"),""))</f>
        <v/>
      </c>
      <c r="R126" s="73"/>
    </row>
    <row r="127" spans="1:18" ht="22.05" customHeight="1">
      <c r="A127" s="77" t="str">
        <f>IF(C127="","",COUNTIF($C$2:C127,"&lt;&gt;"))</f>
        <v/>
      </c>
      <c r="B127" s="73"/>
      <c r="C127" s="73" t="str">
        <f>IFERROR(VLOOKUP($B127,'Hack Database'!$A:$J,2,FALSE),"")</f>
        <v/>
      </c>
      <c r="D127" s="73" t="str">
        <f>IFERROR(VLOOKUP($B127,'Hack Database'!$A:$J,3,FALSE),"")</f>
        <v/>
      </c>
      <c r="E127" s="79" t="str">
        <f>IFERROR(VLOOKUP($B127,'Hack Database'!$A:$J,4,FALSE),"")</f>
        <v/>
      </c>
      <c r="F127" s="73" t="str">
        <f>IFERROR(VLOOKUP($B127,'Hack Database'!$A:$J,5,FALSE),"")</f>
        <v/>
      </c>
      <c r="G127" s="73" t="str">
        <f>IFERROR(VLOOKUP($B127,'Hack Database'!$A:$J,6,FALSE),"")</f>
        <v/>
      </c>
      <c r="H127" s="80"/>
      <c r="I127" s="80"/>
      <c r="J127" s="73"/>
      <c r="K127" s="73" t="str">
        <f t="shared" si="1"/>
        <v/>
      </c>
      <c r="L127" s="79"/>
      <c r="M127" s="73"/>
      <c r="N127" s="73"/>
      <c r="O127" s="73"/>
      <c r="P127" s="87" t="str">
        <f>IFERROR(HYPERLINK(VLOOKUP($B127,'Online Database'!$A:$J,9,FALSE),"Open Page"),IFERROR(HYPERLINK(VLOOKUP($B127,'Manual Database'!$A:$J,9,FALSE),"Open Page"),""))</f>
        <v/>
      </c>
      <c r="Q127" s="87" t="str">
        <f>IFERROR(HYPERLINK(VLOOKUP($B127,'Online Database'!$A:$J,10,FALSE),"Download"),IFERROR(HYPERLINK(VLOOKUP($B127,'Manual Database'!$A:$J,10,FALSE),"Download"),""))</f>
        <v/>
      </c>
      <c r="R127" s="73"/>
    </row>
    <row r="128" spans="1:18" ht="22.05" customHeight="1">
      <c r="A128" s="77" t="str">
        <f>IF(C128="","",COUNTIF($C$2:C128,"&lt;&gt;"))</f>
        <v/>
      </c>
      <c r="B128" s="73"/>
      <c r="C128" s="73" t="str">
        <f>IFERROR(VLOOKUP($B128,'Hack Database'!$A:$J,2,FALSE),"")</f>
        <v/>
      </c>
      <c r="D128" s="73" t="str">
        <f>IFERROR(VLOOKUP($B128,'Hack Database'!$A:$J,3,FALSE),"")</f>
        <v/>
      </c>
      <c r="E128" s="79" t="str">
        <f>IFERROR(VLOOKUP($B128,'Hack Database'!$A:$J,4,FALSE),"")</f>
        <v/>
      </c>
      <c r="F128" s="73" t="str">
        <f>IFERROR(VLOOKUP($B128,'Hack Database'!$A:$J,5,FALSE),"")</f>
        <v/>
      </c>
      <c r="G128" s="73" t="str">
        <f>IFERROR(VLOOKUP($B128,'Hack Database'!$A:$J,6,FALSE),"")</f>
        <v/>
      </c>
      <c r="H128" s="80"/>
      <c r="I128" s="80"/>
      <c r="J128" s="73"/>
      <c r="K128" s="73" t="str">
        <f t="shared" si="1"/>
        <v/>
      </c>
      <c r="L128" s="79"/>
      <c r="M128" s="73"/>
      <c r="N128" s="73"/>
      <c r="O128" s="73"/>
      <c r="P128" s="87" t="str">
        <f>IFERROR(HYPERLINK(VLOOKUP($B128,'Online Database'!$A:$J,9,FALSE),"Open Page"),IFERROR(HYPERLINK(VLOOKUP($B128,'Manual Database'!$A:$J,9,FALSE),"Open Page"),""))</f>
        <v/>
      </c>
      <c r="Q128" s="87" t="str">
        <f>IFERROR(HYPERLINK(VLOOKUP($B128,'Online Database'!$A:$J,10,FALSE),"Download"),IFERROR(HYPERLINK(VLOOKUP($B128,'Manual Database'!$A:$J,10,FALSE),"Download"),""))</f>
        <v/>
      </c>
      <c r="R128" s="73"/>
    </row>
    <row r="129" spans="1:18" ht="22.05" customHeight="1">
      <c r="A129" s="77" t="str">
        <f>IF(C129="","",COUNTIF($C$2:C129,"&lt;&gt;"))</f>
        <v/>
      </c>
      <c r="B129" s="73"/>
      <c r="C129" s="73" t="str">
        <f>IFERROR(VLOOKUP($B129,'Hack Database'!$A:$J,2,FALSE),"")</f>
        <v/>
      </c>
      <c r="D129" s="73" t="str">
        <f>IFERROR(VLOOKUP($B129,'Hack Database'!$A:$J,3,FALSE),"")</f>
        <v/>
      </c>
      <c r="E129" s="79" t="str">
        <f>IFERROR(VLOOKUP($B129,'Hack Database'!$A:$J,4,FALSE),"")</f>
        <v/>
      </c>
      <c r="F129" s="73" t="str">
        <f>IFERROR(VLOOKUP($B129,'Hack Database'!$A:$J,5,FALSE),"")</f>
        <v/>
      </c>
      <c r="G129" s="73" t="str">
        <f>IFERROR(VLOOKUP($B129,'Hack Database'!$A:$J,6,FALSE),"")</f>
        <v/>
      </c>
      <c r="H129" s="80"/>
      <c r="I129" s="80"/>
      <c r="J129" s="73"/>
      <c r="K129" s="73" t="str">
        <f t="shared" si="1"/>
        <v/>
      </c>
      <c r="L129" s="79"/>
      <c r="M129" s="73"/>
      <c r="N129" s="73"/>
      <c r="O129" s="73"/>
      <c r="P129" s="87" t="str">
        <f>IFERROR(HYPERLINK(VLOOKUP($B129,'Online Database'!$A:$J,9,FALSE),"Open Page"),IFERROR(HYPERLINK(VLOOKUP($B129,'Manual Database'!$A:$J,9,FALSE),"Open Page"),""))</f>
        <v/>
      </c>
      <c r="Q129" s="87" t="str">
        <f>IFERROR(HYPERLINK(VLOOKUP($B129,'Online Database'!$A:$J,10,FALSE),"Download"),IFERROR(HYPERLINK(VLOOKUP($B129,'Manual Database'!$A:$J,10,FALSE),"Download"),""))</f>
        <v/>
      </c>
      <c r="R129" s="73"/>
    </row>
    <row r="130" spans="1:18" ht="22.05" customHeight="1">
      <c r="A130" s="77" t="str">
        <f>IF(C130="","",COUNTIF($C$2:C130,"&lt;&gt;"))</f>
        <v/>
      </c>
      <c r="B130" s="73"/>
      <c r="C130" s="73" t="str">
        <f>IFERROR(VLOOKUP($B130,'Hack Database'!$A:$J,2,FALSE),"")</f>
        <v/>
      </c>
      <c r="D130" s="73" t="str">
        <f>IFERROR(VLOOKUP($B130,'Hack Database'!$A:$J,3,FALSE),"")</f>
        <v/>
      </c>
      <c r="E130" s="79" t="str">
        <f>IFERROR(VLOOKUP($B130,'Hack Database'!$A:$J,4,FALSE),"")</f>
        <v/>
      </c>
      <c r="F130" s="73" t="str">
        <f>IFERROR(VLOOKUP($B130,'Hack Database'!$A:$J,5,FALSE),"")</f>
        <v/>
      </c>
      <c r="G130" s="73" t="str">
        <f>IFERROR(VLOOKUP($B130,'Hack Database'!$A:$J,6,FALSE),"")</f>
        <v/>
      </c>
      <c r="H130" s="80"/>
      <c r="I130" s="80"/>
      <c r="J130" s="73"/>
      <c r="K130" s="73" t="str">
        <f t="shared" ref="K130:K193" si="2">IF($B130="","",IF($J130="Yes","100% Complete",IF($H130="","Planned",IF($I130="","In Progress","Finished"))))</f>
        <v/>
      </c>
      <c r="L130" s="79"/>
      <c r="M130" s="73"/>
      <c r="N130" s="73"/>
      <c r="O130" s="73"/>
      <c r="P130" s="87" t="str">
        <f>IFERROR(HYPERLINK(VLOOKUP($B130,'Online Database'!$A:$J,9,FALSE),"Open Page"),IFERROR(HYPERLINK(VLOOKUP($B130,'Manual Database'!$A:$J,9,FALSE),"Open Page"),""))</f>
        <v/>
      </c>
      <c r="Q130" s="87" t="str">
        <f>IFERROR(HYPERLINK(VLOOKUP($B130,'Online Database'!$A:$J,10,FALSE),"Download"),IFERROR(HYPERLINK(VLOOKUP($B130,'Manual Database'!$A:$J,10,FALSE),"Download"),""))</f>
        <v/>
      </c>
      <c r="R130" s="73"/>
    </row>
    <row r="131" spans="1:18" ht="22.05" customHeight="1">
      <c r="A131" s="77" t="str">
        <f>IF(C131="","",COUNTIF($C$2:C131,"&lt;&gt;"))</f>
        <v/>
      </c>
      <c r="B131" s="73"/>
      <c r="C131" s="73" t="str">
        <f>IFERROR(VLOOKUP($B131,'Hack Database'!$A:$J,2,FALSE),"")</f>
        <v/>
      </c>
      <c r="D131" s="73" t="str">
        <f>IFERROR(VLOOKUP($B131,'Hack Database'!$A:$J,3,FALSE),"")</f>
        <v/>
      </c>
      <c r="E131" s="79" t="str">
        <f>IFERROR(VLOOKUP($B131,'Hack Database'!$A:$J,4,FALSE),"")</f>
        <v/>
      </c>
      <c r="F131" s="73" t="str">
        <f>IFERROR(VLOOKUP($B131,'Hack Database'!$A:$J,5,FALSE),"")</f>
        <v/>
      </c>
      <c r="G131" s="73" t="str">
        <f>IFERROR(VLOOKUP($B131,'Hack Database'!$A:$J,6,FALSE),"")</f>
        <v/>
      </c>
      <c r="H131" s="80"/>
      <c r="I131" s="80"/>
      <c r="J131" s="73"/>
      <c r="K131" s="73" t="str">
        <f t="shared" si="2"/>
        <v/>
      </c>
      <c r="L131" s="79"/>
      <c r="M131" s="73"/>
      <c r="N131" s="73"/>
      <c r="O131" s="73"/>
      <c r="P131" s="87" t="str">
        <f>IFERROR(HYPERLINK(VLOOKUP($B131,'Online Database'!$A:$J,9,FALSE),"Open Page"),IFERROR(HYPERLINK(VLOOKUP($B131,'Manual Database'!$A:$J,9,FALSE),"Open Page"),""))</f>
        <v/>
      </c>
      <c r="Q131" s="87" t="str">
        <f>IFERROR(HYPERLINK(VLOOKUP($B131,'Online Database'!$A:$J,10,FALSE),"Download"),IFERROR(HYPERLINK(VLOOKUP($B131,'Manual Database'!$A:$J,10,FALSE),"Download"),""))</f>
        <v/>
      </c>
      <c r="R131" s="73"/>
    </row>
    <row r="132" spans="1:18" ht="22.05" customHeight="1">
      <c r="A132" s="77" t="str">
        <f>IF(C132="","",COUNTIF($C$2:C132,"&lt;&gt;"))</f>
        <v/>
      </c>
      <c r="B132" s="73"/>
      <c r="C132" s="73" t="str">
        <f>IFERROR(VLOOKUP($B132,'Hack Database'!$A:$J,2,FALSE),"")</f>
        <v/>
      </c>
      <c r="D132" s="73" t="str">
        <f>IFERROR(VLOOKUP($B132,'Hack Database'!$A:$J,3,FALSE),"")</f>
        <v/>
      </c>
      <c r="E132" s="79" t="str">
        <f>IFERROR(VLOOKUP($B132,'Hack Database'!$A:$J,4,FALSE),"")</f>
        <v/>
      </c>
      <c r="F132" s="73" t="str">
        <f>IFERROR(VLOOKUP($B132,'Hack Database'!$A:$J,5,FALSE),"")</f>
        <v/>
      </c>
      <c r="G132" s="73" t="str">
        <f>IFERROR(VLOOKUP($B132,'Hack Database'!$A:$J,6,FALSE),"")</f>
        <v/>
      </c>
      <c r="H132" s="80"/>
      <c r="I132" s="80"/>
      <c r="J132" s="73"/>
      <c r="K132" s="73" t="str">
        <f t="shared" si="2"/>
        <v/>
      </c>
      <c r="L132" s="79"/>
      <c r="M132" s="73"/>
      <c r="N132" s="73"/>
      <c r="O132" s="73"/>
      <c r="P132" s="87" t="str">
        <f>IFERROR(HYPERLINK(VLOOKUP($B132,'Online Database'!$A:$J,9,FALSE),"Open Page"),IFERROR(HYPERLINK(VLOOKUP($B132,'Manual Database'!$A:$J,9,FALSE),"Open Page"),""))</f>
        <v/>
      </c>
      <c r="Q132" s="87" t="str">
        <f>IFERROR(HYPERLINK(VLOOKUP($B132,'Online Database'!$A:$J,10,FALSE),"Download"),IFERROR(HYPERLINK(VLOOKUP($B132,'Manual Database'!$A:$J,10,FALSE),"Download"),""))</f>
        <v/>
      </c>
      <c r="R132" s="73"/>
    </row>
    <row r="133" spans="1:18" ht="22.05" customHeight="1">
      <c r="A133" s="77" t="str">
        <f>IF(C133="","",COUNTIF($C$2:C133,"&lt;&gt;"))</f>
        <v/>
      </c>
      <c r="B133" s="73"/>
      <c r="C133" s="73" t="str">
        <f>IFERROR(VLOOKUP($B133,'Hack Database'!$A:$J,2,FALSE),"")</f>
        <v/>
      </c>
      <c r="D133" s="73" t="str">
        <f>IFERROR(VLOOKUP($B133,'Hack Database'!$A:$J,3,FALSE),"")</f>
        <v/>
      </c>
      <c r="E133" s="79" t="str">
        <f>IFERROR(VLOOKUP($B133,'Hack Database'!$A:$J,4,FALSE),"")</f>
        <v/>
      </c>
      <c r="F133" s="73" t="str">
        <f>IFERROR(VLOOKUP($B133,'Hack Database'!$A:$J,5,FALSE),"")</f>
        <v/>
      </c>
      <c r="G133" s="73" t="str">
        <f>IFERROR(VLOOKUP($B133,'Hack Database'!$A:$J,6,FALSE),"")</f>
        <v/>
      </c>
      <c r="H133" s="80"/>
      <c r="I133" s="80"/>
      <c r="J133" s="73"/>
      <c r="K133" s="73" t="str">
        <f t="shared" si="2"/>
        <v/>
      </c>
      <c r="L133" s="79"/>
      <c r="M133" s="73"/>
      <c r="N133" s="73"/>
      <c r="O133" s="73"/>
      <c r="P133" s="87" t="str">
        <f>IFERROR(HYPERLINK(VLOOKUP($B133,'Online Database'!$A:$J,9,FALSE),"Open Page"),IFERROR(HYPERLINK(VLOOKUP($B133,'Manual Database'!$A:$J,9,FALSE),"Open Page"),""))</f>
        <v/>
      </c>
      <c r="Q133" s="87" t="str">
        <f>IFERROR(HYPERLINK(VLOOKUP($B133,'Online Database'!$A:$J,10,FALSE),"Download"),IFERROR(HYPERLINK(VLOOKUP($B133,'Manual Database'!$A:$J,10,FALSE),"Download"),""))</f>
        <v/>
      </c>
      <c r="R133" s="73"/>
    </row>
    <row r="134" spans="1:18" ht="22.05" customHeight="1">
      <c r="A134" s="77" t="str">
        <f>IF(C134="","",COUNTIF($C$2:C134,"&lt;&gt;"))</f>
        <v/>
      </c>
      <c r="B134" s="73"/>
      <c r="C134" s="73" t="str">
        <f>IFERROR(VLOOKUP($B134,'Hack Database'!$A:$J,2,FALSE),"")</f>
        <v/>
      </c>
      <c r="D134" s="73" t="str">
        <f>IFERROR(VLOOKUP($B134,'Hack Database'!$A:$J,3,FALSE),"")</f>
        <v/>
      </c>
      <c r="E134" s="79" t="str">
        <f>IFERROR(VLOOKUP($B134,'Hack Database'!$A:$J,4,FALSE),"")</f>
        <v/>
      </c>
      <c r="F134" s="73" t="str">
        <f>IFERROR(VLOOKUP($B134,'Hack Database'!$A:$J,5,FALSE),"")</f>
        <v/>
      </c>
      <c r="G134" s="73" t="str">
        <f>IFERROR(VLOOKUP($B134,'Hack Database'!$A:$J,6,FALSE),"")</f>
        <v/>
      </c>
      <c r="H134" s="80"/>
      <c r="I134" s="80"/>
      <c r="J134" s="73"/>
      <c r="K134" s="73" t="str">
        <f t="shared" si="2"/>
        <v/>
      </c>
      <c r="L134" s="79"/>
      <c r="M134" s="73"/>
      <c r="N134" s="73"/>
      <c r="O134" s="73"/>
      <c r="P134" s="87" t="str">
        <f>IFERROR(HYPERLINK(VLOOKUP($B134,'Online Database'!$A:$J,9,FALSE),"Open Page"),IFERROR(HYPERLINK(VLOOKUP($B134,'Manual Database'!$A:$J,9,FALSE),"Open Page"),""))</f>
        <v/>
      </c>
      <c r="Q134" s="87" t="str">
        <f>IFERROR(HYPERLINK(VLOOKUP($B134,'Online Database'!$A:$J,10,FALSE),"Download"),IFERROR(HYPERLINK(VLOOKUP($B134,'Manual Database'!$A:$J,10,FALSE),"Download"),""))</f>
        <v/>
      </c>
      <c r="R134" s="73"/>
    </row>
    <row r="135" spans="1:18" ht="22.05" customHeight="1">
      <c r="A135" s="77" t="str">
        <f>IF(C135="","",COUNTIF($C$2:C135,"&lt;&gt;"))</f>
        <v/>
      </c>
      <c r="B135" s="73"/>
      <c r="C135" s="73" t="str">
        <f>IFERROR(VLOOKUP($B135,'Hack Database'!$A:$J,2,FALSE),"")</f>
        <v/>
      </c>
      <c r="D135" s="73" t="str">
        <f>IFERROR(VLOOKUP($B135,'Hack Database'!$A:$J,3,FALSE),"")</f>
        <v/>
      </c>
      <c r="E135" s="79" t="str">
        <f>IFERROR(VLOOKUP($B135,'Hack Database'!$A:$J,4,FALSE),"")</f>
        <v/>
      </c>
      <c r="F135" s="73" t="str">
        <f>IFERROR(VLOOKUP($B135,'Hack Database'!$A:$J,5,FALSE),"")</f>
        <v/>
      </c>
      <c r="G135" s="73" t="str">
        <f>IFERROR(VLOOKUP($B135,'Hack Database'!$A:$J,6,FALSE),"")</f>
        <v/>
      </c>
      <c r="H135" s="80"/>
      <c r="I135" s="80"/>
      <c r="J135" s="73"/>
      <c r="K135" s="73" t="str">
        <f t="shared" si="2"/>
        <v/>
      </c>
      <c r="L135" s="79"/>
      <c r="M135" s="73"/>
      <c r="N135" s="73"/>
      <c r="O135" s="73"/>
      <c r="P135" s="87" t="str">
        <f>IFERROR(HYPERLINK(VLOOKUP($B135,'Online Database'!$A:$J,9,FALSE),"Open Page"),IFERROR(HYPERLINK(VLOOKUP($B135,'Manual Database'!$A:$J,9,FALSE),"Open Page"),""))</f>
        <v/>
      </c>
      <c r="Q135" s="87" t="str">
        <f>IFERROR(HYPERLINK(VLOOKUP($B135,'Online Database'!$A:$J,10,FALSE),"Download"),IFERROR(HYPERLINK(VLOOKUP($B135,'Manual Database'!$A:$J,10,FALSE),"Download"),""))</f>
        <v/>
      </c>
      <c r="R135" s="73"/>
    </row>
    <row r="136" spans="1:18" ht="22.05" customHeight="1">
      <c r="A136" s="77" t="str">
        <f>IF(C136="","",COUNTIF($C$2:C136,"&lt;&gt;"))</f>
        <v/>
      </c>
      <c r="B136" s="73"/>
      <c r="C136" s="73" t="str">
        <f>IFERROR(VLOOKUP($B136,'Hack Database'!$A:$J,2,FALSE),"")</f>
        <v/>
      </c>
      <c r="D136" s="73" t="str">
        <f>IFERROR(VLOOKUP($B136,'Hack Database'!$A:$J,3,FALSE),"")</f>
        <v/>
      </c>
      <c r="E136" s="79" t="str">
        <f>IFERROR(VLOOKUP($B136,'Hack Database'!$A:$J,4,FALSE),"")</f>
        <v/>
      </c>
      <c r="F136" s="73" t="str">
        <f>IFERROR(VLOOKUP($B136,'Hack Database'!$A:$J,5,FALSE),"")</f>
        <v/>
      </c>
      <c r="G136" s="73" t="str">
        <f>IFERROR(VLOOKUP($B136,'Hack Database'!$A:$J,6,FALSE),"")</f>
        <v/>
      </c>
      <c r="H136" s="80"/>
      <c r="I136" s="80"/>
      <c r="J136" s="73"/>
      <c r="K136" s="73" t="str">
        <f t="shared" si="2"/>
        <v/>
      </c>
      <c r="L136" s="79"/>
      <c r="M136" s="73"/>
      <c r="N136" s="73"/>
      <c r="O136" s="73"/>
      <c r="P136" s="87" t="str">
        <f>IFERROR(HYPERLINK(VLOOKUP($B136,'Online Database'!$A:$J,9,FALSE),"Open Page"),IFERROR(HYPERLINK(VLOOKUP($B136,'Manual Database'!$A:$J,9,FALSE),"Open Page"),""))</f>
        <v/>
      </c>
      <c r="Q136" s="87" t="str">
        <f>IFERROR(HYPERLINK(VLOOKUP($B136,'Online Database'!$A:$J,10,FALSE),"Download"),IFERROR(HYPERLINK(VLOOKUP($B136,'Manual Database'!$A:$J,10,FALSE),"Download"),""))</f>
        <v/>
      </c>
      <c r="R136" s="73"/>
    </row>
    <row r="137" spans="1:18" ht="22.05" customHeight="1">
      <c r="A137" s="77" t="str">
        <f>IF(C137="","",COUNTIF($C$2:C137,"&lt;&gt;"))</f>
        <v/>
      </c>
      <c r="B137" s="73"/>
      <c r="C137" s="73" t="str">
        <f>IFERROR(VLOOKUP($B137,'Hack Database'!$A:$J,2,FALSE),"")</f>
        <v/>
      </c>
      <c r="D137" s="73" t="str">
        <f>IFERROR(VLOOKUP($B137,'Hack Database'!$A:$J,3,FALSE),"")</f>
        <v/>
      </c>
      <c r="E137" s="79" t="str">
        <f>IFERROR(VLOOKUP($B137,'Hack Database'!$A:$J,4,FALSE),"")</f>
        <v/>
      </c>
      <c r="F137" s="73" t="str">
        <f>IFERROR(VLOOKUP($B137,'Hack Database'!$A:$J,5,FALSE),"")</f>
        <v/>
      </c>
      <c r="G137" s="73" t="str">
        <f>IFERROR(VLOOKUP($B137,'Hack Database'!$A:$J,6,FALSE),"")</f>
        <v/>
      </c>
      <c r="H137" s="80"/>
      <c r="I137" s="80"/>
      <c r="J137" s="73"/>
      <c r="K137" s="73" t="str">
        <f t="shared" si="2"/>
        <v/>
      </c>
      <c r="L137" s="79"/>
      <c r="M137" s="73"/>
      <c r="N137" s="73"/>
      <c r="O137" s="73"/>
      <c r="P137" s="87" t="str">
        <f>IFERROR(HYPERLINK(VLOOKUP($B137,'Online Database'!$A:$J,9,FALSE),"Open Page"),IFERROR(HYPERLINK(VLOOKUP($B137,'Manual Database'!$A:$J,9,FALSE),"Open Page"),""))</f>
        <v/>
      </c>
      <c r="Q137" s="87" t="str">
        <f>IFERROR(HYPERLINK(VLOOKUP($B137,'Online Database'!$A:$J,10,FALSE),"Download"),IFERROR(HYPERLINK(VLOOKUP($B137,'Manual Database'!$A:$J,10,FALSE),"Download"),""))</f>
        <v/>
      </c>
      <c r="R137" s="73"/>
    </row>
    <row r="138" spans="1:18" ht="22.05" customHeight="1">
      <c r="A138" s="77" t="str">
        <f>IF(C138="","",COUNTIF($C$2:C138,"&lt;&gt;"))</f>
        <v/>
      </c>
      <c r="B138" s="73"/>
      <c r="C138" s="73" t="str">
        <f>IFERROR(VLOOKUP($B138,'Hack Database'!$A:$J,2,FALSE),"")</f>
        <v/>
      </c>
      <c r="D138" s="73" t="str">
        <f>IFERROR(VLOOKUP($B138,'Hack Database'!$A:$J,3,FALSE),"")</f>
        <v/>
      </c>
      <c r="E138" s="79" t="str">
        <f>IFERROR(VLOOKUP($B138,'Hack Database'!$A:$J,4,FALSE),"")</f>
        <v/>
      </c>
      <c r="F138" s="73" t="str">
        <f>IFERROR(VLOOKUP($B138,'Hack Database'!$A:$J,5,FALSE),"")</f>
        <v/>
      </c>
      <c r="G138" s="73" t="str">
        <f>IFERROR(VLOOKUP($B138,'Hack Database'!$A:$J,6,FALSE),"")</f>
        <v/>
      </c>
      <c r="H138" s="80"/>
      <c r="I138" s="80"/>
      <c r="J138" s="73"/>
      <c r="K138" s="73" t="str">
        <f t="shared" si="2"/>
        <v/>
      </c>
      <c r="L138" s="79"/>
      <c r="M138" s="73"/>
      <c r="N138" s="73"/>
      <c r="O138" s="73"/>
      <c r="P138" s="87" t="str">
        <f>IFERROR(HYPERLINK(VLOOKUP($B138,'Online Database'!$A:$J,9,FALSE),"Open Page"),IFERROR(HYPERLINK(VLOOKUP($B138,'Manual Database'!$A:$J,9,FALSE),"Open Page"),""))</f>
        <v/>
      </c>
      <c r="Q138" s="87" t="str">
        <f>IFERROR(HYPERLINK(VLOOKUP($B138,'Online Database'!$A:$J,10,FALSE),"Download"),IFERROR(HYPERLINK(VLOOKUP($B138,'Manual Database'!$A:$J,10,FALSE),"Download"),""))</f>
        <v/>
      </c>
      <c r="R138" s="73"/>
    </row>
    <row r="139" spans="1:18" ht="22.05" customHeight="1">
      <c r="A139" s="77" t="str">
        <f>IF(C139="","",COUNTIF($C$2:C139,"&lt;&gt;"))</f>
        <v/>
      </c>
      <c r="B139" s="73"/>
      <c r="C139" s="73" t="str">
        <f>IFERROR(VLOOKUP($B139,'Hack Database'!$A:$J,2,FALSE),"")</f>
        <v/>
      </c>
      <c r="D139" s="73" t="str">
        <f>IFERROR(VLOOKUP($B139,'Hack Database'!$A:$J,3,FALSE),"")</f>
        <v/>
      </c>
      <c r="E139" s="79" t="str">
        <f>IFERROR(VLOOKUP($B139,'Hack Database'!$A:$J,4,FALSE),"")</f>
        <v/>
      </c>
      <c r="F139" s="73" t="str">
        <f>IFERROR(VLOOKUP($B139,'Hack Database'!$A:$J,5,FALSE),"")</f>
        <v/>
      </c>
      <c r="G139" s="73" t="str">
        <f>IFERROR(VLOOKUP($B139,'Hack Database'!$A:$J,6,FALSE),"")</f>
        <v/>
      </c>
      <c r="H139" s="80"/>
      <c r="I139" s="80"/>
      <c r="J139" s="73"/>
      <c r="K139" s="73" t="str">
        <f t="shared" si="2"/>
        <v/>
      </c>
      <c r="L139" s="79"/>
      <c r="M139" s="73"/>
      <c r="N139" s="73"/>
      <c r="O139" s="73"/>
      <c r="P139" s="87" t="str">
        <f>IFERROR(HYPERLINK(VLOOKUP($B139,'Online Database'!$A:$J,9,FALSE),"Open Page"),IFERROR(HYPERLINK(VLOOKUP($B139,'Manual Database'!$A:$J,9,FALSE),"Open Page"),""))</f>
        <v/>
      </c>
      <c r="Q139" s="87" t="str">
        <f>IFERROR(HYPERLINK(VLOOKUP($B139,'Online Database'!$A:$J,10,FALSE),"Download"),IFERROR(HYPERLINK(VLOOKUP($B139,'Manual Database'!$A:$J,10,FALSE),"Download"),""))</f>
        <v/>
      </c>
      <c r="R139" s="73"/>
    </row>
    <row r="140" spans="1:18" ht="22.05" customHeight="1">
      <c r="A140" s="77" t="str">
        <f>IF(C140="","",COUNTIF($C$2:C140,"&lt;&gt;"))</f>
        <v/>
      </c>
      <c r="B140" s="73"/>
      <c r="C140" s="73" t="str">
        <f>IFERROR(VLOOKUP($B140,'Hack Database'!$A:$J,2,FALSE),"")</f>
        <v/>
      </c>
      <c r="D140" s="73" t="str">
        <f>IFERROR(VLOOKUP($B140,'Hack Database'!$A:$J,3,FALSE),"")</f>
        <v/>
      </c>
      <c r="E140" s="79" t="str">
        <f>IFERROR(VLOOKUP($B140,'Hack Database'!$A:$J,4,FALSE),"")</f>
        <v/>
      </c>
      <c r="F140" s="73" t="str">
        <f>IFERROR(VLOOKUP($B140,'Hack Database'!$A:$J,5,FALSE),"")</f>
        <v/>
      </c>
      <c r="G140" s="73" t="str">
        <f>IFERROR(VLOOKUP($B140,'Hack Database'!$A:$J,6,FALSE),"")</f>
        <v/>
      </c>
      <c r="H140" s="80"/>
      <c r="I140" s="80"/>
      <c r="J140" s="73"/>
      <c r="K140" s="73" t="str">
        <f t="shared" si="2"/>
        <v/>
      </c>
      <c r="L140" s="79"/>
      <c r="M140" s="73"/>
      <c r="N140" s="73"/>
      <c r="O140" s="73"/>
      <c r="P140" s="87" t="str">
        <f>IFERROR(HYPERLINK(VLOOKUP($B140,'Online Database'!$A:$J,9,FALSE),"Open Page"),IFERROR(HYPERLINK(VLOOKUP($B140,'Manual Database'!$A:$J,9,FALSE),"Open Page"),""))</f>
        <v/>
      </c>
      <c r="Q140" s="87" t="str">
        <f>IFERROR(HYPERLINK(VLOOKUP($B140,'Online Database'!$A:$J,10,FALSE),"Download"),IFERROR(HYPERLINK(VLOOKUP($B140,'Manual Database'!$A:$J,10,FALSE),"Download"),""))</f>
        <v/>
      </c>
      <c r="R140" s="73"/>
    </row>
    <row r="141" spans="1:18" ht="22.05" customHeight="1">
      <c r="A141" s="77" t="str">
        <f>IF(C141="","",COUNTIF($C$2:C141,"&lt;&gt;"))</f>
        <v/>
      </c>
      <c r="B141" s="73"/>
      <c r="C141" s="73" t="str">
        <f>IFERROR(VLOOKUP($B141,'Hack Database'!$A:$J,2,FALSE),"")</f>
        <v/>
      </c>
      <c r="D141" s="73" t="str">
        <f>IFERROR(VLOOKUP($B141,'Hack Database'!$A:$J,3,FALSE),"")</f>
        <v/>
      </c>
      <c r="E141" s="79" t="str">
        <f>IFERROR(VLOOKUP($B141,'Hack Database'!$A:$J,4,FALSE),"")</f>
        <v/>
      </c>
      <c r="F141" s="73" t="str">
        <f>IFERROR(VLOOKUP($B141,'Hack Database'!$A:$J,5,FALSE),"")</f>
        <v/>
      </c>
      <c r="G141" s="73" t="str">
        <f>IFERROR(VLOOKUP($B141,'Hack Database'!$A:$J,6,FALSE),"")</f>
        <v/>
      </c>
      <c r="H141" s="80"/>
      <c r="I141" s="80"/>
      <c r="J141" s="73"/>
      <c r="K141" s="73" t="str">
        <f t="shared" si="2"/>
        <v/>
      </c>
      <c r="L141" s="79"/>
      <c r="M141" s="73"/>
      <c r="N141" s="73"/>
      <c r="O141" s="73"/>
      <c r="P141" s="87" t="str">
        <f>IFERROR(HYPERLINK(VLOOKUP($B141,'Online Database'!$A:$J,9,FALSE),"Open Page"),IFERROR(HYPERLINK(VLOOKUP($B141,'Manual Database'!$A:$J,9,FALSE),"Open Page"),""))</f>
        <v/>
      </c>
      <c r="Q141" s="87" t="str">
        <f>IFERROR(HYPERLINK(VLOOKUP($B141,'Online Database'!$A:$J,10,FALSE),"Download"),IFERROR(HYPERLINK(VLOOKUP($B141,'Manual Database'!$A:$J,10,FALSE),"Download"),""))</f>
        <v/>
      </c>
      <c r="R141" s="73"/>
    </row>
    <row r="142" spans="1:18" ht="22.05" customHeight="1">
      <c r="A142" s="77" t="str">
        <f>IF(C142="","",COUNTIF($C$2:C142,"&lt;&gt;"))</f>
        <v/>
      </c>
      <c r="B142" s="73"/>
      <c r="C142" s="73" t="str">
        <f>IFERROR(VLOOKUP($B142,'Hack Database'!$A:$J,2,FALSE),"")</f>
        <v/>
      </c>
      <c r="D142" s="73" t="str">
        <f>IFERROR(VLOOKUP($B142,'Hack Database'!$A:$J,3,FALSE),"")</f>
        <v/>
      </c>
      <c r="E142" s="79" t="str">
        <f>IFERROR(VLOOKUP($B142,'Hack Database'!$A:$J,4,FALSE),"")</f>
        <v/>
      </c>
      <c r="F142" s="73" t="str">
        <f>IFERROR(VLOOKUP($B142,'Hack Database'!$A:$J,5,FALSE),"")</f>
        <v/>
      </c>
      <c r="G142" s="73" t="str">
        <f>IFERROR(VLOOKUP($B142,'Hack Database'!$A:$J,6,FALSE),"")</f>
        <v/>
      </c>
      <c r="H142" s="80"/>
      <c r="I142" s="80"/>
      <c r="J142" s="73"/>
      <c r="K142" s="73" t="str">
        <f t="shared" si="2"/>
        <v/>
      </c>
      <c r="L142" s="79"/>
      <c r="M142" s="73"/>
      <c r="N142" s="73"/>
      <c r="O142" s="73"/>
      <c r="P142" s="87" t="str">
        <f>IFERROR(HYPERLINK(VLOOKUP($B142,'Online Database'!$A:$J,9,FALSE),"Open Page"),IFERROR(HYPERLINK(VLOOKUP($B142,'Manual Database'!$A:$J,9,FALSE),"Open Page"),""))</f>
        <v/>
      </c>
      <c r="Q142" s="87" t="str">
        <f>IFERROR(HYPERLINK(VLOOKUP($B142,'Online Database'!$A:$J,10,FALSE),"Download"),IFERROR(HYPERLINK(VLOOKUP($B142,'Manual Database'!$A:$J,10,FALSE),"Download"),""))</f>
        <v/>
      </c>
      <c r="R142" s="73"/>
    </row>
    <row r="143" spans="1:18" ht="22.05" customHeight="1">
      <c r="A143" s="77" t="str">
        <f>IF(C143="","",COUNTIF($C$2:C143,"&lt;&gt;"))</f>
        <v/>
      </c>
      <c r="B143" s="73"/>
      <c r="C143" s="73" t="str">
        <f>IFERROR(VLOOKUP($B143,'Hack Database'!$A:$J,2,FALSE),"")</f>
        <v/>
      </c>
      <c r="D143" s="73" t="str">
        <f>IFERROR(VLOOKUP($B143,'Hack Database'!$A:$J,3,FALSE),"")</f>
        <v/>
      </c>
      <c r="E143" s="79" t="str">
        <f>IFERROR(VLOOKUP($B143,'Hack Database'!$A:$J,4,FALSE),"")</f>
        <v/>
      </c>
      <c r="F143" s="73" t="str">
        <f>IFERROR(VLOOKUP($B143,'Hack Database'!$A:$J,5,FALSE),"")</f>
        <v/>
      </c>
      <c r="G143" s="73" t="str">
        <f>IFERROR(VLOOKUP($B143,'Hack Database'!$A:$J,6,FALSE),"")</f>
        <v/>
      </c>
      <c r="H143" s="80"/>
      <c r="I143" s="80"/>
      <c r="J143" s="73"/>
      <c r="K143" s="73" t="str">
        <f t="shared" si="2"/>
        <v/>
      </c>
      <c r="L143" s="79"/>
      <c r="M143" s="73"/>
      <c r="N143" s="73"/>
      <c r="O143" s="73"/>
      <c r="P143" s="87" t="str">
        <f>IFERROR(HYPERLINK(VLOOKUP($B143,'Online Database'!$A:$J,9,FALSE),"Open Page"),IFERROR(HYPERLINK(VLOOKUP($B143,'Manual Database'!$A:$J,9,FALSE),"Open Page"),""))</f>
        <v/>
      </c>
      <c r="Q143" s="87" t="str">
        <f>IFERROR(HYPERLINK(VLOOKUP($B143,'Online Database'!$A:$J,10,FALSE),"Download"),IFERROR(HYPERLINK(VLOOKUP($B143,'Manual Database'!$A:$J,10,FALSE),"Download"),""))</f>
        <v/>
      </c>
      <c r="R143" s="73"/>
    </row>
    <row r="144" spans="1:18" ht="22.05" customHeight="1">
      <c r="A144" s="77" t="str">
        <f>IF(C144="","",COUNTIF($C$2:C144,"&lt;&gt;"))</f>
        <v/>
      </c>
      <c r="B144" s="73"/>
      <c r="C144" s="73" t="str">
        <f>IFERROR(VLOOKUP($B144,'Hack Database'!$A:$J,2,FALSE),"")</f>
        <v/>
      </c>
      <c r="D144" s="73" t="str">
        <f>IFERROR(VLOOKUP($B144,'Hack Database'!$A:$J,3,FALSE),"")</f>
        <v/>
      </c>
      <c r="E144" s="79" t="str">
        <f>IFERROR(VLOOKUP($B144,'Hack Database'!$A:$J,4,FALSE),"")</f>
        <v/>
      </c>
      <c r="F144" s="73" t="str">
        <f>IFERROR(VLOOKUP($B144,'Hack Database'!$A:$J,5,FALSE),"")</f>
        <v/>
      </c>
      <c r="G144" s="73" t="str">
        <f>IFERROR(VLOOKUP($B144,'Hack Database'!$A:$J,6,FALSE),"")</f>
        <v/>
      </c>
      <c r="H144" s="80"/>
      <c r="I144" s="80"/>
      <c r="J144" s="73"/>
      <c r="K144" s="73" t="str">
        <f t="shared" si="2"/>
        <v/>
      </c>
      <c r="L144" s="79"/>
      <c r="M144" s="73"/>
      <c r="N144" s="73"/>
      <c r="O144" s="73"/>
      <c r="P144" s="87" t="str">
        <f>IFERROR(HYPERLINK(VLOOKUP($B144,'Online Database'!$A:$J,9,FALSE),"Open Page"),IFERROR(HYPERLINK(VLOOKUP($B144,'Manual Database'!$A:$J,9,FALSE),"Open Page"),""))</f>
        <v/>
      </c>
      <c r="Q144" s="87" t="str">
        <f>IFERROR(HYPERLINK(VLOOKUP($B144,'Online Database'!$A:$J,10,FALSE),"Download"),IFERROR(HYPERLINK(VLOOKUP($B144,'Manual Database'!$A:$J,10,FALSE),"Download"),""))</f>
        <v/>
      </c>
      <c r="R144" s="73"/>
    </row>
    <row r="145" spans="1:18" ht="22.05" customHeight="1">
      <c r="A145" s="77" t="str">
        <f>IF(C145="","",COUNTIF($C$2:C145,"&lt;&gt;"))</f>
        <v/>
      </c>
      <c r="B145" s="73"/>
      <c r="C145" s="73" t="str">
        <f>IFERROR(VLOOKUP($B145,'Hack Database'!$A:$J,2,FALSE),"")</f>
        <v/>
      </c>
      <c r="D145" s="73" t="str">
        <f>IFERROR(VLOOKUP($B145,'Hack Database'!$A:$J,3,FALSE),"")</f>
        <v/>
      </c>
      <c r="E145" s="79" t="str">
        <f>IFERROR(VLOOKUP($B145,'Hack Database'!$A:$J,4,FALSE),"")</f>
        <v/>
      </c>
      <c r="F145" s="73" t="str">
        <f>IFERROR(VLOOKUP($B145,'Hack Database'!$A:$J,5,FALSE),"")</f>
        <v/>
      </c>
      <c r="G145" s="73" t="str">
        <f>IFERROR(VLOOKUP($B145,'Hack Database'!$A:$J,6,FALSE),"")</f>
        <v/>
      </c>
      <c r="H145" s="80"/>
      <c r="I145" s="80"/>
      <c r="J145" s="73"/>
      <c r="K145" s="73" t="str">
        <f t="shared" si="2"/>
        <v/>
      </c>
      <c r="L145" s="79"/>
      <c r="M145" s="73"/>
      <c r="N145" s="73"/>
      <c r="O145" s="73"/>
      <c r="P145" s="87" t="str">
        <f>IFERROR(HYPERLINK(VLOOKUP($B145,'Online Database'!$A:$J,9,FALSE),"Open Page"),IFERROR(HYPERLINK(VLOOKUP($B145,'Manual Database'!$A:$J,9,FALSE),"Open Page"),""))</f>
        <v/>
      </c>
      <c r="Q145" s="87" t="str">
        <f>IFERROR(HYPERLINK(VLOOKUP($B145,'Online Database'!$A:$J,10,FALSE),"Download"),IFERROR(HYPERLINK(VLOOKUP($B145,'Manual Database'!$A:$J,10,FALSE),"Download"),""))</f>
        <v/>
      </c>
      <c r="R145" s="73"/>
    </row>
    <row r="146" spans="1:18" ht="22.05" customHeight="1">
      <c r="A146" s="77" t="str">
        <f>IF(C146="","",COUNTIF($C$2:C146,"&lt;&gt;"))</f>
        <v/>
      </c>
      <c r="B146" s="73"/>
      <c r="C146" s="73" t="str">
        <f>IFERROR(VLOOKUP($B146,'Hack Database'!$A:$J,2,FALSE),"")</f>
        <v/>
      </c>
      <c r="D146" s="73" t="str">
        <f>IFERROR(VLOOKUP($B146,'Hack Database'!$A:$J,3,FALSE),"")</f>
        <v/>
      </c>
      <c r="E146" s="79" t="str">
        <f>IFERROR(VLOOKUP($B146,'Hack Database'!$A:$J,4,FALSE),"")</f>
        <v/>
      </c>
      <c r="F146" s="73" t="str">
        <f>IFERROR(VLOOKUP($B146,'Hack Database'!$A:$J,5,FALSE),"")</f>
        <v/>
      </c>
      <c r="G146" s="73" t="str">
        <f>IFERROR(VLOOKUP($B146,'Hack Database'!$A:$J,6,FALSE),"")</f>
        <v/>
      </c>
      <c r="H146" s="80"/>
      <c r="I146" s="80"/>
      <c r="J146" s="73"/>
      <c r="K146" s="73" t="str">
        <f t="shared" si="2"/>
        <v/>
      </c>
      <c r="L146" s="79"/>
      <c r="M146" s="73"/>
      <c r="N146" s="73"/>
      <c r="O146" s="73"/>
      <c r="P146" s="87" t="str">
        <f>IFERROR(HYPERLINK(VLOOKUP($B146,'Online Database'!$A:$J,9,FALSE),"Open Page"),IFERROR(HYPERLINK(VLOOKUP($B146,'Manual Database'!$A:$J,9,FALSE),"Open Page"),""))</f>
        <v/>
      </c>
      <c r="Q146" s="87" t="str">
        <f>IFERROR(HYPERLINK(VLOOKUP($B146,'Online Database'!$A:$J,10,FALSE),"Download"),IFERROR(HYPERLINK(VLOOKUP($B146,'Manual Database'!$A:$J,10,FALSE),"Download"),""))</f>
        <v/>
      </c>
      <c r="R146" s="73"/>
    </row>
    <row r="147" spans="1:18" ht="22.05" customHeight="1">
      <c r="A147" s="77" t="str">
        <f>IF(C147="","",COUNTIF($C$2:C147,"&lt;&gt;"))</f>
        <v/>
      </c>
      <c r="B147" s="73"/>
      <c r="C147" s="73" t="str">
        <f>IFERROR(VLOOKUP($B147,'Hack Database'!$A:$J,2,FALSE),"")</f>
        <v/>
      </c>
      <c r="D147" s="73" t="str">
        <f>IFERROR(VLOOKUP($B147,'Hack Database'!$A:$J,3,FALSE),"")</f>
        <v/>
      </c>
      <c r="E147" s="79" t="str">
        <f>IFERROR(VLOOKUP($B147,'Hack Database'!$A:$J,4,FALSE),"")</f>
        <v/>
      </c>
      <c r="F147" s="73" t="str">
        <f>IFERROR(VLOOKUP($B147,'Hack Database'!$A:$J,5,FALSE),"")</f>
        <v/>
      </c>
      <c r="G147" s="73" t="str">
        <f>IFERROR(VLOOKUP($B147,'Hack Database'!$A:$J,6,FALSE),"")</f>
        <v/>
      </c>
      <c r="H147" s="80"/>
      <c r="I147" s="80"/>
      <c r="J147" s="73"/>
      <c r="K147" s="73" t="str">
        <f t="shared" si="2"/>
        <v/>
      </c>
      <c r="L147" s="79"/>
      <c r="M147" s="73"/>
      <c r="N147" s="73"/>
      <c r="O147" s="73"/>
      <c r="P147" s="87" t="str">
        <f>IFERROR(HYPERLINK(VLOOKUP($B147,'Online Database'!$A:$J,9,FALSE),"Open Page"),IFERROR(HYPERLINK(VLOOKUP($B147,'Manual Database'!$A:$J,9,FALSE),"Open Page"),""))</f>
        <v/>
      </c>
      <c r="Q147" s="87" t="str">
        <f>IFERROR(HYPERLINK(VLOOKUP($B147,'Online Database'!$A:$J,10,FALSE),"Download"),IFERROR(HYPERLINK(VLOOKUP($B147,'Manual Database'!$A:$J,10,FALSE),"Download"),""))</f>
        <v/>
      </c>
      <c r="R147" s="73"/>
    </row>
    <row r="148" spans="1:18" ht="22.05" customHeight="1">
      <c r="A148" s="77" t="str">
        <f>IF(C148="","",COUNTIF($C$2:C148,"&lt;&gt;"))</f>
        <v/>
      </c>
      <c r="B148" s="73"/>
      <c r="C148" s="73" t="str">
        <f>IFERROR(VLOOKUP($B148,'Hack Database'!$A:$J,2,FALSE),"")</f>
        <v/>
      </c>
      <c r="D148" s="73" t="str">
        <f>IFERROR(VLOOKUP($B148,'Hack Database'!$A:$J,3,FALSE),"")</f>
        <v/>
      </c>
      <c r="E148" s="79" t="str">
        <f>IFERROR(VLOOKUP($B148,'Hack Database'!$A:$J,4,FALSE),"")</f>
        <v/>
      </c>
      <c r="F148" s="73" t="str">
        <f>IFERROR(VLOOKUP($B148,'Hack Database'!$A:$J,5,FALSE),"")</f>
        <v/>
      </c>
      <c r="G148" s="73" t="str">
        <f>IFERROR(VLOOKUP($B148,'Hack Database'!$A:$J,6,FALSE),"")</f>
        <v/>
      </c>
      <c r="H148" s="80"/>
      <c r="I148" s="80"/>
      <c r="J148" s="73"/>
      <c r="K148" s="73" t="str">
        <f t="shared" si="2"/>
        <v/>
      </c>
      <c r="L148" s="79"/>
      <c r="M148" s="73"/>
      <c r="N148" s="73"/>
      <c r="O148" s="73"/>
      <c r="P148" s="87" t="str">
        <f>IFERROR(HYPERLINK(VLOOKUP($B148,'Online Database'!$A:$J,9,FALSE),"Open Page"),IFERROR(HYPERLINK(VLOOKUP($B148,'Manual Database'!$A:$J,9,FALSE),"Open Page"),""))</f>
        <v/>
      </c>
      <c r="Q148" s="87" t="str">
        <f>IFERROR(HYPERLINK(VLOOKUP($B148,'Online Database'!$A:$J,10,FALSE),"Download"),IFERROR(HYPERLINK(VLOOKUP($B148,'Manual Database'!$A:$J,10,FALSE),"Download"),""))</f>
        <v/>
      </c>
      <c r="R148" s="73"/>
    </row>
    <row r="149" spans="1:18" ht="22.05" customHeight="1">
      <c r="A149" s="77" t="str">
        <f>IF(C149="","",COUNTIF($C$2:C149,"&lt;&gt;"))</f>
        <v/>
      </c>
      <c r="B149" s="73"/>
      <c r="C149" s="73" t="str">
        <f>IFERROR(VLOOKUP($B149,'Hack Database'!$A:$J,2,FALSE),"")</f>
        <v/>
      </c>
      <c r="D149" s="73" t="str">
        <f>IFERROR(VLOOKUP($B149,'Hack Database'!$A:$J,3,FALSE),"")</f>
        <v/>
      </c>
      <c r="E149" s="79" t="str">
        <f>IFERROR(VLOOKUP($B149,'Hack Database'!$A:$J,4,FALSE),"")</f>
        <v/>
      </c>
      <c r="F149" s="73" t="str">
        <f>IFERROR(VLOOKUP($B149,'Hack Database'!$A:$J,5,FALSE),"")</f>
        <v/>
      </c>
      <c r="G149" s="73" t="str">
        <f>IFERROR(VLOOKUP($B149,'Hack Database'!$A:$J,6,FALSE),"")</f>
        <v/>
      </c>
      <c r="H149" s="80"/>
      <c r="I149" s="80"/>
      <c r="J149" s="73"/>
      <c r="K149" s="73" t="str">
        <f t="shared" si="2"/>
        <v/>
      </c>
      <c r="L149" s="79"/>
      <c r="M149" s="73"/>
      <c r="N149" s="73"/>
      <c r="O149" s="73"/>
      <c r="P149" s="87" t="str">
        <f>IFERROR(HYPERLINK(VLOOKUP($B149,'Online Database'!$A:$J,9,FALSE),"Open Page"),IFERROR(HYPERLINK(VLOOKUP($B149,'Manual Database'!$A:$J,9,FALSE),"Open Page"),""))</f>
        <v/>
      </c>
      <c r="Q149" s="87" t="str">
        <f>IFERROR(HYPERLINK(VLOOKUP($B149,'Online Database'!$A:$J,10,FALSE),"Download"),IFERROR(HYPERLINK(VLOOKUP($B149,'Manual Database'!$A:$J,10,FALSE),"Download"),""))</f>
        <v/>
      </c>
      <c r="R149" s="73"/>
    </row>
    <row r="150" spans="1:18" ht="22.05" customHeight="1">
      <c r="A150" s="77" t="str">
        <f>IF(C150="","",COUNTIF($C$2:C150,"&lt;&gt;"))</f>
        <v/>
      </c>
      <c r="B150" s="73"/>
      <c r="C150" s="73" t="str">
        <f>IFERROR(VLOOKUP($B150,'Hack Database'!$A:$J,2,FALSE),"")</f>
        <v/>
      </c>
      <c r="D150" s="73" t="str">
        <f>IFERROR(VLOOKUP($B150,'Hack Database'!$A:$J,3,FALSE),"")</f>
        <v/>
      </c>
      <c r="E150" s="79" t="str">
        <f>IFERROR(VLOOKUP($B150,'Hack Database'!$A:$J,4,FALSE),"")</f>
        <v/>
      </c>
      <c r="F150" s="73" t="str">
        <f>IFERROR(VLOOKUP($B150,'Hack Database'!$A:$J,5,FALSE),"")</f>
        <v/>
      </c>
      <c r="G150" s="73" t="str">
        <f>IFERROR(VLOOKUP($B150,'Hack Database'!$A:$J,6,FALSE),"")</f>
        <v/>
      </c>
      <c r="H150" s="80"/>
      <c r="I150" s="80"/>
      <c r="J150" s="73"/>
      <c r="K150" s="73" t="str">
        <f t="shared" si="2"/>
        <v/>
      </c>
      <c r="L150" s="79"/>
      <c r="M150" s="73"/>
      <c r="N150" s="73"/>
      <c r="O150" s="73"/>
      <c r="P150" s="87" t="str">
        <f>IFERROR(HYPERLINK(VLOOKUP($B150,'Online Database'!$A:$J,9,FALSE),"Open Page"),IFERROR(HYPERLINK(VLOOKUP($B150,'Manual Database'!$A:$J,9,FALSE),"Open Page"),""))</f>
        <v/>
      </c>
      <c r="Q150" s="87" t="str">
        <f>IFERROR(HYPERLINK(VLOOKUP($B150,'Online Database'!$A:$J,10,FALSE),"Download"),IFERROR(HYPERLINK(VLOOKUP($B150,'Manual Database'!$A:$J,10,FALSE),"Download"),""))</f>
        <v/>
      </c>
      <c r="R150" s="73"/>
    </row>
    <row r="151" spans="1:18" ht="22.05" customHeight="1">
      <c r="A151" s="77" t="str">
        <f>IF(C151="","",COUNTIF($C$2:C151,"&lt;&gt;"))</f>
        <v/>
      </c>
      <c r="B151" s="73"/>
      <c r="C151" s="73" t="str">
        <f>IFERROR(VLOOKUP($B151,'Hack Database'!$A:$J,2,FALSE),"")</f>
        <v/>
      </c>
      <c r="D151" s="73" t="str">
        <f>IFERROR(VLOOKUP($B151,'Hack Database'!$A:$J,3,FALSE),"")</f>
        <v/>
      </c>
      <c r="E151" s="79" t="str">
        <f>IFERROR(VLOOKUP($B151,'Hack Database'!$A:$J,4,FALSE),"")</f>
        <v/>
      </c>
      <c r="F151" s="73" t="str">
        <f>IFERROR(VLOOKUP($B151,'Hack Database'!$A:$J,5,FALSE),"")</f>
        <v/>
      </c>
      <c r="G151" s="73" t="str">
        <f>IFERROR(VLOOKUP($B151,'Hack Database'!$A:$J,6,FALSE),"")</f>
        <v/>
      </c>
      <c r="H151" s="80"/>
      <c r="I151" s="80"/>
      <c r="J151" s="73"/>
      <c r="K151" s="73" t="str">
        <f t="shared" si="2"/>
        <v/>
      </c>
      <c r="L151" s="79"/>
      <c r="M151" s="73"/>
      <c r="N151" s="73"/>
      <c r="O151" s="73"/>
      <c r="P151" s="87" t="str">
        <f>IFERROR(HYPERLINK(VLOOKUP($B151,'Online Database'!$A:$J,9,FALSE),"Open Page"),IFERROR(HYPERLINK(VLOOKUP($B151,'Manual Database'!$A:$J,9,FALSE),"Open Page"),""))</f>
        <v/>
      </c>
      <c r="Q151" s="87" t="str">
        <f>IFERROR(HYPERLINK(VLOOKUP($B151,'Online Database'!$A:$J,10,FALSE),"Download"),IFERROR(HYPERLINK(VLOOKUP($B151,'Manual Database'!$A:$J,10,FALSE),"Download"),""))</f>
        <v/>
      </c>
      <c r="R151" s="73"/>
    </row>
    <row r="152" spans="1:18" ht="22.05" customHeight="1">
      <c r="A152" s="77" t="str">
        <f>IF(C152="","",COUNTIF($C$2:C152,"&lt;&gt;"))</f>
        <v/>
      </c>
      <c r="B152" s="73"/>
      <c r="C152" s="73" t="str">
        <f>IFERROR(VLOOKUP($B152,'Hack Database'!$A:$J,2,FALSE),"")</f>
        <v/>
      </c>
      <c r="D152" s="73" t="str">
        <f>IFERROR(VLOOKUP($B152,'Hack Database'!$A:$J,3,FALSE),"")</f>
        <v/>
      </c>
      <c r="E152" s="79" t="str">
        <f>IFERROR(VLOOKUP($B152,'Hack Database'!$A:$J,4,FALSE),"")</f>
        <v/>
      </c>
      <c r="F152" s="73" t="str">
        <f>IFERROR(VLOOKUP($B152,'Hack Database'!$A:$J,5,FALSE),"")</f>
        <v/>
      </c>
      <c r="G152" s="73" t="str">
        <f>IFERROR(VLOOKUP($B152,'Hack Database'!$A:$J,6,FALSE),"")</f>
        <v/>
      </c>
      <c r="H152" s="80"/>
      <c r="I152" s="80"/>
      <c r="J152" s="73"/>
      <c r="K152" s="73" t="str">
        <f t="shared" si="2"/>
        <v/>
      </c>
      <c r="L152" s="79"/>
      <c r="M152" s="73"/>
      <c r="N152" s="73"/>
      <c r="O152" s="73"/>
      <c r="P152" s="87" t="str">
        <f>IFERROR(HYPERLINK(VLOOKUP($B152,'Online Database'!$A:$J,9,FALSE),"Open Page"),IFERROR(HYPERLINK(VLOOKUP($B152,'Manual Database'!$A:$J,9,FALSE),"Open Page"),""))</f>
        <v/>
      </c>
      <c r="Q152" s="87" t="str">
        <f>IFERROR(HYPERLINK(VLOOKUP($B152,'Online Database'!$A:$J,10,FALSE),"Download"),IFERROR(HYPERLINK(VLOOKUP($B152,'Manual Database'!$A:$J,10,FALSE),"Download"),""))</f>
        <v/>
      </c>
      <c r="R152" s="73"/>
    </row>
    <row r="153" spans="1:18" ht="22.05" customHeight="1">
      <c r="A153" s="77" t="str">
        <f>IF(C153="","",COUNTIF($C$2:C153,"&lt;&gt;"))</f>
        <v/>
      </c>
      <c r="B153" s="73"/>
      <c r="C153" s="73" t="str">
        <f>IFERROR(VLOOKUP($B153,'Hack Database'!$A:$J,2,FALSE),"")</f>
        <v/>
      </c>
      <c r="D153" s="73" t="str">
        <f>IFERROR(VLOOKUP($B153,'Hack Database'!$A:$J,3,FALSE),"")</f>
        <v/>
      </c>
      <c r="E153" s="79" t="str">
        <f>IFERROR(VLOOKUP($B153,'Hack Database'!$A:$J,4,FALSE),"")</f>
        <v/>
      </c>
      <c r="F153" s="73" t="str">
        <f>IFERROR(VLOOKUP($B153,'Hack Database'!$A:$J,5,FALSE),"")</f>
        <v/>
      </c>
      <c r="G153" s="73" t="str">
        <f>IFERROR(VLOOKUP($B153,'Hack Database'!$A:$J,6,FALSE),"")</f>
        <v/>
      </c>
      <c r="H153" s="80"/>
      <c r="I153" s="80"/>
      <c r="J153" s="73"/>
      <c r="K153" s="73" t="str">
        <f t="shared" si="2"/>
        <v/>
      </c>
      <c r="L153" s="79"/>
      <c r="M153" s="73"/>
      <c r="N153" s="73"/>
      <c r="O153" s="73"/>
      <c r="P153" s="87" t="str">
        <f>IFERROR(HYPERLINK(VLOOKUP($B153,'Online Database'!$A:$J,9,FALSE),"Open Page"),IFERROR(HYPERLINK(VLOOKUP($B153,'Manual Database'!$A:$J,9,FALSE),"Open Page"),""))</f>
        <v/>
      </c>
      <c r="Q153" s="87" t="str">
        <f>IFERROR(HYPERLINK(VLOOKUP($B153,'Online Database'!$A:$J,10,FALSE),"Download"),IFERROR(HYPERLINK(VLOOKUP($B153,'Manual Database'!$A:$J,10,FALSE),"Download"),""))</f>
        <v/>
      </c>
      <c r="R153" s="73"/>
    </row>
    <row r="154" spans="1:18" ht="22.05" customHeight="1">
      <c r="A154" s="77" t="str">
        <f>IF(C154="","",COUNTIF($C$2:C154,"&lt;&gt;"))</f>
        <v/>
      </c>
      <c r="B154" s="73"/>
      <c r="C154" s="73" t="str">
        <f>IFERROR(VLOOKUP($B154,'Hack Database'!$A:$J,2,FALSE),"")</f>
        <v/>
      </c>
      <c r="D154" s="73" t="str">
        <f>IFERROR(VLOOKUP($B154,'Hack Database'!$A:$J,3,FALSE),"")</f>
        <v/>
      </c>
      <c r="E154" s="79" t="str">
        <f>IFERROR(VLOOKUP($B154,'Hack Database'!$A:$J,4,FALSE),"")</f>
        <v/>
      </c>
      <c r="F154" s="73" t="str">
        <f>IFERROR(VLOOKUP($B154,'Hack Database'!$A:$J,5,FALSE),"")</f>
        <v/>
      </c>
      <c r="G154" s="73" t="str">
        <f>IFERROR(VLOOKUP($B154,'Hack Database'!$A:$J,6,FALSE),"")</f>
        <v/>
      </c>
      <c r="H154" s="80"/>
      <c r="I154" s="80"/>
      <c r="J154" s="73"/>
      <c r="K154" s="73" t="str">
        <f t="shared" si="2"/>
        <v/>
      </c>
      <c r="L154" s="79"/>
      <c r="M154" s="73"/>
      <c r="N154" s="73"/>
      <c r="O154" s="73"/>
      <c r="P154" s="87" t="str">
        <f>IFERROR(HYPERLINK(VLOOKUP($B154,'Online Database'!$A:$J,9,FALSE),"Open Page"),IFERROR(HYPERLINK(VLOOKUP($B154,'Manual Database'!$A:$J,9,FALSE),"Open Page"),""))</f>
        <v/>
      </c>
      <c r="Q154" s="87" t="str">
        <f>IFERROR(HYPERLINK(VLOOKUP($B154,'Online Database'!$A:$J,10,FALSE),"Download"),IFERROR(HYPERLINK(VLOOKUP($B154,'Manual Database'!$A:$J,10,FALSE),"Download"),""))</f>
        <v/>
      </c>
      <c r="R154" s="73"/>
    </row>
    <row r="155" spans="1:18" ht="22.05" customHeight="1">
      <c r="A155" s="77" t="str">
        <f>IF(C155="","",COUNTIF($C$2:C155,"&lt;&gt;"))</f>
        <v/>
      </c>
      <c r="B155" s="73"/>
      <c r="C155" s="73" t="str">
        <f>IFERROR(VLOOKUP($B155,'Hack Database'!$A:$J,2,FALSE),"")</f>
        <v/>
      </c>
      <c r="D155" s="73" t="str">
        <f>IFERROR(VLOOKUP($B155,'Hack Database'!$A:$J,3,FALSE),"")</f>
        <v/>
      </c>
      <c r="E155" s="79" t="str">
        <f>IFERROR(VLOOKUP($B155,'Hack Database'!$A:$J,4,FALSE),"")</f>
        <v/>
      </c>
      <c r="F155" s="73" t="str">
        <f>IFERROR(VLOOKUP($B155,'Hack Database'!$A:$J,5,FALSE),"")</f>
        <v/>
      </c>
      <c r="G155" s="73" t="str">
        <f>IFERROR(VLOOKUP($B155,'Hack Database'!$A:$J,6,FALSE),"")</f>
        <v/>
      </c>
      <c r="H155" s="80"/>
      <c r="I155" s="80"/>
      <c r="J155" s="73"/>
      <c r="K155" s="73" t="str">
        <f t="shared" si="2"/>
        <v/>
      </c>
      <c r="L155" s="79"/>
      <c r="M155" s="73"/>
      <c r="N155" s="73"/>
      <c r="O155" s="73"/>
      <c r="P155" s="87" t="str">
        <f>IFERROR(HYPERLINK(VLOOKUP($B155,'Online Database'!$A:$J,9,FALSE),"Open Page"),IFERROR(HYPERLINK(VLOOKUP($B155,'Manual Database'!$A:$J,9,FALSE),"Open Page"),""))</f>
        <v/>
      </c>
      <c r="Q155" s="87" t="str">
        <f>IFERROR(HYPERLINK(VLOOKUP($B155,'Online Database'!$A:$J,10,FALSE),"Download"),IFERROR(HYPERLINK(VLOOKUP($B155,'Manual Database'!$A:$J,10,FALSE),"Download"),""))</f>
        <v/>
      </c>
      <c r="R155" s="73"/>
    </row>
    <row r="156" spans="1:18" ht="22.05" customHeight="1">
      <c r="A156" s="77" t="str">
        <f>IF(C156="","",COUNTIF($C$2:C156,"&lt;&gt;"))</f>
        <v/>
      </c>
      <c r="B156" s="73"/>
      <c r="C156" s="73" t="str">
        <f>IFERROR(VLOOKUP($B156,'Hack Database'!$A:$J,2,FALSE),"")</f>
        <v/>
      </c>
      <c r="D156" s="73" t="str">
        <f>IFERROR(VLOOKUP($B156,'Hack Database'!$A:$J,3,FALSE),"")</f>
        <v/>
      </c>
      <c r="E156" s="79" t="str">
        <f>IFERROR(VLOOKUP($B156,'Hack Database'!$A:$J,4,FALSE),"")</f>
        <v/>
      </c>
      <c r="F156" s="73" t="str">
        <f>IFERROR(VLOOKUP($B156,'Hack Database'!$A:$J,5,FALSE),"")</f>
        <v/>
      </c>
      <c r="G156" s="73" t="str">
        <f>IFERROR(VLOOKUP($B156,'Hack Database'!$A:$J,6,FALSE),"")</f>
        <v/>
      </c>
      <c r="H156" s="80"/>
      <c r="I156" s="80"/>
      <c r="J156" s="73"/>
      <c r="K156" s="73" t="str">
        <f t="shared" si="2"/>
        <v/>
      </c>
      <c r="L156" s="79"/>
      <c r="M156" s="73"/>
      <c r="N156" s="73"/>
      <c r="O156" s="73"/>
      <c r="P156" s="87" t="str">
        <f>IFERROR(HYPERLINK(VLOOKUP($B156,'Online Database'!$A:$J,9,FALSE),"Open Page"),IFERROR(HYPERLINK(VLOOKUP($B156,'Manual Database'!$A:$J,9,FALSE),"Open Page"),""))</f>
        <v/>
      </c>
      <c r="Q156" s="87" t="str">
        <f>IFERROR(HYPERLINK(VLOOKUP($B156,'Online Database'!$A:$J,10,FALSE),"Download"),IFERROR(HYPERLINK(VLOOKUP($B156,'Manual Database'!$A:$J,10,FALSE),"Download"),""))</f>
        <v/>
      </c>
      <c r="R156" s="73"/>
    </row>
    <row r="157" spans="1:18" ht="22.05" customHeight="1">
      <c r="A157" s="77" t="str">
        <f>IF(C157="","",COUNTIF($C$2:C157,"&lt;&gt;"))</f>
        <v/>
      </c>
      <c r="B157" s="73"/>
      <c r="C157" s="73" t="str">
        <f>IFERROR(VLOOKUP($B157,'Hack Database'!$A:$J,2,FALSE),"")</f>
        <v/>
      </c>
      <c r="D157" s="73" t="str">
        <f>IFERROR(VLOOKUP($B157,'Hack Database'!$A:$J,3,FALSE),"")</f>
        <v/>
      </c>
      <c r="E157" s="79" t="str">
        <f>IFERROR(VLOOKUP($B157,'Hack Database'!$A:$J,4,FALSE),"")</f>
        <v/>
      </c>
      <c r="F157" s="73" t="str">
        <f>IFERROR(VLOOKUP($B157,'Hack Database'!$A:$J,5,FALSE),"")</f>
        <v/>
      </c>
      <c r="G157" s="73" t="str">
        <f>IFERROR(VLOOKUP($B157,'Hack Database'!$A:$J,6,FALSE),"")</f>
        <v/>
      </c>
      <c r="H157" s="80"/>
      <c r="I157" s="80"/>
      <c r="J157" s="73"/>
      <c r="K157" s="73" t="str">
        <f t="shared" si="2"/>
        <v/>
      </c>
      <c r="L157" s="79"/>
      <c r="M157" s="73"/>
      <c r="N157" s="73"/>
      <c r="O157" s="73"/>
      <c r="P157" s="87" t="str">
        <f>IFERROR(HYPERLINK(VLOOKUP($B157,'Online Database'!$A:$J,9,FALSE),"Open Page"),IFERROR(HYPERLINK(VLOOKUP($B157,'Manual Database'!$A:$J,9,FALSE),"Open Page"),""))</f>
        <v/>
      </c>
      <c r="Q157" s="87" t="str">
        <f>IFERROR(HYPERLINK(VLOOKUP($B157,'Online Database'!$A:$J,10,FALSE),"Download"),IFERROR(HYPERLINK(VLOOKUP($B157,'Manual Database'!$A:$J,10,FALSE),"Download"),""))</f>
        <v/>
      </c>
      <c r="R157" s="73"/>
    </row>
    <row r="158" spans="1:18" ht="22.05" customHeight="1">
      <c r="A158" s="77" t="str">
        <f>IF(C158="","",COUNTIF($C$2:C158,"&lt;&gt;"))</f>
        <v/>
      </c>
      <c r="B158" s="73"/>
      <c r="C158" s="73" t="str">
        <f>IFERROR(VLOOKUP($B158,'Hack Database'!$A:$J,2,FALSE),"")</f>
        <v/>
      </c>
      <c r="D158" s="73" t="str">
        <f>IFERROR(VLOOKUP($B158,'Hack Database'!$A:$J,3,FALSE),"")</f>
        <v/>
      </c>
      <c r="E158" s="79" t="str">
        <f>IFERROR(VLOOKUP($B158,'Hack Database'!$A:$J,4,FALSE),"")</f>
        <v/>
      </c>
      <c r="F158" s="73" t="str">
        <f>IFERROR(VLOOKUP($B158,'Hack Database'!$A:$J,5,FALSE),"")</f>
        <v/>
      </c>
      <c r="G158" s="73" t="str">
        <f>IFERROR(VLOOKUP($B158,'Hack Database'!$A:$J,6,FALSE),"")</f>
        <v/>
      </c>
      <c r="H158" s="80"/>
      <c r="I158" s="80"/>
      <c r="J158" s="73"/>
      <c r="K158" s="73" t="str">
        <f t="shared" si="2"/>
        <v/>
      </c>
      <c r="L158" s="79"/>
      <c r="M158" s="73"/>
      <c r="N158" s="73"/>
      <c r="O158" s="73"/>
      <c r="P158" s="87" t="str">
        <f>IFERROR(HYPERLINK(VLOOKUP($B158,'Online Database'!$A:$J,9,FALSE),"Open Page"),IFERROR(HYPERLINK(VLOOKUP($B158,'Manual Database'!$A:$J,9,FALSE),"Open Page"),""))</f>
        <v/>
      </c>
      <c r="Q158" s="87" t="str">
        <f>IFERROR(HYPERLINK(VLOOKUP($B158,'Online Database'!$A:$J,10,FALSE),"Download"),IFERROR(HYPERLINK(VLOOKUP($B158,'Manual Database'!$A:$J,10,FALSE),"Download"),""))</f>
        <v/>
      </c>
      <c r="R158" s="73"/>
    </row>
    <row r="159" spans="1:18" ht="22.05" customHeight="1">
      <c r="A159" s="77" t="str">
        <f>IF(C159="","",COUNTIF($C$2:C159,"&lt;&gt;"))</f>
        <v/>
      </c>
      <c r="B159" s="73"/>
      <c r="C159" s="73" t="str">
        <f>IFERROR(VLOOKUP($B159,'Hack Database'!$A:$J,2,FALSE),"")</f>
        <v/>
      </c>
      <c r="D159" s="73" t="str">
        <f>IFERROR(VLOOKUP($B159,'Hack Database'!$A:$J,3,FALSE),"")</f>
        <v/>
      </c>
      <c r="E159" s="79" t="str">
        <f>IFERROR(VLOOKUP($B159,'Hack Database'!$A:$J,4,FALSE),"")</f>
        <v/>
      </c>
      <c r="F159" s="73" t="str">
        <f>IFERROR(VLOOKUP($B159,'Hack Database'!$A:$J,5,FALSE),"")</f>
        <v/>
      </c>
      <c r="G159" s="73" t="str">
        <f>IFERROR(VLOOKUP($B159,'Hack Database'!$A:$J,6,FALSE),"")</f>
        <v/>
      </c>
      <c r="H159" s="80"/>
      <c r="I159" s="80"/>
      <c r="J159" s="73"/>
      <c r="K159" s="73" t="str">
        <f t="shared" si="2"/>
        <v/>
      </c>
      <c r="L159" s="79"/>
      <c r="M159" s="73"/>
      <c r="N159" s="73"/>
      <c r="O159" s="73"/>
      <c r="P159" s="87" t="str">
        <f>IFERROR(HYPERLINK(VLOOKUP($B159,'Online Database'!$A:$J,9,FALSE),"Open Page"),IFERROR(HYPERLINK(VLOOKUP($B159,'Manual Database'!$A:$J,9,FALSE),"Open Page"),""))</f>
        <v/>
      </c>
      <c r="Q159" s="87" t="str">
        <f>IFERROR(HYPERLINK(VLOOKUP($B159,'Online Database'!$A:$J,10,FALSE),"Download"),IFERROR(HYPERLINK(VLOOKUP($B159,'Manual Database'!$A:$J,10,FALSE),"Download"),""))</f>
        <v/>
      </c>
      <c r="R159" s="73"/>
    </row>
    <row r="160" spans="1:18" ht="22.05" customHeight="1">
      <c r="A160" s="77" t="str">
        <f>IF(C160="","",COUNTIF($C$2:C160,"&lt;&gt;"))</f>
        <v/>
      </c>
      <c r="B160" s="73"/>
      <c r="C160" s="73" t="str">
        <f>IFERROR(VLOOKUP($B160,'Hack Database'!$A:$J,2,FALSE),"")</f>
        <v/>
      </c>
      <c r="D160" s="73" t="str">
        <f>IFERROR(VLOOKUP($B160,'Hack Database'!$A:$J,3,FALSE),"")</f>
        <v/>
      </c>
      <c r="E160" s="79" t="str">
        <f>IFERROR(VLOOKUP($B160,'Hack Database'!$A:$J,4,FALSE),"")</f>
        <v/>
      </c>
      <c r="F160" s="73" t="str">
        <f>IFERROR(VLOOKUP($B160,'Hack Database'!$A:$J,5,FALSE),"")</f>
        <v/>
      </c>
      <c r="G160" s="73" t="str">
        <f>IFERROR(VLOOKUP($B160,'Hack Database'!$A:$J,6,FALSE),"")</f>
        <v/>
      </c>
      <c r="H160" s="80"/>
      <c r="I160" s="80"/>
      <c r="J160" s="73"/>
      <c r="K160" s="73" t="str">
        <f t="shared" si="2"/>
        <v/>
      </c>
      <c r="L160" s="79"/>
      <c r="M160" s="73"/>
      <c r="N160" s="73"/>
      <c r="O160" s="73"/>
      <c r="P160" s="87" t="str">
        <f>IFERROR(HYPERLINK(VLOOKUP($B160,'Online Database'!$A:$J,9,FALSE),"Open Page"),IFERROR(HYPERLINK(VLOOKUP($B160,'Manual Database'!$A:$J,9,FALSE),"Open Page"),""))</f>
        <v/>
      </c>
      <c r="Q160" s="87" t="str">
        <f>IFERROR(HYPERLINK(VLOOKUP($B160,'Online Database'!$A:$J,10,FALSE),"Download"),IFERROR(HYPERLINK(VLOOKUP($B160,'Manual Database'!$A:$J,10,FALSE),"Download"),""))</f>
        <v/>
      </c>
      <c r="R160" s="73"/>
    </row>
    <row r="161" spans="1:18" ht="22.05" customHeight="1">
      <c r="A161" s="77" t="str">
        <f>IF(C161="","",COUNTIF($C$2:C161,"&lt;&gt;"))</f>
        <v/>
      </c>
      <c r="B161" s="73"/>
      <c r="C161" s="73" t="str">
        <f>IFERROR(VLOOKUP($B161,'Hack Database'!$A:$J,2,FALSE),"")</f>
        <v/>
      </c>
      <c r="D161" s="73" t="str">
        <f>IFERROR(VLOOKUP($B161,'Hack Database'!$A:$J,3,FALSE),"")</f>
        <v/>
      </c>
      <c r="E161" s="79" t="str">
        <f>IFERROR(VLOOKUP($B161,'Hack Database'!$A:$J,4,FALSE),"")</f>
        <v/>
      </c>
      <c r="F161" s="73" t="str">
        <f>IFERROR(VLOOKUP($B161,'Hack Database'!$A:$J,5,FALSE),"")</f>
        <v/>
      </c>
      <c r="G161" s="73" t="str">
        <f>IFERROR(VLOOKUP($B161,'Hack Database'!$A:$J,6,FALSE),"")</f>
        <v/>
      </c>
      <c r="H161" s="80"/>
      <c r="I161" s="80"/>
      <c r="J161" s="73"/>
      <c r="K161" s="73" t="str">
        <f t="shared" si="2"/>
        <v/>
      </c>
      <c r="L161" s="79"/>
      <c r="M161" s="73"/>
      <c r="N161" s="73"/>
      <c r="O161" s="73"/>
      <c r="P161" s="87" t="str">
        <f>IFERROR(HYPERLINK(VLOOKUP($B161,'Online Database'!$A:$J,9,FALSE),"Open Page"),IFERROR(HYPERLINK(VLOOKUP($B161,'Manual Database'!$A:$J,9,FALSE),"Open Page"),""))</f>
        <v/>
      </c>
      <c r="Q161" s="87" t="str">
        <f>IFERROR(HYPERLINK(VLOOKUP($B161,'Online Database'!$A:$J,10,FALSE),"Download"),IFERROR(HYPERLINK(VLOOKUP($B161,'Manual Database'!$A:$J,10,FALSE),"Download"),""))</f>
        <v/>
      </c>
      <c r="R161" s="73"/>
    </row>
    <row r="162" spans="1:18" ht="22.05" customHeight="1">
      <c r="A162" s="77" t="str">
        <f>IF(C162="","",COUNTIF($C$2:C162,"&lt;&gt;"))</f>
        <v/>
      </c>
      <c r="B162" s="73"/>
      <c r="C162" s="73" t="str">
        <f>IFERROR(VLOOKUP($B162,'Hack Database'!$A:$J,2,FALSE),"")</f>
        <v/>
      </c>
      <c r="D162" s="73" t="str">
        <f>IFERROR(VLOOKUP($B162,'Hack Database'!$A:$J,3,FALSE),"")</f>
        <v/>
      </c>
      <c r="E162" s="79" t="str">
        <f>IFERROR(VLOOKUP($B162,'Hack Database'!$A:$J,4,FALSE),"")</f>
        <v/>
      </c>
      <c r="F162" s="73" t="str">
        <f>IFERROR(VLOOKUP($B162,'Hack Database'!$A:$J,5,FALSE),"")</f>
        <v/>
      </c>
      <c r="G162" s="73" t="str">
        <f>IFERROR(VLOOKUP($B162,'Hack Database'!$A:$J,6,FALSE),"")</f>
        <v/>
      </c>
      <c r="H162" s="80"/>
      <c r="I162" s="80"/>
      <c r="J162" s="73"/>
      <c r="K162" s="73" t="str">
        <f t="shared" si="2"/>
        <v/>
      </c>
      <c r="L162" s="79"/>
      <c r="M162" s="73"/>
      <c r="N162" s="73"/>
      <c r="O162" s="73"/>
      <c r="P162" s="87" t="str">
        <f>IFERROR(HYPERLINK(VLOOKUP($B162,'Online Database'!$A:$J,9,FALSE),"Open Page"),IFERROR(HYPERLINK(VLOOKUP($B162,'Manual Database'!$A:$J,9,FALSE),"Open Page"),""))</f>
        <v/>
      </c>
      <c r="Q162" s="87" t="str">
        <f>IFERROR(HYPERLINK(VLOOKUP($B162,'Online Database'!$A:$J,10,FALSE),"Download"),IFERROR(HYPERLINK(VLOOKUP($B162,'Manual Database'!$A:$J,10,FALSE),"Download"),""))</f>
        <v/>
      </c>
      <c r="R162" s="73"/>
    </row>
    <row r="163" spans="1:18" ht="22.05" customHeight="1">
      <c r="A163" s="77" t="str">
        <f>IF(C163="","",COUNTIF($C$2:C163,"&lt;&gt;"))</f>
        <v/>
      </c>
      <c r="B163" s="73"/>
      <c r="C163" s="73" t="str">
        <f>IFERROR(VLOOKUP($B163,'Hack Database'!$A:$J,2,FALSE),"")</f>
        <v/>
      </c>
      <c r="D163" s="73" t="str">
        <f>IFERROR(VLOOKUP($B163,'Hack Database'!$A:$J,3,FALSE),"")</f>
        <v/>
      </c>
      <c r="E163" s="79" t="str">
        <f>IFERROR(VLOOKUP($B163,'Hack Database'!$A:$J,4,FALSE),"")</f>
        <v/>
      </c>
      <c r="F163" s="73" t="str">
        <f>IFERROR(VLOOKUP($B163,'Hack Database'!$A:$J,5,FALSE),"")</f>
        <v/>
      </c>
      <c r="G163" s="73" t="str">
        <f>IFERROR(VLOOKUP($B163,'Hack Database'!$A:$J,6,FALSE),"")</f>
        <v/>
      </c>
      <c r="H163" s="80"/>
      <c r="I163" s="80"/>
      <c r="J163" s="73"/>
      <c r="K163" s="73" t="str">
        <f t="shared" si="2"/>
        <v/>
      </c>
      <c r="L163" s="79"/>
      <c r="M163" s="73"/>
      <c r="N163" s="73"/>
      <c r="O163" s="73"/>
      <c r="P163" s="87" t="str">
        <f>IFERROR(HYPERLINK(VLOOKUP($B163,'Online Database'!$A:$J,9,FALSE),"Open Page"),IFERROR(HYPERLINK(VLOOKUP($B163,'Manual Database'!$A:$J,9,FALSE),"Open Page"),""))</f>
        <v/>
      </c>
      <c r="Q163" s="87" t="str">
        <f>IFERROR(HYPERLINK(VLOOKUP($B163,'Online Database'!$A:$J,10,FALSE),"Download"),IFERROR(HYPERLINK(VLOOKUP($B163,'Manual Database'!$A:$J,10,FALSE),"Download"),""))</f>
        <v/>
      </c>
      <c r="R163" s="73"/>
    </row>
    <row r="164" spans="1:18" ht="22.05" customHeight="1">
      <c r="A164" s="77" t="str">
        <f>IF(C164="","",COUNTIF($C$2:C164,"&lt;&gt;"))</f>
        <v/>
      </c>
      <c r="B164" s="73"/>
      <c r="C164" s="73" t="str">
        <f>IFERROR(VLOOKUP($B164,'Hack Database'!$A:$J,2,FALSE),"")</f>
        <v/>
      </c>
      <c r="D164" s="73" t="str">
        <f>IFERROR(VLOOKUP($B164,'Hack Database'!$A:$J,3,FALSE),"")</f>
        <v/>
      </c>
      <c r="E164" s="79" t="str">
        <f>IFERROR(VLOOKUP($B164,'Hack Database'!$A:$J,4,FALSE),"")</f>
        <v/>
      </c>
      <c r="F164" s="73" t="str">
        <f>IFERROR(VLOOKUP($B164,'Hack Database'!$A:$J,5,FALSE),"")</f>
        <v/>
      </c>
      <c r="G164" s="73" t="str">
        <f>IFERROR(VLOOKUP($B164,'Hack Database'!$A:$J,6,FALSE),"")</f>
        <v/>
      </c>
      <c r="H164" s="80"/>
      <c r="I164" s="80"/>
      <c r="J164" s="73"/>
      <c r="K164" s="73" t="str">
        <f t="shared" si="2"/>
        <v/>
      </c>
      <c r="L164" s="79"/>
      <c r="M164" s="73"/>
      <c r="N164" s="73"/>
      <c r="O164" s="73"/>
      <c r="P164" s="87" t="str">
        <f>IFERROR(HYPERLINK(VLOOKUP($B164,'Online Database'!$A:$J,9,FALSE),"Open Page"),IFERROR(HYPERLINK(VLOOKUP($B164,'Manual Database'!$A:$J,9,FALSE),"Open Page"),""))</f>
        <v/>
      </c>
      <c r="Q164" s="87" t="str">
        <f>IFERROR(HYPERLINK(VLOOKUP($B164,'Online Database'!$A:$J,10,FALSE),"Download"),IFERROR(HYPERLINK(VLOOKUP($B164,'Manual Database'!$A:$J,10,FALSE),"Download"),""))</f>
        <v/>
      </c>
      <c r="R164" s="73"/>
    </row>
    <row r="165" spans="1:18" ht="22.05" customHeight="1">
      <c r="A165" s="77" t="str">
        <f>IF(C165="","",COUNTIF($C$2:C165,"&lt;&gt;"))</f>
        <v/>
      </c>
      <c r="B165" s="73"/>
      <c r="C165" s="73" t="str">
        <f>IFERROR(VLOOKUP($B165,'Hack Database'!$A:$J,2,FALSE),"")</f>
        <v/>
      </c>
      <c r="D165" s="73" t="str">
        <f>IFERROR(VLOOKUP($B165,'Hack Database'!$A:$J,3,FALSE),"")</f>
        <v/>
      </c>
      <c r="E165" s="79" t="str">
        <f>IFERROR(VLOOKUP($B165,'Hack Database'!$A:$J,4,FALSE),"")</f>
        <v/>
      </c>
      <c r="F165" s="73" t="str">
        <f>IFERROR(VLOOKUP($B165,'Hack Database'!$A:$J,5,FALSE),"")</f>
        <v/>
      </c>
      <c r="G165" s="73" t="str">
        <f>IFERROR(VLOOKUP($B165,'Hack Database'!$A:$J,6,FALSE),"")</f>
        <v/>
      </c>
      <c r="H165" s="80"/>
      <c r="I165" s="80"/>
      <c r="J165" s="73"/>
      <c r="K165" s="73" t="str">
        <f t="shared" si="2"/>
        <v/>
      </c>
      <c r="L165" s="79"/>
      <c r="M165" s="73"/>
      <c r="N165" s="73"/>
      <c r="O165" s="73"/>
      <c r="P165" s="87" t="str">
        <f>IFERROR(HYPERLINK(VLOOKUP($B165,'Online Database'!$A:$J,9,FALSE),"Open Page"),IFERROR(HYPERLINK(VLOOKUP($B165,'Manual Database'!$A:$J,9,FALSE),"Open Page"),""))</f>
        <v/>
      </c>
      <c r="Q165" s="87" t="str">
        <f>IFERROR(HYPERLINK(VLOOKUP($B165,'Online Database'!$A:$J,10,FALSE),"Download"),IFERROR(HYPERLINK(VLOOKUP($B165,'Manual Database'!$A:$J,10,FALSE),"Download"),""))</f>
        <v/>
      </c>
      <c r="R165" s="73"/>
    </row>
    <row r="166" spans="1:18" ht="22.05" customHeight="1">
      <c r="A166" s="77" t="str">
        <f>IF(C166="","",COUNTIF($C$2:C166,"&lt;&gt;"))</f>
        <v/>
      </c>
      <c r="B166" s="73"/>
      <c r="C166" s="73" t="str">
        <f>IFERROR(VLOOKUP($B166,'Hack Database'!$A:$J,2,FALSE),"")</f>
        <v/>
      </c>
      <c r="D166" s="73" t="str">
        <f>IFERROR(VLOOKUP($B166,'Hack Database'!$A:$J,3,FALSE),"")</f>
        <v/>
      </c>
      <c r="E166" s="79" t="str">
        <f>IFERROR(VLOOKUP($B166,'Hack Database'!$A:$J,4,FALSE),"")</f>
        <v/>
      </c>
      <c r="F166" s="73" t="str">
        <f>IFERROR(VLOOKUP($B166,'Hack Database'!$A:$J,5,FALSE),"")</f>
        <v/>
      </c>
      <c r="G166" s="73" t="str">
        <f>IFERROR(VLOOKUP($B166,'Hack Database'!$A:$J,6,FALSE),"")</f>
        <v/>
      </c>
      <c r="H166" s="80"/>
      <c r="I166" s="80"/>
      <c r="J166" s="73"/>
      <c r="K166" s="73" t="str">
        <f t="shared" si="2"/>
        <v/>
      </c>
      <c r="L166" s="79"/>
      <c r="M166" s="73"/>
      <c r="N166" s="73"/>
      <c r="O166" s="73"/>
      <c r="P166" s="87" t="str">
        <f>IFERROR(HYPERLINK(VLOOKUP($B166,'Online Database'!$A:$J,9,FALSE),"Open Page"),IFERROR(HYPERLINK(VLOOKUP($B166,'Manual Database'!$A:$J,9,FALSE),"Open Page"),""))</f>
        <v/>
      </c>
      <c r="Q166" s="87" t="str">
        <f>IFERROR(HYPERLINK(VLOOKUP($B166,'Online Database'!$A:$J,10,FALSE),"Download"),IFERROR(HYPERLINK(VLOOKUP($B166,'Manual Database'!$A:$J,10,FALSE),"Download"),""))</f>
        <v/>
      </c>
      <c r="R166" s="73"/>
    </row>
    <row r="167" spans="1:18" ht="22.05" customHeight="1">
      <c r="A167" s="77" t="str">
        <f>IF(C167="","",COUNTIF($C$2:C167,"&lt;&gt;"))</f>
        <v/>
      </c>
      <c r="B167" s="73"/>
      <c r="C167" s="73" t="str">
        <f>IFERROR(VLOOKUP($B167,'Hack Database'!$A:$J,2,FALSE),"")</f>
        <v/>
      </c>
      <c r="D167" s="73" t="str">
        <f>IFERROR(VLOOKUP($B167,'Hack Database'!$A:$J,3,FALSE),"")</f>
        <v/>
      </c>
      <c r="E167" s="79" t="str">
        <f>IFERROR(VLOOKUP($B167,'Hack Database'!$A:$J,4,FALSE),"")</f>
        <v/>
      </c>
      <c r="F167" s="73" t="str">
        <f>IFERROR(VLOOKUP($B167,'Hack Database'!$A:$J,5,FALSE),"")</f>
        <v/>
      </c>
      <c r="G167" s="73" t="str">
        <f>IFERROR(VLOOKUP($B167,'Hack Database'!$A:$J,6,FALSE),"")</f>
        <v/>
      </c>
      <c r="H167" s="80"/>
      <c r="I167" s="80"/>
      <c r="J167" s="73"/>
      <c r="K167" s="73" t="str">
        <f t="shared" si="2"/>
        <v/>
      </c>
      <c r="L167" s="79"/>
      <c r="M167" s="73"/>
      <c r="N167" s="73"/>
      <c r="O167" s="73"/>
      <c r="P167" s="87" t="str">
        <f>IFERROR(HYPERLINK(VLOOKUP($B167,'Online Database'!$A:$J,9,FALSE),"Open Page"),IFERROR(HYPERLINK(VLOOKUP($B167,'Manual Database'!$A:$J,9,FALSE),"Open Page"),""))</f>
        <v/>
      </c>
      <c r="Q167" s="87" t="str">
        <f>IFERROR(HYPERLINK(VLOOKUP($B167,'Online Database'!$A:$J,10,FALSE),"Download"),IFERROR(HYPERLINK(VLOOKUP($B167,'Manual Database'!$A:$J,10,FALSE),"Download"),""))</f>
        <v/>
      </c>
      <c r="R167" s="73"/>
    </row>
    <row r="168" spans="1:18" ht="22.05" customHeight="1">
      <c r="A168" s="77" t="str">
        <f>IF(C168="","",COUNTIF($C$2:C168,"&lt;&gt;"))</f>
        <v/>
      </c>
      <c r="B168" s="73"/>
      <c r="C168" s="73" t="str">
        <f>IFERROR(VLOOKUP($B168,'Hack Database'!$A:$J,2,FALSE),"")</f>
        <v/>
      </c>
      <c r="D168" s="73" t="str">
        <f>IFERROR(VLOOKUP($B168,'Hack Database'!$A:$J,3,FALSE),"")</f>
        <v/>
      </c>
      <c r="E168" s="79" t="str">
        <f>IFERROR(VLOOKUP($B168,'Hack Database'!$A:$J,4,FALSE),"")</f>
        <v/>
      </c>
      <c r="F168" s="73" t="str">
        <f>IFERROR(VLOOKUP($B168,'Hack Database'!$A:$J,5,FALSE),"")</f>
        <v/>
      </c>
      <c r="G168" s="73" t="str">
        <f>IFERROR(VLOOKUP($B168,'Hack Database'!$A:$J,6,FALSE),"")</f>
        <v/>
      </c>
      <c r="H168" s="80"/>
      <c r="I168" s="80"/>
      <c r="J168" s="73"/>
      <c r="K168" s="73" t="str">
        <f t="shared" si="2"/>
        <v/>
      </c>
      <c r="L168" s="79"/>
      <c r="M168" s="73"/>
      <c r="N168" s="73"/>
      <c r="O168" s="73"/>
      <c r="P168" s="87" t="str">
        <f>IFERROR(HYPERLINK(VLOOKUP($B168,'Online Database'!$A:$J,9,FALSE),"Open Page"),IFERROR(HYPERLINK(VLOOKUP($B168,'Manual Database'!$A:$J,9,FALSE),"Open Page"),""))</f>
        <v/>
      </c>
      <c r="Q168" s="87" t="str">
        <f>IFERROR(HYPERLINK(VLOOKUP($B168,'Online Database'!$A:$J,10,FALSE),"Download"),IFERROR(HYPERLINK(VLOOKUP($B168,'Manual Database'!$A:$J,10,FALSE),"Download"),""))</f>
        <v/>
      </c>
      <c r="R168" s="73"/>
    </row>
    <row r="169" spans="1:18" ht="22.05" customHeight="1">
      <c r="A169" s="77" t="str">
        <f>IF(C169="","",COUNTIF($C$2:C169,"&lt;&gt;"))</f>
        <v/>
      </c>
      <c r="B169" s="73"/>
      <c r="C169" s="73" t="str">
        <f>IFERROR(VLOOKUP($B169,'Hack Database'!$A:$J,2,FALSE),"")</f>
        <v/>
      </c>
      <c r="D169" s="73" t="str">
        <f>IFERROR(VLOOKUP($B169,'Hack Database'!$A:$J,3,FALSE),"")</f>
        <v/>
      </c>
      <c r="E169" s="79" t="str">
        <f>IFERROR(VLOOKUP($B169,'Hack Database'!$A:$J,4,FALSE),"")</f>
        <v/>
      </c>
      <c r="F169" s="73" t="str">
        <f>IFERROR(VLOOKUP($B169,'Hack Database'!$A:$J,5,FALSE),"")</f>
        <v/>
      </c>
      <c r="G169" s="73" t="str">
        <f>IFERROR(VLOOKUP($B169,'Hack Database'!$A:$J,6,FALSE),"")</f>
        <v/>
      </c>
      <c r="H169" s="80"/>
      <c r="I169" s="80"/>
      <c r="J169" s="73"/>
      <c r="K169" s="73" t="str">
        <f t="shared" si="2"/>
        <v/>
      </c>
      <c r="L169" s="79"/>
      <c r="M169" s="73"/>
      <c r="N169" s="73"/>
      <c r="O169" s="73"/>
      <c r="P169" s="87" t="str">
        <f>IFERROR(HYPERLINK(VLOOKUP($B169,'Online Database'!$A:$J,9,FALSE),"Open Page"),IFERROR(HYPERLINK(VLOOKUP($B169,'Manual Database'!$A:$J,9,FALSE),"Open Page"),""))</f>
        <v/>
      </c>
      <c r="Q169" s="87" t="str">
        <f>IFERROR(HYPERLINK(VLOOKUP($B169,'Online Database'!$A:$J,10,FALSE),"Download"),IFERROR(HYPERLINK(VLOOKUP($B169,'Manual Database'!$A:$J,10,FALSE),"Download"),""))</f>
        <v/>
      </c>
      <c r="R169" s="73"/>
    </row>
    <row r="170" spans="1:18" ht="22.05" customHeight="1">
      <c r="A170" s="77" t="str">
        <f>IF(C170="","",COUNTIF($C$2:C170,"&lt;&gt;"))</f>
        <v/>
      </c>
      <c r="B170" s="73"/>
      <c r="C170" s="73" t="str">
        <f>IFERROR(VLOOKUP($B170,'Hack Database'!$A:$J,2,FALSE),"")</f>
        <v/>
      </c>
      <c r="D170" s="73" t="str">
        <f>IFERROR(VLOOKUP($B170,'Hack Database'!$A:$J,3,FALSE),"")</f>
        <v/>
      </c>
      <c r="E170" s="79" t="str">
        <f>IFERROR(VLOOKUP($B170,'Hack Database'!$A:$J,4,FALSE),"")</f>
        <v/>
      </c>
      <c r="F170" s="73" t="str">
        <f>IFERROR(VLOOKUP($B170,'Hack Database'!$A:$J,5,FALSE),"")</f>
        <v/>
      </c>
      <c r="G170" s="73" t="str">
        <f>IFERROR(VLOOKUP($B170,'Hack Database'!$A:$J,6,FALSE),"")</f>
        <v/>
      </c>
      <c r="H170" s="80"/>
      <c r="I170" s="80"/>
      <c r="J170" s="73"/>
      <c r="K170" s="73" t="str">
        <f t="shared" si="2"/>
        <v/>
      </c>
      <c r="L170" s="79"/>
      <c r="M170" s="73"/>
      <c r="N170" s="73"/>
      <c r="O170" s="73"/>
      <c r="P170" s="87" t="str">
        <f>IFERROR(HYPERLINK(VLOOKUP($B170,'Online Database'!$A:$J,9,FALSE),"Open Page"),IFERROR(HYPERLINK(VLOOKUP($B170,'Manual Database'!$A:$J,9,FALSE),"Open Page"),""))</f>
        <v/>
      </c>
      <c r="Q170" s="87" t="str">
        <f>IFERROR(HYPERLINK(VLOOKUP($B170,'Online Database'!$A:$J,10,FALSE),"Download"),IFERROR(HYPERLINK(VLOOKUP($B170,'Manual Database'!$A:$J,10,FALSE),"Download"),""))</f>
        <v/>
      </c>
      <c r="R170" s="73"/>
    </row>
    <row r="171" spans="1:18" ht="22.05" customHeight="1">
      <c r="A171" s="77" t="str">
        <f>IF(C171="","",COUNTIF($C$2:C171,"&lt;&gt;"))</f>
        <v/>
      </c>
      <c r="B171" s="73"/>
      <c r="C171" s="73" t="str">
        <f>IFERROR(VLOOKUP($B171,'Hack Database'!$A:$J,2,FALSE),"")</f>
        <v/>
      </c>
      <c r="D171" s="73" t="str">
        <f>IFERROR(VLOOKUP($B171,'Hack Database'!$A:$J,3,FALSE),"")</f>
        <v/>
      </c>
      <c r="E171" s="79" t="str">
        <f>IFERROR(VLOOKUP($B171,'Hack Database'!$A:$J,4,FALSE),"")</f>
        <v/>
      </c>
      <c r="F171" s="73" t="str">
        <f>IFERROR(VLOOKUP($B171,'Hack Database'!$A:$J,5,FALSE),"")</f>
        <v/>
      </c>
      <c r="G171" s="73" t="str">
        <f>IFERROR(VLOOKUP($B171,'Hack Database'!$A:$J,6,FALSE),"")</f>
        <v/>
      </c>
      <c r="H171" s="80"/>
      <c r="I171" s="80"/>
      <c r="J171" s="73"/>
      <c r="K171" s="73" t="str">
        <f t="shared" si="2"/>
        <v/>
      </c>
      <c r="L171" s="79"/>
      <c r="M171" s="73"/>
      <c r="N171" s="73"/>
      <c r="O171" s="73"/>
      <c r="P171" s="87" t="str">
        <f>IFERROR(HYPERLINK(VLOOKUP($B171,'Online Database'!$A:$J,9,FALSE),"Open Page"),IFERROR(HYPERLINK(VLOOKUP($B171,'Manual Database'!$A:$J,9,FALSE),"Open Page"),""))</f>
        <v/>
      </c>
      <c r="Q171" s="87" t="str">
        <f>IFERROR(HYPERLINK(VLOOKUP($B171,'Online Database'!$A:$J,10,FALSE),"Download"),IFERROR(HYPERLINK(VLOOKUP($B171,'Manual Database'!$A:$J,10,FALSE),"Download"),""))</f>
        <v/>
      </c>
      <c r="R171" s="73"/>
    </row>
    <row r="172" spans="1:18" ht="22.05" customHeight="1">
      <c r="A172" s="77" t="str">
        <f>IF(C172="","",COUNTIF($C$2:C172,"&lt;&gt;"))</f>
        <v/>
      </c>
      <c r="B172" s="73"/>
      <c r="C172" s="73" t="str">
        <f>IFERROR(VLOOKUP($B172,'Hack Database'!$A:$J,2,FALSE),"")</f>
        <v/>
      </c>
      <c r="D172" s="73" t="str">
        <f>IFERROR(VLOOKUP($B172,'Hack Database'!$A:$J,3,FALSE),"")</f>
        <v/>
      </c>
      <c r="E172" s="79" t="str">
        <f>IFERROR(VLOOKUP($B172,'Hack Database'!$A:$J,4,FALSE),"")</f>
        <v/>
      </c>
      <c r="F172" s="73" t="str">
        <f>IFERROR(VLOOKUP($B172,'Hack Database'!$A:$J,5,FALSE),"")</f>
        <v/>
      </c>
      <c r="G172" s="73" t="str">
        <f>IFERROR(VLOOKUP($B172,'Hack Database'!$A:$J,6,FALSE),"")</f>
        <v/>
      </c>
      <c r="H172" s="80"/>
      <c r="I172" s="80"/>
      <c r="J172" s="73"/>
      <c r="K172" s="73" t="str">
        <f t="shared" si="2"/>
        <v/>
      </c>
      <c r="L172" s="79"/>
      <c r="M172" s="73"/>
      <c r="N172" s="73"/>
      <c r="O172" s="73"/>
      <c r="P172" s="87" t="str">
        <f>IFERROR(HYPERLINK(VLOOKUP($B172,'Online Database'!$A:$J,9,FALSE),"Open Page"),IFERROR(HYPERLINK(VLOOKUP($B172,'Manual Database'!$A:$J,9,FALSE),"Open Page"),""))</f>
        <v/>
      </c>
      <c r="Q172" s="87" t="str">
        <f>IFERROR(HYPERLINK(VLOOKUP($B172,'Online Database'!$A:$J,10,FALSE),"Download"),IFERROR(HYPERLINK(VLOOKUP($B172,'Manual Database'!$A:$J,10,FALSE),"Download"),""))</f>
        <v/>
      </c>
      <c r="R172" s="73"/>
    </row>
    <row r="173" spans="1:18" ht="22.05" customHeight="1">
      <c r="A173" s="77" t="str">
        <f>IF(C173="","",COUNTIF($C$2:C173,"&lt;&gt;"))</f>
        <v/>
      </c>
      <c r="B173" s="73"/>
      <c r="C173" s="73" t="str">
        <f>IFERROR(VLOOKUP($B173,'Hack Database'!$A:$J,2,FALSE),"")</f>
        <v/>
      </c>
      <c r="D173" s="73" t="str">
        <f>IFERROR(VLOOKUP($B173,'Hack Database'!$A:$J,3,FALSE),"")</f>
        <v/>
      </c>
      <c r="E173" s="79" t="str">
        <f>IFERROR(VLOOKUP($B173,'Hack Database'!$A:$J,4,FALSE),"")</f>
        <v/>
      </c>
      <c r="F173" s="73" t="str">
        <f>IFERROR(VLOOKUP($B173,'Hack Database'!$A:$J,5,FALSE),"")</f>
        <v/>
      </c>
      <c r="G173" s="73" t="str">
        <f>IFERROR(VLOOKUP($B173,'Hack Database'!$A:$J,6,FALSE),"")</f>
        <v/>
      </c>
      <c r="H173" s="80"/>
      <c r="I173" s="80"/>
      <c r="J173" s="73"/>
      <c r="K173" s="73" t="str">
        <f t="shared" si="2"/>
        <v/>
      </c>
      <c r="L173" s="79"/>
      <c r="M173" s="73"/>
      <c r="N173" s="73"/>
      <c r="O173" s="73"/>
      <c r="P173" s="87" t="str">
        <f>IFERROR(HYPERLINK(VLOOKUP($B173,'Online Database'!$A:$J,9,FALSE),"Open Page"),IFERROR(HYPERLINK(VLOOKUP($B173,'Manual Database'!$A:$J,9,FALSE),"Open Page"),""))</f>
        <v/>
      </c>
      <c r="Q173" s="87" t="str">
        <f>IFERROR(HYPERLINK(VLOOKUP($B173,'Online Database'!$A:$J,10,FALSE),"Download"),IFERROR(HYPERLINK(VLOOKUP($B173,'Manual Database'!$A:$J,10,FALSE),"Download"),""))</f>
        <v/>
      </c>
      <c r="R173" s="73"/>
    </row>
    <row r="174" spans="1:18" ht="22.05" customHeight="1">
      <c r="A174" s="77" t="str">
        <f>IF(C174="","",COUNTIF($C$2:C174,"&lt;&gt;"))</f>
        <v/>
      </c>
      <c r="B174" s="73"/>
      <c r="C174" s="73" t="str">
        <f>IFERROR(VLOOKUP($B174,'Hack Database'!$A:$J,2,FALSE),"")</f>
        <v/>
      </c>
      <c r="D174" s="73" t="str">
        <f>IFERROR(VLOOKUP($B174,'Hack Database'!$A:$J,3,FALSE),"")</f>
        <v/>
      </c>
      <c r="E174" s="79" t="str">
        <f>IFERROR(VLOOKUP($B174,'Hack Database'!$A:$J,4,FALSE),"")</f>
        <v/>
      </c>
      <c r="F174" s="73" t="str">
        <f>IFERROR(VLOOKUP($B174,'Hack Database'!$A:$J,5,FALSE),"")</f>
        <v/>
      </c>
      <c r="G174" s="73" t="str">
        <f>IFERROR(VLOOKUP($B174,'Hack Database'!$A:$J,6,FALSE),"")</f>
        <v/>
      </c>
      <c r="H174" s="80"/>
      <c r="I174" s="80"/>
      <c r="J174" s="73"/>
      <c r="K174" s="73" t="str">
        <f t="shared" si="2"/>
        <v/>
      </c>
      <c r="L174" s="79"/>
      <c r="M174" s="73"/>
      <c r="N174" s="73"/>
      <c r="O174" s="73"/>
      <c r="P174" s="87" t="str">
        <f>IFERROR(HYPERLINK(VLOOKUP($B174,'Online Database'!$A:$J,9,FALSE),"Open Page"),IFERROR(HYPERLINK(VLOOKUP($B174,'Manual Database'!$A:$J,9,FALSE),"Open Page"),""))</f>
        <v/>
      </c>
      <c r="Q174" s="87" t="str">
        <f>IFERROR(HYPERLINK(VLOOKUP($B174,'Online Database'!$A:$J,10,FALSE),"Download"),IFERROR(HYPERLINK(VLOOKUP($B174,'Manual Database'!$A:$J,10,FALSE),"Download"),""))</f>
        <v/>
      </c>
      <c r="R174" s="73"/>
    </row>
    <row r="175" spans="1:18" ht="22.05" customHeight="1">
      <c r="A175" s="77" t="str">
        <f>IF(C175="","",COUNTIF($C$2:C175,"&lt;&gt;"))</f>
        <v/>
      </c>
      <c r="B175" s="73"/>
      <c r="C175" s="73" t="str">
        <f>IFERROR(VLOOKUP($B175,'Hack Database'!$A:$J,2,FALSE),"")</f>
        <v/>
      </c>
      <c r="D175" s="73" t="str">
        <f>IFERROR(VLOOKUP($B175,'Hack Database'!$A:$J,3,FALSE),"")</f>
        <v/>
      </c>
      <c r="E175" s="79" t="str">
        <f>IFERROR(VLOOKUP($B175,'Hack Database'!$A:$J,4,FALSE),"")</f>
        <v/>
      </c>
      <c r="F175" s="73" t="str">
        <f>IFERROR(VLOOKUP($B175,'Hack Database'!$A:$J,5,FALSE),"")</f>
        <v/>
      </c>
      <c r="G175" s="73" t="str">
        <f>IFERROR(VLOOKUP($B175,'Hack Database'!$A:$J,6,FALSE),"")</f>
        <v/>
      </c>
      <c r="H175" s="80"/>
      <c r="I175" s="80"/>
      <c r="J175" s="73"/>
      <c r="K175" s="73" t="str">
        <f t="shared" si="2"/>
        <v/>
      </c>
      <c r="L175" s="79"/>
      <c r="M175" s="73"/>
      <c r="N175" s="73"/>
      <c r="O175" s="73"/>
      <c r="P175" s="87" t="str">
        <f>IFERROR(HYPERLINK(VLOOKUP($B175,'Online Database'!$A:$J,9,FALSE),"Open Page"),IFERROR(HYPERLINK(VLOOKUP($B175,'Manual Database'!$A:$J,9,FALSE),"Open Page"),""))</f>
        <v/>
      </c>
      <c r="Q175" s="87" t="str">
        <f>IFERROR(HYPERLINK(VLOOKUP($B175,'Online Database'!$A:$J,10,FALSE),"Download"),IFERROR(HYPERLINK(VLOOKUP($B175,'Manual Database'!$A:$J,10,FALSE),"Download"),""))</f>
        <v/>
      </c>
      <c r="R175" s="73"/>
    </row>
    <row r="176" spans="1:18" ht="22.05" customHeight="1">
      <c r="A176" s="77" t="str">
        <f>IF(C176="","",COUNTIF($C$2:C176,"&lt;&gt;"))</f>
        <v/>
      </c>
      <c r="B176" s="73"/>
      <c r="C176" s="73" t="str">
        <f>IFERROR(VLOOKUP($B176,'Hack Database'!$A:$J,2,FALSE),"")</f>
        <v/>
      </c>
      <c r="D176" s="73" t="str">
        <f>IFERROR(VLOOKUP($B176,'Hack Database'!$A:$J,3,FALSE),"")</f>
        <v/>
      </c>
      <c r="E176" s="79" t="str">
        <f>IFERROR(VLOOKUP($B176,'Hack Database'!$A:$J,4,FALSE),"")</f>
        <v/>
      </c>
      <c r="F176" s="73" t="str">
        <f>IFERROR(VLOOKUP($B176,'Hack Database'!$A:$J,5,FALSE),"")</f>
        <v/>
      </c>
      <c r="G176" s="73" t="str">
        <f>IFERROR(VLOOKUP($B176,'Hack Database'!$A:$J,6,FALSE),"")</f>
        <v/>
      </c>
      <c r="H176" s="80"/>
      <c r="I176" s="80"/>
      <c r="J176" s="73"/>
      <c r="K176" s="73" t="str">
        <f t="shared" si="2"/>
        <v/>
      </c>
      <c r="L176" s="79"/>
      <c r="M176" s="73"/>
      <c r="N176" s="73"/>
      <c r="O176" s="73"/>
      <c r="P176" s="87" t="str">
        <f>IFERROR(HYPERLINK(VLOOKUP($B176,'Online Database'!$A:$J,9,FALSE),"Open Page"),IFERROR(HYPERLINK(VLOOKUP($B176,'Manual Database'!$A:$J,9,FALSE),"Open Page"),""))</f>
        <v/>
      </c>
      <c r="Q176" s="87" t="str">
        <f>IFERROR(HYPERLINK(VLOOKUP($B176,'Online Database'!$A:$J,10,FALSE),"Download"),IFERROR(HYPERLINK(VLOOKUP($B176,'Manual Database'!$A:$J,10,FALSE),"Download"),""))</f>
        <v/>
      </c>
      <c r="R176" s="73"/>
    </row>
    <row r="177" spans="1:18" ht="22.05" customHeight="1">
      <c r="A177" s="77" t="str">
        <f>IF(C177="","",COUNTIF($C$2:C177,"&lt;&gt;"))</f>
        <v/>
      </c>
      <c r="B177" s="73"/>
      <c r="C177" s="73" t="str">
        <f>IFERROR(VLOOKUP($B177,'Hack Database'!$A:$J,2,FALSE),"")</f>
        <v/>
      </c>
      <c r="D177" s="73" t="str">
        <f>IFERROR(VLOOKUP($B177,'Hack Database'!$A:$J,3,FALSE),"")</f>
        <v/>
      </c>
      <c r="E177" s="79" t="str">
        <f>IFERROR(VLOOKUP($B177,'Hack Database'!$A:$J,4,FALSE),"")</f>
        <v/>
      </c>
      <c r="F177" s="73" t="str">
        <f>IFERROR(VLOOKUP($B177,'Hack Database'!$A:$J,5,FALSE),"")</f>
        <v/>
      </c>
      <c r="G177" s="73" t="str">
        <f>IFERROR(VLOOKUP($B177,'Hack Database'!$A:$J,6,FALSE),"")</f>
        <v/>
      </c>
      <c r="H177" s="80"/>
      <c r="I177" s="80"/>
      <c r="J177" s="73"/>
      <c r="K177" s="73" t="str">
        <f t="shared" si="2"/>
        <v/>
      </c>
      <c r="L177" s="79"/>
      <c r="M177" s="73"/>
      <c r="N177" s="73"/>
      <c r="O177" s="73"/>
      <c r="P177" s="87" t="str">
        <f>IFERROR(HYPERLINK(VLOOKUP($B177,'Online Database'!$A:$J,9,FALSE),"Open Page"),IFERROR(HYPERLINK(VLOOKUP($B177,'Manual Database'!$A:$J,9,FALSE),"Open Page"),""))</f>
        <v/>
      </c>
      <c r="Q177" s="87" t="str">
        <f>IFERROR(HYPERLINK(VLOOKUP($B177,'Online Database'!$A:$J,10,FALSE),"Download"),IFERROR(HYPERLINK(VLOOKUP($B177,'Manual Database'!$A:$J,10,FALSE),"Download"),""))</f>
        <v/>
      </c>
      <c r="R177" s="73"/>
    </row>
    <row r="178" spans="1:18" ht="22.05" customHeight="1">
      <c r="A178" s="77" t="str">
        <f>IF(C178="","",COUNTIF($C$2:C178,"&lt;&gt;"))</f>
        <v/>
      </c>
      <c r="B178" s="73"/>
      <c r="C178" s="73" t="str">
        <f>IFERROR(VLOOKUP($B178,'Hack Database'!$A:$J,2,FALSE),"")</f>
        <v/>
      </c>
      <c r="D178" s="73" t="str">
        <f>IFERROR(VLOOKUP($B178,'Hack Database'!$A:$J,3,FALSE),"")</f>
        <v/>
      </c>
      <c r="E178" s="79" t="str">
        <f>IFERROR(VLOOKUP($B178,'Hack Database'!$A:$J,4,FALSE),"")</f>
        <v/>
      </c>
      <c r="F178" s="73" t="str">
        <f>IFERROR(VLOOKUP($B178,'Hack Database'!$A:$J,5,FALSE),"")</f>
        <v/>
      </c>
      <c r="G178" s="73" t="str">
        <f>IFERROR(VLOOKUP($B178,'Hack Database'!$A:$J,6,FALSE),"")</f>
        <v/>
      </c>
      <c r="H178" s="80"/>
      <c r="I178" s="80"/>
      <c r="J178" s="73"/>
      <c r="K178" s="73" t="str">
        <f t="shared" si="2"/>
        <v/>
      </c>
      <c r="L178" s="79"/>
      <c r="M178" s="73"/>
      <c r="N178" s="73"/>
      <c r="O178" s="73"/>
      <c r="P178" s="87" t="str">
        <f>IFERROR(HYPERLINK(VLOOKUP($B178,'Online Database'!$A:$J,9,FALSE),"Open Page"),IFERROR(HYPERLINK(VLOOKUP($B178,'Manual Database'!$A:$J,9,FALSE),"Open Page"),""))</f>
        <v/>
      </c>
      <c r="Q178" s="87" t="str">
        <f>IFERROR(HYPERLINK(VLOOKUP($B178,'Online Database'!$A:$J,10,FALSE),"Download"),IFERROR(HYPERLINK(VLOOKUP($B178,'Manual Database'!$A:$J,10,FALSE),"Download"),""))</f>
        <v/>
      </c>
      <c r="R178" s="73"/>
    </row>
    <row r="179" spans="1:18" ht="22.05" customHeight="1">
      <c r="A179" s="77" t="str">
        <f>IF(C179="","",COUNTIF($C$2:C179,"&lt;&gt;"))</f>
        <v/>
      </c>
      <c r="B179" s="73"/>
      <c r="C179" s="73" t="str">
        <f>IFERROR(VLOOKUP($B179,'Hack Database'!$A:$J,2,FALSE),"")</f>
        <v/>
      </c>
      <c r="D179" s="73" t="str">
        <f>IFERROR(VLOOKUP($B179,'Hack Database'!$A:$J,3,FALSE),"")</f>
        <v/>
      </c>
      <c r="E179" s="79" t="str">
        <f>IFERROR(VLOOKUP($B179,'Hack Database'!$A:$J,4,FALSE),"")</f>
        <v/>
      </c>
      <c r="F179" s="73" t="str">
        <f>IFERROR(VLOOKUP($B179,'Hack Database'!$A:$J,5,FALSE),"")</f>
        <v/>
      </c>
      <c r="G179" s="73" t="str">
        <f>IFERROR(VLOOKUP($B179,'Hack Database'!$A:$J,6,FALSE),"")</f>
        <v/>
      </c>
      <c r="H179" s="80"/>
      <c r="I179" s="80"/>
      <c r="J179" s="73"/>
      <c r="K179" s="73" t="str">
        <f t="shared" si="2"/>
        <v/>
      </c>
      <c r="L179" s="79"/>
      <c r="M179" s="73"/>
      <c r="N179" s="73"/>
      <c r="O179" s="73"/>
      <c r="P179" s="87" t="str">
        <f>IFERROR(HYPERLINK(VLOOKUP($B179,'Online Database'!$A:$J,9,FALSE),"Open Page"),IFERROR(HYPERLINK(VLOOKUP($B179,'Manual Database'!$A:$J,9,FALSE),"Open Page"),""))</f>
        <v/>
      </c>
      <c r="Q179" s="87" t="str">
        <f>IFERROR(HYPERLINK(VLOOKUP($B179,'Online Database'!$A:$J,10,FALSE),"Download"),IFERROR(HYPERLINK(VLOOKUP($B179,'Manual Database'!$A:$J,10,FALSE),"Download"),""))</f>
        <v/>
      </c>
      <c r="R179" s="73"/>
    </row>
    <row r="180" spans="1:18" ht="22.05" customHeight="1">
      <c r="A180" s="77" t="str">
        <f>IF(C180="","",COUNTIF($C$2:C180,"&lt;&gt;"))</f>
        <v/>
      </c>
      <c r="B180" s="73"/>
      <c r="C180" s="73" t="str">
        <f>IFERROR(VLOOKUP($B180,'Hack Database'!$A:$J,2,FALSE),"")</f>
        <v/>
      </c>
      <c r="D180" s="73" t="str">
        <f>IFERROR(VLOOKUP($B180,'Hack Database'!$A:$J,3,FALSE),"")</f>
        <v/>
      </c>
      <c r="E180" s="79" t="str">
        <f>IFERROR(VLOOKUP($B180,'Hack Database'!$A:$J,4,FALSE),"")</f>
        <v/>
      </c>
      <c r="F180" s="73" t="str">
        <f>IFERROR(VLOOKUP($B180,'Hack Database'!$A:$J,5,FALSE),"")</f>
        <v/>
      </c>
      <c r="G180" s="73" t="str">
        <f>IFERROR(VLOOKUP($B180,'Hack Database'!$A:$J,6,FALSE),"")</f>
        <v/>
      </c>
      <c r="H180" s="80"/>
      <c r="I180" s="80"/>
      <c r="J180" s="73"/>
      <c r="K180" s="73" t="str">
        <f t="shared" si="2"/>
        <v/>
      </c>
      <c r="L180" s="79"/>
      <c r="M180" s="73"/>
      <c r="N180" s="73"/>
      <c r="O180" s="73"/>
      <c r="P180" s="87" t="str">
        <f>IFERROR(HYPERLINK(VLOOKUP($B180,'Online Database'!$A:$J,9,FALSE),"Open Page"),IFERROR(HYPERLINK(VLOOKUP($B180,'Manual Database'!$A:$J,9,FALSE),"Open Page"),""))</f>
        <v/>
      </c>
      <c r="Q180" s="87" t="str">
        <f>IFERROR(HYPERLINK(VLOOKUP($B180,'Online Database'!$A:$J,10,FALSE),"Download"),IFERROR(HYPERLINK(VLOOKUP($B180,'Manual Database'!$A:$J,10,FALSE),"Download"),""))</f>
        <v/>
      </c>
      <c r="R180" s="73"/>
    </row>
    <row r="181" spans="1:18" ht="22.05" customHeight="1">
      <c r="A181" s="77" t="str">
        <f>IF(C181="","",COUNTIF($C$2:C181,"&lt;&gt;"))</f>
        <v/>
      </c>
      <c r="B181" s="73"/>
      <c r="C181" s="73" t="str">
        <f>IFERROR(VLOOKUP($B181,'Hack Database'!$A:$J,2,FALSE),"")</f>
        <v/>
      </c>
      <c r="D181" s="73" t="str">
        <f>IFERROR(VLOOKUP($B181,'Hack Database'!$A:$J,3,FALSE),"")</f>
        <v/>
      </c>
      <c r="E181" s="79" t="str">
        <f>IFERROR(VLOOKUP($B181,'Hack Database'!$A:$J,4,FALSE),"")</f>
        <v/>
      </c>
      <c r="F181" s="73" t="str">
        <f>IFERROR(VLOOKUP($B181,'Hack Database'!$A:$J,5,FALSE),"")</f>
        <v/>
      </c>
      <c r="G181" s="73" t="str">
        <f>IFERROR(VLOOKUP($B181,'Hack Database'!$A:$J,6,FALSE),"")</f>
        <v/>
      </c>
      <c r="H181" s="80"/>
      <c r="I181" s="80"/>
      <c r="J181" s="73"/>
      <c r="K181" s="73" t="str">
        <f t="shared" si="2"/>
        <v/>
      </c>
      <c r="L181" s="79"/>
      <c r="M181" s="73"/>
      <c r="N181" s="73"/>
      <c r="O181" s="73"/>
      <c r="P181" s="87" t="str">
        <f>IFERROR(HYPERLINK(VLOOKUP($B181,'Online Database'!$A:$J,9,FALSE),"Open Page"),IFERROR(HYPERLINK(VLOOKUP($B181,'Manual Database'!$A:$J,9,FALSE),"Open Page"),""))</f>
        <v/>
      </c>
      <c r="Q181" s="87" t="str">
        <f>IFERROR(HYPERLINK(VLOOKUP($B181,'Online Database'!$A:$J,10,FALSE),"Download"),IFERROR(HYPERLINK(VLOOKUP($B181,'Manual Database'!$A:$J,10,FALSE),"Download"),""))</f>
        <v/>
      </c>
      <c r="R181" s="73"/>
    </row>
    <row r="182" spans="1:18" ht="22.05" customHeight="1">
      <c r="A182" s="77" t="str">
        <f>IF(C182="","",COUNTIF($C$2:C182,"&lt;&gt;"))</f>
        <v/>
      </c>
      <c r="B182" s="73"/>
      <c r="C182" s="73" t="str">
        <f>IFERROR(VLOOKUP($B182,'Hack Database'!$A:$J,2,FALSE),"")</f>
        <v/>
      </c>
      <c r="D182" s="73" t="str">
        <f>IFERROR(VLOOKUP($B182,'Hack Database'!$A:$J,3,FALSE),"")</f>
        <v/>
      </c>
      <c r="E182" s="79" t="str">
        <f>IFERROR(VLOOKUP($B182,'Hack Database'!$A:$J,4,FALSE),"")</f>
        <v/>
      </c>
      <c r="F182" s="73" t="str">
        <f>IFERROR(VLOOKUP($B182,'Hack Database'!$A:$J,5,FALSE),"")</f>
        <v/>
      </c>
      <c r="G182" s="73" t="str">
        <f>IFERROR(VLOOKUP($B182,'Hack Database'!$A:$J,6,FALSE),"")</f>
        <v/>
      </c>
      <c r="H182" s="80"/>
      <c r="I182" s="80"/>
      <c r="J182" s="73"/>
      <c r="K182" s="73" t="str">
        <f t="shared" si="2"/>
        <v/>
      </c>
      <c r="L182" s="79"/>
      <c r="M182" s="73"/>
      <c r="N182" s="73"/>
      <c r="O182" s="73"/>
      <c r="P182" s="87" t="str">
        <f>IFERROR(HYPERLINK(VLOOKUP($B182,'Online Database'!$A:$J,9,FALSE),"Open Page"),IFERROR(HYPERLINK(VLOOKUP($B182,'Manual Database'!$A:$J,9,FALSE),"Open Page"),""))</f>
        <v/>
      </c>
      <c r="Q182" s="87" t="str">
        <f>IFERROR(HYPERLINK(VLOOKUP($B182,'Online Database'!$A:$J,10,FALSE),"Download"),IFERROR(HYPERLINK(VLOOKUP($B182,'Manual Database'!$A:$J,10,FALSE),"Download"),""))</f>
        <v/>
      </c>
      <c r="R182" s="73"/>
    </row>
    <row r="183" spans="1:18" ht="22.05" customHeight="1">
      <c r="A183" s="77" t="str">
        <f>IF(C183="","",COUNTIF($C$2:C183,"&lt;&gt;"))</f>
        <v/>
      </c>
      <c r="B183" s="73"/>
      <c r="C183" s="73" t="str">
        <f>IFERROR(VLOOKUP($B183,'Hack Database'!$A:$J,2,FALSE),"")</f>
        <v/>
      </c>
      <c r="D183" s="73" t="str">
        <f>IFERROR(VLOOKUP($B183,'Hack Database'!$A:$J,3,FALSE),"")</f>
        <v/>
      </c>
      <c r="E183" s="79" t="str">
        <f>IFERROR(VLOOKUP($B183,'Hack Database'!$A:$J,4,FALSE),"")</f>
        <v/>
      </c>
      <c r="F183" s="73" t="str">
        <f>IFERROR(VLOOKUP($B183,'Hack Database'!$A:$J,5,FALSE),"")</f>
        <v/>
      </c>
      <c r="G183" s="73" t="str">
        <f>IFERROR(VLOOKUP($B183,'Hack Database'!$A:$J,6,FALSE),"")</f>
        <v/>
      </c>
      <c r="H183" s="80"/>
      <c r="I183" s="80"/>
      <c r="J183" s="73"/>
      <c r="K183" s="73" t="str">
        <f t="shared" si="2"/>
        <v/>
      </c>
      <c r="L183" s="79"/>
      <c r="M183" s="73"/>
      <c r="N183" s="73"/>
      <c r="O183" s="73"/>
      <c r="P183" s="87" t="str">
        <f>IFERROR(HYPERLINK(VLOOKUP($B183,'Online Database'!$A:$J,9,FALSE),"Open Page"),IFERROR(HYPERLINK(VLOOKUP($B183,'Manual Database'!$A:$J,9,FALSE),"Open Page"),""))</f>
        <v/>
      </c>
      <c r="Q183" s="87" t="str">
        <f>IFERROR(HYPERLINK(VLOOKUP($B183,'Online Database'!$A:$J,10,FALSE),"Download"),IFERROR(HYPERLINK(VLOOKUP($B183,'Manual Database'!$A:$J,10,FALSE),"Download"),""))</f>
        <v/>
      </c>
      <c r="R183" s="73"/>
    </row>
    <row r="184" spans="1:18" ht="22.05" customHeight="1">
      <c r="A184" s="77" t="str">
        <f>IF(C184="","",COUNTIF($C$2:C184,"&lt;&gt;"))</f>
        <v/>
      </c>
      <c r="B184" s="73"/>
      <c r="C184" s="73" t="str">
        <f>IFERROR(VLOOKUP($B184,'Hack Database'!$A:$J,2,FALSE),"")</f>
        <v/>
      </c>
      <c r="D184" s="73" t="str">
        <f>IFERROR(VLOOKUP($B184,'Hack Database'!$A:$J,3,FALSE),"")</f>
        <v/>
      </c>
      <c r="E184" s="79" t="str">
        <f>IFERROR(VLOOKUP($B184,'Hack Database'!$A:$J,4,FALSE),"")</f>
        <v/>
      </c>
      <c r="F184" s="73" t="str">
        <f>IFERROR(VLOOKUP($B184,'Hack Database'!$A:$J,5,FALSE),"")</f>
        <v/>
      </c>
      <c r="G184" s="73" t="str">
        <f>IFERROR(VLOOKUP($B184,'Hack Database'!$A:$J,6,FALSE),"")</f>
        <v/>
      </c>
      <c r="H184" s="80"/>
      <c r="I184" s="80"/>
      <c r="J184" s="73"/>
      <c r="K184" s="73" t="str">
        <f t="shared" si="2"/>
        <v/>
      </c>
      <c r="L184" s="79"/>
      <c r="M184" s="73"/>
      <c r="N184" s="73"/>
      <c r="O184" s="73"/>
      <c r="P184" s="87" t="str">
        <f>IFERROR(HYPERLINK(VLOOKUP($B184,'Online Database'!$A:$J,9,FALSE),"Open Page"),IFERROR(HYPERLINK(VLOOKUP($B184,'Manual Database'!$A:$J,9,FALSE),"Open Page"),""))</f>
        <v/>
      </c>
      <c r="Q184" s="87" t="str">
        <f>IFERROR(HYPERLINK(VLOOKUP($B184,'Online Database'!$A:$J,10,FALSE),"Download"),IFERROR(HYPERLINK(VLOOKUP($B184,'Manual Database'!$A:$J,10,FALSE),"Download"),""))</f>
        <v/>
      </c>
      <c r="R184" s="73"/>
    </row>
    <row r="185" spans="1:18" ht="22.05" customHeight="1">
      <c r="A185" s="77" t="str">
        <f>IF(C185="","",COUNTIF($C$2:C185,"&lt;&gt;"))</f>
        <v/>
      </c>
      <c r="B185" s="73"/>
      <c r="C185" s="73" t="str">
        <f>IFERROR(VLOOKUP($B185,'Hack Database'!$A:$J,2,FALSE),"")</f>
        <v/>
      </c>
      <c r="D185" s="73" t="str">
        <f>IFERROR(VLOOKUP($B185,'Hack Database'!$A:$J,3,FALSE),"")</f>
        <v/>
      </c>
      <c r="E185" s="79" t="str">
        <f>IFERROR(VLOOKUP($B185,'Hack Database'!$A:$J,4,FALSE),"")</f>
        <v/>
      </c>
      <c r="F185" s="73" t="str">
        <f>IFERROR(VLOOKUP($B185,'Hack Database'!$A:$J,5,FALSE),"")</f>
        <v/>
      </c>
      <c r="G185" s="73" t="str">
        <f>IFERROR(VLOOKUP($B185,'Hack Database'!$A:$J,6,FALSE),"")</f>
        <v/>
      </c>
      <c r="H185" s="80"/>
      <c r="I185" s="80"/>
      <c r="J185" s="73"/>
      <c r="K185" s="73" t="str">
        <f t="shared" si="2"/>
        <v/>
      </c>
      <c r="L185" s="79"/>
      <c r="M185" s="73"/>
      <c r="N185" s="73"/>
      <c r="O185" s="73"/>
      <c r="P185" s="87" t="str">
        <f>IFERROR(HYPERLINK(VLOOKUP($B185,'Online Database'!$A:$J,9,FALSE),"Open Page"),IFERROR(HYPERLINK(VLOOKUP($B185,'Manual Database'!$A:$J,9,FALSE),"Open Page"),""))</f>
        <v/>
      </c>
      <c r="Q185" s="87" t="str">
        <f>IFERROR(HYPERLINK(VLOOKUP($B185,'Online Database'!$A:$J,10,FALSE),"Download"),IFERROR(HYPERLINK(VLOOKUP($B185,'Manual Database'!$A:$J,10,FALSE),"Download"),""))</f>
        <v/>
      </c>
      <c r="R185" s="73"/>
    </row>
    <row r="186" spans="1:18" ht="22.05" customHeight="1">
      <c r="A186" s="77" t="str">
        <f>IF(C186="","",COUNTIF($C$2:C186,"&lt;&gt;"))</f>
        <v/>
      </c>
      <c r="B186" s="73"/>
      <c r="C186" s="73" t="str">
        <f>IFERROR(VLOOKUP($B186,'Hack Database'!$A:$J,2,FALSE),"")</f>
        <v/>
      </c>
      <c r="D186" s="73" t="str">
        <f>IFERROR(VLOOKUP($B186,'Hack Database'!$A:$J,3,FALSE),"")</f>
        <v/>
      </c>
      <c r="E186" s="79" t="str">
        <f>IFERROR(VLOOKUP($B186,'Hack Database'!$A:$J,4,FALSE),"")</f>
        <v/>
      </c>
      <c r="F186" s="73" t="str">
        <f>IFERROR(VLOOKUP($B186,'Hack Database'!$A:$J,5,FALSE),"")</f>
        <v/>
      </c>
      <c r="G186" s="73" t="str">
        <f>IFERROR(VLOOKUP($B186,'Hack Database'!$A:$J,6,FALSE),"")</f>
        <v/>
      </c>
      <c r="H186" s="80"/>
      <c r="I186" s="80"/>
      <c r="J186" s="73"/>
      <c r="K186" s="73" t="str">
        <f t="shared" si="2"/>
        <v/>
      </c>
      <c r="L186" s="79"/>
      <c r="M186" s="73"/>
      <c r="N186" s="73"/>
      <c r="O186" s="73"/>
      <c r="P186" s="87" t="str">
        <f>IFERROR(HYPERLINK(VLOOKUP($B186,'Online Database'!$A:$J,9,FALSE),"Open Page"),IFERROR(HYPERLINK(VLOOKUP($B186,'Manual Database'!$A:$J,9,FALSE),"Open Page"),""))</f>
        <v/>
      </c>
      <c r="Q186" s="87" t="str">
        <f>IFERROR(HYPERLINK(VLOOKUP($B186,'Online Database'!$A:$J,10,FALSE),"Download"),IFERROR(HYPERLINK(VLOOKUP($B186,'Manual Database'!$A:$J,10,FALSE),"Download"),""))</f>
        <v/>
      </c>
      <c r="R186" s="73"/>
    </row>
    <row r="187" spans="1:18" ht="22.05" customHeight="1">
      <c r="A187" s="77" t="str">
        <f>IF(C187="","",COUNTIF($C$2:C187,"&lt;&gt;"))</f>
        <v/>
      </c>
      <c r="B187" s="73"/>
      <c r="C187" s="73" t="str">
        <f>IFERROR(VLOOKUP($B187,'Hack Database'!$A:$J,2,FALSE),"")</f>
        <v/>
      </c>
      <c r="D187" s="73" t="str">
        <f>IFERROR(VLOOKUP($B187,'Hack Database'!$A:$J,3,FALSE),"")</f>
        <v/>
      </c>
      <c r="E187" s="79" t="str">
        <f>IFERROR(VLOOKUP($B187,'Hack Database'!$A:$J,4,FALSE),"")</f>
        <v/>
      </c>
      <c r="F187" s="73" t="str">
        <f>IFERROR(VLOOKUP($B187,'Hack Database'!$A:$J,5,FALSE),"")</f>
        <v/>
      </c>
      <c r="G187" s="73" t="str">
        <f>IFERROR(VLOOKUP($B187,'Hack Database'!$A:$J,6,FALSE),"")</f>
        <v/>
      </c>
      <c r="H187" s="80"/>
      <c r="I187" s="80"/>
      <c r="J187" s="73"/>
      <c r="K187" s="73" t="str">
        <f t="shared" si="2"/>
        <v/>
      </c>
      <c r="L187" s="79"/>
      <c r="M187" s="73"/>
      <c r="N187" s="73"/>
      <c r="O187" s="73"/>
      <c r="P187" s="87" t="str">
        <f>IFERROR(HYPERLINK(VLOOKUP($B187,'Online Database'!$A:$J,9,FALSE),"Open Page"),IFERROR(HYPERLINK(VLOOKUP($B187,'Manual Database'!$A:$J,9,FALSE),"Open Page"),""))</f>
        <v/>
      </c>
      <c r="Q187" s="87" t="str">
        <f>IFERROR(HYPERLINK(VLOOKUP($B187,'Online Database'!$A:$J,10,FALSE),"Download"),IFERROR(HYPERLINK(VLOOKUP($B187,'Manual Database'!$A:$J,10,FALSE),"Download"),""))</f>
        <v/>
      </c>
      <c r="R187" s="73"/>
    </row>
    <row r="188" spans="1:18" ht="22.05" customHeight="1">
      <c r="A188" s="77" t="str">
        <f>IF(C188="","",COUNTIF($C$2:C188,"&lt;&gt;"))</f>
        <v/>
      </c>
      <c r="B188" s="73"/>
      <c r="C188" s="73" t="str">
        <f>IFERROR(VLOOKUP($B188,'Hack Database'!$A:$J,2,FALSE),"")</f>
        <v/>
      </c>
      <c r="D188" s="73" t="str">
        <f>IFERROR(VLOOKUP($B188,'Hack Database'!$A:$J,3,FALSE),"")</f>
        <v/>
      </c>
      <c r="E188" s="79" t="str">
        <f>IFERROR(VLOOKUP($B188,'Hack Database'!$A:$J,4,FALSE),"")</f>
        <v/>
      </c>
      <c r="F188" s="73" t="str">
        <f>IFERROR(VLOOKUP($B188,'Hack Database'!$A:$J,5,FALSE),"")</f>
        <v/>
      </c>
      <c r="G188" s="73" t="str">
        <f>IFERROR(VLOOKUP($B188,'Hack Database'!$A:$J,6,FALSE),"")</f>
        <v/>
      </c>
      <c r="H188" s="80"/>
      <c r="I188" s="80"/>
      <c r="J188" s="73"/>
      <c r="K188" s="73" t="str">
        <f t="shared" si="2"/>
        <v/>
      </c>
      <c r="L188" s="79"/>
      <c r="M188" s="73"/>
      <c r="N188" s="73"/>
      <c r="O188" s="73"/>
      <c r="P188" s="87" t="str">
        <f>IFERROR(HYPERLINK(VLOOKUP($B188,'Online Database'!$A:$J,9,FALSE),"Open Page"),IFERROR(HYPERLINK(VLOOKUP($B188,'Manual Database'!$A:$J,9,FALSE),"Open Page"),""))</f>
        <v/>
      </c>
      <c r="Q188" s="87" t="str">
        <f>IFERROR(HYPERLINK(VLOOKUP($B188,'Online Database'!$A:$J,10,FALSE),"Download"),IFERROR(HYPERLINK(VLOOKUP($B188,'Manual Database'!$A:$J,10,FALSE),"Download"),""))</f>
        <v/>
      </c>
      <c r="R188" s="73"/>
    </row>
    <row r="189" spans="1:18" ht="22.05" customHeight="1">
      <c r="A189" s="77" t="str">
        <f>IF(C189="","",COUNTIF($C$2:C189,"&lt;&gt;"))</f>
        <v/>
      </c>
      <c r="B189" s="73"/>
      <c r="C189" s="73" t="str">
        <f>IFERROR(VLOOKUP($B189,'Hack Database'!$A:$J,2,FALSE),"")</f>
        <v/>
      </c>
      <c r="D189" s="73" t="str">
        <f>IFERROR(VLOOKUP($B189,'Hack Database'!$A:$J,3,FALSE),"")</f>
        <v/>
      </c>
      <c r="E189" s="79" t="str">
        <f>IFERROR(VLOOKUP($B189,'Hack Database'!$A:$J,4,FALSE),"")</f>
        <v/>
      </c>
      <c r="F189" s="73" t="str">
        <f>IFERROR(VLOOKUP($B189,'Hack Database'!$A:$J,5,FALSE),"")</f>
        <v/>
      </c>
      <c r="G189" s="73" t="str">
        <f>IFERROR(VLOOKUP($B189,'Hack Database'!$A:$J,6,FALSE),"")</f>
        <v/>
      </c>
      <c r="H189" s="80"/>
      <c r="I189" s="80"/>
      <c r="J189" s="73"/>
      <c r="K189" s="73" t="str">
        <f t="shared" si="2"/>
        <v/>
      </c>
      <c r="L189" s="79"/>
      <c r="M189" s="73"/>
      <c r="N189" s="73"/>
      <c r="O189" s="73"/>
      <c r="P189" s="87" t="str">
        <f>IFERROR(HYPERLINK(VLOOKUP($B189,'Online Database'!$A:$J,9,FALSE),"Open Page"),IFERROR(HYPERLINK(VLOOKUP($B189,'Manual Database'!$A:$J,9,FALSE),"Open Page"),""))</f>
        <v/>
      </c>
      <c r="Q189" s="87" t="str">
        <f>IFERROR(HYPERLINK(VLOOKUP($B189,'Online Database'!$A:$J,10,FALSE),"Download"),IFERROR(HYPERLINK(VLOOKUP($B189,'Manual Database'!$A:$J,10,FALSE),"Download"),""))</f>
        <v/>
      </c>
      <c r="R189" s="73"/>
    </row>
    <row r="190" spans="1:18" ht="22.05" customHeight="1">
      <c r="A190" s="77" t="str">
        <f>IF(C190="","",COUNTIF($C$2:C190,"&lt;&gt;"))</f>
        <v/>
      </c>
      <c r="B190" s="73"/>
      <c r="C190" s="73" t="str">
        <f>IFERROR(VLOOKUP($B190,'Hack Database'!$A:$J,2,FALSE),"")</f>
        <v/>
      </c>
      <c r="D190" s="73" t="str">
        <f>IFERROR(VLOOKUP($B190,'Hack Database'!$A:$J,3,FALSE),"")</f>
        <v/>
      </c>
      <c r="E190" s="79" t="str">
        <f>IFERROR(VLOOKUP($B190,'Hack Database'!$A:$J,4,FALSE),"")</f>
        <v/>
      </c>
      <c r="F190" s="73" t="str">
        <f>IFERROR(VLOOKUP($B190,'Hack Database'!$A:$J,5,FALSE),"")</f>
        <v/>
      </c>
      <c r="G190" s="73" t="str">
        <f>IFERROR(VLOOKUP($B190,'Hack Database'!$A:$J,6,FALSE),"")</f>
        <v/>
      </c>
      <c r="H190" s="80"/>
      <c r="I190" s="80"/>
      <c r="J190" s="73"/>
      <c r="K190" s="73" t="str">
        <f t="shared" si="2"/>
        <v/>
      </c>
      <c r="L190" s="79"/>
      <c r="M190" s="73"/>
      <c r="N190" s="73"/>
      <c r="O190" s="73"/>
      <c r="P190" s="87" t="str">
        <f>IFERROR(HYPERLINK(VLOOKUP($B190,'Online Database'!$A:$J,9,FALSE),"Open Page"),IFERROR(HYPERLINK(VLOOKUP($B190,'Manual Database'!$A:$J,9,FALSE),"Open Page"),""))</f>
        <v/>
      </c>
      <c r="Q190" s="87" t="str">
        <f>IFERROR(HYPERLINK(VLOOKUP($B190,'Online Database'!$A:$J,10,FALSE),"Download"),IFERROR(HYPERLINK(VLOOKUP($B190,'Manual Database'!$A:$J,10,FALSE),"Download"),""))</f>
        <v/>
      </c>
      <c r="R190" s="73"/>
    </row>
    <row r="191" spans="1:18" ht="22.05" customHeight="1">
      <c r="A191" s="77" t="str">
        <f>IF(C191="","",COUNTIF($C$2:C191,"&lt;&gt;"))</f>
        <v/>
      </c>
      <c r="B191" s="73"/>
      <c r="C191" s="73" t="str">
        <f>IFERROR(VLOOKUP($B191,'Hack Database'!$A:$J,2,FALSE),"")</f>
        <v/>
      </c>
      <c r="D191" s="73" t="str">
        <f>IFERROR(VLOOKUP($B191,'Hack Database'!$A:$J,3,FALSE),"")</f>
        <v/>
      </c>
      <c r="E191" s="79" t="str">
        <f>IFERROR(VLOOKUP($B191,'Hack Database'!$A:$J,4,FALSE),"")</f>
        <v/>
      </c>
      <c r="F191" s="73" t="str">
        <f>IFERROR(VLOOKUP($B191,'Hack Database'!$A:$J,5,FALSE),"")</f>
        <v/>
      </c>
      <c r="G191" s="73" t="str">
        <f>IFERROR(VLOOKUP($B191,'Hack Database'!$A:$J,6,FALSE),"")</f>
        <v/>
      </c>
      <c r="H191" s="80"/>
      <c r="I191" s="80"/>
      <c r="J191" s="73"/>
      <c r="K191" s="73" t="str">
        <f t="shared" si="2"/>
        <v/>
      </c>
      <c r="L191" s="79"/>
      <c r="M191" s="73"/>
      <c r="N191" s="73"/>
      <c r="O191" s="73"/>
      <c r="P191" s="87" t="str">
        <f>IFERROR(HYPERLINK(VLOOKUP($B191,'Online Database'!$A:$J,9,FALSE),"Open Page"),IFERROR(HYPERLINK(VLOOKUP($B191,'Manual Database'!$A:$J,9,FALSE),"Open Page"),""))</f>
        <v/>
      </c>
      <c r="Q191" s="87" t="str">
        <f>IFERROR(HYPERLINK(VLOOKUP($B191,'Online Database'!$A:$J,10,FALSE),"Download"),IFERROR(HYPERLINK(VLOOKUP($B191,'Manual Database'!$A:$J,10,FALSE),"Download"),""))</f>
        <v/>
      </c>
      <c r="R191" s="73"/>
    </row>
    <row r="192" spans="1:18" ht="22.05" customHeight="1">
      <c r="A192" s="77" t="str">
        <f>IF(C192="","",COUNTIF($C$2:C192,"&lt;&gt;"))</f>
        <v/>
      </c>
      <c r="B192" s="73"/>
      <c r="C192" s="73" t="str">
        <f>IFERROR(VLOOKUP($B192,'Hack Database'!$A:$J,2,FALSE),"")</f>
        <v/>
      </c>
      <c r="D192" s="73" t="str">
        <f>IFERROR(VLOOKUP($B192,'Hack Database'!$A:$J,3,FALSE),"")</f>
        <v/>
      </c>
      <c r="E192" s="79" t="str">
        <f>IFERROR(VLOOKUP($B192,'Hack Database'!$A:$J,4,FALSE),"")</f>
        <v/>
      </c>
      <c r="F192" s="73" t="str">
        <f>IFERROR(VLOOKUP($B192,'Hack Database'!$A:$J,5,FALSE),"")</f>
        <v/>
      </c>
      <c r="G192" s="73" t="str">
        <f>IFERROR(VLOOKUP($B192,'Hack Database'!$A:$J,6,FALSE),"")</f>
        <v/>
      </c>
      <c r="H192" s="80"/>
      <c r="I192" s="80"/>
      <c r="J192" s="73"/>
      <c r="K192" s="73" t="str">
        <f t="shared" si="2"/>
        <v/>
      </c>
      <c r="L192" s="79"/>
      <c r="M192" s="73"/>
      <c r="N192" s="73"/>
      <c r="O192" s="73"/>
      <c r="P192" s="87" t="str">
        <f>IFERROR(HYPERLINK(VLOOKUP($B192,'Online Database'!$A:$J,9,FALSE),"Open Page"),IFERROR(HYPERLINK(VLOOKUP($B192,'Manual Database'!$A:$J,9,FALSE),"Open Page"),""))</f>
        <v/>
      </c>
      <c r="Q192" s="87" t="str">
        <f>IFERROR(HYPERLINK(VLOOKUP($B192,'Online Database'!$A:$J,10,FALSE),"Download"),IFERROR(HYPERLINK(VLOOKUP($B192,'Manual Database'!$A:$J,10,FALSE),"Download"),""))</f>
        <v/>
      </c>
      <c r="R192" s="73"/>
    </row>
    <row r="193" spans="1:18" ht="22.05" customHeight="1">
      <c r="A193" s="77" t="str">
        <f>IF(C193="","",COUNTIF($C$2:C193,"&lt;&gt;"))</f>
        <v/>
      </c>
      <c r="B193" s="73"/>
      <c r="C193" s="73" t="str">
        <f>IFERROR(VLOOKUP($B193,'Hack Database'!$A:$J,2,FALSE),"")</f>
        <v/>
      </c>
      <c r="D193" s="73" t="str">
        <f>IFERROR(VLOOKUP($B193,'Hack Database'!$A:$J,3,FALSE),"")</f>
        <v/>
      </c>
      <c r="E193" s="79" t="str">
        <f>IFERROR(VLOOKUP($B193,'Hack Database'!$A:$J,4,FALSE),"")</f>
        <v/>
      </c>
      <c r="F193" s="73" t="str">
        <f>IFERROR(VLOOKUP($B193,'Hack Database'!$A:$J,5,FALSE),"")</f>
        <v/>
      </c>
      <c r="G193" s="73" t="str">
        <f>IFERROR(VLOOKUP($B193,'Hack Database'!$A:$J,6,FALSE),"")</f>
        <v/>
      </c>
      <c r="H193" s="80"/>
      <c r="I193" s="80"/>
      <c r="J193" s="73"/>
      <c r="K193" s="73" t="str">
        <f t="shared" si="2"/>
        <v/>
      </c>
      <c r="L193" s="79"/>
      <c r="M193" s="73"/>
      <c r="N193" s="73"/>
      <c r="O193" s="73"/>
      <c r="P193" s="87" t="str">
        <f>IFERROR(HYPERLINK(VLOOKUP($B193,'Online Database'!$A:$J,9,FALSE),"Open Page"),IFERROR(HYPERLINK(VLOOKUP($B193,'Manual Database'!$A:$J,9,FALSE),"Open Page"),""))</f>
        <v/>
      </c>
      <c r="Q193" s="87" t="str">
        <f>IFERROR(HYPERLINK(VLOOKUP($B193,'Online Database'!$A:$J,10,FALSE),"Download"),IFERROR(HYPERLINK(VLOOKUP($B193,'Manual Database'!$A:$J,10,FALSE),"Download"),""))</f>
        <v/>
      </c>
      <c r="R193" s="73"/>
    </row>
    <row r="194" spans="1:18" ht="22.05" customHeight="1">
      <c r="A194" s="77" t="str">
        <f>IF(C194="","",COUNTIF($C$2:C194,"&lt;&gt;"))</f>
        <v/>
      </c>
      <c r="B194" s="73"/>
      <c r="C194" s="73" t="str">
        <f>IFERROR(VLOOKUP($B194,'Hack Database'!$A:$J,2,FALSE),"")</f>
        <v/>
      </c>
      <c r="D194" s="73" t="str">
        <f>IFERROR(VLOOKUP($B194,'Hack Database'!$A:$J,3,FALSE),"")</f>
        <v/>
      </c>
      <c r="E194" s="79" t="str">
        <f>IFERROR(VLOOKUP($B194,'Hack Database'!$A:$J,4,FALSE),"")</f>
        <v/>
      </c>
      <c r="F194" s="73" t="str">
        <f>IFERROR(VLOOKUP($B194,'Hack Database'!$A:$J,5,FALSE),"")</f>
        <v/>
      </c>
      <c r="G194" s="73" t="str">
        <f>IFERROR(VLOOKUP($B194,'Hack Database'!$A:$J,6,FALSE),"")</f>
        <v/>
      </c>
      <c r="H194" s="80"/>
      <c r="I194" s="80"/>
      <c r="J194" s="73"/>
      <c r="K194" s="73" t="str">
        <f t="shared" ref="K194:K257" si="3">IF($B194="","",IF($J194="Yes","100% Complete",IF($H194="","Planned",IF($I194="","In Progress","Finished"))))</f>
        <v/>
      </c>
      <c r="L194" s="79"/>
      <c r="M194" s="73"/>
      <c r="N194" s="73"/>
      <c r="O194" s="73"/>
      <c r="P194" s="87" t="str">
        <f>IFERROR(HYPERLINK(VLOOKUP($B194,'Online Database'!$A:$J,9,FALSE),"Open Page"),IFERROR(HYPERLINK(VLOOKUP($B194,'Manual Database'!$A:$J,9,FALSE),"Open Page"),""))</f>
        <v/>
      </c>
      <c r="Q194" s="87" t="str">
        <f>IFERROR(HYPERLINK(VLOOKUP($B194,'Online Database'!$A:$J,10,FALSE),"Download"),IFERROR(HYPERLINK(VLOOKUP($B194,'Manual Database'!$A:$J,10,FALSE),"Download"),""))</f>
        <v/>
      </c>
      <c r="R194" s="73"/>
    </row>
    <row r="195" spans="1:18" ht="22.05" customHeight="1">
      <c r="A195" s="77" t="str">
        <f>IF(C195="","",COUNTIF($C$2:C195,"&lt;&gt;"))</f>
        <v/>
      </c>
      <c r="B195" s="73"/>
      <c r="C195" s="73" t="str">
        <f>IFERROR(VLOOKUP($B195,'Hack Database'!$A:$J,2,FALSE),"")</f>
        <v/>
      </c>
      <c r="D195" s="73" t="str">
        <f>IFERROR(VLOOKUP($B195,'Hack Database'!$A:$J,3,FALSE),"")</f>
        <v/>
      </c>
      <c r="E195" s="79" t="str">
        <f>IFERROR(VLOOKUP($B195,'Hack Database'!$A:$J,4,FALSE),"")</f>
        <v/>
      </c>
      <c r="F195" s="73" t="str">
        <f>IFERROR(VLOOKUP($B195,'Hack Database'!$A:$J,5,FALSE),"")</f>
        <v/>
      </c>
      <c r="G195" s="73" t="str">
        <f>IFERROR(VLOOKUP($B195,'Hack Database'!$A:$J,6,FALSE),"")</f>
        <v/>
      </c>
      <c r="H195" s="80"/>
      <c r="I195" s="80"/>
      <c r="J195" s="73"/>
      <c r="K195" s="73" t="str">
        <f t="shared" si="3"/>
        <v/>
      </c>
      <c r="L195" s="79"/>
      <c r="M195" s="73"/>
      <c r="N195" s="73"/>
      <c r="O195" s="73"/>
      <c r="P195" s="87" t="str">
        <f>IFERROR(HYPERLINK(VLOOKUP($B195,'Online Database'!$A:$J,9,FALSE),"Open Page"),IFERROR(HYPERLINK(VLOOKUP($B195,'Manual Database'!$A:$J,9,FALSE),"Open Page"),""))</f>
        <v/>
      </c>
      <c r="Q195" s="87" t="str">
        <f>IFERROR(HYPERLINK(VLOOKUP($B195,'Online Database'!$A:$J,10,FALSE),"Download"),IFERROR(HYPERLINK(VLOOKUP($B195,'Manual Database'!$A:$J,10,FALSE),"Download"),""))</f>
        <v/>
      </c>
      <c r="R195" s="73"/>
    </row>
    <row r="196" spans="1:18" ht="22.05" customHeight="1">
      <c r="A196" s="77" t="str">
        <f>IF(C196="","",COUNTIF($C$2:C196,"&lt;&gt;"))</f>
        <v/>
      </c>
      <c r="B196" s="73"/>
      <c r="C196" s="73" t="str">
        <f>IFERROR(VLOOKUP($B196,'Hack Database'!$A:$J,2,FALSE),"")</f>
        <v/>
      </c>
      <c r="D196" s="73" t="str">
        <f>IFERROR(VLOOKUP($B196,'Hack Database'!$A:$J,3,FALSE),"")</f>
        <v/>
      </c>
      <c r="E196" s="79" t="str">
        <f>IFERROR(VLOOKUP($B196,'Hack Database'!$A:$J,4,FALSE),"")</f>
        <v/>
      </c>
      <c r="F196" s="73" t="str">
        <f>IFERROR(VLOOKUP($B196,'Hack Database'!$A:$J,5,FALSE),"")</f>
        <v/>
      </c>
      <c r="G196" s="73" t="str">
        <f>IFERROR(VLOOKUP($B196,'Hack Database'!$A:$J,6,FALSE),"")</f>
        <v/>
      </c>
      <c r="H196" s="80"/>
      <c r="I196" s="80"/>
      <c r="J196" s="73"/>
      <c r="K196" s="73" t="str">
        <f t="shared" si="3"/>
        <v/>
      </c>
      <c r="L196" s="79"/>
      <c r="M196" s="73"/>
      <c r="N196" s="73"/>
      <c r="O196" s="73"/>
      <c r="P196" s="87" t="str">
        <f>IFERROR(HYPERLINK(VLOOKUP($B196,'Online Database'!$A:$J,9,FALSE),"Open Page"),IFERROR(HYPERLINK(VLOOKUP($B196,'Manual Database'!$A:$J,9,FALSE),"Open Page"),""))</f>
        <v/>
      </c>
      <c r="Q196" s="87" t="str">
        <f>IFERROR(HYPERLINK(VLOOKUP($B196,'Online Database'!$A:$J,10,FALSE),"Download"),IFERROR(HYPERLINK(VLOOKUP($B196,'Manual Database'!$A:$J,10,FALSE),"Download"),""))</f>
        <v/>
      </c>
      <c r="R196" s="73"/>
    </row>
    <row r="197" spans="1:18" ht="22.05" customHeight="1">
      <c r="A197" s="77" t="str">
        <f>IF(C197="","",COUNTIF($C$2:C197,"&lt;&gt;"))</f>
        <v/>
      </c>
      <c r="B197" s="73"/>
      <c r="C197" s="73" t="str">
        <f>IFERROR(VLOOKUP($B197,'Hack Database'!$A:$J,2,FALSE),"")</f>
        <v/>
      </c>
      <c r="D197" s="73" t="str">
        <f>IFERROR(VLOOKUP($B197,'Hack Database'!$A:$J,3,FALSE),"")</f>
        <v/>
      </c>
      <c r="E197" s="79" t="str">
        <f>IFERROR(VLOOKUP($B197,'Hack Database'!$A:$J,4,FALSE),"")</f>
        <v/>
      </c>
      <c r="F197" s="73" t="str">
        <f>IFERROR(VLOOKUP($B197,'Hack Database'!$A:$J,5,FALSE),"")</f>
        <v/>
      </c>
      <c r="G197" s="73" t="str">
        <f>IFERROR(VLOOKUP($B197,'Hack Database'!$A:$J,6,FALSE),"")</f>
        <v/>
      </c>
      <c r="H197" s="80"/>
      <c r="I197" s="80"/>
      <c r="J197" s="73"/>
      <c r="K197" s="73" t="str">
        <f t="shared" si="3"/>
        <v/>
      </c>
      <c r="L197" s="79"/>
      <c r="M197" s="73"/>
      <c r="N197" s="73"/>
      <c r="O197" s="73"/>
      <c r="P197" s="87" t="str">
        <f>IFERROR(HYPERLINK(VLOOKUP($B197,'Online Database'!$A:$J,9,FALSE),"Open Page"),IFERROR(HYPERLINK(VLOOKUP($B197,'Manual Database'!$A:$J,9,FALSE),"Open Page"),""))</f>
        <v/>
      </c>
      <c r="Q197" s="87" t="str">
        <f>IFERROR(HYPERLINK(VLOOKUP($B197,'Online Database'!$A:$J,10,FALSE),"Download"),IFERROR(HYPERLINK(VLOOKUP($B197,'Manual Database'!$A:$J,10,FALSE),"Download"),""))</f>
        <v/>
      </c>
      <c r="R197" s="73"/>
    </row>
    <row r="198" spans="1:18" ht="22.05" customHeight="1">
      <c r="A198" s="77" t="str">
        <f>IF(C198="","",COUNTIF($C$2:C198,"&lt;&gt;"))</f>
        <v/>
      </c>
      <c r="B198" s="73"/>
      <c r="C198" s="73" t="str">
        <f>IFERROR(VLOOKUP($B198,'Hack Database'!$A:$J,2,FALSE),"")</f>
        <v/>
      </c>
      <c r="D198" s="73" t="str">
        <f>IFERROR(VLOOKUP($B198,'Hack Database'!$A:$J,3,FALSE),"")</f>
        <v/>
      </c>
      <c r="E198" s="79" t="str">
        <f>IFERROR(VLOOKUP($B198,'Hack Database'!$A:$J,4,FALSE),"")</f>
        <v/>
      </c>
      <c r="F198" s="73" t="str">
        <f>IFERROR(VLOOKUP($B198,'Hack Database'!$A:$J,5,FALSE),"")</f>
        <v/>
      </c>
      <c r="G198" s="73" t="str">
        <f>IFERROR(VLOOKUP($B198,'Hack Database'!$A:$J,6,FALSE),"")</f>
        <v/>
      </c>
      <c r="H198" s="80"/>
      <c r="I198" s="80"/>
      <c r="J198" s="73"/>
      <c r="K198" s="73" t="str">
        <f t="shared" si="3"/>
        <v/>
      </c>
      <c r="L198" s="79"/>
      <c r="M198" s="73"/>
      <c r="N198" s="73"/>
      <c r="O198" s="73"/>
      <c r="P198" s="87" t="str">
        <f>IFERROR(HYPERLINK(VLOOKUP($B198,'Online Database'!$A:$J,9,FALSE),"Open Page"),IFERROR(HYPERLINK(VLOOKUP($B198,'Manual Database'!$A:$J,9,FALSE),"Open Page"),""))</f>
        <v/>
      </c>
      <c r="Q198" s="87" t="str">
        <f>IFERROR(HYPERLINK(VLOOKUP($B198,'Online Database'!$A:$J,10,FALSE),"Download"),IFERROR(HYPERLINK(VLOOKUP($B198,'Manual Database'!$A:$J,10,FALSE),"Download"),""))</f>
        <v/>
      </c>
      <c r="R198" s="73"/>
    </row>
    <row r="199" spans="1:18" ht="22.05" customHeight="1">
      <c r="A199" s="77" t="str">
        <f>IF(C199="","",COUNTIF($C$2:C199,"&lt;&gt;"))</f>
        <v/>
      </c>
      <c r="B199" s="73"/>
      <c r="C199" s="73" t="str">
        <f>IFERROR(VLOOKUP($B199,'Hack Database'!$A:$J,2,FALSE),"")</f>
        <v/>
      </c>
      <c r="D199" s="73" t="str">
        <f>IFERROR(VLOOKUP($B199,'Hack Database'!$A:$J,3,FALSE),"")</f>
        <v/>
      </c>
      <c r="E199" s="79" t="str">
        <f>IFERROR(VLOOKUP($B199,'Hack Database'!$A:$J,4,FALSE),"")</f>
        <v/>
      </c>
      <c r="F199" s="73" t="str">
        <f>IFERROR(VLOOKUP($B199,'Hack Database'!$A:$J,5,FALSE),"")</f>
        <v/>
      </c>
      <c r="G199" s="73" t="str">
        <f>IFERROR(VLOOKUP($B199,'Hack Database'!$A:$J,6,FALSE),"")</f>
        <v/>
      </c>
      <c r="H199" s="80"/>
      <c r="I199" s="80"/>
      <c r="J199" s="73"/>
      <c r="K199" s="73" t="str">
        <f t="shared" si="3"/>
        <v/>
      </c>
      <c r="L199" s="79"/>
      <c r="M199" s="73"/>
      <c r="N199" s="73"/>
      <c r="O199" s="73"/>
      <c r="P199" s="87" t="str">
        <f>IFERROR(HYPERLINK(VLOOKUP($B199,'Online Database'!$A:$J,9,FALSE),"Open Page"),IFERROR(HYPERLINK(VLOOKUP($B199,'Manual Database'!$A:$J,9,FALSE),"Open Page"),""))</f>
        <v/>
      </c>
      <c r="Q199" s="87" t="str">
        <f>IFERROR(HYPERLINK(VLOOKUP($B199,'Online Database'!$A:$J,10,FALSE),"Download"),IFERROR(HYPERLINK(VLOOKUP($B199,'Manual Database'!$A:$J,10,FALSE),"Download"),""))</f>
        <v/>
      </c>
      <c r="R199" s="73"/>
    </row>
    <row r="200" spans="1:18" ht="22.05" customHeight="1">
      <c r="A200" s="77" t="str">
        <f>IF(C200="","",COUNTIF($C$2:C200,"&lt;&gt;"))</f>
        <v/>
      </c>
      <c r="B200" s="73"/>
      <c r="C200" s="73" t="str">
        <f>IFERROR(VLOOKUP($B200,'Hack Database'!$A:$J,2,FALSE),"")</f>
        <v/>
      </c>
      <c r="D200" s="73" t="str">
        <f>IFERROR(VLOOKUP($B200,'Hack Database'!$A:$J,3,FALSE),"")</f>
        <v/>
      </c>
      <c r="E200" s="79" t="str">
        <f>IFERROR(VLOOKUP($B200,'Hack Database'!$A:$J,4,FALSE),"")</f>
        <v/>
      </c>
      <c r="F200" s="73" t="str">
        <f>IFERROR(VLOOKUP($B200,'Hack Database'!$A:$J,5,FALSE),"")</f>
        <v/>
      </c>
      <c r="G200" s="73" t="str">
        <f>IFERROR(VLOOKUP($B200,'Hack Database'!$A:$J,6,FALSE),"")</f>
        <v/>
      </c>
      <c r="H200" s="80"/>
      <c r="I200" s="80"/>
      <c r="J200" s="73"/>
      <c r="K200" s="73" t="str">
        <f t="shared" si="3"/>
        <v/>
      </c>
      <c r="L200" s="79"/>
      <c r="M200" s="73"/>
      <c r="N200" s="73"/>
      <c r="O200" s="73"/>
      <c r="P200" s="87" t="str">
        <f>IFERROR(HYPERLINK(VLOOKUP($B200,'Online Database'!$A:$J,9,FALSE),"Open Page"),IFERROR(HYPERLINK(VLOOKUP($B200,'Manual Database'!$A:$J,9,FALSE),"Open Page"),""))</f>
        <v/>
      </c>
      <c r="Q200" s="87" t="str">
        <f>IFERROR(HYPERLINK(VLOOKUP($B200,'Online Database'!$A:$J,10,FALSE),"Download"),IFERROR(HYPERLINK(VLOOKUP($B200,'Manual Database'!$A:$J,10,FALSE),"Download"),""))</f>
        <v/>
      </c>
      <c r="R200" s="73"/>
    </row>
    <row r="201" spans="1:18" ht="22.05" customHeight="1">
      <c r="A201" s="77" t="str">
        <f>IF(C201="","",COUNTIF($C$2:C201,"&lt;&gt;"))</f>
        <v/>
      </c>
      <c r="B201" s="73"/>
      <c r="C201" s="73" t="str">
        <f>IFERROR(VLOOKUP($B201,'Hack Database'!$A:$J,2,FALSE),"")</f>
        <v/>
      </c>
      <c r="D201" s="73" t="str">
        <f>IFERROR(VLOOKUP($B201,'Hack Database'!$A:$J,3,FALSE),"")</f>
        <v/>
      </c>
      <c r="E201" s="79" t="str">
        <f>IFERROR(VLOOKUP($B201,'Hack Database'!$A:$J,4,FALSE),"")</f>
        <v/>
      </c>
      <c r="F201" s="73" t="str">
        <f>IFERROR(VLOOKUP($B201,'Hack Database'!$A:$J,5,FALSE),"")</f>
        <v/>
      </c>
      <c r="G201" s="73" t="str">
        <f>IFERROR(VLOOKUP($B201,'Hack Database'!$A:$J,6,FALSE),"")</f>
        <v/>
      </c>
      <c r="H201" s="80"/>
      <c r="I201" s="80"/>
      <c r="J201" s="73"/>
      <c r="K201" s="73" t="str">
        <f t="shared" si="3"/>
        <v/>
      </c>
      <c r="L201" s="79"/>
      <c r="M201" s="73"/>
      <c r="N201" s="73"/>
      <c r="O201" s="73"/>
      <c r="P201" s="87" t="str">
        <f>IFERROR(HYPERLINK(VLOOKUP($B201,'Online Database'!$A:$J,9,FALSE),"Open Page"),IFERROR(HYPERLINK(VLOOKUP($B201,'Manual Database'!$A:$J,9,FALSE),"Open Page"),""))</f>
        <v/>
      </c>
      <c r="Q201" s="87" t="str">
        <f>IFERROR(HYPERLINK(VLOOKUP($B201,'Online Database'!$A:$J,10,FALSE),"Download"),IFERROR(HYPERLINK(VLOOKUP($B201,'Manual Database'!$A:$J,10,FALSE),"Download"),""))</f>
        <v/>
      </c>
      <c r="R201" s="73"/>
    </row>
    <row r="202" spans="1:18" ht="22.05" customHeight="1">
      <c r="A202" s="77" t="str">
        <f>IF(C202="","",COUNTIF($C$2:C202,"&lt;&gt;"))</f>
        <v/>
      </c>
      <c r="B202" s="73"/>
      <c r="C202" s="73" t="str">
        <f>IFERROR(VLOOKUP($B202,'Hack Database'!$A:$J,2,FALSE),"")</f>
        <v/>
      </c>
      <c r="D202" s="73" t="str">
        <f>IFERROR(VLOOKUP($B202,'Hack Database'!$A:$J,3,FALSE),"")</f>
        <v/>
      </c>
      <c r="E202" s="79" t="str">
        <f>IFERROR(VLOOKUP($B202,'Hack Database'!$A:$J,4,FALSE),"")</f>
        <v/>
      </c>
      <c r="F202" s="73" t="str">
        <f>IFERROR(VLOOKUP($B202,'Hack Database'!$A:$J,5,FALSE),"")</f>
        <v/>
      </c>
      <c r="G202" s="73" t="str">
        <f>IFERROR(VLOOKUP($B202,'Hack Database'!$A:$J,6,FALSE),"")</f>
        <v/>
      </c>
      <c r="H202" s="80"/>
      <c r="I202" s="80"/>
      <c r="J202" s="73"/>
      <c r="K202" s="73" t="str">
        <f t="shared" si="3"/>
        <v/>
      </c>
      <c r="L202" s="79"/>
      <c r="M202" s="73"/>
      <c r="N202" s="73"/>
      <c r="O202" s="73"/>
      <c r="P202" s="87" t="str">
        <f>IFERROR(HYPERLINK(VLOOKUP($B202,'Online Database'!$A:$J,9,FALSE),"Open Page"),IFERROR(HYPERLINK(VLOOKUP($B202,'Manual Database'!$A:$J,9,FALSE),"Open Page"),""))</f>
        <v/>
      </c>
      <c r="Q202" s="87" t="str">
        <f>IFERROR(HYPERLINK(VLOOKUP($B202,'Online Database'!$A:$J,10,FALSE),"Download"),IFERROR(HYPERLINK(VLOOKUP($B202,'Manual Database'!$A:$J,10,FALSE),"Download"),""))</f>
        <v/>
      </c>
      <c r="R202" s="73"/>
    </row>
    <row r="203" spans="1:18" ht="22.05" customHeight="1">
      <c r="A203" s="77" t="str">
        <f>IF(C203="","",COUNTIF($C$2:C203,"&lt;&gt;"))</f>
        <v/>
      </c>
      <c r="B203" s="73"/>
      <c r="C203" s="73" t="str">
        <f>IFERROR(VLOOKUP($B203,'Hack Database'!$A:$J,2,FALSE),"")</f>
        <v/>
      </c>
      <c r="D203" s="73" t="str">
        <f>IFERROR(VLOOKUP($B203,'Hack Database'!$A:$J,3,FALSE),"")</f>
        <v/>
      </c>
      <c r="E203" s="79" t="str">
        <f>IFERROR(VLOOKUP($B203,'Hack Database'!$A:$J,4,FALSE),"")</f>
        <v/>
      </c>
      <c r="F203" s="73" t="str">
        <f>IFERROR(VLOOKUP($B203,'Hack Database'!$A:$J,5,FALSE),"")</f>
        <v/>
      </c>
      <c r="G203" s="73" t="str">
        <f>IFERROR(VLOOKUP($B203,'Hack Database'!$A:$J,6,FALSE),"")</f>
        <v/>
      </c>
      <c r="H203" s="80"/>
      <c r="I203" s="80"/>
      <c r="J203" s="73"/>
      <c r="K203" s="73" t="str">
        <f t="shared" si="3"/>
        <v/>
      </c>
      <c r="L203" s="79"/>
      <c r="M203" s="73"/>
      <c r="N203" s="73"/>
      <c r="O203" s="73"/>
      <c r="P203" s="87" t="str">
        <f>IFERROR(HYPERLINK(VLOOKUP($B203,'Online Database'!$A:$J,9,FALSE),"Open Page"),IFERROR(HYPERLINK(VLOOKUP($B203,'Manual Database'!$A:$J,9,FALSE),"Open Page"),""))</f>
        <v/>
      </c>
      <c r="Q203" s="87" t="str">
        <f>IFERROR(HYPERLINK(VLOOKUP($B203,'Online Database'!$A:$J,10,FALSE),"Download"),IFERROR(HYPERLINK(VLOOKUP($B203,'Manual Database'!$A:$J,10,FALSE),"Download"),""))</f>
        <v/>
      </c>
      <c r="R203" s="73"/>
    </row>
    <row r="204" spans="1:18" ht="22.05" customHeight="1">
      <c r="A204" s="77" t="str">
        <f>IF(C204="","",COUNTIF($C$2:C204,"&lt;&gt;"))</f>
        <v/>
      </c>
      <c r="B204" s="73"/>
      <c r="C204" s="73" t="str">
        <f>IFERROR(VLOOKUP($B204,'Hack Database'!$A:$J,2,FALSE),"")</f>
        <v/>
      </c>
      <c r="D204" s="73" t="str">
        <f>IFERROR(VLOOKUP($B204,'Hack Database'!$A:$J,3,FALSE),"")</f>
        <v/>
      </c>
      <c r="E204" s="79" t="str">
        <f>IFERROR(VLOOKUP($B204,'Hack Database'!$A:$J,4,FALSE),"")</f>
        <v/>
      </c>
      <c r="F204" s="73" t="str">
        <f>IFERROR(VLOOKUP($B204,'Hack Database'!$A:$J,5,FALSE),"")</f>
        <v/>
      </c>
      <c r="G204" s="73" t="str">
        <f>IFERROR(VLOOKUP($B204,'Hack Database'!$A:$J,6,FALSE),"")</f>
        <v/>
      </c>
      <c r="H204" s="80"/>
      <c r="I204" s="80"/>
      <c r="J204" s="73"/>
      <c r="K204" s="73" t="str">
        <f t="shared" si="3"/>
        <v/>
      </c>
      <c r="L204" s="79"/>
      <c r="M204" s="73"/>
      <c r="N204" s="73"/>
      <c r="O204" s="73"/>
      <c r="P204" s="87" t="str">
        <f>IFERROR(HYPERLINK(VLOOKUP($B204,'Online Database'!$A:$J,9,FALSE),"Open Page"),IFERROR(HYPERLINK(VLOOKUP($B204,'Manual Database'!$A:$J,9,FALSE),"Open Page"),""))</f>
        <v/>
      </c>
      <c r="Q204" s="87" t="str">
        <f>IFERROR(HYPERLINK(VLOOKUP($B204,'Online Database'!$A:$J,10,FALSE),"Download"),IFERROR(HYPERLINK(VLOOKUP($B204,'Manual Database'!$A:$J,10,FALSE),"Download"),""))</f>
        <v/>
      </c>
      <c r="R204" s="73"/>
    </row>
    <row r="205" spans="1:18" ht="22.05" customHeight="1">
      <c r="A205" s="77" t="str">
        <f>IF(C205="","",COUNTIF($C$2:C205,"&lt;&gt;"))</f>
        <v/>
      </c>
      <c r="B205" s="73"/>
      <c r="C205" s="73" t="str">
        <f>IFERROR(VLOOKUP($B205,'Hack Database'!$A:$J,2,FALSE),"")</f>
        <v/>
      </c>
      <c r="D205" s="73" t="str">
        <f>IFERROR(VLOOKUP($B205,'Hack Database'!$A:$J,3,FALSE),"")</f>
        <v/>
      </c>
      <c r="E205" s="79" t="str">
        <f>IFERROR(VLOOKUP($B205,'Hack Database'!$A:$J,4,FALSE),"")</f>
        <v/>
      </c>
      <c r="F205" s="73" t="str">
        <f>IFERROR(VLOOKUP($B205,'Hack Database'!$A:$J,5,FALSE),"")</f>
        <v/>
      </c>
      <c r="G205" s="73" t="str">
        <f>IFERROR(VLOOKUP($B205,'Hack Database'!$A:$J,6,FALSE),"")</f>
        <v/>
      </c>
      <c r="H205" s="80"/>
      <c r="I205" s="80"/>
      <c r="J205" s="73"/>
      <c r="K205" s="73" t="str">
        <f t="shared" si="3"/>
        <v/>
      </c>
      <c r="L205" s="79"/>
      <c r="M205" s="73"/>
      <c r="N205" s="73"/>
      <c r="O205" s="73"/>
      <c r="P205" s="87" t="str">
        <f>IFERROR(HYPERLINK(VLOOKUP($B205,'Online Database'!$A:$J,9,FALSE),"Open Page"),IFERROR(HYPERLINK(VLOOKUP($B205,'Manual Database'!$A:$J,9,FALSE),"Open Page"),""))</f>
        <v/>
      </c>
      <c r="Q205" s="87" t="str">
        <f>IFERROR(HYPERLINK(VLOOKUP($B205,'Online Database'!$A:$J,10,FALSE),"Download"),IFERROR(HYPERLINK(VLOOKUP($B205,'Manual Database'!$A:$J,10,FALSE),"Download"),""))</f>
        <v/>
      </c>
      <c r="R205" s="73"/>
    </row>
    <row r="206" spans="1:18" ht="22.05" customHeight="1">
      <c r="A206" s="77" t="str">
        <f>IF(C206="","",COUNTIF($C$2:C206,"&lt;&gt;"))</f>
        <v/>
      </c>
      <c r="B206" s="73"/>
      <c r="C206" s="73" t="str">
        <f>IFERROR(VLOOKUP($B206,'Hack Database'!$A:$J,2,FALSE),"")</f>
        <v/>
      </c>
      <c r="D206" s="73" t="str">
        <f>IFERROR(VLOOKUP($B206,'Hack Database'!$A:$J,3,FALSE),"")</f>
        <v/>
      </c>
      <c r="E206" s="79" t="str">
        <f>IFERROR(VLOOKUP($B206,'Hack Database'!$A:$J,4,FALSE),"")</f>
        <v/>
      </c>
      <c r="F206" s="73" t="str">
        <f>IFERROR(VLOOKUP($B206,'Hack Database'!$A:$J,5,FALSE),"")</f>
        <v/>
      </c>
      <c r="G206" s="73" t="str">
        <f>IFERROR(VLOOKUP($B206,'Hack Database'!$A:$J,6,FALSE),"")</f>
        <v/>
      </c>
      <c r="H206" s="80"/>
      <c r="I206" s="80"/>
      <c r="J206" s="73"/>
      <c r="K206" s="73" t="str">
        <f t="shared" si="3"/>
        <v/>
      </c>
      <c r="L206" s="79"/>
      <c r="M206" s="73"/>
      <c r="N206" s="73"/>
      <c r="O206" s="73"/>
      <c r="P206" s="87" t="str">
        <f>IFERROR(HYPERLINK(VLOOKUP($B206,'Online Database'!$A:$J,9,FALSE),"Open Page"),IFERROR(HYPERLINK(VLOOKUP($B206,'Manual Database'!$A:$J,9,FALSE),"Open Page"),""))</f>
        <v/>
      </c>
      <c r="Q206" s="87" t="str">
        <f>IFERROR(HYPERLINK(VLOOKUP($B206,'Online Database'!$A:$J,10,FALSE),"Download"),IFERROR(HYPERLINK(VLOOKUP($B206,'Manual Database'!$A:$J,10,FALSE),"Download"),""))</f>
        <v/>
      </c>
      <c r="R206" s="73"/>
    </row>
    <row r="207" spans="1:18" ht="22.05" customHeight="1">
      <c r="A207" s="77" t="str">
        <f>IF(C207="","",COUNTIF($C$2:C207,"&lt;&gt;"))</f>
        <v/>
      </c>
      <c r="B207" s="73"/>
      <c r="C207" s="73" t="str">
        <f>IFERROR(VLOOKUP($B207,'Hack Database'!$A:$J,2,FALSE),"")</f>
        <v/>
      </c>
      <c r="D207" s="73" t="str">
        <f>IFERROR(VLOOKUP($B207,'Hack Database'!$A:$J,3,FALSE),"")</f>
        <v/>
      </c>
      <c r="E207" s="79" t="str">
        <f>IFERROR(VLOOKUP($B207,'Hack Database'!$A:$J,4,FALSE),"")</f>
        <v/>
      </c>
      <c r="F207" s="73" t="str">
        <f>IFERROR(VLOOKUP($B207,'Hack Database'!$A:$J,5,FALSE),"")</f>
        <v/>
      </c>
      <c r="G207" s="73" t="str">
        <f>IFERROR(VLOOKUP($B207,'Hack Database'!$A:$J,6,FALSE),"")</f>
        <v/>
      </c>
      <c r="H207" s="80"/>
      <c r="I207" s="80"/>
      <c r="J207" s="73"/>
      <c r="K207" s="73" t="str">
        <f t="shared" si="3"/>
        <v/>
      </c>
      <c r="L207" s="79"/>
      <c r="M207" s="73"/>
      <c r="N207" s="73"/>
      <c r="O207" s="73"/>
      <c r="P207" s="87" t="str">
        <f>IFERROR(HYPERLINK(VLOOKUP($B207,'Online Database'!$A:$J,9,FALSE),"Open Page"),IFERROR(HYPERLINK(VLOOKUP($B207,'Manual Database'!$A:$J,9,FALSE),"Open Page"),""))</f>
        <v/>
      </c>
      <c r="Q207" s="87" t="str">
        <f>IFERROR(HYPERLINK(VLOOKUP($B207,'Online Database'!$A:$J,10,FALSE),"Download"),IFERROR(HYPERLINK(VLOOKUP($B207,'Manual Database'!$A:$J,10,FALSE),"Download"),""))</f>
        <v/>
      </c>
      <c r="R207" s="73"/>
    </row>
    <row r="208" spans="1:18" ht="22.05" customHeight="1">
      <c r="A208" s="77" t="str">
        <f>IF(C208="","",COUNTIF($C$2:C208,"&lt;&gt;"))</f>
        <v/>
      </c>
      <c r="B208" s="73"/>
      <c r="C208" s="73" t="str">
        <f>IFERROR(VLOOKUP($B208,'Hack Database'!$A:$J,2,FALSE),"")</f>
        <v/>
      </c>
      <c r="D208" s="73" t="str">
        <f>IFERROR(VLOOKUP($B208,'Hack Database'!$A:$J,3,FALSE),"")</f>
        <v/>
      </c>
      <c r="E208" s="79" t="str">
        <f>IFERROR(VLOOKUP($B208,'Hack Database'!$A:$J,4,FALSE),"")</f>
        <v/>
      </c>
      <c r="F208" s="73" t="str">
        <f>IFERROR(VLOOKUP($B208,'Hack Database'!$A:$J,5,FALSE),"")</f>
        <v/>
      </c>
      <c r="G208" s="73" t="str">
        <f>IFERROR(VLOOKUP($B208,'Hack Database'!$A:$J,6,FALSE),"")</f>
        <v/>
      </c>
      <c r="H208" s="80"/>
      <c r="I208" s="80"/>
      <c r="J208" s="73"/>
      <c r="K208" s="73" t="str">
        <f t="shared" si="3"/>
        <v/>
      </c>
      <c r="L208" s="79"/>
      <c r="M208" s="73"/>
      <c r="N208" s="73"/>
      <c r="O208" s="73"/>
      <c r="P208" s="87" t="str">
        <f>IFERROR(HYPERLINK(VLOOKUP($B208,'Online Database'!$A:$J,9,FALSE),"Open Page"),IFERROR(HYPERLINK(VLOOKUP($B208,'Manual Database'!$A:$J,9,FALSE),"Open Page"),""))</f>
        <v/>
      </c>
      <c r="Q208" s="87" t="str">
        <f>IFERROR(HYPERLINK(VLOOKUP($B208,'Online Database'!$A:$J,10,FALSE),"Download"),IFERROR(HYPERLINK(VLOOKUP($B208,'Manual Database'!$A:$J,10,FALSE),"Download"),""))</f>
        <v/>
      </c>
      <c r="R208" s="73"/>
    </row>
    <row r="209" spans="1:18" ht="22.05" customHeight="1">
      <c r="A209" s="77" t="str">
        <f>IF(C209="","",COUNTIF($C$2:C209,"&lt;&gt;"))</f>
        <v/>
      </c>
      <c r="B209" s="73"/>
      <c r="C209" s="73" t="str">
        <f>IFERROR(VLOOKUP($B209,'Hack Database'!$A:$J,2,FALSE),"")</f>
        <v/>
      </c>
      <c r="D209" s="73" t="str">
        <f>IFERROR(VLOOKUP($B209,'Hack Database'!$A:$J,3,FALSE),"")</f>
        <v/>
      </c>
      <c r="E209" s="79" t="str">
        <f>IFERROR(VLOOKUP($B209,'Hack Database'!$A:$J,4,FALSE),"")</f>
        <v/>
      </c>
      <c r="F209" s="73" t="str">
        <f>IFERROR(VLOOKUP($B209,'Hack Database'!$A:$J,5,FALSE),"")</f>
        <v/>
      </c>
      <c r="G209" s="73" t="str">
        <f>IFERROR(VLOOKUP($B209,'Hack Database'!$A:$J,6,FALSE),"")</f>
        <v/>
      </c>
      <c r="H209" s="80"/>
      <c r="I209" s="80"/>
      <c r="J209" s="73"/>
      <c r="K209" s="73" t="str">
        <f t="shared" si="3"/>
        <v/>
      </c>
      <c r="L209" s="79"/>
      <c r="M209" s="73"/>
      <c r="N209" s="73"/>
      <c r="O209" s="73"/>
      <c r="P209" s="87" t="str">
        <f>IFERROR(HYPERLINK(VLOOKUP($B209,'Online Database'!$A:$J,9,FALSE),"Open Page"),IFERROR(HYPERLINK(VLOOKUP($B209,'Manual Database'!$A:$J,9,FALSE),"Open Page"),""))</f>
        <v/>
      </c>
      <c r="Q209" s="87" t="str">
        <f>IFERROR(HYPERLINK(VLOOKUP($B209,'Online Database'!$A:$J,10,FALSE),"Download"),IFERROR(HYPERLINK(VLOOKUP($B209,'Manual Database'!$A:$J,10,FALSE),"Download"),""))</f>
        <v/>
      </c>
      <c r="R209" s="73"/>
    </row>
    <row r="210" spans="1:18" ht="22.05" customHeight="1">
      <c r="A210" s="77" t="str">
        <f>IF(C210="","",COUNTIF($C$2:C210,"&lt;&gt;"))</f>
        <v/>
      </c>
      <c r="B210" s="73"/>
      <c r="C210" s="73" t="str">
        <f>IFERROR(VLOOKUP($B210,'Hack Database'!$A:$J,2,FALSE),"")</f>
        <v/>
      </c>
      <c r="D210" s="73" t="str">
        <f>IFERROR(VLOOKUP($B210,'Hack Database'!$A:$J,3,FALSE),"")</f>
        <v/>
      </c>
      <c r="E210" s="79" t="str">
        <f>IFERROR(VLOOKUP($B210,'Hack Database'!$A:$J,4,FALSE),"")</f>
        <v/>
      </c>
      <c r="F210" s="73" t="str">
        <f>IFERROR(VLOOKUP($B210,'Hack Database'!$A:$J,5,FALSE),"")</f>
        <v/>
      </c>
      <c r="G210" s="73" t="str">
        <f>IFERROR(VLOOKUP($B210,'Hack Database'!$A:$J,6,FALSE),"")</f>
        <v/>
      </c>
      <c r="H210" s="80"/>
      <c r="I210" s="80"/>
      <c r="J210" s="73"/>
      <c r="K210" s="73" t="str">
        <f t="shared" si="3"/>
        <v/>
      </c>
      <c r="L210" s="79"/>
      <c r="M210" s="73"/>
      <c r="N210" s="73"/>
      <c r="O210" s="73"/>
      <c r="P210" s="87" t="str">
        <f>IFERROR(HYPERLINK(VLOOKUP($B210,'Online Database'!$A:$J,9,FALSE),"Open Page"),IFERROR(HYPERLINK(VLOOKUP($B210,'Manual Database'!$A:$J,9,FALSE),"Open Page"),""))</f>
        <v/>
      </c>
      <c r="Q210" s="87" t="str">
        <f>IFERROR(HYPERLINK(VLOOKUP($B210,'Online Database'!$A:$J,10,FALSE),"Download"),IFERROR(HYPERLINK(VLOOKUP($B210,'Manual Database'!$A:$J,10,FALSE),"Download"),""))</f>
        <v/>
      </c>
      <c r="R210" s="73"/>
    </row>
    <row r="211" spans="1:18" ht="22.05" customHeight="1">
      <c r="A211" s="77" t="str">
        <f>IF(C211="","",COUNTIF($C$2:C211,"&lt;&gt;"))</f>
        <v/>
      </c>
      <c r="B211" s="73"/>
      <c r="C211" s="73" t="str">
        <f>IFERROR(VLOOKUP($B211,'Hack Database'!$A:$J,2,FALSE),"")</f>
        <v/>
      </c>
      <c r="D211" s="73" t="str">
        <f>IFERROR(VLOOKUP($B211,'Hack Database'!$A:$J,3,FALSE),"")</f>
        <v/>
      </c>
      <c r="E211" s="79" t="str">
        <f>IFERROR(VLOOKUP($B211,'Hack Database'!$A:$J,4,FALSE),"")</f>
        <v/>
      </c>
      <c r="F211" s="73" t="str">
        <f>IFERROR(VLOOKUP($B211,'Hack Database'!$A:$J,5,FALSE),"")</f>
        <v/>
      </c>
      <c r="G211" s="73" t="str">
        <f>IFERROR(VLOOKUP($B211,'Hack Database'!$A:$J,6,FALSE),"")</f>
        <v/>
      </c>
      <c r="H211" s="80"/>
      <c r="I211" s="80"/>
      <c r="J211" s="73"/>
      <c r="K211" s="73" t="str">
        <f t="shared" si="3"/>
        <v/>
      </c>
      <c r="L211" s="79"/>
      <c r="M211" s="73"/>
      <c r="N211" s="73"/>
      <c r="O211" s="73"/>
      <c r="P211" s="87" t="str">
        <f>IFERROR(HYPERLINK(VLOOKUP($B211,'Online Database'!$A:$J,9,FALSE),"Open Page"),IFERROR(HYPERLINK(VLOOKUP($B211,'Manual Database'!$A:$J,9,FALSE),"Open Page"),""))</f>
        <v/>
      </c>
      <c r="Q211" s="87" t="str">
        <f>IFERROR(HYPERLINK(VLOOKUP($B211,'Online Database'!$A:$J,10,FALSE),"Download"),IFERROR(HYPERLINK(VLOOKUP($B211,'Manual Database'!$A:$J,10,FALSE),"Download"),""))</f>
        <v/>
      </c>
      <c r="R211" s="73"/>
    </row>
    <row r="212" spans="1:18" ht="22.05" customHeight="1">
      <c r="A212" s="77" t="str">
        <f>IF(C212="","",COUNTIF($C$2:C212,"&lt;&gt;"))</f>
        <v/>
      </c>
      <c r="B212" s="73"/>
      <c r="C212" s="73" t="str">
        <f>IFERROR(VLOOKUP($B212,'Hack Database'!$A:$J,2,FALSE),"")</f>
        <v/>
      </c>
      <c r="D212" s="73" t="str">
        <f>IFERROR(VLOOKUP($B212,'Hack Database'!$A:$J,3,FALSE),"")</f>
        <v/>
      </c>
      <c r="E212" s="79" t="str">
        <f>IFERROR(VLOOKUP($B212,'Hack Database'!$A:$J,4,FALSE),"")</f>
        <v/>
      </c>
      <c r="F212" s="73" t="str">
        <f>IFERROR(VLOOKUP($B212,'Hack Database'!$A:$J,5,FALSE),"")</f>
        <v/>
      </c>
      <c r="G212" s="73" t="str">
        <f>IFERROR(VLOOKUP($B212,'Hack Database'!$A:$J,6,FALSE),"")</f>
        <v/>
      </c>
      <c r="H212" s="80"/>
      <c r="I212" s="80"/>
      <c r="J212" s="73"/>
      <c r="K212" s="73" t="str">
        <f t="shared" si="3"/>
        <v/>
      </c>
      <c r="L212" s="79"/>
      <c r="M212" s="73"/>
      <c r="N212" s="73"/>
      <c r="O212" s="73"/>
      <c r="P212" s="87" t="str">
        <f>IFERROR(HYPERLINK(VLOOKUP($B212,'Online Database'!$A:$J,9,FALSE),"Open Page"),IFERROR(HYPERLINK(VLOOKUP($B212,'Manual Database'!$A:$J,9,FALSE),"Open Page"),""))</f>
        <v/>
      </c>
      <c r="Q212" s="87" t="str">
        <f>IFERROR(HYPERLINK(VLOOKUP($B212,'Online Database'!$A:$J,10,FALSE),"Download"),IFERROR(HYPERLINK(VLOOKUP($B212,'Manual Database'!$A:$J,10,FALSE),"Download"),""))</f>
        <v/>
      </c>
      <c r="R212" s="73"/>
    </row>
    <row r="213" spans="1:18" ht="22.05" customHeight="1">
      <c r="A213" s="77" t="str">
        <f>IF(C213="","",COUNTIF($C$2:C213,"&lt;&gt;"))</f>
        <v/>
      </c>
      <c r="B213" s="73"/>
      <c r="C213" s="73" t="str">
        <f>IFERROR(VLOOKUP($B213,'Hack Database'!$A:$J,2,FALSE),"")</f>
        <v/>
      </c>
      <c r="D213" s="73" t="str">
        <f>IFERROR(VLOOKUP($B213,'Hack Database'!$A:$J,3,FALSE),"")</f>
        <v/>
      </c>
      <c r="E213" s="79" t="str">
        <f>IFERROR(VLOOKUP($B213,'Hack Database'!$A:$J,4,FALSE),"")</f>
        <v/>
      </c>
      <c r="F213" s="73" t="str">
        <f>IFERROR(VLOOKUP($B213,'Hack Database'!$A:$J,5,FALSE),"")</f>
        <v/>
      </c>
      <c r="G213" s="73" t="str">
        <f>IFERROR(VLOOKUP($B213,'Hack Database'!$A:$J,6,FALSE),"")</f>
        <v/>
      </c>
      <c r="H213" s="80"/>
      <c r="I213" s="80"/>
      <c r="J213" s="73"/>
      <c r="K213" s="73" t="str">
        <f t="shared" si="3"/>
        <v/>
      </c>
      <c r="L213" s="79"/>
      <c r="M213" s="73"/>
      <c r="N213" s="73"/>
      <c r="O213" s="73"/>
      <c r="P213" s="87" t="str">
        <f>IFERROR(HYPERLINK(VLOOKUP($B213,'Online Database'!$A:$J,9,FALSE),"Open Page"),IFERROR(HYPERLINK(VLOOKUP($B213,'Manual Database'!$A:$J,9,FALSE),"Open Page"),""))</f>
        <v/>
      </c>
      <c r="Q213" s="87" t="str">
        <f>IFERROR(HYPERLINK(VLOOKUP($B213,'Online Database'!$A:$J,10,FALSE),"Download"),IFERROR(HYPERLINK(VLOOKUP($B213,'Manual Database'!$A:$J,10,FALSE),"Download"),""))</f>
        <v/>
      </c>
      <c r="R213" s="73"/>
    </row>
    <row r="214" spans="1:18" ht="22.05" customHeight="1">
      <c r="A214" s="77" t="str">
        <f>IF(C214="","",COUNTIF($C$2:C214,"&lt;&gt;"))</f>
        <v/>
      </c>
      <c r="B214" s="73"/>
      <c r="C214" s="73" t="str">
        <f>IFERROR(VLOOKUP($B214,'Hack Database'!$A:$J,2,FALSE),"")</f>
        <v/>
      </c>
      <c r="D214" s="73" t="str">
        <f>IFERROR(VLOOKUP($B214,'Hack Database'!$A:$J,3,FALSE),"")</f>
        <v/>
      </c>
      <c r="E214" s="79" t="str">
        <f>IFERROR(VLOOKUP($B214,'Hack Database'!$A:$J,4,FALSE),"")</f>
        <v/>
      </c>
      <c r="F214" s="73" t="str">
        <f>IFERROR(VLOOKUP($B214,'Hack Database'!$A:$J,5,FALSE),"")</f>
        <v/>
      </c>
      <c r="G214" s="73" t="str">
        <f>IFERROR(VLOOKUP($B214,'Hack Database'!$A:$J,6,FALSE),"")</f>
        <v/>
      </c>
      <c r="H214" s="80"/>
      <c r="I214" s="80"/>
      <c r="J214" s="73"/>
      <c r="K214" s="73" t="str">
        <f t="shared" si="3"/>
        <v/>
      </c>
      <c r="L214" s="79"/>
      <c r="M214" s="73"/>
      <c r="N214" s="73"/>
      <c r="O214" s="73"/>
      <c r="P214" s="87" t="str">
        <f>IFERROR(HYPERLINK(VLOOKUP($B214,'Online Database'!$A:$J,9,FALSE),"Open Page"),IFERROR(HYPERLINK(VLOOKUP($B214,'Manual Database'!$A:$J,9,FALSE),"Open Page"),""))</f>
        <v/>
      </c>
      <c r="Q214" s="87" t="str">
        <f>IFERROR(HYPERLINK(VLOOKUP($B214,'Online Database'!$A:$J,10,FALSE),"Download"),IFERROR(HYPERLINK(VLOOKUP($B214,'Manual Database'!$A:$J,10,FALSE),"Download"),""))</f>
        <v/>
      </c>
      <c r="R214" s="73"/>
    </row>
    <row r="215" spans="1:18" ht="22.05" customHeight="1">
      <c r="A215" s="77" t="str">
        <f>IF(C215="","",COUNTIF($C$2:C215,"&lt;&gt;"))</f>
        <v/>
      </c>
      <c r="B215" s="73"/>
      <c r="C215" s="73" t="str">
        <f>IFERROR(VLOOKUP($B215,'Hack Database'!$A:$J,2,FALSE),"")</f>
        <v/>
      </c>
      <c r="D215" s="73" t="str">
        <f>IFERROR(VLOOKUP($B215,'Hack Database'!$A:$J,3,FALSE),"")</f>
        <v/>
      </c>
      <c r="E215" s="79" t="str">
        <f>IFERROR(VLOOKUP($B215,'Hack Database'!$A:$J,4,FALSE),"")</f>
        <v/>
      </c>
      <c r="F215" s="73" t="str">
        <f>IFERROR(VLOOKUP($B215,'Hack Database'!$A:$J,5,FALSE),"")</f>
        <v/>
      </c>
      <c r="G215" s="73" t="str">
        <f>IFERROR(VLOOKUP($B215,'Hack Database'!$A:$J,6,FALSE),"")</f>
        <v/>
      </c>
      <c r="H215" s="80"/>
      <c r="I215" s="80"/>
      <c r="J215" s="73"/>
      <c r="K215" s="73" t="str">
        <f t="shared" si="3"/>
        <v/>
      </c>
      <c r="L215" s="79"/>
      <c r="M215" s="73"/>
      <c r="N215" s="73"/>
      <c r="O215" s="73"/>
      <c r="P215" s="87" t="str">
        <f>IFERROR(HYPERLINK(VLOOKUP($B215,'Online Database'!$A:$J,9,FALSE),"Open Page"),IFERROR(HYPERLINK(VLOOKUP($B215,'Manual Database'!$A:$J,9,FALSE),"Open Page"),""))</f>
        <v/>
      </c>
      <c r="Q215" s="87" t="str">
        <f>IFERROR(HYPERLINK(VLOOKUP($B215,'Online Database'!$A:$J,10,FALSE),"Download"),IFERROR(HYPERLINK(VLOOKUP($B215,'Manual Database'!$A:$J,10,FALSE),"Download"),""))</f>
        <v/>
      </c>
      <c r="R215" s="73"/>
    </row>
    <row r="216" spans="1:18" ht="22.05" customHeight="1">
      <c r="A216" s="77" t="str">
        <f>IF(C216="","",COUNTIF($C$2:C216,"&lt;&gt;"))</f>
        <v/>
      </c>
      <c r="B216" s="73"/>
      <c r="C216" s="73" t="str">
        <f>IFERROR(VLOOKUP($B216,'Hack Database'!$A:$J,2,FALSE),"")</f>
        <v/>
      </c>
      <c r="D216" s="73" t="str">
        <f>IFERROR(VLOOKUP($B216,'Hack Database'!$A:$J,3,FALSE),"")</f>
        <v/>
      </c>
      <c r="E216" s="79" t="str">
        <f>IFERROR(VLOOKUP($B216,'Hack Database'!$A:$J,4,FALSE),"")</f>
        <v/>
      </c>
      <c r="F216" s="73" t="str">
        <f>IFERROR(VLOOKUP($B216,'Hack Database'!$A:$J,5,FALSE),"")</f>
        <v/>
      </c>
      <c r="G216" s="73" t="str">
        <f>IFERROR(VLOOKUP($B216,'Hack Database'!$A:$J,6,FALSE),"")</f>
        <v/>
      </c>
      <c r="H216" s="80"/>
      <c r="I216" s="80"/>
      <c r="J216" s="73"/>
      <c r="K216" s="73" t="str">
        <f t="shared" si="3"/>
        <v/>
      </c>
      <c r="L216" s="79"/>
      <c r="M216" s="73"/>
      <c r="N216" s="73"/>
      <c r="O216" s="73"/>
      <c r="P216" s="87" t="str">
        <f>IFERROR(HYPERLINK(VLOOKUP($B216,'Online Database'!$A:$J,9,FALSE),"Open Page"),IFERROR(HYPERLINK(VLOOKUP($B216,'Manual Database'!$A:$J,9,FALSE),"Open Page"),""))</f>
        <v/>
      </c>
      <c r="Q216" s="87" t="str">
        <f>IFERROR(HYPERLINK(VLOOKUP($B216,'Online Database'!$A:$J,10,FALSE),"Download"),IFERROR(HYPERLINK(VLOOKUP($B216,'Manual Database'!$A:$J,10,FALSE),"Download"),""))</f>
        <v/>
      </c>
      <c r="R216" s="73"/>
    </row>
    <row r="217" spans="1:18" ht="22.05" customHeight="1">
      <c r="A217" s="77" t="str">
        <f>IF(C217="","",COUNTIF($C$2:C217,"&lt;&gt;"))</f>
        <v/>
      </c>
      <c r="B217" s="73"/>
      <c r="C217" s="73" t="str">
        <f>IFERROR(VLOOKUP($B217,'Hack Database'!$A:$J,2,FALSE),"")</f>
        <v/>
      </c>
      <c r="D217" s="73" t="str">
        <f>IFERROR(VLOOKUP($B217,'Hack Database'!$A:$J,3,FALSE),"")</f>
        <v/>
      </c>
      <c r="E217" s="79" t="str">
        <f>IFERROR(VLOOKUP($B217,'Hack Database'!$A:$J,4,FALSE),"")</f>
        <v/>
      </c>
      <c r="F217" s="73" t="str">
        <f>IFERROR(VLOOKUP($B217,'Hack Database'!$A:$J,5,FALSE),"")</f>
        <v/>
      </c>
      <c r="G217" s="73" t="str">
        <f>IFERROR(VLOOKUP($B217,'Hack Database'!$A:$J,6,FALSE),"")</f>
        <v/>
      </c>
      <c r="H217" s="80"/>
      <c r="I217" s="80"/>
      <c r="J217" s="73"/>
      <c r="K217" s="73" t="str">
        <f t="shared" si="3"/>
        <v/>
      </c>
      <c r="L217" s="79"/>
      <c r="M217" s="73"/>
      <c r="N217" s="73"/>
      <c r="O217" s="73"/>
      <c r="P217" s="87" t="str">
        <f>IFERROR(HYPERLINK(VLOOKUP($B217,'Online Database'!$A:$J,9,FALSE),"Open Page"),IFERROR(HYPERLINK(VLOOKUP($B217,'Manual Database'!$A:$J,9,FALSE),"Open Page"),""))</f>
        <v/>
      </c>
      <c r="Q217" s="87" t="str">
        <f>IFERROR(HYPERLINK(VLOOKUP($B217,'Online Database'!$A:$J,10,FALSE),"Download"),IFERROR(HYPERLINK(VLOOKUP($B217,'Manual Database'!$A:$J,10,FALSE),"Download"),""))</f>
        <v/>
      </c>
      <c r="R217" s="73"/>
    </row>
    <row r="218" spans="1:18" ht="22.05" customHeight="1">
      <c r="A218" s="77" t="str">
        <f>IF(C218="","",COUNTIF($C$2:C218,"&lt;&gt;"))</f>
        <v/>
      </c>
      <c r="B218" s="73"/>
      <c r="C218" s="73" t="str">
        <f>IFERROR(VLOOKUP($B218,'Hack Database'!$A:$J,2,FALSE),"")</f>
        <v/>
      </c>
      <c r="D218" s="73" t="str">
        <f>IFERROR(VLOOKUP($B218,'Hack Database'!$A:$J,3,FALSE),"")</f>
        <v/>
      </c>
      <c r="E218" s="79" t="str">
        <f>IFERROR(VLOOKUP($B218,'Hack Database'!$A:$J,4,FALSE),"")</f>
        <v/>
      </c>
      <c r="F218" s="73" t="str">
        <f>IFERROR(VLOOKUP($B218,'Hack Database'!$A:$J,5,FALSE),"")</f>
        <v/>
      </c>
      <c r="G218" s="73" t="str">
        <f>IFERROR(VLOOKUP($B218,'Hack Database'!$A:$J,6,FALSE),"")</f>
        <v/>
      </c>
      <c r="H218" s="80"/>
      <c r="I218" s="80"/>
      <c r="J218" s="73"/>
      <c r="K218" s="73" t="str">
        <f t="shared" si="3"/>
        <v/>
      </c>
      <c r="L218" s="79"/>
      <c r="M218" s="73"/>
      <c r="N218" s="73"/>
      <c r="O218" s="73"/>
      <c r="P218" s="87" t="str">
        <f>IFERROR(HYPERLINK(VLOOKUP($B218,'Online Database'!$A:$J,9,FALSE),"Open Page"),IFERROR(HYPERLINK(VLOOKUP($B218,'Manual Database'!$A:$J,9,FALSE),"Open Page"),""))</f>
        <v/>
      </c>
      <c r="Q218" s="87" t="str">
        <f>IFERROR(HYPERLINK(VLOOKUP($B218,'Online Database'!$A:$J,10,FALSE),"Download"),IFERROR(HYPERLINK(VLOOKUP($B218,'Manual Database'!$A:$J,10,FALSE),"Download"),""))</f>
        <v/>
      </c>
      <c r="R218" s="73"/>
    </row>
    <row r="219" spans="1:18" ht="22.05" customHeight="1">
      <c r="A219" s="77" t="str">
        <f>IF(C219="","",COUNTIF($C$2:C219,"&lt;&gt;"))</f>
        <v/>
      </c>
      <c r="B219" s="73"/>
      <c r="C219" s="73" t="str">
        <f>IFERROR(VLOOKUP($B219,'Hack Database'!$A:$J,2,FALSE),"")</f>
        <v/>
      </c>
      <c r="D219" s="73" t="str">
        <f>IFERROR(VLOOKUP($B219,'Hack Database'!$A:$J,3,FALSE),"")</f>
        <v/>
      </c>
      <c r="E219" s="79" t="str">
        <f>IFERROR(VLOOKUP($B219,'Hack Database'!$A:$J,4,FALSE),"")</f>
        <v/>
      </c>
      <c r="F219" s="73" t="str">
        <f>IFERROR(VLOOKUP($B219,'Hack Database'!$A:$J,5,FALSE),"")</f>
        <v/>
      </c>
      <c r="G219" s="73" t="str">
        <f>IFERROR(VLOOKUP($B219,'Hack Database'!$A:$J,6,FALSE),"")</f>
        <v/>
      </c>
      <c r="H219" s="80"/>
      <c r="I219" s="80"/>
      <c r="J219" s="73"/>
      <c r="K219" s="73" t="str">
        <f t="shared" si="3"/>
        <v/>
      </c>
      <c r="L219" s="79"/>
      <c r="M219" s="73"/>
      <c r="N219" s="73"/>
      <c r="O219" s="73"/>
      <c r="P219" s="87" t="str">
        <f>IFERROR(HYPERLINK(VLOOKUP($B219,'Online Database'!$A:$J,9,FALSE),"Open Page"),IFERROR(HYPERLINK(VLOOKUP($B219,'Manual Database'!$A:$J,9,FALSE),"Open Page"),""))</f>
        <v/>
      </c>
      <c r="Q219" s="87" t="str">
        <f>IFERROR(HYPERLINK(VLOOKUP($B219,'Online Database'!$A:$J,10,FALSE),"Download"),IFERROR(HYPERLINK(VLOOKUP($B219,'Manual Database'!$A:$J,10,FALSE),"Download"),""))</f>
        <v/>
      </c>
      <c r="R219" s="73"/>
    </row>
    <row r="220" spans="1:18" ht="22.05" customHeight="1">
      <c r="A220" s="77" t="str">
        <f>IF(C220="","",COUNTIF($C$2:C220,"&lt;&gt;"))</f>
        <v/>
      </c>
      <c r="B220" s="73"/>
      <c r="C220" s="73" t="str">
        <f>IFERROR(VLOOKUP($B220,'Hack Database'!$A:$J,2,FALSE),"")</f>
        <v/>
      </c>
      <c r="D220" s="73" t="str">
        <f>IFERROR(VLOOKUP($B220,'Hack Database'!$A:$J,3,FALSE),"")</f>
        <v/>
      </c>
      <c r="E220" s="79" t="str">
        <f>IFERROR(VLOOKUP($B220,'Hack Database'!$A:$J,4,FALSE),"")</f>
        <v/>
      </c>
      <c r="F220" s="73" t="str">
        <f>IFERROR(VLOOKUP($B220,'Hack Database'!$A:$J,5,FALSE),"")</f>
        <v/>
      </c>
      <c r="G220" s="73" t="str">
        <f>IFERROR(VLOOKUP($B220,'Hack Database'!$A:$J,6,FALSE),"")</f>
        <v/>
      </c>
      <c r="H220" s="80"/>
      <c r="I220" s="80"/>
      <c r="J220" s="73"/>
      <c r="K220" s="73" t="str">
        <f t="shared" si="3"/>
        <v/>
      </c>
      <c r="L220" s="79"/>
      <c r="M220" s="73"/>
      <c r="N220" s="73"/>
      <c r="O220" s="73"/>
      <c r="P220" s="87" t="str">
        <f>IFERROR(HYPERLINK(VLOOKUP($B220,'Online Database'!$A:$J,9,FALSE),"Open Page"),IFERROR(HYPERLINK(VLOOKUP($B220,'Manual Database'!$A:$J,9,FALSE),"Open Page"),""))</f>
        <v/>
      </c>
      <c r="Q220" s="87" t="str">
        <f>IFERROR(HYPERLINK(VLOOKUP($B220,'Online Database'!$A:$J,10,FALSE),"Download"),IFERROR(HYPERLINK(VLOOKUP($B220,'Manual Database'!$A:$J,10,FALSE),"Download"),""))</f>
        <v/>
      </c>
      <c r="R220" s="73"/>
    </row>
    <row r="221" spans="1:18" ht="22.05" customHeight="1">
      <c r="A221" s="77" t="str">
        <f>IF(C221="","",COUNTIF($C$2:C221,"&lt;&gt;"))</f>
        <v/>
      </c>
      <c r="B221" s="73"/>
      <c r="C221" s="73" t="str">
        <f>IFERROR(VLOOKUP($B221,'Hack Database'!$A:$J,2,FALSE),"")</f>
        <v/>
      </c>
      <c r="D221" s="73" t="str">
        <f>IFERROR(VLOOKUP($B221,'Hack Database'!$A:$J,3,FALSE),"")</f>
        <v/>
      </c>
      <c r="E221" s="79" t="str">
        <f>IFERROR(VLOOKUP($B221,'Hack Database'!$A:$J,4,FALSE),"")</f>
        <v/>
      </c>
      <c r="F221" s="73" t="str">
        <f>IFERROR(VLOOKUP($B221,'Hack Database'!$A:$J,5,FALSE),"")</f>
        <v/>
      </c>
      <c r="G221" s="73" t="str">
        <f>IFERROR(VLOOKUP($B221,'Hack Database'!$A:$J,6,FALSE),"")</f>
        <v/>
      </c>
      <c r="H221" s="80"/>
      <c r="I221" s="80"/>
      <c r="J221" s="73"/>
      <c r="K221" s="73" t="str">
        <f t="shared" si="3"/>
        <v/>
      </c>
      <c r="L221" s="79"/>
      <c r="M221" s="73"/>
      <c r="N221" s="73"/>
      <c r="O221" s="73"/>
      <c r="P221" s="87" t="str">
        <f>IFERROR(HYPERLINK(VLOOKUP($B221,'Online Database'!$A:$J,9,FALSE),"Open Page"),IFERROR(HYPERLINK(VLOOKUP($B221,'Manual Database'!$A:$J,9,FALSE),"Open Page"),""))</f>
        <v/>
      </c>
      <c r="Q221" s="87" t="str">
        <f>IFERROR(HYPERLINK(VLOOKUP($B221,'Online Database'!$A:$J,10,FALSE),"Download"),IFERROR(HYPERLINK(VLOOKUP($B221,'Manual Database'!$A:$J,10,FALSE),"Download"),""))</f>
        <v/>
      </c>
      <c r="R221" s="73"/>
    </row>
    <row r="222" spans="1:18" ht="22.05" customHeight="1">
      <c r="A222" s="77" t="str">
        <f>IF(C222="","",COUNTIF($C$2:C222,"&lt;&gt;"))</f>
        <v/>
      </c>
      <c r="B222" s="73"/>
      <c r="C222" s="73" t="str">
        <f>IFERROR(VLOOKUP($B222,'Hack Database'!$A:$J,2,FALSE),"")</f>
        <v/>
      </c>
      <c r="D222" s="73" t="str">
        <f>IFERROR(VLOOKUP($B222,'Hack Database'!$A:$J,3,FALSE),"")</f>
        <v/>
      </c>
      <c r="E222" s="79" t="str">
        <f>IFERROR(VLOOKUP($B222,'Hack Database'!$A:$J,4,FALSE),"")</f>
        <v/>
      </c>
      <c r="F222" s="73" t="str">
        <f>IFERROR(VLOOKUP($B222,'Hack Database'!$A:$J,5,FALSE),"")</f>
        <v/>
      </c>
      <c r="G222" s="73" t="str">
        <f>IFERROR(VLOOKUP($B222,'Hack Database'!$A:$J,6,FALSE),"")</f>
        <v/>
      </c>
      <c r="H222" s="80"/>
      <c r="I222" s="80"/>
      <c r="J222" s="73"/>
      <c r="K222" s="73" t="str">
        <f t="shared" si="3"/>
        <v/>
      </c>
      <c r="L222" s="79"/>
      <c r="M222" s="73"/>
      <c r="N222" s="73"/>
      <c r="O222" s="73"/>
      <c r="P222" s="87" t="str">
        <f>IFERROR(HYPERLINK(VLOOKUP($B222,'Online Database'!$A:$J,9,FALSE),"Open Page"),IFERROR(HYPERLINK(VLOOKUP($B222,'Manual Database'!$A:$J,9,FALSE),"Open Page"),""))</f>
        <v/>
      </c>
      <c r="Q222" s="87" t="str">
        <f>IFERROR(HYPERLINK(VLOOKUP($B222,'Online Database'!$A:$J,10,FALSE),"Download"),IFERROR(HYPERLINK(VLOOKUP($B222,'Manual Database'!$A:$J,10,FALSE),"Download"),""))</f>
        <v/>
      </c>
      <c r="R222" s="73"/>
    </row>
    <row r="223" spans="1:18" ht="22.05" customHeight="1">
      <c r="A223" s="77" t="str">
        <f>IF(C223="","",COUNTIF($C$2:C223,"&lt;&gt;"))</f>
        <v/>
      </c>
      <c r="B223" s="73"/>
      <c r="C223" s="73" t="str">
        <f>IFERROR(VLOOKUP($B223,'Hack Database'!$A:$J,2,FALSE),"")</f>
        <v/>
      </c>
      <c r="D223" s="73" t="str">
        <f>IFERROR(VLOOKUP($B223,'Hack Database'!$A:$J,3,FALSE),"")</f>
        <v/>
      </c>
      <c r="E223" s="79" t="str">
        <f>IFERROR(VLOOKUP($B223,'Hack Database'!$A:$J,4,FALSE),"")</f>
        <v/>
      </c>
      <c r="F223" s="73" t="str">
        <f>IFERROR(VLOOKUP($B223,'Hack Database'!$A:$J,5,FALSE),"")</f>
        <v/>
      </c>
      <c r="G223" s="73" t="str">
        <f>IFERROR(VLOOKUP($B223,'Hack Database'!$A:$J,6,FALSE),"")</f>
        <v/>
      </c>
      <c r="H223" s="80"/>
      <c r="I223" s="80"/>
      <c r="J223" s="73"/>
      <c r="K223" s="73" t="str">
        <f t="shared" si="3"/>
        <v/>
      </c>
      <c r="L223" s="79"/>
      <c r="M223" s="73"/>
      <c r="N223" s="73"/>
      <c r="O223" s="73"/>
      <c r="P223" s="87" t="str">
        <f>IFERROR(HYPERLINK(VLOOKUP($B223,'Online Database'!$A:$J,9,FALSE),"Open Page"),IFERROR(HYPERLINK(VLOOKUP($B223,'Manual Database'!$A:$J,9,FALSE),"Open Page"),""))</f>
        <v/>
      </c>
      <c r="Q223" s="87" t="str">
        <f>IFERROR(HYPERLINK(VLOOKUP($B223,'Online Database'!$A:$J,10,FALSE),"Download"),IFERROR(HYPERLINK(VLOOKUP($B223,'Manual Database'!$A:$J,10,FALSE),"Download"),""))</f>
        <v/>
      </c>
      <c r="R223" s="73"/>
    </row>
    <row r="224" spans="1:18" ht="22.05" customHeight="1">
      <c r="A224" s="77" t="str">
        <f>IF(C224="","",COUNTIF($C$2:C224,"&lt;&gt;"))</f>
        <v/>
      </c>
      <c r="B224" s="73"/>
      <c r="C224" s="73" t="str">
        <f>IFERROR(VLOOKUP($B224,'Hack Database'!$A:$J,2,FALSE),"")</f>
        <v/>
      </c>
      <c r="D224" s="73" t="str">
        <f>IFERROR(VLOOKUP($B224,'Hack Database'!$A:$J,3,FALSE),"")</f>
        <v/>
      </c>
      <c r="E224" s="79" t="str">
        <f>IFERROR(VLOOKUP($B224,'Hack Database'!$A:$J,4,FALSE),"")</f>
        <v/>
      </c>
      <c r="F224" s="73" t="str">
        <f>IFERROR(VLOOKUP($B224,'Hack Database'!$A:$J,5,FALSE),"")</f>
        <v/>
      </c>
      <c r="G224" s="73" t="str">
        <f>IFERROR(VLOOKUP($B224,'Hack Database'!$A:$J,6,FALSE),"")</f>
        <v/>
      </c>
      <c r="H224" s="80"/>
      <c r="I224" s="80"/>
      <c r="J224" s="73"/>
      <c r="K224" s="73" t="str">
        <f t="shared" si="3"/>
        <v/>
      </c>
      <c r="L224" s="79"/>
      <c r="M224" s="73"/>
      <c r="N224" s="73"/>
      <c r="O224" s="73"/>
      <c r="P224" s="87" t="str">
        <f>IFERROR(HYPERLINK(VLOOKUP($B224,'Online Database'!$A:$J,9,FALSE),"Open Page"),IFERROR(HYPERLINK(VLOOKUP($B224,'Manual Database'!$A:$J,9,FALSE),"Open Page"),""))</f>
        <v/>
      </c>
      <c r="Q224" s="87" t="str">
        <f>IFERROR(HYPERLINK(VLOOKUP($B224,'Online Database'!$A:$J,10,FALSE),"Download"),IFERROR(HYPERLINK(VLOOKUP($B224,'Manual Database'!$A:$J,10,FALSE),"Download"),""))</f>
        <v/>
      </c>
      <c r="R224" s="73"/>
    </row>
    <row r="225" spans="1:18" ht="22.05" customHeight="1">
      <c r="A225" s="77" t="str">
        <f>IF(C225="","",COUNTIF($C$2:C225,"&lt;&gt;"))</f>
        <v/>
      </c>
      <c r="B225" s="73"/>
      <c r="C225" s="73" t="str">
        <f>IFERROR(VLOOKUP($B225,'Hack Database'!$A:$J,2,FALSE),"")</f>
        <v/>
      </c>
      <c r="D225" s="73" t="str">
        <f>IFERROR(VLOOKUP($B225,'Hack Database'!$A:$J,3,FALSE),"")</f>
        <v/>
      </c>
      <c r="E225" s="79" t="str">
        <f>IFERROR(VLOOKUP($B225,'Hack Database'!$A:$J,4,FALSE),"")</f>
        <v/>
      </c>
      <c r="F225" s="73" t="str">
        <f>IFERROR(VLOOKUP($B225,'Hack Database'!$A:$J,5,FALSE),"")</f>
        <v/>
      </c>
      <c r="G225" s="73" t="str">
        <f>IFERROR(VLOOKUP($B225,'Hack Database'!$A:$J,6,FALSE),"")</f>
        <v/>
      </c>
      <c r="H225" s="80"/>
      <c r="I225" s="80"/>
      <c r="J225" s="73"/>
      <c r="K225" s="73" t="str">
        <f t="shared" si="3"/>
        <v/>
      </c>
      <c r="L225" s="79"/>
      <c r="M225" s="73"/>
      <c r="N225" s="73"/>
      <c r="O225" s="73"/>
      <c r="P225" s="87" t="str">
        <f>IFERROR(HYPERLINK(VLOOKUP($B225,'Online Database'!$A:$J,9,FALSE),"Open Page"),IFERROR(HYPERLINK(VLOOKUP($B225,'Manual Database'!$A:$J,9,FALSE),"Open Page"),""))</f>
        <v/>
      </c>
      <c r="Q225" s="87" t="str">
        <f>IFERROR(HYPERLINK(VLOOKUP($B225,'Online Database'!$A:$J,10,FALSE),"Download"),IFERROR(HYPERLINK(VLOOKUP($B225,'Manual Database'!$A:$J,10,FALSE),"Download"),""))</f>
        <v/>
      </c>
      <c r="R225" s="73"/>
    </row>
    <row r="226" spans="1:18" ht="22.05" customHeight="1">
      <c r="A226" s="77" t="str">
        <f>IF(C226="","",COUNTIF($C$2:C226,"&lt;&gt;"))</f>
        <v/>
      </c>
      <c r="B226" s="73"/>
      <c r="C226" s="73" t="str">
        <f>IFERROR(VLOOKUP($B226,'Hack Database'!$A:$J,2,FALSE),"")</f>
        <v/>
      </c>
      <c r="D226" s="73" t="str">
        <f>IFERROR(VLOOKUP($B226,'Hack Database'!$A:$J,3,FALSE),"")</f>
        <v/>
      </c>
      <c r="E226" s="79" t="str">
        <f>IFERROR(VLOOKUP($B226,'Hack Database'!$A:$J,4,FALSE),"")</f>
        <v/>
      </c>
      <c r="F226" s="73" t="str">
        <f>IFERROR(VLOOKUP($B226,'Hack Database'!$A:$J,5,FALSE),"")</f>
        <v/>
      </c>
      <c r="G226" s="73" t="str">
        <f>IFERROR(VLOOKUP($B226,'Hack Database'!$A:$J,6,FALSE),"")</f>
        <v/>
      </c>
      <c r="H226" s="80"/>
      <c r="I226" s="80"/>
      <c r="J226" s="73"/>
      <c r="K226" s="73" t="str">
        <f t="shared" si="3"/>
        <v/>
      </c>
      <c r="L226" s="79"/>
      <c r="M226" s="73"/>
      <c r="N226" s="73"/>
      <c r="O226" s="73"/>
      <c r="P226" s="87" t="str">
        <f>IFERROR(HYPERLINK(VLOOKUP($B226,'Online Database'!$A:$J,9,FALSE),"Open Page"),IFERROR(HYPERLINK(VLOOKUP($B226,'Manual Database'!$A:$J,9,FALSE),"Open Page"),""))</f>
        <v/>
      </c>
      <c r="Q226" s="87" t="str">
        <f>IFERROR(HYPERLINK(VLOOKUP($B226,'Online Database'!$A:$J,10,FALSE),"Download"),IFERROR(HYPERLINK(VLOOKUP($B226,'Manual Database'!$A:$J,10,FALSE),"Download"),""))</f>
        <v/>
      </c>
      <c r="R226" s="73"/>
    </row>
    <row r="227" spans="1:18" ht="22.05" customHeight="1">
      <c r="A227" s="77" t="str">
        <f>IF(C227="","",COUNTIF($C$2:C227,"&lt;&gt;"))</f>
        <v/>
      </c>
      <c r="B227" s="73"/>
      <c r="C227" s="73" t="str">
        <f>IFERROR(VLOOKUP($B227,'Hack Database'!$A:$J,2,FALSE),"")</f>
        <v/>
      </c>
      <c r="D227" s="73" t="str">
        <f>IFERROR(VLOOKUP($B227,'Hack Database'!$A:$J,3,FALSE),"")</f>
        <v/>
      </c>
      <c r="E227" s="79" t="str">
        <f>IFERROR(VLOOKUP($B227,'Hack Database'!$A:$J,4,FALSE),"")</f>
        <v/>
      </c>
      <c r="F227" s="73" t="str">
        <f>IFERROR(VLOOKUP($B227,'Hack Database'!$A:$J,5,FALSE),"")</f>
        <v/>
      </c>
      <c r="G227" s="73" t="str">
        <f>IFERROR(VLOOKUP($B227,'Hack Database'!$A:$J,6,FALSE),"")</f>
        <v/>
      </c>
      <c r="H227" s="80"/>
      <c r="I227" s="80"/>
      <c r="J227" s="73"/>
      <c r="K227" s="73" t="str">
        <f t="shared" si="3"/>
        <v/>
      </c>
      <c r="L227" s="79"/>
      <c r="M227" s="73"/>
      <c r="N227" s="73"/>
      <c r="O227" s="73"/>
      <c r="P227" s="87" t="str">
        <f>IFERROR(HYPERLINK(VLOOKUP($B227,'Online Database'!$A:$J,9,FALSE),"Open Page"),IFERROR(HYPERLINK(VLOOKUP($B227,'Manual Database'!$A:$J,9,FALSE),"Open Page"),""))</f>
        <v/>
      </c>
      <c r="Q227" s="87" t="str">
        <f>IFERROR(HYPERLINK(VLOOKUP($B227,'Online Database'!$A:$J,10,FALSE),"Download"),IFERROR(HYPERLINK(VLOOKUP($B227,'Manual Database'!$A:$J,10,FALSE),"Download"),""))</f>
        <v/>
      </c>
      <c r="R227" s="73"/>
    </row>
    <row r="228" spans="1:18" ht="22.05" customHeight="1">
      <c r="A228" s="77" t="str">
        <f>IF(C228="","",COUNTIF($C$2:C228,"&lt;&gt;"))</f>
        <v/>
      </c>
      <c r="B228" s="73"/>
      <c r="C228" s="73" t="str">
        <f>IFERROR(VLOOKUP($B228,'Hack Database'!$A:$J,2,FALSE),"")</f>
        <v/>
      </c>
      <c r="D228" s="73" t="str">
        <f>IFERROR(VLOOKUP($B228,'Hack Database'!$A:$J,3,FALSE),"")</f>
        <v/>
      </c>
      <c r="E228" s="79" t="str">
        <f>IFERROR(VLOOKUP($B228,'Hack Database'!$A:$J,4,FALSE),"")</f>
        <v/>
      </c>
      <c r="F228" s="73" t="str">
        <f>IFERROR(VLOOKUP($B228,'Hack Database'!$A:$J,5,FALSE),"")</f>
        <v/>
      </c>
      <c r="G228" s="73" t="str">
        <f>IFERROR(VLOOKUP($B228,'Hack Database'!$A:$J,6,FALSE),"")</f>
        <v/>
      </c>
      <c r="H228" s="80"/>
      <c r="I228" s="80"/>
      <c r="J228" s="73"/>
      <c r="K228" s="73" t="str">
        <f t="shared" si="3"/>
        <v/>
      </c>
      <c r="L228" s="79"/>
      <c r="M228" s="73"/>
      <c r="N228" s="73"/>
      <c r="O228" s="73"/>
      <c r="P228" s="87" t="str">
        <f>IFERROR(HYPERLINK(VLOOKUP($B228,'Online Database'!$A:$J,9,FALSE),"Open Page"),IFERROR(HYPERLINK(VLOOKUP($B228,'Manual Database'!$A:$J,9,FALSE),"Open Page"),""))</f>
        <v/>
      </c>
      <c r="Q228" s="87" t="str">
        <f>IFERROR(HYPERLINK(VLOOKUP($B228,'Online Database'!$A:$J,10,FALSE),"Download"),IFERROR(HYPERLINK(VLOOKUP($B228,'Manual Database'!$A:$J,10,FALSE),"Download"),""))</f>
        <v/>
      </c>
      <c r="R228" s="73"/>
    </row>
    <row r="229" spans="1:18" ht="22.05" customHeight="1">
      <c r="A229" s="77" t="str">
        <f>IF(C229="","",COUNTIF($C$2:C229,"&lt;&gt;"))</f>
        <v/>
      </c>
      <c r="B229" s="73"/>
      <c r="C229" s="73" t="str">
        <f>IFERROR(VLOOKUP($B229,'Hack Database'!$A:$J,2,FALSE),"")</f>
        <v/>
      </c>
      <c r="D229" s="73" t="str">
        <f>IFERROR(VLOOKUP($B229,'Hack Database'!$A:$J,3,FALSE),"")</f>
        <v/>
      </c>
      <c r="E229" s="79" t="str">
        <f>IFERROR(VLOOKUP($B229,'Hack Database'!$A:$J,4,FALSE),"")</f>
        <v/>
      </c>
      <c r="F229" s="73" t="str">
        <f>IFERROR(VLOOKUP($B229,'Hack Database'!$A:$J,5,FALSE),"")</f>
        <v/>
      </c>
      <c r="G229" s="73" t="str">
        <f>IFERROR(VLOOKUP($B229,'Hack Database'!$A:$J,6,FALSE),"")</f>
        <v/>
      </c>
      <c r="H229" s="80"/>
      <c r="I229" s="80"/>
      <c r="J229" s="73"/>
      <c r="K229" s="73" t="str">
        <f t="shared" si="3"/>
        <v/>
      </c>
      <c r="L229" s="79"/>
      <c r="M229" s="73"/>
      <c r="N229" s="73"/>
      <c r="O229" s="73"/>
      <c r="P229" s="87" t="str">
        <f>IFERROR(HYPERLINK(VLOOKUP($B229,'Online Database'!$A:$J,9,FALSE),"Open Page"),IFERROR(HYPERLINK(VLOOKUP($B229,'Manual Database'!$A:$J,9,FALSE),"Open Page"),""))</f>
        <v/>
      </c>
      <c r="Q229" s="87" t="str">
        <f>IFERROR(HYPERLINK(VLOOKUP($B229,'Online Database'!$A:$J,10,FALSE),"Download"),IFERROR(HYPERLINK(VLOOKUP($B229,'Manual Database'!$A:$J,10,FALSE),"Download"),""))</f>
        <v/>
      </c>
      <c r="R229" s="73"/>
    </row>
    <row r="230" spans="1:18" ht="22.05" customHeight="1">
      <c r="A230" s="77" t="str">
        <f>IF(C230="","",COUNTIF($C$2:C230,"&lt;&gt;"))</f>
        <v/>
      </c>
      <c r="B230" s="73"/>
      <c r="C230" s="73" t="str">
        <f>IFERROR(VLOOKUP($B230,'Hack Database'!$A:$J,2,FALSE),"")</f>
        <v/>
      </c>
      <c r="D230" s="73" t="str">
        <f>IFERROR(VLOOKUP($B230,'Hack Database'!$A:$J,3,FALSE),"")</f>
        <v/>
      </c>
      <c r="E230" s="79" t="str">
        <f>IFERROR(VLOOKUP($B230,'Hack Database'!$A:$J,4,FALSE),"")</f>
        <v/>
      </c>
      <c r="F230" s="73" t="str">
        <f>IFERROR(VLOOKUP($B230,'Hack Database'!$A:$J,5,FALSE),"")</f>
        <v/>
      </c>
      <c r="G230" s="73" t="str">
        <f>IFERROR(VLOOKUP($B230,'Hack Database'!$A:$J,6,FALSE),"")</f>
        <v/>
      </c>
      <c r="H230" s="80"/>
      <c r="I230" s="80"/>
      <c r="J230" s="73"/>
      <c r="K230" s="73" t="str">
        <f t="shared" si="3"/>
        <v/>
      </c>
      <c r="L230" s="79"/>
      <c r="M230" s="73"/>
      <c r="N230" s="73"/>
      <c r="O230" s="73"/>
      <c r="P230" s="87" t="str">
        <f>IFERROR(HYPERLINK(VLOOKUP($B230,'Online Database'!$A:$J,9,FALSE),"Open Page"),IFERROR(HYPERLINK(VLOOKUP($B230,'Manual Database'!$A:$J,9,FALSE),"Open Page"),""))</f>
        <v/>
      </c>
      <c r="Q230" s="87" t="str">
        <f>IFERROR(HYPERLINK(VLOOKUP($B230,'Online Database'!$A:$J,10,FALSE),"Download"),IFERROR(HYPERLINK(VLOOKUP($B230,'Manual Database'!$A:$J,10,FALSE),"Download"),""))</f>
        <v/>
      </c>
      <c r="R230" s="73"/>
    </row>
    <row r="231" spans="1:18" ht="22.05" customHeight="1">
      <c r="A231" s="77" t="str">
        <f>IF(C231="","",COUNTIF($C$2:C231,"&lt;&gt;"))</f>
        <v/>
      </c>
      <c r="B231" s="73"/>
      <c r="C231" s="73" t="str">
        <f>IFERROR(VLOOKUP($B231,'Hack Database'!$A:$J,2,FALSE),"")</f>
        <v/>
      </c>
      <c r="D231" s="73" t="str">
        <f>IFERROR(VLOOKUP($B231,'Hack Database'!$A:$J,3,FALSE),"")</f>
        <v/>
      </c>
      <c r="E231" s="79" t="str">
        <f>IFERROR(VLOOKUP($B231,'Hack Database'!$A:$J,4,FALSE),"")</f>
        <v/>
      </c>
      <c r="F231" s="73" t="str">
        <f>IFERROR(VLOOKUP($B231,'Hack Database'!$A:$J,5,FALSE),"")</f>
        <v/>
      </c>
      <c r="G231" s="73" t="str">
        <f>IFERROR(VLOOKUP($B231,'Hack Database'!$A:$J,6,FALSE),"")</f>
        <v/>
      </c>
      <c r="H231" s="80"/>
      <c r="I231" s="80"/>
      <c r="J231" s="73"/>
      <c r="K231" s="73" t="str">
        <f t="shared" si="3"/>
        <v/>
      </c>
      <c r="L231" s="79"/>
      <c r="M231" s="73"/>
      <c r="N231" s="73"/>
      <c r="O231" s="73"/>
      <c r="P231" s="87" t="str">
        <f>IFERROR(HYPERLINK(VLOOKUP($B231,'Online Database'!$A:$J,9,FALSE),"Open Page"),IFERROR(HYPERLINK(VLOOKUP($B231,'Manual Database'!$A:$J,9,FALSE),"Open Page"),""))</f>
        <v/>
      </c>
      <c r="Q231" s="87" t="str">
        <f>IFERROR(HYPERLINK(VLOOKUP($B231,'Online Database'!$A:$J,10,FALSE),"Download"),IFERROR(HYPERLINK(VLOOKUP($B231,'Manual Database'!$A:$J,10,FALSE),"Download"),""))</f>
        <v/>
      </c>
      <c r="R231" s="73"/>
    </row>
    <row r="232" spans="1:18" ht="22.05" customHeight="1">
      <c r="A232" s="77" t="str">
        <f>IF(C232="","",COUNTIF($C$2:C232,"&lt;&gt;"))</f>
        <v/>
      </c>
      <c r="B232" s="73"/>
      <c r="C232" s="73" t="str">
        <f>IFERROR(VLOOKUP($B232,'Hack Database'!$A:$J,2,FALSE),"")</f>
        <v/>
      </c>
      <c r="D232" s="73" t="str">
        <f>IFERROR(VLOOKUP($B232,'Hack Database'!$A:$J,3,FALSE),"")</f>
        <v/>
      </c>
      <c r="E232" s="79" t="str">
        <f>IFERROR(VLOOKUP($B232,'Hack Database'!$A:$J,4,FALSE),"")</f>
        <v/>
      </c>
      <c r="F232" s="73" t="str">
        <f>IFERROR(VLOOKUP($B232,'Hack Database'!$A:$J,5,FALSE),"")</f>
        <v/>
      </c>
      <c r="G232" s="73" t="str">
        <f>IFERROR(VLOOKUP($B232,'Hack Database'!$A:$J,6,FALSE),"")</f>
        <v/>
      </c>
      <c r="H232" s="80"/>
      <c r="I232" s="80"/>
      <c r="J232" s="73"/>
      <c r="K232" s="73" t="str">
        <f t="shared" si="3"/>
        <v/>
      </c>
      <c r="L232" s="79"/>
      <c r="M232" s="73"/>
      <c r="N232" s="73"/>
      <c r="O232" s="73"/>
      <c r="P232" s="87" t="str">
        <f>IFERROR(HYPERLINK(VLOOKUP($B232,'Online Database'!$A:$J,9,FALSE),"Open Page"),IFERROR(HYPERLINK(VLOOKUP($B232,'Manual Database'!$A:$J,9,FALSE),"Open Page"),""))</f>
        <v/>
      </c>
      <c r="Q232" s="87" t="str">
        <f>IFERROR(HYPERLINK(VLOOKUP($B232,'Online Database'!$A:$J,10,FALSE),"Download"),IFERROR(HYPERLINK(VLOOKUP($B232,'Manual Database'!$A:$J,10,FALSE),"Download"),""))</f>
        <v/>
      </c>
      <c r="R232" s="73"/>
    </row>
    <row r="233" spans="1:18" ht="22.05" customHeight="1">
      <c r="A233" s="77" t="str">
        <f>IF(C233="","",COUNTIF($C$2:C233,"&lt;&gt;"))</f>
        <v/>
      </c>
      <c r="B233" s="73"/>
      <c r="C233" s="73" t="str">
        <f>IFERROR(VLOOKUP($B233,'Hack Database'!$A:$J,2,FALSE),"")</f>
        <v/>
      </c>
      <c r="D233" s="73" t="str">
        <f>IFERROR(VLOOKUP($B233,'Hack Database'!$A:$J,3,FALSE),"")</f>
        <v/>
      </c>
      <c r="E233" s="79" t="str">
        <f>IFERROR(VLOOKUP($B233,'Hack Database'!$A:$J,4,FALSE),"")</f>
        <v/>
      </c>
      <c r="F233" s="73" t="str">
        <f>IFERROR(VLOOKUP($B233,'Hack Database'!$A:$J,5,FALSE),"")</f>
        <v/>
      </c>
      <c r="G233" s="73" t="str">
        <f>IFERROR(VLOOKUP($B233,'Hack Database'!$A:$J,6,FALSE),"")</f>
        <v/>
      </c>
      <c r="H233" s="80"/>
      <c r="I233" s="80"/>
      <c r="J233" s="73"/>
      <c r="K233" s="73" t="str">
        <f t="shared" si="3"/>
        <v/>
      </c>
      <c r="L233" s="79"/>
      <c r="M233" s="73"/>
      <c r="N233" s="73"/>
      <c r="O233" s="73"/>
      <c r="P233" s="87" t="str">
        <f>IFERROR(HYPERLINK(VLOOKUP($B233,'Online Database'!$A:$J,9,FALSE),"Open Page"),IFERROR(HYPERLINK(VLOOKUP($B233,'Manual Database'!$A:$J,9,FALSE),"Open Page"),""))</f>
        <v/>
      </c>
      <c r="Q233" s="87" t="str">
        <f>IFERROR(HYPERLINK(VLOOKUP($B233,'Online Database'!$A:$J,10,FALSE),"Download"),IFERROR(HYPERLINK(VLOOKUP($B233,'Manual Database'!$A:$J,10,FALSE),"Download"),""))</f>
        <v/>
      </c>
      <c r="R233" s="73"/>
    </row>
    <row r="234" spans="1:18" ht="22.05" customHeight="1">
      <c r="A234" s="77" t="str">
        <f>IF(C234="","",COUNTIF($C$2:C234,"&lt;&gt;"))</f>
        <v/>
      </c>
      <c r="B234" s="73"/>
      <c r="C234" s="73" t="str">
        <f>IFERROR(VLOOKUP($B234,'Hack Database'!$A:$J,2,FALSE),"")</f>
        <v/>
      </c>
      <c r="D234" s="73" t="str">
        <f>IFERROR(VLOOKUP($B234,'Hack Database'!$A:$J,3,FALSE),"")</f>
        <v/>
      </c>
      <c r="E234" s="79" t="str">
        <f>IFERROR(VLOOKUP($B234,'Hack Database'!$A:$J,4,FALSE),"")</f>
        <v/>
      </c>
      <c r="F234" s="73" t="str">
        <f>IFERROR(VLOOKUP($B234,'Hack Database'!$A:$J,5,FALSE),"")</f>
        <v/>
      </c>
      <c r="G234" s="73" t="str">
        <f>IFERROR(VLOOKUP($B234,'Hack Database'!$A:$J,6,FALSE),"")</f>
        <v/>
      </c>
      <c r="H234" s="80"/>
      <c r="I234" s="80"/>
      <c r="J234" s="73"/>
      <c r="K234" s="73" t="str">
        <f t="shared" si="3"/>
        <v/>
      </c>
      <c r="L234" s="79"/>
      <c r="M234" s="73"/>
      <c r="N234" s="73"/>
      <c r="O234" s="73"/>
      <c r="P234" s="87" t="str">
        <f>IFERROR(HYPERLINK(VLOOKUP($B234,'Online Database'!$A:$J,9,FALSE),"Open Page"),IFERROR(HYPERLINK(VLOOKUP($B234,'Manual Database'!$A:$J,9,FALSE),"Open Page"),""))</f>
        <v/>
      </c>
      <c r="Q234" s="87" t="str">
        <f>IFERROR(HYPERLINK(VLOOKUP($B234,'Online Database'!$A:$J,10,FALSE),"Download"),IFERROR(HYPERLINK(VLOOKUP($B234,'Manual Database'!$A:$J,10,FALSE),"Download"),""))</f>
        <v/>
      </c>
      <c r="R234" s="73"/>
    </row>
    <row r="235" spans="1:18" ht="22.05" customHeight="1">
      <c r="A235" s="77" t="str">
        <f>IF(C235="","",COUNTIF($C$2:C235,"&lt;&gt;"))</f>
        <v/>
      </c>
      <c r="B235" s="73"/>
      <c r="C235" s="73" t="str">
        <f>IFERROR(VLOOKUP($B235,'Hack Database'!$A:$J,2,FALSE),"")</f>
        <v/>
      </c>
      <c r="D235" s="73" t="str">
        <f>IFERROR(VLOOKUP($B235,'Hack Database'!$A:$J,3,FALSE),"")</f>
        <v/>
      </c>
      <c r="E235" s="79" t="str">
        <f>IFERROR(VLOOKUP($B235,'Hack Database'!$A:$J,4,FALSE),"")</f>
        <v/>
      </c>
      <c r="F235" s="73" t="str">
        <f>IFERROR(VLOOKUP($B235,'Hack Database'!$A:$J,5,FALSE),"")</f>
        <v/>
      </c>
      <c r="G235" s="73" t="str">
        <f>IFERROR(VLOOKUP($B235,'Hack Database'!$A:$J,6,FALSE),"")</f>
        <v/>
      </c>
      <c r="H235" s="80"/>
      <c r="I235" s="80"/>
      <c r="J235" s="73"/>
      <c r="K235" s="73" t="str">
        <f t="shared" si="3"/>
        <v/>
      </c>
      <c r="L235" s="79"/>
      <c r="M235" s="73"/>
      <c r="N235" s="73"/>
      <c r="O235" s="73"/>
      <c r="P235" s="87" t="str">
        <f>IFERROR(HYPERLINK(VLOOKUP($B235,'Online Database'!$A:$J,9,FALSE),"Open Page"),IFERROR(HYPERLINK(VLOOKUP($B235,'Manual Database'!$A:$J,9,FALSE),"Open Page"),""))</f>
        <v/>
      </c>
      <c r="Q235" s="87" t="str">
        <f>IFERROR(HYPERLINK(VLOOKUP($B235,'Online Database'!$A:$J,10,FALSE),"Download"),IFERROR(HYPERLINK(VLOOKUP($B235,'Manual Database'!$A:$J,10,FALSE),"Download"),""))</f>
        <v/>
      </c>
      <c r="R235" s="73"/>
    </row>
    <row r="236" spans="1:18" ht="22.05" customHeight="1">
      <c r="A236" s="77" t="str">
        <f>IF(C236="","",COUNTIF($C$2:C236,"&lt;&gt;"))</f>
        <v/>
      </c>
      <c r="B236" s="73"/>
      <c r="C236" s="73" t="str">
        <f>IFERROR(VLOOKUP($B236,'Hack Database'!$A:$J,2,FALSE),"")</f>
        <v/>
      </c>
      <c r="D236" s="73" t="str">
        <f>IFERROR(VLOOKUP($B236,'Hack Database'!$A:$J,3,FALSE),"")</f>
        <v/>
      </c>
      <c r="E236" s="79" t="str">
        <f>IFERROR(VLOOKUP($B236,'Hack Database'!$A:$J,4,FALSE),"")</f>
        <v/>
      </c>
      <c r="F236" s="73" t="str">
        <f>IFERROR(VLOOKUP($B236,'Hack Database'!$A:$J,5,FALSE),"")</f>
        <v/>
      </c>
      <c r="G236" s="73" t="str">
        <f>IFERROR(VLOOKUP($B236,'Hack Database'!$A:$J,6,FALSE),"")</f>
        <v/>
      </c>
      <c r="H236" s="80"/>
      <c r="I236" s="80"/>
      <c r="J236" s="73"/>
      <c r="K236" s="73" t="str">
        <f t="shared" si="3"/>
        <v/>
      </c>
      <c r="L236" s="79"/>
      <c r="M236" s="73"/>
      <c r="N236" s="73"/>
      <c r="O236" s="73"/>
      <c r="P236" s="87" t="str">
        <f>IFERROR(HYPERLINK(VLOOKUP($B236,'Online Database'!$A:$J,9,FALSE),"Open Page"),IFERROR(HYPERLINK(VLOOKUP($B236,'Manual Database'!$A:$J,9,FALSE),"Open Page"),""))</f>
        <v/>
      </c>
      <c r="Q236" s="87" t="str">
        <f>IFERROR(HYPERLINK(VLOOKUP($B236,'Online Database'!$A:$J,10,FALSE),"Download"),IFERROR(HYPERLINK(VLOOKUP($B236,'Manual Database'!$A:$J,10,FALSE),"Download"),""))</f>
        <v/>
      </c>
      <c r="R236" s="73"/>
    </row>
    <row r="237" spans="1:18" ht="22.05" customHeight="1">
      <c r="A237" s="77" t="str">
        <f>IF(C237="","",COUNTIF($C$2:C237,"&lt;&gt;"))</f>
        <v/>
      </c>
      <c r="B237" s="73"/>
      <c r="C237" s="73" t="str">
        <f>IFERROR(VLOOKUP($B237,'Hack Database'!$A:$J,2,FALSE),"")</f>
        <v/>
      </c>
      <c r="D237" s="73" t="str">
        <f>IFERROR(VLOOKUP($B237,'Hack Database'!$A:$J,3,FALSE),"")</f>
        <v/>
      </c>
      <c r="E237" s="79" t="str">
        <f>IFERROR(VLOOKUP($B237,'Hack Database'!$A:$J,4,FALSE),"")</f>
        <v/>
      </c>
      <c r="F237" s="73" t="str">
        <f>IFERROR(VLOOKUP($B237,'Hack Database'!$A:$J,5,FALSE),"")</f>
        <v/>
      </c>
      <c r="G237" s="73" t="str">
        <f>IFERROR(VLOOKUP($B237,'Hack Database'!$A:$J,6,FALSE),"")</f>
        <v/>
      </c>
      <c r="H237" s="80"/>
      <c r="I237" s="80"/>
      <c r="J237" s="73"/>
      <c r="K237" s="73" t="str">
        <f t="shared" si="3"/>
        <v/>
      </c>
      <c r="L237" s="79"/>
      <c r="M237" s="73"/>
      <c r="N237" s="73"/>
      <c r="O237" s="73"/>
      <c r="P237" s="87" t="str">
        <f>IFERROR(HYPERLINK(VLOOKUP($B237,'Online Database'!$A:$J,9,FALSE),"Open Page"),IFERROR(HYPERLINK(VLOOKUP($B237,'Manual Database'!$A:$J,9,FALSE),"Open Page"),""))</f>
        <v/>
      </c>
      <c r="Q237" s="87" t="str">
        <f>IFERROR(HYPERLINK(VLOOKUP($B237,'Online Database'!$A:$J,10,FALSE),"Download"),IFERROR(HYPERLINK(VLOOKUP($B237,'Manual Database'!$A:$J,10,FALSE),"Download"),""))</f>
        <v/>
      </c>
      <c r="R237" s="73"/>
    </row>
    <row r="238" spans="1:18" ht="22.05" customHeight="1">
      <c r="A238" s="77" t="str">
        <f>IF(C238="","",COUNTIF($C$2:C238,"&lt;&gt;"))</f>
        <v/>
      </c>
      <c r="B238" s="73"/>
      <c r="C238" s="73" t="str">
        <f>IFERROR(VLOOKUP($B238,'Hack Database'!$A:$J,2,FALSE),"")</f>
        <v/>
      </c>
      <c r="D238" s="73" t="str">
        <f>IFERROR(VLOOKUP($B238,'Hack Database'!$A:$J,3,FALSE),"")</f>
        <v/>
      </c>
      <c r="E238" s="79" t="str">
        <f>IFERROR(VLOOKUP($B238,'Hack Database'!$A:$J,4,FALSE),"")</f>
        <v/>
      </c>
      <c r="F238" s="73" t="str">
        <f>IFERROR(VLOOKUP($B238,'Hack Database'!$A:$J,5,FALSE),"")</f>
        <v/>
      </c>
      <c r="G238" s="73" t="str">
        <f>IFERROR(VLOOKUP($B238,'Hack Database'!$A:$J,6,FALSE),"")</f>
        <v/>
      </c>
      <c r="H238" s="80"/>
      <c r="I238" s="80"/>
      <c r="J238" s="73"/>
      <c r="K238" s="73" t="str">
        <f t="shared" si="3"/>
        <v/>
      </c>
      <c r="L238" s="79"/>
      <c r="M238" s="73"/>
      <c r="N238" s="73"/>
      <c r="O238" s="73"/>
      <c r="P238" s="87" t="str">
        <f>IFERROR(HYPERLINK(VLOOKUP($B238,'Online Database'!$A:$J,9,FALSE),"Open Page"),IFERROR(HYPERLINK(VLOOKUP($B238,'Manual Database'!$A:$J,9,FALSE),"Open Page"),""))</f>
        <v/>
      </c>
      <c r="Q238" s="87" t="str">
        <f>IFERROR(HYPERLINK(VLOOKUP($B238,'Online Database'!$A:$J,10,FALSE),"Download"),IFERROR(HYPERLINK(VLOOKUP($B238,'Manual Database'!$A:$J,10,FALSE),"Download"),""))</f>
        <v/>
      </c>
      <c r="R238" s="73"/>
    </row>
    <row r="239" spans="1:18" ht="22.05" customHeight="1">
      <c r="A239" s="77" t="str">
        <f>IF(C239="","",COUNTIF($C$2:C239,"&lt;&gt;"))</f>
        <v/>
      </c>
      <c r="B239" s="73"/>
      <c r="C239" s="73" t="str">
        <f>IFERROR(VLOOKUP($B239,'Hack Database'!$A:$J,2,FALSE),"")</f>
        <v/>
      </c>
      <c r="D239" s="73" t="str">
        <f>IFERROR(VLOOKUP($B239,'Hack Database'!$A:$J,3,FALSE),"")</f>
        <v/>
      </c>
      <c r="E239" s="79" t="str">
        <f>IFERROR(VLOOKUP($B239,'Hack Database'!$A:$J,4,FALSE),"")</f>
        <v/>
      </c>
      <c r="F239" s="73" t="str">
        <f>IFERROR(VLOOKUP($B239,'Hack Database'!$A:$J,5,FALSE),"")</f>
        <v/>
      </c>
      <c r="G239" s="73" t="str">
        <f>IFERROR(VLOOKUP($B239,'Hack Database'!$A:$J,6,FALSE),"")</f>
        <v/>
      </c>
      <c r="H239" s="80"/>
      <c r="I239" s="80"/>
      <c r="J239" s="73"/>
      <c r="K239" s="73" t="str">
        <f t="shared" si="3"/>
        <v/>
      </c>
      <c r="L239" s="79"/>
      <c r="M239" s="73"/>
      <c r="N239" s="73"/>
      <c r="O239" s="73"/>
      <c r="P239" s="87" t="str">
        <f>IFERROR(HYPERLINK(VLOOKUP($B239,'Online Database'!$A:$J,9,FALSE),"Open Page"),IFERROR(HYPERLINK(VLOOKUP($B239,'Manual Database'!$A:$J,9,FALSE),"Open Page"),""))</f>
        <v/>
      </c>
      <c r="Q239" s="87" t="str">
        <f>IFERROR(HYPERLINK(VLOOKUP($B239,'Online Database'!$A:$J,10,FALSE),"Download"),IFERROR(HYPERLINK(VLOOKUP($B239,'Manual Database'!$A:$J,10,FALSE),"Download"),""))</f>
        <v/>
      </c>
      <c r="R239" s="73"/>
    </row>
    <row r="240" spans="1:18" ht="22.05" customHeight="1">
      <c r="A240" s="77" t="str">
        <f>IF(C240="","",COUNTIF($C$2:C240,"&lt;&gt;"))</f>
        <v/>
      </c>
      <c r="B240" s="73"/>
      <c r="C240" s="73" t="str">
        <f>IFERROR(VLOOKUP($B240,'Hack Database'!$A:$J,2,FALSE),"")</f>
        <v/>
      </c>
      <c r="D240" s="73" t="str">
        <f>IFERROR(VLOOKUP($B240,'Hack Database'!$A:$J,3,FALSE),"")</f>
        <v/>
      </c>
      <c r="E240" s="79" t="str">
        <f>IFERROR(VLOOKUP($B240,'Hack Database'!$A:$J,4,FALSE),"")</f>
        <v/>
      </c>
      <c r="F240" s="73" t="str">
        <f>IFERROR(VLOOKUP($B240,'Hack Database'!$A:$J,5,FALSE),"")</f>
        <v/>
      </c>
      <c r="G240" s="73" t="str">
        <f>IFERROR(VLOOKUP($B240,'Hack Database'!$A:$J,6,FALSE),"")</f>
        <v/>
      </c>
      <c r="H240" s="80"/>
      <c r="I240" s="80"/>
      <c r="J240" s="73"/>
      <c r="K240" s="73" t="str">
        <f t="shared" si="3"/>
        <v/>
      </c>
      <c r="L240" s="79"/>
      <c r="M240" s="73"/>
      <c r="N240" s="73"/>
      <c r="O240" s="73"/>
      <c r="P240" s="87" t="str">
        <f>IFERROR(HYPERLINK(VLOOKUP($B240,'Online Database'!$A:$J,9,FALSE),"Open Page"),IFERROR(HYPERLINK(VLOOKUP($B240,'Manual Database'!$A:$J,9,FALSE),"Open Page"),""))</f>
        <v/>
      </c>
      <c r="Q240" s="87" t="str">
        <f>IFERROR(HYPERLINK(VLOOKUP($B240,'Online Database'!$A:$J,10,FALSE),"Download"),IFERROR(HYPERLINK(VLOOKUP($B240,'Manual Database'!$A:$J,10,FALSE),"Download"),""))</f>
        <v/>
      </c>
      <c r="R240" s="73"/>
    </row>
    <row r="241" spans="1:18" ht="22.05" customHeight="1">
      <c r="A241" s="77" t="str">
        <f>IF(C241="","",COUNTIF($C$2:C241,"&lt;&gt;"))</f>
        <v/>
      </c>
      <c r="B241" s="73"/>
      <c r="C241" s="73" t="str">
        <f>IFERROR(VLOOKUP($B241,'Hack Database'!$A:$J,2,FALSE),"")</f>
        <v/>
      </c>
      <c r="D241" s="73" t="str">
        <f>IFERROR(VLOOKUP($B241,'Hack Database'!$A:$J,3,FALSE),"")</f>
        <v/>
      </c>
      <c r="E241" s="79" t="str">
        <f>IFERROR(VLOOKUP($B241,'Hack Database'!$A:$J,4,FALSE),"")</f>
        <v/>
      </c>
      <c r="F241" s="73" t="str">
        <f>IFERROR(VLOOKUP($B241,'Hack Database'!$A:$J,5,FALSE),"")</f>
        <v/>
      </c>
      <c r="G241" s="73" t="str">
        <f>IFERROR(VLOOKUP($B241,'Hack Database'!$A:$J,6,FALSE),"")</f>
        <v/>
      </c>
      <c r="H241" s="80"/>
      <c r="I241" s="80"/>
      <c r="J241" s="73"/>
      <c r="K241" s="73" t="str">
        <f t="shared" si="3"/>
        <v/>
      </c>
      <c r="L241" s="79"/>
      <c r="M241" s="73"/>
      <c r="N241" s="73"/>
      <c r="O241" s="73"/>
      <c r="P241" s="87" t="str">
        <f>IFERROR(HYPERLINK(VLOOKUP($B241,'Online Database'!$A:$J,9,FALSE),"Open Page"),IFERROR(HYPERLINK(VLOOKUP($B241,'Manual Database'!$A:$J,9,FALSE),"Open Page"),""))</f>
        <v/>
      </c>
      <c r="Q241" s="87" t="str">
        <f>IFERROR(HYPERLINK(VLOOKUP($B241,'Online Database'!$A:$J,10,FALSE),"Download"),IFERROR(HYPERLINK(VLOOKUP($B241,'Manual Database'!$A:$J,10,FALSE),"Download"),""))</f>
        <v/>
      </c>
      <c r="R241" s="73"/>
    </row>
    <row r="242" spans="1:18" ht="22.05" customHeight="1">
      <c r="A242" s="77" t="str">
        <f>IF(C242="","",COUNTIF($C$2:C242,"&lt;&gt;"))</f>
        <v/>
      </c>
      <c r="B242" s="73"/>
      <c r="C242" s="73" t="str">
        <f>IFERROR(VLOOKUP($B242,'Hack Database'!$A:$J,2,FALSE),"")</f>
        <v/>
      </c>
      <c r="D242" s="73" t="str">
        <f>IFERROR(VLOOKUP($B242,'Hack Database'!$A:$J,3,FALSE),"")</f>
        <v/>
      </c>
      <c r="E242" s="79" t="str">
        <f>IFERROR(VLOOKUP($B242,'Hack Database'!$A:$J,4,FALSE),"")</f>
        <v/>
      </c>
      <c r="F242" s="73" t="str">
        <f>IFERROR(VLOOKUP($B242,'Hack Database'!$A:$J,5,FALSE),"")</f>
        <v/>
      </c>
      <c r="G242" s="73" t="str">
        <f>IFERROR(VLOOKUP($B242,'Hack Database'!$A:$J,6,FALSE),"")</f>
        <v/>
      </c>
      <c r="H242" s="80"/>
      <c r="I242" s="80"/>
      <c r="J242" s="73"/>
      <c r="K242" s="73" t="str">
        <f t="shared" si="3"/>
        <v/>
      </c>
      <c r="L242" s="79"/>
      <c r="M242" s="73"/>
      <c r="N242" s="73"/>
      <c r="O242" s="73"/>
      <c r="P242" s="87" t="str">
        <f>IFERROR(HYPERLINK(VLOOKUP($B242,'Online Database'!$A:$J,9,FALSE),"Open Page"),IFERROR(HYPERLINK(VLOOKUP($B242,'Manual Database'!$A:$J,9,FALSE),"Open Page"),""))</f>
        <v/>
      </c>
      <c r="Q242" s="87" t="str">
        <f>IFERROR(HYPERLINK(VLOOKUP($B242,'Online Database'!$A:$J,10,FALSE),"Download"),IFERROR(HYPERLINK(VLOOKUP($B242,'Manual Database'!$A:$J,10,FALSE),"Download"),""))</f>
        <v/>
      </c>
      <c r="R242" s="73"/>
    </row>
    <row r="243" spans="1:18" ht="22.05" customHeight="1">
      <c r="A243" s="77" t="str">
        <f>IF(C243="","",COUNTIF($C$2:C243,"&lt;&gt;"))</f>
        <v/>
      </c>
      <c r="B243" s="73"/>
      <c r="C243" s="73" t="str">
        <f>IFERROR(VLOOKUP($B243,'Hack Database'!$A:$J,2,FALSE),"")</f>
        <v/>
      </c>
      <c r="D243" s="73" t="str">
        <f>IFERROR(VLOOKUP($B243,'Hack Database'!$A:$J,3,FALSE),"")</f>
        <v/>
      </c>
      <c r="E243" s="79" t="str">
        <f>IFERROR(VLOOKUP($B243,'Hack Database'!$A:$J,4,FALSE),"")</f>
        <v/>
      </c>
      <c r="F243" s="73" t="str">
        <f>IFERROR(VLOOKUP($B243,'Hack Database'!$A:$J,5,FALSE),"")</f>
        <v/>
      </c>
      <c r="G243" s="73" t="str">
        <f>IFERROR(VLOOKUP($B243,'Hack Database'!$A:$J,6,FALSE),"")</f>
        <v/>
      </c>
      <c r="H243" s="80"/>
      <c r="I243" s="80"/>
      <c r="J243" s="73"/>
      <c r="K243" s="73" t="str">
        <f t="shared" si="3"/>
        <v/>
      </c>
      <c r="L243" s="79"/>
      <c r="M243" s="73"/>
      <c r="N243" s="73"/>
      <c r="O243" s="73"/>
      <c r="P243" s="87" t="str">
        <f>IFERROR(HYPERLINK(VLOOKUP($B243,'Online Database'!$A:$J,9,FALSE),"Open Page"),IFERROR(HYPERLINK(VLOOKUP($B243,'Manual Database'!$A:$J,9,FALSE),"Open Page"),""))</f>
        <v/>
      </c>
      <c r="Q243" s="87" t="str">
        <f>IFERROR(HYPERLINK(VLOOKUP($B243,'Online Database'!$A:$J,10,FALSE),"Download"),IFERROR(HYPERLINK(VLOOKUP($B243,'Manual Database'!$A:$J,10,FALSE),"Download"),""))</f>
        <v/>
      </c>
      <c r="R243" s="73"/>
    </row>
    <row r="244" spans="1:18" ht="22.05" customHeight="1">
      <c r="A244" s="77" t="str">
        <f>IF(C244="","",COUNTIF($C$2:C244,"&lt;&gt;"))</f>
        <v/>
      </c>
      <c r="B244" s="73"/>
      <c r="C244" s="73" t="str">
        <f>IFERROR(VLOOKUP($B244,'Hack Database'!$A:$J,2,FALSE),"")</f>
        <v/>
      </c>
      <c r="D244" s="73" t="str">
        <f>IFERROR(VLOOKUP($B244,'Hack Database'!$A:$J,3,FALSE),"")</f>
        <v/>
      </c>
      <c r="E244" s="79" t="str">
        <f>IFERROR(VLOOKUP($B244,'Hack Database'!$A:$J,4,FALSE),"")</f>
        <v/>
      </c>
      <c r="F244" s="73" t="str">
        <f>IFERROR(VLOOKUP($B244,'Hack Database'!$A:$J,5,FALSE),"")</f>
        <v/>
      </c>
      <c r="G244" s="73" t="str">
        <f>IFERROR(VLOOKUP($B244,'Hack Database'!$A:$J,6,FALSE),"")</f>
        <v/>
      </c>
      <c r="H244" s="80"/>
      <c r="I244" s="80"/>
      <c r="J244" s="73"/>
      <c r="K244" s="73" t="str">
        <f t="shared" si="3"/>
        <v/>
      </c>
      <c r="L244" s="79"/>
      <c r="M244" s="73"/>
      <c r="N244" s="73"/>
      <c r="O244" s="73"/>
      <c r="P244" s="87" t="str">
        <f>IFERROR(HYPERLINK(VLOOKUP($B244,'Online Database'!$A:$J,9,FALSE),"Open Page"),IFERROR(HYPERLINK(VLOOKUP($B244,'Manual Database'!$A:$J,9,FALSE),"Open Page"),""))</f>
        <v/>
      </c>
      <c r="Q244" s="87" t="str">
        <f>IFERROR(HYPERLINK(VLOOKUP($B244,'Online Database'!$A:$J,10,FALSE),"Download"),IFERROR(HYPERLINK(VLOOKUP($B244,'Manual Database'!$A:$J,10,FALSE),"Download"),""))</f>
        <v/>
      </c>
      <c r="R244" s="73"/>
    </row>
    <row r="245" spans="1:18" ht="22.05" customHeight="1">
      <c r="A245" s="77" t="str">
        <f>IF(C245="","",COUNTIF($C$2:C245,"&lt;&gt;"))</f>
        <v/>
      </c>
      <c r="B245" s="73"/>
      <c r="C245" s="73" t="str">
        <f>IFERROR(VLOOKUP($B245,'Hack Database'!$A:$J,2,FALSE),"")</f>
        <v/>
      </c>
      <c r="D245" s="73" t="str">
        <f>IFERROR(VLOOKUP($B245,'Hack Database'!$A:$J,3,FALSE),"")</f>
        <v/>
      </c>
      <c r="E245" s="79" t="str">
        <f>IFERROR(VLOOKUP($B245,'Hack Database'!$A:$J,4,FALSE),"")</f>
        <v/>
      </c>
      <c r="F245" s="73" t="str">
        <f>IFERROR(VLOOKUP($B245,'Hack Database'!$A:$J,5,FALSE),"")</f>
        <v/>
      </c>
      <c r="G245" s="73" t="str">
        <f>IFERROR(VLOOKUP($B245,'Hack Database'!$A:$J,6,FALSE),"")</f>
        <v/>
      </c>
      <c r="H245" s="80"/>
      <c r="I245" s="80"/>
      <c r="J245" s="73"/>
      <c r="K245" s="73" t="str">
        <f t="shared" si="3"/>
        <v/>
      </c>
      <c r="L245" s="79"/>
      <c r="M245" s="73"/>
      <c r="N245" s="73"/>
      <c r="O245" s="73"/>
      <c r="P245" s="87" t="str">
        <f>IFERROR(HYPERLINK(VLOOKUP($B245,'Online Database'!$A:$J,9,FALSE),"Open Page"),IFERROR(HYPERLINK(VLOOKUP($B245,'Manual Database'!$A:$J,9,FALSE),"Open Page"),""))</f>
        <v/>
      </c>
      <c r="Q245" s="87" t="str">
        <f>IFERROR(HYPERLINK(VLOOKUP($B245,'Online Database'!$A:$J,10,FALSE),"Download"),IFERROR(HYPERLINK(VLOOKUP($B245,'Manual Database'!$A:$J,10,FALSE),"Download"),""))</f>
        <v/>
      </c>
      <c r="R245" s="73"/>
    </row>
    <row r="246" spans="1:18" ht="22.05" customHeight="1">
      <c r="A246" s="77" t="str">
        <f>IF(C246="","",COUNTIF($C$2:C246,"&lt;&gt;"))</f>
        <v/>
      </c>
      <c r="B246" s="73"/>
      <c r="C246" s="73" t="str">
        <f>IFERROR(VLOOKUP($B246,'Hack Database'!$A:$J,2,FALSE),"")</f>
        <v/>
      </c>
      <c r="D246" s="73" t="str">
        <f>IFERROR(VLOOKUP($B246,'Hack Database'!$A:$J,3,FALSE),"")</f>
        <v/>
      </c>
      <c r="E246" s="79" t="str">
        <f>IFERROR(VLOOKUP($B246,'Hack Database'!$A:$J,4,FALSE),"")</f>
        <v/>
      </c>
      <c r="F246" s="73" t="str">
        <f>IFERROR(VLOOKUP($B246,'Hack Database'!$A:$J,5,FALSE),"")</f>
        <v/>
      </c>
      <c r="G246" s="73" t="str">
        <f>IFERROR(VLOOKUP($B246,'Hack Database'!$A:$J,6,FALSE),"")</f>
        <v/>
      </c>
      <c r="H246" s="80"/>
      <c r="I246" s="80"/>
      <c r="J246" s="73"/>
      <c r="K246" s="73" t="str">
        <f t="shared" si="3"/>
        <v/>
      </c>
      <c r="L246" s="79"/>
      <c r="M246" s="73"/>
      <c r="N246" s="73"/>
      <c r="O246" s="73"/>
      <c r="P246" s="87" t="str">
        <f>IFERROR(HYPERLINK(VLOOKUP($B246,'Online Database'!$A:$J,9,FALSE),"Open Page"),IFERROR(HYPERLINK(VLOOKUP($B246,'Manual Database'!$A:$J,9,FALSE),"Open Page"),""))</f>
        <v/>
      </c>
      <c r="Q246" s="87" t="str">
        <f>IFERROR(HYPERLINK(VLOOKUP($B246,'Online Database'!$A:$J,10,FALSE),"Download"),IFERROR(HYPERLINK(VLOOKUP($B246,'Manual Database'!$A:$J,10,FALSE),"Download"),""))</f>
        <v/>
      </c>
      <c r="R246" s="73"/>
    </row>
    <row r="247" spans="1:18" ht="22.05" customHeight="1">
      <c r="A247" s="77" t="str">
        <f>IF(C247="","",COUNTIF($C$2:C247,"&lt;&gt;"))</f>
        <v/>
      </c>
      <c r="B247" s="73"/>
      <c r="C247" s="73" t="str">
        <f>IFERROR(VLOOKUP($B247,'Hack Database'!$A:$J,2,FALSE),"")</f>
        <v/>
      </c>
      <c r="D247" s="73" t="str">
        <f>IFERROR(VLOOKUP($B247,'Hack Database'!$A:$J,3,FALSE),"")</f>
        <v/>
      </c>
      <c r="E247" s="79" t="str">
        <f>IFERROR(VLOOKUP($B247,'Hack Database'!$A:$J,4,FALSE),"")</f>
        <v/>
      </c>
      <c r="F247" s="73" t="str">
        <f>IFERROR(VLOOKUP($B247,'Hack Database'!$A:$J,5,FALSE),"")</f>
        <v/>
      </c>
      <c r="G247" s="73" t="str">
        <f>IFERROR(VLOOKUP($B247,'Hack Database'!$A:$J,6,FALSE),"")</f>
        <v/>
      </c>
      <c r="H247" s="80"/>
      <c r="I247" s="80"/>
      <c r="J247" s="73"/>
      <c r="K247" s="73" t="str">
        <f t="shared" si="3"/>
        <v/>
      </c>
      <c r="L247" s="79"/>
      <c r="M247" s="73"/>
      <c r="N247" s="73"/>
      <c r="O247" s="73"/>
      <c r="P247" s="87" t="str">
        <f>IFERROR(HYPERLINK(VLOOKUP($B247,'Online Database'!$A:$J,9,FALSE),"Open Page"),IFERROR(HYPERLINK(VLOOKUP($B247,'Manual Database'!$A:$J,9,FALSE),"Open Page"),""))</f>
        <v/>
      </c>
      <c r="Q247" s="87" t="str">
        <f>IFERROR(HYPERLINK(VLOOKUP($B247,'Online Database'!$A:$J,10,FALSE),"Download"),IFERROR(HYPERLINK(VLOOKUP($B247,'Manual Database'!$A:$J,10,FALSE),"Download"),""))</f>
        <v/>
      </c>
      <c r="R247" s="73"/>
    </row>
    <row r="248" spans="1:18" ht="22.05" customHeight="1">
      <c r="A248" s="77" t="str">
        <f>IF(C248="","",COUNTIF($C$2:C248,"&lt;&gt;"))</f>
        <v/>
      </c>
      <c r="B248" s="73"/>
      <c r="C248" s="73" t="str">
        <f>IFERROR(VLOOKUP($B248,'Hack Database'!$A:$J,2,FALSE),"")</f>
        <v/>
      </c>
      <c r="D248" s="73" t="str">
        <f>IFERROR(VLOOKUP($B248,'Hack Database'!$A:$J,3,FALSE),"")</f>
        <v/>
      </c>
      <c r="E248" s="79" t="str">
        <f>IFERROR(VLOOKUP($B248,'Hack Database'!$A:$J,4,FALSE),"")</f>
        <v/>
      </c>
      <c r="F248" s="73" t="str">
        <f>IFERROR(VLOOKUP($B248,'Hack Database'!$A:$J,5,FALSE),"")</f>
        <v/>
      </c>
      <c r="G248" s="73" t="str">
        <f>IFERROR(VLOOKUP($B248,'Hack Database'!$A:$J,6,FALSE),"")</f>
        <v/>
      </c>
      <c r="H248" s="80"/>
      <c r="I248" s="80"/>
      <c r="J248" s="73"/>
      <c r="K248" s="73" t="str">
        <f t="shared" si="3"/>
        <v/>
      </c>
      <c r="L248" s="79"/>
      <c r="M248" s="73"/>
      <c r="N248" s="73"/>
      <c r="O248" s="73"/>
      <c r="P248" s="87" t="str">
        <f>IFERROR(HYPERLINK(VLOOKUP($B248,'Online Database'!$A:$J,9,FALSE),"Open Page"),IFERROR(HYPERLINK(VLOOKUP($B248,'Manual Database'!$A:$J,9,FALSE),"Open Page"),""))</f>
        <v/>
      </c>
      <c r="Q248" s="87" t="str">
        <f>IFERROR(HYPERLINK(VLOOKUP($B248,'Online Database'!$A:$J,10,FALSE),"Download"),IFERROR(HYPERLINK(VLOOKUP($B248,'Manual Database'!$A:$J,10,FALSE),"Download"),""))</f>
        <v/>
      </c>
      <c r="R248" s="73"/>
    </row>
    <row r="249" spans="1:18" ht="22.05" customHeight="1">
      <c r="A249" s="77" t="str">
        <f>IF(C249="","",COUNTIF($C$2:C249,"&lt;&gt;"))</f>
        <v/>
      </c>
      <c r="B249" s="73"/>
      <c r="C249" s="73" t="str">
        <f>IFERROR(VLOOKUP($B249,'Hack Database'!$A:$J,2,FALSE),"")</f>
        <v/>
      </c>
      <c r="D249" s="73" t="str">
        <f>IFERROR(VLOOKUP($B249,'Hack Database'!$A:$J,3,FALSE),"")</f>
        <v/>
      </c>
      <c r="E249" s="79" t="str">
        <f>IFERROR(VLOOKUP($B249,'Hack Database'!$A:$J,4,FALSE),"")</f>
        <v/>
      </c>
      <c r="F249" s="73" t="str">
        <f>IFERROR(VLOOKUP($B249,'Hack Database'!$A:$J,5,FALSE),"")</f>
        <v/>
      </c>
      <c r="G249" s="73" t="str">
        <f>IFERROR(VLOOKUP($B249,'Hack Database'!$A:$J,6,FALSE),"")</f>
        <v/>
      </c>
      <c r="H249" s="80"/>
      <c r="I249" s="80"/>
      <c r="J249" s="73"/>
      <c r="K249" s="73" t="str">
        <f t="shared" si="3"/>
        <v/>
      </c>
      <c r="L249" s="79"/>
      <c r="M249" s="73"/>
      <c r="N249" s="73"/>
      <c r="O249" s="73"/>
      <c r="P249" s="87" t="str">
        <f>IFERROR(HYPERLINK(VLOOKUP($B249,'Online Database'!$A:$J,9,FALSE),"Open Page"),IFERROR(HYPERLINK(VLOOKUP($B249,'Manual Database'!$A:$J,9,FALSE),"Open Page"),""))</f>
        <v/>
      </c>
      <c r="Q249" s="87" t="str">
        <f>IFERROR(HYPERLINK(VLOOKUP($B249,'Online Database'!$A:$J,10,FALSE),"Download"),IFERROR(HYPERLINK(VLOOKUP($B249,'Manual Database'!$A:$J,10,FALSE),"Download"),""))</f>
        <v/>
      </c>
      <c r="R249" s="73"/>
    </row>
    <row r="250" spans="1:18" ht="22.05" customHeight="1">
      <c r="A250" s="77" t="str">
        <f>IF(C250="","",COUNTIF($C$2:C250,"&lt;&gt;"))</f>
        <v/>
      </c>
      <c r="B250" s="73"/>
      <c r="C250" s="73" t="str">
        <f>IFERROR(VLOOKUP($B250,'Hack Database'!$A:$J,2,FALSE),"")</f>
        <v/>
      </c>
      <c r="D250" s="73" t="str">
        <f>IFERROR(VLOOKUP($B250,'Hack Database'!$A:$J,3,FALSE),"")</f>
        <v/>
      </c>
      <c r="E250" s="79" t="str">
        <f>IFERROR(VLOOKUP($B250,'Hack Database'!$A:$J,4,FALSE),"")</f>
        <v/>
      </c>
      <c r="F250" s="73" t="str">
        <f>IFERROR(VLOOKUP($B250,'Hack Database'!$A:$J,5,FALSE),"")</f>
        <v/>
      </c>
      <c r="G250" s="73" t="str">
        <f>IFERROR(VLOOKUP($B250,'Hack Database'!$A:$J,6,FALSE),"")</f>
        <v/>
      </c>
      <c r="H250" s="80"/>
      <c r="I250" s="80"/>
      <c r="J250" s="73"/>
      <c r="K250" s="73" t="str">
        <f t="shared" si="3"/>
        <v/>
      </c>
      <c r="L250" s="79"/>
      <c r="M250" s="73"/>
      <c r="N250" s="73"/>
      <c r="O250" s="73"/>
      <c r="P250" s="87" t="str">
        <f>IFERROR(HYPERLINK(VLOOKUP($B250,'Online Database'!$A:$J,9,FALSE),"Open Page"),IFERROR(HYPERLINK(VLOOKUP($B250,'Manual Database'!$A:$J,9,FALSE),"Open Page"),""))</f>
        <v/>
      </c>
      <c r="Q250" s="87" t="str">
        <f>IFERROR(HYPERLINK(VLOOKUP($B250,'Online Database'!$A:$J,10,FALSE),"Download"),IFERROR(HYPERLINK(VLOOKUP($B250,'Manual Database'!$A:$J,10,FALSE),"Download"),""))</f>
        <v/>
      </c>
      <c r="R250" s="73"/>
    </row>
    <row r="251" spans="1:18" ht="22.05" customHeight="1">
      <c r="A251" s="74" t="str">
        <f>IF(C251="","",COUNTIF($C$2:C251,"&lt;&gt;"))</f>
        <v/>
      </c>
      <c r="B251" s="74"/>
      <c r="C251" s="74" t="str">
        <f>IFERROR(VLOOKUP($B251,'Hack Database'!$A:$J,2,FALSE),"")</f>
        <v/>
      </c>
      <c r="D251" s="74" t="str">
        <f>IFERROR(VLOOKUP($B251,'Hack Database'!$A:$J,3,FALSE),"")</f>
        <v/>
      </c>
      <c r="E251" s="74" t="str">
        <f>IFERROR(VLOOKUP($B251,'Hack Database'!$A:$J,4,FALSE),"")</f>
        <v/>
      </c>
      <c r="F251" s="74" t="str">
        <f>IFERROR(VLOOKUP($B251,'Hack Database'!$A:$J,5,FALSE),"")</f>
        <v/>
      </c>
      <c r="G251" s="74" t="str">
        <f>IFERROR(VLOOKUP($B251,'Hack Database'!$A:$J,6,FALSE),"")</f>
        <v/>
      </c>
      <c r="H251" s="81"/>
      <c r="I251" s="81"/>
      <c r="J251" s="74"/>
      <c r="K251" s="74" t="str">
        <f t="shared" si="3"/>
        <v/>
      </c>
      <c r="L251" s="74"/>
      <c r="M251" s="84"/>
      <c r="N251" s="84"/>
      <c r="O251" s="84"/>
      <c r="P251" s="74" t="str">
        <f>IFERROR(HYPERLINK(VLOOKUP($B251,'Online Database'!$A:$J,9,FALSE),"Open Page"),IFERROR(HYPERLINK(VLOOKUP($B251,'Manual Database'!$A:$J,9,FALSE),"Open Page"),""))</f>
        <v/>
      </c>
      <c r="Q251" s="74" t="str">
        <f>IFERROR(HYPERLINK(VLOOKUP($B251,'Online Database'!$A:$J,10,FALSE),"Download"),IFERROR(HYPERLINK(VLOOKUP($B251,'Manual Database'!$A:$J,10,FALSE),"Download"),""))</f>
        <v/>
      </c>
      <c r="R251" s="90"/>
    </row>
    <row r="252" spans="1:18" ht="22.05" customHeight="1">
      <c r="A252" s="74" t="str">
        <f>IF(C252="","",COUNTIF($C$2:C252,"&lt;&gt;"))</f>
        <v/>
      </c>
      <c r="B252" s="74"/>
      <c r="C252" s="74" t="str">
        <f>IFERROR(VLOOKUP($B252,'Hack Database'!$A:$J,2,FALSE),"")</f>
        <v/>
      </c>
      <c r="D252" s="74" t="str">
        <f>IFERROR(VLOOKUP($B252,'Hack Database'!$A:$J,3,FALSE),"")</f>
        <v/>
      </c>
      <c r="E252" s="74" t="str">
        <f>IFERROR(VLOOKUP($B252,'Hack Database'!$A:$J,4,FALSE),"")</f>
        <v/>
      </c>
      <c r="F252" s="74" t="str">
        <f>IFERROR(VLOOKUP($B252,'Hack Database'!$A:$J,5,FALSE),"")</f>
        <v/>
      </c>
      <c r="G252" s="74" t="str">
        <f>IFERROR(VLOOKUP($B252,'Hack Database'!$A:$J,6,FALSE),"")</f>
        <v/>
      </c>
      <c r="H252" s="81"/>
      <c r="I252" s="81"/>
      <c r="J252" s="74"/>
      <c r="K252" s="74" t="str">
        <f t="shared" si="3"/>
        <v/>
      </c>
      <c r="L252" s="74"/>
      <c r="M252" s="84"/>
      <c r="N252" s="84"/>
      <c r="O252" s="84"/>
      <c r="P252" s="74" t="str">
        <f>IFERROR(HYPERLINK(VLOOKUP($B252,'Online Database'!$A:$J,9,FALSE),"Open Page"),IFERROR(HYPERLINK(VLOOKUP($B252,'Manual Database'!$A:$J,9,FALSE),"Open Page"),""))</f>
        <v/>
      </c>
      <c r="Q252" s="74" t="str">
        <f>IFERROR(HYPERLINK(VLOOKUP($B252,'Online Database'!$A:$J,10,FALSE),"Download"),IFERROR(HYPERLINK(VLOOKUP($B252,'Manual Database'!$A:$J,10,FALSE),"Download"),""))</f>
        <v/>
      </c>
      <c r="R252" s="90"/>
    </row>
    <row r="253" spans="1:18" ht="22.05" customHeight="1">
      <c r="A253" s="74" t="str">
        <f>IF(C253="","",COUNTIF($C$2:C253,"&lt;&gt;"))</f>
        <v/>
      </c>
      <c r="B253" s="74"/>
      <c r="C253" s="74" t="str">
        <f>IFERROR(VLOOKUP($B253,'Hack Database'!$A:$J,2,FALSE),"")</f>
        <v/>
      </c>
      <c r="D253" s="74" t="str">
        <f>IFERROR(VLOOKUP($B253,'Hack Database'!$A:$J,3,FALSE),"")</f>
        <v/>
      </c>
      <c r="E253" s="74" t="str">
        <f>IFERROR(VLOOKUP($B253,'Hack Database'!$A:$J,4,FALSE),"")</f>
        <v/>
      </c>
      <c r="F253" s="74" t="str">
        <f>IFERROR(VLOOKUP($B253,'Hack Database'!$A:$J,5,FALSE),"")</f>
        <v/>
      </c>
      <c r="G253" s="74" t="str">
        <f>IFERROR(VLOOKUP($B253,'Hack Database'!$A:$J,6,FALSE),"")</f>
        <v/>
      </c>
      <c r="H253" s="81"/>
      <c r="I253" s="81"/>
      <c r="J253" s="74"/>
      <c r="K253" s="74" t="str">
        <f t="shared" si="3"/>
        <v/>
      </c>
      <c r="L253" s="74"/>
      <c r="M253" s="84"/>
      <c r="N253" s="84"/>
      <c r="O253" s="84"/>
      <c r="P253" s="74" t="str">
        <f>IFERROR(HYPERLINK(VLOOKUP($B253,'Online Database'!$A:$J,9,FALSE),"Open Page"),IFERROR(HYPERLINK(VLOOKUP($B253,'Manual Database'!$A:$J,9,FALSE),"Open Page"),""))</f>
        <v/>
      </c>
      <c r="Q253" s="74" t="str">
        <f>IFERROR(HYPERLINK(VLOOKUP($B253,'Online Database'!$A:$J,10,FALSE),"Download"),IFERROR(HYPERLINK(VLOOKUP($B253,'Manual Database'!$A:$J,10,FALSE),"Download"),""))</f>
        <v/>
      </c>
      <c r="R253" s="90"/>
    </row>
    <row r="254" spans="1:18" ht="22.05" customHeight="1">
      <c r="A254" s="74" t="str">
        <f>IF(C254="","",COUNTIF($C$2:C254,"&lt;&gt;"))</f>
        <v/>
      </c>
      <c r="B254" s="74"/>
      <c r="C254" s="74" t="str">
        <f>IFERROR(VLOOKUP($B254,'Hack Database'!$A:$J,2,FALSE),"")</f>
        <v/>
      </c>
      <c r="D254" s="74" t="str">
        <f>IFERROR(VLOOKUP($B254,'Hack Database'!$A:$J,3,FALSE),"")</f>
        <v/>
      </c>
      <c r="E254" s="74" t="str">
        <f>IFERROR(VLOOKUP($B254,'Hack Database'!$A:$J,4,FALSE),"")</f>
        <v/>
      </c>
      <c r="F254" s="74" t="str">
        <f>IFERROR(VLOOKUP($B254,'Hack Database'!$A:$J,5,FALSE),"")</f>
        <v/>
      </c>
      <c r="G254" s="74" t="str">
        <f>IFERROR(VLOOKUP($B254,'Hack Database'!$A:$J,6,FALSE),"")</f>
        <v/>
      </c>
      <c r="H254" s="81"/>
      <c r="I254" s="81"/>
      <c r="J254" s="74"/>
      <c r="K254" s="74" t="str">
        <f t="shared" si="3"/>
        <v/>
      </c>
      <c r="L254" s="74"/>
      <c r="M254" s="84"/>
      <c r="N254" s="84"/>
      <c r="O254" s="84"/>
      <c r="P254" s="74" t="str">
        <f>IFERROR(HYPERLINK(VLOOKUP($B254,'Online Database'!$A:$J,9,FALSE),"Open Page"),IFERROR(HYPERLINK(VLOOKUP($B254,'Manual Database'!$A:$J,9,FALSE),"Open Page"),""))</f>
        <v/>
      </c>
      <c r="Q254" s="74" t="str">
        <f>IFERROR(HYPERLINK(VLOOKUP($B254,'Online Database'!$A:$J,10,FALSE),"Download"),IFERROR(HYPERLINK(VLOOKUP($B254,'Manual Database'!$A:$J,10,FALSE),"Download"),""))</f>
        <v/>
      </c>
      <c r="R254" s="90"/>
    </row>
    <row r="255" spans="1:18" ht="22.05" customHeight="1">
      <c r="A255" s="74" t="str">
        <f>IF(C255="","",COUNTIF($C$2:C255,"&lt;&gt;"))</f>
        <v/>
      </c>
      <c r="B255" s="74"/>
      <c r="C255" s="74" t="str">
        <f>IFERROR(VLOOKUP($B255,'Hack Database'!$A:$J,2,FALSE),"")</f>
        <v/>
      </c>
      <c r="D255" s="74" t="str">
        <f>IFERROR(VLOOKUP($B255,'Hack Database'!$A:$J,3,FALSE),"")</f>
        <v/>
      </c>
      <c r="E255" s="74" t="str">
        <f>IFERROR(VLOOKUP($B255,'Hack Database'!$A:$J,4,FALSE),"")</f>
        <v/>
      </c>
      <c r="F255" s="74" t="str">
        <f>IFERROR(VLOOKUP($B255,'Hack Database'!$A:$J,5,FALSE),"")</f>
        <v/>
      </c>
      <c r="G255" s="74" t="str">
        <f>IFERROR(VLOOKUP($B255,'Hack Database'!$A:$J,6,FALSE),"")</f>
        <v/>
      </c>
      <c r="H255" s="81"/>
      <c r="I255" s="81"/>
      <c r="J255" s="74"/>
      <c r="K255" s="74" t="str">
        <f t="shared" si="3"/>
        <v/>
      </c>
      <c r="L255" s="74"/>
      <c r="M255" s="84"/>
      <c r="N255" s="84"/>
      <c r="O255" s="84"/>
      <c r="P255" s="74" t="str">
        <f>IFERROR(HYPERLINK(VLOOKUP($B255,'Online Database'!$A:$J,9,FALSE),"Open Page"),IFERROR(HYPERLINK(VLOOKUP($B255,'Manual Database'!$A:$J,9,FALSE),"Open Page"),""))</f>
        <v/>
      </c>
      <c r="Q255" s="74" t="str">
        <f>IFERROR(HYPERLINK(VLOOKUP($B255,'Online Database'!$A:$J,10,FALSE),"Download"),IFERROR(HYPERLINK(VLOOKUP($B255,'Manual Database'!$A:$J,10,FALSE),"Download"),""))</f>
        <v/>
      </c>
      <c r="R255" s="90"/>
    </row>
    <row r="256" spans="1:18" ht="22.05" customHeight="1">
      <c r="A256" s="74" t="str">
        <f>IF(C256="","",COUNTIF($C$2:C256,"&lt;&gt;"))</f>
        <v/>
      </c>
      <c r="B256" s="74"/>
      <c r="C256" s="74" t="str">
        <f>IFERROR(VLOOKUP($B256,'Hack Database'!$A:$J,2,FALSE),"")</f>
        <v/>
      </c>
      <c r="D256" s="74" t="str">
        <f>IFERROR(VLOOKUP($B256,'Hack Database'!$A:$J,3,FALSE),"")</f>
        <v/>
      </c>
      <c r="E256" s="74" t="str">
        <f>IFERROR(VLOOKUP($B256,'Hack Database'!$A:$J,4,FALSE),"")</f>
        <v/>
      </c>
      <c r="F256" s="74" t="str">
        <f>IFERROR(VLOOKUP($B256,'Hack Database'!$A:$J,5,FALSE),"")</f>
        <v/>
      </c>
      <c r="G256" s="74" t="str">
        <f>IFERROR(VLOOKUP($B256,'Hack Database'!$A:$J,6,FALSE),"")</f>
        <v/>
      </c>
      <c r="H256" s="81"/>
      <c r="I256" s="81"/>
      <c r="J256" s="74"/>
      <c r="K256" s="74" t="str">
        <f t="shared" si="3"/>
        <v/>
      </c>
      <c r="L256" s="74"/>
      <c r="M256" s="84"/>
      <c r="N256" s="84"/>
      <c r="O256" s="84"/>
      <c r="P256" s="74" t="str">
        <f>IFERROR(HYPERLINK(VLOOKUP($B256,'Online Database'!$A:$J,9,FALSE),"Open Page"),IFERROR(HYPERLINK(VLOOKUP($B256,'Manual Database'!$A:$J,9,FALSE),"Open Page"),""))</f>
        <v/>
      </c>
      <c r="Q256" s="74" t="str">
        <f>IFERROR(HYPERLINK(VLOOKUP($B256,'Online Database'!$A:$J,10,FALSE),"Download"),IFERROR(HYPERLINK(VLOOKUP($B256,'Manual Database'!$A:$J,10,FALSE),"Download"),""))</f>
        <v/>
      </c>
      <c r="R256" s="90"/>
    </row>
    <row r="257" spans="1:18" ht="22.05" customHeight="1">
      <c r="A257" s="74" t="str">
        <f>IF(C257="","",COUNTIF($C$2:C257,"&lt;&gt;"))</f>
        <v/>
      </c>
      <c r="B257" s="74"/>
      <c r="C257" s="74" t="str">
        <f>IFERROR(VLOOKUP($B257,'Hack Database'!$A:$J,2,FALSE),"")</f>
        <v/>
      </c>
      <c r="D257" s="74" t="str">
        <f>IFERROR(VLOOKUP($B257,'Hack Database'!$A:$J,3,FALSE),"")</f>
        <v/>
      </c>
      <c r="E257" s="74" t="str">
        <f>IFERROR(VLOOKUP($B257,'Hack Database'!$A:$J,4,FALSE),"")</f>
        <v/>
      </c>
      <c r="F257" s="74" t="str">
        <f>IFERROR(VLOOKUP($B257,'Hack Database'!$A:$J,5,FALSE),"")</f>
        <v/>
      </c>
      <c r="G257" s="74" t="str">
        <f>IFERROR(VLOOKUP($B257,'Hack Database'!$A:$J,6,FALSE),"")</f>
        <v/>
      </c>
      <c r="H257" s="81"/>
      <c r="I257" s="81"/>
      <c r="J257" s="74"/>
      <c r="K257" s="74" t="str">
        <f t="shared" si="3"/>
        <v/>
      </c>
      <c r="L257" s="74"/>
      <c r="M257" s="84"/>
      <c r="N257" s="84"/>
      <c r="O257" s="84"/>
      <c r="P257" s="74" t="str">
        <f>IFERROR(HYPERLINK(VLOOKUP($B257,'Online Database'!$A:$J,9,FALSE),"Open Page"),IFERROR(HYPERLINK(VLOOKUP($B257,'Manual Database'!$A:$J,9,FALSE),"Open Page"),""))</f>
        <v/>
      </c>
      <c r="Q257" s="74" t="str">
        <f>IFERROR(HYPERLINK(VLOOKUP($B257,'Online Database'!$A:$J,10,FALSE),"Download"),IFERROR(HYPERLINK(VLOOKUP($B257,'Manual Database'!$A:$J,10,FALSE),"Download"),""))</f>
        <v/>
      </c>
      <c r="R257" s="90"/>
    </row>
    <row r="258" spans="1:18" ht="22.05" customHeight="1">
      <c r="A258" s="74" t="str">
        <f>IF(C258="","",COUNTIF($C$2:C258,"&lt;&gt;"))</f>
        <v/>
      </c>
      <c r="B258" s="74"/>
      <c r="C258" s="74" t="str">
        <f>IFERROR(VLOOKUP($B258,'Hack Database'!$A:$J,2,FALSE),"")</f>
        <v/>
      </c>
      <c r="D258" s="74" t="str">
        <f>IFERROR(VLOOKUP($B258,'Hack Database'!$A:$J,3,FALSE),"")</f>
        <v/>
      </c>
      <c r="E258" s="74" t="str">
        <f>IFERROR(VLOOKUP($B258,'Hack Database'!$A:$J,4,FALSE),"")</f>
        <v/>
      </c>
      <c r="F258" s="74" t="str">
        <f>IFERROR(VLOOKUP($B258,'Hack Database'!$A:$J,5,FALSE),"")</f>
        <v/>
      </c>
      <c r="G258" s="74" t="str">
        <f>IFERROR(VLOOKUP($B258,'Hack Database'!$A:$J,6,FALSE),"")</f>
        <v/>
      </c>
      <c r="H258" s="81"/>
      <c r="I258" s="81"/>
      <c r="J258" s="74"/>
      <c r="K258" s="74" t="str">
        <f t="shared" ref="K258:K321" si="4">IF($B258="","",IF($J258="Yes","100% Complete",IF($H258="","Planned",IF($I258="","In Progress","Finished"))))</f>
        <v/>
      </c>
      <c r="L258" s="74"/>
      <c r="M258" s="84"/>
      <c r="N258" s="84"/>
      <c r="O258" s="84"/>
      <c r="P258" s="74" t="str">
        <f>IFERROR(HYPERLINK(VLOOKUP($B258,'Online Database'!$A:$J,9,FALSE),"Open Page"),IFERROR(HYPERLINK(VLOOKUP($B258,'Manual Database'!$A:$J,9,FALSE),"Open Page"),""))</f>
        <v/>
      </c>
      <c r="Q258" s="74" t="str">
        <f>IFERROR(HYPERLINK(VLOOKUP($B258,'Online Database'!$A:$J,10,FALSE),"Download"),IFERROR(HYPERLINK(VLOOKUP($B258,'Manual Database'!$A:$J,10,FALSE),"Download"),""))</f>
        <v/>
      </c>
      <c r="R258" s="90"/>
    </row>
    <row r="259" spans="1:18" ht="22.05" customHeight="1">
      <c r="A259" s="74" t="str">
        <f>IF(C259="","",COUNTIF($C$2:C259,"&lt;&gt;"))</f>
        <v/>
      </c>
      <c r="B259" s="74"/>
      <c r="C259" s="74" t="str">
        <f>IFERROR(VLOOKUP($B259,'Hack Database'!$A:$J,2,FALSE),"")</f>
        <v/>
      </c>
      <c r="D259" s="74" t="str">
        <f>IFERROR(VLOOKUP($B259,'Hack Database'!$A:$J,3,FALSE),"")</f>
        <v/>
      </c>
      <c r="E259" s="74" t="str">
        <f>IFERROR(VLOOKUP($B259,'Hack Database'!$A:$J,4,FALSE),"")</f>
        <v/>
      </c>
      <c r="F259" s="74" t="str">
        <f>IFERROR(VLOOKUP($B259,'Hack Database'!$A:$J,5,FALSE),"")</f>
        <v/>
      </c>
      <c r="G259" s="74" t="str">
        <f>IFERROR(VLOOKUP($B259,'Hack Database'!$A:$J,6,FALSE),"")</f>
        <v/>
      </c>
      <c r="H259" s="81"/>
      <c r="I259" s="81"/>
      <c r="J259" s="74"/>
      <c r="K259" s="74" t="str">
        <f t="shared" si="4"/>
        <v/>
      </c>
      <c r="L259" s="74"/>
      <c r="M259" s="84"/>
      <c r="N259" s="84"/>
      <c r="O259" s="84"/>
      <c r="P259" s="74" t="str">
        <f>IFERROR(HYPERLINK(VLOOKUP($B259,'Online Database'!$A:$J,9,FALSE),"Open Page"),IFERROR(HYPERLINK(VLOOKUP($B259,'Manual Database'!$A:$J,9,FALSE),"Open Page"),""))</f>
        <v/>
      </c>
      <c r="Q259" s="74" t="str">
        <f>IFERROR(HYPERLINK(VLOOKUP($B259,'Online Database'!$A:$J,10,FALSE),"Download"),IFERROR(HYPERLINK(VLOOKUP($B259,'Manual Database'!$A:$J,10,FALSE),"Download"),""))</f>
        <v/>
      </c>
      <c r="R259" s="90"/>
    </row>
    <row r="260" spans="1:18" ht="22.05" customHeight="1">
      <c r="A260" s="74" t="str">
        <f>IF(C260="","",COUNTIF($C$2:C260,"&lt;&gt;"))</f>
        <v/>
      </c>
      <c r="B260" s="74"/>
      <c r="C260" s="74" t="str">
        <f>IFERROR(VLOOKUP($B260,'Hack Database'!$A:$J,2,FALSE),"")</f>
        <v/>
      </c>
      <c r="D260" s="74" t="str">
        <f>IFERROR(VLOOKUP($B260,'Hack Database'!$A:$J,3,FALSE),"")</f>
        <v/>
      </c>
      <c r="E260" s="74" t="str">
        <f>IFERROR(VLOOKUP($B260,'Hack Database'!$A:$J,4,FALSE),"")</f>
        <v/>
      </c>
      <c r="F260" s="74" t="str">
        <f>IFERROR(VLOOKUP($B260,'Hack Database'!$A:$J,5,FALSE),"")</f>
        <v/>
      </c>
      <c r="G260" s="74" t="str">
        <f>IFERROR(VLOOKUP($B260,'Hack Database'!$A:$J,6,FALSE),"")</f>
        <v/>
      </c>
      <c r="H260" s="81"/>
      <c r="I260" s="81"/>
      <c r="J260" s="74"/>
      <c r="K260" s="74" t="str">
        <f t="shared" si="4"/>
        <v/>
      </c>
      <c r="L260" s="74"/>
      <c r="M260" s="84"/>
      <c r="N260" s="84"/>
      <c r="O260" s="84"/>
      <c r="P260" s="74" t="str">
        <f>IFERROR(HYPERLINK(VLOOKUP($B260,'Online Database'!$A:$J,9,FALSE),"Open Page"),IFERROR(HYPERLINK(VLOOKUP($B260,'Manual Database'!$A:$J,9,FALSE),"Open Page"),""))</f>
        <v/>
      </c>
      <c r="Q260" s="74" t="str">
        <f>IFERROR(HYPERLINK(VLOOKUP($B260,'Online Database'!$A:$J,10,FALSE),"Download"),IFERROR(HYPERLINK(VLOOKUP($B260,'Manual Database'!$A:$J,10,FALSE),"Download"),""))</f>
        <v/>
      </c>
      <c r="R260" s="90"/>
    </row>
    <row r="261" spans="1:18" ht="22.05" customHeight="1">
      <c r="A261" s="74" t="str">
        <f>IF(C261="","",COUNTIF($C$2:C261,"&lt;&gt;"))</f>
        <v/>
      </c>
      <c r="B261" s="74"/>
      <c r="C261" s="74" t="str">
        <f>IFERROR(VLOOKUP($B261,'Hack Database'!$A:$J,2,FALSE),"")</f>
        <v/>
      </c>
      <c r="D261" s="74" t="str">
        <f>IFERROR(VLOOKUP($B261,'Hack Database'!$A:$J,3,FALSE),"")</f>
        <v/>
      </c>
      <c r="E261" s="74" t="str">
        <f>IFERROR(VLOOKUP($B261,'Hack Database'!$A:$J,4,FALSE),"")</f>
        <v/>
      </c>
      <c r="F261" s="74" t="str">
        <f>IFERROR(VLOOKUP($B261,'Hack Database'!$A:$J,5,FALSE),"")</f>
        <v/>
      </c>
      <c r="G261" s="74" t="str">
        <f>IFERROR(VLOOKUP($B261,'Hack Database'!$A:$J,6,FALSE),"")</f>
        <v/>
      </c>
      <c r="H261" s="81"/>
      <c r="I261" s="81"/>
      <c r="J261" s="74"/>
      <c r="K261" s="74" t="str">
        <f t="shared" si="4"/>
        <v/>
      </c>
      <c r="L261" s="74"/>
      <c r="M261" s="84"/>
      <c r="N261" s="84"/>
      <c r="O261" s="84"/>
      <c r="P261" s="74" t="str">
        <f>IFERROR(HYPERLINK(VLOOKUP($B261,'Online Database'!$A:$J,9,FALSE),"Open Page"),IFERROR(HYPERLINK(VLOOKUP($B261,'Manual Database'!$A:$J,9,FALSE),"Open Page"),""))</f>
        <v/>
      </c>
      <c r="Q261" s="74" t="str">
        <f>IFERROR(HYPERLINK(VLOOKUP($B261,'Online Database'!$A:$J,10,FALSE),"Download"),IFERROR(HYPERLINK(VLOOKUP($B261,'Manual Database'!$A:$J,10,FALSE),"Download"),""))</f>
        <v/>
      </c>
      <c r="R261" s="90"/>
    </row>
    <row r="262" spans="1:18" ht="22.05" customHeight="1">
      <c r="A262" s="74" t="str">
        <f>IF(C262="","",COUNTIF($C$2:C262,"&lt;&gt;"))</f>
        <v/>
      </c>
      <c r="B262" s="74"/>
      <c r="C262" s="74" t="str">
        <f>IFERROR(VLOOKUP($B262,'Hack Database'!$A:$J,2,FALSE),"")</f>
        <v/>
      </c>
      <c r="D262" s="74" t="str">
        <f>IFERROR(VLOOKUP($B262,'Hack Database'!$A:$J,3,FALSE),"")</f>
        <v/>
      </c>
      <c r="E262" s="74" t="str">
        <f>IFERROR(VLOOKUP($B262,'Hack Database'!$A:$J,4,FALSE),"")</f>
        <v/>
      </c>
      <c r="F262" s="74" t="str">
        <f>IFERROR(VLOOKUP($B262,'Hack Database'!$A:$J,5,FALSE),"")</f>
        <v/>
      </c>
      <c r="G262" s="74" t="str">
        <f>IFERROR(VLOOKUP($B262,'Hack Database'!$A:$J,6,FALSE),"")</f>
        <v/>
      </c>
      <c r="H262" s="81"/>
      <c r="I262" s="81"/>
      <c r="J262" s="74"/>
      <c r="K262" s="74" t="str">
        <f t="shared" si="4"/>
        <v/>
      </c>
      <c r="L262" s="74"/>
      <c r="M262" s="84"/>
      <c r="N262" s="84"/>
      <c r="O262" s="84"/>
      <c r="P262" s="74" t="str">
        <f>IFERROR(HYPERLINK(VLOOKUP($B262,'Online Database'!$A:$J,9,FALSE),"Open Page"),IFERROR(HYPERLINK(VLOOKUP($B262,'Manual Database'!$A:$J,9,FALSE),"Open Page"),""))</f>
        <v/>
      </c>
      <c r="Q262" s="74" t="str">
        <f>IFERROR(HYPERLINK(VLOOKUP($B262,'Online Database'!$A:$J,10,FALSE),"Download"),IFERROR(HYPERLINK(VLOOKUP($B262,'Manual Database'!$A:$J,10,FALSE),"Download"),""))</f>
        <v/>
      </c>
      <c r="R262" s="90"/>
    </row>
    <row r="263" spans="1:18" ht="22.05" customHeight="1">
      <c r="A263" s="74" t="str">
        <f>IF(C263="","",COUNTIF($C$2:C263,"&lt;&gt;"))</f>
        <v/>
      </c>
      <c r="B263" s="74"/>
      <c r="C263" s="74" t="str">
        <f>IFERROR(VLOOKUP($B263,'Hack Database'!$A:$J,2,FALSE),"")</f>
        <v/>
      </c>
      <c r="D263" s="74" t="str">
        <f>IFERROR(VLOOKUP($B263,'Hack Database'!$A:$J,3,FALSE),"")</f>
        <v/>
      </c>
      <c r="E263" s="74" t="str">
        <f>IFERROR(VLOOKUP($B263,'Hack Database'!$A:$J,4,FALSE),"")</f>
        <v/>
      </c>
      <c r="F263" s="74" t="str">
        <f>IFERROR(VLOOKUP($B263,'Hack Database'!$A:$J,5,FALSE),"")</f>
        <v/>
      </c>
      <c r="G263" s="74" t="str">
        <f>IFERROR(VLOOKUP($B263,'Hack Database'!$A:$J,6,FALSE),"")</f>
        <v/>
      </c>
      <c r="H263" s="81"/>
      <c r="I263" s="81"/>
      <c r="J263" s="74"/>
      <c r="K263" s="74" t="str">
        <f t="shared" si="4"/>
        <v/>
      </c>
      <c r="L263" s="74"/>
      <c r="M263" s="84"/>
      <c r="N263" s="84"/>
      <c r="O263" s="84"/>
      <c r="P263" s="74" t="str">
        <f>IFERROR(HYPERLINK(VLOOKUP($B263,'Online Database'!$A:$J,9,FALSE),"Open Page"),IFERROR(HYPERLINK(VLOOKUP($B263,'Manual Database'!$A:$J,9,FALSE),"Open Page"),""))</f>
        <v/>
      </c>
      <c r="Q263" s="74" t="str">
        <f>IFERROR(HYPERLINK(VLOOKUP($B263,'Online Database'!$A:$J,10,FALSE),"Download"),IFERROR(HYPERLINK(VLOOKUP($B263,'Manual Database'!$A:$J,10,FALSE),"Download"),""))</f>
        <v/>
      </c>
      <c r="R263" s="90"/>
    </row>
    <row r="264" spans="1:18" ht="22.05" customHeight="1">
      <c r="A264" s="74" t="str">
        <f>IF(C264="","",COUNTIF($C$2:C264,"&lt;&gt;"))</f>
        <v/>
      </c>
      <c r="B264" s="74"/>
      <c r="C264" s="74" t="str">
        <f>IFERROR(VLOOKUP($B264,'Hack Database'!$A:$J,2,FALSE),"")</f>
        <v/>
      </c>
      <c r="D264" s="74" t="str">
        <f>IFERROR(VLOOKUP($B264,'Hack Database'!$A:$J,3,FALSE),"")</f>
        <v/>
      </c>
      <c r="E264" s="74" t="str">
        <f>IFERROR(VLOOKUP($B264,'Hack Database'!$A:$J,4,FALSE),"")</f>
        <v/>
      </c>
      <c r="F264" s="74" t="str">
        <f>IFERROR(VLOOKUP($B264,'Hack Database'!$A:$J,5,FALSE),"")</f>
        <v/>
      </c>
      <c r="G264" s="74" t="str">
        <f>IFERROR(VLOOKUP($B264,'Hack Database'!$A:$J,6,FALSE),"")</f>
        <v/>
      </c>
      <c r="H264" s="81"/>
      <c r="I264" s="81"/>
      <c r="J264" s="74"/>
      <c r="K264" s="74" t="str">
        <f t="shared" si="4"/>
        <v/>
      </c>
      <c r="L264" s="74"/>
      <c r="M264" s="84"/>
      <c r="N264" s="84"/>
      <c r="O264" s="84"/>
      <c r="P264" s="74" t="str">
        <f>IFERROR(HYPERLINK(VLOOKUP($B264,'Online Database'!$A:$J,9,FALSE),"Open Page"),IFERROR(HYPERLINK(VLOOKUP($B264,'Manual Database'!$A:$J,9,FALSE),"Open Page"),""))</f>
        <v/>
      </c>
      <c r="Q264" s="74" t="str">
        <f>IFERROR(HYPERLINK(VLOOKUP($B264,'Online Database'!$A:$J,10,FALSE),"Download"),IFERROR(HYPERLINK(VLOOKUP($B264,'Manual Database'!$A:$J,10,FALSE),"Download"),""))</f>
        <v/>
      </c>
      <c r="R264" s="90"/>
    </row>
    <row r="265" spans="1:18" ht="22.05" customHeight="1">
      <c r="A265" s="74" t="str">
        <f>IF(C265="","",COUNTIF($C$2:C265,"&lt;&gt;"))</f>
        <v/>
      </c>
      <c r="B265" s="74"/>
      <c r="C265" s="74" t="str">
        <f>IFERROR(VLOOKUP($B265,'Hack Database'!$A:$J,2,FALSE),"")</f>
        <v/>
      </c>
      <c r="D265" s="74" t="str">
        <f>IFERROR(VLOOKUP($B265,'Hack Database'!$A:$J,3,FALSE),"")</f>
        <v/>
      </c>
      <c r="E265" s="74" t="str">
        <f>IFERROR(VLOOKUP($B265,'Hack Database'!$A:$J,4,FALSE),"")</f>
        <v/>
      </c>
      <c r="F265" s="74" t="str">
        <f>IFERROR(VLOOKUP($B265,'Hack Database'!$A:$J,5,FALSE),"")</f>
        <v/>
      </c>
      <c r="G265" s="74" t="str">
        <f>IFERROR(VLOOKUP($B265,'Hack Database'!$A:$J,6,FALSE),"")</f>
        <v/>
      </c>
      <c r="H265" s="81"/>
      <c r="I265" s="81"/>
      <c r="J265" s="74"/>
      <c r="K265" s="74" t="str">
        <f t="shared" si="4"/>
        <v/>
      </c>
      <c r="L265" s="74"/>
      <c r="M265" s="84"/>
      <c r="N265" s="84"/>
      <c r="O265" s="84"/>
      <c r="P265" s="74" t="str">
        <f>IFERROR(HYPERLINK(VLOOKUP($B265,'Online Database'!$A:$J,9,FALSE),"Open Page"),IFERROR(HYPERLINK(VLOOKUP($B265,'Manual Database'!$A:$J,9,FALSE),"Open Page"),""))</f>
        <v/>
      </c>
      <c r="Q265" s="74" t="str">
        <f>IFERROR(HYPERLINK(VLOOKUP($B265,'Online Database'!$A:$J,10,FALSE),"Download"),IFERROR(HYPERLINK(VLOOKUP($B265,'Manual Database'!$A:$J,10,FALSE),"Download"),""))</f>
        <v/>
      </c>
      <c r="R265" s="90"/>
    </row>
    <row r="266" spans="1:18" ht="22.05" customHeight="1">
      <c r="A266" s="74" t="str">
        <f>IF(C266="","",COUNTIF($C$2:C266,"&lt;&gt;"))</f>
        <v/>
      </c>
      <c r="B266" s="74"/>
      <c r="C266" s="74" t="str">
        <f>IFERROR(VLOOKUP($B266,'Hack Database'!$A:$J,2,FALSE),"")</f>
        <v/>
      </c>
      <c r="D266" s="74" t="str">
        <f>IFERROR(VLOOKUP($B266,'Hack Database'!$A:$J,3,FALSE),"")</f>
        <v/>
      </c>
      <c r="E266" s="74" t="str">
        <f>IFERROR(VLOOKUP($B266,'Hack Database'!$A:$J,4,FALSE),"")</f>
        <v/>
      </c>
      <c r="F266" s="74" t="str">
        <f>IFERROR(VLOOKUP($B266,'Hack Database'!$A:$J,5,FALSE),"")</f>
        <v/>
      </c>
      <c r="G266" s="74" t="str">
        <f>IFERROR(VLOOKUP($B266,'Hack Database'!$A:$J,6,FALSE),"")</f>
        <v/>
      </c>
      <c r="H266" s="81"/>
      <c r="I266" s="81"/>
      <c r="J266" s="74"/>
      <c r="K266" s="74" t="str">
        <f t="shared" si="4"/>
        <v/>
      </c>
      <c r="L266" s="74"/>
      <c r="M266" s="84"/>
      <c r="N266" s="84"/>
      <c r="O266" s="84"/>
      <c r="P266" s="74" t="str">
        <f>IFERROR(HYPERLINK(VLOOKUP($B266,'Online Database'!$A:$J,9,FALSE),"Open Page"),IFERROR(HYPERLINK(VLOOKUP($B266,'Manual Database'!$A:$J,9,FALSE),"Open Page"),""))</f>
        <v/>
      </c>
      <c r="Q266" s="74" t="str">
        <f>IFERROR(HYPERLINK(VLOOKUP($B266,'Online Database'!$A:$J,10,FALSE),"Download"),IFERROR(HYPERLINK(VLOOKUP($B266,'Manual Database'!$A:$J,10,FALSE),"Download"),""))</f>
        <v/>
      </c>
      <c r="R266" s="90"/>
    </row>
    <row r="267" spans="1:18" ht="22.05" customHeight="1">
      <c r="A267" s="74" t="str">
        <f>IF(C267="","",COUNTIF($C$2:C267,"&lt;&gt;"))</f>
        <v/>
      </c>
      <c r="B267" s="74"/>
      <c r="C267" s="74" t="str">
        <f>IFERROR(VLOOKUP($B267,'Hack Database'!$A:$J,2,FALSE),"")</f>
        <v/>
      </c>
      <c r="D267" s="74" t="str">
        <f>IFERROR(VLOOKUP($B267,'Hack Database'!$A:$J,3,FALSE),"")</f>
        <v/>
      </c>
      <c r="E267" s="74" t="str">
        <f>IFERROR(VLOOKUP($B267,'Hack Database'!$A:$J,4,FALSE),"")</f>
        <v/>
      </c>
      <c r="F267" s="74" t="str">
        <f>IFERROR(VLOOKUP($B267,'Hack Database'!$A:$J,5,FALSE),"")</f>
        <v/>
      </c>
      <c r="G267" s="74" t="str">
        <f>IFERROR(VLOOKUP($B267,'Hack Database'!$A:$J,6,FALSE),"")</f>
        <v/>
      </c>
      <c r="H267" s="81"/>
      <c r="I267" s="81"/>
      <c r="J267" s="74"/>
      <c r="K267" s="74" t="str">
        <f t="shared" si="4"/>
        <v/>
      </c>
      <c r="L267" s="74"/>
      <c r="M267" s="84"/>
      <c r="N267" s="84"/>
      <c r="O267" s="84"/>
      <c r="P267" s="74" t="str">
        <f>IFERROR(HYPERLINK(VLOOKUP($B267,'Online Database'!$A:$J,9,FALSE),"Open Page"),IFERROR(HYPERLINK(VLOOKUP($B267,'Manual Database'!$A:$J,9,FALSE),"Open Page"),""))</f>
        <v/>
      </c>
      <c r="Q267" s="74" t="str">
        <f>IFERROR(HYPERLINK(VLOOKUP($B267,'Online Database'!$A:$J,10,FALSE),"Download"),IFERROR(HYPERLINK(VLOOKUP($B267,'Manual Database'!$A:$J,10,FALSE),"Download"),""))</f>
        <v/>
      </c>
      <c r="R267" s="90"/>
    </row>
    <row r="268" spans="1:18" ht="22.05" customHeight="1">
      <c r="A268" s="74" t="str">
        <f>IF(C268="","",COUNTIF($C$2:C268,"&lt;&gt;"))</f>
        <v/>
      </c>
      <c r="B268" s="74"/>
      <c r="C268" s="74" t="str">
        <f>IFERROR(VLOOKUP($B268,'Hack Database'!$A:$J,2,FALSE),"")</f>
        <v/>
      </c>
      <c r="D268" s="74" t="str">
        <f>IFERROR(VLOOKUP($B268,'Hack Database'!$A:$J,3,FALSE),"")</f>
        <v/>
      </c>
      <c r="E268" s="74" t="str">
        <f>IFERROR(VLOOKUP($B268,'Hack Database'!$A:$J,4,FALSE),"")</f>
        <v/>
      </c>
      <c r="F268" s="74" t="str">
        <f>IFERROR(VLOOKUP($B268,'Hack Database'!$A:$J,5,FALSE),"")</f>
        <v/>
      </c>
      <c r="G268" s="74" t="str">
        <f>IFERROR(VLOOKUP($B268,'Hack Database'!$A:$J,6,FALSE),"")</f>
        <v/>
      </c>
      <c r="H268" s="81"/>
      <c r="I268" s="81"/>
      <c r="J268" s="74"/>
      <c r="K268" s="74" t="str">
        <f t="shared" si="4"/>
        <v/>
      </c>
      <c r="L268" s="74"/>
      <c r="M268" s="84"/>
      <c r="N268" s="84"/>
      <c r="O268" s="84"/>
      <c r="P268" s="74" t="str">
        <f>IFERROR(HYPERLINK(VLOOKUP($B268,'Online Database'!$A:$J,9,FALSE),"Open Page"),IFERROR(HYPERLINK(VLOOKUP($B268,'Manual Database'!$A:$J,9,FALSE),"Open Page"),""))</f>
        <v/>
      </c>
      <c r="Q268" s="74" t="str">
        <f>IFERROR(HYPERLINK(VLOOKUP($B268,'Online Database'!$A:$J,10,FALSE),"Download"),IFERROR(HYPERLINK(VLOOKUP($B268,'Manual Database'!$A:$J,10,FALSE),"Download"),""))</f>
        <v/>
      </c>
      <c r="R268" s="90"/>
    </row>
    <row r="269" spans="1:18" ht="22.05" customHeight="1">
      <c r="A269" s="74" t="str">
        <f>IF(C269="","",COUNTIF($C$2:C269,"&lt;&gt;"))</f>
        <v/>
      </c>
      <c r="B269" s="74"/>
      <c r="C269" s="74" t="str">
        <f>IFERROR(VLOOKUP($B269,'Hack Database'!$A:$J,2,FALSE),"")</f>
        <v/>
      </c>
      <c r="D269" s="74" t="str">
        <f>IFERROR(VLOOKUP($B269,'Hack Database'!$A:$J,3,FALSE),"")</f>
        <v/>
      </c>
      <c r="E269" s="74" t="str">
        <f>IFERROR(VLOOKUP($B269,'Hack Database'!$A:$J,4,FALSE),"")</f>
        <v/>
      </c>
      <c r="F269" s="74" t="str">
        <f>IFERROR(VLOOKUP($B269,'Hack Database'!$A:$J,5,FALSE),"")</f>
        <v/>
      </c>
      <c r="G269" s="74" t="str">
        <f>IFERROR(VLOOKUP($B269,'Hack Database'!$A:$J,6,FALSE),"")</f>
        <v/>
      </c>
      <c r="H269" s="81"/>
      <c r="I269" s="81"/>
      <c r="J269" s="74"/>
      <c r="K269" s="74" t="str">
        <f t="shared" si="4"/>
        <v/>
      </c>
      <c r="L269" s="74"/>
      <c r="M269" s="84"/>
      <c r="N269" s="84"/>
      <c r="O269" s="84"/>
      <c r="P269" s="74" t="str">
        <f>IFERROR(HYPERLINK(VLOOKUP($B269,'Online Database'!$A:$J,9,FALSE),"Open Page"),IFERROR(HYPERLINK(VLOOKUP($B269,'Manual Database'!$A:$J,9,FALSE),"Open Page"),""))</f>
        <v/>
      </c>
      <c r="Q269" s="74" t="str">
        <f>IFERROR(HYPERLINK(VLOOKUP($B269,'Online Database'!$A:$J,10,FALSE),"Download"),IFERROR(HYPERLINK(VLOOKUP($B269,'Manual Database'!$A:$J,10,FALSE),"Download"),""))</f>
        <v/>
      </c>
      <c r="R269" s="90"/>
    </row>
    <row r="270" spans="1:18" ht="22.05" customHeight="1">
      <c r="A270" s="74" t="str">
        <f>IF(C270="","",COUNTIF($C$2:C270,"&lt;&gt;"))</f>
        <v/>
      </c>
      <c r="B270" s="74"/>
      <c r="C270" s="74" t="str">
        <f>IFERROR(VLOOKUP($B270,'Hack Database'!$A:$J,2,FALSE),"")</f>
        <v/>
      </c>
      <c r="D270" s="74" t="str">
        <f>IFERROR(VLOOKUP($B270,'Hack Database'!$A:$J,3,FALSE),"")</f>
        <v/>
      </c>
      <c r="E270" s="74" t="str">
        <f>IFERROR(VLOOKUP($B270,'Hack Database'!$A:$J,4,FALSE),"")</f>
        <v/>
      </c>
      <c r="F270" s="74" t="str">
        <f>IFERROR(VLOOKUP($B270,'Hack Database'!$A:$J,5,FALSE),"")</f>
        <v/>
      </c>
      <c r="G270" s="74" t="str">
        <f>IFERROR(VLOOKUP($B270,'Hack Database'!$A:$J,6,FALSE),"")</f>
        <v/>
      </c>
      <c r="H270" s="81"/>
      <c r="I270" s="81"/>
      <c r="J270" s="74"/>
      <c r="K270" s="74" t="str">
        <f t="shared" si="4"/>
        <v/>
      </c>
      <c r="L270" s="74"/>
      <c r="M270" s="84"/>
      <c r="N270" s="84"/>
      <c r="O270" s="84"/>
      <c r="P270" s="74" t="str">
        <f>IFERROR(HYPERLINK(VLOOKUP($B270,'Online Database'!$A:$J,9,FALSE),"Open Page"),IFERROR(HYPERLINK(VLOOKUP($B270,'Manual Database'!$A:$J,9,FALSE),"Open Page"),""))</f>
        <v/>
      </c>
      <c r="Q270" s="74" t="str">
        <f>IFERROR(HYPERLINK(VLOOKUP($B270,'Online Database'!$A:$J,10,FALSE),"Download"),IFERROR(HYPERLINK(VLOOKUP($B270,'Manual Database'!$A:$J,10,FALSE),"Download"),""))</f>
        <v/>
      </c>
      <c r="R270" s="90"/>
    </row>
    <row r="271" spans="1:18" ht="22.05" customHeight="1">
      <c r="A271" s="74" t="str">
        <f>IF(C271="","",COUNTIF($C$2:C271,"&lt;&gt;"))</f>
        <v/>
      </c>
      <c r="B271" s="74"/>
      <c r="C271" s="74" t="str">
        <f>IFERROR(VLOOKUP($B271,'Hack Database'!$A:$J,2,FALSE),"")</f>
        <v/>
      </c>
      <c r="D271" s="74" t="str">
        <f>IFERROR(VLOOKUP($B271,'Hack Database'!$A:$J,3,FALSE),"")</f>
        <v/>
      </c>
      <c r="E271" s="74" t="str">
        <f>IFERROR(VLOOKUP($B271,'Hack Database'!$A:$J,4,FALSE),"")</f>
        <v/>
      </c>
      <c r="F271" s="74" t="str">
        <f>IFERROR(VLOOKUP($B271,'Hack Database'!$A:$J,5,FALSE),"")</f>
        <v/>
      </c>
      <c r="G271" s="74" t="str">
        <f>IFERROR(VLOOKUP($B271,'Hack Database'!$A:$J,6,FALSE),"")</f>
        <v/>
      </c>
      <c r="H271" s="81"/>
      <c r="I271" s="81"/>
      <c r="J271" s="74"/>
      <c r="K271" s="74" t="str">
        <f t="shared" si="4"/>
        <v/>
      </c>
      <c r="L271" s="74"/>
      <c r="M271" s="84"/>
      <c r="N271" s="84"/>
      <c r="O271" s="84"/>
      <c r="P271" s="74" t="str">
        <f>IFERROR(HYPERLINK(VLOOKUP($B271,'Online Database'!$A:$J,9,FALSE),"Open Page"),IFERROR(HYPERLINK(VLOOKUP($B271,'Manual Database'!$A:$J,9,FALSE),"Open Page"),""))</f>
        <v/>
      </c>
      <c r="Q271" s="74" t="str">
        <f>IFERROR(HYPERLINK(VLOOKUP($B271,'Online Database'!$A:$J,10,FALSE),"Download"),IFERROR(HYPERLINK(VLOOKUP($B271,'Manual Database'!$A:$J,10,FALSE),"Download"),""))</f>
        <v/>
      </c>
      <c r="R271" s="90"/>
    </row>
    <row r="272" spans="1:18" ht="22.05" customHeight="1">
      <c r="A272" s="74" t="str">
        <f>IF(C272="","",COUNTIF($C$2:C272,"&lt;&gt;"))</f>
        <v/>
      </c>
      <c r="B272" s="74"/>
      <c r="C272" s="74" t="str">
        <f>IFERROR(VLOOKUP($B272,'Hack Database'!$A:$J,2,FALSE),"")</f>
        <v/>
      </c>
      <c r="D272" s="74" t="str">
        <f>IFERROR(VLOOKUP($B272,'Hack Database'!$A:$J,3,FALSE),"")</f>
        <v/>
      </c>
      <c r="E272" s="74" t="str">
        <f>IFERROR(VLOOKUP($B272,'Hack Database'!$A:$J,4,FALSE),"")</f>
        <v/>
      </c>
      <c r="F272" s="74" t="str">
        <f>IFERROR(VLOOKUP($B272,'Hack Database'!$A:$J,5,FALSE),"")</f>
        <v/>
      </c>
      <c r="G272" s="74" t="str">
        <f>IFERROR(VLOOKUP($B272,'Hack Database'!$A:$J,6,FALSE),"")</f>
        <v/>
      </c>
      <c r="H272" s="81"/>
      <c r="I272" s="81"/>
      <c r="J272" s="74"/>
      <c r="K272" s="74" t="str">
        <f t="shared" si="4"/>
        <v/>
      </c>
      <c r="L272" s="74"/>
      <c r="M272" s="84"/>
      <c r="N272" s="84"/>
      <c r="O272" s="84"/>
      <c r="P272" s="74" t="str">
        <f>IFERROR(HYPERLINK(VLOOKUP($B272,'Online Database'!$A:$J,9,FALSE),"Open Page"),IFERROR(HYPERLINK(VLOOKUP($B272,'Manual Database'!$A:$J,9,FALSE),"Open Page"),""))</f>
        <v/>
      </c>
      <c r="Q272" s="74" t="str">
        <f>IFERROR(HYPERLINK(VLOOKUP($B272,'Online Database'!$A:$J,10,FALSE),"Download"),IFERROR(HYPERLINK(VLOOKUP($B272,'Manual Database'!$A:$J,10,FALSE),"Download"),""))</f>
        <v/>
      </c>
      <c r="R272" s="90"/>
    </row>
    <row r="273" spans="1:18" ht="22.05" customHeight="1">
      <c r="A273" s="74" t="str">
        <f>IF(C273="","",COUNTIF($C$2:C273,"&lt;&gt;"))</f>
        <v/>
      </c>
      <c r="B273" s="74"/>
      <c r="C273" s="74" t="str">
        <f>IFERROR(VLOOKUP($B273,'Hack Database'!$A:$J,2,FALSE),"")</f>
        <v/>
      </c>
      <c r="D273" s="74" t="str">
        <f>IFERROR(VLOOKUP($B273,'Hack Database'!$A:$J,3,FALSE),"")</f>
        <v/>
      </c>
      <c r="E273" s="74" t="str">
        <f>IFERROR(VLOOKUP($B273,'Hack Database'!$A:$J,4,FALSE),"")</f>
        <v/>
      </c>
      <c r="F273" s="74" t="str">
        <f>IFERROR(VLOOKUP($B273,'Hack Database'!$A:$J,5,FALSE),"")</f>
        <v/>
      </c>
      <c r="G273" s="74" t="str">
        <f>IFERROR(VLOOKUP($B273,'Hack Database'!$A:$J,6,FALSE),"")</f>
        <v/>
      </c>
      <c r="H273" s="81"/>
      <c r="I273" s="81"/>
      <c r="J273" s="74"/>
      <c r="K273" s="74" t="str">
        <f t="shared" si="4"/>
        <v/>
      </c>
      <c r="L273" s="74"/>
      <c r="M273" s="84"/>
      <c r="N273" s="84"/>
      <c r="O273" s="84"/>
      <c r="P273" s="74" t="str">
        <f>IFERROR(HYPERLINK(VLOOKUP($B273,'Online Database'!$A:$J,9,FALSE),"Open Page"),IFERROR(HYPERLINK(VLOOKUP($B273,'Manual Database'!$A:$J,9,FALSE),"Open Page"),""))</f>
        <v/>
      </c>
      <c r="Q273" s="74" t="str">
        <f>IFERROR(HYPERLINK(VLOOKUP($B273,'Online Database'!$A:$J,10,FALSE),"Download"),IFERROR(HYPERLINK(VLOOKUP($B273,'Manual Database'!$A:$J,10,FALSE),"Download"),""))</f>
        <v/>
      </c>
      <c r="R273" s="90"/>
    </row>
    <row r="274" spans="1:18" ht="22.05" customHeight="1">
      <c r="A274" s="74" t="str">
        <f>IF(C274="","",COUNTIF($C$2:C274,"&lt;&gt;"))</f>
        <v/>
      </c>
      <c r="B274" s="74"/>
      <c r="C274" s="74" t="str">
        <f>IFERROR(VLOOKUP($B274,'Hack Database'!$A:$J,2,FALSE),"")</f>
        <v/>
      </c>
      <c r="D274" s="74" t="str">
        <f>IFERROR(VLOOKUP($B274,'Hack Database'!$A:$J,3,FALSE),"")</f>
        <v/>
      </c>
      <c r="E274" s="74" t="str">
        <f>IFERROR(VLOOKUP($B274,'Hack Database'!$A:$J,4,FALSE),"")</f>
        <v/>
      </c>
      <c r="F274" s="74" t="str">
        <f>IFERROR(VLOOKUP($B274,'Hack Database'!$A:$J,5,FALSE),"")</f>
        <v/>
      </c>
      <c r="G274" s="74" t="str">
        <f>IFERROR(VLOOKUP($B274,'Hack Database'!$A:$J,6,FALSE),"")</f>
        <v/>
      </c>
      <c r="H274" s="81"/>
      <c r="I274" s="81"/>
      <c r="J274" s="74"/>
      <c r="K274" s="74" t="str">
        <f t="shared" si="4"/>
        <v/>
      </c>
      <c r="L274" s="74"/>
      <c r="M274" s="84"/>
      <c r="N274" s="84"/>
      <c r="O274" s="84"/>
      <c r="P274" s="74" t="str">
        <f>IFERROR(HYPERLINK(VLOOKUP($B274,'Online Database'!$A:$J,9,FALSE),"Open Page"),IFERROR(HYPERLINK(VLOOKUP($B274,'Manual Database'!$A:$J,9,FALSE),"Open Page"),""))</f>
        <v/>
      </c>
      <c r="Q274" s="74" t="str">
        <f>IFERROR(HYPERLINK(VLOOKUP($B274,'Online Database'!$A:$J,10,FALSE),"Download"),IFERROR(HYPERLINK(VLOOKUP($B274,'Manual Database'!$A:$J,10,FALSE),"Download"),""))</f>
        <v/>
      </c>
      <c r="R274" s="90"/>
    </row>
    <row r="275" spans="1:18" ht="22.05" customHeight="1">
      <c r="A275" s="74" t="str">
        <f>IF(C275="","",COUNTIF($C$2:C275,"&lt;&gt;"))</f>
        <v/>
      </c>
      <c r="B275" s="74"/>
      <c r="C275" s="74" t="str">
        <f>IFERROR(VLOOKUP($B275,'Hack Database'!$A:$J,2,FALSE),"")</f>
        <v/>
      </c>
      <c r="D275" s="74" t="str">
        <f>IFERROR(VLOOKUP($B275,'Hack Database'!$A:$J,3,FALSE),"")</f>
        <v/>
      </c>
      <c r="E275" s="74" t="str">
        <f>IFERROR(VLOOKUP($B275,'Hack Database'!$A:$J,4,FALSE),"")</f>
        <v/>
      </c>
      <c r="F275" s="74" t="str">
        <f>IFERROR(VLOOKUP($B275,'Hack Database'!$A:$J,5,FALSE),"")</f>
        <v/>
      </c>
      <c r="G275" s="74" t="str">
        <f>IFERROR(VLOOKUP($B275,'Hack Database'!$A:$J,6,FALSE),"")</f>
        <v/>
      </c>
      <c r="H275" s="81"/>
      <c r="I275" s="81"/>
      <c r="J275" s="74"/>
      <c r="K275" s="74" t="str">
        <f t="shared" si="4"/>
        <v/>
      </c>
      <c r="L275" s="74"/>
      <c r="M275" s="84"/>
      <c r="N275" s="84"/>
      <c r="O275" s="84"/>
      <c r="P275" s="74" t="str">
        <f>IFERROR(HYPERLINK(VLOOKUP($B275,'Online Database'!$A:$J,9,FALSE),"Open Page"),IFERROR(HYPERLINK(VLOOKUP($B275,'Manual Database'!$A:$J,9,FALSE),"Open Page"),""))</f>
        <v/>
      </c>
      <c r="Q275" s="74" t="str">
        <f>IFERROR(HYPERLINK(VLOOKUP($B275,'Online Database'!$A:$J,10,FALSE),"Download"),IFERROR(HYPERLINK(VLOOKUP($B275,'Manual Database'!$A:$J,10,FALSE),"Download"),""))</f>
        <v/>
      </c>
      <c r="R275" s="90"/>
    </row>
    <row r="276" spans="1:18" ht="22.05" customHeight="1">
      <c r="A276" s="74" t="str">
        <f>IF(C276="","",COUNTIF($C$2:C276,"&lt;&gt;"))</f>
        <v/>
      </c>
      <c r="B276" s="74"/>
      <c r="C276" s="74" t="str">
        <f>IFERROR(VLOOKUP($B276,'Hack Database'!$A:$J,2,FALSE),"")</f>
        <v/>
      </c>
      <c r="D276" s="74" t="str">
        <f>IFERROR(VLOOKUP($B276,'Hack Database'!$A:$J,3,FALSE),"")</f>
        <v/>
      </c>
      <c r="E276" s="74" t="str">
        <f>IFERROR(VLOOKUP($B276,'Hack Database'!$A:$J,4,FALSE),"")</f>
        <v/>
      </c>
      <c r="F276" s="74" t="str">
        <f>IFERROR(VLOOKUP($B276,'Hack Database'!$A:$J,5,FALSE),"")</f>
        <v/>
      </c>
      <c r="G276" s="74" t="str">
        <f>IFERROR(VLOOKUP($B276,'Hack Database'!$A:$J,6,FALSE),"")</f>
        <v/>
      </c>
      <c r="H276" s="81"/>
      <c r="I276" s="81"/>
      <c r="J276" s="74"/>
      <c r="K276" s="74" t="str">
        <f t="shared" si="4"/>
        <v/>
      </c>
      <c r="L276" s="74"/>
      <c r="M276" s="84"/>
      <c r="N276" s="84"/>
      <c r="O276" s="84"/>
      <c r="P276" s="74" t="str">
        <f>IFERROR(HYPERLINK(VLOOKUP($B276,'Online Database'!$A:$J,9,FALSE),"Open Page"),IFERROR(HYPERLINK(VLOOKUP($B276,'Manual Database'!$A:$J,9,FALSE),"Open Page"),""))</f>
        <v/>
      </c>
      <c r="Q276" s="74" t="str">
        <f>IFERROR(HYPERLINK(VLOOKUP($B276,'Online Database'!$A:$J,10,FALSE),"Download"),IFERROR(HYPERLINK(VLOOKUP($B276,'Manual Database'!$A:$J,10,FALSE),"Download"),""))</f>
        <v/>
      </c>
      <c r="R276" s="90"/>
    </row>
    <row r="277" spans="1:18" ht="22.05" customHeight="1">
      <c r="A277" s="74" t="str">
        <f>IF(C277="","",COUNTIF($C$2:C277,"&lt;&gt;"))</f>
        <v/>
      </c>
      <c r="B277" s="74"/>
      <c r="C277" s="74" t="str">
        <f>IFERROR(VLOOKUP($B277,'Hack Database'!$A:$J,2,FALSE),"")</f>
        <v/>
      </c>
      <c r="D277" s="74" t="str">
        <f>IFERROR(VLOOKUP($B277,'Hack Database'!$A:$J,3,FALSE),"")</f>
        <v/>
      </c>
      <c r="E277" s="74" t="str">
        <f>IFERROR(VLOOKUP($B277,'Hack Database'!$A:$J,4,FALSE),"")</f>
        <v/>
      </c>
      <c r="F277" s="74" t="str">
        <f>IFERROR(VLOOKUP($B277,'Hack Database'!$A:$J,5,FALSE),"")</f>
        <v/>
      </c>
      <c r="G277" s="74" t="str">
        <f>IFERROR(VLOOKUP($B277,'Hack Database'!$A:$J,6,FALSE),"")</f>
        <v/>
      </c>
      <c r="H277" s="81"/>
      <c r="I277" s="81"/>
      <c r="J277" s="74"/>
      <c r="K277" s="74" t="str">
        <f t="shared" si="4"/>
        <v/>
      </c>
      <c r="L277" s="74"/>
      <c r="M277" s="84"/>
      <c r="N277" s="84"/>
      <c r="O277" s="84"/>
      <c r="P277" s="74" t="str">
        <f>IFERROR(HYPERLINK(VLOOKUP($B277,'Online Database'!$A:$J,9,FALSE),"Open Page"),IFERROR(HYPERLINK(VLOOKUP($B277,'Manual Database'!$A:$J,9,FALSE),"Open Page"),""))</f>
        <v/>
      </c>
      <c r="Q277" s="74" t="str">
        <f>IFERROR(HYPERLINK(VLOOKUP($B277,'Online Database'!$A:$J,10,FALSE),"Download"),IFERROR(HYPERLINK(VLOOKUP($B277,'Manual Database'!$A:$J,10,FALSE),"Download"),""))</f>
        <v/>
      </c>
      <c r="R277" s="90"/>
    </row>
    <row r="278" spans="1:18" ht="22.05" customHeight="1">
      <c r="A278" s="74" t="str">
        <f>IF(C278="","",COUNTIF($C$2:C278,"&lt;&gt;"))</f>
        <v/>
      </c>
      <c r="B278" s="74"/>
      <c r="C278" s="74" t="str">
        <f>IFERROR(VLOOKUP($B278,'Hack Database'!$A:$J,2,FALSE),"")</f>
        <v/>
      </c>
      <c r="D278" s="74" t="str">
        <f>IFERROR(VLOOKUP($B278,'Hack Database'!$A:$J,3,FALSE),"")</f>
        <v/>
      </c>
      <c r="E278" s="74" t="str">
        <f>IFERROR(VLOOKUP($B278,'Hack Database'!$A:$J,4,FALSE),"")</f>
        <v/>
      </c>
      <c r="F278" s="74" t="str">
        <f>IFERROR(VLOOKUP($B278,'Hack Database'!$A:$J,5,FALSE),"")</f>
        <v/>
      </c>
      <c r="G278" s="74" t="str">
        <f>IFERROR(VLOOKUP($B278,'Hack Database'!$A:$J,6,FALSE),"")</f>
        <v/>
      </c>
      <c r="H278" s="81"/>
      <c r="I278" s="81"/>
      <c r="J278" s="74"/>
      <c r="K278" s="74" t="str">
        <f t="shared" si="4"/>
        <v/>
      </c>
      <c r="L278" s="74"/>
      <c r="M278" s="84"/>
      <c r="N278" s="84"/>
      <c r="O278" s="84"/>
      <c r="P278" s="74" t="str">
        <f>IFERROR(HYPERLINK(VLOOKUP($B278,'Online Database'!$A:$J,9,FALSE),"Open Page"),IFERROR(HYPERLINK(VLOOKUP($B278,'Manual Database'!$A:$J,9,FALSE),"Open Page"),""))</f>
        <v/>
      </c>
      <c r="Q278" s="74" t="str">
        <f>IFERROR(HYPERLINK(VLOOKUP($B278,'Online Database'!$A:$J,10,FALSE),"Download"),IFERROR(HYPERLINK(VLOOKUP($B278,'Manual Database'!$A:$J,10,FALSE),"Download"),""))</f>
        <v/>
      </c>
      <c r="R278" s="90"/>
    </row>
    <row r="279" spans="1:18" ht="22.05" customHeight="1">
      <c r="A279" s="74" t="str">
        <f>IF(C279="","",COUNTIF($C$2:C279,"&lt;&gt;"))</f>
        <v/>
      </c>
      <c r="B279" s="74"/>
      <c r="C279" s="74" t="str">
        <f>IFERROR(VLOOKUP($B279,'Hack Database'!$A:$J,2,FALSE),"")</f>
        <v/>
      </c>
      <c r="D279" s="74" t="str">
        <f>IFERROR(VLOOKUP($B279,'Hack Database'!$A:$J,3,FALSE),"")</f>
        <v/>
      </c>
      <c r="E279" s="74" t="str">
        <f>IFERROR(VLOOKUP($B279,'Hack Database'!$A:$J,4,FALSE),"")</f>
        <v/>
      </c>
      <c r="F279" s="74" t="str">
        <f>IFERROR(VLOOKUP($B279,'Hack Database'!$A:$J,5,FALSE),"")</f>
        <v/>
      </c>
      <c r="G279" s="74" t="str">
        <f>IFERROR(VLOOKUP($B279,'Hack Database'!$A:$J,6,FALSE),"")</f>
        <v/>
      </c>
      <c r="H279" s="81"/>
      <c r="I279" s="81"/>
      <c r="J279" s="74"/>
      <c r="K279" s="74" t="str">
        <f t="shared" si="4"/>
        <v/>
      </c>
      <c r="L279" s="74"/>
      <c r="M279" s="84"/>
      <c r="N279" s="84"/>
      <c r="O279" s="84"/>
      <c r="P279" s="74" t="str">
        <f>IFERROR(HYPERLINK(VLOOKUP($B279,'Online Database'!$A:$J,9,FALSE),"Open Page"),IFERROR(HYPERLINK(VLOOKUP($B279,'Manual Database'!$A:$J,9,FALSE),"Open Page"),""))</f>
        <v/>
      </c>
      <c r="Q279" s="74" t="str">
        <f>IFERROR(HYPERLINK(VLOOKUP($B279,'Online Database'!$A:$J,10,FALSE),"Download"),IFERROR(HYPERLINK(VLOOKUP($B279,'Manual Database'!$A:$J,10,FALSE),"Download"),""))</f>
        <v/>
      </c>
      <c r="R279" s="90"/>
    </row>
    <row r="280" spans="1:18" ht="22.05" customHeight="1">
      <c r="A280" s="74" t="str">
        <f>IF(C280="","",COUNTIF($C$2:C280,"&lt;&gt;"))</f>
        <v/>
      </c>
      <c r="B280" s="74"/>
      <c r="C280" s="74" t="str">
        <f>IFERROR(VLOOKUP($B280,'Hack Database'!$A:$J,2,FALSE),"")</f>
        <v/>
      </c>
      <c r="D280" s="74" t="str">
        <f>IFERROR(VLOOKUP($B280,'Hack Database'!$A:$J,3,FALSE),"")</f>
        <v/>
      </c>
      <c r="E280" s="74" t="str">
        <f>IFERROR(VLOOKUP($B280,'Hack Database'!$A:$J,4,FALSE),"")</f>
        <v/>
      </c>
      <c r="F280" s="74" t="str">
        <f>IFERROR(VLOOKUP($B280,'Hack Database'!$A:$J,5,FALSE),"")</f>
        <v/>
      </c>
      <c r="G280" s="74" t="str">
        <f>IFERROR(VLOOKUP($B280,'Hack Database'!$A:$J,6,FALSE),"")</f>
        <v/>
      </c>
      <c r="H280" s="81"/>
      <c r="I280" s="81"/>
      <c r="J280" s="74"/>
      <c r="K280" s="74" t="str">
        <f t="shared" si="4"/>
        <v/>
      </c>
      <c r="L280" s="74"/>
      <c r="M280" s="84"/>
      <c r="N280" s="84"/>
      <c r="O280" s="84"/>
      <c r="P280" s="74" t="str">
        <f>IFERROR(HYPERLINK(VLOOKUP($B280,'Online Database'!$A:$J,9,FALSE),"Open Page"),IFERROR(HYPERLINK(VLOOKUP($B280,'Manual Database'!$A:$J,9,FALSE),"Open Page"),""))</f>
        <v/>
      </c>
      <c r="Q280" s="74" t="str">
        <f>IFERROR(HYPERLINK(VLOOKUP($B280,'Online Database'!$A:$J,10,FALSE),"Download"),IFERROR(HYPERLINK(VLOOKUP($B280,'Manual Database'!$A:$J,10,FALSE),"Download"),""))</f>
        <v/>
      </c>
      <c r="R280" s="90"/>
    </row>
    <row r="281" spans="1:18" ht="22.05" customHeight="1">
      <c r="A281" s="74" t="str">
        <f>IF(C281="","",COUNTIF($C$2:C281,"&lt;&gt;"))</f>
        <v/>
      </c>
      <c r="B281" s="74"/>
      <c r="C281" s="74" t="str">
        <f>IFERROR(VLOOKUP($B281,'Hack Database'!$A:$J,2,FALSE),"")</f>
        <v/>
      </c>
      <c r="D281" s="74" t="str">
        <f>IFERROR(VLOOKUP($B281,'Hack Database'!$A:$J,3,FALSE),"")</f>
        <v/>
      </c>
      <c r="E281" s="74" t="str">
        <f>IFERROR(VLOOKUP($B281,'Hack Database'!$A:$J,4,FALSE),"")</f>
        <v/>
      </c>
      <c r="F281" s="74" t="str">
        <f>IFERROR(VLOOKUP($B281,'Hack Database'!$A:$J,5,FALSE),"")</f>
        <v/>
      </c>
      <c r="G281" s="74" t="str">
        <f>IFERROR(VLOOKUP($B281,'Hack Database'!$A:$J,6,FALSE),"")</f>
        <v/>
      </c>
      <c r="H281" s="81"/>
      <c r="I281" s="81"/>
      <c r="J281" s="74"/>
      <c r="K281" s="74" t="str">
        <f t="shared" si="4"/>
        <v/>
      </c>
      <c r="L281" s="74"/>
      <c r="M281" s="84"/>
      <c r="N281" s="84"/>
      <c r="O281" s="84"/>
      <c r="P281" s="74" t="str">
        <f>IFERROR(HYPERLINK(VLOOKUP($B281,'Online Database'!$A:$J,9,FALSE),"Open Page"),IFERROR(HYPERLINK(VLOOKUP($B281,'Manual Database'!$A:$J,9,FALSE),"Open Page"),""))</f>
        <v/>
      </c>
      <c r="Q281" s="74" t="str">
        <f>IFERROR(HYPERLINK(VLOOKUP($B281,'Online Database'!$A:$J,10,FALSE),"Download"),IFERROR(HYPERLINK(VLOOKUP($B281,'Manual Database'!$A:$J,10,FALSE),"Download"),""))</f>
        <v/>
      </c>
      <c r="R281" s="90"/>
    </row>
    <row r="282" spans="1:18" ht="22.05" customHeight="1">
      <c r="A282" s="74" t="str">
        <f>IF(C282="","",COUNTIF($C$2:C282,"&lt;&gt;"))</f>
        <v/>
      </c>
      <c r="B282" s="74"/>
      <c r="C282" s="74" t="str">
        <f>IFERROR(VLOOKUP($B282,'Hack Database'!$A:$J,2,FALSE),"")</f>
        <v/>
      </c>
      <c r="D282" s="74" t="str">
        <f>IFERROR(VLOOKUP($B282,'Hack Database'!$A:$J,3,FALSE),"")</f>
        <v/>
      </c>
      <c r="E282" s="74" t="str">
        <f>IFERROR(VLOOKUP($B282,'Hack Database'!$A:$J,4,FALSE),"")</f>
        <v/>
      </c>
      <c r="F282" s="74" t="str">
        <f>IFERROR(VLOOKUP($B282,'Hack Database'!$A:$J,5,FALSE),"")</f>
        <v/>
      </c>
      <c r="G282" s="74" t="str">
        <f>IFERROR(VLOOKUP($B282,'Hack Database'!$A:$J,6,FALSE),"")</f>
        <v/>
      </c>
      <c r="H282" s="81"/>
      <c r="I282" s="81"/>
      <c r="J282" s="74"/>
      <c r="K282" s="74" t="str">
        <f t="shared" si="4"/>
        <v/>
      </c>
      <c r="L282" s="74"/>
      <c r="M282" s="84"/>
      <c r="N282" s="84"/>
      <c r="O282" s="84"/>
      <c r="P282" s="74" t="str">
        <f>IFERROR(HYPERLINK(VLOOKUP($B282,'Online Database'!$A:$J,9,FALSE),"Open Page"),IFERROR(HYPERLINK(VLOOKUP($B282,'Manual Database'!$A:$J,9,FALSE),"Open Page"),""))</f>
        <v/>
      </c>
      <c r="Q282" s="74" t="str">
        <f>IFERROR(HYPERLINK(VLOOKUP($B282,'Online Database'!$A:$J,10,FALSE),"Download"),IFERROR(HYPERLINK(VLOOKUP($B282,'Manual Database'!$A:$J,10,FALSE),"Download"),""))</f>
        <v/>
      </c>
      <c r="R282" s="90"/>
    </row>
    <row r="283" spans="1:18" ht="22.05" customHeight="1">
      <c r="A283" s="74" t="str">
        <f>IF(C283="","",COUNTIF($C$2:C283,"&lt;&gt;"))</f>
        <v/>
      </c>
      <c r="B283" s="74"/>
      <c r="C283" s="74" t="str">
        <f>IFERROR(VLOOKUP($B283,'Hack Database'!$A:$J,2,FALSE),"")</f>
        <v/>
      </c>
      <c r="D283" s="74" t="str">
        <f>IFERROR(VLOOKUP($B283,'Hack Database'!$A:$J,3,FALSE),"")</f>
        <v/>
      </c>
      <c r="E283" s="74" t="str">
        <f>IFERROR(VLOOKUP($B283,'Hack Database'!$A:$J,4,FALSE),"")</f>
        <v/>
      </c>
      <c r="F283" s="74" t="str">
        <f>IFERROR(VLOOKUP($B283,'Hack Database'!$A:$J,5,FALSE),"")</f>
        <v/>
      </c>
      <c r="G283" s="74" t="str">
        <f>IFERROR(VLOOKUP($B283,'Hack Database'!$A:$J,6,FALSE),"")</f>
        <v/>
      </c>
      <c r="H283" s="81"/>
      <c r="I283" s="81"/>
      <c r="J283" s="74"/>
      <c r="K283" s="74" t="str">
        <f t="shared" si="4"/>
        <v/>
      </c>
      <c r="L283" s="74"/>
      <c r="M283" s="84"/>
      <c r="N283" s="84"/>
      <c r="O283" s="84"/>
      <c r="P283" s="74" t="str">
        <f>IFERROR(HYPERLINK(VLOOKUP($B283,'Online Database'!$A:$J,9,FALSE),"Open Page"),IFERROR(HYPERLINK(VLOOKUP($B283,'Manual Database'!$A:$J,9,FALSE),"Open Page"),""))</f>
        <v/>
      </c>
      <c r="Q283" s="74" t="str">
        <f>IFERROR(HYPERLINK(VLOOKUP($B283,'Online Database'!$A:$J,10,FALSE),"Download"),IFERROR(HYPERLINK(VLOOKUP($B283,'Manual Database'!$A:$J,10,FALSE),"Download"),""))</f>
        <v/>
      </c>
      <c r="R283" s="90"/>
    </row>
    <row r="284" spans="1:18" ht="22.05" customHeight="1">
      <c r="A284" s="74" t="str">
        <f>IF(C284="","",COUNTIF($C$2:C284,"&lt;&gt;"))</f>
        <v/>
      </c>
      <c r="B284" s="74"/>
      <c r="C284" s="74" t="str">
        <f>IFERROR(VLOOKUP($B284,'Hack Database'!$A:$J,2,FALSE),"")</f>
        <v/>
      </c>
      <c r="D284" s="74" t="str">
        <f>IFERROR(VLOOKUP($B284,'Hack Database'!$A:$J,3,FALSE),"")</f>
        <v/>
      </c>
      <c r="E284" s="74" t="str">
        <f>IFERROR(VLOOKUP($B284,'Hack Database'!$A:$J,4,FALSE),"")</f>
        <v/>
      </c>
      <c r="F284" s="74" t="str">
        <f>IFERROR(VLOOKUP($B284,'Hack Database'!$A:$J,5,FALSE),"")</f>
        <v/>
      </c>
      <c r="G284" s="74" t="str">
        <f>IFERROR(VLOOKUP($B284,'Hack Database'!$A:$J,6,FALSE),"")</f>
        <v/>
      </c>
      <c r="H284" s="81"/>
      <c r="I284" s="81"/>
      <c r="J284" s="74"/>
      <c r="K284" s="74" t="str">
        <f t="shared" si="4"/>
        <v/>
      </c>
      <c r="L284" s="74"/>
      <c r="M284" s="84"/>
      <c r="N284" s="84"/>
      <c r="O284" s="84"/>
      <c r="P284" s="74" t="str">
        <f>IFERROR(HYPERLINK(VLOOKUP($B284,'Online Database'!$A:$J,9,FALSE),"Open Page"),IFERROR(HYPERLINK(VLOOKUP($B284,'Manual Database'!$A:$J,9,FALSE),"Open Page"),""))</f>
        <v/>
      </c>
      <c r="Q284" s="74" t="str">
        <f>IFERROR(HYPERLINK(VLOOKUP($B284,'Online Database'!$A:$J,10,FALSE),"Download"),IFERROR(HYPERLINK(VLOOKUP($B284,'Manual Database'!$A:$J,10,FALSE),"Download"),""))</f>
        <v/>
      </c>
      <c r="R284" s="90"/>
    </row>
    <row r="285" spans="1:18" ht="22.05" customHeight="1">
      <c r="A285" s="74" t="str">
        <f>IF(C285="","",COUNTIF($C$2:C285,"&lt;&gt;"))</f>
        <v/>
      </c>
      <c r="B285" s="74"/>
      <c r="C285" s="74" t="str">
        <f>IFERROR(VLOOKUP($B285,'Hack Database'!$A:$J,2,FALSE),"")</f>
        <v/>
      </c>
      <c r="D285" s="74" t="str">
        <f>IFERROR(VLOOKUP($B285,'Hack Database'!$A:$J,3,FALSE),"")</f>
        <v/>
      </c>
      <c r="E285" s="74" t="str">
        <f>IFERROR(VLOOKUP($B285,'Hack Database'!$A:$J,4,FALSE),"")</f>
        <v/>
      </c>
      <c r="F285" s="74" t="str">
        <f>IFERROR(VLOOKUP($B285,'Hack Database'!$A:$J,5,FALSE),"")</f>
        <v/>
      </c>
      <c r="G285" s="74" t="str">
        <f>IFERROR(VLOOKUP($B285,'Hack Database'!$A:$J,6,FALSE),"")</f>
        <v/>
      </c>
      <c r="H285" s="81"/>
      <c r="I285" s="81"/>
      <c r="J285" s="74"/>
      <c r="K285" s="74" t="str">
        <f t="shared" si="4"/>
        <v/>
      </c>
      <c r="L285" s="74"/>
      <c r="M285" s="84"/>
      <c r="N285" s="84"/>
      <c r="O285" s="84"/>
      <c r="P285" s="74" t="str">
        <f>IFERROR(HYPERLINK(VLOOKUP($B285,'Online Database'!$A:$J,9,FALSE),"Open Page"),IFERROR(HYPERLINK(VLOOKUP($B285,'Manual Database'!$A:$J,9,FALSE),"Open Page"),""))</f>
        <v/>
      </c>
      <c r="Q285" s="74" t="str">
        <f>IFERROR(HYPERLINK(VLOOKUP($B285,'Online Database'!$A:$J,10,FALSE),"Download"),IFERROR(HYPERLINK(VLOOKUP($B285,'Manual Database'!$A:$J,10,FALSE),"Download"),""))</f>
        <v/>
      </c>
      <c r="R285" s="90"/>
    </row>
    <row r="286" spans="1:18" ht="22.05" customHeight="1">
      <c r="A286" s="74" t="str">
        <f>IF(C286="","",COUNTIF($C$2:C286,"&lt;&gt;"))</f>
        <v/>
      </c>
      <c r="B286" s="74"/>
      <c r="C286" s="74" t="str">
        <f>IFERROR(VLOOKUP($B286,'Hack Database'!$A:$J,2,FALSE),"")</f>
        <v/>
      </c>
      <c r="D286" s="74" t="str">
        <f>IFERROR(VLOOKUP($B286,'Hack Database'!$A:$J,3,FALSE),"")</f>
        <v/>
      </c>
      <c r="E286" s="74" t="str">
        <f>IFERROR(VLOOKUP($B286,'Hack Database'!$A:$J,4,FALSE),"")</f>
        <v/>
      </c>
      <c r="F286" s="74" t="str">
        <f>IFERROR(VLOOKUP($B286,'Hack Database'!$A:$J,5,FALSE),"")</f>
        <v/>
      </c>
      <c r="G286" s="74" t="str">
        <f>IFERROR(VLOOKUP($B286,'Hack Database'!$A:$J,6,FALSE),"")</f>
        <v/>
      </c>
      <c r="H286" s="81"/>
      <c r="I286" s="81"/>
      <c r="J286" s="74"/>
      <c r="K286" s="74" t="str">
        <f t="shared" si="4"/>
        <v/>
      </c>
      <c r="L286" s="74"/>
      <c r="M286" s="84"/>
      <c r="N286" s="84"/>
      <c r="O286" s="84"/>
      <c r="P286" s="74" t="str">
        <f>IFERROR(HYPERLINK(VLOOKUP($B286,'Online Database'!$A:$J,9,FALSE),"Open Page"),IFERROR(HYPERLINK(VLOOKUP($B286,'Manual Database'!$A:$J,9,FALSE),"Open Page"),""))</f>
        <v/>
      </c>
      <c r="Q286" s="74" t="str">
        <f>IFERROR(HYPERLINK(VLOOKUP($B286,'Online Database'!$A:$J,10,FALSE),"Download"),IFERROR(HYPERLINK(VLOOKUP($B286,'Manual Database'!$A:$J,10,FALSE),"Download"),""))</f>
        <v/>
      </c>
      <c r="R286" s="90"/>
    </row>
    <row r="287" spans="1:18" ht="22.05" customHeight="1">
      <c r="A287" s="74" t="str">
        <f>IF(C287="","",COUNTIF($C$2:C287,"&lt;&gt;"))</f>
        <v/>
      </c>
      <c r="B287" s="74"/>
      <c r="C287" s="74" t="str">
        <f>IFERROR(VLOOKUP($B287,'Hack Database'!$A:$J,2,FALSE),"")</f>
        <v/>
      </c>
      <c r="D287" s="74" t="str">
        <f>IFERROR(VLOOKUP($B287,'Hack Database'!$A:$J,3,FALSE),"")</f>
        <v/>
      </c>
      <c r="E287" s="74" t="str">
        <f>IFERROR(VLOOKUP($B287,'Hack Database'!$A:$J,4,FALSE),"")</f>
        <v/>
      </c>
      <c r="F287" s="74" t="str">
        <f>IFERROR(VLOOKUP($B287,'Hack Database'!$A:$J,5,FALSE),"")</f>
        <v/>
      </c>
      <c r="G287" s="74" t="str">
        <f>IFERROR(VLOOKUP($B287,'Hack Database'!$A:$J,6,FALSE),"")</f>
        <v/>
      </c>
      <c r="H287" s="81"/>
      <c r="I287" s="81"/>
      <c r="J287" s="74"/>
      <c r="K287" s="74" t="str">
        <f t="shared" si="4"/>
        <v/>
      </c>
      <c r="L287" s="74"/>
      <c r="M287" s="84"/>
      <c r="N287" s="84"/>
      <c r="O287" s="84"/>
      <c r="P287" s="74" t="str">
        <f>IFERROR(HYPERLINK(VLOOKUP($B287,'Online Database'!$A:$J,9,FALSE),"Open Page"),IFERROR(HYPERLINK(VLOOKUP($B287,'Manual Database'!$A:$J,9,FALSE),"Open Page"),""))</f>
        <v/>
      </c>
      <c r="Q287" s="74" t="str">
        <f>IFERROR(HYPERLINK(VLOOKUP($B287,'Online Database'!$A:$J,10,FALSE),"Download"),IFERROR(HYPERLINK(VLOOKUP($B287,'Manual Database'!$A:$J,10,FALSE),"Download"),""))</f>
        <v/>
      </c>
      <c r="R287" s="90"/>
    </row>
    <row r="288" spans="1:18" ht="22.05" customHeight="1">
      <c r="A288" s="74" t="str">
        <f>IF(C288="","",COUNTIF($C$2:C288,"&lt;&gt;"))</f>
        <v/>
      </c>
      <c r="B288" s="74"/>
      <c r="C288" s="74" t="str">
        <f>IFERROR(VLOOKUP($B288,'Hack Database'!$A:$J,2,FALSE),"")</f>
        <v/>
      </c>
      <c r="D288" s="74" t="str">
        <f>IFERROR(VLOOKUP($B288,'Hack Database'!$A:$J,3,FALSE),"")</f>
        <v/>
      </c>
      <c r="E288" s="74" t="str">
        <f>IFERROR(VLOOKUP($B288,'Hack Database'!$A:$J,4,FALSE),"")</f>
        <v/>
      </c>
      <c r="F288" s="74" t="str">
        <f>IFERROR(VLOOKUP($B288,'Hack Database'!$A:$J,5,FALSE),"")</f>
        <v/>
      </c>
      <c r="G288" s="74" t="str">
        <f>IFERROR(VLOOKUP($B288,'Hack Database'!$A:$J,6,FALSE),"")</f>
        <v/>
      </c>
      <c r="H288" s="81"/>
      <c r="I288" s="81"/>
      <c r="J288" s="74"/>
      <c r="K288" s="74" t="str">
        <f t="shared" si="4"/>
        <v/>
      </c>
      <c r="L288" s="74"/>
      <c r="M288" s="84"/>
      <c r="N288" s="84"/>
      <c r="O288" s="84"/>
      <c r="P288" s="74" t="str">
        <f>IFERROR(HYPERLINK(VLOOKUP($B288,'Online Database'!$A:$J,9,FALSE),"Open Page"),IFERROR(HYPERLINK(VLOOKUP($B288,'Manual Database'!$A:$J,9,FALSE),"Open Page"),""))</f>
        <v/>
      </c>
      <c r="Q288" s="74" t="str">
        <f>IFERROR(HYPERLINK(VLOOKUP($B288,'Online Database'!$A:$J,10,FALSE),"Download"),IFERROR(HYPERLINK(VLOOKUP($B288,'Manual Database'!$A:$J,10,FALSE),"Download"),""))</f>
        <v/>
      </c>
      <c r="R288" s="90"/>
    </row>
    <row r="289" spans="1:18" ht="22.05" customHeight="1">
      <c r="A289" s="74" t="str">
        <f>IF(C289="","",COUNTIF($C$2:C289,"&lt;&gt;"))</f>
        <v/>
      </c>
      <c r="B289" s="74"/>
      <c r="C289" s="74" t="str">
        <f>IFERROR(VLOOKUP($B289,'Hack Database'!$A:$J,2,FALSE),"")</f>
        <v/>
      </c>
      <c r="D289" s="74" t="str">
        <f>IFERROR(VLOOKUP($B289,'Hack Database'!$A:$J,3,FALSE),"")</f>
        <v/>
      </c>
      <c r="E289" s="74" t="str">
        <f>IFERROR(VLOOKUP($B289,'Hack Database'!$A:$J,4,FALSE),"")</f>
        <v/>
      </c>
      <c r="F289" s="74" t="str">
        <f>IFERROR(VLOOKUP($B289,'Hack Database'!$A:$J,5,FALSE),"")</f>
        <v/>
      </c>
      <c r="G289" s="74" t="str">
        <f>IFERROR(VLOOKUP($B289,'Hack Database'!$A:$J,6,FALSE),"")</f>
        <v/>
      </c>
      <c r="H289" s="81"/>
      <c r="I289" s="81"/>
      <c r="J289" s="74"/>
      <c r="K289" s="74" t="str">
        <f t="shared" si="4"/>
        <v/>
      </c>
      <c r="L289" s="74"/>
      <c r="M289" s="84"/>
      <c r="N289" s="84"/>
      <c r="O289" s="84"/>
      <c r="P289" s="74" t="str">
        <f>IFERROR(HYPERLINK(VLOOKUP($B289,'Online Database'!$A:$J,9,FALSE),"Open Page"),IFERROR(HYPERLINK(VLOOKUP($B289,'Manual Database'!$A:$J,9,FALSE),"Open Page"),""))</f>
        <v/>
      </c>
      <c r="Q289" s="74" t="str">
        <f>IFERROR(HYPERLINK(VLOOKUP($B289,'Online Database'!$A:$J,10,FALSE),"Download"),IFERROR(HYPERLINK(VLOOKUP($B289,'Manual Database'!$A:$J,10,FALSE),"Download"),""))</f>
        <v/>
      </c>
      <c r="R289" s="90"/>
    </row>
    <row r="290" spans="1:18" ht="22.05" customHeight="1">
      <c r="A290" s="74" t="str">
        <f>IF(C290="","",COUNTIF($C$2:C290,"&lt;&gt;"))</f>
        <v/>
      </c>
      <c r="B290" s="74"/>
      <c r="C290" s="74" t="str">
        <f>IFERROR(VLOOKUP($B290,'Hack Database'!$A:$J,2,FALSE),"")</f>
        <v/>
      </c>
      <c r="D290" s="74" t="str">
        <f>IFERROR(VLOOKUP($B290,'Hack Database'!$A:$J,3,FALSE),"")</f>
        <v/>
      </c>
      <c r="E290" s="74" t="str">
        <f>IFERROR(VLOOKUP($B290,'Hack Database'!$A:$J,4,FALSE),"")</f>
        <v/>
      </c>
      <c r="F290" s="74" t="str">
        <f>IFERROR(VLOOKUP($B290,'Hack Database'!$A:$J,5,FALSE),"")</f>
        <v/>
      </c>
      <c r="G290" s="74" t="str">
        <f>IFERROR(VLOOKUP($B290,'Hack Database'!$A:$J,6,FALSE),"")</f>
        <v/>
      </c>
      <c r="H290" s="81"/>
      <c r="I290" s="81"/>
      <c r="J290" s="74"/>
      <c r="K290" s="74" t="str">
        <f t="shared" si="4"/>
        <v/>
      </c>
      <c r="L290" s="74"/>
      <c r="M290" s="84"/>
      <c r="N290" s="84"/>
      <c r="O290" s="84"/>
      <c r="P290" s="74" t="str">
        <f>IFERROR(HYPERLINK(VLOOKUP($B290,'Online Database'!$A:$J,9,FALSE),"Open Page"),IFERROR(HYPERLINK(VLOOKUP($B290,'Manual Database'!$A:$J,9,FALSE),"Open Page"),""))</f>
        <v/>
      </c>
      <c r="Q290" s="74" t="str">
        <f>IFERROR(HYPERLINK(VLOOKUP($B290,'Online Database'!$A:$J,10,FALSE),"Download"),IFERROR(HYPERLINK(VLOOKUP($B290,'Manual Database'!$A:$J,10,FALSE),"Download"),""))</f>
        <v/>
      </c>
      <c r="R290" s="90"/>
    </row>
    <row r="291" spans="1:18" ht="22.05" customHeight="1">
      <c r="A291" s="74" t="str">
        <f>IF(C291="","",COUNTIF($C$2:C291,"&lt;&gt;"))</f>
        <v/>
      </c>
      <c r="B291" s="74"/>
      <c r="C291" s="74" t="str">
        <f>IFERROR(VLOOKUP($B291,'Hack Database'!$A:$J,2,FALSE),"")</f>
        <v/>
      </c>
      <c r="D291" s="74" t="str">
        <f>IFERROR(VLOOKUP($B291,'Hack Database'!$A:$J,3,FALSE),"")</f>
        <v/>
      </c>
      <c r="E291" s="74" t="str">
        <f>IFERROR(VLOOKUP($B291,'Hack Database'!$A:$J,4,FALSE),"")</f>
        <v/>
      </c>
      <c r="F291" s="74" t="str">
        <f>IFERROR(VLOOKUP($B291,'Hack Database'!$A:$J,5,FALSE),"")</f>
        <v/>
      </c>
      <c r="G291" s="74" t="str">
        <f>IFERROR(VLOOKUP($B291,'Hack Database'!$A:$J,6,FALSE),"")</f>
        <v/>
      </c>
      <c r="H291" s="81"/>
      <c r="I291" s="81"/>
      <c r="J291" s="74"/>
      <c r="K291" s="74" t="str">
        <f t="shared" si="4"/>
        <v/>
      </c>
      <c r="L291" s="74"/>
      <c r="M291" s="84"/>
      <c r="N291" s="84"/>
      <c r="O291" s="84"/>
      <c r="P291" s="74" t="str">
        <f>IFERROR(HYPERLINK(VLOOKUP($B291,'Online Database'!$A:$J,9,FALSE),"Open Page"),IFERROR(HYPERLINK(VLOOKUP($B291,'Manual Database'!$A:$J,9,FALSE),"Open Page"),""))</f>
        <v/>
      </c>
      <c r="Q291" s="74" t="str">
        <f>IFERROR(HYPERLINK(VLOOKUP($B291,'Online Database'!$A:$J,10,FALSE),"Download"),IFERROR(HYPERLINK(VLOOKUP($B291,'Manual Database'!$A:$J,10,FALSE),"Download"),""))</f>
        <v/>
      </c>
      <c r="R291" s="90"/>
    </row>
    <row r="292" spans="1:18" ht="22.05" customHeight="1">
      <c r="A292" s="74" t="str">
        <f>IF(C292="","",COUNTIF($C$2:C292,"&lt;&gt;"))</f>
        <v/>
      </c>
      <c r="B292" s="74"/>
      <c r="C292" s="74" t="str">
        <f>IFERROR(VLOOKUP($B292,'Hack Database'!$A:$J,2,FALSE),"")</f>
        <v/>
      </c>
      <c r="D292" s="74" t="str">
        <f>IFERROR(VLOOKUP($B292,'Hack Database'!$A:$J,3,FALSE),"")</f>
        <v/>
      </c>
      <c r="E292" s="74" t="str">
        <f>IFERROR(VLOOKUP($B292,'Hack Database'!$A:$J,4,FALSE),"")</f>
        <v/>
      </c>
      <c r="F292" s="74" t="str">
        <f>IFERROR(VLOOKUP($B292,'Hack Database'!$A:$J,5,FALSE),"")</f>
        <v/>
      </c>
      <c r="G292" s="74" t="str">
        <f>IFERROR(VLOOKUP($B292,'Hack Database'!$A:$J,6,FALSE),"")</f>
        <v/>
      </c>
      <c r="H292" s="81"/>
      <c r="I292" s="81"/>
      <c r="J292" s="74"/>
      <c r="K292" s="74" t="str">
        <f t="shared" si="4"/>
        <v/>
      </c>
      <c r="L292" s="74"/>
      <c r="M292" s="84"/>
      <c r="N292" s="84"/>
      <c r="O292" s="84"/>
      <c r="P292" s="74" t="str">
        <f>IFERROR(HYPERLINK(VLOOKUP($B292,'Online Database'!$A:$J,9,FALSE),"Open Page"),IFERROR(HYPERLINK(VLOOKUP($B292,'Manual Database'!$A:$J,9,FALSE),"Open Page"),""))</f>
        <v/>
      </c>
      <c r="Q292" s="74" t="str">
        <f>IFERROR(HYPERLINK(VLOOKUP($B292,'Online Database'!$A:$J,10,FALSE),"Download"),IFERROR(HYPERLINK(VLOOKUP($B292,'Manual Database'!$A:$J,10,FALSE),"Download"),""))</f>
        <v/>
      </c>
      <c r="R292" s="90"/>
    </row>
    <row r="293" spans="1:18" ht="22.05" customHeight="1">
      <c r="A293" s="74" t="str">
        <f>IF(C293="","",COUNTIF($C$2:C293,"&lt;&gt;"))</f>
        <v/>
      </c>
      <c r="B293" s="74"/>
      <c r="C293" s="74" t="str">
        <f>IFERROR(VLOOKUP($B293,'Hack Database'!$A:$J,2,FALSE),"")</f>
        <v/>
      </c>
      <c r="D293" s="74" t="str">
        <f>IFERROR(VLOOKUP($B293,'Hack Database'!$A:$J,3,FALSE),"")</f>
        <v/>
      </c>
      <c r="E293" s="74" t="str">
        <f>IFERROR(VLOOKUP($B293,'Hack Database'!$A:$J,4,FALSE),"")</f>
        <v/>
      </c>
      <c r="F293" s="74" t="str">
        <f>IFERROR(VLOOKUP($B293,'Hack Database'!$A:$J,5,FALSE),"")</f>
        <v/>
      </c>
      <c r="G293" s="74" t="str">
        <f>IFERROR(VLOOKUP($B293,'Hack Database'!$A:$J,6,FALSE),"")</f>
        <v/>
      </c>
      <c r="H293" s="81"/>
      <c r="I293" s="81"/>
      <c r="J293" s="74"/>
      <c r="K293" s="74" t="str">
        <f t="shared" si="4"/>
        <v/>
      </c>
      <c r="L293" s="74"/>
      <c r="M293" s="84"/>
      <c r="N293" s="84"/>
      <c r="O293" s="84"/>
      <c r="P293" s="74" t="str">
        <f>IFERROR(HYPERLINK(VLOOKUP($B293,'Online Database'!$A:$J,9,FALSE),"Open Page"),IFERROR(HYPERLINK(VLOOKUP($B293,'Manual Database'!$A:$J,9,FALSE),"Open Page"),""))</f>
        <v/>
      </c>
      <c r="Q293" s="74" t="str">
        <f>IFERROR(HYPERLINK(VLOOKUP($B293,'Online Database'!$A:$J,10,FALSE),"Download"),IFERROR(HYPERLINK(VLOOKUP($B293,'Manual Database'!$A:$J,10,FALSE),"Download"),""))</f>
        <v/>
      </c>
      <c r="R293" s="90"/>
    </row>
    <row r="294" spans="1:18" ht="22.05" customHeight="1">
      <c r="A294" s="74" t="str">
        <f>IF(C294="","",COUNTIF($C$2:C294,"&lt;&gt;"))</f>
        <v/>
      </c>
      <c r="B294" s="74"/>
      <c r="C294" s="74" t="str">
        <f>IFERROR(VLOOKUP($B294,'Hack Database'!$A:$J,2,FALSE),"")</f>
        <v/>
      </c>
      <c r="D294" s="74" t="str">
        <f>IFERROR(VLOOKUP($B294,'Hack Database'!$A:$J,3,FALSE),"")</f>
        <v/>
      </c>
      <c r="E294" s="74" t="str">
        <f>IFERROR(VLOOKUP($B294,'Hack Database'!$A:$J,4,FALSE),"")</f>
        <v/>
      </c>
      <c r="F294" s="74" t="str">
        <f>IFERROR(VLOOKUP($B294,'Hack Database'!$A:$J,5,FALSE),"")</f>
        <v/>
      </c>
      <c r="G294" s="74" t="str">
        <f>IFERROR(VLOOKUP($B294,'Hack Database'!$A:$J,6,FALSE),"")</f>
        <v/>
      </c>
      <c r="H294" s="81"/>
      <c r="I294" s="81"/>
      <c r="J294" s="74"/>
      <c r="K294" s="74" t="str">
        <f t="shared" si="4"/>
        <v/>
      </c>
      <c r="L294" s="74"/>
      <c r="M294" s="84"/>
      <c r="N294" s="84"/>
      <c r="O294" s="84"/>
      <c r="P294" s="74" t="str">
        <f>IFERROR(HYPERLINK(VLOOKUP($B294,'Online Database'!$A:$J,9,FALSE),"Open Page"),IFERROR(HYPERLINK(VLOOKUP($B294,'Manual Database'!$A:$J,9,FALSE),"Open Page"),""))</f>
        <v/>
      </c>
      <c r="Q294" s="74" t="str">
        <f>IFERROR(HYPERLINK(VLOOKUP($B294,'Online Database'!$A:$J,10,FALSE),"Download"),IFERROR(HYPERLINK(VLOOKUP($B294,'Manual Database'!$A:$J,10,FALSE),"Download"),""))</f>
        <v/>
      </c>
      <c r="R294" s="90"/>
    </row>
    <row r="295" spans="1:18" ht="22.05" customHeight="1">
      <c r="A295" s="74" t="str">
        <f>IF(C295="","",COUNTIF($C$2:C295,"&lt;&gt;"))</f>
        <v/>
      </c>
      <c r="B295" s="74"/>
      <c r="C295" s="74" t="str">
        <f>IFERROR(VLOOKUP($B295,'Hack Database'!$A:$J,2,FALSE),"")</f>
        <v/>
      </c>
      <c r="D295" s="74" t="str">
        <f>IFERROR(VLOOKUP($B295,'Hack Database'!$A:$J,3,FALSE),"")</f>
        <v/>
      </c>
      <c r="E295" s="74" t="str">
        <f>IFERROR(VLOOKUP($B295,'Hack Database'!$A:$J,4,FALSE),"")</f>
        <v/>
      </c>
      <c r="F295" s="74" t="str">
        <f>IFERROR(VLOOKUP($B295,'Hack Database'!$A:$J,5,FALSE),"")</f>
        <v/>
      </c>
      <c r="G295" s="74" t="str">
        <f>IFERROR(VLOOKUP($B295,'Hack Database'!$A:$J,6,FALSE),"")</f>
        <v/>
      </c>
      <c r="H295" s="81"/>
      <c r="I295" s="81"/>
      <c r="J295" s="74"/>
      <c r="K295" s="74" t="str">
        <f t="shared" si="4"/>
        <v/>
      </c>
      <c r="L295" s="74"/>
      <c r="M295" s="84"/>
      <c r="N295" s="84"/>
      <c r="O295" s="84"/>
      <c r="P295" s="74" t="str">
        <f>IFERROR(HYPERLINK(VLOOKUP($B295,'Online Database'!$A:$J,9,FALSE),"Open Page"),IFERROR(HYPERLINK(VLOOKUP($B295,'Manual Database'!$A:$J,9,FALSE),"Open Page"),""))</f>
        <v/>
      </c>
      <c r="Q295" s="74" t="str">
        <f>IFERROR(HYPERLINK(VLOOKUP($B295,'Online Database'!$A:$J,10,FALSE),"Download"),IFERROR(HYPERLINK(VLOOKUP($B295,'Manual Database'!$A:$J,10,FALSE),"Download"),""))</f>
        <v/>
      </c>
      <c r="R295" s="90"/>
    </row>
    <row r="296" spans="1:18" ht="22.05" customHeight="1">
      <c r="A296" s="74" t="str">
        <f>IF(C296="","",COUNTIF($C$2:C296,"&lt;&gt;"))</f>
        <v/>
      </c>
      <c r="B296" s="74"/>
      <c r="C296" s="74" t="str">
        <f>IFERROR(VLOOKUP($B296,'Hack Database'!$A:$J,2,FALSE),"")</f>
        <v/>
      </c>
      <c r="D296" s="74" t="str">
        <f>IFERROR(VLOOKUP($B296,'Hack Database'!$A:$J,3,FALSE),"")</f>
        <v/>
      </c>
      <c r="E296" s="74" t="str">
        <f>IFERROR(VLOOKUP($B296,'Hack Database'!$A:$J,4,FALSE),"")</f>
        <v/>
      </c>
      <c r="F296" s="74" t="str">
        <f>IFERROR(VLOOKUP($B296,'Hack Database'!$A:$J,5,FALSE),"")</f>
        <v/>
      </c>
      <c r="G296" s="74" t="str">
        <f>IFERROR(VLOOKUP($B296,'Hack Database'!$A:$J,6,FALSE),"")</f>
        <v/>
      </c>
      <c r="H296" s="81"/>
      <c r="I296" s="81"/>
      <c r="J296" s="74"/>
      <c r="K296" s="74" t="str">
        <f t="shared" si="4"/>
        <v/>
      </c>
      <c r="L296" s="74"/>
      <c r="M296" s="84"/>
      <c r="N296" s="84"/>
      <c r="O296" s="84"/>
      <c r="P296" s="74" t="str">
        <f>IFERROR(HYPERLINK(VLOOKUP($B296,'Online Database'!$A:$J,9,FALSE),"Open Page"),IFERROR(HYPERLINK(VLOOKUP($B296,'Manual Database'!$A:$J,9,FALSE),"Open Page"),""))</f>
        <v/>
      </c>
      <c r="Q296" s="74" t="str">
        <f>IFERROR(HYPERLINK(VLOOKUP($B296,'Online Database'!$A:$J,10,FALSE),"Download"),IFERROR(HYPERLINK(VLOOKUP($B296,'Manual Database'!$A:$J,10,FALSE),"Download"),""))</f>
        <v/>
      </c>
      <c r="R296" s="90"/>
    </row>
    <row r="297" spans="1:18" ht="22.05" customHeight="1">
      <c r="A297" s="74" t="str">
        <f>IF(C297="","",COUNTIF($C$2:C297,"&lt;&gt;"))</f>
        <v/>
      </c>
      <c r="B297" s="74"/>
      <c r="C297" s="74" t="str">
        <f>IFERROR(VLOOKUP($B297,'Hack Database'!$A:$J,2,FALSE),"")</f>
        <v/>
      </c>
      <c r="D297" s="74" t="str">
        <f>IFERROR(VLOOKUP($B297,'Hack Database'!$A:$J,3,FALSE),"")</f>
        <v/>
      </c>
      <c r="E297" s="74" t="str">
        <f>IFERROR(VLOOKUP($B297,'Hack Database'!$A:$J,4,FALSE),"")</f>
        <v/>
      </c>
      <c r="F297" s="74" t="str">
        <f>IFERROR(VLOOKUP($B297,'Hack Database'!$A:$J,5,FALSE),"")</f>
        <v/>
      </c>
      <c r="G297" s="74" t="str">
        <f>IFERROR(VLOOKUP($B297,'Hack Database'!$A:$J,6,FALSE),"")</f>
        <v/>
      </c>
      <c r="H297" s="81"/>
      <c r="I297" s="81"/>
      <c r="J297" s="74"/>
      <c r="K297" s="74" t="str">
        <f t="shared" si="4"/>
        <v/>
      </c>
      <c r="L297" s="74"/>
      <c r="M297" s="84"/>
      <c r="N297" s="84"/>
      <c r="O297" s="84"/>
      <c r="P297" s="74" t="str">
        <f>IFERROR(HYPERLINK(VLOOKUP($B297,'Online Database'!$A:$J,9,FALSE),"Open Page"),IFERROR(HYPERLINK(VLOOKUP($B297,'Manual Database'!$A:$J,9,FALSE),"Open Page"),""))</f>
        <v/>
      </c>
      <c r="Q297" s="74" t="str">
        <f>IFERROR(HYPERLINK(VLOOKUP($B297,'Online Database'!$A:$J,10,FALSE),"Download"),IFERROR(HYPERLINK(VLOOKUP($B297,'Manual Database'!$A:$J,10,FALSE),"Download"),""))</f>
        <v/>
      </c>
      <c r="R297" s="90"/>
    </row>
    <row r="298" spans="1:18" ht="22.05" customHeight="1">
      <c r="A298" s="74" t="str">
        <f>IF(C298="","",COUNTIF($C$2:C298,"&lt;&gt;"))</f>
        <v/>
      </c>
      <c r="B298" s="74"/>
      <c r="C298" s="74" t="str">
        <f>IFERROR(VLOOKUP($B298,'Hack Database'!$A:$J,2,FALSE),"")</f>
        <v/>
      </c>
      <c r="D298" s="74" t="str">
        <f>IFERROR(VLOOKUP($B298,'Hack Database'!$A:$J,3,FALSE),"")</f>
        <v/>
      </c>
      <c r="E298" s="74" t="str">
        <f>IFERROR(VLOOKUP($B298,'Hack Database'!$A:$J,4,FALSE),"")</f>
        <v/>
      </c>
      <c r="F298" s="74" t="str">
        <f>IFERROR(VLOOKUP($B298,'Hack Database'!$A:$J,5,FALSE),"")</f>
        <v/>
      </c>
      <c r="G298" s="74" t="str">
        <f>IFERROR(VLOOKUP($B298,'Hack Database'!$A:$J,6,FALSE),"")</f>
        <v/>
      </c>
      <c r="H298" s="81"/>
      <c r="I298" s="81"/>
      <c r="J298" s="74"/>
      <c r="K298" s="74" t="str">
        <f t="shared" si="4"/>
        <v/>
      </c>
      <c r="L298" s="74"/>
      <c r="M298" s="84"/>
      <c r="N298" s="84"/>
      <c r="O298" s="84"/>
      <c r="P298" s="74" t="str">
        <f>IFERROR(HYPERLINK(VLOOKUP($B298,'Online Database'!$A:$J,9,FALSE),"Open Page"),IFERROR(HYPERLINK(VLOOKUP($B298,'Manual Database'!$A:$J,9,FALSE),"Open Page"),""))</f>
        <v/>
      </c>
      <c r="Q298" s="74" t="str">
        <f>IFERROR(HYPERLINK(VLOOKUP($B298,'Online Database'!$A:$J,10,FALSE),"Download"),IFERROR(HYPERLINK(VLOOKUP($B298,'Manual Database'!$A:$J,10,FALSE),"Download"),""))</f>
        <v/>
      </c>
      <c r="R298" s="90"/>
    </row>
    <row r="299" spans="1:18" ht="22.05" customHeight="1">
      <c r="A299" s="74" t="str">
        <f>IF(C299="","",COUNTIF($C$2:C299,"&lt;&gt;"))</f>
        <v/>
      </c>
      <c r="B299" s="74"/>
      <c r="C299" s="74" t="str">
        <f>IFERROR(VLOOKUP($B299,'Hack Database'!$A:$J,2,FALSE),"")</f>
        <v/>
      </c>
      <c r="D299" s="74" t="str">
        <f>IFERROR(VLOOKUP($B299,'Hack Database'!$A:$J,3,FALSE),"")</f>
        <v/>
      </c>
      <c r="E299" s="74" t="str">
        <f>IFERROR(VLOOKUP($B299,'Hack Database'!$A:$J,4,FALSE),"")</f>
        <v/>
      </c>
      <c r="F299" s="74" t="str">
        <f>IFERROR(VLOOKUP($B299,'Hack Database'!$A:$J,5,FALSE),"")</f>
        <v/>
      </c>
      <c r="G299" s="74" t="str">
        <f>IFERROR(VLOOKUP($B299,'Hack Database'!$A:$J,6,FALSE),"")</f>
        <v/>
      </c>
      <c r="H299" s="81"/>
      <c r="I299" s="81"/>
      <c r="J299" s="74"/>
      <c r="K299" s="74" t="str">
        <f t="shared" si="4"/>
        <v/>
      </c>
      <c r="L299" s="74"/>
      <c r="M299" s="84"/>
      <c r="N299" s="84"/>
      <c r="O299" s="84"/>
      <c r="P299" s="74" t="str">
        <f>IFERROR(HYPERLINK(VLOOKUP($B299,'Online Database'!$A:$J,9,FALSE),"Open Page"),IFERROR(HYPERLINK(VLOOKUP($B299,'Manual Database'!$A:$J,9,FALSE),"Open Page"),""))</f>
        <v/>
      </c>
      <c r="Q299" s="74" t="str">
        <f>IFERROR(HYPERLINK(VLOOKUP($B299,'Online Database'!$A:$J,10,FALSE),"Download"),IFERROR(HYPERLINK(VLOOKUP($B299,'Manual Database'!$A:$J,10,FALSE),"Download"),""))</f>
        <v/>
      </c>
      <c r="R299" s="90"/>
    </row>
    <row r="300" spans="1:18" ht="22.05" customHeight="1">
      <c r="A300" s="74" t="str">
        <f>IF(C300="","",COUNTIF($C$2:C300,"&lt;&gt;"))</f>
        <v/>
      </c>
      <c r="B300" s="74"/>
      <c r="C300" s="74" t="str">
        <f>IFERROR(VLOOKUP($B300,'Hack Database'!$A:$J,2,FALSE),"")</f>
        <v/>
      </c>
      <c r="D300" s="74" t="str">
        <f>IFERROR(VLOOKUP($B300,'Hack Database'!$A:$J,3,FALSE),"")</f>
        <v/>
      </c>
      <c r="E300" s="74" t="str">
        <f>IFERROR(VLOOKUP($B300,'Hack Database'!$A:$J,4,FALSE),"")</f>
        <v/>
      </c>
      <c r="F300" s="74" t="str">
        <f>IFERROR(VLOOKUP($B300,'Hack Database'!$A:$J,5,FALSE),"")</f>
        <v/>
      </c>
      <c r="G300" s="74" t="str">
        <f>IFERROR(VLOOKUP($B300,'Hack Database'!$A:$J,6,FALSE),"")</f>
        <v/>
      </c>
      <c r="H300" s="81"/>
      <c r="I300" s="81"/>
      <c r="J300" s="74"/>
      <c r="K300" s="74" t="str">
        <f t="shared" si="4"/>
        <v/>
      </c>
      <c r="L300" s="74"/>
      <c r="M300" s="84"/>
      <c r="N300" s="84"/>
      <c r="O300" s="84"/>
      <c r="P300" s="74" t="str">
        <f>IFERROR(HYPERLINK(VLOOKUP($B300,'Online Database'!$A:$J,9,FALSE),"Open Page"),IFERROR(HYPERLINK(VLOOKUP($B300,'Manual Database'!$A:$J,9,FALSE),"Open Page"),""))</f>
        <v/>
      </c>
      <c r="Q300" s="74" t="str">
        <f>IFERROR(HYPERLINK(VLOOKUP($B300,'Online Database'!$A:$J,10,FALSE),"Download"),IFERROR(HYPERLINK(VLOOKUP($B300,'Manual Database'!$A:$J,10,FALSE),"Download"),""))</f>
        <v/>
      </c>
      <c r="R300" s="90"/>
    </row>
    <row r="301" spans="1:18" ht="22.05" customHeight="1">
      <c r="A301" s="74" t="str">
        <f>IF(C301="","",COUNTIF($C$2:C301,"&lt;&gt;"))</f>
        <v/>
      </c>
      <c r="B301" s="74"/>
      <c r="C301" s="74" t="str">
        <f>IFERROR(VLOOKUP($B301,'Hack Database'!$A:$J,2,FALSE),"")</f>
        <v/>
      </c>
      <c r="D301" s="74" t="str">
        <f>IFERROR(VLOOKUP($B301,'Hack Database'!$A:$J,3,FALSE),"")</f>
        <v/>
      </c>
      <c r="E301" s="74" t="str">
        <f>IFERROR(VLOOKUP($B301,'Hack Database'!$A:$J,4,FALSE),"")</f>
        <v/>
      </c>
      <c r="F301" s="74" t="str">
        <f>IFERROR(VLOOKUP($B301,'Hack Database'!$A:$J,5,FALSE),"")</f>
        <v/>
      </c>
      <c r="G301" s="74" t="str">
        <f>IFERROR(VLOOKUP($B301,'Hack Database'!$A:$J,6,FALSE),"")</f>
        <v/>
      </c>
      <c r="H301" s="81"/>
      <c r="I301" s="81"/>
      <c r="J301" s="74"/>
      <c r="K301" s="74" t="str">
        <f t="shared" si="4"/>
        <v/>
      </c>
      <c r="L301" s="74"/>
      <c r="M301" s="84"/>
      <c r="N301" s="84"/>
      <c r="O301" s="84"/>
      <c r="P301" s="74" t="str">
        <f>IFERROR(HYPERLINK(VLOOKUP($B301,'Online Database'!$A:$J,9,FALSE),"Open Page"),IFERROR(HYPERLINK(VLOOKUP($B301,'Manual Database'!$A:$J,9,FALSE),"Open Page"),""))</f>
        <v/>
      </c>
      <c r="Q301" s="74" t="str">
        <f>IFERROR(HYPERLINK(VLOOKUP($B301,'Online Database'!$A:$J,10,FALSE),"Download"),IFERROR(HYPERLINK(VLOOKUP($B301,'Manual Database'!$A:$J,10,FALSE),"Download"),""))</f>
        <v/>
      </c>
      <c r="R301" s="90"/>
    </row>
    <row r="302" spans="1:18" ht="22.05" customHeight="1">
      <c r="A302" s="74" t="str">
        <f>IF(C302="","",COUNTIF($C$2:C302,"&lt;&gt;"))</f>
        <v/>
      </c>
      <c r="B302" s="74"/>
      <c r="C302" s="74" t="str">
        <f>IFERROR(VLOOKUP($B302,'Hack Database'!$A:$J,2,FALSE),"")</f>
        <v/>
      </c>
      <c r="D302" s="74" t="str">
        <f>IFERROR(VLOOKUP($B302,'Hack Database'!$A:$J,3,FALSE),"")</f>
        <v/>
      </c>
      <c r="E302" s="74" t="str">
        <f>IFERROR(VLOOKUP($B302,'Hack Database'!$A:$J,4,FALSE),"")</f>
        <v/>
      </c>
      <c r="F302" s="74" t="str">
        <f>IFERROR(VLOOKUP($B302,'Hack Database'!$A:$J,5,FALSE),"")</f>
        <v/>
      </c>
      <c r="G302" s="74" t="str">
        <f>IFERROR(VLOOKUP($B302,'Hack Database'!$A:$J,6,FALSE),"")</f>
        <v/>
      </c>
      <c r="H302" s="81"/>
      <c r="I302" s="81"/>
      <c r="J302" s="74"/>
      <c r="K302" s="74" t="str">
        <f t="shared" si="4"/>
        <v/>
      </c>
      <c r="L302" s="74"/>
      <c r="M302" s="84"/>
      <c r="N302" s="84"/>
      <c r="O302" s="84"/>
      <c r="P302" s="74" t="str">
        <f>IFERROR(HYPERLINK(VLOOKUP($B302,'Online Database'!$A:$J,9,FALSE),"Open Page"),IFERROR(HYPERLINK(VLOOKUP($B302,'Manual Database'!$A:$J,9,FALSE),"Open Page"),""))</f>
        <v/>
      </c>
      <c r="Q302" s="74" t="str">
        <f>IFERROR(HYPERLINK(VLOOKUP($B302,'Online Database'!$A:$J,10,FALSE),"Download"),IFERROR(HYPERLINK(VLOOKUP($B302,'Manual Database'!$A:$J,10,FALSE),"Download"),""))</f>
        <v/>
      </c>
      <c r="R302" s="90"/>
    </row>
    <row r="303" spans="1:18" ht="22.05" customHeight="1">
      <c r="A303" s="74" t="str">
        <f>IF(C303="","",COUNTIF($C$2:C303,"&lt;&gt;"))</f>
        <v/>
      </c>
      <c r="B303" s="74"/>
      <c r="C303" s="74" t="str">
        <f>IFERROR(VLOOKUP($B303,'Hack Database'!$A:$J,2,FALSE),"")</f>
        <v/>
      </c>
      <c r="D303" s="74" t="str">
        <f>IFERROR(VLOOKUP($B303,'Hack Database'!$A:$J,3,FALSE),"")</f>
        <v/>
      </c>
      <c r="E303" s="74" t="str">
        <f>IFERROR(VLOOKUP($B303,'Hack Database'!$A:$J,4,FALSE),"")</f>
        <v/>
      </c>
      <c r="F303" s="74" t="str">
        <f>IFERROR(VLOOKUP($B303,'Hack Database'!$A:$J,5,FALSE),"")</f>
        <v/>
      </c>
      <c r="G303" s="74" t="str">
        <f>IFERROR(VLOOKUP($B303,'Hack Database'!$A:$J,6,FALSE),"")</f>
        <v/>
      </c>
      <c r="H303" s="81"/>
      <c r="I303" s="81"/>
      <c r="J303" s="74"/>
      <c r="K303" s="74" t="str">
        <f t="shared" si="4"/>
        <v/>
      </c>
      <c r="L303" s="74"/>
      <c r="M303" s="84"/>
      <c r="N303" s="84"/>
      <c r="O303" s="84"/>
      <c r="P303" s="74" t="str">
        <f>IFERROR(HYPERLINK(VLOOKUP($B303,'Online Database'!$A:$J,9,FALSE),"Open Page"),IFERROR(HYPERLINK(VLOOKUP($B303,'Manual Database'!$A:$J,9,FALSE),"Open Page"),""))</f>
        <v/>
      </c>
      <c r="Q303" s="74" t="str">
        <f>IFERROR(HYPERLINK(VLOOKUP($B303,'Online Database'!$A:$J,10,FALSE),"Download"),IFERROR(HYPERLINK(VLOOKUP($B303,'Manual Database'!$A:$J,10,FALSE),"Download"),""))</f>
        <v/>
      </c>
      <c r="R303" s="90"/>
    </row>
    <row r="304" spans="1:18" ht="22.05" customHeight="1">
      <c r="A304" s="74" t="str">
        <f>IF(C304="","",COUNTIF($C$2:C304,"&lt;&gt;"))</f>
        <v/>
      </c>
      <c r="B304" s="74"/>
      <c r="C304" s="74" t="str">
        <f>IFERROR(VLOOKUP($B304,'Hack Database'!$A:$J,2,FALSE),"")</f>
        <v/>
      </c>
      <c r="D304" s="74" t="str">
        <f>IFERROR(VLOOKUP($B304,'Hack Database'!$A:$J,3,FALSE),"")</f>
        <v/>
      </c>
      <c r="E304" s="74" t="str">
        <f>IFERROR(VLOOKUP($B304,'Hack Database'!$A:$J,4,FALSE),"")</f>
        <v/>
      </c>
      <c r="F304" s="74" t="str">
        <f>IFERROR(VLOOKUP($B304,'Hack Database'!$A:$J,5,FALSE),"")</f>
        <v/>
      </c>
      <c r="G304" s="74" t="str">
        <f>IFERROR(VLOOKUP($B304,'Hack Database'!$A:$J,6,FALSE),"")</f>
        <v/>
      </c>
      <c r="H304" s="81"/>
      <c r="I304" s="81"/>
      <c r="J304" s="74"/>
      <c r="K304" s="74" t="str">
        <f t="shared" si="4"/>
        <v/>
      </c>
      <c r="L304" s="74"/>
      <c r="M304" s="84"/>
      <c r="N304" s="84"/>
      <c r="O304" s="84"/>
      <c r="P304" s="74" t="str">
        <f>IFERROR(HYPERLINK(VLOOKUP($B304,'Online Database'!$A:$J,9,FALSE),"Open Page"),IFERROR(HYPERLINK(VLOOKUP($B304,'Manual Database'!$A:$J,9,FALSE),"Open Page"),""))</f>
        <v/>
      </c>
      <c r="Q304" s="74" t="str">
        <f>IFERROR(HYPERLINK(VLOOKUP($B304,'Online Database'!$A:$J,10,FALSE),"Download"),IFERROR(HYPERLINK(VLOOKUP($B304,'Manual Database'!$A:$J,10,FALSE),"Download"),""))</f>
        <v/>
      </c>
      <c r="R304" s="90"/>
    </row>
    <row r="305" spans="1:18" ht="22.05" customHeight="1">
      <c r="A305" s="74" t="str">
        <f>IF(C305="","",COUNTIF($C$2:C305,"&lt;&gt;"))</f>
        <v/>
      </c>
      <c r="B305" s="74"/>
      <c r="C305" s="74" t="str">
        <f>IFERROR(VLOOKUP($B305,'Hack Database'!$A:$J,2,FALSE),"")</f>
        <v/>
      </c>
      <c r="D305" s="74" t="str">
        <f>IFERROR(VLOOKUP($B305,'Hack Database'!$A:$J,3,FALSE),"")</f>
        <v/>
      </c>
      <c r="E305" s="74" t="str">
        <f>IFERROR(VLOOKUP($B305,'Hack Database'!$A:$J,4,FALSE),"")</f>
        <v/>
      </c>
      <c r="F305" s="74" t="str">
        <f>IFERROR(VLOOKUP($B305,'Hack Database'!$A:$J,5,FALSE),"")</f>
        <v/>
      </c>
      <c r="G305" s="74" t="str">
        <f>IFERROR(VLOOKUP($B305,'Hack Database'!$A:$J,6,FALSE),"")</f>
        <v/>
      </c>
      <c r="H305" s="81"/>
      <c r="I305" s="81"/>
      <c r="J305" s="74"/>
      <c r="K305" s="74" t="str">
        <f t="shared" si="4"/>
        <v/>
      </c>
      <c r="L305" s="74"/>
      <c r="M305" s="84"/>
      <c r="N305" s="84"/>
      <c r="O305" s="84"/>
      <c r="P305" s="74" t="str">
        <f>IFERROR(HYPERLINK(VLOOKUP($B305,'Online Database'!$A:$J,9,FALSE),"Open Page"),IFERROR(HYPERLINK(VLOOKUP($B305,'Manual Database'!$A:$J,9,FALSE),"Open Page"),""))</f>
        <v/>
      </c>
      <c r="Q305" s="74" t="str">
        <f>IFERROR(HYPERLINK(VLOOKUP($B305,'Online Database'!$A:$J,10,FALSE),"Download"),IFERROR(HYPERLINK(VLOOKUP($B305,'Manual Database'!$A:$J,10,FALSE),"Download"),""))</f>
        <v/>
      </c>
      <c r="R305" s="90"/>
    </row>
    <row r="306" spans="1:18" ht="22.05" customHeight="1">
      <c r="A306" s="74" t="str">
        <f>IF(C306="","",COUNTIF($C$2:C306,"&lt;&gt;"))</f>
        <v/>
      </c>
      <c r="B306" s="74"/>
      <c r="C306" s="74" t="str">
        <f>IFERROR(VLOOKUP($B306,'Hack Database'!$A:$J,2,FALSE),"")</f>
        <v/>
      </c>
      <c r="D306" s="74" t="str">
        <f>IFERROR(VLOOKUP($B306,'Hack Database'!$A:$J,3,FALSE),"")</f>
        <v/>
      </c>
      <c r="E306" s="74" t="str">
        <f>IFERROR(VLOOKUP($B306,'Hack Database'!$A:$J,4,FALSE),"")</f>
        <v/>
      </c>
      <c r="F306" s="74" t="str">
        <f>IFERROR(VLOOKUP($B306,'Hack Database'!$A:$J,5,FALSE),"")</f>
        <v/>
      </c>
      <c r="G306" s="74" t="str">
        <f>IFERROR(VLOOKUP($B306,'Hack Database'!$A:$J,6,FALSE),"")</f>
        <v/>
      </c>
      <c r="H306" s="81"/>
      <c r="I306" s="81"/>
      <c r="J306" s="74"/>
      <c r="K306" s="74" t="str">
        <f t="shared" si="4"/>
        <v/>
      </c>
      <c r="L306" s="74"/>
      <c r="M306" s="84"/>
      <c r="N306" s="84"/>
      <c r="O306" s="84"/>
      <c r="P306" s="74" t="str">
        <f>IFERROR(HYPERLINK(VLOOKUP($B306,'Online Database'!$A:$J,9,FALSE),"Open Page"),IFERROR(HYPERLINK(VLOOKUP($B306,'Manual Database'!$A:$J,9,FALSE),"Open Page"),""))</f>
        <v/>
      </c>
      <c r="Q306" s="74" t="str">
        <f>IFERROR(HYPERLINK(VLOOKUP($B306,'Online Database'!$A:$J,10,FALSE),"Download"),IFERROR(HYPERLINK(VLOOKUP($B306,'Manual Database'!$A:$J,10,FALSE),"Download"),""))</f>
        <v/>
      </c>
      <c r="R306" s="90"/>
    </row>
    <row r="307" spans="1:18" ht="22.05" customHeight="1">
      <c r="A307" s="74" t="str">
        <f>IF(C307="","",COUNTIF($C$2:C307,"&lt;&gt;"))</f>
        <v/>
      </c>
      <c r="B307" s="74"/>
      <c r="C307" s="74" t="str">
        <f>IFERROR(VLOOKUP($B307,'Hack Database'!$A:$J,2,FALSE),"")</f>
        <v/>
      </c>
      <c r="D307" s="74" t="str">
        <f>IFERROR(VLOOKUP($B307,'Hack Database'!$A:$J,3,FALSE),"")</f>
        <v/>
      </c>
      <c r="E307" s="74" t="str">
        <f>IFERROR(VLOOKUP($B307,'Hack Database'!$A:$J,4,FALSE),"")</f>
        <v/>
      </c>
      <c r="F307" s="74" t="str">
        <f>IFERROR(VLOOKUP($B307,'Hack Database'!$A:$J,5,FALSE),"")</f>
        <v/>
      </c>
      <c r="G307" s="74" t="str">
        <f>IFERROR(VLOOKUP($B307,'Hack Database'!$A:$J,6,FALSE),"")</f>
        <v/>
      </c>
      <c r="H307" s="81"/>
      <c r="I307" s="81"/>
      <c r="J307" s="74"/>
      <c r="K307" s="74" t="str">
        <f t="shared" si="4"/>
        <v/>
      </c>
      <c r="L307" s="74"/>
      <c r="M307" s="84"/>
      <c r="N307" s="84"/>
      <c r="O307" s="84"/>
      <c r="P307" s="74" t="str">
        <f>IFERROR(HYPERLINK(VLOOKUP($B307,'Online Database'!$A:$J,9,FALSE),"Open Page"),IFERROR(HYPERLINK(VLOOKUP($B307,'Manual Database'!$A:$J,9,FALSE),"Open Page"),""))</f>
        <v/>
      </c>
      <c r="Q307" s="74" t="str">
        <f>IFERROR(HYPERLINK(VLOOKUP($B307,'Online Database'!$A:$J,10,FALSE),"Download"),IFERROR(HYPERLINK(VLOOKUP($B307,'Manual Database'!$A:$J,10,FALSE),"Download"),""))</f>
        <v/>
      </c>
      <c r="R307" s="90"/>
    </row>
    <row r="308" spans="1:18" ht="22.05" customHeight="1">
      <c r="A308" s="74" t="str">
        <f>IF(C308="","",COUNTIF($C$2:C308,"&lt;&gt;"))</f>
        <v/>
      </c>
      <c r="B308" s="74"/>
      <c r="C308" s="74" t="str">
        <f>IFERROR(VLOOKUP($B308,'Hack Database'!$A:$J,2,FALSE),"")</f>
        <v/>
      </c>
      <c r="D308" s="74" t="str">
        <f>IFERROR(VLOOKUP($B308,'Hack Database'!$A:$J,3,FALSE),"")</f>
        <v/>
      </c>
      <c r="E308" s="74" t="str">
        <f>IFERROR(VLOOKUP($B308,'Hack Database'!$A:$J,4,FALSE),"")</f>
        <v/>
      </c>
      <c r="F308" s="74" t="str">
        <f>IFERROR(VLOOKUP($B308,'Hack Database'!$A:$J,5,FALSE),"")</f>
        <v/>
      </c>
      <c r="G308" s="74" t="str">
        <f>IFERROR(VLOOKUP($B308,'Hack Database'!$A:$J,6,FALSE),"")</f>
        <v/>
      </c>
      <c r="H308" s="81"/>
      <c r="I308" s="81"/>
      <c r="J308" s="74"/>
      <c r="K308" s="74" t="str">
        <f t="shared" si="4"/>
        <v/>
      </c>
      <c r="L308" s="74"/>
      <c r="M308" s="84"/>
      <c r="N308" s="84"/>
      <c r="O308" s="84"/>
      <c r="P308" s="74" t="str">
        <f>IFERROR(HYPERLINK(VLOOKUP($B308,'Online Database'!$A:$J,9,FALSE),"Open Page"),IFERROR(HYPERLINK(VLOOKUP($B308,'Manual Database'!$A:$J,9,FALSE),"Open Page"),""))</f>
        <v/>
      </c>
      <c r="Q308" s="74" t="str">
        <f>IFERROR(HYPERLINK(VLOOKUP($B308,'Online Database'!$A:$J,10,FALSE),"Download"),IFERROR(HYPERLINK(VLOOKUP($B308,'Manual Database'!$A:$J,10,FALSE),"Download"),""))</f>
        <v/>
      </c>
      <c r="R308" s="90"/>
    </row>
    <row r="309" spans="1:18" ht="22.05" customHeight="1">
      <c r="A309" s="74" t="str">
        <f>IF(C309="","",COUNTIF($C$2:C309,"&lt;&gt;"))</f>
        <v/>
      </c>
      <c r="B309" s="74"/>
      <c r="C309" s="74" t="str">
        <f>IFERROR(VLOOKUP($B309,'Hack Database'!$A:$J,2,FALSE),"")</f>
        <v/>
      </c>
      <c r="D309" s="74" t="str">
        <f>IFERROR(VLOOKUP($B309,'Hack Database'!$A:$J,3,FALSE),"")</f>
        <v/>
      </c>
      <c r="E309" s="74" t="str">
        <f>IFERROR(VLOOKUP($B309,'Hack Database'!$A:$J,4,FALSE),"")</f>
        <v/>
      </c>
      <c r="F309" s="74" t="str">
        <f>IFERROR(VLOOKUP($B309,'Hack Database'!$A:$J,5,FALSE),"")</f>
        <v/>
      </c>
      <c r="G309" s="74" t="str">
        <f>IFERROR(VLOOKUP($B309,'Hack Database'!$A:$J,6,FALSE),"")</f>
        <v/>
      </c>
      <c r="H309" s="81"/>
      <c r="I309" s="81"/>
      <c r="J309" s="74"/>
      <c r="K309" s="74" t="str">
        <f t="shared" si="4"/>
        <v/>
      </c>
      <c r="L309" s="74"/>
      <c r="M309" s="84"/>
      <c r="N309" s="84"/>
      <c r="O309" s="84"/>
      <c r="P309" s="74" t="str">
        <f>IFERROR(HYPERLINK(VLOOKUP($B309,'Online Database'!$A:$J,9,FALSE),"Open Page"),IFERROR(HYPERLINK(VLOOKUP($B309,'Manual Database'!$A:$J,9,FALSE),"Open Page"),""))</f>
        <v/>
      </c>
      <c r="Q309" s="74" t="str">
        <f>IFERROR(HYPERLINK(VLOOKUP($B309,'Online Database'!$A:$J,10,FALSE),"Download"),IFERROR(HYPERLINK(VLOOKUP($B309,'Manual Database'!$A:$J,10,FALSE),"Download"),""))</f>
        <v/>
      </c>
      <c r="R309" s="90"/>
    </row>
    <row r="310" spans="1:18" ht="22.05" customHeight="1">
      <c r="A310" s="74" t="str">
        <f>IF(C310="","",COUNTIF($C$2:C310,"&lt;&gt;"))</f>
        <v/>
      </c>
      <c r="B310" s="74"/>
      <c r="C310" s="74" t="str">
        <f>IFERROR(VLOOKUP($B310,'Hack Database'!$A:$J,2,FALSE),"")</f>
        <v/>
      </c>
      <c r="D310" s="74" t="str">
        <f>IFERROR(VLOOKUP($B310,'Hack Database'!$A:$J,3,FALSE),"")</f>
        <v/>
      </c>
      <c r="E310" s="74" t="str">
        <f>IFERROR(VLOOKUP($B310,'Hack Database'!$A:$J,4,FALSE),"")</f>
        <v/>
      </c>
      <c r="F310" s="74" t="str">
        <f>IFERROR(VLOOKUP($B310,'Hack Database'!$A:$J,5,FALSE),"")</f>
        <v/>
      </c>
      <c r="G310" s="74" t="str">
        <f>IFERROR(VLOOKUP($B310,'Hack Database'!$A:$J,6,FALSE),"")</f>
        <v/>
      </c>
      <c r="H310" s="81"/>
      <c r="I310" s="81"/>
      <c r="J310" s="74"/>
      <c r="K310" s="74" t="str">
        <f t="shared" si="4"/>
        <v/>
      </c>
      <c r="L310" s="74"/>
      <c r="M310" s="84"/>
      <c r="N310" s="84"/>
      <c r="O310" s="84"/>
      <c r="P310" s="74" t="str">
        <f>IFERROR(HYPERLINK(VLOOKUP($B310,'Online Database'!$A:$J,9,FALSE),"Open Page"),IFERROR(HYPERLINK(VLOOKUP($B310,'Manual Database'!$A:$J,9,FALSE),"Open Page"),""))</f>
        <v/>
      </c>
      <c r="Q310" s="74" t="str">
        <f>IFERROR(HYPERLINK(VLOOKUP($B310,'Online Database'!$A:$J,10,FALSE),"Download"),IFERROR(HYPERLINK(VLOOKUP($B310,'Manual Database'!$A:$J,10,FALSE),"Download"),""))</f>
        <v/>
      </c>
      <c r="R310" s="90"/>
    </row>
    <row r="311" spans="1:18" ht="22.05" customHeight="1">
      <c r="A311" s="74" t="str">
        <f>IF(C311="","",COUNTIF($C$2:C311,"&lt;&gt;"))</f>
        <v/>
      </c>
      <c r="B311" s="74"/>
      <c r="C311" s="74" t="str">
        <f>IFERROR(VLOOKUP($B311,'Hack Database'!$A:$J,2,FALSE),"")</f>
        <v/>
      </c>
      <c r="D311" s="74" t="str">
        <f>IFERROR(VLOOKUP($B311,'Hack Database'!$A:$J,3,FALSE),"")</f>
        <v/>
      </c>
      <c r="E311" s="74" t="str">
        <f>IFERROR(VLOOKUP($B311,'Hack Database'!$A:$J,4,FALSE),"")</f>
        <v/>
      </c>
      <c r="F311" s="74" t="str">
        <f>IFERROR(VLOOKUP($B311,'Hack Database'!$A:$J,5,FALSE),"")</f>
        <v/>
      </c>
      <c r="G311" s="74" t="str">
        <f>IFERROR(VLOOKUP($B311,'Hack Database'!$A:$J,6,FALSE),"")</f>
        <v/>
      </c>
      <c r="H311" s="81"/>
      <c r="I311" s="81"/>
      <c r="J311" s="74"/>
      <c r="K311" s="74" t="str">
        <f t="shared" si="4"/>
        <v/>
      </c>
      <c r="L311" s="74"/>
      <c r="M311" s="84"/>
      <c r="N311" s="84"/>
      <c r="O311" s="84"/>
      <c r="P311" s="74" t="str">
        <f>IFERROR(HYPERLINK(VLOOKUP($B311,'Online Database'!$A:$J,9,FALSE),"Open Page"),IFERROR(HYPERLINK(VLOOKUP($B311,'Manual Database'!$A:$J,9,FALSE),"Open Page"),""))</f>
        <v/>
      </c>
      <c r="Q311" s="74" t="str">
        <f>IFERROR(HYPERLINK(VLOOKUP($B311,'Online Database'!$A:$J,10,FALSE),"Download"),IFERROR(HYPERLINK(VLOOKUP($B311,'Manual Database'!$A:$J,10,FALSE),"Download"),""))</f>
        <v/>
      </c>
      <c r="R311" s="90"/>
    </row>
    <row r="312" spans="1:18" ht="22.05" customHeight="1">
      <c r="A312" s="74" t="str">
        <f>IF(C312="","",COUNTIF($C$2:C312,"&lt;&gt;"))</f>
        <v/>
      </c>
      <c r="B312" s="74"/>
      <c r="C312" s="74" t="str">
        <f>IFERROR(VLOOKUP($B312,'Hack Database'!$A:$J,2,FALSE),"")</f>
        <v/>
      </c>
      <c r="D312" s="74" t="str">
        <f>IFERROR(VLOOKUP($B312,'Hack Database'!$A:$J,3,FALSE),"")</f>
        <v/>
      </c>
      <c r="E312" s="74" t="str">
        <f>IFERROR(VLOOKUP($B312,'Hack Database'!$A:$J,4,FALSE),"")</f>
        <v/>
      </c>
      <c r="F312" s="74" t="str">
        <f>IFERROR(VLOOKUP($B312,'Hack Database'!$A:$J,5,FALSE),"")</f>
        <v/>
      </c>
      <c r="G312" s="74" t="str">
        <f>IFERROR(VLOOKUP($B312,'Hack Database'!$A:$J,6,FALSE),"")</f>
        <v/>
      </c>
      <c r="H312" s="81"/>
      <c r="I312" s="81"/>
      <c r="J312" s="74"/>
      <c r="K312" s="74" t="str">
        <f t="shared" si="4"/>
        <v/>
      </c>
      <c r="L312" s="74"/>
      <c r="M312" s="84"/>
      <c r="N312" s="84"/>
      <c r="O312" s="84"/>
      <c r="P312" s="74" t="str">
        <f>IFERROR(HYPERLINK(VLOOKUP($B312,'Online Database'!$A:$J,9,FALSE),"Open Page"),IFERROR(HYPERLINK(VLOOKUP($B312,'Manual Database'!$A:$J,9,FALSE),"Open Page"),""))</f>
        <v/>
      </c>
      <c r="Q312" s="74" t="str">
        <f>IFERROR(HYPERLINK(VLOOKUP($B312,'Online Database'!$A:$J,10,FALSE),"Download"),IFERROR(HYPERLINK(VLOOKUP($B312,'Manual Database'!$A:$J,10,FALSE),"Download"),""))</f>
        <v/>
      </c>
      <c r="R312" s="90"/>
    </row>
    <row r="313" spans="1:18" ht="22.05" customHeight="1">
      <c r="A313" s="74" t="str">
        <f>IF(C313="","",COUNTIF($C$2:C313,"&lt;&gt;"))</f>
        <v/>
      </c>
      <c r="B313" s="74"/>
      <c r="C313" s="74" t="str">
        <f>IFERROR(VLOOKUP($B313,'Hack Database'!$A:$J,2,FALSE),"")</f>
        <v/>
      </c>
      <c r="D313" s="74" t="str">
        <f>IFERROR(VLOOKUP($B313,'Hack Database'!$A:$J,3,FALSE),"")</f>
        <v/>
      </c>
      <c r="E313" s="74" t="str">
        <f>IFERROR(VLOOKUP($B313,'Hack Database'!$A:$J,4,FALSE),"")</f>
        <v/>
      </c>
      <c r="F313" s="74" t="str">
        <f>IFERROR(VLOOKUP($B313,'Hack Database'!$A:$J,5,FALSE),"")</f>
        <v/>
      </c>
      <c r="G313" s="74" t="str">
        <f>IFERROR(VLOOKUP($B313,'Hack Database'!$A:$J,6,FALSE),"")</f>
        <v/>
      </c>
      <c r="H313" s="81"/>
      <c r="I313" s="81"/>
      <c r="J313" s="74"/>
      <c r="K313" s="74" t="str">
        <f t="shared" si="4"/>
        <v/>
      </c>
      <c r="L313" s="74"/>
      <c r="M313" s="84"/>
      <c r="N313" s="84"/>
      <c r="O313" s="84"/>
      <c r="P313" s="74" t="str">
        <f>IFERROR(HYPERLINK(VLOOKUP($B313,'Online Database'!$A:$J,9,FALSE),"Open Page"),IFERROR(HYPERLINK(VLOOKUP($B313,'Manual Database'!$A:$J,9,FALSE),"Open Page"),""))</f>
        <v/>
      </c>
      <c r="Q313" s="74" t="str">
        <f>IFERROR(HYPERLINK(VLOOKUP($B313,'Online Database'!$A:$J,10,FALSE),"Download"),IFERROR(HYPERLINK(VLOOKUP($B313,'Manual Database'!$A:$J,10,FALSE),"Download"),""))</f>
        <v/>
      </c>
      <c r="R313" s="90"/>
    </row>
    <row r="314" spans="1:18" ht="22.05" customHeight="1">
      <c r="A314" s="74" t="str">
        <f>IF(C314="","",COUNTIF($C$2:C314,"&lt;&gt;"))</f>
        <v/>
      </c>
      <c r="B314" s="74"/>
      <c r="C314" s="74" t="str">
        <f>IFERROR(VLOOKUP($B314,'Hack Database'!$A:$J,2,FALSE),"")</f>
        <v/>
      </c>
      <c r="D314" s="74" t="str">
        <f>IFERROR(VLOOKUP($B314,'Hack Database'!$A:$J,3,FALSE),"")</f>
        <v/>
      </c>
      <c r="E314" s="74" t="str">
        <f>IFERROR(VLOOKUP($B314,'Hack Database'!$A:$J,4,FALSE),"")</f>
        <v/>
      </c>
      <c r="F314" s="74" t="str">
        <f>IFERROR(VLOOKUP($B314,'Hack Database'!$A:$J,5,FALSE),"")</f>
        <v/>
      </c>
      <c r="G314" s="74" t="str">
        <f>IFERROR(VLOOKUP($B314,'Hack Database'!$A:$J,6,FALSE),"")</f>
        <v/>
      </c>
      <c r="H314" s="81"/>
      <c r="I314" s="81"/>
      <c r="J314" s="74"/>
      <c r="K314" s="74" t="str">
        <f t="shared" si="4"/>
        <v/>
      </c>
      <c r="L314" s="74"/>
      <c r="M314" s="84"/>
      <c r="N314" s="84"/>
      <c r="O314" s="84"/>
      <c r="P314" s="74" t="str">
        <f>IFERROR(HYPERLINK(VLOOKUP($B314,'Online Database'!$A:$J,9,FALSE),"Open Page"),IFERROR(HYPERLINK(VLOOKUP($B314,'Manual Database'!$A:$J,9,FALSE),"Open Page"),""))</f>
        <v/>
      </c>
      <c r="Q314" s="74" t="str">
        <f>IFERROR(HYPERLINK(VLOOKUP($B314,'Online Database'!$A:$J,10,FALSE),"Download"),IFERROR(HYPERLINK(VLOOKUP($B314,'Manual Database'!$A:$J,10,FALSE),"Download"),""))</f>
        <v/>
      </c>
      <c r="R314" s="90"/>
    </row>
    <row r="315" spans="1:18" ht="22.05" customHeight="1">
      <c r="A315" s="74" t="str">
        <f>IF(C315="","",COUNTIF($C$2:C315,"&lt;&gt;"))</f>
        <v/>
      </c>
      <c r="B315" s="74"/>
      <c r="C315" s="74" t="str">
        <f>IFERROR(VLOOKUP($B315,'Hack Database'!$A:$J,2,FALSE),"")</f>
        <v/>
      </c>
      <c r="D315" s="74" t="str">
        <f>IFERROR(VLOOKUP($B315,'Hack Database'!$A:$J,3,FALSE),"")</f>
        <v/>
      </c>
      <c r="E315" s="74" t="str">
        <f>IFERROR(VLOOKUP($B315,'Hack Database'!$A:$J,4,FALSE),"")</f>
        <v/>
      </c>
      <c r="F315" s="74" t="str">
        <f>IFERROR(VLOOKUP($B315,'Hack Database'!$A:$J,5,FALSE),"")</f>
        <v/>
      </c>
      <c r="G315" s="74" t="str">
        <f>IFERROR(VLOOKUP($B315,'Hack Database'!$A:$J,6,FALSE),"")</f>
        <v/>
      </c>
      <c r="H315" s="81"/>
      <c r="I315" s="81"/>
      <c r="J315" s="74"/>
      <c r="K315" s="74" t="str">
        <f t="shared" si="4"/>
        <v/>
      </c>
      <c r="L315" s="74"/>
      <c r="M315" s="84"/>
      <c r="N315" s="84"/>
      <c r="O315" s="84"/>
      <c r="P315" s="74" t="str">
        <f>IFERROR(HYPERLINK(VLOOKUP($B315,'Online Database'!$A:$J,9,FALSE),"Open Page"),IFERROR(HYPERLINK(VLOOKUP($B315,'Manual Database'!$A:$J,9,FALSE),"Open Page"),""))</f>
        <v/>
      </c>
      <c r="Q315" s="74" t="str">
        <f>IFERROR(HYPERLINK(VLOOKUP($B315,'Online Database'!$A:$J,10,FALSE),"Download"),IFERROR(HYPERLINK(VLOOKUP($B315,'Manual Database'!$A:$J,10,FALSE),"Download"),""))</f>
        <v/>
      </c>
      <c r="R315" s="90"/>
    </row>
    <row r="316" spans="1:18" ht="22.05" customHeight="1">
      <c r="A316" s="74" t="str">
        <f>IF(C316="","",COUNTIF($C$2:C316,"&lt;&gt;"))</f>
        <v/>
      </c>
      <c r="B316" s="74"/>
      <c r="C316" s="74" t="str">
        <f>IFERROR(VLOOKUP($B316,'Hack Database'!$A:$J,2,FALSE),"")</f>
        <v/>
      </c>
      <c r="D316" s="74" t="str">
        <f>IFERROR(VLOOKUP($B316,'Hack Database'!$A:$J,3,FALSE),"")</f>
        <v/>
      </c>
      <c r="E316" s="74" t="str">
        <f>IFERROR(VLOOKUP($B316,'Hack Database'!$A:$J,4,FALSE),"")</f>
        <v/>
      </c>
      <c r="F316" s="74" t="str">
        <f>IFERROR(VLOOKUP($B316,'Hack Database'!$A:$J,5,FALSE),"")</f>
        <v/>
      </c>
      <c r="G316" s="74" t="str">
        <f>IFERROR(VLOOKUP($B316,'Hack Database'!$A:$J,6,FALSE),"")</f>
        <v/>
      </c>
      <c r="H316" s="81"/>
      <c r="I316" s="81"/>
      <c r="J316" s="74"/>
      <c r="K316" s="74" t="str">
        <f t="shared" si="4"/>
        <v/>
      </c>
      <c r="L316" s="74"/>
      <c r="M316" s="84"/>
      <c r="N316" s="84"/>
      <c r="O316" s="84"/>
      <c r="P316" s="74" t="str">
        <f>IFERROR(HYPERLINK(VLOOKUP($B316,'Online Database'!$A:$J,9,FALSE),"Open Page"),IFERROR(HYPERLINK(VLOOKUP($B316,'Manual Database'!$A:$J,9,FALSE),"Open Page"),""))</f>
        <v/>
      </c>
      <c r="Q316" s="74" t="str">
        <f>IFERROR(HYPERLINK(VLOOKUP($B316,'Online Database'!$A:$J,10,FALSE),"Download"),IFERROR(HYPERLINK(VLOOKUP($B316,'Manual Database'!$A:$J,10,FALSE),"Download"),""))</f>
        <v/>
      </c>
      <c r="R316" s="90"/>
    </row>
    <row r="317" spans="1:18" ht="22.05" customHeight="1">
      <c r="A317" s="74" t="str">
        <f>IF(C317="","",COUNTIF($C$2:C317,"&lt;&gt;"))</f>
        <v/>
      </c>
      <c r="B317" s="74"/>
      <c r="C317" s="74" t="str">
        <f>IFERROR(VLOOKUP($B317,'Hack Database'!$A:$J,2,FALSE),"")</f>
        <v/>
      </c>
      <c r="D317" s="74" t="str">
        <f>IFERROR(VLOOKUP($B317,'Hack Database'!$A:$J,3,FALSE),"")</f>
        <v/>
      </c>
      <c r="E317" s="74" t="str">
        <f>IFERROR(VLOOKUP($B317,'Hack Database'!$A:$J,4,FALSE),"")</f>
        <v/>
      </c>
      <c r="F317" s="74" t="str">
        <f>IFERROR(VLOOKUP($B317,'Hack Database'!$A:$J,5,FALSE),"")</f>
        <v/>
      </c>
      <c r="G317" s="74" t="str">
        <f>IFERROR(VLOOKUP($B317,'Hack Database'!$A:$J,6,FALSE),"")</f>
        <v/>
      </c>
      <c r="H317" s="81"/>
      <c r="I317" s="81"/>
      <c r="J317" s="74"/>
      <c r="K317" s="74" t="str">
        <f t="shared" si="4"/>
        <v/>
      </c>
      <c r="L317" s="74"/>
      <c r="M317" s="84"/>
      <c r="N317" s="84"/>
      <c r="O317" s="84"/>
      <c r="P317" s="74" t="str">
        <f>IFERROR(HYPERLINK(VLOOKUP($B317,'Online Database'!$A:$J,9,FALSE),"Open Page"),IFERROR(HYPERLINK(VLOOKUP($B317,'Manual Database'!$A:$J,9,FALSE),"Open Page"),""))</f>
        <v/>
      </c>
      <c r="Q317" s="74" t="str">
        <f>IFERROR(HYPERLINK(VLOOKUP($B317,'Online Database'!$A:$J,10,FALSE),"Download"),IFERROR(HYPERLINK(VLOOKUP($B317,'Manual Database'!$A:$J,10,FALSE),"Download"),""))</f>
        <v/>
      </c>
      <c r="R317" s="90"/>
    </row>
    <row r="318" spans="1:18" ht="22.05" customHeight="1">
      <c r="A318" s="74" t="str">
        <f>IF(C318="","",COUNTIF($C$2:C318,"&lt;&gt;"))</f>
        <v/>
      </c>
      <c r="B318" s="74"/>
      <c r="C318" s="74" t="str">
        <f>IFERROR(VLOOKUP($B318,'Hack Database'!$A:$J,2,FALSE),"")</f>
        <v/>
      </c>
      <c r="D318" s="74" t="str">
        <f>IFERROR(VLOOKUP($B318,'Hack Database'!$A:$J,3,FALSE),"")</f>
        <v/>
      </c>
      <c r="E318" s="74" t="str">
        <f>IFERROR(VLOOKUP($B318,'Hack Database'!$A:$J,4,FALSE),"")</f>
        <v/>
      </c>
      <c r="F318" s="74" t="str">
        <f>IFERROR(VLOOKUP($B318,'Hack Database'!$A:$J,5,FALSE),"")</f>
        <v/>
      </c>
      <c r="G318" s="74" t="str">
        <f>IFERROR(VLOOKUP($B318,'Hack Database'!$A:$J,6,FALSE),"")</f>
        <v/>
      </c>
      <c r="H318" s="81"/>
      <c r="I318" s="81"/>
      <c r="J318" s="74"/>
      <c r="K318" s="74" t="str">
        <f t="shared" si="4"/>
        <v/>
      </c>
      <c r="L318" s="74"/>
      <c r="M318" s="84"/>
      <c r="N318" s="84"/>
      <c r="O318" s="84"/>
      <c r="P318" s="74" t="str">
        <f>IFERROR(HYPERLINK(VLOOKUP($B318,'Online Database'!$A:$J,9,FALSE),"Open Page"),IFERROR(HYPERLINK(VLOOKUP($B318,'Manual Database'!$A:$J,9,FALSE),"Open Page"),""))</f>
        <v/>
      </c>
      <c r="Q318" s="74" t="str">
        <f>IFERROR(HYPERLINK(VLOOKUP($B318,'Online Database'!$A:$J,10,FALSE),"Download"),IFERROR(HYPERLINK(VLOOKUP($B318,'Manual Database'!$A:$J,10,FALSE),"Download"),""))</f>
        <v/>
      </c>
      <c r="R318" s="90"/>
    </row>
    <row r="319" spans="1:18" ht="22.05" customHeight="1">
      <c r="A319" s="74" t="str">
        <f>IF(C319="","",COUNTIF($C$2:C319,"&lt;&gt;"))</f>
        <v/>
      </c>
      <c r="B319" s="74"/>
      <c r="C319" s="74" t="str">
        <f>IFERROR(VLOOKUP($B319,'Hack Database'!$A:$J,2,FALSE),"")</f>
        <v/>
      </c>
      <c r="D319" s="74" t="str">
        <f>IFERROR(VLOOKUP($B319,'Hack Database'!$A:$J,3,FALSE),"")</f>
        <v/>
      </c>
      <c r="E319" s="74" t="str">
        <f>IFERROR(VLOOKUP($B319,'Hack Database'!$A:$J,4,FALSE),"")</f>
        <v/>
      </c>
      <c r="F319" s="74" t="str">
        <f>IFERROR(VLOOKUP($B319,'Hack Database'!$A:$J,5,FALSE),"")</f>
        <v/>
      </c>
      <c r="G319" s="74" t="str">
        <f>IFERROR(VLOOKUP($B319,'Hack Database'!$A:$J,6,FALSE),"")</f>
        <v/>
      </c>
      <c r="H319" s="81"/>
      <c r="I319" s="81"/>
      <c r="J319" s="74"/>
      <c r="K319" s="74" t="str">
        <f t="shared" si="4"/>
        <v/>
      </c>
      <c r="L319" s="74"/>
      <c r="M319" s="84"/>
      <c r="N319" s="84"/>
      <c r="O319" s="84"/>
      <c r="P319" s="74" t="str">
        <f>IFERROR(HYPERLINK(VLOOKUP($B319,'Online Database'!$A:$J,9,FALSE),"Open Page"),IFERROR(HYPERLINK(VLOOKUP($B319,'Manual Database'!$A:$J,9,FALSE),"Open Page"),""))</f>
        <v/>
      </c>
      <c r="Q319" s="74" t="str">
        <f>IFERROR(HYPERLINK(VLOOKUP($B319,'Online Database'!$A:$J,10,FALSE),"Download"),IFERROR(HYPERLINK(VLOOKUP($B319,'Manual Database'!$A:$J,10,FALSE),"Download"),""))</f>
        <v/>
      </c>
      <c r="R319" s="90"/>
    </row>
    <row r="320" spans="1:18" ht="22.05" customHeight="1">
      <c r="A320" s="74" t="str">
        <f>IF(C320="","",COUNTIF($C$2:C320,"&lt;&gt;"))</f>
        <v/>
      </c>
      <c r="B320" s="74"/>
      <c r="C320" s="74" t="str">
        <f>IFERROR(VLOOKUP($B320,'Hack Database'!$A:$J,2,FALSE),"")</f>
        <v/>
      </c>
      <c r="D320" s="74" t="str">
        <f>IFERROR(VLOOKUP($B320,'Hack Database'!$A:$J,3,FALSE),"")</f>
        <v/>
      </c>
      <c r="E320" s="74" t="str">
        <f>IFERROR(VLOOKUP($B320,'Hack Database'!$A:$J,4,FALSE),"")</f>
        <v/>
      </c>
      <c r="F320" s="74" t="str">
        <f>IFERROR(VLOOKUP($B320,'Hack Database'!$A:$J,5,FALSE),"")</f>
        <v/>
      </c>
      <c r="G320" s="74" t="str">
        <f>IFERROR(VLOOKUP($B320,'Hack Database'!$A:$J,6,FALSE),"")</f>
        <v/>
      </c>
      <c r="H320" s="81"/>
      <c r="I320" s="81"/>
      <c r="J320" s="74"/>
      <c r="K320" s="74" t="str">
        <f t="shared" si="4"/>
        <v/>
      </c>
      <c r="L320" s="74"/>
      <c r="M320" s="84"/>
      <c r="N320" s="84"/>
      <c r="O320" s="84"/>
      <c r="P320" s="74" t="str">
        <f>IFERROR(HYPERLINK(VLOOKUP($B320,'Online Database'!$A:$J,9,FALSE),"Open Page"),IFERROR(HYPERLINK(VLOOKUP($B320,'Manual Database'!$A:$J,9,FALSE),"Open Page"),""))</f>
        <v/>
      </c>
      <c r="Q320" s="74" t="str">
        <f>IFERROR(HYPERLINK(VLOOKUP($B320,'Online Database'!$A:$J,10,FALSE),"Download"),IFERROR(HYPERLINK(VLOOKUP($B320,'Manual Database'!$A:$J,10,FALSE),"Download"),""))</f>
        <v/>
      </c>
      <c r="R320" s="90"/>
    </row>
    <row r="321" spans="1:18" ht="22.05" customHeight="1">
      <c r="A321" s="74" t="str">
        <f>IF(C321="","",COUNTIF($C$2:C321,"&lt;&gt;"))</f>
        <v/>
      </c>
      <c r="B321" s="74"/>
      <c r="C321" s="74" t="str">
        <f>IFERROR(VLOOKUP($B321,'Hack Database'!$A:$J,2,FALSE),"")</f>
        <v/>
      </c>
      <c r="D321" s="74" t="str">
        <f>IFERROR(VLOOKUP($B321,'Hack Database'!$A:$J,3,FALSE),"")</f>
        <v/>
      </c>
      <c r="E321" s="74" t="str">
        <f>IFERROR(VLOOKUP($B321,'Hack Database'!$A:$J,4,FALSE),"")</f>
        <v/>
      </c>
      <c r="F321" s="74" t="str">
        <f>IFERROR(VLOOKUP($B321,'Hack Database'!$A:$J,5,FALSE),"")</f>
        <v/>
      </c>
      <c r="G321" s="74" t="str">
        <f>IFERROR(VLOOKUP($B321,'Hack Database'!$A:$J,6,FALSE),"")</f>
        <v/>
      </c>
      <c r="H321" s="81"/>
      <c r="I321" s="81"/>
      <c r="J321" s="74"/>
      <c r="K321" s="74" t="str">
        <f t="shared" si="4"/>
        <v/>
      </c>
      <c r="L321" s="74"/>
      <c r="M321" s="84"/>
      <c r="N321" s="84"/>
      <c r="O321" s="84"/>
      <c r="P321" s="74" t="str">
        <f>IFERROR(HYPERLINK(VLOOKUP($B321,'Online Database'!$A:$J,9,FALSE),"Open Page"),IFERROR(HYPERLINK(VLOOKUP($B321,'Manual Database'!$A:$J,9,FALSE),"Open Page"),""))</f>
        <v/>
      </c>
      <c r="Q321" s="74" t="str">
        <f>IFERROR(HYPERLINK(VLOOKUP($B321,'Online Database'!$A:$J,10,FALSE),"Download"),IFERROR(HYPERLINK(VLOOKUP($B321,'Manual Database'!$A:$J,10,FALSE),"Download"),""))</f>
        <v/>
      </c>
      <c r="R321" s="90"/>
    </row>
    <row r="322" spans="1:18" ht="22.05" customHeight="1">
      <c r="A322" s="74" t="str">
        <f>IF(C322="","",COUNTIF($C$2:C322,"&lt;&gt;"))</f>
        <v/>
      </c>
      <c r="B322" s="74"/>
      <c r="C322" s="74" t="str">
        <f>IFERROR(VLOOKUP($B322,'Hack Database'!$A:$J,2,FALSE),"")</f>
        <v/>
      </c>
      <c r="D322" s="74" t="str">
        <f>IFERROR(VLOOKUP($B322,'Hack Database'!$A:$J,3,FALSE),"")</f>
        <v/>
      </c>
      <c r="E322" s="74" t="str">
        <f>IFERROR(VLOOKUP($B322,'Hack Database'!$A:$J,4,FALSE),"")</f>
        <v/>
      </c>
      <c r="F322" s="74" t="str">
        <f>IFERROR(VLOOKUP($B322,'Hack Database'!$A:$J,5,FALSE),"")</f>
        <v/>
      </c>
      <c r="G322" s="74" t="str">
        <f>IFERROR(VLOOKUP($B322,'Hack Database'!$A:$J,6,FALSE),"")</f>
        <v/>
      </c>
      <c r="H322" s="81"/>
      <c r="I322" s="81"/>
      <c r="J322" s="74"/>
      <c r="K322" s="74" t="str">
        <f t="shared" ref="K322:K385" si="5">IF($B322="","",IF($J322="Yes","100% Complete",IF($H322="","Planned",IF($I322="","In Progress","Finished"))))</f>
        <v/>
      </c>
      <c r="L322" s="74"/>
      <c r="M322" s="84"/>
      <c r="N322" s="84"/>
      <c r="O322" s="84"/>
      <c r="P322" s="74" t="str">
        <f>IFERROR(HYPERLINK(VLOOKUP($B322,'Online Database'!$A:$J,9,FALSE),"Open Page"),IFERROR(HYPERLINK(VLOOKUP($B322,'Manual Database'!$A:$J,9,FALSE),"Open Page"),""))</f>
        <v/>
      </c>
      <c r="Q322" s="74" t="str">
        <f>IFERROR(HYPERLINK(VLOOKUP($B322,'Online Database'!$A:$J,10,FALSE),"Download"),IFERROR(HYPERLINK(VLOOKUP($B322,'Manual Database'!$A:$J,10,FALSE),"Download"),""))</f>
        <v/>
      </c>
      <c r="R322" s="90"/>
    </row>
    <row r="323" spans="1:18" ht="22.05" customHeight="1">
      <c r="A323" s="74" t="str">
        <f>IF(C323="","",COUNTIF($C$2:C323,"&lt;&gt;"))</f>
        <v/>
      </c>
      <c r="B323" s="74"/>
      <c r="C323" s="74" t="str">
        <f>IFERROR(VLOOKUP($B323,'Hack Database'!$A:$J,2,FALSE),"")</f>
        <v/>
      </c>
      <c r="D323" s="74" t="str">
        <f>IFERROR(VLOOKUP($B323,'Hack Database'!$A:$J,3,FALSE),"")</f>
        <v/>
      </c>
      <c r="E323" s="74" t="str">
        <f>IFERROR(VLOOKUP($B323,'Hack Database'!$A:$J,4,FALSE),"")</f>
        <v/>
      </c>
      <c r="F323" s="74" t="str">
        <f>IFERROR(VLOOKUP($B323,'Hack Database'!$A:$J,5,FALSE),"")</f>
        <v/>
      </c>
      <c r="G323" s="74" t="str">
        <f>IFERROR(VLOOKUP($B323,'Hack Database'!$A:$J,6,FALSE),"")</f>
        <v/>
      </c>
      <c r="H323" s="81"/>
      <c r="I323" s="81"/>
      <c r="J323" s="74"/>
      <c r="K323" s="74" t="str">
        <f t="shared" si="5"/>
        <v/>
      </c>
      <c r="L323" s="74"/>
      <c r="M323" s="84"/>
      <c r="N323" s="84"/>
      <c r="O323" s="84"/>
      <c r="P323" s="74" t="str">
        <f>IFERROR(HYPERLINK(VLOOKUP($B323,'Online Database'!$A:$J,9,FALSE),"Open Page"),IFERROR(HYPERLINK(VLOOKUP($B323,'Manual Database'!$A:$J,9,FALSE),"Open Page"),""))</f>
        <v/>
      </c>
      <c r="Q323" s="74" t="str">
        <f>IFERROR(HYPERLINK(VLOOKUP($B323,'Online Database'!$A:$J,10,FALSE),"Download"),IFERROR(HYPERLINK(VLOOKUP($B323,'Manual Database'!$A:$J,10,FALSE),"Download"),""))</f>
        <v/>
      </c>
      <c r="R323" s="90"/>
    </row>
    <row r="324" spans="1:18" ht="22.05" customHeight="1">
      <c r="A324" s="74" t="str">
        <f>IF(C324="","",COUNTIF($C$2:C324,"&lt;&gt;"))</f>
        <v/>
      </c>
      <c r="B324" s="74"/>
      <c r="C324" s="74" t="str">
        <f>IFERROR(VLOOKUP($B324,'Hack Database'!$A:$J,2,FALSE),"")</f>
        <v/>
      </c>
      <c r="D324" s="74" t="str">
        <f>IFERROR(VLOOKUP($B324,'Hack Database'!$A:$J,3,FALSE),"")</f>
        <v/>
      </c>
      <c r="E324" s="74" t="str">
        <f>IFERROR(VLOOKUP($B324,'Hack Database'!$A:$J,4,FALSE),"")</f>
        <v/>
      </c>
      <c r="F324" s="74" t="str">
        <f>IFERROR(VLOOKUP($B324,'Hack Database'!$A:$J,5,FALSE),"")</f>
        <v/>
      </c>
      <c r="G324" s="74" t="str">
        <f>IFERROR(VLOOKUP($B324,'Hack Database'!$A:$J,6,FALSE),"")</f>
        <v/>
      </c>
      <c r="H324" s="81"/>
      <c r="I324" s="81"/>
      <c r="J324" s="74"/>
      <c r="K324" s="74" t="str">
        <f t="shared" si="5"/>
        <v/>
      </c>
      <c r="L324" s="74"/>
      <c r="M324" s="84"/>
      <c r="N324" s="84"/>
      <c r="O324" s="84"/>
      <c r="P324" s="74" t="str">
        <f>IFERROR(HYPERLINK(VLOOKUP($B324,'Online Database'!$A:$J,9,FALSE),"Open Page"),IFERROR(HYPERLINK(VLOOKUP($B324,'Manual Database'!$A:$J,9,FALSE),"Open Page"),""))</f>
        <v/>
      </c>
      <c r="Q324" s="74" t="str">
        <f>IFERROR(HYPERLINK(VLOOKUP($B324,'Online Database'!$A:$J,10,FALSE),"Download"),IFERROR(HYPERLINK(VLOOKUP($B324,'Manual Database'!$A:$J,10,FALSE),"Download"),""))</f>
        <v/>
      </c>
      <c r="R324" s="90"/>
    </row>
    <row r="325" spans="1:18" ht="22.05" customHeight="1">
      <c r="A325" s="74" t="str">
        <f>IF(C325="","",COUNTIF($C$2:C325,"&lt;&gt;"))</f>
        <v/>
      </c>
      <c r="B325" s="74"/>
      <c r="C325" s="74" t="str">
        <f>IFERROR(VLOOKUP($B325,'Hack Database'!$A:$J,2,FALSE),"")</f>
        <v/>
      </c>
      <c r="D325" s="74" t="str">
        <f>IFERROR(VLOOKUP($B325,'Hack Database'!$A:$J,3,FALSE),"")</f>
        <v/>
      </c>
      <c r="E325" s="74" t="str">
        <f>IFERROR(VLOOKUP($B325,'Hack Database'!$A:$J,4,FALSE),"")</f>
        <v/>
      </c>
      <c r="F325" s="74" t="str">
        <f>IFERROR(VLOOKUP($B325,'Hack Database'!$A:$J,5,FALSE),"")</f>
        <v/>
      </c>
      <c r="G325" s="74" t="str">
        <f>IFERROR(VLOOKUP($B325,'Hack Database'!$A:$J,6,FALSE),"")</f>
        <v/>
      </c>
      <c r="H325" s="81"/>
      <c r="I325" s="81"/>
      <c r="J325" s="74"/>
      <c r="K325" s="74" t="str">
        <f t="shared" si="5"/>
        <v/>
      </c>
      <c r="L325" s="74"/>
      <c r="M325" s="84"/>
      <c r="N325" s="84"/>
      <c r="O325" s="84"/>
      <c r="P325" s="74" t="str">
        <f>IFERROR(HYPERLINK(VLOOKUP($B325,'Online Database'!$A:$J,9,FALSE),"Open Page"),IFERROR(HYPERLINK(VLOOKUP($B325,'Manual Database'!$A:$J,9,FALSE),"Open Page"),""))</f>
        <v/>
      </c>
      <c r="Q325" s="74" t="str">
        <f>IFERROR(HYPERLINK(VLOOKUP($B325,'Online Database'!$A:$J,10,FALSE),"Download"),IFERROR(HYPERLINK(VLOOKUP($B325,'Manual Database'!$A:$J,10,FALSE),"Download"),""))</f>
        <v/>
      </c>
      <c r="R325" s="90"/>
    </row>
    <row r="326" spans="1:18" ht="22.05" customHeight="1">
      <c r="A326" s="74" t="str">
        <f>IF(C326="","",COUNTIF($C$2:C326,"&lt;&gt;"))</f>
        <v/>
      </c>
      <c r="B326" s="74"/>
      <c r="C326" s="74" t="str">
        <f>IFERROR(VLOOKUP($B326,'Hack Database'!$A:$J,2,FALSE),"")</f>
        <v/>
      </c>
      <c r="D326" s="74" t="str">
        <f>IFERROR(VLOOKUP($B326,'Hack Database'!$A:$J,3,FALSE),"")</f>
        <v/>
      </c>
      <c r="E326" s="74" t="str">
        <f>IFERROR(VLOOKUP($B326,'Hack Database'!$A:$J,4,FALSE),"")</f>
        <v/>
      </c>
      <c r="F326" s="74" t="str">
        <f>IFERROR(VLOOKUP($B326,'Hack Database'!$A:$J,5,FALSE),"")</f>
        <v/>
      </c>
      <c r="G326" s="74" t="str">
        <f>IFERROR(VLOOKUP($B326,'Hack Database'!$A:$J,6,FALSE),"")</f>
        <v/>
      </c>
      <c r="H326" s="81"/>
      <c r="I326" s="81"/>
      <c r="J326" s="74"/>
      <c r="K326" s="74" t="str">
        <f t="shared" si="5"/>
        <v/>
      </c>
      <c r="L326" s="74"/>
      <c r="M326" s="84"/>
      <c r="N326" s="84"/>
      <c r="O326" s="84"/>
      <c r="P326" s="74" t="str">
        <f>IFERROR(HYPERLINK(VLOOKUP($B326,'Online Database'!$A:$J,9,FALSE),"Open Page"),IFERROR(HYPERLINK(VLOOKUP($B326,'Manual Database'!$A:$J,9,FALSE),"Open Page"),""))</f>
        <v/>
      </c>
      <c r="Q326" s="74" t="str">
        <f>IFERROR(HYPERLINK(VLOOKUP($B326,'Online Database'!$A:$J,10,FALSE),"Download"),IFERROR(HYPERLINK(VLOOKUP($B326,'Manual Database'!$A:$J,10,FALSE),"Download"),""))</f>
        <v/>
      </c>
      <c r="R326" s="90"/>
    </row>
    <row r="327" spans="1:18" ht="22.05" customHeight="1">
      <c r="A327" s="74" t="str">
        <f>IF(C327="","",COUNTIF($C$2:C327,"&lt;&gt;"))</f>
        <v/>
      </c>
      <c r="B327" s="74"/>
      <c r="C327" s="74" t="str">
        <f>IFERROR(VLOOKUP($B327,'Hack Database'!$A:$J,2,FALSE),"")</f>
        <v/>
      </c>
      <c r="D327" s="74" t="str">
        <f>IFERROR(VLOOKUP($B327,'Hack Database'!$A:$J,3,FALSE),"")</f>
        <v/>
      </c>
      <c r="E327" s="74" t="str">
        <f>IFERROR(VLOOKUP($B327,'Hack Database'!$A:$J,4,FALSE),"")</f>
        <v/>
      </c>
      <c r="F327" s="74" t="str">
        <f>IFERROR(VLOOKUP($B327,'Hack Database'!$A:$J,5,FALSE),"")</f>
        <v/>
      </c>
      <c r="G327" s="74" t="str">
        <f>IFERROR(VLOOKUP($B327,'Hack Database'!$A:$J,6,FALSE),"")</f>
        <v/>
      </c>
      <c r="H327" s="81"/>
      <c r="I327" s="81"/>
      <c r="J327" s="74"/>
      <c r="K327" s="74" t="str">
        <f t="shared" si="5"/>
        <v/>
      </c>
      <c r="L327" s="74"/>
      <c r="M327" s="84"/>
      <c r="N327" s="84"/>
      <c r="O327" s="84"/>
      <c r="P327" s="74" t="str">
        <f>IFERROR(HYPERLINK(VLOOKUP($B327,'Online Database'!$A:$J,9,FALSE),"Open Page"),IFERROR(HYPERLINK(VLOOKUP($B327,'Manual Database'!$A:$J,9,FALSE),"Open Page"),""))</f>
        <v/>
      </c>
      <c r="Q327" s="74" t="str">
        <f>IFERROR(HYPERLINK(VLOOKUP($B327,'Online Database'!$A:$J,10,FALSE),"Download"),IFERROR(HYPERLINK(VLOOKUP($B327,'Manual Database'!$A:$J,10,FALSE),"Download"),""))</f>
        <v/>
      </c>
      <c r="R327" s="90"/>
    </row>
    <row r="328" spans="1:18" ht="22.05" customHeight="1">
      <c r="A328" s="74" t="str">
        <f>IF(C328="","",COUNTIF($C$2:C328,"&lt;&gt;"))</f>
        <v/>
      </c>
      <c r="B328" s="74"/>
      <c r="C328" s="74" t="str">
        <f>IFERROR(VLOOKUP($B328,'Hack Database'!$A:$J,2,FALSE),"")</f>
        <v/>
      </c>
      <c r="D328" s="74" t="str">
        <f>IFERROR(VLOOKUP($B328,'Hack Database'!$A:$J,3,FALSE),"")</f>
        <v/>
      </c>
      <c r="E328" s="74" t="str">
        <f>IFERROR(VLOOKUP($B328,'Hack Database'!$A:$J,4,FALSE),"")</f>
        <v/>
      </c>
      <c r="F328" s="74" t="str">
        <f>IFERROR(VLOOKUP($B328,'Hack Database'!$A:$J,5,FALSE),"")</f>
        <v/>
      </c>
      <c r="G328" s="74" t="str">
        <f>IFERROR(VLOOKUP($B328,'Hack Database'!$A:$J,6,FALSE),"")</f>
        <v/>
      </c>
      <c r="H328" s="81"/>
      <c r="I328" s="81"/>
      <c r="J328" s="74"/>
      <c r="K328" s="74" t="str">
        <f t="shared" si="5"/>
        <v/>
      </c>
      <c r="L328" s="74"/>
      <c r="M328" s="84"/>
      <c r="N328" s="84"/>
      <c r="O328" s="84"/>
      <c r="P328" s="74" t="str">
        <f>IFERROR(HYPERLINK(VLOOKUP($B328,'Online Database'!$A:$J,9,FALSE),"Open Page"),IFERROR(HYPERLINK(VLOOKUP($B328,'Manual Database'!$A:$J,9,FALSE),"Open Page"),""))</f>
        <v/>
      </c>
      <c r="Q328" s="74" t="str">
        <f>IFERROR(HYPERLINK(VLOOKUP($B328,'Online Database'!$A:$J,10,FALSE),"Download"),IFERROR(HYPERLINK(VLOOKUP($B328,'Manual Database'!$A:$J,10,FALSE),"Download"),""))</f>
        <v/>
      </c>
      <c r="R328" s="90"/>
    </row>
    <row r="329" spans="1:18" ht="22.05" customHeight="1">
      <c r="A329" s="74" t="str">
        <f>IF(C329="","",COUNTIF($C$2:C329,"&lt;&gt;"))</f>
        <v/>
      </c>
      <c r="B329" s="74"/>
      <c r="C329" s="74" t="str">
        <f>IFERROR(VLOOKUP($B329,'Hack Database'!$A:$J,2,FALSE),"")</f>
        <v/>
      </c>
      <c r="D329" s="74" t="str">
        <f>IFERROR(VLOOKUP($B329,'Hack Database'!$A:$J,3,FALSE),"")</f>
        <v/>
      </c>
      <c r="E329" s="74" t="str">
        <f>IFERROR(VLOOKUP($B329,'Hack Database'!$A:$J,4,FALSE),"")</f>
        <v/>
      </c>
      <c r="F329" s="74" t="str">
        <f>IFERROR(VLOOKUP($B329,'Hack Database'!$A:$J,5,FALSE),"")</f>
        <v/>
      </c>
      <c r="G329" s="74" t="str">
        <f>IFERROR(VLOOKUP($B329,'Hack Database'!$A:$J,6,FALSE),"")</f>
        <v/>
      </c>
      <c r="H329" s="81"/>
      <c r="I329" s="81"/>
      <c r="J329" s="74"/>
      <c r="K329" s="74" t="str">
        <f t="shared" si="5"/>
        <v/>
      </c>
      <c r="L329" s="74"/>
      <c r="M329" s="84"/>
      <c r="N329" s="84"/>
      <c r="O329" s="84"/>
      <c r="P329" s="74" t="str">
        <f>IFERROR(HYPERLINK(VLOOKUP($B329,'Online Database'!$A:$J,9,FALSE),"Open Page"),IFERROR(HYPERLINK(VLOOKUP($B329,'Manual Database'!$A:$J,9,FALSE),"Open Page"),""))</f>
        <v/>
      </c>
      <c r="Q329" s="74" t="str">
        <f>IFERROR(HYPERLINK(VLOOKUP($B329,'Online Database'!$A:$J,10,FALSE),"Download"),IFERROR(HYPERLINK(VLOOKUP($B329,'Manual Database'!$A:$J,10,FALSE),"Download"),""))</f>
        <v/>
      </c>
      <c r="R329" s="90"/>
    </row>
    <row r="330" spans="1:18" ht="22.05" customHeight="1">
      <c r="A330" s="74" t="str">
        <f>IF(C330="","",COUNTIF($C$2:C330,"&lt;&gt;"))</f>
        <v/>
      </c>
      <c r="B330" s="74"/>
      <c r="C330" s="74" t="str">
        <f>IFERROR(VLOOKUP($B330,'Hack Database'!$A:$J,2,FALSE),"")</f>
        <v/>
      </c>
      <c r="D330" s="74" t="str">
        <f>IFERROR(VLOOKUP($B330,'Hack Database'!$A:$J,3,FALSE),"")</f>
        <v/>
      </c>
      <c r="E330" s="74" t="str">
        <f>IFERROR(VLOOKUP($B330,'Hack Database'!$A:$J,4,FALSE),"")</f>
        <v/>
      </c>
      <c r="F330" s="74" t="str">
        <f>IFERROR(VLOOKUP($B330,'Hack Database'!$A:$J,5,FALSE),"")</f>
        <v/>
      </c>
      <c r="G330" s="74" t="str">
        <f>IFERROR(VLOOKUP($B330,'Hack Database'!$A:$J,6,FALSE),"")</f>
        <v/>
      </c>
      <c r="H330" s="81"/>
      <c r="I330" s="81"/>
      <c r="J330" s="74"/>
      <c r="K330" s="74" t="str">
        <f t="shared" si="5"/>
        <v/>
      </c>
      <c r="L330" s="74"/>
      <c r="M330" s="84"/>
      <c r="N330" s="84"/>
      <c r="O330" s="84"/>
      <c r="P330" s="74" t="str">
        <f>IFERROR(HYPERLINK(VLOOKUP($B330,'Online Database'!$A:$J,9,FALSE),"Open Page"),IFERROR(HYPERLINK(VLOOKUP($B330,'Manual Database'!$A:$J,9,FALSE),"Open Page"),""))</f>
        <v/>
      </c>
      <c r="Q330" s="74" t="str">
        <f>IFERROR(HYPERLINK(VLOOKUP($B330,'Online Database'!$A:$J,10,FALSE),"Download"),IFERROR(HYPERLINK(VLOOKUP($B330,'Manual Database'!$A:$J,10,FALSE),"Download"),""))</f>
        <v/>
      </c>
      <c r="R330" s="90"/>
    </row>
    <row r="331" spans="1:18" ht="22.05" customHeight="1">
      <c r="A331" s="74" t="str">
        <f>IF(C331="","",COUNTIF($C$2:C331,"&lt;&gt;"))</f>
        <v/>
      </c>
      <c r="B331" s="74"/>
      <c r="C331" s="74" t="str">
        <f>IFERROR(VLOOKUP($B331,'Hack Database'!$A:$J,2,FALSE),"")</f>
        <v/>
      </c>
      <c r="D331" s="74" t="str">
        <f>IFERROR(VLOOKUP($B331,'Hack Database'!$A:$J,3,FALSE),"")</f>
        <v/>
      </c>
      <c r="E331" s="74" t="str">
        <f>IFERROR(VLOOKUP($B331,'Hack Database'!$A:$J,4,FALSE),"")</f>
        <v/>
      </c>
      <c r="F331" s="74" t="str">
        <f>IFERROR(VLOOKUP($B331,'Hack Database'!$A:$J,5,FALSE),"")</f>
        <v/>
      </c>
      <c r="G331" s="74" t="str">
        <f>IFERROR(VLOOKUP($B331,'Hack Database'!$A:$J,6,FALSE),"")</f>
        <v/>
      </c>
      <c r="H331" s="81"/>
      <c r="I331" s="81"/>
      <c r="J331" s="74"/>
      <c r="K331" s="74" t="str">
        <f t="shared" si="5"/>
        <v/>
      </c>
      <c r="L331" s="74"/>
      <c r="M331" s="84"/>
      <c r="N331" s="84"/>
      <c r="O331" s="84"/>
      <c r="P331" s="74" t="str">
        <f>IFERROR(HYPERLINK(VLOOKUP($B331,'Online Database'!$A:$J,9,FALSE),"Open Page"),IFERROR(HYPERLINK(VLOOKUP($B331,'Manual Database'!$A:$J,9,FALSE),"Open Page"),""))</f>
        <v/>
      </c>
      <c r="Q331" s="74" t="str">
        <f>IFERROR(HYPERLINK(VLOOKUP($B331,'Online Database'!$A:$J,10,FALSE),"Download"),IFERROR(HYPERLINK(VLOOKUP($B331,'Manual Database'!$A:$J,10,FALSE),"Download"),""))</f>
        <v/>
      </c>
      <c r="R331" s="90"/>
    </row>
    <row r="332" spans="1:18" ht="22.05" customHeight="1">
      <c r="A332" s="74" t="str">
        <f>IF(C332="","",COUNTIF($C$2:C332,"&lt;&gt;"))</f>
        <v/>
      </c>
      <c r="B332" s="74"/>
      <c r="C332" s="74" t="str">
        <f>IFERROR(VLOOKUP($B332,'Hack Database'!$A:$J,2,FALSE),"")</f>
        <v/>
      </c>
      <c r="D332" s="74" t="str">
        <f>IFERROR(VLOOKUP($B332,'Hack Database'!$A:$J,3,FALSE),"")</f>
        <v/>
      </c>
      <c r="E332" s="74" t="str">
        <f>IFERROR(VLOOKUP($B332,'Hack Database'!$A:$J,4,FALSE),"")</f>
        <v/>
      </c>
      <c r="F332" s="74" t="str">
        <f>IFERROR(VLOOKUP($B332,'Hack Database'!$A:$J,5,FALSE),"")</f>
        <v/>
      </c>
      <c r="G332" s="74" t="str">
        <f>IFERROR(VLOOKUP($B332,'Hack Database'!$A:$J,6,FALSE),"")</f>
        <v/>
      </c>
      <c r="H332" s="81"/>
      <c r="I332" s="81"/>
      <c r="J332" s="74"/>
      <c r="K332" s="74" t="str">
        <f t="shared" si="5"/>
        <v/>
      </c>
      <c r="L332" s="74"/>
      <c r="M332" s="84"/>
      <c r="N332" s="84"/>
      <c r="O332" s="84"/>
      <c r="P332" s="74" t="str">
        <f>IFERROR(HYPERLINK(VLOOKUP($B332,'Online Database'!$A:$J,9,FALSE),"Open Page"),IFERROR(HYPERLINK(VLOOKUP($B332,'Manual Database'!$A:$J,9,FALSE),"Open Page"),""))</f>
        <v/>
      </c>
      <c r="Q332" s="74" t="str">
        <f>IFERROR(HYPERLINK(VLOOKUP($B332,'Online Database'!$A:$J,10,FALSE),"Download"),IFERROR(HYPERLINK(VLOOKUP($B332,'Manual Database'!$A:$J,10,FALSE),"Download"),""))</f>
        <v/>
      </c>
      <c r="R332" s="90"/>
    </row>
    <row r="333" spans="1:18" ht="22.05" customHeight="1">
      <c r="A333" s="74" t="str">
        <f>IF(C333="","",COUNTIF($C$2:C333,"&lt;&gt;"))</f>
        <v/>
      </c>
      <c r="B333" s="74"/>
      <c r="C333" s="74" t="str">
        <f>IFERROR(VLOOKUP($B333,'Hack Database'!$A:$J,2,FALSE),"")</f>
        <v/>
      </c>
      <c r="D333" s="74" t="str">
        <f>IFERROR(VLOOKUP($B333,'Hack Database'!$A:$J,3,FALSE),"")</f>
        <v/>
      </c>
      <c r="E333" s="74" t="str">
        <f>IFERROR(VLOOKUP($B333,'Hack Database'!$A:$J,4,FALSE),"")</f>
        <v/>
      </c>
      <c r="F333" s="74" t="str">
        <f>IFERROR(VLOOKUP($B333,'Hack Database'!$A:$J,5,FALSE),"")</f>
        <v/>
      </c>
      <c r="G333" s="74" t="str">
        <f>IFERROR(VLOOKUP($B333,'Hack Database'!$A:$J,6,FALSE),"")</f>
        <v/>
      </c>
      <c r="H333" s="81"/>
      <c r="I333" s="81"/>
      <c r="J333" s="74"/>
      <c r="K333" s="74" t="str">
        <f t="shared" si="5"/>
        <v/>
      </c>
      <c r="L333" s="74"/>
      <c r="M333" s="84"/>
      <c r="N333" s="84"/>
      <c r="O333" s="84"/>
      <c r="P333" s="74" t="str">
        <f>IFERROR(HYPERLINK(VLOOKUP($B333,'Online Database'!$A:$J,9,FALSE),"Open Page"),IFERROR(HYPERLINK(VLOOKUP($B333,'Manual Database'!$A:$J,9,FALSE),"Open Page"),""))</f>
        <v/>
      </c>
      <c r="Q333" s="74" t="str">
        <f>IFERROR(HYPERLINK(VLOOKUP($B333,'Online Database'!$A:$J,10,FALSE),"Download"),IFERROR(HYPERLINK(VLOOKUP($B333,'Manual Database'!$A:$J,10,FALSE),"Download"),""))</f>
        <v/>
      </c>
      <c r="R333" s="90"/>
    </row>
    <row r="334" spans="1:18" ht="22.05" customHeight="1">
      <c r="A334" s="74" t="str">
        <f>IF(C334="","",COUNTIF($C$2:C334,"&lt;&gt;"))</f>
        <v/>
      </c>
      <c r="B334" s="74"/>
      <c r="C334" s="74" t="str">
        <f>IFERROR(VLOOKUP($B334,'Hack Database'!$A:$J,2,FALSE),"")</f>
        <v/>
      </c>
      <c r="D334" s="74" t="str">
        <f>IFERROR(VLOOKUP($B334,'Hack Database'!$A:$J,3,FALSE),"")</f>
        <v/>
      </c>
      <c r="E334" s="74" t="str">
        <f>IFERROR(VLOOKUP($B334,'Hack Database'!$A:$J,4,FALSE),"")</f>
        <v/>
      </c>
      <c r="F334" s="74" t="str">
        <f>IFERROR(VLOOKUP($B334,'Hack Database'!$A:$J,5,FALSE),"")</f>
        <v/>
      </c>
      <c r="G334" s="74" t="str">
        <f>IFERROR(VLOOKUP($B334,'Hack Database'!$A:$J,6,FALSE),"")</f>
        <v/>
      </c>
      <c r="H334" s="81"/>
      <c r="I334" s="81"/>
      <c r="J334" s="74"/>
      <c r="K334" s="74" t="str">
        <f t="shared" si="5"/>
        <v/>
      </c>
      <c r="L334" s="74"/>
      <c r="M334" s="84"/>
      <c r="N334" s="84"/>
      <c r="O334" s="84"/>
      <c r="P334" s="74" t="str">
        <f>IFERROR(HYPERLINK(VLOOKUP($B334,'Online Database'!$A:$J,9,FALSE),"Open Page"),IFERROR(HYPERLINK(VLOOKUP($B334,'Manual Database'!$A:$J,9,FALSE),"Open Page"),""))</f>
        <v/>
      </c>
      <c r="Q334" s="74" t="str">
        <f>IFERROR(HYPERLINK(VLOOKUP($B334,'Online Database'!$A:$J,10,FALSE),"Download"),IFERROR(HYPERLINK(VLOOKUP($B334,'Manual Database'!$A:$J,10,FALSE),"Download"),""))</f>
        <v/>
      </c>
      <c r="R334" s="90"/>
    </row>
    <row r="335" spans="1:18" ht="22.05" customHeight="1">
      <c r="A335" s="74" t="str">
        <f>IF(C335="","",COUNTIF($C$2:C335,"&lt;&gt;"))</f>
        <v/>
      </c>
      <c r="B335" s="74"/>
      <c r="C335" s="74" t="str">
        <f>IFERROR(VLOOKUP($B335,'Hack Database'!$A:$J,2,FALSE),"")</f>
        <v/>
      </c>
      <c r="D335" s="74" t="str">
        <f>IFERROR(VLOOKUP($B335,'Hack Database'!$A:$J,3,FALSE),"")</f>
        <v/>
      </c>
      <c r="E335" s="74" t="str">
        <f>IFERROR(VLOOKUP($B335,'Hack Database'!$A:$J,4,FALSE),"")</f>
        <v/>
      </c>
      <c r="F335" s="74" t="str">
        <f>IFERROR(VLOOKUP($B335,'Hack Database'!$A:$J,5,FALSE),"")</f>
        <v/>
      </c>
      <c r="G335" s="74" t="str">
        <f>IFERROR(VLOOKUP($B335,'Hack Database'!$A:$J,6,FALSE),"")</f>
        <v/>
      </c>
      <c r="H335" s="81"/>
      <c r="I335" s="81"/>
      <c r="J335" s="74"/>
      <c r="K335" s="74" t="str">
        <f t="shared" si="5"/>
        <v/>
      </c>
      <c r="L335" s="74"/>
      <c r="M335" s="84"/>
      <c r="N335" s="84"/>
      <c r="O335" s="84"/>
      <c r="P335" s="74" t="str">
        <f>IFERROR(HYPERLINK(VLOOKUP($B335,'Online Database'!$A:$J,9,FALSE),"Open Page"),IFERROR(HYPERLINK(VLOOKUP($B335,'Manual Database'!$A:$J,9,FALSE),"Open Page"),""))</f>
        <v/>
      </c>
      <c r="Q335" s="74" t="str">
        <f>IFERROR(HYPERLINK(VLOOKUP($B335,'Online Database'!$A:$J,10,FALSE),"Download"),IFERROR(HYPERLINK(VLOOKUP($B335,'Manual Database'!$A:$J,10,FALSE),"Download"),""))</f>
        <v/>
      </c>
      <c r="R335" s="90"/>
    </row>
    <row r="336" spans="1:18" ht="22.05" customHeight="1">
      <c r="A336" s="74" t="str">
        <f>IF(C336="","",COUNTIF($C$2:C336,"&lt;&gt;"))</f>
        <v/>
      </c>
      <c r="B336" s="74"/>
      <c r="C336" s="74" t="str">
        <f>IFERROR(VLOOKUP($B336,'Hack Database'!$A:$J,2,FALSE),"")</f>
        <v/>
      </c>
      <c r="D336" s="74" t="str">
        <f>IFERROR(VLOOKUP($B336,'Hack Database'!$A:$J,3,FALSE),"")</f>
        <v/>
      </c>
      <c r="E336" s="74" t="str">
        <f>IFERROR(VLOOKUP($B336,'Hack Database'!$A:$J,4,FALSE),"")</f>
        <v/>
      </c>
      <c r="F336" s="74" t="str">
        <f>IFERROR(VLOOKUP($B336,'Hack Database'!$A:$J,5,FALSE),"")</f>
        <v/>
      </c>
      <c r="G336" s="74" t="str">
        <f>IFERROR(VLOOKUP($B336,'Hack Database'!$A:$J,6,FALSE),"")</f>
        <v/>
      </c>
      <c r="H336" s="81"/>
      <c r="I336" s="81"/>
      <c r="J336" s="74"/>
      <c r="K336" s="74" t="str">
        <f t="shared" si="5"/>
        <v/>
      </c>
      <c r="L336" s="74"/>
      <c r="M336" s="84"/>
      <c r="N336" s="84"/>
      <c r="O336" s="84"/>
      <c r="P336" s="74" t="str">
        <f>IFERROR(HYPERLINK(VLOOKUP($B336,'Online Database'!$A:$J,9,FALSE),"Open Page"),IFERROR(HYPERLINK(VLOOKUP($B336,'Manual Database'!$A:$J,9,FALSE),"Open Page"),""))</f>
        <v/>
      </c>
      <c r="Q336" s="74" t="str">
        <f>IFERROR(HYPERLINK(VLOOKUP($B336,'Online Database'!$A:$J,10,FALSE),"Download"),IFERROR(HYPERLINK(VLOOKUP($B336,'Manual Database'!$A:$J,10,FALSE),"Download"),""))</f>
        <v/>
      </c>
      <c r="R336" s="90"/>
    </row>
    <row r="337" spans="1:18" ht="22.05" customHeight="1">
      <c r="A337" s="74" t="str">
        <f>IF(C337="","",COUNTIF($C$2:C337,"&lt;&gt;"))</f>
        <v/>
      </c>
      <c r="B337" s="74"/>
      <c r="C337" s="74" t="str">
        <f>IFERROR(VLOOKUP($B337,'Hack Database'!$A:$J,2,FALSE),"")</f>
        <v/>
      </c>
      <c r="D337" s="74" t="str">
        <f>IFERROR(VLOOKUP($B337,'Hack Database'!$A:$J,3,FALSE),"")</f>
        <v/>
      </c>
      <c r="E337" s="74" t="str">
        <f>IFERROR(VLOOKUP($B337,'Hack Database'!$A:$J,4,FALSE),"")</f>
        <v/>
      </c>
      <c r="F337" s="74" t="str">
        <f>IFERROR(VLOOKUP($B337,'Hack Database'!$A:$J,5,FALSE),"")</f>
        <v/>
      </c>
      <c r="G337" s="74" t="str">
        <f>IFERROR(VLOOKUP($B337,'Hack Database'!$A:$J,6,FALSE),"")</f>
        <v/>
      </c>
      <c r="H337" s="81"/>
      <c r="I337" s="81"/>
      <c r="J337" s="74"/>
      <c r="K337" s="74" t="str">
        <f t="shared" si="5"/>
        <v/>
      </c>
      <c r="L337" s="74"/>
      <c r="M337" s="84"/>
      <c r="N337" s="84"/>
      <c r="O337" s="84"/>
      <c r="P337" s="74" t="str">
        <f>IFERROR(HYPERLINK(VLOOKUP($B337,'Online Database'!$A:$J,9,FALSE),"Open Page"),IFERROR(HYPERLINK(VLOOKUP($B337,'Manual Database'!$A:$J,9,FALSE),"Open Page"),""))</f>
        <v/>
      </c>
      <c r="Q337" s="74" t="str">
        <f>IFERROR(HYPERLINK(VLOOKUP($B337,'Online Database'!$A:$J,10,FALSE),"Download"),IFERROR(HYPERLINK(VLOOKUP($B337,'Manual Database'!$A:$J,10,FALSE),"Download"),""))</f>
        <v/>
      </c>
      <c r="R337" s="90"/>
    </row>
    <row r="338" spans="1:18" ht="22.05" customHeight="1">
      <c r="A338" s="74" t="str">
        <f>IF(C338="","",COUNTIF($C$2:C338,"&lt;&gt;"))</f>
        <v/>
      </c>
      <c r="B338" s="74"/>
      <c r="C338" s="74" t="str">
        <f>IFERROR(VLOOKUP($B338,'Hack Database'!$A:$J,2,FALSE),"")</f>
        <v/>
      </c>
      <c r="D338" s="74" t="str">
        <f>IFERROR(VLOOKUP($B338,'Hack Database'!$A:$J,3,FALSE),"")</f>
        <v/>
      </c>
      <c r="E338" s="74" t="str">
        <f>IFERROR(VLOOKUP($B338,'Hack Database'!$A:$J,4,FALSE),"")</f>
        <v/>
      </c>
      <c r="F338" s="74" t="str">
        <f>IFERROR(VLOOKUP($B338,'Hack Database'!$A:$J,5,FALSE),"")</f>
        <v/>
      </c>
      <c r="G338" s="74" t="str">
        <f>IFERROR(VLOOKUP($B338,'Hack Database'!$A:$J,6,FALSE),"")</f>
        <v/>
      </c>
      <c r="H338" s="81"/>
      <c r="I338" s="81"/>
      <c r="J338" s="74"/>
      <c r="K338" s="74" t="str">
        <f t="shared" si="5"/>
        <v/>
      </c>
      <c r="L338" s="74"/>
      <c r="M338" s="84"/>
      <c r="N338" s="84"/>
      <c r="O338" s="84"/>
      <c r="P338" s="74" t="str">
        <f>IFERROR(HYPERLINK(VLOOKUP($B338,'Online Database'!$A:$J,9,FALSE),"Open Page"),IFERROR(HYPERLINK(VLOOKUP($B338,'Manual Database'!$A:$J,9,FALSE),"Open Page"),""))</f>
        <v/>
      </c>
      <c r="Q338" s="74" t="str">
        <f>IFERROR(HYPERLINK(VLOOKUP($B338,'Online Database'!$A:$J,10,FALSE),"Download"),IFERROR(HYPERLINK(VLOOKUP($B338,'Manual Database'!$A:$J,10,FALSE),"Download"),""))</f>
        <v/>
      </c>
      <c r="R338" s="90"/>
    </row>
    <row r="339" spans="1:18" ht="22.05" customHeight="1">
      <c r="A339" s="74" t="str">
        <f>IF(C339="","",COUNTIF($C$2:C339,"&lt;&gt;"))</f>
        <v/>
      </c>
      <c r="B339" s="74"/>
      <c r="C339" s="74" t="str">
        <f>IFERROR(VLOOKUP($B339,'Hack Database'!$A:$J,2,FALSE),"")</f>
        <v/>
      </c>
      <c r="D339" s="74" t="str">
        <f>IFERROR(VLOOKUP($B339,'Hack Database'!$A:$J,3,FALSE),"")</f>
        <v/>
      </c>
      <c r="E339" s="74" t="str">
        <f>IFERROR(VLOOKUP($B339,'Hack Database'!$A:$J,4,FALSE),"")</f>
        <v/>
      </c>
      <c r="F339" s="74" t="str">
        <f>IFERROR(VLOOKUP($B339,'Hack Database'!$A:$J,5,FALSE),"")</f>
        <v/>
      </c>
      <c r="G339" s="74" t="str">
        <f>IFERROR(VLOOKUP($B339,'Hack Database'!$A:$J,6,FALSE),"")</f>
        <v/>
      </c>
      <c r="H339" s="81"/>
      <c r="I339" s="81"/>
      <c r="J339" s="74"/>
      <c r="K339" s="74" t="str">
        <f t="shared" si="5"/>
        <v/>
      </c>
      <c r="L339" s="74"/>
      <c r="M339" s="84"/>
      <c r="N339" s="84"/>
      <c r="O339" s="84"/>
      <c r="P339" s="74" t="str">
        <f>IFERROR(HYPERLINK(VLOOKUP($B339,'Online Database'!$A:$J,9,FALSE),"Open Page"),IFERROR(HYPERLINK(VLOOKUP($B339,'Manual Database'!$A:$J,9,FALSE),"Open Page"),""))</f>
        <v/>
      </c>
      <c r="Q339" s="74" t="str">
        <f>IFERROR(HYPERLINK(VLOOKUP($B339,'Online Database'!$A:$J,10,FALSE),"Download"),IFERROR(HYPERLINK(VLOOKUP($B339,'Manual Database'!$A:$J,10,FALSE),"Download"),""))</f>
        <v/>
      </c>
      <c r="R339" s="90"/>
    </row>
    <row r="340" spans="1:18" ht="22.05" customHeight="1">
      <c r="A340" s="74" t="str">
        <f>IF(C340="","",COUNTIF($C$2:C340,"&lt;&gt;"))</f>
        <v/>
      </c>
      <c r="B340" s="74"/>
      <c r="C340" s="74" t="str">
        <f>IFERROR(VLOOKUP($B340,'Hack Database'!$A:$J,2,FALSE),"")</f>
        <v/>
      </c>
      <c r="D340" s="74" t="str">
        <f>IFERROR(VLOOKUP($B340,'Hack Database'!$A:$J,3,FALSE),"")</f>
        <v/>
      </c>
      <c r="E340" s="74" t="str">
        <f>IFERROR(VLOOKUP($B340,'Hack Database'!$A:$J,4,FALSE),"")</f>
        <v/>
      </c>
      <c r="F340" s="74" t="str">
        <f>IFERROR(VLOOKUP($B340,'Hack Database'!$A:$J,5,FALSE),"")</f>
        <v/>
      </c>
      <c r="G340" s="74" t="str">
        <f>IFERROR(VLOOKUP($B340,'Hack Database'!$A:$J,6,FALSE),"")</f>
        <v/>
      </c>
      <c r="H340" s="81"/>
      <c r="I340" s="81"/>
      <c r="J340" s="74"/>
      <c r="K340" s="74" t="str">
        <f t="shared" si="5"/>
        <v/>
      </c>
      <c r="L340" s="74"/>
      <c r="M340" s="84"/>
      <c r="N340" s="84"/>
      <c r="O340" s="84"/>
      <c r="P340" s="74" t="str">
        <f>IFERROR(HYPERLINK(VLOOKUP($B340,'Online Database'!$A:$J,9,FALSE),"Open Page"),IFERROR(HYPERLINK(VLOOKUP($B340,'Manual Database'!$A:$J,9,FALSE),"Open Page"),""))</f>
        <v/>
      </c>
      <c r="Q340" s="74" t="str">
        <f>IFERROR(HYPERLINK(VLOOKUP($B340,'Online Database'!$A:$J,10,FALSE),"Download"),IFERROR(HYPERLINK(VLOOKUP($B340,'Manual Database'!$A:$J,10,FALSE),"Download"),""))</f>
        <v/>
      </c>
      <c r="R340" s="90"/>
    </row>
    <row r="341" spans="1:18" ht="22.05" customHeight="1">
      <c r="A341" s="74" t="str">
        <f>IF(C341="","",COUNTIF($C$2:C341,"&lt;&gt;"))</f>
        <v/>
      </c>
      <c r="B341" s="74"/>
      <c r="C341" s="74" t="str">
        <f>IFERROR(VLOOKUP($B341,'Hack Database'!$A:$J,2,FALSE),"")</f>
        <v/>
      </c>
      <c r="D341" s="74" t="str">
        <f>IFERROR(VLOOKUP($B341,'Hack Database'!$A:$J,3,FALSE),"")</f>
        <v/>
      </c>
      <c r="E341" s="74" t="str">
        <f>IFERROR(VLOOKUP($B341,'Hack Database'!$A:$J,4,FALSE),"")</f>
        <v/>
      </c>
      <c r="F341" s="74" t="str">
        <f>IFERROR(VLOOKUP($B341,'Hack Database'!$A:$J,5,FALSE),"")</f>
        <v/>
      </c>
      <c r="G341" s="74" t="str">
        <f>IFERROR(VLOOKUP($B341,'Hack Database'!$A:$J,6,FALSE),"")</f>
        <v/>
      </c>
      <c r="H341" s="81"/>
      <c r="I341" s="81"/>
      <c r="J341" s="74"/>
      <c r="K341" s="74" t="str">
        <f t="shared" si="5"/>
        <v/>
      </c>
      <c r="L341" s="74"/>
      <c r="M341" s="84"/>
      <c r="N341" s="84"/>
      <c r="O341" s="84"/>
      <c r="P341" s="74" t="str">
        <f>IFERROR(HYPERLINK(VLOOKUP($B341,'Online Database'!$A:$J,9,FALSE),"Open Page"),IFERROR(HYPERLINK(VLOOKUP($B341,'Manual Database'!$A:$J,9,FALSE),"Open Page"),""))</f>
        <v/>
      </c>
      <c r="Q341" s="74" t="str">
        <f>IFERROR(HYPERLINK(VLOOKUP($B341,'Online Database'!$A:$J,10,FALSE),"Download"),IFERROR(HYPERLINK(VLOOKUP($B341,'Manual Database'!$A:$J,10,FALSE),"Download"),""))</f>
        <v/>
      </c>
      <c r="R341" s="90"/>
    </row>
    <row r="342" spans="1:18" ht="22.05" customHeight="1">
      <c r="A342" s="74" t="str">
        <f>IF(C342="","",COUNTIF($C$2:C342,"&lt;&gt;"))</f>
        <v/>
      </c>
      <c r="B342" s="74"/>
      <c r="C342" s="74" t="str">
        <f>IFERROR(VLOOKUP($B342,'Hack Database'!$A:$J,2,FALSE),"")</f>
        <v/>
      </c>
      <c r="D342" s="74" t="str">
        <f>IFERROR(VLOOKUP($B342,'Hack Database'!$A:$J,3,FALSE),"")</f>
        <v/>
      </c>
      <c r="E342" s="74" t="str">
        <f>IFERROR(VLOOKUP($B342,'Hack Database'!$A:$J,4,FALSE),"")</f>
        <v/>
      </c>
      <c r="F342" s="74" t="str">
        <f>IFERROR(VLOOKUP($B342,'Hack Database'!$A:$J,5,FALSE),"")</f>
        <v/>
      </c>
      <c r="G342" s="74" t="str">
        <f>IFERROR(VLOOKUP($B342,'Hack Database'!$A:$J,6,FALSE),"")</f>
        <v/>
      </c>
      <c r="H342" s="81"/>
      <c r="I342" s="81"/>
      <c r="J342" s="74"/>
      <c r="K342" s="74" t="str">
        <f t="shared" si="5"/>
        <v/>
      </c>
      <c r="L342" s="74"/>
      <c r="M342" s="84"/>
      <c r="N342" s="84"/>
      <c r="O342" s="84"/>
      <c r="P342" s="74" t="str">
        <f>IFERROR(HYPERLINK(VLOOKUP($B342,'Online Database'!$A:$J,9,FALSE),"Open Page"),IFERROR(HYPERLINK(VLOOKUP($B342,'Manual Database'!$A:$J,9,FALSE),"Open Page"),""))</f>
        <v/>
      </c>
      <c r="Q342" s="74" t="str">
        <f>IFERROR(HYPERLINK(VLOOKUP($B342,'Online Database'!$A:$J,10,FALSE),"Download"),IFERROR(HYPERLINK(VLOOKUP($B342,'Manual Database'!$A:$J,10,FALSE),"Download"),""))</f>
        <v/>
      </c>
      <c r="R342" s="90"/>
    </row>
    <row r="343" spans="1:18" ht="22.05" customHeight="1">
      <c r="A343" s="74" t="str">
        <f>IF(C343="","",COUNTIF($C$2:C343,"&lt;&gt;"))</f>
        <v/>
      </c>
      <c r="B343" s="74"/>
      <c r="C343" s="74" t="str">
        <f>IFERROR(VLOOKUP($B343,'Hack Database'!$A:$J,2,FALSE),"")</f>
        <v/>
      </c>
      <c r="D343" s="74" t="str">
        <f>IFERROR(VLOOKUP($B343,'Hack Database'!$A:$J,3,FALSE),"")</f>
        <v/>
      </c>
      <c r="E343" s="74" t="str">
        <f>IFERROR(VLOOKUP($B343,'Hack Database'!$A:$J,4,FALSE),"")</f>
        <v/>
      </c>
      <c r="F343" s="74" t="str">
        <f>IFERROR(VLOOKUP($B343,'Hack Database'!$A:$J,5,FALSE),"")</f>
        <v/>
      </c>
      <c r="G343" s="74" t="str">
        <f>IFERROR(VLOOKUP($B343,'Hack Database'!$A:$J,6,FALSE),"")</f>
        <v/>
      </c>
      <c r="H343" s="81"/>
      <c r="I343" s="81"/>
      <c r="J343" s="74"/>
      <c r="K343" s="74" t="str">
        <f t="shared" si="5"/>
        <v/>
      </c>
      <c r="L343" s="74"/>
      <c r="M343" s="84"/>
      <c r="N343" s="84"/>
      <c r="O343" s="84"/>
      <c r="P343" s="74" t="str">
        <f>IFERROR(HYPERLINK(VLOOKUP($B343,'Online Database'!$A:$J,9,FALSE),"Open Page"),IFERROR(HYPERLINK(VLOOKUP($B343,'Manual Database'!$A:$J,9,FALSE),"Open Page"),""))</f>
        <v/>
      </c>
      <c r="Q343" s="74" t="str">
        <f>IFERROR(HYPERLINK(VLOOKUP($B343,'Online Database'!$A:$J,10,FALSE),"Download"),IFERROR(HYPERLINK(VLOOKUP($B343,'Manual Database'!$A:$J,10,FALSE),"Download"),""))</f>
        <v/>
      </c>
      <c r="R343" s="90"/>
    </row>
    <row r="344" spans="1:18" ht="22.05" customHeight="1">
      <c r="A344" s="74" t="str">
        <f>IF(C344="","",COUNTIF($C$2:C344,"&lt;&gt;"))</f>
        <v/>
      </c>
      <c r="B344" s="74"/>
      <c r="C344" s="74" t="str">
        <f>IFERROR(VLOOKUP($B344,'Hack Database'!$A:$J,2,FALSE),"")</f>
        <v/>
      </c>
      <c r="D344" s="74" t="str">
        <f>IFERROR(VLOOKUP($B344,'Hack Database'!$A:$J,3,FALSE),"")</f>
        <v/>
      </c>
      <c r="E344" s="74" t="str">
        <f>IFERROR(VLOOKUP($B344,'Hack Database'!$A:$J,4,FALSE),"")</f>
        <v/>
      </c>
      <c r="F344" s="74" t="str">
        <f>IFERROR(VLOOKUP($B344,'Hack Database'!$A:$J,5,FALSE),"")</f>
        <v/>
      </c>
      <c r="G344" s="74" t="str">
        <f>IFERROR(VLOOKUP($B344,'Hack Database'!$A:$J,6,FALSE),"")</f>
        <v/>
      </c>
      <c r="H344" s="81"/>
      <c r="I344" s="81"/>
      <c r="J344" s="74"/>
      <c r="K344" s="74" t="str">
        <f t="shared" si="5"/>
        <v/>
      </c>
      <c r="L344" s="74"/>
      <c r="M344" s="84"/>
      <c r="N344" s="84"/>
      <c r="O344" s="84"/>
      <c r="P344" s="74" t="str">
        <f>IFERROR(HYPERLINK(VLOOKUP($B344,'Online Database'!$A:$J,9,FALSE),"Open Page"),IFERROR(HYPERLINK(VLOOKUP($B344,'Manual Database'!$A:$J,9,FALSE),"Open Page"),""))</f>
        <v/>
      </c>
      <c r="Q344" s="74" t="str">
        <f>IFERROR(HYPERLINK(VLOOKUP($B344,'Online Database'!$A:$J,10,FALSE),"Download"),IFERROR(HYPERLINK(VLOOKUP($B344,'Manual Database'!$A:$J,10,FALSE),"Download"),""))</f>
        <v/>
      </c>
      <c r="R344" s="90"/>
    </row>
    <row r="345" spans="1:18" ht="22.05" customHeight="1">
      <c r="A345" s="74" t="str">
        <f>IF(C345="","",COUNTIF($C$2:C345,"&lt;&gt;"))</f>
        <v/>
      </c>
      <c r="B345" s="74"/>
      <c r="C345" s="74" t="str">
        <f>IFERROR(VLOOKUP($B345,'Hack Database'!$A:$J,2,FALSE),"")</f>
        <v/>
      </c>
      <c r="D345" s="74" t="str">
        <f>IFERROR(VLOOKUP($B345,'Hack Database'!$A:$J,3,FALSE),"")</f>
        <v/>
      </c>
      <c r="E345" s="74" t="str">
        <f>IFERROR(VLOOKUP($B345,'Hack Database'!$A:$J,4,FALSE),"")</f>
        <v/>
      </c>
      <c r="F345" s="74" t="str">
        <f>IFERROR(VLOOKUP($B345,'Hack Database'!$A:$J,5,FALSE),"")</f>
        <v/>
      </c>
      <c r="G345" s="74" t="str">
        <f>IFERROR(VLOOKUP($B345,'Hack Database'!$A:$J,6,FALSE),"")</f>
        <v/>
      </c>
      <c r="H345" s="81"/>
      <c r="I345" s="81"/>
      <c r="J345" s="74"/>
      <c r="K345" s="74" t="str">
        <f t="shared" si="5"/>
        <v/>
      </c>
      <c r="L345" s="74"/>
      <c r="M345" s="84"/>
      <c r="N345" s="84"/>
      <c r="O345" s="84"/>
      <c r="P345" s="74" t="str">
        <f>IFERROR(HYPERLINK(VLOOKUP($B345,'Online Database'!$A:$J,9,FALSE),"Open Page"),IFERROR(HYPERLINK(VLOOKUP($B345,'Manual Database'!$A:$J,9,FALSE),"Open Page"),""))</f>
        <v/>
      </c>
      <c r="Q345" s="74" t="str">
        <f>IFERROR(HYPERLINK(VLOOKUP($B345,'Online Database'!$A:$J,10,FALSE),"Download"),IFERROR(HYPERLINK(VLOOKUP($B345,'Manual Database'!$A:$J,10,FALSE),"Download"),""))</f>
        <v/>
      </c>
      <c r="R345" s="90"/>
    </row>
    <row r="346" spans="1:18" ht="22.05" customHeight="1">
      <c r="A346" s="74" t="str">
        <f>IF(C346="","",COUNTIF($C$2:C346,"&lt;&gt;"))</f>
        <v/>
      </c>
      <c r="B346" s="74"/>
      <c r="C346" s="74" t="str">
        <f>IFERROR(VLOOKUP($B346,'Hack Database'!$A:$J,2,FALSE),"")</f>
        <v/>
      </c>
      <c r="D346" s="74" t="str">
        <f>IFERROR(VLOOKUP($B346,'Hack Database'!$A:$J,3,FALSE),"")</f>
        <v/>
      </c>
      <c r="E346" s="74" t="str">
        <f>IFERROR(VLOOKUP($B346,'Hack Database'!$A:$J,4,FALSE),"")</f>
        <v/>
      </c>
      <c r="F346" s="74" t="str">
        <f>IFERROR(VLOOKUP($B346,'Hack Database'!$A:$J,5,FALSE),"")</f>
        <v/>
      </c>
      <c r="G346" s="74" t="str">
        <f>IFERROR(VLOOKUP($B346,'Hack Database'!$A:$J,6,FALSE),"")</f>
        <v/>
      </c>
      <c r="H346" s="81"/>
      <c r="I346" s="81"/>
      <c r="J346" s="74"/>
      <c r="K346" s="74" t="str">
        <f t="shared" si="5"/>
        <v/>
      </c>
      <c r="L346" s="74"/>
      <c r="M346" s="84"/>
      <c r="N346" s="84"/>
      <c r="O346" s="84"/>
      <c r="P346" s="74" t="str">
        <f>IFERROR(HYPERLINK(VLOOKUP($B346,'Online Database'!$A:$J,9,FALSE),"Open Page"),IFERROR(HYPERLINK(VLOOKUP($B346,'Manual Database'!$A:$J,9,FALSE),"Open Page"),""))</f>
        <v/>
      </c>
      <c r="Q346" s="74" t="str">
        <f>IFERROR(HYPERLINK(VLOOKUP($B346,'Online Database'!$A:$J,10,FALSE),"Download"),IFERROR(HYPERLINK(VLOOKUP($B346,'Manual Database'!$A:$J,10,FALSE),"Download"),""))</f>
        <v/>
      </c>
      <c r="R346" s="90"/>
    </row>
    <row r="347" spans="1:18" ht="22.05" customHeight="1">
      <c r="A347" s="74" t="str">
        <f>IF(C347="","",COUNTIF($C$2:C347,"&lt;&gt;"))</f>
        <v/>
      </c>
      <c r="B347" s="74"/>
      <c r="C347" s="74" t="str">
        <f>IFERROR(VLOOKUP($B347,'Hack Database'!$A:$J,2,FALSE),"")</f>
        <v/>
      </c>
      <c r="D347" s="74" t="str">
        <f>IFERROR(VLOOKUP($B347,'Hack Database'!$A:$J,3,FALSE),"")</f>
        <v/>
      </c>
      <c r="E347" s="74" t="str">
        <f>IFERROR(VLOOKUP($B347,'Hack Database'!$A:$J,4,FALSE),"")</f>
        <v/>
      </c>
      <c r="F347" s="74" t="str">
        <f>IFERROR(VLOOKUP($B347,'Hack Database'!$A:$J,5,FALSE),"")</f>
        <v/>
      </c>
      <c r="G347" s="74" t="str">
        <f>IFERROR(VLOOKUP($B347,'Hack Database'!$A:$J,6,FALSE),"")</f>
        <v/>
      </c>
      <c r="H347" s="81"/>
      <c r="I347" s="81"/>
      <c r="J347" s="74"/>
      <c r="K347" s="74" t="str">
        <f t="shared" si="5"/>
        <v/>
      </c>
      <c r="L347" s="74"/>
      <c r="M347" s="84"/>
      <c r="N347" s="84"/>
      <c r="O347" s="84"/>
      <c r="P347" s="74" t="str">
        <f>IFERROR(HYPERLINK(VLOOKUP($B347,'Online Database'!$A:$J,9,FALSE),"Open Page"),IFERROR(HYPERLINK(VLOOKUP($B347,'Manual Database'!$A:$J,9,FALSE),"Open Page"),""))</f>
        <v/>
      </c>
      <c r="Q347" s="74" t="str">
        <f>IFERROR(HYPERLINK(VLOOKUP($B347,'Online Database'!$A:$J,10,FALSE),"Download"),IFERROR(HYPERLINK(VLOOKUP($B347,'Manual Database'!$A:$J,10,FALSE),"Download"),""))</f>
        <v/>
      </c>
      <c r="R347" s="90"/>
    </row>
    <row r="348" spans="1:18" ht="22.05" customHeight="1">
      <c r="A348" s="74" t="str">
        <f>IF(C348="","",COUNTIF($C$2:C348,"&lt;&gt;"))</f>
        <v/>
      </c>
      <c r="B348" s="74"/>
      <c r="C348" s="74" t="str">
        <f>IFERROR(VLOOKUP($B348,'Hack Database'!$A:$J,2,FALSE),"")</f>
        <v/>
      </c>
      <c r="D348" s="74" t="str">
        <f>IFERROR(VLOOKUP($B348,'Hack Database'!$A:$J,3,FALSE),"")</f>
        <v/>
      </c>
      <c r="E348" s="74" t="str">
        <f>IFERROR(VLOOKUP($B348,'Hack Database'!$A:$J,4,FALSE),"")</f>
        <v/>
      </c>
      <c r="F348" s="74" t="str">
        <f>IFERROR(VLOOKUP($B348,'Hack Database'!$A:$J,5,FALSE),"")</f>
        <v/>
      </c>
      <c r="G348" s="74" t="str">
        <f>IFERROR(VLOOKUP($B348,'Hack Database'!$A:$J,6,FALSE),"")</f>
        <v/>
      </c>
      <c r="H348" s="81"/>
      <c r="I348" s="81"/>
      <c r="J348" s="74"/>
      <c r="K348" s="74" t="str">
        <f t="shared" si="5"/>
        <v/>
      </c>
      <c r="L348" s="74"/>
      <c r="M348" s="84"/>
      <c r="N348" s="84"/>
      <c r="O348" s="84"/>
      <c r="P348" s="74" t="str">
        <f>IFERROR(HYPERLINK(VLOOKUP($B348,'Online Database'!$A:$J,9,FALSE),"Open Page"),IFERROR(HYPERLINK(VLOOKUP($B348,'Manual Database'!$A:$J,9,FALSE),"Open Page"),""))</f>
        <v/>
      </c>
      <c r="Q348" s="74" t="str">
        <f>IFERROR(HYPERLINK(VLOOKUP($B348,'Online Database'!$A:$J,10,FALSE),"Download"),IFERROR(HYPERLINK(VLOOKUP($B348,'Manual Database'!$A:$J,10,FALSE),"Download"),""))</f>
        <v/>
      </c>
      <c r="R348" s="90"/>
    </row>
    <row r="349" spans="1:18" ht="22.05" customHeight="1">
      <c r="A349" s="74" t="str">
        <f>IF(C349="","",COUNTIF($C$2:C349,"&lt;&gt;"))</f>
        <v/>
      </c>
      <c r="B349" s="74"/>
      <c r="C349" s="74" t="str">
        <f>IFERROR(VLOOKUP($B349,'Hack Database'!$A:$J,2,FALSE),"")</f>
        <v/>
      </c>
      <c r="D349" s="74" t="str">
        <f>IFERROR(VLOOKUP($B349,'Hack Database'!$A:$J,3,FALSE),"")</f>
        <v/>
      </c>
      <c r="E349" s="74" t="str">
        <f>IFERROR(VLOOKUP($B349,'Hack Database'!$A:$J,4,FALSE),"")</f>
        <v/>
      </c>
      <c r="F349" s="74" t="str">
        <f>IFERROR(VLOOKUP($B349,'Hack Database'!$A:$J,5,FALSE),"")</f>
        <v/>
      </c>
      <c r="G349" s="74" t="str">
        <f>IFERROR(VLOOKUP($B349,'Hack Database'!$A:$J,6,FALSE),"")</f>
        <v/>
      </c>
      <c r="H349" s="81"/>
      <c r="I349" s="81"/>
      <c r="J349" s="74"/>
      <c r="K349" s="74" t="str">
        <f t="shared" si="5"/>
        <v/>
      </c>
      <c r="L349" s="74"/>
      <c r="M349" s="84"/>
      <c r="N349" s="84"/>
      <c r="O349" s="84"/>
      <c r="P349" s="74" t="str">
        <f>IFERROR(HYPERLINK(VLOOKUP($B349,'Online Database'!$A:$J,9,FALSE),"Open Page"),IFERROR(HYPERLINK(VLOOKUP($B349,'Manual Database'!$A:$J,9,FALSE),"Open Page"),""))</f>
        <v/>
      </c>
      <c r="Q349" s="74" t="str">
        <f>IFERROR(HYPERLINK(VLOOKUP($B349,'Online Database'!$A:$J,10,FALSE),"Download"),IFERROR(HYPERLINK(VLOOKUP($B349,'Manual Database'!$A:$J,10,FALSE),"Download"),""))</f>
        <v/>
      </c>
      <c r="R349" s="90"/>
    </row>
    <row r="350" spans="1:18" ht="22.05" customHeight="1">
      <c r="A350" s="74" t="str">
        <f>IF(C350="","",COUNTIF($C$2:C350,"&lt;&gt;"))</f>
        <v/>
      </c>
      <c r="B350" s="74"/>
      <c r="C350" s="74" t="str">
        <f>IFERROR(VLOOKUP($B350,'Hack Database'!$A:$J,2,FALSE),"")</f>
        <v/>
      </c>
      <c r="D350" s="74" t="str">
        <f>IFERROR(VLOOKUP($B350,'Hack Database'!$A:$J,3,FALSE),"")</f>
        <v/>
      </c>
      <c r="E350" s="74" t="str">
        <f>IFERROR(VLOOKUP($B350,'Hack Database'!$A:$J,4,FALSE),"")</f>
        <v/>
      </c>
      <c r="F350" s="74" t="str">
        <f>IFERROR(VLOOKUP($B350,'Hack Database'!$A:$J,5,FALSE),"")</f>
        <v/>
      </c>
      <c r="G350" s="74" t="str">
        <f>IFERROR(VLOOKUP($B350,'Hack Database'!$A:$J,6,FALSE),"")</f>
        <v/>
      </c>
      <c r="H350" s="81"/>
      <c r="I350" s="81"/>
      <c r="J350" s="74"/>
      <c r="K350" s="74" t="str">
        <f t="shared" si="5"/>
        <v/>
      </c>
      <c r="L350" s="74"/>
      <c r="M350" s="84"/>
      <c r="N350" s="84"/>
      <c r="O350" s="84"/>
      <c r="P350" s="74" t="str">
        <f>IFERROR(HYPERLINK(VLOOKUP($B350,'Online Database'!$A:$J,9,FALSE),"Open Page"),IFERROR(HYPERLINK(VLOOKUP($B350,'Manual Database'!$A:$J,9,FALSE),"Open Page"),""))</f>
        <v/>
      </c>
      <c r="Q350" s="74" t="str">
        <f>IFERROR(HYPERLINK(VLOOKUP($B350,'Online Database'!$A:$J,10,FALSE),"Download"),IFERROR(HYPERLINK(VLOOKUP($B350,'Manual Database'!$A:$J,10,FALSE),"Download"),""))</f>
        <v/>
      </c>
      <c r="R350" s="90"/>
    </row>
    <row r="351" spans="1:18" ht="22.05" customHeight="1">
      <c r="A351" s="74" t="str">
        <f>IF(C351="","",COUNTIF($C$2:C351,"&lt;&gt;"))</f>
        <v/>
      </c>
      <c r="B351" s="74"/>
      <c r="C351" s="74" t="str">
        <f>IFERROR(VLOOKUP($B351,'Hack Database'!$A:$J,2,FALSE),"")</f>
        <v/>
      </c>
      <c r="D351" s="74" t="str">
        <f>IFERROR(VLOOKUP($B351,'Hack Database'!$A:$J,3,FALSE),"")</f>
        <v/>
      </c>
      <c r="E351" s="74" t="str">
        <f>IFERROR(VLOOKUP($B351,'Hack Database'!$A:$J,4,FALSE),"")</f>
        <v/>
      </c>
      <c r="F351" s="74" t="str">
        <f>IFERROR(VLOOKUP($B351,'Hack Database'!$A:$J,5,FALSE),"")</f>
        <v/>
      </c>
      <c r="G351" s="74" t="str">
        <f>IFERROR(VLOOKUP($B351,'Hack Database'!$A:$J,6,FALSE),"")</f>
        <v/>
      </c>
      <c r="H351" s="81"/>
      <c r="I351" s="81"/>
      <c r="J351" s="74"/>
      <c r="K351" s="74" t="str">
        <f t="shared" si="5"/>
        <v/>
      </c>
      <c r="L351" s="74"/>
      <c r="M351" s="84"/>
      <c r="N351" s="84"/>
      <c r="O351" s="84"/>
      <c r="P351" s="74" t="str">
        <f>IFERROR(HYPERLINK(VLOOKUP($B351,'Online Database'!$A:$J,9,FALSE),"Open Page"),IFERROR(HYPERLINK(VLOOKUP($B351,'Manual Database'!$A:$J,9,FALSE),"Open Page"),""))</f>
        <v/>
      </c>
      <c r="Q351" s="74" t="str">
        <f>IFERROR(HYPERLINK(VLOOKUP($B351,'Online Database'!$A:$J,10,FALSE),"Download"),IFERROR(HYPERLINK(VLOOKUP($B351,'Manual Database'!$A:$J,10,FALSE),"Download"),""))</f>
        <v/>
      </c>
      <c r="R351" s="90"/>
    </row>
    <row r="352" spans="1:18" ht="22.05" customHeight="1">
      <c r="A352" s="74" t="str">
        <f>IF(C352="","",COUNTIF($C$2:C352,"&lt;&gt;"))</f>
        <v/>
      </c>
      <c r="B352" s="74"/>
      <c r="C352" s="74" t="str">
        <f>IFERROR(VLOOKUP($B352,'Hack Database'!$A:$J,2,FALSE),"")</f>
        <v/>
      </c>
      <c r="D352" s="74" t="str">
        <f>IFERROR(VLOOKUP($B352,'Hack Database'!$A:$J,3,FALSE),"")</f>
        <v/>
      </c>
      <c r="E352" s="74" t="str">
        <f>IFERROR(VLOOKUP($B352,'Hack Database'!$A:$J,4,FALSE),"")</f>
        <v/>
      </c>
      <c r="F352" s="74" t="str">
        <f>IFERROR(VLOOKUP($B352,'Hack Database'!$A:$J,5,FALSE),"")</f>
        <v/>
      </c>
      <c r="G352" s="74" t="str">
        <f>IFERROR(VLOOKUP($B352,'Hack Database'!$A:$J,6,FALSE),"")</f>
        <v/>
      </c>
      <c r="H352" s="81"/>
      <c r="I352" s="81"/>
      <c r="J352" s="74"/>
      <c r="K352" s="74" t="str">
        <f t="shared" si="5"/>
        <v/>
      </c>
      <c r="L352" s="74"/>
      <c r="M352" s="84"/>
      <c r="N352" s="84"/>
      <c r="O352" s="84"/>
      <c r="P352" s="74" t="str">
        <f>IFERROR(HYPERLINK(VLOOKUP($B352,'Online Database'!$A:$J,9,FALSE),"Open Page"),IFERROR(HYPERLINK(VLOOKUP($B352,'Manual Database'!$A:$J,9,FALSE),"Open Page"),""))</f>
        <v/>
      </c>
      <c r="Q352" s="74" t="str">
        <f>IFERROR(HYPERLINK(VLOOKUP($B352,'Online Database'!$A:$J,10,FALSE),"Download"),IFERROR(HYPERLINK(VLOOKUP($B352,'Manual Database'!$A:$J,10,FALSE),"Download"),""))</f>
        <v/>
      </c>
      <c r="R352" s="90"/>
    </row>
    <row r="353" spans="1:18" ht="22.05" customHeight="1">
      <c r="A353" s="74" t="str">
        <f>IF(C353="","",COUNTIF($C$2:C353,"&lt;&gt;"))</f>
        <v/>
      </c>
      <c r="B353" s="74"/>
      <c r="C353" s="74" t="str">
        <f>IFERROR(VLOOKUP($B353,'Hack Database'!$A:$J,2,FALSE),"")</f>
        <v/>
      </c>
      <c r="D353" s="74" t="str">
        <f>IFERROR(VLOOKUP($B353,'Hack Database'!$A:$J,3,FALSE),"")</f>
        <v/>
      </c>
      <c r="E353" s="74" t="str">
        <f>IFERROR(VLOOKUP($B353,'Hack Database'!$A:$J,4,FALSE),"")</f>
        <v/>
      </c>
      <c r="F353" s="74" t="str">
        <f>IFERROR(VLOOKUP($B353,'Hack Database'!$A:$J,5,FALSE),"")</f>
        <v/>
      </c>
      <c r="G353" s="74" t="str">
        <f>IFERROR(VLOOKUP($B353,'Hack Database'!$A:$J,6,FALSE),"")</f>
        <v/>
      </c>
      <c r="H353" s="81"/>
      <c r="I353" s="81"/>
      <c r="J353" s="74"/>
      <c r="K353" s="74" t="str">
        <f t="shared" si="5"/>
        <v/>
      </c>
      <c r="L353" s="74"/>
      <c r="M353" s="84"/>
      <c r="N353" s="84"/>
      <c r="O353" s="84"/>
      <c r="P353" s="74" t="str">
        <f>IFERROR(HYPERLINK(VLOOKUP($B353,'Online Database'!$A:$J,9,FALSE),"Open Page"),IFERROR(HYPERLINK(VLOOKUP($B353,'Manual Database'!$A:$J,9,FALSE),"Open Page"),""))</f>
        <v/>
      </c>
      <c r="Q353" s="74" t="str">
        <f>IFERROR(HYPERLINK(VLOOKUP($B353,'Online Database'!$A:$J,10,FALSE),"Download"),IFERROR(HYPERLINK(VLOOKUP($B353,'Manual Database'!$A:$J,10,FALSE),"Download"),""))</f>
        <v/>
      </c>
      <c r="R353" s="90"/>
    </row>
    <row r="354" spans="1:18" ht="22.05" customHeight="1">
      <c r="A354" s="74" t="str">
        <f>IF(C354="","",COUNTIF($C$2:C354,"&lt;&gt;"))</f>
        <v/>
      </c>
      <c r="B354" s="74"/>
      <c r="C354" s="74" t="str">
        <f>IFERROR(VLOOKUP($B354,'Hack Database'!$A:$J,2,FALSE),"")</f>
        <v/>
      </c>
      <c r="D354" s="74" t="str">
        <f>IFERROR(VLOOKUP($B354,'Hack Database'!$A:$J,3,FALSE),"")</f>
        <v/>
      </c>
      <c r="E354" s="74" t="str">
        <f>IFERROR(VLOOKUP($B354,'Hack Database'!$A:$J,4,FALSE),"")</f>
        <v/>
      </c>
      <c r="F354" s="74" t="str">
        <f>IFERROR(VLOOKUP($B354,'Hack Database'!$A:$J,5,FALSE),"")</f>
        <v/>
      </c>
      <c r="G354" s="74" t="str">
        <f>IFERROR(VLOOKUP($B354,'Hack Database'!$A:$J,6,FALSE),"")</f>
        <v/>
      </c>
      <c r="H354" s="81"/>
      <c r="I354" s="81"/>
      <c r="J354" s="74"/>
      <c r="K354" s="74" t="str">
        <f t="shared" si="5"/>
        <v/>
      </c>
      <c r="L354" s="74"/>
      <c r="M354" s="84"/>
      <c r="N354" s="84"/>
      <c r="O354" s="84"/>
      <c r="P354" s="74" t="str">
        <f>IFERROR(HYPERLINK(VLOOKUP($B354,'Online Database'!$A:$J,9,FALSE),"Open Page"),IFERROR(HYPERLINK(VLOOKUP($B354,'Manual Database'!$A:$J,9,FALSE),"Open Page"),""))</f>
        <v/>
      </c>
      <c r="Q354" s="74" t="str">
        <f>IFERROR(HYPERLINK(VLOOKUP($B354,'Online Database'!$A:$J,10,FALSE),"Download"),IFERROR(HYPERLINK(VLOOKUP($B354,'Manual Database'!$A:$J,10,FALSE),"Download"),""))</f>
        <v/>
      </c>
      <c r="R354" s="90"/>
    </row>
    <row r="355" spans="1:18" ht="22.05" customHeight="1">
      <c r="A355" s="74" t="str">
        <f>IF(C355="","",COUNTIF($C$2:C355,"&lt;&gt;"))</f>
        <v/>
      </c>
      <c r="B355" s="74"/>
      <c r="C355" s="74" t="str">
        <f>IFERROR(VLOOKUP($B355,'Hack Database'!$A:$J,2,FALSE),"")</f>
        <v/>
      </c>
      <c r="D355" s="74" t="str">
        <f>IFERROR(VLOOKUP($B355,'Hack Database'!$A:$J,3,FALSE),"")</f>
        <v/>
      </c>
      <c r="E355" s="74" t="str">
        <f>IFERROR(VLOOKUP($B355,'Hack Database'!$A:$J,4,FALSE),"")</f>
        <v/>
      </c>
      <c r="F355" s="74" t="str">
        <f>IFERROR(VLOOKUP($B355,'Hack Database'!$A:$J,5,FALSE),"")</f>
        <v/>
      </c>
      <c r="G355" s="74" t="str">
        <f>IFERROR(VLOOKUP($B355,'Hack Database'!$A:$J,6,FALSE),"")</f>
        <v/>
      </c>
      <c r="H355" s="81"/>
      <c r="I355" s="81"/>
      <c r="J355" s="74"/>
      <c r="K355" s="74" t="str">
        <f t="shared" si="5"/>
        <v/>
      </c>
      <c r="L355" s="74"/>
      <c r="M355" s="84"/>
      <c r="N355" s="84"/>
      <c r="O355" s="84"/>
      <c r="P355" s="74" t="str">
        <f>IFERROR(HYPERLINK(VLOOKUP($B355,'Online Database'!$A:$J,9,FALSE),"Open Page"),IFERROR(HYPERLINK(VLOOKUP($B355,'Manual Database'!$A:$J,9,FALSE),"Open Page"),""))</f>
        <v/>
      </c>
      <c r="Q355" s="74" t="str">
        <f>IFERROR(HYPERLINK(VLOOKUP($B355,'Online Database'!$A:$J,10,FALSE),"Download"),IFERROR(HYPERLINK(VLOOKUP($B355,'Manual Database'!$A:$J,10,FALSE),"Download"),""))</f>
        <v/>
      </c>
      <c r="R355" s="90"/>
    </row>
    <row r="356" spans="1:18" ht="22.05" customHeight="1">
      <c r="A356" s="74" t="str">
        <f>IF(C356="","",COUNTIF($C$2:C356,"&lt;&gt;"))</f>
        <v/>
      </c>
      <c r="B356" s="74"/>
      <c r="C356" s="74" t="str">
        <f>IFERROR(VLOOKUP($B356,'Hack Database'!$A:$J,2,FALSE),"")</f>
        <v/>
      </c>
      <c r="D356" s="74" t="str">
        <f>IFERROR(VLOOKUP($B356,'Hack Database'!$A:$J,3,FALSE),"")</f>
        <v/>
      </c>
      <c r="E356" s="74" t="str">
        <f>IFERROR(VLOOKUP($B356,'Hack Database'!$A:$J,4,FALSE),"")</f>
        <v/>
      </c>
      <c r="F356" s="74" t="str">
        <f>IFERROR(VLOOKUP($B356,'Hack Database'!$A:$J,5,FALSE),"")</f>
        <v/>
      </c>
      <c r="G356" s="74" t="str">
        <f>IFERROR(VLOOKUP($B356,'Hack Database'!$A:$J,6,FALSE),"")</f>
        <v/>
      </c>
      <c r="H356" s="81"/>
      <c r="I356" s="81"/>
      <c r="J356" s="74"/>
      <c r="K356" s="74" t="str">
        <f t="shared" si="5"/>
        <v/>
      </c>
      <c r="L356" s="74"/>
      <c r="M356" s="84"/>
      <c r="N356" s="84"/>
      <c r="O356" s="84"/>
      <c r="P356" s="74" t="str">
        <f>IFERROR(HYPERLINK(VLOOKUP($B356,'Online Database'!$A:$J,9,FALSE),"Open Page"),IFERROR(HYPERLINK(VLOOKUP($B356,'Manual Database'!$A:$J,9,FALSE),"Open Page"),""))</f>
        <v/>
      </c>
      <c r="Q356" s="74" t="str">
        <f>IFERROR(HYPERLINK(VLOOKUP($B356,'Online Database'!$A:$J,10,FALSE),"Download"),IFERROR(HYPERLINK(VLOOKUP($B356,'Manual Database'!$A:$J,10,FALSE),"Download"),""))</f>
        <v/>
      </c>
      <c r="R356" s="90"/>
    </row>
    <row r="357" spans="1:18" ht="22.05" customHeight="1">
      <c r="A357" s="74" t="str">
        <f>IF(C357="","",COUNTIF($C$2:C357,"&lt;&gt;"))</f>
        <v/>
      </c>
      <c r="B357" s="74"/>
      <c r="C357" s="74" t="str">
        <f>IFERROR(VLOOKUP($B357,'Hack Database'!$A:$J,2,FALSE),"")</f>
        <v/>
      </c>
      <c r="D357" s="74" t="str">
        <f>IFERROR(VLOOKUP($B357,'Hack Database'!$A:$J,3,FALSE),"")</f>
        <v/>
      </c>
      <c r="E357" s="74" t="str">
        <f>IFERROR(VLOOKUP($B357,'Hack Database'!$A:$J,4,FALSE),"")</f>
        <v/>
      </c>
      <c r="F357" s="74" t="str">
        <f>IFERROR(VLOOKUP($B357,'Hack Database'!$A:$J,5,FALSE),"")</f>
        <v/>
      </c>
      <c r="G357" s="74" t="str">
        <f>IFERROR(VLOOKUP($B357,'Hack Database'!$A:$J,6,FALSE),"")</f>
        <v/>
      </c>
      <c r="H357" s="81"/>
      <c r="I357" s="81"/>
      <c r="J357" s="74"/>
      <c r="K357" s="74" t="str">
        <f t="shared" si="5"/>
        <v/>
      </c>
      <c r="L357" s="74"/>
      <c r="M357" s="84"/>
      <c r="N357" s="84"/>
      <c r="O357" s="84"/>
      <c r="P357" s="74" t="str">
        <f>IFERROR(HYPERLINK(VLOOKUP($B357,'Online Database'!$A:$J,9,FALSE),"Open Page"),IFERROR(HYPERLINK(VLOOKUP($B357,'Manual Database'!$A:$J,9,FALSE),"Open Page"),""))</f>
        <v/>
      </c>
      <c r="Q357" s="74" t="str">
        <f>IFERROR(HYPERLINK(VLOOKUP($B357,'Online Database'!$A:$J,10,FALSE),"Download"),IFERROR(HYPERLINK(VLOOKUP($B357,'Manual Database'!$A:$J,10,FALSE),"Download"),""))</f>
        <v/>
      </c>
      <c r="R357" s="90"/>
    </row>
    <row r="358" spans="1:18" ht="22.05" customHeight="1">
      <c r="A358" s="74" t="str">
        <f>IF(C358="","",COUNTIF($C$2:C358,"&lt;&gt;"))</f>
        <v/>
      </c>
      <c r="B358" s="74"/>
      <c r="C358" s="74" t="str">
        <f>IFERROR(VLOOKUP($B358,'Hack Database'!$A:$J,2,FALSE),"")</f>
        <v/>
      </c>
      <c r="D358" s="74" t="str">
        <f>IFERROR(VLOOKUP($B358,'Hack Database'!$A:$J,3,FALSE),"")</f>
        <v/>
      </c>
      <c r="E358" s="74" t="str">
        <f>IFERROR(VLOOKUP($B358,'Hack Database'!$A:$J,4,FALSE),"")</f>
        <v/>
      </c>
      <c r="F358" s="74" t="str">
        <f>IFERROR(VLOOKUP($B358,'Hack Database'!$A:$J,5,FALSE),"")</f>
        <v/>
      </c>
      <c r="G358" s="74" t="str">
        <f>IFERROR(VLOOKUP($B358,'Hack Database'!$A:$J,6,FALSE),"")</f>
        <v/>
      </c>
      <c r="H358" s="81"/>
      <c r="I358" s="81"/>
      <c r="J358" s="74"/>
      <c r="K358" s="74" t="str">
        <f t="shared" si="5"/>
        <v/>
      </c>
      <c r="L358" s="74"/>
      <c r="M358" s="84"/>
      <c r="N358" s="84"/>
      <c r="O358" s="84"/>
      <c r="P358" s="74" t="str">
        <f>IFERROR(HYPERLINK(VLOOKUP($B358,'Online Database'!$A:$J,9,FALSE),"Open Page"),IFERROR(HYPERLINK(VLOOKUP($B358,'Manual Database'!$A:$J,9,FALSE),"Open Page"),""))</f>
        <v/>
      </c>
      <c r="Q358" s="74" t="str">
        <f>IFERROR(HYPERLINK(VLOOKUP($B358,'Online Database'!$A:$J,10,FALSE),"Download"),IFERROR(HYPERLINK(VLOOKUP($B358,'Manual Database'!$A:$J,10,FALSE),"Download"),""))</f>
        <v/>
      </c>
      <c r="R358" s="90"/>
    </row>
    <row r="359" spans="1:18" ht="22.05" customHeight="1">
      <c r="A359" s="74" t="str">
        <f>IF(C359="","",COUNTIF($C$2:C359,"&lt;&gt;"))</f>
        <v/>
      </c>
      <c r="B359" s="74"/>
      <c r="C359" s="74" t="str">
        <f>IFERROR(VLOOKUP($B359,'Hack Database'!$A:$J,2,FALSE),"")</f>
        <v/>
      </c>
      <c r="D359" s="74" t="str">
        <f>IFERROR(VLOOKUP($B359,'Hack Database'!$A:$J,3,FALSE),"")</f>
        <v/>
      </c>
      <c r="E359" s="74" t="str">
        <f>IFERROR(VLOOKUP($B359,'Hack Database'!$A:$J,4,FALSE),"")</f>
        <v/>
      </c>
      <c r="F359" s="74" t="str">
        <f>IFERROR(VLOOKUP($B359,'Hack Database'!$A:$J,5,FALSE),"")</f>
        <v/>
      </c>
      <c r="G359" s="74" t="str">
        <f>IFERROR(VLOOKUP($B359,'Hack Database'!$A:$J,6,FALSE),"")</f>
        <v/>
      </c>
      <c r="H359" s="81"/>
      <c r="I359" s="81"/>
      <c r="J359" s="74"/>
      <c r="K359" s="74" t="str">
        <f t="shared" si="5"/>
        <v/>
      </c>
      <c r="L359" s="74"/>
      <c r="M359" s="84"/>
      <c r="N359" s="84"/>
      <c r="O359" s="84"/>
      <c r="P359" s="74" t="str">
        <f>IFERROR(HYPERLINK(VLOOKUP($B359,'Online Database'!$A:$J,9,FALSE),"Open Page"),IFERROR(HYPERLINK(VLOOKUP($B359,'Manual Database'!$A:$J,9,FALSE),"Open Page"),""))</f>
        <v/>
      </c>
      <c r="Q359" s="74" t="str">
        <f>IFERROR(HYPERLINK(VLOOKUP($B359,'Online Database'!$A:$J,10,FALSE),"Download"),IFERROR(HYPERLINK(VLOOKUP($B359,'Manual Database'!$A:$J,10,FALSE),"Download"),""))</f>
        <v/>
      </c>
      <c r="R359" s="90"/>
    </row>
    <row r="360" spans="1:18" ht="22.05" customHeight="1">
      <c r="A360" s="74" t="str">
        <f>IF(C360="","",COUNTIF($C$2:C360,"&lt;&gt;"))</f>
        <v/>
      </c>
      <c r="B360" s="74"/>
      <c r="C360" s="74" t="str">
        <f>IFERROR(VLOOKUP($B360,'Hack Database'!$A:$J,2,FALSE),"")</f>
        <v/>
      </c>
      <c r="D360" s="74" t="str">
        <f>IFERROR(VLOOKUP($B360,'Hack Database'!$A:$J,3,FALSE),"")</f>
        <v/>
      </c>
      <c r="E360" s="74" t="str">
        <f>IFERROR(VLOOKUP($B360,'Hack Database'!$A:$J,4,FALSE),"")</f>
        <v/>
      </c>
      <c r="F360" s="74" t="str">
        <f>IFERROR(VLOOKUP($B360,'Hack Database'!$A:$J,5,FALSE),"")</f>
        <v/>
      </c>
      <c r="G360" s="74" t="str">
        <f>IFERROR(VLOOKUP($B360,'Hack Database'!$A:$J,6,FALSE),"")</f>
        <v/>
      </c>
      <c r="H360" s="81"/>
      <c r="I360" s="81"/>
      <c r="J360" s="74"/>
      <c r="K360" s="74" t="str">
        <f t="shared" si="5"/>
        <v/>
      </c>
      <c r="L360" s="74"/>
      <c r="M360" s="84"/>
      <c r="N360" s="84"/>
      <c r="O360" s="84"/>
      <c r="P360" s="74" t="str">
        <f>IFERROR(HYPERLINK(VLOOKUP($B360,'Online Database'!$A:$J,9,FALSE),"Open Page"),IFERROR(HYPERLINK(VLOOKUP($B360,'Manual Database'!$A:$J,9,FALSE),"Open Page"),""))</f>
        <v/>
      </c>
      <c r="Q360" s="74" t="str">
        <f>IFERROR(HYPERLINK(VLOOKUP($B360,'Online Database'!$A:$J,10,FALSE),"Download"),IFERROR(HYPERLINK(VLOOKUP($B360,'Manual Database'!$A:$J,10,FALSE),"Download"),""))</f>
        <v/>
      </c>
      <c r="R360" s="90"/>
    </row>
    <row r="361" spans="1:18" ht="22.05" customHeight="1">
      <c r="A361" s="74" t="str">
        <f>IF(C361="","",COUNTIF($C$2:C361,"&lt;&gt;"))</f>
        <v/>
      </c>
      <c r="B361" s="74"/>
      <c r="C361" s="74" t="str">
        <f>IFERROR(VLOOKUP($B361,'Hack Database'!$A:$J,2,FALSE),"")</f>
        <v/>
      </c>
      <c r="D361" s="74" t="str">
        <f>IFERROR(VLOOKUP($B361,'Hack Database'!$A:$J,3,FALSE),"")</f>
        <v/>
      </c>
      <c r="E361" s="74" t="str">
        <f>IFERROR(VLOOKUP($B361,'Hack Database'!$A:$J,4,FALSE),"")</f>
        <v/>
      </c>
      <c r="F361" s="74" t="str">
        <f>IFERROR(VLOOKUP($B361,'Hack Database'!$A:$J,5,FALSE),"")</f>
        <v/>
      </c>
      <c r="G361" s="74" t="str">
        <f>IFERROR(VLOOKUP($B361,'Hack Database'!$A:$J,6,FALSE),"")</f>
        <v/>
      </c>
      <c r="H361" s="81"/>
      <c r="I361" s="81"/>
      <c r="J361" s="74"/>
      <c r="K361" s="74" t="str">
        <f t="shared" si="5"/>
        <v/>
      </c>
      <c r="L361" s="74"/>
      <c r="M361" s="84"/>
      <c r="N361" s="84"/>
      <c r="O361" s="84"/>
      <c r="P361" s="74" t="str">
        <f>IFERROR(HYPERLINK(VLOOKUP($B361,'Online Database'!$A:$J,9,FALSE),"Open Page"),IFERROR(HYPERLINK(VLOOKUP($B361,'Manual Database'!$A:$J,9,FALSE),"Open Page"),""))</f>
        <v/>
      </c>
      <c r="Q361" s="74" t="str">
        <f>IFERROR(HYPERLINK(VLOOKUP($B361,'Online Database'!$A:$J,10,FALSE),"Download"),IFERROR(HYPERLINK(VLOOKUP($B361,'Manual Database'!$A:$J,10,FALSE),"Download"),""))</f>
        <v/>
      </c>
      <c r="R361" s="90"/>
    </row>
    <row r="362" spans="1:18" ht="22.05" customHeight="1">
      <c r="A362" s="74" t="str">
        <f>IF(C362="","",COUNTIF($C$2:C362,"&lt;&gt;"))</f>
        <v/>
      </c>
      <c r="B362" s="74"/>
      <c r="C362" s="74" t="str">
        <f>IFERROR(VLOOKUP($B362,'Hack Database'!$A:$J,2,FALSE),"")</f>
        <v/>
      </c>
      <c r="D362" s="74" t="str">
        <f>IFERROR(VLOOKUP($B362,'Hack Database'!$A:$J,3,FALSE),"")</f>
        <v/>
      </c>
      <c r="E362" s="74" t="str">
        <f>IFERROR(VLOOKUP($B362,'Hack Database'!$A:$J,4,FALSE),"")</f>
        <v/>
      </c>
      <c r="F362" s="74" t="str">
        <f>IFERROR(VLOOKUP($B362,'Hack Database'!$A:$J,5,FALSE),"")</f>
        <v/>
      </c>
      <c r="G362" s="74" t="str">
        <f>IFERROR(VLOOKUP($B362,'Hack Database'!$A:$J,6,FALSE),"")</f>
        <v/>
      </c>
      <c r="H362" s="81"/>
      <c r="I362" s="81"/>
      <c r="J362" s="74"/>
      <c r="K362" s="74" t="str">
        <f t="shared" si="5"/>
        <v/>
      </c>
      <c r="L362" s="74"/>
      <c r="M362" s="84"/>
      <c r="N362" s="84"/>
      <c r="O362" s="84"/>
      <c r="P362" s="74" t="str">
        <f>IFERROR(HYPERLINK(VLOOKUP($B362,'Online Database'!$A:$J,9,FALSE),"Open Page"),IFERROR(HYPERLINK(VLOOKUP($B362,'Manual Database'!$A:$J,9,FALSE),"Open Page"),""))</f>
        <v/>
      </c>
      <c r="Q362" s="74" t="str">
        <f>IFERROR(HYPERLINK(VLOOKUP($B362,'Online Database'!$A:$J,10,FALSE),"Download"),IFERROR(HYPERLINK(VLOOKUP($B362,'Manual Database'!$A:$J,10,FALSE),"Download"),""))</f>
        <v/>
      </c>
      <c r="R362" s="90"/>
    </row>
    <row r="363" spans="1:18" ht="22.05" customHeight="1">
      <c r="A363" s="74" t="str">
        <f>IF(C363="","",COUNTIF($C$2:C363,"&lt;&gt;"))</f>
        <v/>
      </c>
      <c r="B363" s="74"/>
      <c r="C363" s="74" t="str">
        <f>IFERROR(VLOOKUP($B363,'Hack Database'!$A:$J,2,FALSE),"")</f>
        <v/>
      </c>
      <c r="D363" s="74" t="str">
        <f>IFERROR(VLOOKUP($B363,'Hack Database'!$A:$J,3,FALSE),"")</f>
        <v/>
      </c>
      <c r="E363" s="74" t="str">
        <f>IFERROR(VLOOKUP($B363,'Hack Database'!$A:$J,4,FALSE),"")</f>
        <v/>
      </c>
      <c r="F363" s="74" t="str">
        <f>IFERROR(VLOOKUP($B363,'Hack Database'!$A:$J,5,FALSE),"")</f>
        <v/>
      </c>
      <c r="G363" s="74" t="str">
        <f>IFERROR(VLOOKUP($B363,'Hack Database'!$A:$J,6,FALSE),"")</f>
        <v/>
      </c>
      <c r="H363" s="81"/>
      <c r="I363" s="81"/>
      <c r="J363" s="74"/>
      <c r="K363" s="74" t="str">
        <f t="shared" si="5"/>
        <v/>
      </c>
      <c r="L363" s="74"/>
      <c r="M363" s="84"/>
      <c r="N363" s="84"/>
      <c r="O363" s="84"/>
      <c r="P363" s="74" t="str">
        <f>IFERROR(HYPERLINK(VLOOKUP($B363,'Online Database'!$A:$J,9,FALSE),"Open Page"),IFERROR(HYPERLINK(VLOOKUP($B363,'Manual Database'!$A:$J,9,FALSE),"Open Page"),""))</f>
        <v/>
      </c>
      <c r="Q363" s="74" t="str">
        <f>IFERROR(HYPERLINK(VLOOKUP($B363,'Online Database'!$A:$J,10,FALSE),"Download"),IFERROR(HYPERLINK(VLOOKUP($B363,'Manual Database'!$A:$J,10,FALSE),"Download"),""))</f>
        <v/>
      </c>
      <c r="R363" s="90"/>
    </row>
    <row r="364" spans="1:18" ht="22.05" customHeight="1">
      <c r="A364" s="74" t="str">
        <f>IF(C364="","",COUNTIF($C$2:C364,"&lt;&gt;"))</f>
        <v/>
      </c>
      <c r="B364" s="74"/>
      <c r="C364" s="74" t="str">
        <f>IFERROR(VLOOKUP($B364,'Hack Database'!$A:$J,2,FALSE),"")</f>
        <v/>
      </c>
      <c r="D364" s="74" t="str">
        <f>IFERROR(VLOOKUP($B364,'Hack Database'!$A:$J,3,FALSE),"")</f>
        <v/>
      </c>
      <c r="E364" s="74" t="str">
        <f>IFERROR(VLOOKUP($B364,'Hack Database'!$A:$J,4,FALSE),"")</f>
        <v/>
      </c>
      <c r="F364" s="74" t="str">
        <f>IFERROR(VLOOKUP($B364,'Hack Database'!$A:$J,5,FALSE),"")</f>
        <v/>
      </c>
      <c r="G364" s="74" t="str">
        <f>IFERROR(VLOOKUP($B364,'Hack Database'!$A:$J,6,FALSE),"")</f>
        <v/>
      </c>
      <c r="H364" s="81"/>
      <c r="I364" s="81"/>
      <c r="J364" s="74"/>
      <c r="K364" s="74" t="str">
        <f t="shared" si="5"/>
        <v/>
      </c>
      <c r="L364" s="74"/>
      <c r="M364" s="84"/>
      <c r="N364" s="84"/>
      <c r="O364" s="84"/>
      <c r="P364" s="74" t="str">
        <f>IFERROR(HYPERLINK(VLOOKUP($B364,'Online Database'!$A:$J,9,FALSE),"Open Page"),IFERROR(HYPERLINK(VLOOKUP($B364,'Manual Database'!$A:$J,9,FALSE),"Open Page"),""))</f>
        <v/>
      </c>
      <c r="Q364" s="74" t="str">
        <f>IFERROR(HYPERLINK(VLOOKUP($B364,'Online Database'!$A:$J,10,FALSE),"Download"),IFERROR(HYPERLINK(VLOOKUP($B364,'Manual Database'!$A:$J,10,FALSE),"Download"),""))</f>
        <v/>
      </c>
      <c r="R364" s="90"/>
    </row>
    <row r="365" spans="1:18" ht="22.05" customHeight="1">
      <c r="A365" s="74" t="str">
        <f>IF(C365="","",COUNTIF($C$2:C365,"&lt;&gt;"))</f>
        <v/>
      </c>
      <c r="B365" s="74"/>
      <c r="C365" s="74" t="str">
        <f>IFERROR(VLOOKUP($B365,'Hack Database'!$A:$J,2,FALSE),"")</f>
        <v/>
      </c>
      <c r="D365" s="74" t="str">
        <f>IFERROR(VLOOKUP($B365,'Hack Database'!$A:$J,3,FALSE),"")</f>
        <v/>
      </c>
      <c r="E365" s="74" t="str">
        <f>IFERROR(VLOOKUP($B365,'Hack Database'!$A:$J,4,FALSE),"")</f>
        <v/>
      </c>
      <c r="F365" s="74" t="str">
        <f>IFERROR(VLOOKUP($B365,'Hack Database'!$A:$J,5,FALSE),"")</f>
        <v/>
      </c>
      <c r="G365" s="74" t="str">
        <f>IFERROR(VLOOKUP($B365,'Hack Database'!$A:$J,6,FALSE),"")</f>
        <v/>
      </c>
      <c r="H365" s="81"/>
      <c r="I365" s="81"/>
      <c r="J365" s="74"/>
      <c r="K365" s="74" t="str">
        <f t="shared" si="5"/>
        <v/>
      </c>
      <c r="L365" s="74"/>
      <c r="M365" s="84"/>
      <c r="N365" s="84"/>
      <c r="O365" s="84"/>
      <c r="P365" s="74" t="str">
        <f>IFERROR(HYPERLINK(VLOOKUP($B365,'Online Database'!$A:$J,9,FALSE),"Open Page"),IFERROR(HYPERLINK(VLOOKUP($B365,'Manual Database'!$A:$J,9,FALSE),"Open Page"),""))</f>
        <v/>
      </c>
      <c r="Q365" s="74" t="str">
        <f>IFERROR(HYPERLINK(VLOOKUP($B365,'Online Database'!$A:$J,10,FALSE),"Download"),IFERROR(HYPERLINK(VLOOKUP($B365,'Manual Database'!$A:$J,10,FALSE),"Download"),""))</f>
        <v/>
      </c>
      <c r="R365" s="90"/>
    </row>
    <row r="366" spans="1:18" ht="22.05" customHeight="1">
      <c r="A366" s="74" t="str">
        <f>IF(C366="","",COUNTIF($C$2:C366,"&lt;&gt;"))</f>
        <v/>
      </c>
      <c r="B366" s="74"/>
      <c r="C366" s="74" t="str">
        <f>IFERROR(VLOOKUP($B366,'Hack Database'!$A:$J,2,FALSE),"")</f>
        <v/>
      </c>
      <c r="D366" s="74" t="str">
        <f>IFERROR(VLOOKUP($B366,'Hack Database'!$A:$J,3,FALSE),"")</f>
        <v/>
      </c>
      <c r="E366" s="74" t="str">
        <f>IFERROR(VLOOKUP($B366,'Hack Database'!$A:$J,4,FALSE),"")</f>
        <v/>
      </c>
      <c r="F366" s="74" t="str">
        <f>IFERROR(VLOOKUP($B366,'Hack Database'!$A:$J,5,FALSE),"")</f>
        <v/>
      </c>
      <c r="G366" s="74" t="str">
        <f>IFERROR(VLOOKUP($B366,'Hack Database'!$A:$J,6,FALSE),"")</f>
        <v/>
      </c>
      <c r="H366" s="81"/>
      <c r="I366" s="81"/>
      <c r="J366" s="74"/>
      <c r="K366" s="74" t="str">
        <f t="shared" si="5"/>
        <v/>
      </c>
      <c r="L366" s="74"/>
      <c r="M366" s="84"/>
      <c r="N366" s="84"/>
      <c r="O366" s="84"/>
      <c r="P366" s="74" t="str">
        <f>IFERROR(HYPERLINK(VLOOKUP($B366,'Online Database'!$A:$J,9,FALSE),"Open Page"),IFERROR(HYPERLINK(VLOOKUP($B366,'Manual Database'!$A:$J,9,FALSE),"Open Page"),""))</f>
        <v/>
      </c>
      <c r="Q366" s="74" t="str">
        <f>IFERROR(HYPERLINK(VLOOKUP($B366,'Online Database'!$A:$J,10,FALSE),"Download"),IFERROR(HYPERLINK(VLOOKUP($B366,'Manual Database'!$A:$J,10,FALSE),"Download"),""))</f>
        <v/>
      </c>
      <c r="R366" s="90"/>
    </row>
    <row r="367" spans="1:18" ht="22.05" customHeight="1">
      <c r="A367" s="74" t="str">
        <f>IF(C367="","",COUNTIF($C$2:C367,"&lt;&gt;"))</f>
        <v/>
      </c>
      <c r="B367" s="74"/>
      <c r="C367" s="74" t="str">
        <f>IFERROR(VLOOKUP($B367,'Hack Database'!$A:$J,2,FALSE),"")</f>
        <v/>
      </c>
      <c r="D367" s="74" t="str">
        <f>IFERROR(VLOOKUP($B367,'Hack Database'!$A:$J,3,FALSE),"")</f>
        <v/>
      </c>
      <c r="E367" s="74" t="str">
        <f>IFERROR(VLOOKUP($B367,'Hack Database'!$A:$J,4,FALSE),"")</f>
        <v/>
      </c>
      <c r="F367" s="74" t="str">
        <f>IFERROR(VLOOKUP($B367,'Hack Database'!$A:$J,5,FALSE),"")</f>
        <v/>
      </c>
      <c r="G367" s="74" t="str">
        <f>IFERROR(VLOOKUP($B367,'Hack Database'!$A:$J,6,FALSE),"")</f>
        <v/>
      </c>
      <c r="H367" s="81"/>
      <c r="I367" s="81"/>
      <c r="J367" s="74"/>
      <c r="K367" s="74" t="str">
        <f t="shared" si="5"/>
        <v/>
      </c>
      <c r="L367" s="74"/>
      <c r="M367" s="84"/>
      <c r="N367" s="84"/>
      <c r="O367" s="84"/>
      <c r="P367" s="74" t="str">
        <f>IFERROR(HYPERLINK(VLOOKUP($B367,'Online Database'!$A:$J,9,FALSE),"Open Page"),IFERROR(HYPERLINK(VLOOKUP($B367,'Manual Database'!$A:$J,9,FALSE),"Open Page"),""))</f>
        <v/>
      </c>
      <c r="Q367" s="74" t="str">
        <f>IFERROR(HYPERLINK(VLOOKUP($B367,'Online Database'!$A:$J,10,FALSE),"Download"),IFERROR(HYPERLINK(VLOOKUP($B367,'Manual Database'!$A:$J,10,FALSE),"Download"),""))</f>
        <v/>
      </c>
      <c r="R367" s="90"/>
    </row>
    <row r="368" spans="1:18" ht="22.05" customHeight="1">
      <c r="A368" s="74" t="str">
        <f>IF(C368="","",COUNTIF($C$2:C368,"&lt;&gt;"))</f>
        <v/>
      </c>
      <c r="B368" s="74"/>
      <c r="C368" s="74" t="str">
        <f>IFERROR(VLOOKUP($B368,'Hack Database'!$A:$J,2,FALSE),"")</f>
        <v/>
      </c>
      <c r="D368" s="74" t="str">
        <f>IFERROR(VLOOKUP($B368,'Hack Database'!$A:$J,3,FALSE),"")</f>
        <v/>
      </c>
      <c r="E368" s="74" t="str">
        <f>IFERROR(VLOOKUP($B368,'Hack Database'!$A:$J,4,FALSE),"")</f>
        <v/>
      </c>
      <c r="F368" s="74" t="str">
        <f>IFERROR(VLOOKUP($B368,'Hack Database'!$A:$J,5,FALSE),"")</f>
        <v/>
      </c>
      <c r="G368" s="74" t="str">
        <f>IFERROR(VLOOKUP($B368,'Hack Database'!$A:$J,6,FALSE),"")</f>
        <v/>
      </c>
      <c r="H368" s="81"/>
      <c r="I368" s="81"/>
      <c r="J368" s="74"/>
      <c r="K368" s="74" t="str">
        <f t="shared" si="5"/>
        <v/>
      </c>
      <c r="L368" s="74"/>
      <c r="M368" s="84"/>
      <c r="N368" s="84"/>
      <c r="O368" s="84"/>
      <c r="P368" s="74" t="str">
        <f>IFERROR(HYPERLINK(VLOOKUP($B368,'Online Database'!$A:$J,9,FALSE),"Open Page"),IFERROR(HYPERLINK(VLOOKUP($B368,'Manual Database'!$A:$J,9,FALSE),"Open Page"),""))</f>
        <v/>
      </c>
      <c r="Q368" s="74" t="str">
        <f>IFERROR(HYPERLINK(VLOOKUP($B368,'Online Database'!$A:$J,10,FALSE),"Download"),IFERROR(HYPERLINK(VLOOKUP($B368,'Manual Database'!$A:$J,10,FALSE),"Download"),""))</f>
        <v/>
      </c>
      <c r="R368" s="90"/>
    </row>
    <row r="369" spans="1:18" ht="22.05" customHeight="1">
      <c r="A369" s="74" t="str">
        <f>IF(C369="","",COUNTIF($C$2:C369,"&lt;&gt;"))</f>
        <v/>
      </c>
      <c r="B369" s="74"/>
      <c r="C369" s="74" t="str">
        <f>IFERROR(VLOOKUP($B369,'Hack Database'!$A:$J,2,FALSE),"")</f>
        <v/>
      </c>
      <c r="D369" s="74" t="str">
        <f>IFERROR(VLOOKUP($B369,'Hack Database'!$A:$J,3,FALSE),"")</f>
        <v/>
      </c>
      <c r="E369" s="74" t="str">
        <f>IFERROR(VLOOKUP($B369,'Hack Database'!$A:$J,4,FALSE),"")</f>
        <v/>
      </c>
      <c r="F369" s="74" t="str">
        <f>IFERROR(VLOOKUP($B369,'Hack Database'!$A:$J,5,FALSE),"")</f>
        <v/>
      </c>
      <c r="G369" s="74" t="str">
        <f>IFERROR(VLOOKUP($B369,'Hack Database'!$A:$J,6,FALSE),"")</f>
        <v/>
      </c>
      <c r="H369" s="81"/>
      <c r="I369" s="81"/>
      <c r="J369" s="74"/>
      <c r="K369" s="74" t="str">
        <f t="shared" si="5"/>
        <v/>
      </c>
      <c r="L369" s="74"/>
      <c r="M369" s="84"/>
      <c r="N369" s="84"/>
      <c r="O369" s="84"/>
      <c r="P369" s="74" t="str">
        <f>IFERROR(HYPERLINK(VLOOKUP($B369,'Online Database'!$A:$J,9,FALSE),"Open Page"),IFERROR(HYPERLINK(VLOOKUP($B369,'Manual Database'!$A:$J,9,FALSE),"Open Page"),""))</f>
        <v/>
      </c>
      <c r="Q369" s="74" t="str">
        <f>IFERROR(HYPERLINK(VLOOKUP($B369,'Online Database'!$A:$J,10,FALSE),"Download"),IFERROR(HYPERLINK(VLOOKUP($B369,'Manual Database'!$A:$J,10,FALSE),"Download"),""))</f>
        <v/>
      </c>
      <c r="R369" s="90"/>
    </row>
    <row r="370" spans="1:18" ht="22.05" customHeight="1">
      <c r="A370" s="74" t="str">
        <f>IF(C370="","",COUNTIF($C$2:C370,"&lt;&gt;"))</f>
        <v/>
      </c>
      <c r="B370" s="74"/>
      <c r="C370" s="74" t="str">
        <f>IFERROR(VLOOKUP($B370,'Hack Database'!$A:$J,2,FALSE),"")</f>
        <v/>
      </c>
      <c r="D370" s="74" t="str">
        <f>IFERROR(VLOOKUP($B370,'Hack Database'!$A:$J,3,FALSE),"")</f>
        <v/>
      </c>
      <c r="E370" s="74" t="str">
        <f>IFERROR(VLOOKUP($B370,'Hack Database'!$A:$J,4,FALSE),"")</f>
        <v/>
      </c>
      <c r="F370" s="74" t="str">
        <f>IFERROR(VLOOKUP($B370,'Hack Database'!$A:$J,5,FALSE),"")</f>
        <v/>
      </c>
      <c r="G370" s="74" t="str">
        <f>IFERROR(VLOOKUP($B370,'Hack Database'!$A:$J,6,FALSE),"")</f>
        <v/>
      </c>
      <c r="H370" s="81"/>
      <c r="I370" s="81"/>
      <c r="J370" s="74"/>
      <c r="K370" s="74" t="str">
        <f t="shared" si="5"/>
        <v/>
      </c>
      <c r="L370" s="74"/>
      <c r="M370" s="84"/>
      <c r="N370" s="84"/>
      <c r="O370" s="84"/>
      <c r="P370" s="74" t="str">
        <f>IFERROR(HYPERLINK(VLOOKUP($B370,'Online Database'!$A:$J,9,FALSE),"Open Page"),IFERROR(HYPERLINK(VLOOKUP($B370,'Manual Database'!$A:$J,9,FALSE),"Open Page"),""))</f>
        <v/>
      </c>
      <c r="Q370" s="74" t="str">
        <f>IFERROR(HYPERLINK(VLOOKUP($B370,'Online Database'!$A:$J,10,FALSE),"Download"),IFERROR(HYPERLINK(VLOOKUP($B370,'Manual Database'!$A:$J,10,FALSE),"Download"),""))</f>
        <v/>
      </c>
      <c r="R370" s="90"/>
    </row>
    <row r="371" spans="1:18" ht="22.05" customHeight="1">
      <c r="A371" s="74" t="str">
        <f>IF(C371="","",COUNTIF($C$2:C371,"&lt;&gt;"))</f>
        <v/>
      </c>
      <c r="B371" s="74"/>
      <c r="C371" s="74" t="str">
        <f>IFERROR(VLOOKUP($B371,'Hack Database'!$A:$J,2,FALSE),"")</f>
        <v/>
      </c>
      <c r="D371" s="74" t="str">
        <f>IFERROR(VLOOKUP($B371,'Hack Database'!$A:$J,3,FALSE),"")</f>
        <v/>
      </c>
      <c r="E371" s="74" t="str">
        <f>IFERROR(VLOOKUP($B371,'Hack Database'!$A:$J,4,FALSE),"")</f>
        <v/>
      </c>
      <c r="F371" s="74" t="str">
        <f>IFERROR(VLOOKUP($B371,'Hack Database'!$A:$J,5,FALSE),"")</f>
        <v/>
      </c>
      <c r="G371" s="74" t="str">
        <f>IFERROR(VLOOKUP($B371,'Hack Database'!$A:$J,6,FALSE),"")</f>
        <v/>
      </c>
      <c r="H371" s="81"/>
      <c r="I371" s="81"/>
      <c r="J371" s="74"/>
      <c r="K371" s="74" t="str">
        <f t="shared" si="5"/>
        <v/>
      </c>
      <c r="L371" s="74"/>
      <c r="M371" s="84"/>
      <c r="N371" s="84"/>
      <c r="O371" s="84"/>
      <c r="P371" s="74" t="str">
        <f>IFERROR(HYPERLINK(VLOOKUP($B371,'Online Database'!$A:$J,9,FALSE),"Open Page"),IFERROR(HYPERLINK(VLOOKUP($B371,'Manual Database'!$A:$J,9,FALSE),"Open Page"),""))</f>
        <v/>
      </c>
      <c r="Q371" s="74" t="str">
        <f>IFERROR(HYPERLINK(VLOOKUP($B371,'Online Database'!$A:$J,10,FALSE),"Download"),IFERROR(HYPERLINK(VLOOKUP($B371,'Manual Database'!$A:$J,10,FALSE),"Download"),""))</f>
        <v/>
      </c>
      <c r="R371" s="90"/>
    </row>
    <row r="372" spans="1:18" ht="22.05" customHeight="1">
      <c r="A372" s="74" t="str">
        <f>IF(C372="","",COUNTIF($C$2:C372,"&lt;&gt;"))</f>
        <v/>
      </c>
      <c r="B372" s="74"/>
      <c r="C372" s="74" t="str">
        <f>IFERROR(VLOOKUP($B372,'Hack Database'!$A:$J,2,FALSE),"")</f>
        <v/>
      </c>
      <c r="D372" s="74" t="str">
        <f>IFERROR(VLOOKUP($B372,'Hack Database'!$A:$J,3,FALSE),"")</f>
        <v/>
      </c>
      <c r="E372" s="74" t="str">
        <f>IFERROR(VLOOKUP($B372,'Hack Database'!$A:$J,4,FALSE),"")</f>
        <v/>
      </c>
      <c r="F372" s="74" t="str">
        <f>IFERROR(VLOOKUP($B372,'Hack Database'!$A:$J,5,FALSE),"")</f>
        <v/>
      </c>
      <c r="G372" s="74" t="str">
        <f>IFERROR(VLOOKUP($B372,'Hack Database'!$A:$J,6,FALSE),"")</f>
        <v/>
      </c>
      <c r="H372" s="81"/>
      <c r="I372" s="81"/>
      <c r="J372" s="74"/>
      <c r="K372" s="74" t="str">
        <f t="shared" si="5"/>
        <v/>
      </c>
      <c r="L372" s="74"/>
      <c r="M372" s="84"/>
      <c r="N372" s="84"/>
      <c r="O372" s="84"/>
      <c r="P372" s="74" t="str">
        <f>IFERROR(HYPERLINK(VLOOKUP($B372,'Online Database'!$A:$J,9,FALSE),"Open Page"),IFERROR(HYPERLINK(VLOOKUP($B372,'Manual Database'!$A:$J,9,FALSE),"Open Page"),""))</f>
        <v/>
      </c>
      <c r="Q372" s="74" t="str">
        <f>IFERROR(HYPERLINK(VLOOKUP($B372,'Online Database'!$A:$J,10,FALSE),"Download"),IFERROR(HYPERLINK(VLOOKUP($B372,'Manual Database'!$A:$J,10,FALSE),"Download"),""))</f>
        <v/>
      </c>
      <c r="R372" s="90"/>
    </row>
    <row r="373" spans="1:18" ht="22.05" customHeight="1">
      <c r="A373" s="74" t="str">
        <f>IF(C373="","",COUNTIF($C$2:C373,"&lt;&gt;"))</f>
        <v/>
      </c>
      <c r="B373" s="74"/>
      <c r="C373" s="74" t="str">
        <f>IFERROR(VLOOKUP($B373,'Hack Database'!$A:$J,2,FALSE),"")</f>
        <v/>
      </c>
      <c r="D373" s="74" t="str">
        <f>IFERROR(VLOOKUP($B373,'Hack Database'!$A:$J,3,FALSE),"")</f>
        <v/>
      </c>
      <c r="E373" s="74" t="str">
        <f>IFERROR(VLOOKUP($B373,'Hack Database'!$A:$J,4,FALSE),"")</f>
        <v/>
      </c>
      <c r="F373" s="74" t="str">
        <f>IFERROR(VLOOKUP($B373,'Hack Database'!$A:$J,5,FALSE),"")</f>
        <v/>
      </c>
      <c r="G373" s="74" t="str">
        <f>IFERROR(VLOOKUP($B373,'Hack Database'!$A:$J,6,FALSE),"")</f>
        <v/>
      </c>
      <c r="H373" s="81"/>
      <c r="I373" s="81"/>
      <c r="J373" s="74"/>
      <c r="K373" s="74" t="str">
        <f t="shared" si="5"/>
        <v/>
      </c>
      <c r="L373" s="74"/>
      <c r="M373" s="84"/>
      <c r="N373" s="84"/>
      <c r="O373" s="84"/>
      <c r="P373" s="74" t="str">
        <f>IFERROR(HYPERLINK(VLOOKUP($B373,'Online Database'!$A:$J,9,FALSE),"Open Page"),IFERROR(HYPERLINK(VLOOKUP($B373,'Manual Database'!$A:$J,9,FALSE),"Open Page"),""))</f>
        <v/>
      </c>
      <c r="Q373" s="74" t="str">
        <f>IFERROR(HYPERLINK(VLOOKUP($B373,'Online Database'!$A:$J,10,FALSE),"Download"),IFERROR(HYPERLINK(VLOOKUP($B373,'Manual Database'!$A:$J,10,FALSE),"Download"),""))</f>
        <v/>
      </c>
      <c r="R373" s="90"/>
    </row>
    <row r="374" spans="1:18" ht="22.05" customHeight="1">
      <c r="A374" s="74" t="str">
        <f>IF(C374="","",COUNTIF($C$2:C374,"&lt;&gt;"))</f>
        <v/>
      </c>
      <c r="B374" s="74"/>
      <c r="C374" s="74" t="str">
        <f>IFERROR(VLOOKUP($B374,'Hack Database'!$A:$J,2,FALSE),"")</f>
        <v/>
      </c>
      <c r="D374" s="74" t="str">
        <f>IFERROR(VLOOKUP($B374,'Hack Database'!$A:$J,3,FALSE),"")</f>
        <v/>
      </c>
      <c r="E374" s="74" t="str">
        <f>IFERROR(VLOOKUP($B374,'Hack Database'!$A:$J,4,FALSE),"")</f>
        <v/>
      </c>
      <c r="F374" s="74" t="str">
        <f>IFERROR(VLOOKUP($B374,'Hack Database'!$A:$J,5,FALSE),"")</f>
        <v/>
      </c>
      <c r="G374" s="74" t="str">
        <f>IFERROR(VLOOKUP($B374,'Hack Database'!$A:$J,6,FALSE),"")</f>
        <v/>
      </c>
      <c r="H374" s="81"/>
      <c r="I374" s="81"/>
      <c r="J374" s="74"/>
      <c r="K374" s="74" t="str">
        <f t="shared" si="5"/>
        <v/>
      </c>
      <c r="L374" s="74"/>
      <c r="M374" s="84"/>
      <c r="N374" s="84"/>
      <c r="O374" s="84"/>
      <c r="P374" s="74" t="str">
        <f>IFERROR(HYPERLINK(VLOOKUP($B374,'Online Database'!$A:$J,9,FALSE),"Open Page"),IFERROR(HYPERLINK(VLOOKUP($B374,'Manual Database'!$A:$J,9,FALSE),"Open Page"),""))</f>
        <v/>
      </c>
      <c r="Q374" s="74" t="str">
        <f>IFERROR(HYPERLINK(VLOOKUP($B374,'Online Database'!$A:$J,10,FALSE),"Download"),IFERROR(HYPERLINK(VLOOKUP($B374,'Manual Database'!$A:$J,10,FALSE),"Download"),""))</f>
        <v/>
      </c>
      <c r="R374" s="90"/>
    </row>
    <row r="375" spans="1:18" ht="22.05" customHeight="1">
      <c r="A375" s="74" t="str">
        <f>IF(C375="","",COUNTIF($C$2:C375,"&lt;&gt;"))</f>
        <v/>
      </c>
      <c r="B375" s="74"/>
      <c r="C375" s="74" t="str">
        <f>IFERROR(VLOOKUP($B375,'Hack Database'!$A:$J,2,FALSE),"")</f>
        <v/>
      </c>
      <c r="D375" s="74" t="str">
        <f>IFERROR(VLOOKUP($B375,'Hack Database'!$A:$J,3,FALSE),"")</f>
        <v/>
      </c>
      <c r="E375" s="74" t="str">
        <f>IFERROR(VLOOKUP($B375,'Hack Database'!$A:$J,4,FALSE),"")</f>
        <v/>
      </c>
      <c r="F375" s="74" t="str">
        <f>IFERROR(VLOOKUP($B375,'Hack Database'!$A:$J,5,FALSE),"")</f>
        <v/>
      </c>
      <c r="G375" s="74" t="str">
        <f>IFERROR(VLOOKUP($B375,'Hack Database'!$A:$J,6,FALSE),"")</f>
        <v/>
      </c>
      <c r="H375" s="81"/>
      <c r="I375" s="81"/>
      <c r="J375" s="74"/>
      <c r="K375" s="74" t="str">
        <f t="shared" si="5"/>
        <v/>
      </c>
      <c r="L375" s="74"/>
      <c r="M375" s="84"/>
      <c r="N375" s="84"/>
      <c r="O375" s="84"/>
      <c r="P375" s="74" t="str">
        <f>IFERROR(HYPERLINK(VLOOKUP($B375,'Online Database'!$A:$J,9,FALSE),"Open Page"),IFERROR(HYPERLINK(VLOOKUP($B375,'Manual Database'!$A:$J,9,FALSE),"Open Page"),""))</f>
        <v/>
      </c>
      <c r="Q375" s="74" t="str">
        <f>IFERROR(HYPERLINK(VLOOKUP($B375,'Online Database'!$A:$J,10,FALSE),"Download"),IFERROR(HYPERLINK(VLOOKUP($B375,'Manual Database'!$A:$J,10,FALSE),"Download"),""))</f>
        <v/>
      </c>
      <c r="R375" s="90"/>
    </row>
    <row r="376" spans="1:18" ht="22.05" customHeight="1">
      <c r="A376" s="74" t="str">
        <f>IF(C376="","",COUNTIF($C$2:C376,"&lt;&gt;"))</f>
        <v/>
      </c>
      <c r="B376" s="74"/>
      <c r="C376" s="74" t="str">
        <f>IFERROR(VLOOKUP($B376,'Hack Database'!$A:$J,2,FALSE),"")</f>
        <v/>
      </c>
      <c r="D376" s="74" t="str">
        <f>IFERROR(VLOOKUP($B376,'Hack Database'!$A:$J,3,FALSE),"")</f>
        <v/>
      </c>
      <c r="E376" s="74" t="str">
        <f>IFERROR(VLOOKUP($B376,'Hack Database'!$A:$J,4,FALSE),"")</f>
        <v/>
      </c>
      <c r="F376" s="74" t="str">
        <f>IFERROR(VLOOKUP($B376,'Hack Database'!$A:$J,5,FALSE),"")</f>
        <v/>
      </c>
      <c r="G376" s="74" t="str">
        <f>IFERROR(VLOOKUP($B376,'Hack Database'!$A:$J,6,FALSE),"")</f>
        <v/>
      </c>
      <c r="H376" s="81"/>
      <c r="I376" s="81"/>
      <c r="J376" s="74"/>
      <c r="K376" s="74" t="str">
        <f t="shared" si="5"/>
        <v/>
      </c>
      <c r="L376" s="74"/>
      <c r="M376" s="84"/>
      <c r="N376" s="84"/>
      <c r="O376" s="84"/>
      <c r="P376" s="74" t="str">
        <f>IFERROR(HYPERLINK(VLOOKUP($B376,'Online Database'!$A:$J,9,FALSE),"Open Page"),IFERROR(HYPERLINK(VLOOKUP($B376,'Manual Database'!$A:$J,9,FALSE),"Open Page"),""))</f>
        <v/>
      </c>
      <c r="Q376" s="74" t="str">
        <f>IFERROR(HYPERLINK(VLOOKUP($B376,'Online Database'!$A:$J,10,FALSE),"Download"),IFERROR(HYPERLINK(VLOOKUP($B376,'Manual Database'!$A:$J,10,FALSE),"Download"),""))</f>
        <v/>
      </c>
      <c r="R376" s="90"/>
    </row>
    <row r="377" spans="1:18" ht="22.05" customHeight="1">
      <c r="A377" s="74" t="str">
        <f>IF(C377="","",COUNTIF($C$2:C377,"&lt;&gt;"))</f>
        <v/>
      </c>
      <c r="B377" s="74"/>
      <c r="C377" s="74" t="str">
        <f>IFERROR(VLOOKUP($B377,'Hack Database'!$A:$J,2,FALSE),"")</f>
        <v/>
      </c>
      <c r="D377" s="74" t="str">
        <f>IFERROR(VLOOKUP($B377,'Hack Database'!$A:$J,3,FALSE),"")</f>
        <v/>
      </c>
      <c r="E377" s="74" t="str">
        <f>IFERROR(VLOOKUP($B377,'Hack Database'!$A:$J,4,FALSE),"")</f>
        <v/>
      </c>
      <c r="F377" s="74" t="str">
        <f>IFERROR(VLOOKUP($B377,'Hack Database'!$A:$J,5,FALSE),"")</f>
        <v/>
      </c>
      <c r="G377" s="74" t="str">
        <f>IFERROR(VLOOKUP($B377,'Hack Database'!$A:$J,6,FALSE),"")</f>
        <v/>
      </c>
      <c r="H377" s="81"/>
      <c r="I377" s="81"/>
      <c r="J377" s="74"/>
      <c r="K377" s="74" t="str">
        <f t="shared" si="5"/>
        <v/>
      </c>
      <c r="L377" s="74"/>
      <c r="M377" s="84"/>
      <c r="N377" s="84"/>
      <c r="O377" s="84"/>
      <c r="P377" s="74" t="str">
        <f>IFERROR(HYPERLINK(VLOOKUP($B377,'Online Database'!$A:$J,9,FALSE),"Open Page"),IFERROR(HYPERLINK(VLOOKUP($B377,'Manual Database'!$A:$J,9,FALSE),"Open Page"),""))</f>
        <v/>
      </c>
      <c r="Q377" s="74" t="str">
        <f>IFERROR(HYPERLINK(VLOOKUP($B377,'Online Database'!$A:$J,10,FALSE),"Download"),IFERROR(HYPERLINK(VLOOKUP($B377,'Manual Database'!$A:$J,10,FALSE),"Download"),""))</f>
        <v/>
      </c>
      <c r="R377" s="90"/>
    </row>
    <row r="378" spans="1:18" ht="22.05" customHeight="1">
      <c r="A378" s="74" t="str">
        <f>IF(C378="","",COUNTIF($C$2:C378,"&lt;&gt;"))</f>
        <v/>
      </c>
      <c r="B378" s="74"/>
      <c r="C378" s="74" t="str">
        <f>IFERROR(VLOOKUP($B378,'Hack Database'!$A:$J,2,FALSE),"")</f>
        <v/>
      </c>
      <c r="D378" s="74" t="str">
        <f>IFERROR(VLOOKUP($B378,'Hack Database'!$A:$J,3,FALSE),"")</f>
        <v/>
      </c>
      <c r="E378" s="74" t="str">
        <f>IFERROR(VLOOKUP($B378,'Hack Database'!$A:$J,4,FALSE),"")</f>
        <v/>
      </c>
      <c r="F378" s="74" t="str">
        <f>IFERROR(VLOOKUP($B378,'Hack Database'!$A:$J,5,FALSE),"")</f>
        <v/>
      </c>
      <c r="G378" s="74" t="str">
        <f>IFERROR(VLOOKUP($B378,'Hack Database'!$A:$J,6,FALSE),"")</f>
        <v/>
      </c>
      <c r="H378" s="81"/>
      <c r="I378" s="81"/>
      <c r="J378" s="74"/>
      <c r="K378" s="74" t="str">
        <f t="shared" si="5"/>
        <v/>
      </c>
      <c r="L378" s="74"/>
      <c r="M378" s="84"/>
      <c r="N378" s="84"/>
      <c r="O378" s="84"/>
      <c r="P378" s="74" t="str">
        <f>IFERROR(HYPERLINK(VLOOKUP($B378,'Online Database'!$A:$J,9,FALSE),"Open Page"),IFERROR(HYPERLINK(VLOOKUP($B378,'Manual Database'!$A:$J,9,FALSE),"Open Page"),""))</f>
        <v/>
      </c>
      <c r="Q378" s="74" t="str">
        <f>IFERROR(HYPERLINK(VLOOKUP($B378,'Online Database'!$A:$J,10,FALSE),"Download"),IFERROR(HYPERLINK(VLOOKUP($B378,'Manual Database'!$A:$J,10,FALSE),"Download"),""))</f>
        <v/>
      </c>
      <c r="R378" s="90"/>
    </row>
    <row r="379" spans="1:18" ht="22.05" customHeight="1">
      <c r="A379" s="74" t="str">
        <f>IF(C379="","",COUNTIF($C$2:C379,"&lt;&gt;"))</f>
        <v/>
      </c>
      <c r="B379" s="74"/>
      <c r="C379" s="74" t="str">
        <f>IFERROR(VLOOKUP($B379,'Hack Database'!$A:$J,2,FALSE),"")</f>
        <v/>
      </c>
      <c r="D379" s="74" t="str">
        <f>IFERROR(VLOOKUP($B379,'Hack Database'!$A:$J,3,FALSE),"")</f>
        <v/>
      </c>
      <c r="E379" s="74" t="str">
        <f>IFERROR(VLOOKUP($B379,'Hack Database'!$A:$J,4,FALSE),"")</f>
        <v/>
      </c>
      <c r="F379" s="74" t="str">
        <f>IFERROR(VLOOKUP($B379,'Hack Database'!$A:$J,5,FALSE),"")</f>
        <v/>
      </c>
      <c r="G379" s="74" t="str">
        <f>IFERROR(VLOOKUP($B379,'Hack Database'!$A:$J,6,FALSE),"")</f>
        <v/>
      </c>
      <c r="H379" s="81"/>
      <c r="I379" s="81"/>
      <c r="J379" s="74"/>
      <c r="K379" s="74" t="str">
        <f t="shared" si="5"/>
        <v/>
      </c>
      <c r="L379" s="74"/>
      <c r="M379" s="84"/>
      <c r="N379" s="84"/>
      <c r="O379" s="84"/>
      <c r="P379" s="74" t="str">
        <f>IFERROR(HYPERLINK(VLOOKUP($B379,'Online Database'!$A:$J,9,FALSE),"Open Page"),IFERROR(HYPERLINK(VLOOKUP($B379,'Manual Database'!$A:$J,9,FALSE),"Open Page"),""))</f>
        <v/>
      </c>
      <c r="Q379" s="74" t="str">
        <f>IFERROR(HYPERLINK(VLOOKUP($B379,'Online Database'!$A:$J,10,FALSE),"Download"),IFERROR(HYPERLINK(VLOOKUP($B379,'Manual Database'!$A:$J,10,FALSE),"Download"),""))</f>
        <v/>
      </c>
      <c r="R379" s="90"/>
    </row>
    <row r="380" spans="1:18" ht="22.05" customHeight="1">
      <c r="A380" s="74" t="str">
        <f>IF(C380="","",COUNTIF($C$2:C380,"&lt;&gt;"))</f>
        <v/>
      </c>
      <c r="B380" s="74"/>
      <c r="C380" s="74" t="str">
        <f>IFERROR(VLOOKUP($B380,'Hack Database'!$A:$J,2,FALSE),"")</f>
        <v/>
      </c>
      <c r="D380" s="74" t="str">
        <f>IFERROR(VLOOKUP($B380,'Hack Database'!$A:$J,3,FALSE),"")</f>
        <v/>
      </c>
      <c r="E380" s="74" t="str">
        <f>IFERROR(VLOOKUP($B380,'Hack Database'!$A:$J,4,FALSE),"")</f>
        <v/>
      </c>
      <c r="F380" s="74" t="str">
        <f>IFERROR(VLOOKUP($B380,'Hack Database'!$A:$J,5,FALSE),"")</f>
        <v/>
      </c>
      <c r="G380" s="74" t="str">
        <f>IFERROR(VLOOKUP($B380,'Hack Database'!$A:$J,6,FALSE),"")</f>
        <v/>
      </c>
      <c r="H380" s="81"/>
      <c r="I380" s="81"/>
      <c r="J380" s="74"/>
      <c r="K380" s="74" t="str">
        <f t="shared" si="5"/>
        <v/>
      </c>
      <c r="L380" s="74"/>
      <c r="M380" s="84"/>
      <c r="N380" s="84"/>
      <c r="O380" s="84"/>
      <c r="P380" s="74" t="str">
        <f>IFERROR(HYPERLINK(VLOOKUP($B380,'Online Database'!$A:$J,9,FALSE),"Open Page"),IFERROR(HYPERLINK(VLOOKUP($B380,'Manual Database'!$A:$J,9,FALSE),"Open Page"),""))</f>
        <v/>
      </c>
      <c r="Q380" s="74" t="str">
        <f>IFERROR(HYPERLINK(VLOOKUP($B380,'Online Database'!$A:$J,10,FALSE),"Download"),IFERROR(HYPERLINK(VLOOKUP($B380,'Manual Database'!$A:$J,10,FALSE),"Download"),""))</f>
        <v/>
      </c>
      <c r="R380" s="90"/>
    </row>
    <row r="381" spans="1:18" ht="22.05" customHeight="1">
      <c r="A381" s="74" t="str">
        <f>IF(C381="","",COUNTIF($C$2:C381,"&lt;&gt;"))</f>
        <v/>
      </c>
      <c r="B381" s="74"/>
      <c r="C381" s="74" t="str">
        <f>IFERROR(VLOOKUP($B381,'Hack Database'!$A:$J,2,FALSE),"")</f>
        <v/>
      </c>
      <c r="D381" s="74" t="str">
        <f>IFERROR(VLOOKUP($B381,'Hack Database'!$A:$J,3,FALSE),"")</f>
        <v/>
      </c>
      <c r="E381" s="74" t="str">
        <f>IFERROR(VLOOKUP($B381,'Hack Database'!$A:$J,4,FALSE),"")</f>
        <v/>
      </c>
      <c r="F381" s="74" t="str">
        <f>IFERROR(VLOOKUP($B381,'Hack Database'!$A:$J,5,FALSE),"")</f>
        <v/>
      </c>
      <c r="G381" s="74" t="str">
        <f>IFERROR(VLOOKUP($B381,'Hack Database'!$A:$J,6,FALSE),"")</f>
        <v/>
      </c>
      <c r="H381" s="81"/>
      <c r="I381" s="81"/>
      <c r="J381" s="74"/>
      <c r="K381" s="74" t="str">
        <f t="shared" si="5"/>
        <v/>
      </c>
      <c r="L381" s="74"/>
      <c r="M381" s="84"/>
      <c r="N381" s="84"/>
      <c r="O381" s="84"/>
      <c r="P381" s="74" t="str">
        <f>IFERROR(HYPERLINK(VLOOKUP($B381,'Online Database'!$A:$J,9,FALSE),"Open Page"),IFERROR(HYPERLINK(VLOOKUP($B381,'Manual Database'!$A:$J,9,FALSE),"Open Page"),""))</f>
        <v/>
      </c>
      <c r="Q381" s="74" t="str">
        <f>IFERROR(HYPERLINK(VLOOKUP($B381,'Online Database'!$A:$J,10,FALSE),"Download"),IFERROR(HYPERLINK(VLOOKUP($B381,'Manual Database'!$A:$J,10,FALSE),"Download"),""))</f>
        <v/>
      </c>
      <c r="R381" s="90"/>
    </row>
    <row r="382" spans="1:18" ht="22.05" customHeight="1">
      <c r="A382" s="74" t="str">
        <f>IF(C382="","",COUNTIF($C$2:C382,"&lt;&gt;"))</f>
        <v/>
      </c>
      <c r="B382" s="74"/>
      <c r="C382" s="74" t="str">
        <f>IFERROR(VLOOKUP($B382,'Hack Database'!$A:$J,2,FALSE),"")</f>
        <v/>
      </c>
      <c r="D382" s="74" t="str">
        <f>IFERROR(VLOOKUP($B382,'Hack Database'!$A:$J,3,FALSE),"")</f>
        <v/>
      </c>
      <c r="E382" s="74" t="str">
        <f>IFERROR(VLOOKUP($B382,'Hack Database'!$A:$J,4,FALSE),"")</f>
        <v/>
      </c>
      <c r="F382" s="74" t="str">
        <f>IFERROR(VLOOKUP($B382,'Hack Database'!$A:$J,5,FALSE),"")</f>
        <v/>
      </c>
      <c r="G382" s="74" t="str">
        <f>IFERROR(VLOOKUP($B382,'Hack Database'!$A:$J,6,FALSE),"")</f>
        <v/>
      </c>
      <c r="H382" s="81"/>
      <c r="I382" s="81"/>
      <c r="J382" s="74"/>
      <c r="K382" s="74" t="str">
        <f t="shared" si="5"/>
        <v/>
      </c>
      <c r="L382" s="74"/>
      <c r="M382" s="84"/>
      <c r="N382" s="84"/>
      <c r="O382" s="84"/>
      <c r="P382" s="74" t="str">
        <f>IFERROR(HYPERLINK(VLOOKUP($B382,'Online Database'!$A:$J,9,FALSE),"Open Page"),IFERROR(HYPERLINK(VLOOKUP($B382,'Manual Database'!$A:$J,9,FALSE),"Open Page"),""))</f>
        <v/>
      </c>
      <c r="Q382" s="74" t="str">
        <f>IFERROR(HYPERLINK(VLOOKUP($B382,'Online Database'!$A:$J,10,FALSE),"Download"),IFERROR(HYPERLINK(VLOOKUP($B382,'Manual Database'!$A:$J,10,FALSE),"Download"),""))</f>
        <v/>
      </c>
      <c r="R382" s="90"/>
    </row>
    <row r="383" spans="1:18" ht="22.05" customHeight="1">
      <c r="A383" s="74" t="str">
        <f>IF(C383="","",COUNTIF($C$2:C383,"&lt;&gt;"))</f>
        <v/>
      </c>
      <c r="B383" s="74"/>
      <c r="C383" s="74" t="str">
        <f>IFERROR(VLOOKUP($B383,'Hack Database'!$A:$J,2,FALSE),"")</f>
        <v/>
      </c>
      <c r="D383" s="74" t="str">
        <f>IFERROR(VLOOKUP($B383,'Hack Database'!$A:$J,3,FALSE),"")</f>
        <v/>
      </c>
      <c r="E383" s="74" t="str">
        <f>IFERROR(VLOOKUP($B383,'Hack Database'!$A:$J,4,FALSE),"")</f>
        <v/>
      </c>
      <c r="F383" s="74" t="str">
        <f>IFERROR(VLOOKUP($B383,'Hack Database'!$A:$J,5,FALSE),"")</f>
        <v/>
      </c>
      <c r="G383" s="74" t="str">
        <f>IFERROR(VLOOKUP($B383,'Hack Database'!$A:$J,6,FALSE),"")</f>
        <v/>
      </c>
      <c r="H383" s="81"/>
      <c r="I383" s="81"/>
      <c r="J383" s="74"/>
      <c r="K383" s="74" t="str">
        <f t="shared" si="5"/>
        <v/>
      </c>
      <c r="L383" s="74"/>
      <c r="M383" s="84"/>
      <c r="N383" s="84"/>
      <c r="O383" s="84"/>
      <c r="P383" s="74" t="str">
        <f>IFERROR(HYPERLINK(VLOOKUP($B383,'Online Database'!$A:$J,9,FALSE),"Open Page"),IFERROR(HYPERLINK(VLOOKUP($B383,'Manual Database'!$A:$J,9,FALSE),"Open Page"),""))</f>
        <v/>
      </c>
      <c r="Q383" s="74" t="str">
        <f>IFERROR(HYPERLINK(VLOOKUP($B383,'Online Database'!$A:$J,10,FALSE),"Download"),IFERROR(HYPERLINK(VLOOKUP($B383,'Manual Database'!$A:$J,10,FALSE),"Download"),""))</f>
        <v/>
      </c>
      <c r="R383" s="90"/>
    </row>
    <row r="384" spans="1:18" ht="22.05" customHeight="1">
      <c r="A384" s="74" t="str">
        <f>IF(C384="","",COUNTIF($C$2:C384,"&lt;&gt;"))</f>
        <v/>
      </c>
      <c r="B384" s="74"/>
      <c r="C384" s="74" t="str">
        <f>IFERROR(VLOOKUP($B384,'Hack Database'!$A:$J,2,FALSE),"")</f>
        <v/>
      </c>
      <c r="D384" s="74" t="str">
        <f>IFERROR(VLOOKUP($B384,'Hack Database'!$A:$J,3,FALSE),"")</f>
        <v/>
      </c>
      <c r="E384" s="74" t="str">
        <f>IFERROR(VLOOKUP($B384,'Hack Database'!$A:$J,4,FALSE),"")</f>
        <v/>
      </c>
      <c r="F384" s="74" t="str">
        <f>IFERROR(VLOOKUP($B384,'Hack Database'!$A:$J,5,FALSE),"")</f>
        <v/>
      </c>
      <c r="G384" s="74" t="str">
        <f>IFERROR(VLOOKUP($B384,'Hack Database'!$A:$J,6,FALSE),"")</f>
        <v/>
      </c>
      <c r="H384" s="81"/>
      <c r="I384" s="81"/>
      <c r="J384" s="74"/>
      <c r="K384" s="74" t="str">
        <f t="shared" si="5"/>
        <v/>
      </c>
      <c r="L384" s="74"/>
      <c r="M384" s="84"/>
      <c r="N384" s="84"/>
      <c r="O384" s="84"/>
      <c r="P384" s="74" t="str">
        <f>IFERROR(HYPERLINK(VLOOKUP($B384,'Online Database'!$A:$J,9,FALSE),"Open Page"),IFERROR(HYPERLINK(VLOOKUP($B384,'Manual Database'!$A:$J,9,FALSE),"Open Page"),""))</f>
        <v/>
      </c>
      <c r="Q384" s="74" t="str">
        <f>IFERROR(HYPERLINK(VLOOKUP($B384,'Online Database'!$A:$J,10,FALSE),"Download"),IFERROR(HYPERLINK(VLOOKUP($B384,'Manual Database'!$A:$J,10,FALSE),"Download"),""))</f>
        <v/>
      </c>
      <c r="R384" s="90"/>
    </row>
    <row r="385" spans="1:18" ht="22.05" customHeight="1">
      <c r="A385" s="74" t="str">
        <f>IF(C385="","",COUNTIF($C$2:C385,"&lt;&gt;"))</f>
        <v/>
      </c>
      <c r="B385" s="74"/>
      <c r="C385" s="74" t="str">
        <f>IFERROR(VLOOKUP($B385,'Hack Database'!$A:$J,2,FALSE),"")</f>
        <v/>
      </c>
      <c r="D385" s="74" t="str">
        <f>IFERROR(VLOOKUP($B385,'Hack Database'!$A:$J,3,FALSE),"")</f>
        <v/>
      </c>
      <c r="E385" s="74" t="str">
        <f>IFERROR(VLOOKUP($B385,'Hack Database'!$A:$J,4,FALSE),"")</f>
        <v/>
      </c>
      <c r="F385" s="74" t="str">
        <f>IFERROR(VLOOKUP($B385,'Hack Database'!$A:$J,5,FALSE),"")</f>
        <v/>
      </c>
      <c r="G385" s="74" t="str">
        <f>IFERROR(VLOOKUP($B385,'Hack Database'!$A:$J,6,FALSE),"")</f>
        <v/>
      </c>
      <c r="H385" s="81"/>
      <c r="I385" s="81"/>
      <c r="J385" s="74"/>
      <c r="K385" s="74" t="str">
        <f t="shared" si="5"/>
        <v/>
      </c>
      <c r="L385" s="74"/>
      <c r="M385" s="84"/>
      <c r="N385" s="84"/>
      <c r="O385" s="84"/>
      <c r="P385" s="74" t="str">
        <f>IFERROR(HYPERLINK(VLOOKUP($B385,'Online Database'!$A:$J,9,FALSE),"Open Page"),IFERROR(HYPERLINK(VLOOKUP($B385,'Manual Database'!$A:$J,9,FALSE),"Open Page"),""))</f>
        <v/>
      </c>
      <c r="Q385" s="74" t="str">
        <f>IFERROR(HYPERLINK(VLOOKUP($B385,'Online Database'!$A:$J,10,FALSE),"Download"),IFERROR(HYPERLINK(VLOOKUP($B385,'Manual Database'!$A:$J,10,FALSE),"Download"),""))</f>
        <v/>
      </c>
      <c r="R385" s="90"/>
    </row>
    <row r="386" spans="1:18" ht="22.05" customHeight="1">
      <c r="A386" s="74" t="str">
        <f>IF(C386="","",COUNTIF($C$2:C386,"&lt;&gt;"))</f>
        <v/>
      </c>
      <c r="B386" s="74"/>
      <c r="C386" s="74" t="str">
        <f>IFERROR(VLOOKUP($B386,'Hack Database'!$A:$J,2,FALSE),"")</f>
        <v/>
      </c>
      <c r="D386" s="74" t="str">
        <f>IFERROR(VLOOKUP($B386,'Hack Database'!$A:$J,3,FALSE),"")</f>
        <v/>
      </c>
      <c r="E386" s="74" t="str">
        <f>IFERROR(VLOOKUP($B386,'Hack Database'!$A:$J,4,FALSE),"")</f>
        <v/>
      </c>
      <c r="F386" s="74" t="str">
        <f>IFERROR(VLOOKUP($B386,'Hack Database'!$A:$J,5,FALSE),"")</f>
        <v/>
      </c>
      <c r="G386" s="74" t="str">
        <f>IFERROR(VLOOKUP($B386,'Hack Database'!$A:$J,6,FALSE),"")</f>
        <v/>
      </c>
      <c r="H386" s="81"/>
      <c r="I386" s="81"/>
      <c r="J386" s="74"/>
      <c r="K386" s="74" t="str">
        <f t="shared" ref="K386:K449" si="6">IF($B386="","",IF($J386="Yes","100% Complete",IF($H386="","Planned",IF($I386="","In Progress","Finished"))))</f>
        <v/>
      </c>
      <c r="L386" s="74"/>
      <c r="M386" s="84"/>
      <c r="N386" s="84"/>
      <c r="O386" s="84"/>
      <c r="P386" s="74" t="str">
        <f>IFERROR(HYPERLINK(VLOOKUP($B386,'Online Database'!$A:$J,9,FALSE),"Open Page"),IFERROR(HYPERLINK(VLOOKUP($B386,'Manual Database'!$A:$J,9,FALSE),"Open Page"),""))</f>
        <v/>
      </c>
      <c r="Q386" s="74" t="str">
        <f>IFERROR(HYPERLINK(VLOOKUP($B386,'Online Database'!$A:$J,10,FALSE),"Download"),IFERROR(HYPERLINK(VLOOKUP($B386,'Manual Database'!$A:$J,10,FALSE),"Download"),""))</f>
        <v/>
      </c>
      <c r="R386" s="90"/>
    </row>
    <row r="387" spans="1:18" ht="22.05" customHeight="1">
      <c r="A387" s="74" t="str">
        <f>IF(C387="","",COUNTIF($C$2:C387,"&lt;&gt;"))</f>
        <v/>
      </c>
      <c r="B387" s="74"/>
      <c r="C387" s="74" t="str">
        <f>IFERROR(VLOOKUP($B387,'Hack Database'!$A:$J,2,FALSE),"")</f>
        <v/>
      </c>
      <c r="D387" s="74" t="str">
        <f>IFERROR(VLOOKUP($B387,'Hack Database'!$A:$J,3,FALSE),"")</f>
        <v/>
      </c>
      <c r="E387" s="74" t="str">
        <f>IFERROR(VLOOKUP($B387,'Hack Database'!$A:$J,4,FALSE),"")</f>
        <v/>
      </c>
      <c r="F387" s="74" t="str">
        <f>IFERROR(VLOOKUP($B387,'Hack Database'!$A:$J,5,FALSE),"")</f>
        <v/>
      </c>
      <c r="G387" s="74" t="str">
        <f>IFERROR(VLOOKUP($B387,'Hack Database'!$A:$J,6,FALSE),"")</f>
        <v/>
      </c>
      <c r="H387" s="81"/>
      <c r="I387" s="81"/>
      <c r="J387" s="74"/>
      <c r="K387" s="74" t="str">
        <f t="shared" si="6"/>
        <v/>
      </c>
      <c r="L387" s="74"/>
      <c r="M387" s="84"/>
      <c r="N387" s="84"/>
      <c r="O387" s="84"/>
      <c r="P387" s="74" t="str">
        <f>IFERROR(HYPERLINK(VLOOKUP($B387,'Online Database'!$A:$J,9,FALSE),"Open Page"),IFERROR(HYPERLINK(VLOOKUP($B387,'Manual Database'!$A:$J,9,FALSE),"Open Page"),""))</f>
        <v/>
      </c>
      <c r="Q387" s="74" t="str">
        <f>IFERROR(HYPERLINK(VLOOKUP($B387,'Online Database'!$A:$J,10,FALSE),"Download"),IFERROR(HYPERLINK(VLOOKUP($B387,'Manual Database'!$A:$J,10,FALSE),"Download"),""))</f>
        <v/>
      </c>
      <c r="R387" s="90"/>
    </row>
    <row r="388" spans="1:18" ht="22.05" customHeight="1">
      <c r="A388" s="74" t="str">
        <f>IF(C388="","",COUNTIF($C$2:C388,"&lt;&gt;"))</f>
        <v/>
      </c>
      <c r="B388" s="74"/>
      <c r="C388" s="74" t="str">
        <f>IFERROR(VLOOKUP($B388,'Hack Database'!$A:$J,2,FALSE),"")</f>
        <v/>
      </c>
      <c r="D388" s="74" t="str">
        <f>IFERROR(VLOOKUP($B388,'Hack Database'!$A:$J,3,FALSE),"")</f>
        <v/>
      </c>
      <c r="E388" s="74" t="str">
        <f>IFERROR(VLOOKUP($B388,'Hack Database'!$A:$J,4,FALSE),"")</f>
        <v/>
      </c>
      <c r="F388" s="74" t="str">
        <f>IFERROR(VLOOKUP($B388,'Hack Database'!$A:$J,5,FALSE),"")</f>
        <v/>
      </c>
      <c r="G388" s="74" t="str">
        <f>IFERROR(VLOOKUP($B388,'Hack Database'!$A:$J,6,FALSE),"")</f>
        <v/>
      </c>
      <c r="H388" s="81"/>
      <c r="I388" s="81"/>
      <c r="J388" s="74"/>
      <c r="K388" s="74" t="str">
        <f t="shared" si="6"/>
        <v/>
      </c>
      <c r="L388" s="74"/>
      <c r="M388" s="84"/>
      <c r="N388" s="84"/>
      <c r="O388" s="84"/>
      <c r="P388" s="74" t="str">
        <f>IFERROR(HYPERLINK(VLOOKUP($B388,'Online Database'!$A:$J,9,FALSE),"Open Page"),IFERROR(HYPERLINK(VLOOKUP($B388,'Manual Database'!$A:$J,9,FALSE),"Open Page"),""))</f>
        <v/>
      </c>
      <c r="Q388" s="74" t="str">
        <f>IFERROR(HYPERLINK(VLOOKUP($B388,'Online Database'!$A:$J,10,FALSE),"Download"),IFERROR(HYPERLINK(VLOOKUP($B388,'Manual Database'!$A:$J,10,FALSE),"Download"),""))</f>
        <v/>
      </c>
      <c r="R388" s="90"/>
    </row>
    <row r="389" spans="1:18" ht="22.05" customHeight="1">
      <c r="A389" s="74" t="str">
        <f>IF(C389="","",COUNTIF($C$2:C389,"&lt;&gt;"))</f>
        <v/>
      </c>
      <c r="B389" s="74"/>
      <c r="C389" s="74" t="str">
        <f>IFERROR(VLOOKUP($B389,'Hack Database'!$A:$J,2,FALSE),"")</f>
        <v/>
      </c>
      <c r="D389" s="74" t="str">
        <f>IFERROR(VLOOKUP($B389,'Hack Database'!$A:$J,3,FALSE),"")</f>
        <v/>
      </c>
      <c r="E389" s="74" t="str">
        <f>IFERROR(VLOOKUP($B389,'Hack Database'!$A:$J,4,FALSE),"")</f>
        <v/>
      </c>
      <c r="F389" s="74" t="str">
        <f>IFERROR(VLOOKUP($B389,'Hack Database'!$A:$J,5,FALSE),"")</f>
        <v/>
      </c>
      <c r="G389" s="74" t="str">
        <f>IFERROR(VLOOKUP($B389,'Hack Database'!$A:$J,6,FALSE),"")</f>
        <v/>
      </c>
      <c r="H389" s="81"/>
      <c r="I389" s="81"/>
      <c r="J389" s="74"/>
      <c r="K389" s="74" t="str">
        <f t="shared" si="6"/>
        <v/>
      </c>
      <c r="L389" s="74"/>
      <c r="M389" s="84"/>
      <c r="N389" s="84"/>
      <c r="O389" s="84"/>
      <c r="P389" s="74" t="str">
        <f>IFERROR(HYPERLINK(VLOOKUP($B389,'Online Database'!$A:$J,9,FALSE),"Open Page"),IFERROR(HYPERLINK(VLOOKUP($B389,'Manual Database'!$A:$J,9,FALSE),"Open Page"),""))</f>
        <v/>
      </c>
      <c r="Q389" s="74" t="str">
        <f>IFERROR(HYPERLINK(VLOOKUP($B389,'Online Database'!$A:$J,10,FALSE),"Download"),IFERROR(HYPERLINK(VLOOKUP($B389,'Manual Database'!$A:$J,10,FALSE),"Download"),""))</f>
        <v/>
      </c>
      <c r="R389" s="90"/>
    </row>
    <row r="390" spans="1:18" ht="22.05" customHeight="1">
      <c r="A390" s="74" t="str">
        <f>IF(C390="","",COUNTIF($C$2:C390,"&lt;&gt;"))</f>
        <v/>
      </c>
      <c r="B390" s="74"/>
      <c r="C390" s="74" t="str">
        <f>IFERROR(VLOOKUP($B390,'Hack Database'!$A:$J,2,FALSE),"")</f>
        <v/>
      </c>
      <c r="D390" s="74" t="str">
        <f>IFERROR(VLOOKUP($B390,'Hack Database'!$A:$J,3,FALSE),"")</f>
        <v/>
      </c>
      <c r="E390" s="74" t="str">
        <f>IFERROR(VLOOKUP($B390,'Hack Database'!$A:$J,4,FALSE),"")</f>
        <v/>
      </c>
      <c r="F390" s="74" t="str">
        <f>IFERROR(VLOOKUP($B390,'Hack Database'!$A:$J,5,FALSE),"")</f>
        <v/>
      </c>
      <c r="G390" s="74" t="str">
        <f>IFERROR(VLOOKUP($B390,'Hack Database'!$A:$J,6,FALSE),"")</f>
        <v/>
      </c>
      <c r="H390" s="81"/>
      <c r="I390" s="81"/>
      <c r="J390" s="74"/>
      <c r="K390" s="74" t="str">
        <f t="shared" si="6"/>
        <v/>
      </c>
      <c r="L390" s="74"/>
      <c r="M390" s="84"/>
      <c r="N390" s="84"/>
      <c r="O390" s="84"/>
      <c r="P390" s="74" t="str">
        <f>IFERROR(HYPERLINK(VLOOKUP($B390,'Online Database'!$A:$J,9,FALSE),"Open Page"),IFERROR(HYPERLINK(VLOOKUP($B390,'Manual Database'!$A:$J,9,FALSE),"Open Page"),""))</f>
        <v/>
      </c>
      <c r="Q390" s="74" t="str">
        <f>IFERROR(HYPERLINK(VLOOKUP($B390,'Online Database'!$A:$J,10,FALSE),"Download"),IFERROR(HYPERLINK(VLOOKUP($B390,'Manual Database'!$A:$J,10,FALSE),"Download"),""))</f>
        <v/>
      </c>
      <c r="R390" s="90"/>
    </row>
    <row r="391" spans="1:18" ht="22.05" customHeight="1">
      <c r="A391" s="74" t="str">
        <f>IF(C391="","",COUNTIF($C$2:C391,"&lt;&gt;"))</f>
        <v/>
      </c>
      <c r="B391" s="74"/>
      <c r="C391" s="74" t="str">
        <f>IFERROR(VLOOKUP($B391,'Hack Database'!$A:$J,2,FALSE),"")</f>
        <v/>
      </c>
      <c r="D391" s="74" t="str">
        <f>IFERROR(VLOOKUP($B391,'Hack Database'!$A:$J,3,FALSE),"")</f>
        <v/>
      </c>
      <c r="E391" s="74" t="str">
        <f>IFERROR(VLOOKUP($B391,'Hack Database'!$A:$J,4,FALSE),"")</f>
        <v/>
      </c>
      <c r="F391" s="74" t="str">
        <f>IFERROR(VLOOKUP($B391,'Hack Database'!$A:$J,5,FALSE),"")</f>
        <v/>
      </c>
      <c r="G391" s="74" t="str">
        <f>IFERROR(VLOOKUP($B391,'Hack Database'!$A:$J,6,FALSE),"")</f>
        <v/>
      </c>
      <c r="H391" s="81"/>
      <c r="I391" s="81"/>
      <c r="J391" s="74"/>
      <c r="K391" s="74" t="str">
        <f t="shared" si="6"/>
        <v/>
      </c>
      <c r="L391" s="74"/>
      <c r="M391" s="84"/>
      <c r="N391" s="84"/>
      <c r="O391" s="84"/>
      <c r="P391" s="74" t="str">
        <f>IFERROR(HYPERLINK(VLOOKUP($B391,'Online Database'!$A:$J,9,FALSE),"Open Page"),IFERROR(HYPERLINK(VLOOKUP($B391,'Manual Database'!$A:$J,9,FALSE),"Open Page"),""))</f>
        <v/>
      </c>
      <c r="Q391" s="74" t="str">
        <f>IFERROR(HYPERLINK(VLOOKUP($B391,'Online Database'!$A:$J,10,FALSE),"Download"),IFERROR(HYPERLINK(VLOOKUP($B391,'Manual Database'!$A:$J,10,FALSE),"Download"),""))</f>
        <v/>
      </c>
      <c r="R391" s="90"/>
    </row>
    <row r="392" spans="1:18" ht="22.05" customHeight="1">
      <c r="A392" s="74" t="str">
        <f>IF(C392="","",COUNTIF($C$2:C392,"&lt;&gt;"))</f>
        <v/>
      </c>
      <c r="B392" s="74"/>
      <c r="C392" s="74" t="str">
        <f>IFERROR(VLOOKUP($B392,'Hack Database'!$A:$J,2,FALSE),"")</f>
        <v/>
      </c>
      <c r="D392" s="74" t="str">
        <f>IFERROR(VLOOKUP($B392,'Hack Database'!$A:$J,3,FALSE),"")</f>
        <v/>
      </c>
      <c r="E392" s="74" t="str">
        <f>IFERROR(VLOOKUP($B392,'Hack Database'!$A:$J,4,FALSE),"")</f>
        <v/>
      </c>
      <c r="F392" s="74" t="str">
        <f>IFERROR(VLOOKUP($B392,'Hack Database'!$A:$J,5,FALSE),"")</f>
        <v/>
      </c>
      <c r="G392" s="74" t="str">
        <f>IFERROR(VLOOKUP($B392,'Hack Database'!$A:$J,6,FALSE),"")</f>
        <v/>
      </c>
      <c r="H392" s="81"/>
      <c r="I392" s="81"/>
      <c r="J392" s="74"/>
      <c r="K392" s="74" t="str">
        <f t="shared" si="6"/>
        <v/>
      </c>
      <c r="L392" s="74"/>
      <c r="M392" s="84"/>
      <c r="N392" s="84"/>
      <c r="O392" s="84"/>
      <c r="P392" s="74" t="str">
        <f>IFERROR(HYPERLINK(VLOOKUP($B392,'Online Database'!$A:$J,9,FALSE),"Open Page"),IFERROR(HYPERLINK(VLOOKUP($B392,'Manual Database'!$A:$J,9,FALSE),"Open Page"),""))</f>
        <v/>
      </c>
      <c r="Q392" s="74" t="str">
        <f>IFERROR(HYPERLINK(VLOOKUP($B392,'Online Database'!$A:$J,10,FALSE),"Download"),IFERROR(HYPERLINK(VLOOKUP($B392,'Manual Database'!$A:$J,10,FALSE),"Download"),""))</f>
        <v/>
      </c>
      <c r="R392" s="90"/>
    </row>
    <row r="393" spans="1:18" ht="22.05" customHeight="1">
      <c r="A393" s="74" t="str">
        <f>IF(C393="","",COUNTIF($C$2:C393,"&lt;&gt;"))</f>
        <v/>
      </c>
      <c r="B393" s="74"/>
      <c r="C393" s="74" t="str">
        <f>IFERROR(VLOOKUP($B393,'Hack Database'!$A:$J,2,FALSE),"")</f>
        <v/>
      </c>
      <c r="D393" s="74" t="str">
        <f>IFERROR(VLOOKUP($B393,'Hack Database'!$A:$J,3,FALSE),"")</f>
        <v/>
      </c>
      <c r="E393" s="74" t="str">
        <f>IFERROR(VLOOKUP($B393,'Hack Database'!$A:$J,4,FALSE),"")</f>
        <v/>
      </c>
      <c r="F393" s="74" t="str">
        <f>IFERROR(VLOOKUP($B393,'Hack Database'!$A:$J,5,FALSE),"")</f>
        <v/>
      </c>
      <c r="G393" s="74" t="str">
        <f>IFERROR(VLOOKUP($B393,'Hack Database'!$A:$J,6,FALSE),"")</f>
        <v/>
      </c>
      <c r="H393" s="81"/>
      <c r="I393" s="81"/>
      <c r="J393" s="74"/>
      <c r="K393" s="74" t="str">
        <f t="shared" si="6"/>
        <v/>
      </c>
      <c r="L393" s="74"/>
      <c r="M393" s="84"/>
      <c r="N393" s="84"/>
      <c r="O393" s="84"/>
      <c r="P393" s="74" t="str">
        <f>IFERROR(HYPERLINK(VLOOKUP($B393,'Online Database'!$A:$J,9,FALSE),"Open Page"),IFERROR(HYPERLINK(VLOOKUP($B393,'Manual Database'!$A:$J,9,FALSE),"Open Page"),""))</f>
        <v/>
      </c>
      <c r="Q393" s="74" t="str">
        <f>IFERROR(HYPERLINK(VLOOKUP($B393,'Online Database'!$A:$J,10,FALSE),"Download"),IFERROR(HYPERLINK(VLOOKUP($B393,'Manual Database'!$A:$J,10,FALSE),"Download"),""))</f>
        <v/>
      </c>
      <c r="R393" s="90"/>
    </row>
    <row r="394" spans="1:18" ht="22.05" customHeight="1">
      <c r="A394" s="74" t="str">
        <f>IF(C394="","",COUNTIF($C$2:C394,"&lt;&gt;"))</f>
        <v/>
      </c>
      <c r="B394" s="74"/>
      <c r="C394" s="74" t="str">
        <f>IFERROR(VLOOKUP($B394,'Hack Database'!$A:$J,2,FALSE),"")</f>
        <v/>
      </c>
      <c r="D394" s="74" t="str">
        <f>IFERROR(VLOOKUP($B394,'Hack Database'!$A:$J,3,FALSE),"")</f>
        <v/>
      </c>
      <c r="E394" s="74" t="str">
        <f>IFERROR(VLOOKUP($B394,'Hack Database'!$A:$J,4,FALSE),"")</f>
        <v/>
      </c>
      <c r="F394" s="74" t="str">
        <f>IFERROR(VLOOKUP($B394,'Hack Database'!$A:$J,5,FALSE),"")</f>
        <v/>
      </c>
      <c r="G394" s="74" t="str">
        <f>IFERROR(VLOOKUP($B394,'Hack Database'!$A:$J,6,FALSE),"")</f>
        <v/>
      </c>
      <c r="H394" s="81"/>
      <c r="I394" s="81"/>
      <c r="J394" s="74"/>
      <c r="K394" s="74" t="str">
        <f t="shared" si="6"/>
        <v/>
      </c>
      <c r="L394" s="74"/>
      <c r="M394" s="84"/>
      <c r="N394" s="84"/>
      <c r="O394" s="84"/>
      <c r="P394" s="74" t="str">
        <f>IFERROR(HYPERLINK(VLOOKUP($B394,'Online Database'!$A:$J,9,FALSE),"Open Page"),IFERROR(HYPERLINK(VLOOKUP($B394,'Manual Database'!$A:$J,9,FALSE),"Open Page"),""))</f>
        <v/>
      </c>
      <c r="Q394" s="74" t="str">
        <f>IFERROR(HYPERLINK(VLOOKUP($B394,'Online Database'!$A:$J,10,FALSE),"Download"),IFERROR(HYPERLINK(VLOOKUP($B394,'Manual Database'!$A:$J,10,FALSE),"Download"),""))</f>
        <v/>
      </c>
      <c r="R394" s="90"/>
    </row>
    <row r="395" spans="1:18" ht="22.05" customHeight="1">
      <c r="A395" s="74" t="str">
        <f>IF(C395="","",COUNTIF($C$2:C395,"&lt;&gt;"))</f>
        <v/>
      </c>
      <c r="B395" s="74"/>
      <c r="C395" s="74" t="str">
        <f>IFERROR(VLOOKUP($B395,'Hack Database'!$A:$J,2,FALSE),"")</f>
        <v/>
      </c>
      <c r="D395" s="74" t="str">
        <f>IFERROR(VLOOKUP($B395,'Hack Database'!$A:$J,3,FALSE),"")</f>
        <v/>
      </c>
      <c r="E395" s="74" t="str">
        <f>IFERROR(VLOOKUP($B395,'Hack Database'!$A:$J,4,FALSE),"")</f>
        <v/>
      </c>
      <c r="F395" s="74" t="str">
        <f>IFERROR(VLOOKUP($B395,'Hack Database'!$A:$J,5,FALSE),"")</f>
        <v/>
      </c>
      <c r="G395" s="74" t="str">
        <f>IFERROR(VLOOKUP($B395,'Hack Database'!$A:$J,6,FALSE),"")</f>
        <v/>
      </c>
      <c r="H395" s="81"/>
      <c r="I395" s="81"/>
      <c r="J395" s="74"/>
      <c r="K395" s="74" t="str">
        <f t="shared" si="6"/>
        <v/>
      </c>
      <c r="L395" s="74"/>
      <c r="M395" s="84"/>
      <c r="N395" s="84"/>
      <c r="O395" s="84"/>
      <c r="P395" s="74" t="str">
        <f>IFERROR(HYPERLINK(VLOOKUP($B395,'Online Database'!$A:$J,9,FALSE),"Open Page"),IFERROR(HYPERLINK(VLOOKUP($B395,'Manual Database'!$A:$J,9,FALSE),"Open Page"),""))</f>
        <v/>
      </c>
      <c r="Q395" s="74" t="str">
        <f>IFERROR(HYPERLINK(VLOOKUP($B395,'Online Database'!$A:$J,10,FALSE),"Download"),IFERROR(HYPERLINK(VLOOKUP($B395,'Manual Database'!$A:$J,10,FALSE),"Download"),""))</f>
        <v/>
      </c>
      <c r="R395" s="90"/>
    </row>
    <row r="396" spans="1:18" ht="22.05" customHeight="1">
      <c r="A396" s="74" t="str">
        <f>IF(C396="","",COUNTIF($C$2:C396,"&lt;&gt;"))</f>
        <v/>
      </c>
      <c r="B396" s="74"/>
      <c r="C396" s="74" t="str">
        <f>IFERROR(VLOOKUP($B396,'Hack Database'!$A:$J,2,FALSE),"")</f>
        <v/>
      </c>
      <c r="D396" s="74" t="str">
        <f>IFERROR(VLOOKUP($B396,'Hack Database'!$A:$J,3,FALSE),"")</f>
        <v/>
      </c>
      <c r="E396" s="74" t="str">
        <f>IFERROR(VLOOKUP($B396,'Hack Database'!$A:$J,4,FALSE),"")</f>
        <v/>
      </c>
      <c r="F396" s="74" t="str">
        <f>IFERROR(VLOOKUP($B396,'Hack Database'!$A:$J,5,FALSE),"")</f>
        <v/>
      </c>
      <c r="G396" s="74" t="str">
        <f>IFERROR(VLOOKUP($B396,'Hack Database'!$A:$J,6,FALSE),"")</f>
        <v/>
      </c>
      <c r="H396" s="81"/>
      <c r="I396" s="81"/>
      <c r="J396" s="74"/>
      <c r="K396" s="74" t="str">
        <f t="shared" si="6"/>
        <v/>
      </c>
      <c r="L396" s="74"/>
      <c r="M396" s="84"/>
      <c r="N396" s="84"/>
      <c r="O396" s="84"/>
      <c r="P396" s="74" t="str">
        <f>IFERROR(HYPERLINK(VLOOKUP($B396,'Online Database'!$A:$J,9,FALSE),"Open Page"),IFERROR(HYPERLINK(VLOOKUP($B396,'Manual Database'!$A:$J,9,FALSE),"Open Page"),""))</f>
        <v/>
      </c>
      <c r="Q396" s="74" t="str">
        <f>IFERROR(HYPERLINK(VLOOKUP($B396,'Online Database'!$A:$J,10,FALSE),"Download"),IFERROR(HYPERLINK(VLOOKUP($B396,'Manual Database'!$A:$J,10,FALSE),"Download"),""))</f>
        <v/>
      </c>
      <c r="R396" s="90"/>
    </row>
    <row r="397" spans="1:18" ht="22.05" customHeight="1">
      <c r="A397" s="74" t="str">
        <f>IF(C397="","",COUNTIF($C$2:C397,"&lt;&gt;"))</f>
        <v/>
      </c>
      <c r="B397" s="74"/>
      <c r="C397" s="74" t="str">
        <f>IFERROR(VLOOKUP($B397,'Hack Database'!$A:$J,2,FALSE),"")</f>
        <v/>
      </c>
      <c r="D397" s="74" t="str">
        <f>IFERROR(VLOOKUP($B397,'Hack Database'!$A:$J,3,FALSE),"")</f>
        <v/>
      </c>
      <c r="E397" s="74" t="str">
        <f>IFERROR(VLOOKUP($B397,'Hack Database'!$A:$J,4,FALSE),"")</f>
        <v/>
      </c>
      <c r="F397" s="74" t="str">
        <f>IFERROR(VLOOKUP($B397,'Hack Database'!$A:$J,5,FALSE),"")</f>
        <v/>
      </c>
      <c r="G397" s="74" t="str">
        <f>IFERROR(VLOOKUP($B397,'Hack Database'!$A:$J,6,FALSE),"")</f>
        <v/>
      </c>
      <c r="H397" s="81"/>
      <c r="I397" s="81"/>
      <c r="J397" s="74"/>
      <c r="K397" s="74" t="str">
        <f t="shared" si="6"/>
        <v/>
      </c>
      <c r="L397" s="74"/>
      <c r="M397" s="84"/>
      <c r="N397" s="84"/>
      <c r="O397" s="84"/>
      <c r="P397" s="74" t="str">
        <f>IFERROR(HYPERLINK(VLOOKUP($B397,'Online Database'!$A:$J,9,FALSE),"Open Page"),IFERROR(HYPERLINK(VLOOKUP($B397,'Manual Database'!$A:$J,9,FALSE),"Open Page"),""))</f>
        <v/>
      </c>
      <c r="Q397" s="74" t="str">
        <f>IFERROR(HYPERLINK(VLOOKUP($B397,'Online Database'!$A:$J,10,FALSE),"Download"),IFERROR(HYPERLINK(VLOOKUP($B397,'Manual Database'!$A:$J,10,FALSE),"Download"),""))</f>
        <v/>
      </c>
      <c r="R397" s="90"/>
    </row>
    <row r="398" spans="1:18" ht="22.05" customHeight="1">
      <c r="A398" s="74" t="str">
        <f>IF(C398="","",COUNTIF($C$2:C398,"&lt;&gt;"))</f>
        <v/>
      </c>
      <c r="B398" s="74"/>
      <c r="C398" s="74" t="str">
        <f>IFERROR(VLOOKUP($B398,'Hack Database'!$A:$J,2,FALSE),"")</f>
        <v/>
      </c>
      <c r="D398" s="74" t="str">
        <f>IFERROR(VLOOKUP($B398,'Hack Database'!$A:$J,3,FALSE),"")</f>
        <v/>
      </c>
      <c r="E398" s="74" t="str">
        <f>IFERROR(VLOOKUP($B398,'Hack Database'!$A:$J,4,FALSE),"")</f>
        <v/>
      </c>
      <c r="F398" s="74" t="str">
        <f>IFERROR(VLOOKUP($B398,'Hack Database'!$A:$J,5,FALSE),"")</f>
        <v/>
      </c>
      <c r="G398" s="74" t="str">
        <f>IFERROR(VLOOKUP($B398,'Hack Database'!$A:$J,6,FALSE),"")</f>
        <v/>
      </c>
      <c r="H398" s="81"/>
      <c r="I398" s="81"/>
      <c r="J398" s="74"/>
      <c r="K398" s="74" t="str">
        <f t="shared" si="6"/>
        <v/>
      </c>
      <c r="L398" s="74"/>
      <c r="M398" s="84"/>
      <c r="N398" s="84"/>
      <c r="O398" s="84"/>
      <c r="P398" s="74" t="str">
        <f>IFERROR(HYPERLINK(VLOOKUP($B398,'Online Database'!$A:$J,9,FALSE),"Open Page"),IFERROR(HYPERLINK(VLOOKUP($B398,'Manual Database'!$A:$J,9,FALSE),"Open Page"),""))</f>
        <v/>
      </c>
      <c r="Q398" s="74" t="str">
        <f>IFERROR(HYPERLINK(VLOOKUP($B398,'Online Database'!$A:$J,10,FALSE),"Download"),IFERROR(HYPERLINK(VLOOKUP($B398,'Manual Database'!$A:$J,10,FALSE),"Download"),""))</f>
        <v/>
      </c>
      <c r="R398" s="90"/>
    </row>
    <row r="399" spans="1:18" ht="22.05" customHeight="1">
      <c r="A399" s="74" t="str">
        <f>IF(C399="","",COUNTIF($C$2:C399,"&lt;&gt;"))</f>
        <v/>
      </c>
      <c r="B399" s="74"/>
      <c r="C399" s="74" t="str">
        <f>IFERROR(VLOOKUP($B399,'Hack Database'!$A:$J,2,FALSE),"")</f>
        <v/>
      </c>
      <c r="D399" s="74" t="str">
        <f>IFERROR(VLOOKUP($B399,'Hack Database'!$A:$J,3,FALSE),"")</f>
        <v/>
      </c>
      <c r="E399" s="74" t="str">
        <f>IFERROR(VLOOKUP($B399,'Hack Database'!$A:$J,4,FALSE),"")</f>
        <v/>
      </c>
      <c r="F399" s="74" t="str">
        <f>IFERROR(VLOOKUP($B399,'Hack Database'!$A:$J,5,FALSE),"")</f>
        <v/>
      </c>
      <c r="G399" s="74" t="str">
        <f>IFERROR(VLOOKUP($B399,'Hack Database'!$A:$J,6,FALSE),"")</f>
        <v/>
      </c>
      <c r="H399" s="81"/>
      <c r="I399" s="81"/>
      <c r="J399" s="74"/>
      <c r="K399" s="74" t="str">
        <f t="shared" si="6"/>
        <v/>
      </c>
      <c r="L399" s="74"/>
      <c r="M399" s="84"/>
      <c r="N399" s="84"/>
      <c r="O399" s="84"/>
      <c r="P399" s="74" t="str">
        <f>IFERROR(HYPERLINK(VLOOKUP($B399,'Online Database'!$A:$J,9,FALSE),"Open Page"),IFERROR(HYPERLINK(VLOOKUP($B399,'Manual Database'!$A:$J,9,FALSE),"Open Page"),""))</f>
        <v/>
      </c>
      <c r="Q399" s="74" t="str">
        <f>IFERROR(HYPERLINK(VLOOKUP($B399,'Online Database'!$A:$J,10,FALSE),"Download"),IFERROR(HYPERLINK(VLOOKUP($B399,'Manual Database'!$A:$J,10,FALSE),"Download"),""))</f>
        <v/>
      </c>
      <c r="R399" s="90"/>
    </row>
    <row r="400" spans="1:18" ht="22.05" customHeight="1">
      <c r="A400" s="74" t="str">
        <f>IF(C400="","",COUNTIF($C$2:C400,"&lt;&gt;"))</f>
        <v/>
      </c>
      <c r="B400" s="74"/>
      <c r="C400" s="74" t="str">
        <f>IFERROR(VLOOKUP($B400,'Hack Database'!$A:$J,2,FALSE),"")</f>
        <v/>
      </c>
      <c r="D400" s="74" t="str">
        <f>IFERROR(VLOOKUP($B400,'Hack Database'!$A:$J,3,FALSE),"")</f>
        <v/>
      </c>
      <c r="E400" s="74" t="str">
        <f>IFERROR(VLOOKUP($B400,'Hack Database'!$A:$J,4,FALSE),"")</f>
        <v/>
      </c>
      <c r="F400" s="74" t="str">
        <f>IFERROR(VLOOKUP($B400,'Hack Database'!$A:$J,5,FALSE),"")</f>
        <v/>
      </c>
      <c r="G400" s="74" t="str">
        <f>IFERROR(VLOOKUP($B400,'Hack Database'!$A:$J,6,FALSE),"")</f>
        <v/>
      </c>
      <c r="H400" s="81"/>
      <c r="I400" s="81"/>
      <c r="J400" s="74"/>
      <c r="K400" s="74" t="str">
        <f t="shared" si="6"/>
        <v/>
      </c>
      <c r="L400" s="74"/>
      <c r="M400" s="84"/>
      <c r="N400" s="84"/>
      <c r="O400" s="84"/>
      <c r="P400" s="74" t="str">
        <f>IFERROR(HYPERLINK(VLOOKUP($B400,'Online Database'!$A:$J,9,FALSE),"Open Page"),IFERROR(HYPERLINK(VLOOKUP($B400,'Manual Database'!$A:$J,9,FALSE),"Open Page"),""))</f>
        <v/>
      </c>
      <c r="Q400" s="74" t="str">
        <f>IFERROR(HYPERLINK(VLOOKUP($B400,'Online Database'!$A:$J,10,FALSE),"Download"),IFERROR(HYPERLINK(VLOOKUP($B400,'Manual Database'!$A:$J,10,FALSE),"Download"),""))</f>
        <v/>
      </c>
      <c r="R400" s="90"/>
    </row>
    <row r="401" spans="1:18" ht="22.05" customHeight="1">
      <c r="A401" s="74" t="str">
        <f>IF(C401="","",COUNTIF($C$2:C401,"&lt;&gt;"))</f>
        <v/>
      </c>
      <c r="B401" s="74"/>
      <c r="C401" s="74" t="str">
        <f>IFERROR(VLOOKUP($B401,'Hack Database'!$A:$J,2,FALSE),"")</f>
        <v/>
      </c>
      <c r="D401" s="74" t="str">
        <f>IFERROR(VLOOKUP($B401,'Hack Database'!$A:$J,3,FALSE),"")</f>
        <v/>
      </c>
      <c r="E401" s="74" t="str">
        <f>IFERROR(VLOOKUP($B401,'Hack Database'!$A:$J,4,FALSE),"")</f>
        <v/>
      </c>
      <c r="F401" s="74" t="str">
        <f>IFERROR(VLOOKUP($B401,'Hack Database'!$A:$J,5,FALSE),"")</f>
        <v/>
      </c>
      <c r="G401" s="74" t="str">
        <f>IFERROR(VLOOKUP($B401,'Hack Database'!$A:$J,6,FALSE),"")</f>
        <v/>
      </c>
      <c r="H401" s="81"/>
      <c r="I401" s="81"/>
      <c r="J401" s="74"/>
      <c r="K401" s="74" t="str">
        <f t="shared" si="6"/>
        <v/>
      </c>
      <c r="L401" s="74"/>
      <c r="M401" s="84"/>
      <c r="N401" s="84"/>
      <c r="O401" s="84"/>
      <c r="P401" s="74" t="str">
        <f>IFERROR(HYPERLINK(VLOOKUP($B401,'Online Database'!$A:$J,9,FALSE),"Open Page"),IFERROR(HYPERLINK(VLOOKUP($B401,'Manual Database'!$A:$J,9,FALSE),"Open Page"),""))</f>
        <v/>
      </c>
      <c r="Q401" s="74" t="str">
        <f>IFERROR(HYPERLINK(VLOOKUP($B401,'Online Database'!$A:$J,10,FALSE),"Download"),IFERROR(HYPERLINK(VLOOKUP($B401,'Manual Database'!$A:$J,10,FALSE),"Download"),""))</f>
        <v/>
      </c>
      <c r="R401" s="90"/>
    </row>
    <row r="402" spans="1:18" ht="22.05" customHeight="1">
      <c r="A402" s="74" t="str">
        <f>IF(C402="","",COUNTIF($C$2:C402,"&lt;&gt;"))</f>
        <v/>
      </c>
      <c r="B402" s="74"/>
      <c r="C402" s="74" t="str">
        <f>IFERROR(VLOOKUP($B402,'Hack Database'!$A:$J,2,FALSE),"")</f>
        <v/>
      </c>
      <c r="D402" s="74" t="str">
        <f>IFERROR(VLOOKUP($B402,'Hack Database'!$A:$J,3,FALSE),"")</f>
        <v/>
      </c>
      <c r="E402" s="74" t="str">
        <f>IFERROR(VLOOKUP($B402,'Hack Database'!$A:$J,4,FALSE),"")</f>
        <v/>
      </c>
      <c r="F402" s="74" t="str">
        <f>IFERROR(VLOOKUP($B402,'Hack Database'!$A:$J,5,FALSE),"")</f>
        <v/>
      </c>
      <c r="G402" s="74" t="str">
        <f>IFERROR(VLOOKUP($B402,'Hack Database'!$A:$J,6,FALSE),"")</f>
        <v/>
      </c>
      <c r="H402" s="81"/>
      <c r="I402" s="81"/>
      <c r="J402" s="74"/>
      <c r="K402" s="74" t="str">
        <f t="shared" si="6"/>
        <v/>
      </c>
      <c r="L402" s="74"/>
      <c r="M402" s="84"/>
      <c r="N402" s="84"/>
      <c r="O402" s="84"/>
      <c r="P402" s="74" t="str">
        <f>IFERROR(HYPERLINK(VLOOKUP($B402,'Online Database'!$A:$J,9,FALSE),"Open Page"),IFERROR(HYPERLINK(VLOOKUP($B402,'Manual Database'!$A:$J,9,FALSE),"Open Page"),""))</f>
        <v/>
      </c>
      <c r="Q402" s="74" t="str">
        <f>IFERROR(HYPERLINK(VLOOKUP($B402,'Online Database'!$A:$J,10,FALSE),"Download"),IFERROR(HYPERLINK(VLOOKUP($B402,'Manual Database'!$A:$J,10,FALSE),"Download"),""))</f>
        <v/>
      </c>
      <c r="R402" s="90"/>
    </row>
    <row r="403" spans="1:18" ht="22.05" customHeight="1">
      <c r="A403" s="74" t="str">
        <f>IF(C403="","",COUNTIF($C$2:C403,"&lt;&gt;"))</f>
        <v/>
      </c>
      <c r="B403" s="74"/>
      <c r="C403" s="74" t="str">
        <f>IFERROR(VLOOKUP($B403,'Hack Database'!$A:$J,2,FALSE),"")</f>
        <v/>
      </c>
      <c r="D403" s="74" t="str">
        <f>IFERROR(VLOOKUP($B403,'Hack Database'!$A:$J,3,FALSE),"")</f>
        <v/>
      </c>
      <c r="E403" s="74" t="str">
        <f>IFERROR(VLOOKUP($B403,'Hack Database'!$A:$J,4,FALSE),"")</f>
        <v/>
      </c>
      <c r="F403" s="74" t="str">
        <f>IFERROR(VLOOKUP($B403,'Hack Database'!$A:$J,5,FALSE),"")</f>
        <v/>
      </c>
      <c r="G403" s="74" t="str">
        <f>IFERROR(VLOOKUP($B403,'Hack Database'!$A:$J,6,FALSE),"")</f>
        <v/>
      </c>
      <c r="H403" s="81"/>
      <c r="I403" s="81"/>
      <c r="J403" s="74"/>
      <c r="K403" s="74" t="str">
        <f t="shared" si="6"/>
        <v/>
      </c>
      <c r="L403" s="74"/>
      <c r="M403" s="84"/>
      <c r="N403" s="84"/>
      <c r="O403" s="84"/>
      <c r="P403" s="74" t="str">
        <f>IFERROR(HYPERLINK(VLOOKUP($B403,'Online Database'!$A:$J,9,FALSE),"Open Page"),IFERROR(HYPERLINK(VLOOKUP($B403,'Manual Database'!$A:$J,9,FALSE),"Open Page"),""))</f>
        <v/>
      </c>
      <c r="Q403" s="74" t="str">
        <f>IFERROR(HYPERLINK(VLOOKUP($B403,'Online Database'!$A:$J,10,FALSE),"Download"),IFERROR(HYPERLINK(VLOOKUP($B403,'Manual Database'!$A:$J,10,FALSE),"Download"),""))</f>
        <v/>
      </c>
      <c r="R403" s="90"/>
    </row>
    <row r="404" spans="1:18" ht="22.05" customHeight="1">
      <c r="A404" s="74" t="str">
        <f>IF(C404="","",COUNTIF($C$2:C404,"&lt;&gt;"))</f>
        <v/>
      </c>
      <c r="B404" s="74"/>
      <c r="C404" s="74" t="str">
        <f>IFERROR(VLOOKUP($B404,'Hack Database'!$A:$J,2,FALSE),"")</f>
        <v/>
      </c>
      <c r="D404" s="74" t="str">
        <f>IFERROR(VLOOKUP($B404,'Hack Database'!$A:$J,3,FALSE),"")</f>
        <v/>
      </c>
      <c r="E404" s="74" t="str">
        <f>IFERROR(VLOOKUP($B404,'Hack Database'!$A:$J,4,FALSE),"")</f>
        <v/>
      </c>
      <c r="F404" s="74" t="str">
        <f>IFERROR(VLOOKUP($B404,'Hack Database'!$A:$J,5,FALSE),"")</f>
        <v/>
      </c>
      <c r="G404" s="74" t="str">
        <f>IFERROR(VLOOKUP($B404,'Hack Database'!$A:$J,6,FALSE),"")</f>
        <v/>
      </c>
      <c r="H404" s="81"/>
      <c r="I404" s="81"/>
      <c r="J404" s="74"/>
      <c r="K404" s="74" t="str">
        <f t="shared" si="6"/>
        <v/>
      </c>
      <c r="L404" s="74"/>
      <c r="M404" s="84"/>
      <c r="N404" s="84"/>
      <c r="O404" s="84"/>
      <c r="P404" s="74" t="str">
        <f>IFERROR(HYPERLINK(VLOOKUP($B404,'Online Database'!$A:$J,9,FALSE),"Open Page"),IFERROR(HYPERLINK(VLOOKUP($B404,'Manual Database'!$A:$J,9,FALSE),"Open Page"),""))</f>
        <v/>
      </c>
      <c r="Q404" s="74" t="str">
        <f>IFERROR(HYPERLINK(VLOOKUP($B404,'Online Database'!$A:$J,10,FALSE),"Download"),IFERROR(HYPERLINK(VLOOKUP($B404,'Manual Database'!$A:$J,10,FALSE),"Download"),""))</f>
        <v/>
      </c>
      <c r="R404" s="90"/>
    </row>
    <row r="405" spans="1:18" ht="22.05" customHeight="1">
      <c r="A405" s="74" t="str">
        <f>IF(C405="","",COUNTIF($C$2:C405,"&lt;&gt;"))</f>
        <v/>
      </c>
      <c r="B405" s="74"/>
      <c r="C405" s="74" t="str">
        <f>IFERROR(VLOOKUP($B405,'Hack Database'!$A:$J,2,FALSE),"")</f>
        <v/>
      </c>
      <c r="D405" s="74" t="str">
        <f>IFERROR(VLOOKUP($B405,'Hack Database'!$A:$J,3,FALSE),"")</f>
        <v/>
      </c>
      <c r="E405" s="74" t="str">
        <f>IFERROR(VLOOKUP($B405,'Hack Database'!$A:$J,4,FALSE),"")</f>
        <v/>
      </c>
      <c r="F405" s="74" t="str">
        <f>IFERROR(VLOOKUP($B405,'Hack Database'!$A:$J,5,FALSE),"")</f>
        <v/>
      </c>
      <c r="G405" s="74" t="str">
        <f>IFERROR(VLOOKUP($B405,'Hack Database'!$A:$J,6,FALSE),"")</f>
        <v/>
      </c>
      <c r="H405" s="81"/>
      <c r="I405" s="81"/>
      <c r="J405" s="74"/>
      <c r="K405" s="74" t="str">
        <f t="shared" si="6"/>
        <v/>
      </c>
      <c r="L405" s="74"/>
      <c r="M405" s="84"/>
      <c r="N405" s="84"/>
      <c r="O405" s="84"/>
      <c r="P405" s="74" t="str">
        <f>IFERROR(HYPERLINK(VLOOKUP($B405,'Online Database'!$A:$J,9,FALSE),"Open Page"),IFERROR(HYPERLINK(VLOOKUP($B405,'Manual Database'!$A:$J,9,FALSE),"Open Page"),""))</f>
        <v/>
      </c>
      <c r="Q405" s="74" t="str">
        <f>IFERROR(HYPERLINK(VLOOKUP($B405,'Online Database'!$A:$J,10,FALSE),"Download"),IFERROR(HYPERLINK(VLOOKUP($B405,'Manual Database'!$A:$J,10,FALSE),"Download"),""))</f>
        <v/>
      </c>
      <c r="R405" s="90"/>
    </row>
    <row r="406" spans="1:18" ht="22.05" customHeight="1">
      <c r="A406" s="74" t="str">
        <f>IF(C406="","",COUNTIF($C$2:C406,"&lt;&gt;"))</f>
        <v/>
      </c>
      <c r="B406" s="74"/>
      <c r="C406" s="74" t="str">
        <f>IFERROR(VLOOKUP($B406,'Hack Database'!$A:$J,2,FALSE),"")</f>
        <v/>
      </c>
      <c r="D406" s="74" t="str">
        <f>IFERROR(VLOOKUP($B406,'Hack Database'!$A:$J,3,FALSE),"")</f>
        <v/>
      </c>
      <c r="E406" s="74" t="str">
        <f>IFERROR(VLOOKUP($B406,'Hack Database'!$A:$J,4,FALSE),"")</f>
        <v/>
      </c>
      <c r="F406" s="74" t="str">
        <f>IFERROR(VLOOKUP($B406,'Hack Database'!$A:$J,5,FALSE),"")</f>
        <v/>
      </c>
      <c r="G406" s="74" t="str">
        <f>IFERROR(VLOOKUP($B406,'Hack Database'!$A:$J,6,FALSE),"")</f>
        <v/>
      </c>
      <c r="H406" s="81"/>
      <c r="I406" s="81"/>
      <c r="J406" s="74"/>
      <c r="K406" s="74" t="str">
        <f t="shared" si="6"/>
        <v/>
      </c>
      <c r="L406" s="74"/>
      <c r="M406" s="84"/>
      <c r="N406" s="84"/>
      <c r="O406" s="84"/>
      <c r="P406" s="74" t="str">
        <f>IFERROR(HYPERLINK(VLOOKUP($B406,'Online Database'!$A:$J,9,FALSE),"Open Page"),IFERROR(HYPERLINK(VLOOKUP($B406,'Manual Database'!$A:$J,9,FALSE),"Open Page"),""))</f>
        <v/>
      </c>
      <c r="Q406" s="74" t="str">
        <f>IFERROR(HYPERLINK(VLOOKUP($B406,'Online Database'!$A:$J,10,FALSE),"Download"),IFERROR(HYPERLINK(VLOOKUP($B406,'Manual Database'!$A:$J,10,FALSE),"Download"),""))</f>
        <v/>
      </c>
      <c r="R406" s="90"/>
    </row>
    <row r="407" spans="1:18" ht="22.05" customHeight="1">
      <c r="A407" s="74" t="str">
        <f>IF(C407="","",COUNTIF($C$2:C407,"&lt;&gt;"))</f>
        <v/>
      </c>
      <c r="B407" s="74"/>
      <c r="C407" s="74" t="str">
        <f>IFERROR(VLOOKUP($B407,'Hack Database'!$A:$J,2,FALSE),"")</f>
        <v/>
      </c>
      <c r="D407" s="74" t="str">
        <f>IFERROR(VLOOKUP($B407,'Hack Database'!$A:$J,3,FALSE),"")</f>
        <v/>
      </c>
      <c r="E407" s="74" t="str">
        <f>IFERROR(VLOOKUP($B407,'Hack Database'!$A:$J,4,FALSE),"")</f>
        <v/>
      </c>
      <c r="F407" s="74" t="str">
        <f>IFERROR(VLOOKUP($B407,'Hack Database'!$A:$J,5,FALSE),"")</f>
        <v/>
      </c>
      <c r="G407" s="74" t="str">
        <f>IFERROR(VLOOKUP($B407,'Hack Database'!$A:$J,6,FALSE),"")</f>
        <v/>
      </c>
      <c r="H407" s="81"/>
      <c r="I407" s="81"/>
      <c r="J407" s="74"/>
      <c r="K407" s="74" t="str">
        <f t="shared" si="6"/>
        <v/>
      </c>
      <c r="L407" s="74"/>
      <c r="M407" s="84"/>
      <c r="N407" s="84"/>
      <c r="O407" s="84"/>
      <c r="P407" s="74" t="str">
        <f>IFERROR(HYPERLINK(VLOOKUP($B407,'Online Database'!$A:$J,9,FALSE),"Open Page"),IFERROR(HYPERLINK(VLOOKUP($B407,'Manual Database'!$A:$J,9,FALSE),"Open Page"),""))</f>
        <v/>
      </c>
      <c r="Q407" s="74" t="str">
        <f>IFERROR(HYPERLINK(VLOOKUP($B407,'Online Database'!$A:$J,10,FALSE),"Download"),IFERROR(HYPERLINK(VLOOKUP($B407,'Manual Database'!$A:$J,10,FALSE),"Download"),""))</f>
        <v/>
      </c>
      <c r="R407" s="90"/>
    </row>
    <row r="408" spans="1:18" ht="22.05" customHeight="1">
      <c r="A408" s="74" t="str">
        <f>IF(C408="","",COUNTIF($C$2:C408,"&lt;&gt;"))</f>
        <v/>
      </c>
      <c r="B408" s="74"/>
      <c r="C408" s="74" t="str">
        <f>IFERROR(VLOOKUP($B408,'Hack Database'!$A:$J,2,FALSE),"")</f>
        <v/>
      </c>
      <c r="D408" s="74" t="str">
        <f>IFERROR(VLOOKUP($B408,'Hack Database'!$A:$J,3,FALSE),"")</f>
        <v/>
      </c>
      <c r="E408" s="74" t="str">
        <f>IFERROR(VLOOKUP($B408,'Hack Database'!$A:$J,4,FALSE),"")</f>
        <v/>
      </c>
      <c r="F408" s="74" t="str">
        <f>IFERROR(VLOOKUP($B408,'Hack Database'!$A:$J,5,FALSE),"")</f>
        <v/>
      </c>
      <c r="G408" s="74" t="str">
        <f>IFERROR(VLOOKUP($B408,'Hack Database'!$A:$J,6,FALSE),"")</f>
        <v/>
      </c>
      <c r="H408" s="81"/>
      <c r="I408" s="81"/>
      <c r="J408" s="74"/>
      <c r="K408" s="74" t="str">
        <f t="shared" si="6"/>
        <v/>
      </c>
      <c r="L408" s="74"/>
      <c r="M408" s="84"/>
      <c r="N408" s="84"/>
      <c r="O408" s="84"/>
      <c r="P408" s="74" t="str">
        <f>IFERROR(HYPERLINK(VLOOKUP($B408,'Online Database'!$A:$J,9,FALSE),"Open Page"),IFERROR(HYPERLINK(VLOOKUP($B408,'Manual Database'!$A:$J,9,FALSE),"Open Page"),""))</f>
        <v/>
      </c>
      <c r="Q408" s="74" t="str">
        <f>IFERROR(HYPERLINK(VLOOKUP($B408,'Online Database'!$A:$J,10,FALSE),"Download"),IFERROR(HYPERLINK(VLOOKUP($B408,'Manual Database'!$A:$J,10,FALSE),"Download"),""))</f>
        <v/>
      </c>
      <c r="R408" s="90"/>
    </row>
    <row r="409" spans="1:18" ht="22.05" customHeight="1">
      <c r="A409" s="74" t="str">
        <f>IF(C409="","",COUNTIF($C$2:C409,"&lt;&gt;"))</f>
        <v/>
      </c>
      <c r="B409" s="74"/>
      <c r="C409" s="74" t="str">
        <f>IFERROR(VLOOKUP($B409,'Hack Database'!$A:$J,2,FALSE),"")</f>
        <v/>
      </c>
      <c r="D409" s="74" t="str">
        <f>IFERROR(VLOOKUP($B409,'Hack Database'!$A:$J,3,FALSE),"")</f>
        <v/>
      </c>
      <c r="E409" s="74" t="str">
        <f>IFERROR(VLOOKUP($B409,'Hack Database'!$A:$J,4,FALSE),"")</f>
        <v/>
      </c>
      <c r="F409" s="74" t="str">
        <f>IFERROR(VLOOKUP($B409,'Hack Database'!$A:$J,5,FALSE),"")</f>
        <v/>
      </c>
      <c r="G409" s="74" t="str">
        <f>IFERROR(VLOOKUP($B409,'Hack Database'!$A:$J,6,FALSE),"")</f>
        <v/>
      </c>
      <c r="H409" s="81"/>
      <c r="I409" s="81"/>
      <c r="J409" s="74"/>
      <c r="K409" s="74" t="str">
        <f t="shared" si="6"/>
        <v/>
      </c>
      <c r="L409" s="74"/>
      <c r="M409" s="84"/>
      <c r="N409" s="84"/>
      <c r="O409" s="84"/>
      <c r="P409" s="74" t="str">
        <f>IFERROR(HYPERLINK(VLOOKUP($B409,'Online Database'!$A:$J,9,FALSE),"Open Page"),IFERROR(HYPERLINK(VLOOKUP($B409,'Manual Database'!$A:$J,9,FALSE),"Open Page"),""))</f>
        <v/>
      </c>
      <c r="Q409" s="74" t="str">
        <f>IFERROR(HYPERLINK(VLOOKUP($B409,'Online Database'!$A:$J,10,FALSE),"Download"),IFERROR(HYPERLINK(VLOOKUP($B409,'Manual Database'!$A:$J,10,FALSE),"Download"),""))</f>
        <v/>
      </c>
      <c r="R409" s="90"/>
    </row>
    <row r="410" spans="1:18" ht="22.05" customHeight="1">
      <c r="A410" s="74" t="str">
        <f>IF(C410="","",COUNTIF($C$2:C410,"&lt;&gt;"))</f>
        <v/>
      </c>
      <c r="B410" s="74"/>
      <c r="C410" s="74" t="str">
        <f>IFERROR(VLOOKUP($B410,'Hack Database'!$A:$J,2,FALSE),"")</f>
        <v/>
      </c>
      <c r="D410" s="74" t="str">
        <f>IFERROR(VLOOKUP($B410,'Hack Database'!$A:$J,3,FALSE),"")</f>
        <v/>
      </c>
      <c r="E410" s="74" t="str">
        <f>IFERROR(VLOOKUP($B410,'Hack Database'!$A:$J,4,FALSE),"")</f>
        <v/>
      </c>
      <c r="F410" s="74" t="str">
        <f>IFERROR(VLOOKUP($B410,'Hack Database'!$A:$J,5,FALSE),"")</f>
        <v/>
      </c>
      <c r="G410" s="74" t="str">
        <f>IFERROR(VLOOKUP($B410,'Hack Database'!$A:$J,6,FALSE),"")</f>
        <v/>
      </c>
      <c r="H410" s="81"/>
      <c r="I410" s="81"/>
      <c r="J410" s="74"/>
      <c r="K410" s="74" t="str">
        <f t="shared" si="6"/>
        <v/>
      </c>
      <c r="L410" s="74"/>
      <c r="M410" s="84"/>
      <c r="N410" s="84"/>
      <c r="O410" s="84"/>
      <c r="P410" s="74" t="str">
        <f>IFERROR(HYPERLINK(VLOOKUP($B410,'Online Database'!$A:$J,9,FALSE),"Open Page"),IFERROR(HYPERLINK(VLOOKUP($B410,'Manual Database'!$A:$J,9,FALSE),"Open Page"),""))</f>
        <v/>
      </c>
      <c r="Q410" s="74" t="str">
        <f>IFERROR(HYPERLINK(VLOOKUP($B410,'Online Database'!$A:$J,10,FALSE),"Download"),IFERROR(HYPERLINK(VLOOKUP($B410,'Manual Database'!$A:$J,10,FALSE),"Download"),""))</f>
        <v/>
      </c>
      <c r="R410" s="90"/>
    </row>
    <row r="411" spans="1:18" ht="22.05" customHeight="1">
      <c r="A411" s="74" t="str">
        <f>IF(C411="","",COUNTIF($C$2:C411,"&lt;&gt;"))</f>
        <v/>
      </c>
      <c r="B411" s="74"/>
      <c r="C411" s="74" t="str">
        <f>IFERROR(VLOOKUP($B411,'Hack Database'!$A:$J,2,FALSE),"")</f>
        <v/>
      </c>
      <c r="D411" s="74" t="str">
        <f>IFERROR(VLOOKUP($B411,'Hack Database'!$A:$J,3,FALSE),"")</f>
        <v/>
      </c>
      <c r="E411" s="74" t="str">
        <f>IFERROR(VLOOKUP($B411,'Hack Database'!$A:$J,4,FALSE),"")</f>
        <v/>
      </c>
      <c r="F411" s="74" t="str">
        <f>IFERROR(VLOOKUP($B411,'Hack Database'!$A:$J,5,FALSE),"")</f>
        <v/>
      </c>
      <c r="G411" s="74" t="str">
        <f>IFERROR(VLOOKUP($B411,'Hack Database'!$A:$J,6,FALSE),"")</f>
        <v/>
      </c>
      <c r="H411" s="81"/>
      <c r="I411" s="81"/>
      <c r="J411" s="74"/>
      <c r="K411" s="74" t="str">
        <f t="shared" si="6"/>
        <v/>
      </c>
      <c r="L411" s="74"/>
      <c r="M411" s="84"/>
      <c r="N411" s="84"/>
      <c r="O411" s="84"/>
      <c r="P411" s="74" t="str">
        <f>IFERROR(HYPERLINK(VLOOKUP($B411,'Online Database'!$A:$J,9,FALSE),"Open Page"),IFERROR(HYPERLINK(VLOOKUP($B411,'Manual Database'!$A:$J,9,FALSE),"Open Page"),""))</f>
        <v/>
      </c>
      <c r="Q411" s="74" t="str">
        <f>IFERROR(HYPERLINK(VLOOKUP($B411,'Online Database'!$A:$J,10,FALSE),"Download"),IFERROR(HYPERLINK(VLOOKUP($B411,'Manual Database'!$A:$J,10,FALSE),"Download"),""))</f>
        <v/>
      </c>
      <c r="R411" s="90"/>
    </row>
    <row r="412" spans="1:18" ht="22.05" customHeight="1">
      <c r="A412" s="74" t="str">
        <f>IF(C412="","",COUNTIF($C$2:C412,"&lt;&gt;"))</f>
        <v/>
      </c>
      <c r="B412" s="74"/>
      <c r="C412" s="74" t="str">
        <f>IFERROR(VLOOKUP($B412,'Hack Database'!$A:$J,2,FALSE),"")</f>
        <v/>
      </c>
      <c r="D412" s="74" t="str">
        <f>IFERROR(VLOOKUP($B412,'Hack Database'!$A:$J,3,FALSE),"")</f>
        <v/>
      </c>
      <c r="E412" s="74" t="str">
        <f>IFERROR(VLOOKUP($B412,'Hack Database'!$A:$J,4,FALSE),"")</f>
        <v/>
      </c>
      <c r="F412" s="74" t="str">
        <f>IFERROR(VLOOKUP($B412,'Hack Database'!$A:$J,5,FALSE),"")</f>
        <v/>
      </c>
      <c r="G412" s="74" t="str">
        <f>IFERROR(VLOOKUP($B412,'Hack Database'!$A:$J,6,FALSE),"")</f>
        <v/>
      </c>
      <c r="H412" s="81"/>
      <c r="I412" s="81"/>
      <c r="J412" s="74"/>
      <c r="K412" s="74" t="str">
        <f t="shared" si="6"/>
        <v/>
      </c>
      <c r="L412" s="74"/>
      <c r="M412" s="84"/>
      <c r="N412" s="84"/>
      <c r="O412" s="84"/>
      <c r="P412" s="74" t="str">
        <f>IFERROR(HYPERLINK(VLOOKUP($B412,'Online Database'!$A:$J,9,FALSE),"Open Page"),IFERROR(HYPERLINK(VLOOKUP($B412,'Manual Database'!$A:$J,9,FALSE),"Open Page"),""))</f>
        <v/>
      </c>
      <c r="Q412" s="74" t="str">
        <f>IFERROR(HYPERLINK(VLOOKUP($B412,'Online Database'!$A:$J,10,FALSE),"Download"),IFERROR(HYPERLINK(VLOOKUP($B412,'Manual Database'!$A:$J,10,FALSE),"Download"),""))</f>
        <v/>
      </c>
      <c r="R412" s="90"/>
    </row>
    <row r="413" spans="1:18" ht="22.05" customHeight="1">
      <c r="A413" s="74" t="str">
        <f>IF(C413="","",COUNTIF($C$2:C413,"&lt;&gt;"))</f>
        <v/>
      </c>
      <c r="B413" s="74"/>
      <c r="C413" s="74" t="str">
        <f>IFERROR(VLOOKUP($B413,'Hack Database'!$A:$J,2,FALSE),"")</f>
        <v/>
      </c>
      <c r="D413" s="74" t="str">
        <f>IFERROR(VLOOKUP($B413,'Hack Database'!$A:$J,3,FALSE),"")</f>
        <v/>
      </c>
      <c r="E413" s="74" t="str">
        <f>IFERROR(VLOOKUP($B413,'Hack Database'!$A:$J,4,FALSE),"")</f>
        <v/>
      </c>
      <c r="F413" s="74" t="str">
        <f>IFERROR(VLOOKUP($B413,'Hack Database'!$A:$J,5,FALSE),"")</f>
        <v/>
      </c>
      <c r="G413" s="74" t="str">
        <f>IFERROR(VLOOKUP($B413,'Hack Database'!$A:$J,6,FALSE),"")</f>
        <v/>
      </c>
      <c r="H413" s="81"/>
      <c r="I413" s="81"/>
      <c r="J413" s="74"/>
      <c r="K413" s="74" t="str">
        <f t="shared" si="6"/>
        <v/>
      </c>
      <c r="L413" s="74"/>
      <c r="M413" s="84"/>
      <c r="N413" s="84"/>
      <c r="O413" s="84"/>
      <c r="P413" s="74" t="str">
        <f>IFERROR(HYPERLINK(VLOOKUP($B413,'Online Database'!$A:$J,9,FALSE),"Open Page"),IFERROR(HYPERLINK(VLOOKUP($B413,'Manual Database'!$A:$J,9,FALSE),"Open Page"),""))</f>
        <v/>
      </c>
      <c r="Q413" s="74" t="str">
        <f>IFERROR(HYPERLINK(VLOOKUP($B413,'Online Database'!$A:$J,10,FALSE),"Download"),IFERROR(HYPERLINK(VLOOKUP($B413,'Manual Database'!$A:$J,10,FALSE),"Download"),""))</f>
        <v/>
      </c>
      <c r="R413" s="90"/>
    </row>
    <row r="414" spans="1:18" ht="22.05" customHeight="1">
      <c r="A414" s="74" t="str">
        <f>IF(C414="","",COUNTIF($C$2:C414,"&lt;&gt;"))</f>
        <v/>
      </c>
      <c r="B414" s="74"/>
      <c r="C414" s="74" t="str">
        <f>IFERROR(VLOOKUP($B414,'Hack Database'!$A:$J,2,FALSE),"")</f>
        <v/>
      </c>
      <c r="D414" s="74" t="str">
        <f>IFERROR(VLOOKUP($B414,'Hack Database'!$A:$J,3,FALSE),"")</f>
        <v/>
      </c>
      <c r="E414" s="74" t="str">
        <f>IFERROR(VLOOKUP($B414,'Hack Database'!$A:$J,4,FALSE),"")</f>
        <v/>
      </c>
      <c r="F414" s="74" t="str">
        <f>IFERROR(VLOOKUP($B414,'Hack Database'!$A:$J,5,FALSE),"")</f>
        <v/>
      </c>
      <c r="G414" s="74" t="str">
        <f>IFERROR(VLOOKUP($B414,'Hack Database'!$A:$J,6,FALSE),"")</f>
        <v/>
      </c>
      <c r="H414" s="81"/>
      <c r="I414" s="81"/>
      <c r="J414" s="74"/>
      <c r="K414" s="74" t="str">
        <f t="shared" si="6"/>
        <v/>
      </c>
      <c r="L414" s="74"/>
      <c r="M414" s="84"/>
      <c r="N414" s="84"/>
      <c r="O414" s="84"/>
      <c r="P414" s="74" t="str">
        <f>IFERROR(HYPERLINK(VLOOKUP($B414,'Online Database'!$A:$J,9,FALSE),"Open Page"),IFERROR(HYPERLINK(VLOOKUP($B414,'Manual Database'!$A:$J,9,FALSE),"Open Page"),""))</f>
        <v/>
      </c>
      <c r="Q414" s="74" t="str">
        <f>IFERROR(HYPERLINK(VLOOKUP($B414,'Online Database'!$A:$J,10,FALSE),"Download"),IFERROR(HYPERLINK(VLOOKUP($B414,'Manual Database'!$A:$J,10,FALSE),"Download"),""))</f>
        <v/>
      </c>
      <c r="R414" s="90"/>
    </row>
    <row r="415" spans="1:18" ht="22.05" customHeight="1">
      <c r="A415" s="74" t="str">
        <f>IF(C415="","",COUNTIF($C$2:C415,"&lt;&gt;"))</f>
        <v/>
      </c>
      <c r="B415" s="74"/>
      <c r="C415" s="74" t="str">
        <f>IFERROR(VLOOKUP($B415,'Hack Database'!$A:$J,2,FALSE),"")</f>
        <v/>
      </c>
      <c r="D415" s="74" t="str">
        <f>IFERROR(VLOOKUP($B415,'Hack Database'!$A:$J,3,FALSE),"")</f>
        <v/>
      </c>
      <c r="E415" s="74" t="str">
        <f>IFERROR(VLOOKUP($B415,'Hack Database'!$A:$J,4,FALSE),"")</f>
        <v/>
      </c>
      <c r="F415" s="74" t="str">
        <f>IFERROR(VLOOKUP($B415,'Hack Database'!$A:$J,5,FALSE),"")</f>
        <v/>
      </c>
      <c r="G415" s="74" t="str">
        <f>IFERROR(VLOOKUP($B415,'Hack Database'!$A:$J,6,FALSE),"")</f>
        <v/>
      </c>
      <c r="H415" s="81"/>
      <c r="I415" s="81"/>
      <c r="J415" s="74"/>
      <c r="K415" s="74" t="str">
        <f t="shared" si="6"/>
        <v/>
      </c>
      <c r="L415" s="74"/>
      <c r="M415" s="84"/>
      <c r="N415" s="84"/>
      <c r="O415" s="84"/>
      <c r="P415" s="74" t="str">
        <f>IFERROR(HYPERLINK(VLOOKUP($B415,'Online Database'!$A:$J,9,FALSE),"Open Page"),IFERROR(HYPERLINK(VLOOKUP($B415,'Manual Database'!$A:$J,9,FALSE),"Open Page"),""))</f>
        <v/>
      </c>
      <c r="Q415" s="74" t="str">
        <f>IFERROR(HYPERLINK(VLOOKUP($B415,'Online Database'!$A:$J,10,FALSE),"Download"),IFERROR(HYPERLINK(VLOOKUP($B415,'Manual Database'!$A:$J,10,FALSE),"Download"),""))</f>
        <v/>
      </c>
      <c r="R415" s="90"/>
    </row>
    <row r="416" spans="1:18" ht="22.05" customHeight="1">
      <c r="A416" s="74" t="str">
        <f>IF(C416="","",COUNTIF($C$2:C416,"&lt;&gt;"))</f>
        <v/>
      </c>
      <c r="B416" s="74"/>
      <c r="C416" s="74" t="str">
        <f>IFERROR(VLOOKUP($B416,'Hack Database'!$A:$J,2,FALSE),"")</f>
        <v/>
      </c>
      <c r="D416" s="74" t="str">
        <f>IFERROR(VLOOKUP($B416,'Hack Database'!$A:$J,3,FALSE),"")</f>
        <v/>
      </c>
      <c r="E416" s="74" t="str">
        <f>IFERROR(VLOOKUP($B416,'Hack Database'!$A:$J,4,FALSE),"")</f>
        <v/>
      </c>
      <c r="F416" s="74" t="str">
        <f>IFERROR(VLOOKUP($B416,'Hack Database'!$A:$J,5,FALSE),"")</f>
        <v/>
      </c>
      <c r="G416" s="74" t="str">
        <f>IFERROR(VLOOKUP($B416,'Hack Database'!$A:$J,6,FALSE),"")</f>
        <v/>
      </c>
      <c r="H416" s="81"/>
      <c r="I416" s="81"/>
      <c r="J416" s="74"/>
      <c r="K416" s="74" t="str">
        <f t="shared" si="6"/>
        <v/>
      </c>
      <c r="L416" s="74"/>
      <c r="M416" s="84"/>
      <c r="N416" s="84"/>
      <c r="O416" s="84"/>
      <c r="P416" s="74" t="str">
        <f>IFERROR(HYPERLINK(VLOOKUP($B416,'Online Database'!$A:$J,9,FALSE),"Open Page"),IFERROR(HYPERLINK(VLOOKUP($B416,'Manual Database'!$A:$J,9,FALSE),"Open Page"),""))</f>
        <v/>
      </c>
      <c r="Q416" s="74" t="str">
        <f>IFERROR(HYPERLINK(VLOOKUP($B416,'Online Database'!$A:$J,10,FALSE),"Download"),IFERROR(HYPERLINK(VLOOKUP($B416,'Manual Database'!$A:$J,10,FALSE),"Download"),""))</f>
        <v/>
      </c>
      <c r="R416" s="90"/>
    </row>
    <row r="417" spans="1:18" ht="22.05" customHeight="1">
      <c r="A417" s="74" t="str">
        <f>IF(C417="","",COUNTIF($C$2:C417,"&lt;&gt;"))</f>
        <v/>
      </c>
      <c r="B417" s="74"/>
      <c r="C417" s="74" t="str">
        <f>IFERROR(VLOOKUP($B417,'Hack Database'!$A:$J,2,FALSE),"")</f>
        <v/>
      </c>
      <c r="D417" s="74" t="str">
        <f>IFERROR(VLOOKUP($B417,'Hack Database'!$A:$J,3,FALSE),"")</f>
        <v/>
      </c>
      <c r="E417" s="74" t="str">
        <f>IFERROR(VLOOKUP($B417,'Hack Database'!$A:$J,4,FALSE),"")</f>
        <v/>
      </c>
      <c r="F417" s="74" t="str">
        <f>IFERROR(VLOOKUP($B417,'Hack Database'!$A:$J,5,FALSE),"")</f>
        <v/>
      </c>
      <c r="G417" s="74" t="str">
        <f>IFERROR(VLOOKUP($B417,'Hack Database'!$A:$J,6,FALSE),"")</f>
        <v/>
      </c>
      <c r="H417" s="81"/>
      <c r="I417" s="81"/>
      <c r="J417" s="74"/>
      <c r="K417" s="74" t="str">
        <f t="shared" si="6"/>
        <v/>
      </c>
      <c r="L417" s="74"/>
      <c r="M417" s="84"/>
      <c r="N417" s="84"/>
      <c r="O417" s="84"/>
      <c r="P417" s="74" t="str">
        <f>IFERROR(HYPERLINK(VLOOKUP($B417,'Online Database'!$A:$J,9,FALSE),"Open Page"),IFERROR(HYPERLINK(VLOOKUP($B417,'Manual Database'!$A:$J,9,FALSE),"Open Page"),""))</f>
        <v/>
      </c>
      <c r="Q417" s="74" t="str">
        <f>IFERROR(HYPERLINK(VLOOKUP($B417,'Online Database'!$A:$J,10,FALSE),"Download"),IFERROR(HYPERLINK(VLOOKUP($B417,'Manual Database'!$A:$J,10,FALSE),"Download"),""))</f>
        <v/>
      </c>
      <c r="R417" s="90"/>
    </row>
    <row r="418" spans="1:18" ht="22.05" customHeight="1">
      <c r="A418" s="74" t="str">
        <f>IF(C418="","",COUNTIF($C$2:C418,"&lt;&gt;"))</f>
        <v/>
      </c>
      <c r="B418" s="74"/>
      <c r="C418" s="74" t="str">
        <f>IFERROR(VLOOKUP($B418,'Hack Database'!$A:$J,2,FALSE),"")</f>
        <v/>
      </c>
      <c r="D418" s="74" t="str">
        <f>IFERROR(VLOOKUP($B418,'Hack Database'!$A:$J,3,FALSE),"")</f>
        <v/>
      </c>
      <c r="E418" s="74" t="str">
        <f>IFERROR(VLOOKUP($B418,'Hack Database'!$A:$J,4,FALSE),"")</f>
        <v/>
      </c>
      <c r="F418" s="74" t="str">
        <f>IFERROR(VLOOKUP($B418,'Hack Database'!$A:$J,5,FALSE),"")</f>
        <v/>
      </c>
      <c r="G418" s="74" t="str">
        <f>IFERROR(VLOOKUP($B418,'Hack Database'!$A:$J,6,FALSE),"")</f>
        <v/>
      </c>
      <c r="H418" s="81"/>
      <c r="I418" s="81"/>
      <c r="J418" s="74"/>
      <c r="K418" s="74" t="str">
        <f t="shared" si="6"/>
        <v/>
      </c>
      <c r="L418" s="74"/>
      <c r="M418" s="84"/>
      <c r="N418" s="84"/>
      <c r="O418" s="84"/>
      <c r="P418" s="74" t="str">
        <f>IFERROR(HYPERLINK(VLOOKUP($B418,'Online Database'!$A:$J,9,FALSE),"Open Page"),IFERROR(HYPERLINK(VLOOKUP($B418,'Manual Database'!$A:$J,9,FALSE),"Open Page"),""))</f>
        <v/>
      </c>
      <c r="Q418" s="74" t="str">
        <f>IFERROR(HYPERLINK(VLOOKUP($B418,'Online Database'!$A:$J,10,FALSE),"Download"),IFERROR(HYPERLINK(VLOOKUP($B418,'Manual Database'!$A:$J,10,FALSE),"Download"),""))</f>
        <v/>
      </c>
      <c r="R418" s="90"/>
    </row>
    <row r="419" spans="1:18" ht="22.05" customHeight="1">
      <c r="A419" s="74" t="str">
        <f>IF(C419="","",COUNTIF($C$2:C419,"&lt;&gt;"))</f>
        <v/>
      </c>
      <c r="B419" s="74"/>
      <c r="C419" s="74" t="str">
        <f>IFERROR(VLOOKUP($B419,'Hack Database'!$A:$J,2,FALSE),"")</f>
        <v/>
      </c>
      <c r="D419" s="74" t="str">
        <f>IFERROR(VLOOKUP($B419,'Hack Database'!$A:$J,3,FALSE),"")</f>
        <v/>
      </c>
      <c r="E419" s="74" t="str">
        <f>IFERROR(VLOOKUP($B419,'Hack Database'!$A:$J,4,FALSE),"")</f>
        <v/>
      </c>
      <c r="F419" s="74" t="str">
        <f>IFERROR(VLOOKUP($B419,'Hack Database'!$A:$J,5,FALSE),"")</f>
        <v/>
      </c>
      <c r="G419" s="74" t="str">
        <f>IFERROR(VLOOKUP($B419,'Hack Database'!$A:$J,6,FALSE),"")</f>
        <v/>
      </c>
      <c r="H419" s="81"/>
      <c r="I419" s="81"/>
      <c r="J419" s="74"/>
      <c r="K419" s="74" t="str">
        <f t="shared" si="6"/>
        <v/>
      </c>
      <c r="L419" s="74"/>
      <c r="M419" s="84"/>
      <c r="N419" s="84"/>
      <c r="O419" s="84"/>
      <c r="P419" s="74" t="str">
        <f>IFERROR(HYPERLINK(VLOOKUP($B419,'Online Database'!$A:$J,9,FALSE),"Open Page"),IFERROR(HYPERLINK(VLOOKUP($B419,'Manual Database'!$A:$J,9,FALSE),"Open Page"),""))</f>
        <v/>
      </c>
      <c r="Q419" s="74" t="str">
        <f>IFERROR(HYPERLINK(VLOOKUP($B419,'Online Database'!$A:$J,10,FALSE),"Download"),IFERROR(HYPERLINK(VLOOKUP($B419,'Manual Database'!$A:$J,10,FALSE),"Download"),""))</f>
        <v/>
      </c>
      <c r="R419" s="90"/>
    </row>
    <row r="420" spans="1:18" ht="22.05" customHeight="1">
      <c r="A420" s="74" t="str">
        <f>IF(C420="","",COUNTIF($C$2:C420,"&lt;&gt;"))</f>
        <v/>
      </c>
      <c r="B420" s="74"/>
      <c r="C420" s="74" t="str">
        <f>IFERROR(VLOOKUP($B420,'Hack Database'!$A:$J,2,FALSE),"")</f>
        <v/>
      </c>
      <c r="D420" s="74" t="str">
        <f>IFERROR(VLOOKUP($B420,'Hack Database'!$A:$J,3,FALSE),"")</f>
        <v/>
      </c>
      <c r="E420" s="74" t="str">
        <f>IFERROR(VLOOKUP($B420,'Hack Database'!$A:$J,4,FALSE),"")</f>
        <v/>
      </c>
      <c r="F420" s="74" t="str">
        <f>IFERROR(VLOOKUP($B420,'Hack Database'!$A:$J,5,FALSE),"")</f>
        <v/>
      </c>
      <c r="G420" s="74" t="str">
        <f>IFERROR(VLOOKUP($B420,'Hack Database'!$A:$J,6,FALSE),"")</f>
        <v/>
      </c>
      <c r="H420" s="81"/>
      <c r="I420" s="81"/>
      <c r="J420" s="74"/>
      <c r="K420" s="74" t="str">
        <f t="shared" si="6"/>
        <v/>
      </c>
      <c r="L420" s="74"/>
      <c r="M420" s="84"/>
      <c r="N420" s="84"/>
      <c r="O420" s="84"/>
      <c r="P420" s="74" t="str">
        <f>IFERROR(HYPERLINK(VLOOKUP($B420,'Online Database'!$A:$J,9,FALSE),"Open Page"),IFERROR(HYPERLINK(VLOOKUP($B420,'Manual Database'!$A:$J,9,FALSE),"Open Page"),""))</f>
        <v/>
      </c>
      <c r="Q420" s="74" t="str">
        <f>IFERROR(HYPERLINK(VLOOKUP($B420,'Online Database'!$A:$J,10,FALSE),"Download"),IFERROR(HYPERLINK(VLOOKUP($B420,'Manual Database'!$A:$J,10,FALSE),"Download"),""))</f>
        <v/>
      </c>
      <c r="R420" s="90"/>
    </row>
    <row r="421" spans="1:18" ht="22.05" customHeight="1">
      <c r="A421" s="74" t="str">
        <f>IF(C421="","",COUNTIF($C$2:C421,"&lt;&gt;"))</f>
        <v/>
      </c>
      <c r="B421" s="74"/>
      <c r="C421" s="74" t="str">
        <f>IFERROR(VLOOKUP($B421,'Hack Database'!$A:$J,2,FALSE),"")</f>
        <v/>
      </c>
      <c r="D421" s="74" t="str">
        <f>IFERROR(VLOOKUP($B421,'Hack Database'!$A:$J,3,FALSE),"")</f>
        <v/>
      </c>
      <c r="E421" s="74" t="str">
        <f>IFERROR(VLOOKUP($B421,'Hack Database'!$A:$J,4,FALSE),"")</f>
        <v/>
      </c>
      <c r="F421" s="74" t="str">
        <f>IFERROR(VLOOKUP($B421,'Hack Database'!$A:$J,5,FALSE),"")</f>
        <v/>
      </c>
      <c r="G421" s="74" t="str">
        <f>IFERROR(VLOOKUP($B421,'Hack Database'!$A:$J,6,FALSE),"")</f>
        <v/>
      </c>
      <c r="H421" s="81"/>
      <c r="I421" s="81"/>
      <c r="J421" s="74"/>
      <c r="K421" s="74" t="str">
        <f t="shared" si="6"/>
        <v/>
      </c>
      <c r="L421" s="74"/>
      <c r="M421" s="84"/>
      <c r="N421" s="84"/>
      <c r="O421" s="84"/>
      <c r="P421" s="74" t="str">
        <f>IFERROR(HYPERLINK(VLOOKUP($B421,'Online Database'!$A:$J,9,FALSE),"Open Page"),IFERROR(HYPERLINK(VLOOKUP($B421,'Manual Database'!$A:$J,9,FALSE),"Open Page"),""))</f>
        <v/>
      </c>
      <c r="Q421" s="74" t="str">
        <f>IFERROR(HYPERLINK(VLOOKUP($B421,'Online Database'!$A:$J,10,FALSE),"Download"),IFERROR(HYPERLINK(VLOOKUP($B421,'Manual Database'!$A:$J,10,FALSE),"Download"),""))</f>
        <v/>
      </c>
      <c r="R421" s="90"/>
    </row>
    <row r="422" spans="1:18" ht="22.05" customHeight="1">
      <c r="A422" s="74" t="str">
        <f>IF(C422="","",COUNTIF($C$2:C422,"&lt;&gt;"))</f>
        <v/>
      </c>
      <c r="B422" s="74"/>
      <c r="C422" s="74" t="str">
        <f>IFERROR(VLOOKUP($B422,'Hack Database'!$A:$J,2,FALSE),"")</f>
        <v/>
      </c>
      <c r="D422" s="74" t="str">
        <f>IFERROR(VLOOKUP($B422,'Hack Database'!$A:$J,3,FALSE),"")</f>
        <v/>
      </c>
      <c r="E422" s="74" t="str">
        <f>IFERROR(VLOOKUP($B422,'Hack Database'!$A:$J,4,FALSE),"")</f>
        <v/>
      </c>
      <c r="F422" s="74" t="str">
        <f>IFERROR(VLOOKUP($B422,'Hack Database'!$A:$J,5,FALSE),"")</f>
        <v/>
      </c>
      <c r="G422" s="74" t="str">
        <f>IFERROR(VLOOKUP($B422,'Hack Database'!$A:$J,6,FALSE),"")</f>
        <v/>
      </c>
      <c r="H422" s="81"/>
      <c r="I422" s="81"/>
      <c r="J422" s="74"/>
      <c r="K422" s="74" t="str">
        <f t="shared" si="6"/>
        <v/>
      </c>
      <c r="L422" s="74"/>
      <c r="M422" s="84"/>
      <c r="N422" s="84"/>
      <c r="O422" s="84"/>
      <c r="P422" s="74" t="str">
        <f>IFERROR(HYPERLINK(VLOOKUP($B422,'Online Database'!$A:$J,9,FALSE),"Open Page"),IFERROR(HYPERLINK(VLOOKUP($B422,'Manual Database'!$A:$J,9,FALSE),"Open Page"),""))</f>
        <v/>
      </c>
      <c r="Q422" s="74" t="str">
        <f>IFERROR(HYPERLINK(VLOOKUP($B422,'Online Database'!$A:$J,10,FALSE),"Download"),IFERROR(HYPERLINK(VLOOKUP($B422,'Manual Database'!$A:$J,10,FALSE),"Download"),""))</f>
        <v/>
      </c>
      <c r="R422" s="90"/>
    </row>
    <row r="423" spans="1:18" ht="22.05" customHeight="1">
      <c r="A423" s="74" t="str">
        <f>IF(C423="","",COUNTIF($C$2:C423,"&lt;&gt;"))</f>
        <v/>
      </c>
      <c r="B423" s="74"/>
      <c r="C423" s="74" t="str">
        <f>IFERROR(VLOOKUP($B423,'Hack Database'!$A:$J,2,FALSE),"")</f>
        <v/>
      </c>
      <c r="D423" s="74" t="str">
        <f>IFERROR(VLOOKUP($B423,'Hack Database'!$A:$J,3,FALSE),"")</f>
        <v/>
      </c>
      <c r="E423" s="74" t="str">
        <f>IFERROR(VLOOKUP($B423,'Hack Database'!$A:$J,4,FALSE),"")</f>
        <v/>
      </c>
      <c r="F423" s="74" t="str">
        <f>IFERROR(VLOOKUP($B423,'Hack Database'!$A:$J,5,FALSE),"")</f>
        <v/>
      </c>
      <c r="G423" s="74" t="str">
        <f>IFERROR(VLOOKUP($B423,'Hack Database'!$A:$J,6,FALSE),"")</f>
        <v/>
      </c>
      <c r="H423" s="81"/>
      <c r="I423" s="81"/>
      <c r="J423" s="74"/>
      <c r="K423" s="74" t="str">
        <f t="shared" si="6"/>
        <v/>
      </c>
      <c r="L423" s="74"/>
      <c r="M423" s="84"/>
      <c r="N423" s="84"/>
      <c r="O423" s="84"/>
      <c r="P423" s="74" t="str">
        <f>IFERROR(HYPERLINK(VLOOKUP($B423,'Online Database'!$A:$J,9,FALSE),"Open Page"),IFERROR(HYPERLINK(VLOOKUP($B423,'Manual Database'!$A:$J,9,FALSE),"Open Page"),""))</f>
        <v/>
      </c>
      <c r="Q423" s="74" t="str">
        <f>IFERROR(HYPERLINK(VLOOKUP($B423,'Online Database'!$A:$J,10,FALSE),"Download"),IFERROR(HYPERLINK(VLOOKUP($B423,'Manual Database'!$A:$J,10,FALSE),"Download"),""))</f>
        <v/>
      </c>
      <c r="R423" s="90"/>
    </row>
    <row r="424" spans="1:18" ht="22.05" customHeight="1">
      <c r="A424" s="74" t="str">
        <f>IF(C424="","",COUNTIF($C$2:C424,"&lt;&gt;"))</f>
        <v/>
      </c>
      <c r="B424" s="74"/>
      <c r="C424" s="74" t="str">
        <f>IFERROR(VLOOKUP($B424,'Hack Database'!$A:$J,2,FALSE),"")</f>
        <v/>
      </c>
      <c r="D424" s="74" t="str">
        <f>IFERROR(VLOOKUP($B424,'Hack Database'!$A:$J,3,FALSE),"")</f>
        <v/>
      </c>
      <c r="E424" s="74" t="str">
        <f>IFERROR(VLOOKUP($B424,'Hack Database'!$A:$J,4,FALSE),"")</f>
        <v/>
      </c>
      <c r="F424" s="74" t="str">
        <f>IFERROR(VLOOKUP($B424,'Hack Database'!$A:$J,5,FALSE),"")</f>
        <v/>
      </c>
      <c r="G424" s="74" t="str">
        <f>IFERROR(VLOOKUP($B424,'Hack Database'!$A:$J,6,FALSE),"")</f>
        <v/>
      </c>
      <c r="H424" s="81"/>
      <c r="I424" s="81"/>
      <c r="J424" s="74"/>
      <c r="K424" s="74" t="str">
        <f t="shared" si="6"/>
        <v/>
      </c>
      <c r="L424" s="74"/>
      <c r="M424" s="84"/>
      <c r="N424" s="84"/>
      <c r="O424" s="84"/>
      <c r="P424" s="74" t="str">
        <f>IFERROR(HYPERLINK(VLOOKUP($B424,'Online Database'!$A:$J,9,FALSE),"Open Page"),IFERROR(HYPERLINK(VLOOKUP($B424,'Manual Database'!$A:$J,9,FALSE),"Open Page"),""))</f>
        <v/>
      </c>
      <c r="Q424" s="74" t="str">
        <f>IFERROR(HYPERLINK(VLOOKUP($B424,'Online Database'!$A:$J,10,FALSE),"Download"),IFERROR(HYPERLINK(VLOOKUP($B424,'Manual Database'!$A:$J,10,FALSE),"Download"),""))</f>
        <v/>
      </c>
      <c r="R424" s="90"/>
    </row>
    <row r="425" spans="1:18" ht="22.05" customHeight="1">
      <c r="A425" s="74" t="str">
        <f>IF(C425="","",COUNTIF($C$2:C425,"&lt;&gt;"))</f>
        <v/>
      </c>
      <c r="B425" s="74"/>
      <c r="C425" s="74" t="str">
        <f>IFERROR(VLOOKUP($B425,'Hack Database'!$A:$J,2,FALSE),"")</f>
        <v/>
      </c>
      <c r="D425" s="74" t="str">
        <f>IFERROR(VLOOKUP($B425,'Hack Database'!$A:$J,3,FALSE),"")</f>
        <v/>
      </c>
      <c r="E425" s="74" t="str">
        <f>IFERROR(VLOOKUP($B425,'Hack Database'!$A:$J,4,FALSE),"")</f>
        <v/>
      </c>
      <c r="F425" s="74" t="str">
        <f>IFERROR(VLOOKUP($B425,'Hack Database'!$A:$J,5,FALSE),"")</f>
        <v/>
      </c>
      <c r="G425" s="74" t="str">
        <f>IFERROR(VLOOKUP($B425,'Hack Database'!$A:$J,6,FALSE),"")</f>
        <v/>
      </c>
      <c r="H425" s="81"/>
      <c r="I425" s="81"/>
      <c r="J425" s="74"/>
      <c r="K425" s="74" t="str">
        <f t="shared" si="6"/>
        <v/>
      </c>
      <c r="L425" s="74"/>
      <c r="M425" s="84"/>
      <c r="N425" s="84"/>
      <c r="O425" s="84"/>
      <c r="P425" s="74" t="str">
        <f>IFERROR(HYPERLINK(VLOOKUP($B425,'Online Database'!$A:$J,9,FALSE),"Open Page"),IFERROR(HYPERLINK(VLOOKUP($B425,'Manual Database'!$A:$J,9,FALSE),"Open Page"),""))</f>
        <v/>
      </c>
      <c r="Q425" s="74" t="str">
        <f>IFERROR(HYPERLINK(VLOOKUP($B425,'Online Database'!$A:$J,10,FALSE),"Download"),IFERROR(HYPERLINK(VLOOKUP($B425,'Manual Database'!$A:$J,10,FALSE),"Download"),""))</f>
        <v/>
      </c>
      <c r="R425" s="90"/>
    </row>
    <row r="426" spans="1:18" ht="22.05" customHeight="1">
      <c r="A426" s="74" t="str">
        <f>IF(C426="","",COUNTIF($C$2:C426,"&lt;&gt;"))</f>
        <v/>
      </c>
      <c r="B426" s="74"/>
      <c r="C426" s="74" t="str">
        <f>IFERROR(VLOOKUP($B426,'Hack Database'!$A:$J,2,FALSE),"")</f>
        <v/>
      </c>
      <c r="D426" s="74" t="str">
        <f>IFERROR(VLOOKUP($B426,'Hack Database'!$A:$J,3,FALSE),"")</f>
        <v/>
      </c>
      <c r="E426" s="74" t="str">
        <f>IFERROR(VLOOKUP($B426,'Hack Database'!$A:$J,4,FALSE),"")</f>
        <v/>
      </c>
      <c r="F426" s="74" t="str">
        <f>IFERROR(VLOOKUP($B426,'Hack Database'!$A:$J,5,FALSE),"")</f>
        <v/>
      </c>
      <c r="G426" s="74" t="str">
        <f>IFERROR(VLOOKUP($B426,'Hack Database'!$A:$J,6,FALSE),"")</f>
        <v/>
      </c>
      <c r="H426" s="81"/>
      <c r="I426" s="81"/>
      <c r="J426" s="74"/>
      <c r="K426" s="74" t="str">
        <f t="shared" si="6"/>
        <v/>
      </c>
      <c r="L426" s="74"/>
      <c r="M426" s="84"/>
      <c r="N426" s="84"/>
      <c r="O426" s="84"/>
      <c r="P426" s="74" t="str">
        <f>IFERROR(HYPERLINK(VLOOKUP($B426,'Online Database'!$A:$J,9,FALSE),"Open Page"),IFERROR(HYPERLINK(VLOOKUP($B426,'Manual Database'!$A:$J,9,FALSE),"Open Page"),""))</f>
        <v/>
      </c>
      <c r="Q426" s="74" t="str">
        <f>IFERROR(HYPERLINK(VLOOKUP($B426,'Online Database'!$A:$J,10,FALSE),"Download"),IFERROR(HYPERLINK(VLOOKUP($B426,'Manual Database'!$A:$J,10,FALSE),"Download"),""))</f>
        <v/>
      </c>
      <c r="R426" s="90"/>
    </row>
    <row r="427" spans="1:18" ht="22.05" customHeight="1">
      <c r="A427" s="74" t="str">
        <f>IF(C427="","",COUNTIF($C$2:C427,"&lt;&gt;"))</f>
        <v/>
      </c>
      <c r="B427" s="74"/>
      <c r="C427" s="74" t="str">
        <f>IFERROR(VLOOKUP($B427,'Hack Database'!$A:$J,2,FALSE),"")</f>
        <v/>
      </c>
      <c r="D427" s="74" t="str">
        <f>IFERROR(VLOOKUP($B427,'Hack Database'!$A:$J,3,FALSE),"")</f>
        <v/>
      </c>
      <c r="E427" s="74" t="str">
        <f>IFERROR(VLOOKUP($B427,'Hack Database'!$A:$J,4,FALSE),"")</f>
        <v/>
      </c>
      <c r="F427" s="74" t="str">
        <f>IFERROR(VLOOKUP($B427,'Hack Database'!$A:$J,5,FALSE),"")</f>
        <v/>
      </c>
      <c r="G427" s="74" t="str">
        <f>IFERROR(VLOOKUP($B427,'Hack Database'!$A:$J,6,FALSE),"")</f>
        <v/>
      </c>
      <c r="H427" s="81"/>
      <c r="I427" s="81"/>
      <c r="J427" s="74"/>
      <c r="K427" s="74" t="str">
        <f t="shared" si="6"/>
        <v/>
      </c>
      <c r="L427" s="74"/>
      <c r="M427" s="84"/>
      <c r="N427" s="84"/>
      <c r="O427" s="84"/>
      <c r="P427" s="74" t="str">
        <f>IFERROR(HYPERLINK(VLOOKUP($B427,'Online Database'!$A:$J,9,FALSE),"Open Page"),IFERROR(HYPERLINK(VLOOKUP($B427,'Manual Database'!$A:$J,9,FALSE),"Open Page"),""))</f>
        <v/>
      </c>
      <c r="Q427" s="74" t="str">
        <f>IFERROR(HYPERLINK(VLOOKUP($B427,'Online Database'!$A:$J,10,FALSE),"Download"),IFERROR(HYPERLINK(VLOOKUP($B427,'Manual Database'!$A:$J,10,FALSE),"Download"),""))</f>
        <v/>
      </c>
      <c r="R427" s="90"/>
    </row>
    <row r="428" spans="1:18" ht="22.05" customHeight="1">
      <c r="A428" s="74" t="str">
        <f>IF(C428="","",COUNTIF($C$2:C428,"&lt;&gt;"))</f>
        <v/>
      </c>
      <c r="B428" s="74"/>
      <c r="C428" s="74" t="str">
        <f>IFERROR(VLOOKUP($B428,'Hack Database'!$A:$J,2,FALSE),"")</f>
        <v/>
      </c>
      <c r="D428" s="74" t="str">
        <f>IFERROR(VLOOKUP($B428,'Hack Database'!$A:$J,3,FALSE),"")</f>
        <v/>
      </c>
      <c r="E428" s="74" t="str">
        <f>IFERROR(VLOOKUP($B428,'Hack Database'!$A:$J,4,FALSE),"")</f>
        <v/>
      </c>
      <c r="F428" s="74" t="str">
        <f>IFERROR(VLOOKUP($B428,'Hack Database'!$A:$J,5,FALSE),"")</f>
        <v/>
      </c>
      <c r="G428" s="74" t="str">
        <f>IFERROR(VLOOKUP($B428,'Hack Database'!$A:$J,6,FALSE),"")</f>
        <v/>
      </c>
      <c r="H428" s="81"/>
      <c r="I428" s="81"/>
      <c r="J428" s="74"/>
      <c r="K428" s="74" t="str">
        <f t="shared" si="6"/>
        <v/>
      </c>
      <c r="L428" s="74"/>
      <c r="M428" s="84"/>
      <c r="N428" s="84"/>
      <c r="O428" s="84"/>
      <c r="P428" s="74" t="str">
        <f>IFERROR(HYPERLINK(VLOOKUP($B428,'Online Database'!$A:$J,9,FALSE),"Open Page"),IFERROR(HYPERLINK(VLOOKUP($B428,'Manual Database'!$A:$J,9,FALSE),"Open Page"),""))</f>
        <v/>
      </c>
      <c r="Q428" s="74" t="str">
        <f>IFERROR(HYPERLINK(VLOOKUP($B428,'Online Database'!$A:$J,10,FALSE),"Download"),IFERROR(HYPERLINK(VLOOKUP($B428,'Manual Database'!$A:$J,10,FALSE),"Download"),""))</f>
        <v/>
      </c>
      <c r="R428" s="90"/>
    </row>
    <row r="429" spans="1:18" ht="22.05" customHeight="1">
      <c r="A429" s="74" t="str">
        <f>IF(C429="","",COUNTIF($C$2:C429,"&lt;&gt;"))</f>
        <v/>
      </c>
      <c r="B429" s="74"/>
      <c r="C429" s="74" t="str">
        <f>IFERROR(VLOOKUP($B429,'Hack Database'!$A:$J,2,FALSE),"")</f>
        <v/>
      </c>
      <c r="D429" s="74" t="str">
        <f>IFERROR(VLOOKUP($B429,'Hack Database'!$A:$J,3,FALSE),"")</f>
        <v/>
      </c>
      <c r="E429" s="74" t="str">
        <f>IFERROR(VLOOKUP($B429,'Hack Database'!$A:$J,4,FALSE),"")</f>
        <v/>
      </c>
      <c r="F429" s="74" t="str">
        <f>IFERROR(VLOOKUP($B429,'Hack Database'!$A:$J,5,FALSE),"")</f>
        <v/>
      </c>
      <c r="G429" s="74" t="str">
        <f>IFERROR(VLOOKUP($B429,'Hack Database'!$A:$J,6,FALSE),"")</f>
        <v/>
      </c>
      <c r="H429" s="81"/>
      <c r="I429" s="81"/>
      <c r="J429" s="74"/>
      <c r="K429" s="74" t="str">
        <f t="shared" si="6"/>
        <v/>
      </c>
      <c r="L429" s="74"/>
      <c r="M429" s="84"/>
      <c r="N429" s="84"/>
      <c r="O429" s="84"/>
      <c r="P429" s="74" t="str">
        <f>IFERROR(HYPERLINK(VLOOKUP($B429,'Online Database'!$A:$J,9,FALSE),"Open Page"),IFERROR(HYPERLINK(VLOOKUP($B429,'Manual Database'!$A:$J,9,FALSE),"Open Page"),""))</f>
        <v/>
      </c>
      <c r="Q429" s="74" t="str">
        <f>IFERROR(HYPERLINK(VLOOKUP($B429,'Online Database'!$A:$J,10,FALSE),"Download"),IFERROR(HYPERLINK(VLOOKUP($B429,'Manual Database'!$A:$J,10,FALSE),"Download"),""))</f>
        <v/>
      </c>
      <c r="R429" s="90"/>
    </row>
    <row r="430" spans="1:18" ht="22.05" customHeight="1">
      <c r="A430" s="74" t="str">
        <f>IF(C430="","",COUNTIF($C$2:C430,"&lt;&gt;"))</f>
        <v/>
      </c>
      <c r="B430" s="74"/>
      <c r="C430" s="74" t="str">
        <f>IFERROR(VLOOKUP($B430,'Hack Database'!$A:$J,2,FALSE),"")</f>
        <v/>
      </c>
      <c r="D430" s="74" t="str">
        <f>IFERROR(VLOOKUP($B430,'Hack Database'!$A:$J,3,FALSE),"")</f>
        <v/>
      </c>
      <c r="E430" s="74" t="str">
        <f>IFERROR(VLOOKUP($B430,'Hack Database'!$A:$J,4,FALSE),"")</f>
        <v/>
      </c>
      <c r="F430" s="74" t="str">
        <f>IFERROR(VLOOKUP($B430,'Hack Database'!$A:$J,5,FALSE),"")</f>
        <v/>
      </c>
      <c r="G430" s="74" t="str">
        <f>IFERROR(VLOOKUP($B430,'Hack Database'!$A:$J,6,FALSE),"")</f>
        <v/>
      </c>
      <c r="H430" s="81"/>
      <c r="I430" s="81"/>
      <c r="J430" s="74"/>
      <c r="K430" s="74" t="str">
        <f t="shared" si="6"/>
        <v/>
      </c>
      <c r="L430" s="74"/>
      <c r="M430" s="84"/>
      <c r="N430" s="84"/>
      <c r="O430" s="84"/>
      <c r="P430" s="74" t="str">
        <f>IFERROR(HYPERLINK(VLOOKUP($B430,'Online Database'!$A:$J,9,FALSE),"Open Page"),IFERROR(HYPERLINK(VLOOKUP($B430,'Manual Database'!$A:$J,9,FALSE),"Open Page"),""))</f>
        <v/>
      </c>
      <c r="Q430" s="74" t="str">
        <f>IFERROR(HYPERLINK(VLOOKUP($B430,'Online Database'!$A:$J,10,FALSE),"Download"),IFERROR(HYPERLINK(VLOOKUP($B430,'Manual Database'!$A:$J,10,FALSE),"Download"),""))</f>
        <v/>
      </c>
      <c r="R430" s="90"/>
    </row>
    <row r="431" spans="1:18" ht="22.05" customHeight="1">
      <c r="A431" s="74" t="str">
        <f>IF(C431="","",COUNTIF($C$2:C431,"&lt;&gt;"))</f>
        <v/>
      </c>
      <c r="B431" s="74"/>
      <c r="C431" s="74" t="str">
        <f>IFERROR(VLOOKUP($B431,'Hack Database'!$A:$J,2,FALSE),"")</f>
        <v/>
      </c>
      <c r="D431" s="74" t="str">
        <f>IFERROR(VLOOKUP($B431,'Hack Database'!$A:$J,3,FALSE),"")</f>
        <v/>
      </c>
      <c r="E431" s="74" t="str">
        <f>IFERROR(VLOOKUP($B431,'Hack Database'!$A:$J,4,FALSE),"")</f>
        <v/>
      </c>
      <c r="F431" s="74" t="str">
        <f>IFERROR(VLOOKUP($B431,'Hack Database'!$A:$J,5,FALSE),"")</f>
        <v/>
      </c>
      <c r="G431" s="74" t="str">
        <f>IFERROR(VLOOKUP($B431,'Hack Database'!$A:$J,6,FALSE),"")</f>
        <v/>
      </c>
      <c r="H431" s="81"/>
      <c r="I431" s="81"/>
      <c r="J431" s="74"/>
      <c r="K431" s="74" t="str">
        <f t="shared" si="6"/>
        <v/>
      </c>
      <c r="L431" s="74"/>
      <c r="M431" s="84"/>
      <c r="N431" s="84"/>
      <c r="O431" s="84"/>
      <c r="P431" s="74" t="str">
        <f>IFERROR(HYPERLINK(VLOOKUP($B431,'Online Database'!$A:$J,9,FALSE),"Open Page"),IFERROR(HYPERLINK(VLOOKUP($B431,'Manual Database'!$A:$J,9,FALSE),"Open Page"),""))</f>
        <v/>
      </c>
      <c r="Q431" s="74" t="str">
        <f>IFERROR(HYPERLINK(VLOOKUP($B431,'Online Database'!$A:$J,10,FALSE),"Download"),IFERROR(HYPERLINK(VLOOKUP($B431,'Manual Database'!$A:$J,10,FALSE),"Download"),""))</f>
        <v/>
      </c>
      <c r="R431" s="90"/>
    </row>
    <row r="432" spans="1:18" ht="22.05" customHeight="1">
      <c r="A432" s="74" t="str">
        <f>IF(C432="","",COUNTIF($C$2:C432,"&lt;&gt;"))</f>
        <v/>
      </c>
      <c r="B432" s="74"/>
      <c r="C432" s="74" t="str">
        <f>IFERROR(VLOOKUP($B432,'Hack Database'!$A:$J,2,FALSE),"")</f>
        <v/>
      </c>
      <c r="D432" s="74" t="str">
        <f>IFERROR(VLOOKUP($B432,'Hack Database'!$A:$J,3,FALSE),"")</f>
        <v/>
      </c>
      <c r="E432" s="74" t="str">
        <f>IFERROR(VLOOKUP($B432,'Hack Database'!$A:$J,4,FALSE),"")</f>
        <v/>
      </c>
      <c r="F432" s="74" t="str">
        <f>IFERROR(VLOOKUP($B432,'Hack Database'!$A:$J,5,FALSE),"")</f>
        <v/>
      </c>
      <c r="G432" s="74" t="str">
        <f>IFERROR(VLOOKUP($B432,'Hack Database'!$A:$J,6,FALSE),"")</f>
        <v/>
      </c>
      <c r="H432" s="81"/>
      <c r="I432" s="81"/>
      <c r="J432" s="74"/>
      <c r="K432" s="74" t="str">
        <f t="shared" si="6"/>
        <v/>
      </c>
      <c r="L432" s="74"/>
      <c r="M432" s="84"/>
      <c r="N432" s="84"/>
      <c r="O432" s="84"/>
      <c r="P432" s="74" t="str">
        <f>IFERROR(HYPERLINK(VLOOKUP($B432,'Online Database'!$A:$J,9,FALSE),"Open Page"),IFERROR(HYPERLINK(VLOOKUP($B432,'Manual Database'!$A:$J,9,FALSE),"Open Page"),""))</f>
        <v/>
      </c>
      <c r="Q432" s="74" t="str">
        <f>IFERROR(HYPERLINK(VLOOKUP($B432,'Online Database'!$A:$J,10,FALSE),"Download"),IFERROR(HYPERLINK(VLOOKUP($B432,'Manual Database'!$A:$J,10,FALSE),"Download"),""))</f>
        <v/>
      </c>
      <c r="R432" s="90"/>
    </row>
    <row r="433" spans="1:18" ht="22.05" customHeight="1">
      <c r="A433" s="74" t="str">
        <f>IF(C433="","",COUNTIF($C$2:C433,"&lt;&gt;"))</f>
        <v/>
      </c>
      <c r="B433" s="74"/>
      <c r="C433" s="74" t="str">
        <f>IFERROR(VLOOKUP($B433,'Hack Database'!$A:$J,2,FALSE),"")</f>
        <v/>
      </c>
      <c r="D433" s="74" t="str">
        <f>IFERROR(VLOOKUP($B433,'Hack Database'!$A:$J,3,FALSE),"")</f>
        <v/>
      </c>
      <c r="E433" s="74" t="str">
        <f>IFERROR(VLOOKUP($B433,'Hack Database'!$A:$J,4,FALSE),"")</f>
        <v/>
      </c>
      <c r="F433" s="74" t="str">
        <f>IFERROR(VLOOKUP($B433,'Hack Database'!$A:$J,5,FALSE),"")</f>
        <v/>
      </c>
      <c r="G433" s="74" t="str">
        <f>IFERROR(VLOOKUP($B433,'Hack Database'!$A:$J,6,FALSE),"")</f>
        <v/>
      </c>
      <c r="H433" s="81"/>
      <c r="I433" s="81"/>
      <c r="J433" s="74"/>
      <c r="K433" s="74" t="str">
        <f t="shared" si="6"/>
        <v/>
      </c>
      <c r="L433" s="74"/>
      <c r="M433" s="84"/>
      <c r="N433" s="84"/>
      <c r="O433" s="84"/>
      <c r="P433" s="74" t="str">
        <f>IFERROR(HYPERLINK(VLOOKUP($B433,'Online Database'!$A:$J,9,FALSE),"Open Page"),IFERROR(HYPERLINK(VLOOKUP($B433,'Manual Database'!$A:$J,9,FALSE),"Open Page"),""))</f>
        <v/>
      </c>
      <c r="Q433" s="74" t="str">
        <f>IFERROR(HYPERLINK(VLOOKUP($B433,'Online Database'!$A:$J,10,FALSE),"Download"),IFERROR(HYPERLINK(VLOOKUP($B433,'Manual Database'!$A:$J,10,FALSE),"Download"),""))</f>
        <v/>
      </c>
      <c r="R433" s="90"/>
    </row>
    <row r="434" spans="1:18" ht="22.05" customHeight="1">
      <c r="A434" s="74" t="str">
        <f>IF(C434="","",COUNTIF($C$2:C434,"&lt;&gt;"))</f>
        <v/>
      </c>
      <c r="B434" s="74"/>
      <c r="C434" s="74" t="str">
        <f>IFERROR(VLOOKUP($B434,'Hack Database'!$A:$J,2,FALSE),"")</f>
        <v/>
      </c>
      <c r="D434" s="74" t="str">
        <f>IFERROR(VLOOKUP($B434,'Hack Database'!$A:$J,3,FALSE),"")</f>
        <v/>
      </c>
      <c r="E434" s="74" t="str">
        <f>IFERROR(VLOOKUP($B434,'Hack Database'!$A:$J,4,FALSE),"")</f>
        <v/>
      </c>
      <c r="F434" s="74" t="str">
        <f>IFERROR(VLOOKUP($B434,'Hack Database'!$A:$J,5,FALSE),"")</f>
        <v/>
      </c>
      <c r="G434" s="74" t="str">
        <f>IFERROR(VLOOKUP($B434,'Hack Database'!$A:$J,6,FALSE),"")</f>
        <v/>
      </c>
      <c r="H434" s="81"/>
      <c r="I434" s="81"/>
      <c r="J434" s="74"/>
      <c r="K434" s="74" t="str">
        <f t="shared" si="6"/>
        <v/>
      </c>
      <c r="L434" s="74"/>
      <c r="M434" s="84"/>
      <c r="N434" s="84"/>
      <c r="O434" s="84"/>
      <c r="P434" s="74" t="str">
        <f>IFERROR(HYPERLINK(VLOOKUP($B434,'Online Database'!$A:$J,9,FALSE),"Open Page"),IFERROR(HYPERLINK(VLOOKUP($B434,'Manual Database'!$A:$J,9,FALSE),"Open Page"),""))</f>
        <v/>
      </c>
      <c r="Q434" s="74" t="str">
        <f>IFERROR(HYPERLINK(VLOOKUP($B434,'Online Database'!$A:$J,10,FALSE),"Download"),IFERROR(HYPERLINK(VLOOKUP($B434,'Manual Database'!$A:$J,10,FALSE),"Download"),""))</f>
        <v/>
      </c>
      <c r="R434" s="90"/>
    </row>
    <row r="435" spans="1:18" ht="22.05" customHeight="1">
      <c r="A435" s="74" t="str">
        <f>IF(C435="","",COUNTIF($C$2:C435,"&lt;&gt;"))</f>
        <v/>
      </c>
      <c r="B435" s="74"/>
      <c r="C435" s="74" t="str">
        <f>IFERROR(VLOOKUP($B435,'Hack Database'!$A:$J,2,FALSE),"")</f>
        <v/>
      </c>
      <c r="D435" s="74" t="str">
        <f>IFERROR(VLOOKUP($B435,'Hack Database'!$A:$J,3,FALSE),"")</f>
        <v/>
      </c>
      <c r="E435" s="74" t="str">
        <f>IFERROR(VLOOKUP($B435,'Hack Database'!$A:$J,4,FALSE),"")</f>
        <v/>
      </c>
      <c r="F435" s="74" t="str">
        <f>IFERROR(VLOOKUP($B435,'Hack Database'!$A:$J,5,FALSE),"")</f>
        <v/>
      </c>
      <c r="G435" s="74" t="str">
        <f>IFERROR(VLOOKUP($B435,'Hack Database'!$A:$J,6,FALSE),"")</f>
        <v/>
      </c>
      <c r="H435" s="81"/>
      <c r="I435" s="81"/>
      <c r="J435" s="74"/>
      <c r="K435" s="74" t="str">
        <f t="shared" si="6"/>
        <v/>
      </c>
      <c r="L435" s="74"/>
      <c r="M435" s="84"/>
      <c r="N435" s="84"/>
      <c r="O435" s="84"/>
      <c r="P435" s="74" t="str">
        <f>IFERROR(HYPERLINK(VLOOKUP($B435,'Online Database'!$A:$J,9,FALSE),"Open Page"),IFERROR(HYPERLINK(VLOOKUP($B435,'Manual Database'!$A:$J,9,FALSE),"Open Page"),""))</f>
        <v/>
      </c>
      <c r="Q435" s="74" t="str">
        <f>IFERROR(HYPERLINK(VLOOKUP($B435,'Online Database'!$A:$J,10,FALSE),"Download"),IFERROR(HYPERLINK(VLOOKUP($B435,'Manual Database'!$A:$J,10,FALSE),"Download"),""))</f>
        <v/>
      </c>
      <c r="R435" s="90"/>
    </row>
    <row r="436" spans="1:18" ht="22.05" customHeight="1">
      <c r="A436" s="74" t="str">
        <f>IF(C436="","",COUNTIF($C$2:C436,"&lt;&gt;"))</f>
        <v/>
      </c>
      <c r="B436" s="74"/>
      <c r="C436" s="74" t="str">
        <f>IFERROR(VLOOKUP($B436,'Hack Database'!$A:$J,2,FALSE),"")</f>
        <v/>
      </c>
      <c r="D436" s="74" t="str">
        <f>IFERROR(VLOOKUP($B436,'Hack Database'!$A:$J,3,FALSE),"")</f>
        <v/>
      </c>
      <c r="E436" s="74" t="str">
        <f>IFERROR(VLOOKUP($B436,'Hack Database'!$A:$J,4,FALSE),"")</f>
        <v/>
      </c>
      <c r="F436" s="74" t="str">
        <f>IFERROR(VLOOKUP($B436,'Hack Database'!$A:$J,5,FALSE),"")</f>
        <v/>
      </c>
      <c r="G436" s="74" t="str">
        <f>IFERROR(VLOOKUP($B436,'Hack Database'!$A:$J,6,FALSE),"")</f>
        <v/>
      </c>
      <c r="H436" s="81"/>
      <c r="I436" s="81"/>
      <c r="J436" s="74"/>
      <c r="K436" s="74" t="str">
        <f t="shared" si="6"/>
        <v/>
      </c>
      <c r="L436" s="74"/>
      <c r="M436" s="84"/>
      <c r="N436" s="84"/>
      <c r="O436" s="84"/>
      <c r="P436" s="74" t="str">
        <f>IFERROR(HYPERLINK(VLOOKUP($B436,'Online Database'!$A:$J,9,FALSE),"Open Page"),IFERROR(HYPERLINK(VLOOKUP($B436,'Manual Database'!$A:$J,9,FALSE),"Open Page"),""))</f>
        <v/>
      </c>
      <c r="Q436" s="74" t="str">
        <f>IFERROR(HYPERLINK(VLOOKUP($B436,'Online Database'!$A:$J,10,FALSE),"Download"),IFERROR(HYPERLINK(VLOOKUP($B436,'Manual Database'!$A:$J,10,FALSE),"Download"),""))</f>
        <v/>
      </c>
      <c r="R436" s="90"/>
    </row>
    <row r="437" spans="1:18" ht="22.05" customHeight="1">
      <c r="A437" s="74" t="str">
        <f>IF(C437="","",COUNTIF($C$2:C437,"&lt;&gt;"))</f>
        <v/>
      </c>
      <c r="B437" s="74"/>
      <c r="C437" s="74" t="str">
        <f>IFERROR(VLOOKUP($B437,'Hack Database'!$A:$J,2,FALSE),"")</f>
        <v/>
      </c>
      <c r="D437" s="74" t="str">
        <f>IFERROR(VLOOKUP($B437,'Hack Database'!$A:$J,3,FALSE),"")</f>
        <v/>
      </c>
      <c r="E437" s="74" t="str">
        <f>IFERROR(VLOOKUP($B437,'Hack Database'!$A:$J,4,FALSE),"")</f>
        <v/>
      </c>
      <c r="F437" s="74" t="str">
        <f>IFERROR(VLOOKUP($B437,'Hack Database'!$A:$J,5,FALSE),"")</f>
        <v/>
      </c>
      <c r="G437" s="74" t="str">
        <f>IFERROR(VLOOKUP($B437,'Hack Database'!$A:$J,6,FALSE),"")</f>
        <v/>
      </c>
      <c r="H437" s="81"/>
      <c r="I437" s="81"/>
      <c r="J437" s="74"/>
      <c r="K437" s="74" t="str">
        <f t="shared" si="6"/>
        <v/>
      </c>
      <c r="L437" s="74"/>
      <c r="M437" s="84"/>
      <c r="N437" s="84"/>
      <c r="O437" s="84"/>
      <c r="P437" s="74" t="str">
        <f>IFERROR(HYPERLINK(VLOOKUP($B437,'Online Database'!$A:$J,9,FALSE),"Open Page"),IFERROR(HYPERLINK(VLOOKUP($B437,'Manual Database'!$A:$J,9,FALSE),"Open Page"),""))</f>
        <v/>
      </c>
      <c r="Q437" s="74" t="str">
        <f>IFERROR(HYPERLINK(VLOOKUP($B437,'Online Database'!$A:$J,10,FALSE),"Download"),IFERROR(HYPERLINK(VLOOKUP($B437,'Manual Database'!$A:$J,10,FALSE),"Download"),""))</f>
        <v/>
      </c>
      <c r="R437" s="90"/>
    </row>
    <row r="438" spans="1:18" ht="22.05" customHeight="1">
      <c r="A438" s="74" t="str">
        <f>IF(C438="","",COUNTIF($C$2:C438,"&lt;&gt;"))</f>
        <v/>
      </c>
      <c r="B438" s="74"/>
      <c r="C438" s="74" t="str">
        <f>IFERROR(VLOOKUP($B438,'Hack Database'!$A:$J,2,FALSE),"")</f>
        <v/>
      </c>
      <c r="D438" s="74" t="str">
        <f>IFERROR(VLOOKUP($B438,'Hack Database'!$A:$J,3,FALSE),"")</f>
        <v/>
      </c>
      <c r="E438" s="74" t="str">
        <f>IFERROR(VLOOKUP($B438,'Hack Database'!$A:$J,4,FALSE),"")</f>
        <v/>
      </c>
      <c r="F438" s="74" t="str">
        <f>IFERROR(VLOOKUP($B438,'Hack Database'!$A:$J,5,FALSE),"")</f>
        <v/>
      </c>
      <c r="G438" s="74" t="str">
        <f>IFERROR(VLOOKUP($B438,'Hack Database'!$A:$J,6,FALSE),"")</f>
        <v/>
      </c>
      <c r="H438" s="81"/>
      <c r="I438" s="81"/>
      <c r="J438" s="74"/>
      <c r="K438" s="74" t="str">
        <f t="shared" si="6"/>
        <v/>
      </c>
      <c r="L438" s="74"/>
      <c r="M438" s="84"/>
      <c r="N438" s="84"/>
      <c r="O438" s="84"/>
      <c r="P438" s="74" t="str">
        <f>IFERROR(HYPERLINK(VLOOKUP($B438,'Online Database'!$A:$J,9,FALSE),"Open Page"),IFERROR(HYPERLINK(VLOOKUP($B438,'Manual Database'!$A:$J,9,FALSE),"Open Page"),""))</f>
        <v/>
      </c>
      <c r="Q438" s="74" t="str">
        <f>IFERROR(HYPERLINK(VLOOKUP($B438,'Online Database'!$A:$J,10,FALSE),"Download"),IFERROR(HYPERLINK(VLOOKUP($B438,'Manual Database'!$A:$J,10,FALSE),"Download"),""))</f>
        <v/>
      </c>
      <c r="R438" s="90"/>
    </row>
    <row r="439" spans="1:18" ht="22.05" customHeight="1">
      <c r="A439" s="74" t="str">
        <f>IF(C439="","",COUNTIF($C$2:C439,"&lt;&gt;"))</f>
        <v/>
      </c>
      <c r="B439" s="74"/>
      <c r="C439" s="74" t="str">
        <f>IFERROR(VLOOKUP($B439,'Hack Database'!$A:$J,2,FALSE),"")</f>
        <v/>
      </c>
      <c r="D439" s="74" t="str">
        <f>IFERROR(VLOOKUP($B439,'Hack Database'!$A:$J,3,FALSE),"")</f>
        <v/>
      </c>
      <c r="E439" s="74" t="str">
        <f>IFERROR(VLOOKUP($B439,'Hack Database'!$A:$J,4,FALSE),"")</f>
        <v/>
      </c>
      <c r="F439" s="74" t="str">
        <f>IFERROR(VLOOKUP($B439,'Hack Database'!$A:$J,5,FALSE),"")</f>
        <v/>
      </c>
      <c r="G439" s="74" t="str">
        <f>IFERROR(VLOOKUP($B439,'Hack Database'!$A:$J,6,FALSE),"")</f>
        <v/>
      </c>
      <c r="H439" s="81"/>
      <c r="I439" s="81"/>
      <c r="J439" s="74"/>
      <c r="K439" s="74" t="str">
        <f t="shared" si="6"/>
        <v/>
      </c>
      <c r="L439" s="74"/>
      <c r="M439" s="84"/>
      <c r="N439" s="84"/>
      <c r="O439" s="84"/>
      <c r="P439" s="74" t="str">
        <f>IFERROR(HYPERLINK(VLOOKUP($B439,'Online Database'!$A:$J,9,FALSE),"Open Page"),IFERROR(HYPERLINK(VLOOKUP($B439,'Manual Database'!$A:$J,9,FALSE),"Open Page"),""))</f>
        <v/>
      </c>
      <c r="Q439" s="74" t="str">
        <f>IFERROR(HYPERLINK(VLOOKUP($B439,'Online Database'!$A:$J,10,FALSE),"Download"),IFERROR(HYPERLINK(VLOOKUP($B439,'Manual Database'!$A:$J,10,FALSE),"Download"),""))</f>
        <v/>
      </c>
      <c r="R439" s="90"/>
    </row>
    <row r="440" spans="1:18" ht="22.05" customHeight="1">
      <c r="A440" s="74" t="str">
        <f>IF(C440="","",COUNTIF($C$2:C440,"&lt;&gt;"))</f>
        <v/>
      </c>
      <c r="B440" s="74"/>
      <c r="C440" s="74" t="str">
        <f>IFERROR(VLOOKUP($B440,'Hack Database'!$A:$J,2,FALSE),"")</f>
        <v/>
      </c>
      <c r="D440" s="74" t="str">
        <f>IFERROR(VLOOKUP($B440,'Hack Database'!$A:$J,3,FALSE),"")</f>
        <v/>
      </c>
      <c r="E440" s="74" t="str">
        <f>IFERROR(VLOOKUP($B440,'Hack Database'!$A:$J,4,FALSE),"")</f>
        <v/>
      </c>
      <c r="F440" s="74" t="str">
        <f>IFERROR(VLOOKUP($B440,'Hack Database'!$A:$J,5,FALSE),"")</f>
        <v/>
      </c>
      <c r="G440" s="74" t="str">
        <f>IFERROR(VLOOKUP($B440,'Hack Database'!$A:$J,6,FALSE),"")</f>
        <v/>
      </c>
      <c r="H440" s="81"/>
      <c r="I440" s="81"/>
      <c r="J440" s="74"/>
      <c r="K440" s="74" t="str">
        <f t="shared" si="6"/>
        <v/>
      </c>
      <c r="L440" s="74"/>
      <c r="M440" s="84"/>
      <c r="N440" s="84"/>
      <c r="O440" s="84"/>
      <c r="P440" s="74" t="str">
        <f>IFERROR(HYPERLINK(VLOOKUP($B440,'Online Database'!$A:$J,9,FALSE),"Open Page"),IFERROR(HYPERLINK(VLOOKUP($B440,'Manual Database'!$A:$J,9,FALSE),"Open Page"),""))</f>
        <v/>
      </c>
      <c r="Q440" s="74" t="str">
        <f>IFERROR(HYPERLINK(VLOOKUP($B440,'Online Database'!$A:$J,10,FALSE),"Download"),IFERROR(HYPERLINK(VLOOKUP($B440,'Manual Database'!$A:$J,10,FALSE),"Download"),""))</f>
        <v/>
      </c>
      <c r="R440" s="90"/>
    </row>
    <row r="441" spans="1:18" ht="22.05" customHeight="1">
      <c r="A441" s="74" t="str">
        <f>IF(C441="","",COUNTIF($C$2:C441,"&lt;&gt;"))</f>
        <v/>
      </c>
      <c r="B441" s="74"/>
      <c r="C441" s="74" t="str">
        <f>IFERROR(VLOOKUP($B441,'Hack Database'!$A:$J,2,FALSE),"")</f>
        <v/>
      </c>
      <c r="D441" s="74" t="str">
        <f>IFERROR(VLOOKUP($B441,'Hack Database'!$A:$J,3,FALSE),"")</f>
        <v/>
      </c>
      <c r="E441" s="74" t="str">
        <f>IFERROR(VLOOKUP($B441,'Hack Database'!$A:$J,4,FALSE),"")</f>
        <v/>
      </c>
      <c r="F441" s="74" t="str">
        <f>IFERROR(VLOOKUP($B441,'Hack Database'!$A:$J,5,FALSE),"")</f>
        <v/>
      </c>
      <c r="G441" s="74" t="str">
        <f>IFERROR(VLOOKUP($B441,'Hack Database'!$A:$J,6,FALSE),"")</f>
        <v/>
      </c>
      <c r="H441" s="81"/>
      <c r="I441" s="81"/>
      <c r="J441" s="74"/>
      <c r="K441" s="74" t="str">
        <f t="shared" si="6"/>
        <v/>
      </c>
      <c r="L441" s="74"/>
      <c r="M441" s="84"/>
      <c r="N441" s="84"/>
      <c r="O441" s="84"/>
      <c r="P441" s="74" t="str">
        <f>IFERROR(HYPERLINK(VLOOKUP($B441,'Online Database'!$A:$J,9,FALSE),"Open Page"),IFERROR(HYPERLINK(VLOOKUP($B441,'Manual Database'!$A:$J,9,FALSE),"Open Page"),""))</f>
        <v/>
      </c>
      <c r="Q441" s="74" t="str">
        <f>IFERROR(HYPERLINK(VLOOKUP($B441,'Online Database'!$A:$J,10,FALSE),"Download"),IFERROR(HYPERLINK(VLOOKUP($B441,'Manual Database'!$A:$J,10,FALSE),"Download"),""))</f>
        <v/>
      </c>
      <c r="R441" s="90"/>
    </row>
    <row r="442" spans="1:18" ht="22.05" customHeight="1">
      <c r="A442" s="74" t="str">
        <f>IF(C442="","",COUNTIF($C$2:C442,"&lt;&gt;"))</f>
        <v/>
      </c>
      <c r="B442" s="74"/>
      <c r="C442" s="74" t="str">
        <f>IFERROR(VLOOKUP($B442,'Hack Database'!$A:$J,2,FALSE),"")</f>
        <v/>
      </c>
      <c r="D442" s="74" t="str">
        <f>IFERROR(VLOOKUP($B442,'Hack Database'!$A:$J,3,FALSE),"")</f>
        <v/>
      </c>
      <c r="E442" s="74" t="str">
        <f>IFERROR(VLOOKUP($B442,'Hack Database'!$A:$J,4,FALSE),"")</f>
        <v/>
      </c>
      <c r="F442" s="74" t="str">
        <f>IFERROR(VLOOKUP($B442,'Hack Database'!$A:$J,5,FALSE),"")</f>
        <v/>
      </c>
      <c r="G442" s="74" t="str">
        <f>IFERROR(VLOOKUP($B442,'Hack Database'!$A:$J,6,FALSE),"")</f>
        <v/>
      </c>
      <c r="H442" s="81"/>
      <c r="I442" s="81"/>
      <c r="J442" s="74"/>
      <c r="K442" s="74" t="str">
        <f t="shared" si="6"/>
        <v/>
      </c>
      <c r="L442" s="74"/>
      <c r="M442" s="84"/>
      <c r="N442" s="84"/>
      <c r="O442" s="84"/>
      <c r="P442" s="74" t="str">
        <f>IFERROR(HYPERLINK(VLOOKUP($B442,'Online Database'!$A:$J,9,FALSE),"Open Page"),IFERROR(HYPERLINK(VLOOKUP($B442,'Manual Database'!$A:$J,9,FALSE),"Open Page"),""))</f>
        <v/>
      </c>
      <c r="Q442" s="74" t="str">
        <f>IFERROR(HYPERLINK(VLOOKUP($B442,'Online Database'!$A:$J,10,FALSE),"Download"),IFERROR(HYPERLINK(VLOOKUP($B442,'Manual Database'!$A:$J,10,FALSE),"Download"),""))</f>
        <v/>
      </c>
      <c r="R442" s="90"/>
    </row>
    <row r="443" spans="1:18" ht="22.05" customHeight="1">
      <c r="A443" s="74" t="str">
        <f>IF(C443="","",COUNTIF($C$2:C443,"&lt;&gt;"))</f>
        <v/>
      </c>
      <c r="B443" s="74"/>
      <c r="C443" s="74" t="str">
        <f>IFERROR(VLOOKUP($B443,'Hack Database'!$A:$J,2,FALSE),"")</f>
        <v/>
      </c>
      <c r="D443" s="74" t="str">
        <f>IFERROR(VLOOKUP($B443,'Hack Database'!$A:$J,3,FALSE),"")</f>
        <v/>
      </c>
      <c r="E443" s="74" t="str">
        <f>IFERROR(VLOOKUP($B443,'Hack Database'!$A:$J,4,FALSE),"")</f>
        <v/>
      </c>
      <c r="F443" s="74" t="str">
        <f>IFERROR(VLOOKUP($B443,'Hack Database'!$A:$J,5,FALSE),"")</f>
        <v/>
      </c>
      <c r="G443" s="74" t="str">
        <f>IFERROR(VLOOKUP($B443,'Hack Database'!$A:$J,6,FALSE),"")</f>
        <v/>
      </c>
      <c r="H443" s="81"/>
      <c r="I443" s="81"/>
      <c r="J443" s="74"/>
      <c r="K443" s="74" t="str">
        <f t="shared" si="6"/>
        <v/>
      </c>
      <c r="L443" s="74"/>
      <c r="M443" s="84"/>
      <c r="N443" s="84"/>
      <c r="O443" s="84"/>
      <c r="P443" s="74" t="str">
        <f>IFERROR(HYPERLINK(VLOOKUP($B443,'Online Database'!$A:$J,9,FALSE),"Open Page"),IFERROR(HYPERLINK(VLOOKUP($B443,'Manual Database'!$A:$J,9,FALSE),"Open Page"),""))</f>
        <v/>
      </c>
      <c r="Q443" s="74" t="str">
        <f>IFERROR(HYPERLINK(VLOOKUP($B443,'Online Database'!$A:$J,10,FALSE),"Download"),IFERROR(HYPERLINK(VLOOKUP($B443,'Manual Database'!$A:$J,10,FALSE),"Download"),""))</f>
        <v/>
      </c>
      <c r="R443" s="90"/>
    </row>
    <row r="444" spans="1:18" ht="22.05" customHeight="1">
      <c r="A444" s="74" t="str">
        <f>IF(C444="","",COUNTIF($C$2:C444,"&lt;&gt;"))</f>
        <v/>
      </c>
      <c r="B444" s="74"/>
      <c r="C444" s="74" t="str">
        <f>IFERROR(VLOOKUP($B444,'Hack Database'!$A:$J,2,FALSE),"")</f>
        <v/>
      </c>
      <c r="D444" s="74" t="str">
        <f>IFERROR(VLOOKUP($B444,'Hack Database'!$A:$J,3,FALSE),"")</f>
        <v/>
      </c>
      <c r="E444" s="74" t="str">
        <f>IFERROR(VLOOKUP($B444,'Hack Database'!$A:$J,4,FALSE),"")</f>
        <v/>
      </c>
      <c r="F444" s="74" t="str">
        <f>IFERROR(VLOOKUP($B444,'Hack Database'!$A:$J,5,FALSE),"")</f>
        <v/>
      </c>
      <c r="G444" s="74" t="str">
        <f>IFERROR(VLOOKUP($B444,'Hack Database'!$A:$J,6,FALSE),"")</f>
        <v/>
      </c>
      <c r="H444" s="81"/>
      <c r="I444" s="81"/>
      <c r="J444" s="74"/>
      <c r="K444" s="74" t="str">
        <f t="shared" si="6"/>
        <v/>
      </c>
      <c r="L444" s="74"/>
      <c r="M444" s="84"/>
      <c r="N444" s="84"/>
      <c r="O444" s="84"/>
      <c r="P444" s="74" t="str">
        <f>IFERROR(HYPERLINK(VLOOKUP($B444,'Online Database'!$A:$J,9,FALSE),"Open Page"),IFERROR(HYPERLINK(VLOOKUP($B444,'Manual Database'!$A:$J,9,FALSE),"Open Page"),""))</f>
        <v/>
      </c>
      <c r="Q444" s="74" t="str">
        <f>IFERROR(HYPERLINK(VLOOKUP($B444,'Online Database'!$A:$J,10,FALSE),"Download"),IFERROR(HYPERLINK(VLOOKUP($B444,'Manual Database'!$A:$J,10,FALSE),"Download"),""))</f>
        <v/>
      </c>
      <c r="R444" s="90"/>
    </row>
    <row r="445" spans="1:18" ht="22.05" customHeight="1">
      <c r="A445" s="74" t="str">
        <f>IF(C445="","",COUNTIF($C$2:C445,"&lt;&gt;"))</f>
        <v/>
      </c>
      <c r="B445" s="74"/>
      <c r="C445" s="74" t="str">
        <f>IFERROR(VLOOKUP($B445,'Hack Database'!$A:$J,2,FALSE),"")</f>
        <v/>
      </c>
      <c r="D445" s="74" t="str">
        <f>IFERROR(VLOOKUP($B445,'Hack Database'!$A:$J,3,FALSE),"")</f>
        <v/>
      </c>
      <c r="E445" s="74" t="str">
        <f>IFERROR(VLOOKUP($B445,'Hack Database'!$A:$J,4,FALSE),"")</f>
        <v/>
      </c>
      <c r="F445" s="74" t="str">
        <f>IFERROR(VLOOKUP($B445,'Hack Database'!$A:$J,5,FALSE),"")</f>
        <v/>
      </c>
      <c r="G445" s="74" t="str">
        <f>IFERROR(VLOOKUP($B445,'Hack Database'!$A:$J,6,FALSE),"")</f>
        <v/>
      </c>
      <c r="H445" s="81"/>
      <c r="I445" s="81"/>
      <c r="J445" s="74"/>
      <c r="K445" s="74" t="str">
        <f t="shared" si="6"/>
        <v/>
      </c>
      <c r="L445" s="74"/>
      <c r="M445" s="84"/>
      <c r="N445" s="84"/>
      <c r="O445" s="84"/>
      <c r="P445" s="74" t="str">
        <f>IFERROR(HYPERLINK(VLOOKUP($B445,'Online Database'!$A:$J,9,FALSE),"Open Page"),IFERROR(HYPERLINK(VLOOKUP($B445,'Manual Database'!$A:$J,9,FALSE),"Open Page"),""))</f>
        <v/>
      </c>
      <c r="Q445" s="74" t="str">
        <f>IFERROR(HYPERLINK(VLOOKUP($B445,'Online Database'!$A:$J,10,FALSE),"Download"),IFERROR(HYPERLINK(VLOOKUP($B445,'Manual Database'!$A:$J,10,FALSE),"Download"),""))</f>
        <v/>
      </c>
      <c r="R445" s="90"/>
    </row>
    <row r="446" spans="1:18" ht="22.05" customHeight="1">
      <c r="A446" s="74" t="str">
        <f>IF(C446="","",COUNTIF($C$2:C446,"&lt;&gt;"))</f>
        <v/>
      </c>
      <c r="B446" s="74"/>
      <c r="C446" s="74" t="str">
        <f>IFERROR(VLOOKUP($B446,'Hack Database'!$A:$J,2,FALSE),"")</f>
        <v/>
      </c>
      <c r="D446" s="74" t="str">
        <f>IFERROR(VLOOKUP($B446,'Hack Database'!$A:$J,3,FALSE),"")</f>
        <v/>
      </c>
      <c r="E446" s="74" t="str">
        <f>IFERROR(VLOOKUP($B446,'Hack Database'!$A:$J,4,FALSE),"")</f>
        <v/>
      </c>
      <c r="F446" s="74" t="str">
        <f>IFERROR(VLOOKUP($B446,'Hack Database'!$A:$J,5,FALSE),"")</f>
        <v/>
      </c>
      <c r="G446" s="74" t="str">
        <f>IFERROR(VLOOKUP($B446,'Hack Database'!$A:$J,6,FALSE),"")</f>
        <v/>
      </c>
      <c r="H446" s="81"/>
      <c r="I446" s="81"/>
      <c r="J446" s="74"/>
      <c r="K446" s="74" t="str">
        <f t="shared" si="6"/>
        <v/>
      </c>
      <c r="L446" s="74"/>
      <c r="M446" s="84"/>
      <c r="N446" s="84"/>
      <c r="O446" s="84"/>
      <c r="P446" s="74" t="str">
        <f>IFERROR(HYPERLINK(VLOOKUP($B446,'Online Database'!$A:$J,9,FALSE),"Open Page"),IFERROR(HYPERLINK(VLOOKUP($B446,'Manual Database'!$A:$J,9,FALSE),"Open Page"),""))</f>
        <v/>
      </c>
      <c r="Q446" s="74" t="str">
        <f>IFERROR(HYPERLINK(VLOOKUP($B446,'Online Database'!$A:$J,10,FALSE),"Download"),IFERROR(HYPERLINK(VLOOKUP($B446,'Manual Database'!$A:$J,10,FALSE),"Download"),""))</f>
        <v/>
      </c>
      <c r="R446" s="90"/>
    </row>
    <row r="447" spans="1:18" ht="22.05" customHeight="1">
      <c r="A447" s="74" t="str">
        <f>IF(C447="","",COUNTIF($C$2:C447,"&lt;&gt;"))</f>
        <v/>
      </c>
      <c r="B447" s="74"/>
      <c r="C447" s="74" t="str">
        <f>IFERROR(VLOOKUP($B447,'Hack Database'!$A:$J,2,FALSE),"")</f>
        <v/>
      </c>
      <c r="D447" s="74" t="str">
        <f>IFERROR(VLOOKUP($B447,'Hack Database'!$A:$J,3,FALSE),"")</f>
        <v/>
      </c>
      <c r="E447" s="74" t="str">
        <f>IFERROR(VLOOKUP($B447,'Hack Database'!$A:$J,4,FALSE),"")</f>
        <v/>
      </c>
      <c r="F447" s="74" t="str">
        <f>IFERROR(VLOOKUP($B447,'Hack Database'!$A:$J,5,FALSE),"")</f>
        <v/>
      </c>
      <c r="G447" s="74" t="str">
        <f>IFERROR(VLOOKUP($B447,'Hack Database'!$A:$J,6,FALSE),"")</f>
        <v/>
      </c>
      <c r="H447" s="81"/>
      <c r="I447" s="81"/>
      <c r="J447" s="74"/>
      <c r="K447" s="74" t="str">
        <f t="shared" si="6"/>
        <v/>
      </c>
      <c r="L447" s="74"/>
      <c r="M447" s="84"/>
      <c r="N447" s="84"/>
      <c r="O447" s="84"/>
      <c r="P447" s="74" t="str">
        <f>IFERROR(HYPERLINK(VLOOKUP($B447,'Online Database'!$A:$J,9,FALSE),"Open Page"),IFERROR(HYPERLINK(VLOOKUP($B447,'Manual Database'!$A:$J,9,FALSE),"Open Page"),""))</f>
        <v/>
      </c>
      <c r="Q447" s="74" t="str">
        <f>IFERROR(HYPERLINK(VLOOKUP($B447,'Online Database'!$A:$J,10,FALSE),"Download"),IFERROR(HYPERLINK(VLOOKUP($B447,'Manual Database'!$A:$J,10,FALSE),"Download"),""))</f>
        <v/>
      </c>
      <c r="R447" s="90"/>
    </row>
    <row r="448" spans="1:18" ht="22.05" customHeight="1">
      <c r="A448" s="74" t="str">
        <f>IF(C448="","",COUNTIF($C$2:C448,"&lt;&gt;"))</f>
        <v/>
      </c>
      <c r="B448" s="74"/>
      <c r="C448" s="74" t="str">
        <f>IFERROR(VLOOKUP($B448,'Hack Database'!$A:$J,2,FALSE),"")</f>
        <v/>
      </c>
      <c r="D448" s="74" t="str">
        <f>IFERROR(VLOOKUP($B448,'Hack Database'!$A:$J,3,FALSE),"")</f>
        <v/>
      </c>
      <c r="E448" s="74" t="str">
        <f>IFERROR(VLOOKUP($B448,'Hack Database'!$A:$J,4,FALSE),"")</f>
        <v/>
      </c>
      <c r="F448" s="74" t="str">
        <f>IFERROR(VLOOKUP($B448,'Hack Database'!$A:$J,5,FALSE),"")</f>
        <v/>
      </c>
      <c r="G448" s="74" t="str">
        <f>IFERROR(VLOOKUP($B448,'Hack Database'!$A:$J,6,FALSE),"")</f>
        <v/>
      </c>
      <c r="H448" s="81"/>
      <c r="I448" s="81"/>
      <c r="J448" s="74"/>
      <c r="K448" s="74" t="str">
        <f t="shared" si="6"/>
        <v/>
      </c>
      <c r="L448" s="74"/>
      <c r="M448" s="84"/>
      <c r="N448" s="84"/>
      <c r="O448" s="84"/>
      <c r="P448" s="74" t="str">
        <f>IFERROR(HYPERLINK(VLOOKUP($B448,'Online Database'!$A:$J,9,FALSE),"Open Page"),IFERROR(HYPERLINK(VLOOKUP($B448,'Manual Database'!$A:$J,9,FALSE),"Open Page"),""))</f>
        <v/>
      </c>
      <c r="Q448" s="74" t="str">
        <f>IFERROR(HYPERLINK(VLOOKUP($B448,'Online Database'!$A:$J,10,FALSE),"Download"),IFERROR(HYPERLINK(VLOOKUP($B448,'Manual Database'!$A:$J,10,FALSE),"Download"),""))</f>
        <v/>
      </c>
      <c r="R448" s="90"/>
    </row>
    <row r="449" spans="1:18" ht="22.05" customHeight="1">
      <c r="A449" s="74" t="str">
        <f>IF(C449="","",COUNTIF($C$2:C449,"&lt;&gt;"))</f>
        <v/>
      </c>
      <c r="B449" s="74"/>
      <c r="C449" s="74" t="str">
        <f>IFERROR(VLOOKUP($B449,'Hack Database'!$A:$J,2,FALSE),"")</f>
        <v/>
      </c>
      <c r="D449" s="74" t="str">
        <f>IFERROR(VLOOKUP($B449,'Hack Database'!$A:$J,3,FALSE),"")</f>
        <v/>
      </c>
      <c r="E449" s="74" t="str">
        <f>IFERROR(VLOOKUP($B449,'Hack Database'!$A:$J,4,FALSE),"")</f>
        <v/>
      </c>
      <c r="F449" s="74" t="str">
        <f>IFERROR(VLOOKUP($B449,'Hack Database'!$A:$J,5,FALSE),"")</f>
        <v/>
      </c>
      <c r="G449" s="74" t="str">
        <f>IFERROR(VLOOKUP($B449,'Hack Database'!$A:$J,6,FALSE),"")</f>
        <v/>
      </c>
      <c r="H449" s="81"/>
      <c r="I449" s="81"/>
      <c r="J449" s="74"/>
      <c r="K449" s="74" t="str">
        <f t="shared" si="6"/>
        <v/>
      </c>
      <c r="L449" s="74"/>
      <c r="M449" s="84"/>
      <c r="N449" s="84"/>
      <c r="O449" s="84"/>
      <c r="P449" s="74" t="str">
        <f>IFERROR(HYPERLINK(VLOOKUP($B449,'Online Database'!$A:$J,9,FALSE),"Open Page"),IFERROR(HYPERLINK(VLOOKUP($B449,'Manual Database'!$A:$J,9,FALSE),"Open Page"),""))</f>
        <v/>
      </c>
      <c r="Q449" s="74" t="str">
        <f>IFERROR(HYPERLINK(VLOOKUP($B449,'Online Database'!$A:$J,10,FALSE),"Download"),IFERROR(HYPERLINK(VLOOKUP($B449,'Manual Database'!$A:$J,10,FALSE),"Download"),""))</f>
        <v/>
      </c>
      <c r="R449" s="90"/>
    </row>
    <row r="450" spans="1:18" ht="22.05" customHeight="1">
      <c r="A450" s="74" t="str">
        <f>IF(C450="","",COUNTIF($C$2:C450,"&lt;&gt;"))</f>
        <v/>
      </c>
      <c r="B450" s="74"/>
      <c r="C450" s="74" t="str">
        <f>IFERROR(VLOOKUP($B450,'Hack Database'!$A:$J,2,FALSE),"")</f>
        <v/>
      </c>
      <c r="D450" s="74" t="str">
        <f>IFERROR(VLOOKUP($B450,'Hack Database'!$A:$J,3,FALSE),"")</f>
        <v/>
      </c>
      <c r="E450" s="74" t="str">
        <f>IFERROR(VLOOKUP($B450,'Hack Database'!$A:$J,4,FALSE),"")</f>
        <v/>
      </c>
      <c r="F450" s="74" t="str">
        <f>IFERROR(VLOOKUP($B450,'Hack Database'!$A:$J,5,FALSE),"")</f>
        <v/>
      </c>
      <c r="G450" s="74" t="str">
        <f>IFERROR(VLOOKUP($B450,'Hack Database'!$A:$J,6,FALSE),"")</f>
        <v/>
      </c>
      <c r="H450" s="81"/>
      <c r="I450" s="81"/>
      <c r="J450" s="74"/>
      <c r="K450" s="74" t="str">
        <f t="shared" ref="K450:K501" si="7">IF($B450="","",IF($J450="Yes","100% Complete",IF($H450="","Planned",IF($I450="","In Progress","Finished"))))</f>
        <v/>
      </c>
      <c r="L450" s="74"/>
      <c r="M450" s="84"/>
      <c r="N450" s="84"/>
      <c r="O450" s="84"/>
      <c r="P450" s="74" t="str">
        <f>IFERROR(HYPERLINK(VLOOKUP($B450,'Online Database'!$A:$J,9,FALSE),"Open Page"),IFERROR(HYPERLINK(VLOOKUP($B450,'Manual Database'!$A:$J,9,FALSE),"Open Page"),""))</f>
        <v/>
      </c>
      <c r="Q450" s="74" t="str">
        <f>IFERROR(HYPERLINK(VLOOKUP($B450,'Online Database'!$A:$J,10,FALSE),"Download"),IFERROR(HYPERLINK(VLOOKUP($B450,'Manual Database'!$A:$J,10,FALSE),"Download"),""))</f>
        <v/>
      </c>
      <c r="R450" s="90"/>
    </row>
    <row r="451" spans="1:18" ht="22.05" customHeight="1">
      <c r="A451" s="74" t="str">
        <f>IF(C451="","",COUNTIF($C$2:C451,"&lt;&gt;"))</f>
        <v/>
      </c>
      <c r="B451" s="74"/>
      <c r="C451" s="74" t="str">
        <f>IFERROR(VLOOKUP($B451,'Hack Database'!$A:$J,2,FALSE),"")</f>
        <v/>
      </c>
      <c r="D451" s="74" t="str">
        <f>IFERROR(VLOOKUP($B451,'Hack Database'!$A:$J,3,FALSE),"")</f>
        <v/>
      </c>
      <c r="E451" s="74" t="str">
        <f>IFERROR(VLOOKUP($B451,'Hack Database'!$A:$J,4,FALSE),"")</f>
        <v/>
      </c>
      <c r="F451" s="74" t="str">
        <f>IFERROR(VLOOKUP($B451,'Hack Database'!$A:$J,5,FALSE),"")</f>
        <v/>
      </c>
      <c r="G451" s="74" t="str">
        <f>IFERROR(VLOOKUP($B451,'Hack Database'!$A:$J,6,FALSE),"")</f>
        <v/>
      </c>
      <c r="H451" s="81"/>
      <c r="I451" s="81"/>
      <c r="J451" s="74"/>
      <c r="K451" s="74" t="str">
        <f t="shared" si="7"/>
        <v/>
      </c>
      <c r="L451" s="74"/>
      <c r="M451" s="84"/>
      <c r="N451" s="84"/>
      <c r="O451" s="84"/>
      <c r="P451" s="74" t="str">
        <f>IFERROR(HYPERLINK(VLOOKUP($B451,'Online Database'!$A:$J,9,FALSE),"Open Page"),IFERROR(HYPERLINK(VLOOKUP($B451,'Manual Database'!$A:$J,9,FALSE),"Open Page"),""))</f>
        <v/>
      </c>
      <c r="Q451" s="74" t="str">
        <f>IFERROR(HYPERLINK(VLOOKUP($B451,'Online Database'!$A:$J,10,FALSE),"Download"),IFERROR(HYPERLINK(VLOOKUP($B451,'Manual Database'!$A:$J,10,FALSE),"Download"),""))</f>
        <v/>
      </c>
      <c r="R451" s="90"/>
    </row>
    <row r="452" spans="1:18" ht="22.05" customHeight="1">
      <c r="A452" s="74" t="str">
        <f>IF(C452="","",COUNTIF($C$2:C452,"&lt;&gt;"))</f>
        <v/>
      </c>
      <c r="B452" s="74"/>
      <c r="C452" s="74" t="str">
        <f>IFERROR(VLOOKUP($B452,'Hack Database'!$A:$J,2,FALSE),"")</f>
        <v/>
      </c>
      <c r="D452" s="74" t="str">
        <f>IFERROR(VLOOKUP($B452,'Hack Database'!$A:$J,3,FALSE),"")</f>
        <v/>
      </c>
      <c r="E452" s="74" t="str">
        <f>IFERROR(VLOOKUP($B452,'Hack Database'!$A:$J,4,FALSE),"")</f>
        <v/>
      </c>
      <c r="F452" s="74" t="str">
        <f>IFERROR(VLOOKUP($B452,'Hack Database'!$A:$J,5,FALSE),"")</f>
        <v/>
      </c>
      <c r="G452" s="74" t="str">
        <f>IFERROR(VLOOKUP($B452,'Hack Database'!$A:$J,6,FALSE),"")</f>
        <v/>
      </c>
      <c r="H452" s="81"/>
      <c r="I452" s="81"/>
      <c r="J452" s="74"/>
      <c r="K452" s="74" t="str">
        <f t="shared" si="7"/>
        <v/>
      </c>
      <c r="L452" s="74"/>
      <c r="M452" s="84"/>
      <c r="N452" s="84"/>
      <c r="O452" s="84"/>
      <c r="P452" s="74" t="str">
        <f>IFERROR(HYPERLINK(VLOOKUP($B452,'Online Database'!$A:$J,9,FALSE),"Open Page"),IFERROR(HYPERLINK(VLOOKUP($B452,'Manual Database'!$A:$J,9,FALSE),"Open Page"),""))</f>
        <v/>
      </c>
      <c r="Q452" s="74" t="str">
        <f>IFERROR(HYPERLINK(VLOOKUP($B452,'Online Database'!$A:$J,10,FALSE),"Download"),IFERROR(HYPERLINK(VLOOKUP($B452,'Manual Database'!$A:$J,10,FALSE),"Download"),""))</f>
        <v/>
      </c>
      <c r="R452" s="90"/>
    </row>
    <row r="453" spans="1:18" ht="22.05" customHeight="1">
      <c r="A453" s="74" t="str">
        <f>IF(C453="","",COUNTIF($C$2:C453,"&lt;&gt;"))</f>
        <v/>
      </c>
      <c r="B453" s="74"/>
      <c r="C453" s="74" t="str">
        <f>IFERROR(VLOOKUP($B453,'Hack Database'!$A:$J,2,FALSE),"")</f>
        <v/>
      </c>
      <c r="D453" s="74" t="str">
        <f>IFERROR(VLOOKUP($B453,'Hack Database'!$A:$J,3,FALSE),"")</f>
        <v/>
      </c>
      <c r="E453" s="74" t="str">
        <f>IFERROR(VLOOKUP($B453,'Hack Database'!$A:$J,4,FALSE),"")</f>
        <v/>
      </c>
      <c r="F453" s="74" t="str">
        <f>IFERROR(VLOOKUP($B453,'Hack Database'!$A:$J,5,FALSE),"")</f>
        <v/>
      </c>
      <c r="G453" s="74" t="str">
        <f>IFERROR(VLOOKUP($B453,'Hack Database'!$A:$J,6,FALSE),"")</f>
        <v/>
      </c>
      <c r="H453" s="81"/>
      <c r="I453" s="81"/>
      <c r="J453" s="74"/>
      <c r="K453" s="74" t="str">
        <f t="shared" si="7"/>
        <v/>
      </c>
      <c r="L453" s="74"/>
      <c r="M453" s="84"/>
      <c r="N453" s="84"/>
      <c r="O453" s="84"/>
      <c r="P453" s="74" t="str">
        <f>IFERROR(HYPERLINK(VLOOKUP($B453,'Online Database'!$A:$J,9,FALSE),"Open Page"),IFERROR(HYPERLINK(VLOOKUP($B453,'Manual Database'!$A:$J,9,FALSE),"Open Page"),""))</f>
        <v/>
      </c>
      <c r="Q453" s="74" t="str">
        <f>IFERROR(HYPERLINK(VLOOKUP($B453,'Online Database'!$A:$J,10,FALSE),"Download"),IFERROR(HYPERLINK(VLOOKUP($B453,'Manual Database'!$A:$J,10,FALSE),"Download"),""))</f>
        <v/>
      </c>
      <c r="R453" s="90"/>
    </row>
    <row r="454" spans="1:18" ht="22.05" customHeight="1">
      <c r="A454" s="74" t="str">
        <f>IF(C454="","",COUNTIF($C$2:C454,"&lt;&gt;"))</f>
        <v/>
      </c>
      <c r="B454" s="74"/>
      <c r="C454" s="74" t="str">
        <f>IFERROR(VLOOKUP($B454,'Hack Database'!$A:$J,2,FALSE),"")</f>
        <v/>
      </c>
      <c r="D454" s="74" t="str">
        <f>IFERROR(VLOOKUP($B454,'Hack Database'!$A:$J,3,FALSE),"")</f>
        <v/>
      </c>
      <c r="E454" s="74" t="str">
        <f>IFERROR(VLOOKUP($B454,'Hack Database'!$A:$J,4,FALSE),"")</f>
        <v/>
      </c>
      <c r="F454" s="74" t="str">
        <f>IFERROR(VLOOKUP($B454,'Hack Database'!$A:$J,5,FALSE),"")</f>
        <v/>
      </c>
      <c r="G454" s="74" t="str">
        <f>IFERROR(VLOOKUP($B454,'Hack Database'!$A:$J,6,FALSE),"")</f>
        <v/>
      </c>
      <c r="H454" s="81"/>
      <c r="I454" s="81"/>
      <c r="J454" s="74"/>
      <c r="K454" s="74" t="str">
        <f t="shared" si="7"/>
        <v/>
      </c>
      <c r="L454" s="74"/>
      <c r="M454" s="84"/>
      <c r="N454" s="84"/>
      <c r="O454" s="84"/>
      <c r="P454" s="74" t="str">
        <f>IFERROR(HYPERLINK(VLOOKUP($B454,'Online Database'!$A:$J,9,FALSE),"Open Page"),IFERROR(HYPERLINK(VLOOKUP($B454,'Manual Database'!$A:$J,9,FALSE),"Open Page"),""))</f>
        <v/>
      </c>
      <c r="Q454" s="74" t="str">
        <f>IFERROR(HYPERLINK(VLOOKUP($B454,'Online Database'!$A:$J,10,FALSE),"Download"),IFERROR(HYPERLINK(VLOOKUP($B454,'Manual Database'!$A:$J,10,FALSE),"Download"),""))</f>
        <v/>
      </c>
      <c r="R454" s="90"/>
    </row>
    <row r="455" spans="1:18" ht="22.05" customHeight="1">
      <c r="A455" s="74" t="str">
        <f>IF(C455="","",COUNTIF($C$2:C455,"&lt;&gt;"))</f>
        <v/>
      </c>
      <c r="B455" s="74"/>
      <c r="C455" s="74" t="str">
        <f>IFERROR(VLOOKUP($B455,'Hack Database'!$A:$J,2,FALSE),"")</f>
        <v/>
      </c>
      <c r="D455" s="74" t="str">
        <f>IFERROR(VLOOKUP($B455,'Hack Database'!$A:$J,3,FALSE),"")</f>
        <v/>
      </c>
      <c r="E455" s="74" t="str">
        <f>IFERROR(VLOOKUP($B455,'Hack Database'!$A:$J,4,FALSE),"")</f>
        <v/>
      </c>
      <c r="F455" s="74" t="str">
        <f>IFERROR(VLOOKUP($B455,'Hack Database'!$A:$J,5,FALSE),"")</f>
        <v/>
      </c>
      <c r="G455" s="74" t="str">
        <f>IFERROR(VLOOKUP($B455,'Hack Database'!$A:$J,6,FALSE),"")</f>
        <v/>
      </c>
      <c r="H455" s="81"/>
      <c r="I455" s="81"/>
      <c r="J455" s="74"/>
      <c r="K455" s="74" t="str">
        <f t="shared" si="7"/>
        <v/>
      </c>
      <c r="L455" s="74"/>
      <c r="M455" s="84"/>
      <c r="N455" s="84"/>
      <c r="O455" s="84"/>
      <c r="P455" s="74" t="str">
        <f>IFERROR(HYPERLINK(VLOOKUP($B455,'Online Database'!$A:$J,9,FALSE),"Open Page"),IFERROR(HYPERLINK(VLOOKUP($B455,'Manual Database'!$A:$J,9,FALSE),"Open Page"),""))</f>
        <v/>
      </c>
      <c r="Q455" s="74" t="str">
        <f>IFERROR(HYPERLINK(VLOOKUP($B455,'Online Database'!$A:$J,10,FALSE),"Download"),IFERROR(HYPERLINK(VLOOKUP($B455,'Manual Database'!$A:$J,10,FALSE),"Download"),""))</f>
        <v/>
      </c>
      <c r="R455" s="90"/>
    </row>
    <row r="456" spans="1:18" ht="22.05" customHeight="1">
      <c r="A456" s="74" t="str">
        <f>IF(C456="","",COUNTIF($C$2:C456,"&lt;&gt;"))</f>
        <v/>
      </c>
      <c r="B456" s="74"/>
      <c r="C456" s="74" t="str">
        <f>IFERROR(VLOOKUP($B456,'Hack Database'!$A:$J,2,FALSE),"")</f>
        <v/>
      </c>
      <c r="D456" s="74" t="str">
        <f>IFERROR(VLOOKUP($B456,'Hack Database'!$A:$J,3,FALSE),"")</f>
        <v/>
      </c>
      <c r="E456" s="74" t="str">
        <f>IFERROR(VLOOKUP($B456,'Hack Database'!$A:$J,4,FALSE),"")</f>
        <v/>
      </c>
      <c r="F456" s="74" t="str">
        <f>IFERROR(VLOOKUP($B456,'Hack Database'!$A:$J,5,FALSE),"")</f>
        <v/>
      </c>
      <c r="G456" s="74" t="str">
        <f>IFERROR(VLOOKUP($B456,'Hack Database'!$A:$J,6,FALSE),"")</f>
        <v/>
      </c>
      <c r="H456" s="81"/>
      <c r="I456" s="81"/>
      <c r="J456" s="74"/>
      <c r="K456" s="74" t="str">
        <f t="shared" si="7"/>
        <v/>
      </c>
      <c r="L456" s="74"/>
      <c r="M456" s="84"/>
      <c r="N456" s="84"/>
      <c r="O456" s="84"/>
      <c r="P456" s="74" t="str">
        <f>IFERROR(HYPERLINK(VLOOKUP($B456,'Online Database'!$A:$J,9,FALSE),"Open Page"),IFERROR(HYPERLINK(VLOOKUP($B456,'Manual Database'!$A:$J,9,FALSE),"Open Page"),""))</f>
        <v/>
      </c>
      <c r="Q456" s="74" t="str">
        <f>IFERROR(HYPERLINK(VLOOKUP($B456,'Online Database'!$A:$J,10,FALSE),"Download"),IFERROR(HYPERLINK(VLOOKUP($B456,'Manual Database'!$A:$J,10,FALSE),"Download"),""))</f>
        <v/>
      </c>
      <c r="R456" s="90"/>
    </row>
    <row r="457" spans="1:18" ht="22.05" customHeight="1">
      <c r="A457" s="74" t="str">
        <f>IF(C457="","",COUNTIF($C$2:C457,"&lt;&gt;"))</f>
        <v/>
      </c>
      <c r="B457" s="74"/>
      <c r="C457" s="74" t="str">
        <f>IFERROR(VLOOKUP($B457,'Hack Database'!$A:$J,2,FALSE),"")</f>
        <v/>
      </c>
      <c r="D457" s="74" t="str">
        <f>IFERROR(VLOOKUP($B457,'Hack Database'!$A:$J,3,FALSE),"")</f>
        <v/>
      </c>
      <c r="E457" s="74" t="str">
        <f>IFERROR(VLOOKUP($B457,'Hack Database'!$A:$J,4,FALSE),"")</f>
        <v/>
      </c>
      <c r="F457" s="74" t="str">
        <f>IFERROR(VLOOKUP($B457,'Hack Database'!$A:$J,5,FALSE),"")</f>
        <v/>
      </c>
      <c r="G457" s="74" t="str">
        <f>IFERROR(VLOOKUP($B457,'Hack Database'!$A:$J,6,FALSE),"")</f>
        <v/>
      </c>
      <c r="H457" s="81"/>
      <c r="I457" s="81"/>
      <c r="J457" s="74"/>
      <c r="K457" s="74" t="str">
        <f t="shared" si="7"/>
        <v/>
      </c>
      <c r="L457" s="74"/>
      <c r="M457" s="84"/>
      <c r="N457" s="84"/>
      <c r="O457" s="84"/>
      <c r="P457" s="74" t="str">
        <f>IFERROR(HYPERLINK(VLOOKUP($B457,'Online Database'!$A:$J,9,FALSE),"Open Page"),IFERROR(HYPERLINK(VLOOKUP($B457,'Manual Database'!$A:$J,9,FALSE),"Open Page"),""))</f>
        <v/>
      </c>
      <c r="Q457" s="74" t="str">
        <f>IFERROR(HYPERLINK(VLOOKUP($B457,'Online Database'!$A:$J,10,FALSE),"Download"),IFERROR(HYPERLINK(VLOOKUP($B457,'Manual Database'!$A:$J,10,FALSE),"Download"),""))</f>
        <v/>
      </c>
      <c r="R457" s="90"/>
    </row>
    <row r="458" spans="1:18" ht="22.05" customHeight="1">
      <c r="A458" s="74" t="str">
        <f>IF(C458="","",COUNTIF($C$2:C458,"&lt;&gt;"))</f>
        <v/>
      </c>
      <c r="B458" s="74"/>
      <c r="C458" s="74" t="str">
        <f>IFERROR(VLOOKUP($B458,'Hack Database'!$A:$J,2,FALSE),"")</f>
        <v/>
      </c>
      <c r="D458" s="74" t="str">
        <f>IFERROR(VLOOKUP($B458,'Hack Database'!$A:$J,3,FALSE),"")</f>
        <v/>
      </c>
      <c r="E458" s="74" t="str">
        <f>IFERROR(VLOOKUP($B458,'Hack Database'!$A:$J,4,FALSE),"")</f>
        <v/>
      </c>
      <c r="F458" s="74" t="str">
        <f>IFERROR(VLOOKUP($B458,'Hack Database'!$A:$J,5,FALSE),"")</f>
        <v/>
      </c>
      <c r="G458" s="74" t="str">
        <f>IFERROR(VLOOKUP($B458,'Hack Database'!$A:$J,6,FALSE),"")</f>
        <v/>
      </c>
      <c r="H458" s="81"/>
      <c r="I458" s="81"/>
      <c r="J458" s="74"/>
      <c r="K458" s="74" t="str">
        <f t="shared" si="7"/>
        <v/>
      </c>
      <c r="L458" s="74"/>
      <c r="M458" s="84"/>
      <c r="N458" s="84"/>
      <c r="O458" s="84"/>
      <c r="P458" s="74" t="str">
        <f>IFERROR(HYPERLINK(VLOOKUP($B458,'Online Database'!$A:$J,9,FALSE),"Open Page"),IFERROR(HYPERLINK(VLOOKUP($B458,'Manual Database'!$A:$J,9,FALSE),"Open Page"),""))</f>
        <v/>
      </c>
      <c r="Q458" s="74" t="str">
        <f>IFERROR(HYPERLINK(VLOOKUP($B458,'Online Database'!$A:$J,10,FALSE),"Download"),IFERROR(HYPERLINK(VLOOKUP($B458,'Manual Database'!$A:$J,10,FALSE),"Download"),""))</f>
        <v/>
      </c>
      <c r="R458" s="90"/>
    </row>
    <row r="459" spans="1:18" ht="22.05" customHeight="1">
      <c r="A459" s="74" t="str">
        <f>IF(C459="","",COUNTIF($C$2:C459,"&lt;&gt;"))</f>
        <v/>
      </c>
      <c r="B459" s="74"/>
      <c r="C459" s="74" t="str">
        <f>IFERROR(VLOOKUP($B459,'Hack Database'!$A:$J,2,FALSE),"")</f>
        <v/>
      </c>
      <c r="D459" s="74" t="str">
        <f>IFERROR(VLOOKUP($B459,'Hack Database'!$A:$J,3,FALSE),"")</f>
        <v/>
      </c>
      <c r="E459" s="74" t="str">
        <f>IFERROR(VLOOKUP($B459,'Hack Database'!$A:$J,4,FALSE),"")</f>
        <v/>
      </c>
      <c r="F459" s="74" t="str">
        <f>IFERROR(VLOOKUP($B459,'Hack Database'!$A:$J,5,FALSE),"")</f>
        <v/>
      </c>
      <c r="G459" s="74" t="str">
        <f>IFERROR(VLOOKUP($B459,'Hack Database'!$A:$J,6,FALSE),"")</f>
        <v/>
      </c>
      <c r="H459" s="81"/>
      <c r="I459" s="81"/>
      <c r="J459" s="74"/>
      <c r="K459" s="74" t="str">
        <f t="shared" si="7"/>
        <v/>
      </c>
      <c r="L459" s="74"/>
      <c r="M459" s="84"/>
      <c r="N459" s="84"/>
      <c r="O459" s="84"/>
      <c r="P459" s="74" t="str">
        <f>IFERROR(HYPERLINK(VLOOKUP($B459,'Online Database'!$A:$J,9,FALSE),"Open Page"),IFERROR(HYPERLINK(VLOOKUP($B459,'Manual Database'!$A:$J,9,FALSE),"Open Page"),""))</f>
        <v/>
      </c>
      <c r="Q459" s="74" t="str">
        <f>IFERROR(HYPERLINK(VLOOKUP($B459,'Online Database'!$A:$J,10,FALSE),"Download"),IFERROR(HYPERLINK(VLOOKUP($B459,'Manual Database'!$A:$J,10,FALSE),"Download"),""))</f>
        <v/>
      </c>
      <c r="R459" s="90"/>
    </row>
    <row r="460" spans="1:18" ht="22.05" customHeight="1">
      <c r="A460" s="74" t="str">
        <f>IF(C460="","",COUNTIF($C$2:C460,"&lt;&gt;"))</f>
        <v/>
      </c>
      <c r="B460" s="74"/>
      <c r="C460" s="74" t="str">
        <f>IFERROR(VLOOKUP($B460,'Hack Database'!$A:$J,2,FALSE),"")</f>
        <v/>
      </c>
      <c r="D460" s="74" t="str">
        <f>IFERROR(VLOOKUP($B460,'Hack Database'!$A:$J,3,FALSE),"")</f>
        <v/>
      </c>
      <c r="E460" s="74" t="str">
        <f>IFERROR(VLOOKUP($B460,'Hack Database'!$A:$J,4,FALSE),"")</f>
        <v/>
      </c>
      <c r="F460" s="74" t="str">
        <f>IFERROR(VLOOKUP($B460,'Hack Database'!$A:$J,5,FALSE),"")</f>
        <v/>
      </c>
      <c r="G460" s="74" t="str">
        <f>IFERROR(VLOOKUP($B460,'Hack Database'!$A:$J,6,FALSE),"")</f>
        <v/>
      </c>
      <c r="H460" s="81"/>
      <c r="I460" s="81"/>
      <c r="J460" s="74"/>
      <c r="K460" s="74" t="str">
        <f t="shared" si="7"/>
        <v/>
      </c>
      <c r="L460" s="74"/>
      <c r="M460" s="84"/>
      <c r="N460" s="84"/>
      <c r="O460" s="84"/>
      <c r="P460" s="74" t="str">
        <f>IFERROR(HYPERLINK(VLOOKUP($B460,'Online Database'!$A:$J,9,FALSE),"Open Page"),IFERROR(HYPERLINK(VLOOKUP($B460,'Manual Database'!$A:$J,9,FALSE),"Open Page"),""))</f>
        <v/>
      </c>
      <c r="Q460" s="74" t="str">
        <f>IFERROR(HYPERLINK(VLOOKUP($B460,'Online Database'!$A:$J,10,FALSE),"Download"),IFERROR(HYPERLINK(VLOOKUP($B460,'Manual Database'!$A:$J,10,FALSE),"Download"),""))</f>
        <v/>
      </c>
      <c r="R460" s="90"/>
    </row>
    <row r="461" spans="1:18" ht="22.05" customHeight="1">
      <c r="A461" s="74" t="str">
        <f>IF(C461="","",COUNTIF($C$2:C461,"&lt;&gt;"))</f>
        <v/>
      </c>
      <c r="B461" s="74"/>
      <c r="C461" s="74" t="str">
        <f>IFERROR(VLOOKUP($B461,'Hack Database'!$A:$J,2,FALSE),"")</f>
        <v/>
      </c>
      <c r="D461" s="74" t="str">
        <f>IFERROR(VLOOKUP($B461,'Hack Database'!$A:$J,3,FALSE),"")</f>
        <v/>
      </c>
      <c r="E461" s="74" t="str">
        <f>IFERROR(VLOOKUP($B461,'Hack Database'!$A:$J,4,FALSE),"")</f>
        <v/>
      </c>
      <c r="F461" s="74" t="str">
        <f>IFERROR(VLOOKUP($B461,'Hack Database'!$A:$J,5,FALSE),"")</f>
        <v/>
      </c>
      <c r="G461" s="74" t="str">
        <f>IFERROR(VLOOKUP($B461,'Hack Database'!$A:$J,6,FALSE),"")</f>
        <v/>
      </c>
      <c r="H461" s="81"/>
      <c r="I461" s="81"/>
      <c r="J461" s="74"/>
      <c r="K461" s="74" t="str">
        <f t="shared" si="7"/>
        <v/>
      </c>
      <c r="L461" s="74"/>
      <c r="M461" s="84"/>
      <c r="N461" s="84"/>
      <c r="O461" s="84"/>
      <c r="P461" s="74" t="str">
        <f>IFERROR(HYPERLINK(VLOOKUP($B461,'Online Database'!$A:$J,9,FALSE),"Open Page"),IFERROR(HYPERLINK(VLOOKUP($B461,'Manual Database'!$A:$J,9,FALSE),"Open Page"),""))</f>
        <v/>
      </c>
      <c r="Q461" s="74" t="str">
        <f>IFERROR(HYPERLINK(VLOOKUP($B461,'Online Database'!$A:$J,10,FALSE),"Download"),IFERROR(HYPERLINK(VLOOKUP($B461,'Manual Database'!$A:$J,10,FALSE),"Download"),""))</f>
        <v/>
      </c>
      <c r="R461" s="90"/>
    </row>
    <row r="462" spans="1:18" ht="22.05" customHeight="1">
      <c r="A462" s="74" t="str">
        <f>IF(C462="","",COUNTIF($C$2:C462,"&lt;&gt;"))</f>
        <v/>
      </c>
      <c r="B462" s="74"/>
      <c r="C462" s="74" t="str">
        <f>IFERROR(VLOOKUP($B462,'Hack Database'!$A:$J,2,FALSE),"")</f>
        <v/>
      </c>
      <c r="D462" s="74" t="str">
        <f>IFERROR(VLOOKUP($B462,'Hack Database'!$A:$J,3,FALSE),"")</f>
        <v/>
      </c>
      <c r="E462" s="74" t="str">
        <f>IFERROR(VLOOKUP($B462,'Hack Database'!$A:$J,4,FALSE),"")</f>
        <v/>
      </c>
      <c r="F462" s="74" t="str">
        <f>IFERROR(VLOOKUP($B462,'Hack Database'!$A:$J,5,FALSE),"")</f>
        <v/>
      </c>
      <c r="G462" s="74" t="str">
        <f>IFERROR(VLOOKUP($B462,'Hack Database'!$A:$J,6,FALSE),"")</f>
        <v/>
      </c>
      <c r="H462" s="81"/>
      <c r="I462" s="81"/>
      <c r="J462" s="74"/>
      <c r="K462" s="74" t="str">
        <f t="shared" si="7"/>
        <v/>
      </c>
      <c r="L462" s="74"/>
      <c r="M462" s="84"/>
      <c r="N462" s="84"/>
      <c r="O462" s="84"/>
      <c r="P462" s="74" t="str">
        <f>IFERROR(HYPERLINK(VLOOKUP($B462,'Online Database'!$A:$J,9,FALSE),"Open Page"),IFERROR(HYPERLINK(VLOOKUP($B462,'Manual Database'!$A:$J,9,FALSE),"Open Page"),""))</f>
        <v/>
      </c>
      <c r="Q462" s="74" t="str">
        <f>IFERROR(HYPERLINK(VLOOKUP($B462,'Online Database'!$A:$J,10,FALSE),"Download"),IFERROR(HYPERLINK(VLOOKUP($B462,'Manual Database'!$A:$J,10,FALSE),"Download"),""))</f>
        <v/>
      </c>
      <c r="R462" s="90"/>
    </row>
    <row r="463" spans="1:18" ht="22.05" customHeight="1">
      <c r="A463" s="74" t="str">
        <f>IF(C463="","",COUNTIF($C$2:C463,"&lt;&gt;"))</f>
        <v/>
      </c>
      <c r="B463" s="74"/>
      <c r="C463" s="74" t="str">
        <f>IFERROR(VLOOKUP($B463,'Hack Database'!$A:$J,2,FALSE),"")</f>
        <v/>
      </c>
      <c r="D463" s="74" t="str">
        <f>IFERROR(VLOOKUP($B463,'Hack Database'!$A:$J,3,FALSE),"")</f>
        <v/>
      </c>
      <c r="E463" s="74" t="str">
        <f>IFERROR(VLOOKUP($B463,'Hack Database'!$A:$J,4,FALSE),"")</f>
        <v/>
      </c>
      <c r="F463" s="74" t="str">
        <f>IFERROR(VLOOKUP($B463,'Hack Database'!$A:$J,5,FALSE),"")</f>
        <v/>
      </c>
      <c r="G463" s="74" t="str">
        <f>IFERROR(VLOOKUP($B463,'Hack Database'!$A:$J,6,FALSE),"")</f>
        <v/>
      </c>
      <c r="H463" s="81"/>
      <c r="I463" s="81"/>
      <c r="J463" s="74"/>
      <c r="K463" s="74" t="str">
        <f t="shared" si="7"/>
        <v/>
      </c>
      <c r="L463" s="74"/>
      <c r="M463" s="84"/>
      <c r="N463" s="84"/>
      <c r="O463" s="84"/>
      <c r="P463" s="74" t="str">
        <f>IFERROR(HYPERLINK(VLOOKUP($B463,'Online Database'!$A:$J,9,FALSE),"Open Page"),IFERROR(HYPERLINK(VLOOKUP($B463,'Manual Database'!$A:$J,9,FALSE),"Open Page"),""))</f>
        <v/>
      </c>
      <c r="Q463" s="74" t="str">
        <f>IFERROR(HYPERLINK(VLOOKUP($B463,'Online Database'!$A:$J,10,FALSE),"Download"),IFERROR(HYPERLINK(VLOOKUP($B463,'Manual Database'!$A:$J,10,FALSE),"Download"),""))</f>
        <v/>
      </c>
      <c r="R463" s="90"/>
    </row>
    <row r="464" spans="1:18" ht="22.05" customHeight="1">
      <c r="A464" s="74" t="str">
        <f>IF(C464="","",COUNTIF($C$2:C464,"&lt;&gt;"))</f>
        <v/>
      </c>
      <c r="B464" s="74"/>
      <c r="C464" s="74" t="str">
        <f>IFERROR(VLOOKUP($B464,'Hack Database'!$A:$J,2,FALSE),"")</f>
        <v/>
      </c>
      <c r="D464" s="74" t="str">
        <f>IFERROR(VLOOKUP($B464,'Hack Database'!$A:$J,3,FALSE),"")</f>
        <v/>
      </c>
      <c r="E464" s="74" t="str">
        <f>IFERROR(VLOOKUP($B464,'Hack Database'!$A:$J,4,FALSE),"")</f>
        <v/>
      </c>
      <c r="F464" s="74" t="str">
        <f>IFERROR(VLOOKUP($B464,'Hack Database'!$A:$J,5,FALSE),"")</f>
        <v/>
      </c>
      <c r="G464" s="74" t="str">
        <f>IFERROR(VLOOKUP($B464,'Hack Database'!$A:$J,6,FALSE),"")</f>
        <v/>
      </c>
      <c r="H464" s="81"/>
      <c r="I464" s="81"/>
      <c r="J464" s="74"/>
      <c r="K464" s="74" t="str">
        <f t="shared" si="7"/>
        <v/>
      </c>
      <c r="L464" s="74"/>
      <c r="M464" s="84"/>
      <c r="N464" s="84"/>
      <c r="O464" s="84"/>
      <c r="P464" s="74" t="str">
        <f>IFERROR(HYPERLINK(VLOOKUP($B464,'Online Database'!$A:$J,9,FALSE),"Open Page"),IFERROR(HYPERLINK(VLOOKUP($B464,'Manual Database'!$A:$J,9,FALSE),"Open Page"),""))</f>
        <v/>
      </c>
      <c r="Q464" s="74" t="str">
        <f>IFERROR(HYPERLINK(VLOOKUP($B464,'Online Database'!$A:$J,10,FALSE),"Download"),IFERROR(HYPERLINK(VLOOKUP($B464,'Manual Database'!$A:$J,10,FALSE),"Download"),""))</f>
        <v/>
      </c>
      <c r="R464" s="90"/>
    </row>
    <row r="465" spans="1:18" ht="22.05" customHeight="1">
      <c r="A465" s="74" t="str">
        <f>IF(C465="","",COUNTIF($C$2:C465,"&lt;&gt;"))</f>
        <v/>
      </c>
      <c r="B465" s="74"/>
      <c r="C465" s="74" t="str">
        <f>IFERROR(VLOOKUP($B465,'Hack Database'!$A:$J,2,FALSE),"")</f>
        <v/>
      </c>
      <c r="D465" s="74" t="str">
        <f>IFERROR(VLOOKUP($B465,'Hack Database'!$A:$J,3,FALSE),"")</f>
        <v/>
      </c>
      <c r="E465" s="74" t="str">
        <f>IFERROR(VLOOKUP($B465,'Hack Database'!$A:$J,4,FALSE),"")</f>
        <v/>
      </c>
      <c r="F465" s="74" t="str">
        <f>IFERROR(VLOOKUP($B465,'Hack Database'!$A:$J,5,FALSE),"")</f>
        <v/>
      </c>
      <c r="G465" s="74" t="str">
        <f>IFERROR(VLOOKUP($B465,'Hack Database'!$A:$J,6,FALSE),"")</f>
        <v/>
      </c>
      <c r="H465" s="81"/>
      <c r="I465" s="81"/>
      <c r="J465" s="74"/>
      <c r="K465" s="74" t="str">
        <f t="shared" si="7"/>
        <v/>
      </c>
      <c r="L465" s="74"/>
      <c r="M465" s="84"/>
      <c r="N465" s="84"/>
      <c r="O465" s="84"/>
      <c r="P465" s="74" t="str">
        <f>IFERROR(HYPERLINK(VLOOKUP($B465,'Online Database'!$A:$J,9,FALSE),"Open Page"),IFERROR(HYPERLINK(VLOOKUP($B465,'Manual Database'!$A:$J,9,FALSE),"Open Page"),""))</f>
        <v/>
      </c>
      <c r="Q465" s="74" t="str">
        <f>IFERROR(HYPERLINK(VLOOKUP($B465,'Online Database'!$A:$J,10,FALSE),"Download"),IFERROR(HYPERLINK(VLOOKUP($B465,'Manual Database'!$A:$J,10,FALSE),"Download"),""))</f>
        <v/>
      </c>
      <c r="R465" s="90"/>
    </row>
    <row r="466" spans="1:18" ht="22.05" customHeight="1">
      <c r="A466" s="74" t="str">
        <f>IF(C466="","",COUNTIF($C$2:C466,"&lt;&gt;"))</f>
        <v/>
      </c>
      <c r="B466" s="74"/>
      <c r="C466" s="74" t="str">
        <f>IFERROR(VLOOKUP($B466,'Hack Database'!$A:$J,2,FALSE),"")</f>
        <v/>
      </c>
      <c r="D466" s="74" t="str">
        <f>IFERROR(VLOOKUP($B466,'Hack Database'!$A:$J,3,FALSE),"")</f>
        <v/>
      </c>
      <c r="E466" s="74" t="str">
        <f>IFERROR(VLOOKUP($B466,'Hack Database'!$A:$J,4,FALSE),"")</f>
        <v/>
      </c>
      <c r="F466" s="74" t="str">
        <f>IFERROR(VLOOKUP($B466,'Hack Database'!$A:$J,5,FALSE),"")</f>
        <v/>
      </c>
      <c r="G466" s="74" t="str">
        <f>IFERROR(VLOOKUP($B466,'Hack Database'!$A:$J,6,FALSE),"")</f>
        <v/>
      </c>
      <c r="H466" s="81"/>
      <c r="I466" s="81"/>
      <c r="J466" s="74"/>
      <c r="K466" s="74" t="str">
        <f t="shared" si="7"/>
        <v/>
      </c>
      <c r="L466" s="74"/>
      <c r="M466" s="84"/>
      <c r="N466" s="84"/>
      <c r="O466" s="84"/>
      <c r="P466" s="74" t="str">
        <f>IFERROR(HYPERLINK(VLOOKUP($B466,'Online Database'!$A:$J,9,FALSE),"Open Page"),IFERROR(HYPERLINK(VLOOKUP($B466,'Manual Database'!$A:$J,9,FALSE),"Open Page"),""))</f>
        <v/>
      </c>
      <c r="Q466" s="74" t="str">
        <f>IFERROR(HYPERLINK(VLOOKUP($B466,'Online Database'!$A:$J,10,FALSE),"Download"),IFERROR(HYPERLINK(VLOOKUP($B466,'Manual Database'!$A:$J,10,FALSE),"Download"),""))</f>
        <v/>
      </c>
      <c r="R466" s="90"/>
    </row>
    <row r="467" spans="1:18" ht="22.05" customHeight="1">
      <c r="A467" s="74" t="str">
        <f>IF(C467="","",COUNTIF($C$2:C467,"&lt;&gt;"))</f>
        <v/>
      </c>
      <c r="B467" s="74"/>
      <c r="C467" s="74" t="str">
        <f>IFERROR(VLOOKUP($B467,'Hack Database'!$A:$J,2,FALSE),"")</f>
        <v/>
      </c>
      <c r="D467" s="74" t="str">
        <f>IFERROR(VLOOKUP($B467,'Hack Database'!$A:$J,3,FALSE),"")</f>
        <v/>
      </c>
      <c r="E467" s="74" t="str">
        <f>IFERROR(VLOOKUP($B467,'Hack Database'!$A:$J,4,FALSE),"")</f>
        <v/>
      </c>
      <c r="F467" s="74" t="str">
        <f>IFERROR(VLOOKUP($B467,'Hack Database'!$A:$J,5,FALSE),"")</f>
        <v/>
      </c>
      <c r="G467" s="74" t="str">
        <f>IFERROR(VLOOKUP($B467,'Hack Database'!$A:$J,6,FALSE),"")</f>
        <v/>
      </c>
      <c r="H467" s="81"/>
      <c r="I467" s="81"/>
      <c r="J467" s="74"/>
      <c r="K467" s="74" t="str">
        <f t="shared" si="7"/>
        <v/>
      </c>
      <c r="L467" s="74"/>
      <c r="M467" s="84"/>
      <c r="N467" s="84"/>
      <c r="O467" s="84"/>
      <c r="P467" s="74" t="str">
        <f>IFERROR(HYPERLINK(VLOOKUP($B467,'Online Database'!$A:$J,9,FALSE),"Open Page"),IFERROR(HYPERLINK(VLOOKUP($B467,'Manual Database'!$A:$J,9,FALSE),"Open Page"),""))</f>
        <v/>
      </c>
      <c r="Q467" s="74" t="str">
        <f>IFERROR(HYPERLINK(VLOOKUP($B467,'Online Database'!$A:$J,10,FALSE),"Download"),IFERROR(HYPERLINK(VLOOKUP($B467,'Manual Database'!$A:$J,10,FALSE),"Download"),""))</f>
        <v/>
      </c>
      <c r="R467" s="90"/>
    </row>
    <row r="468" spans="1:18" ht="22.05" customHeight="1">
      <c r="A468" s="74" t="str">
        <f>IF(C468="","",COUNTIF($C$2:C468,"&lt;&gt;"))</f>
        <v/>
      </c>
      <c r="B468" s="74"/>
      <c r="C468" s="74" t="str">
        <f>IFERROR(VLOOKUP($B468,'Hack Database'!$A:$J,2,FALSE),"")</f>
        <v/>
      </c>
      <c r="D468" s="74" t="str">
        <f>IFERROR(VLOOKUP($B468,'Hack Database'!$A:$J,3,FALSE),"")</f>
        <v/>
      </c>
      <c r="E468" s="74" t="str">
        <f>IFERROR(VLOOKUP($B468,'Hack Database'!$A:$J,4,FALSE),"")</f>
        <v/>
      </c>
      <c r="F468" s="74" t="str">
        <f>IFERROR(VLOOKUP($B468,'Hack Database'!$A:$J,5,FALSE),"")</f>
        <v/>
      </c>
      <c r="G468" s="74" t="str">
        <f>IFERROR(VLOOKUP($B468,'Hack Database'!$A:$J,6,FALSE),"")</f>
        <v/>
      </c>
      <c r="H468" s="81"/>
      <c r="I468" s="81"/>
      <c r="J468" s="74"/>
      <c r="K468" s="74" t="str">
        <f t="shared" si="7"/>
        <v/>
      </c>
      <c r="L468" s="74"/>
      <c r="M468" s="84"/>
      <c r="N468" s="84"/>
      <c r="O468" s="84"/>
      <c r="P468" s="74" t="str">
        <f>IFERROR(HYPERLINK(VLOOKUP($B468,'Online Database'!$A:$J,9,FALSE),"Open Page"),IFERROR(HYPERLINK(VLOOKUP($B468,'Manual Database'!$A:$J,9,FALSE),"Open Page"),""))</f>
        <v/>
      </c>
      <c r="Q468" s="74" t="str">
        <f>IFERROR(HYPERLINK(VLOOKUP($B468,'Online Database'!$A:$J,10,FALSE),"Download"),IFERROR(HYPERLINK(VLOOKUP($B468,'Manual Database'!$A:$J,10,FALSE),"Download"),""))</f>
        <v/>
      </c>
      <c r="R468" s="90"/>
    </row>
    <row r="469" spans="1:18" ht="22.05" customHeight="1">
      <c r="A469" s="74" t="str">
        <f>IF(C469="","",COUNTIF($C$2:C469,"&lt;&gt;"))</f>
        <v/>
      </c>
      <c r="B469" s="74"/>
      <c r="C469" s="74" t="str">
        <f>IFERROR(VLOOKUP($B469,'Hack Database'!$A:$J,2,FALSE),"")</f>
        <v/>
      </c>
      <c r="D469" s="74" t="str">
        <f>IFERROR(VLOOKUP($B469,'Hack Database'!$A:$J,3,FALSE),"")</f>
        <v/>
      </c>
      <c r="E469" s="74" t="str">
        <f>IFERROR(VLOOKUP($B469,'Hack Database'!$A:$J,4,FALSE),"")</f>
        <v/>
      </c>
      <c r="F469" s="74" t="str">
        <f>IFERROR(VLOOKUP($B469,'Hack Database'!$A:$J,5,FALSE),"")</f>
        <v/>
      </c>
      <c r="G469" s="74" t="str">
        <f>IFERROR(VLOOKUP($B469,'Hack Database'!$A:$J,6,FALSE),"")</f>
        <v/>
      </c>
      <c r="H469" s="81"/>
      <c r="I469" s="81"/>
      <c r="J469" s="74"/>
      <c r="K469" s="74" t="str">
        <f t="shared" si="7"/>
        <v/>
      </c>
      <c r="L469" s="74"/>
      <c r="M469" s="84"/>
      <c r="N469" s="84"/>
      <c r="O469" s="84"/>
      <c r="P469" s="74" t="str">
        <f>IFERROR(HYPERLINK(VLOOKUP($B469,'Online Database'!$A:$J,9,FALSE),"Open Page"),IFERROR(HYPERLINK(VLOOKUP($B469,'Manual Database'!$A:$J,9,FALSE),"Open Page"),""))</f>
        <v/>
      </c>
      <c r="Q469" s="74" t="str">
        <f>IFERROR(HYPERLINK(VLOOKUP($B469,'Online Database'!$A:$J,10,FALSE),"Download"),IFERROR(HYPERLINK(VLOOKUP($B469,'Manual Database'!$A:$J,10,FALSE),"Download"),""))</f>
        <v/>
      </c>
      <c r="R469" s="90"/>
    </row>
    <row r="470" spans="1:18" ht="22.05" customHeight="1">
      <c r="A470" s="74" t="str">
        <f>IF(C470="","",COUNTIF($C$2:C470,"&lt;&gt;"))</f>
        <v/>
      </c>
      <c r="B470" s="74"/>
      <c r="C470" s="74" t="str">
        <f>IFERROR(VLOOKUP($B470,'Hack Database'!$A:$J,2,FALSE),"")</f>
        <v/>
      </c>
      <c r="D470" s="74" t="str">
        <f>IFERROR(VLOOKUP($B470,'Hack Database'!$A:$J,3,FALSE),"")</f>
        <v/>
      </c>
      <c r="E470" s="74" t="str">
        <f>IFERROR(VLOOKUP($B470,'Hack Database'!$A:$J,4,FALSE),"")</f>
        <v/>
      </c>
      <c r="F470" s="74" t="str">
        <f>IFERROR(VLOOKUP($B470,'Hack Database'!$A:$J,5,FALSE),"")</f>
        <v/>
      </c>
      <c r="G470" s="74" t="str">
        <f>IFERROR(VLOOKUP($B470,'Hack Database'!$A:$J,6,FALSE),"")</f>
        <v/>
      </c>
      <c r="H470" s="81"/>
      <c r="I470" s="81"/>
      <c r="J470" s="74"/>
      <c r="K470" s="74" t="str">
        <f t="shared" si="7"/>
        <v/>
      </c>
      <c r="L470" s="74"/>
      <c r="M470" s="84"/>
      <c r="N470" s="84"/>
      <c r="O470" s="84"/>
      <c r="P470" s="74" t="str">
        <f>IFERROR(HYPERLINK(VLOOKUP($B470,'Online Database'!$A:$J,9,FALSE),"Open Page"),IFERROR(HYPERLINK(VLOOKUP($B470,'Manual Database'!$A:$J,9,FALSE),"Open Page"),""))</f>
        <v/>
      </c>
      <c r="Q470" s="74" t="str">
        <f>IFERROR(HYPERLINK(VLOOKUP($B470,'Online Database'!$A:$J,10,FALSE),"Download"),IFERROR(HYPERLINK(VLOOKUP($B470,'Manual Database'!$A:$J,10,FALSE),"Download"),""))</f>
        <v/>
      </c>
      <c r="R470" s="90"/>
    </row>
    <row r="471" spans="1:18" ht="22.05" customHeight="1">
      <c r="A471" s="74" t="str">
        <f>IF(C471="","",COUNTIF($C$2:C471,"&lt;&gt;"))</f>
        <v/>
      </c>
      <c r="B471" s="74"/>
      <c r="C471" s="74" t="str">
        <f>IFERROR(VLOOKUP($B471,'Hack Database'!$A:$J,2,FALSE),"")</f>
        <v/>
      </c>
      <c r="D471" s="74" t="str">
        <f>IFERROR(VLOOKUP($B471,'Hack Database'!$A:$J,3,FALSE),"")</f>
        <v/>
      </c>
      <c r="E471" s="74" t="str">
        <f>IFERROR(VLOOKUP($B471,'Hack Database'!$A:$J,4,FALSE),"")</f>
        <v/>
      </c>
      <c r="F471" s="74" t="str">
        <f>IFERROR(VLOOKUP($B471,'Hack Database'!$A:$J,5,FALSE),"")</f>
        <v/>
      </c>
      <c r="G471" s="74" t="str">
        <f>IFERROR(VLOOKUP($B471,'Hack Database'!$A:$J,6,FALSE),"")</f>
        <v/>
      </c>
      <c r="H471" s="81"/>
      <c r="I471" s="81"/>
      <c r="J471" s="74"/>
      <c r="K471" s="74" t="str">
        <f t="shared" si="7"/>
        <v/>
      </c>
      <c r="L471" s="74"/>
      <c r="M471" s="84"/>
      <c r="N471" s="84"/>
      <c r="O471" s="84"/>
      <c r="P471" s="74" t="str">
        <f>IFERROR(HYPERLINK(VLOOKUP($B471,'Online Database'!$A:$J,9,FALSE),"Open Page"),IFERROR(HYPERLINK(VLOOKUP($B471,'Manual Database'!$A:$J,9,FALSE),"Open Page"),""))</f>
        <v/>
      </c>
      <c r="Q471" s="74" t="str">
        <f>IFERROR(HYPERLINK(VLOOKUP($B471,'Online Database'!$A:$J,10,FALSE),"Download"),IFERROR(HYPERLINK(VLOOKUP($B471,'Manual Database'!$A:$J,10,FALSE),"Download"),""))</f>
        <v/>
      </c>
      <c r="R471" s="90"/>
    </row>
    <row r="472" spans="1:18" ht="22.05" customHeight="1">
      <c r="A472" s="74" t="str">
        <f>IF(C472="","",COUNTIF($C$2:C472,"&lt;&gt;"))</f>
        <v/>
      </c>
      <c r="B472" s="74"/>
      <c r="C472" s="74" t="str">
        <f>IFERROR(VLOOKUP($B472,'Hack Database'!$A:$J,2,FALSE),"")</f>
        <v/>
      </c>
      <c r="D472" s="74" t="str">
        <f>IFERROR(VLOOKUP($B472,'Hack Database'!$A:$J,3,FALSE),"")</f>
        <v/>
      </c>
      <c r="E472" s="74" t="str">
        <f>IFERROR(VLOOKUP($B472,'Hack Database'!$A:$J,4,FALSE),"")</f>
        <v/>
      </c>
      <c r="F472" s="74" t="str">
        <f>IFERROR(VLOOKUP($B472,'Hack Database'!$A:$J,5,FALSE),"")</f>
        <v/>
      </c>
      <c r="G472" s="74" t="str">
        <f>IFERROR(VLOOKUP($B472,'Hack Database'!$A:$J,6,FALSE),"")</f>
        <v/>
      </c>
      <c r="H472" s="81"/>
      <c r="I472" s="81"/>
      <c r="J472" s="74"/>
      <c r="K472" s="74" t="str">
        <f t="shared" si="7"/>
        <v/>
      </c>
      <c r="L472" s="74"/>
      <c r="M472" s="84"/>
      <c r="N472" s="84"/>
      <c r="O472" s="84"/>
      <c r="P472" s="74" t="str">
        <f>IFERROR(HYPERLINK(VLOOKUP($B472,'Online Database'!$A:$J,9,FALSE),"Open Page"),IFERROR(HYPERLINK(VLOOKUP($B472,'Manual Database'!$A:$J,9,FALSE),"Open Page"),""))</f>
        <v/>
      </c>
      <c r="Q472" s="74" t="str">
        <f>IFERROR(HYPERLINK(VLOOKUP($B472,'Online Database'!$A:$J,10,FALSE),"Download"),IFERROR(HYPERLINK(VLOOKUP($B472,'Manual Database'!$A:$J,10,FALSE),"Download"),""))</f>
        <v/>
      </c>
      <c r="R472" s="90"/>
    </row>
    <row r="473" spans="1:18" ht="22.05" customHeight="1">
      <c r="A473" s="74" t="str">
        <f>IF(C473="","",COUNTIF($C$2:C473,"&lt;&gt;"))</f>
        <v/>
      </c>
      <c r="B473" s="74"/>
      <c r="C473" s="74" t="str">
        <f>IFERROR(VLOOKUP($B473,'Hack Database'!$A:$J,2,FALSE),"")</f>
        <v/>
      </c>
      <c r="D473" s="74" t="str">
        <f>IFERROR(VLOOKUP($B473,'Hack Database'!$A:$J,3,FALSE),"")</f>
        <v/>
      </c>
      <c r="E473" s="74" t="str">
        <f>IFERROR(VLOOKUP($B473,'Hack Database'!$A:$J,4,FALSE),"")</f>
        <v/>
      </c>
      <c r="F473" s="74" t="str">
        <f>IFERROR(VLOOKUP($B473,'Hack Database'!$A:$J,5,FALSE),"")</f>
        <v/>
      </c>
      <c r="G473" s="74" t="str">
        <f>IFERROR(VLOOKUP($B473,'Hack Database'!$A:$J,6,FALSE),"")</f>
        <v/>
      </c>
      <c r="H473" s="81"/>
      <c r="I473" s="81"/>
      <c r="J473" s="74"/>
      <c r="K473" s="74" t="str">
        <f t="shared" si="7"/>
        <v/>
      </c>
      <c r="L473" s="74"/>
      <c r="M473" s="84"/>
      <c r="N473" s="84"/>
      <c r="O473" s="84"/>
      <c r="P473" s="74" t="str">
        <f>IFERROR(HYPERLINK(VLOOKUP($B473,'Online Database'!$A:$J,9,FALSE),"Open Page"),IFERROR(HYPERLINK(VLOOKUP($B473,'Manual Database'!$A:$J,9,FALSE),"Open Page"),""))</f>
        <v/>
      </c>
      <c r="Q473" s="74" t="str">
        <f>IFERROR(HYPERLINK(VLOOKUP($B473,'Online Database'!$A:$J,10,FALSE),"Download"),IFERROR(HYPERLINK(VLOOKUP($B473,'Manual Database'!$A:$J,10,FALSE),"Download"),""))</f>
        <v/>
      </c>
      <c r="R473" s="90"/>
    </row>
    <row r="474" spans="1:18" ht="22.05" customHeight="1">
      <c r="A474" s="74" t="str">
        <f>IF(C474="","",COUNTIF($C$2:C474,"&lt;&gt;"))</f>
        <v/>
      </c>
      <c r="B474" s="74"/>
      <c r="C474" s="74" t="str">
        <f>IFERROR(VLOOKUP($B474,'Hack Database'!$A:$J,2,FALSE),"")</f>
        <v/>
      </c>
      <c r="D474" s="74" t="str">
        <f>IFERROR(VLOOKUP($B474,'Hack Database'!$A:$J,3,FALSE),"")</f>
        <v/>
      </c>
      <c r="E474" s="74" t="str">
        <f>IFERROR(VLOOKUP($B474,'Hack Database'!$A:$J,4,FALSE),"")</f>
        <v/>
      </c>
      <c r="F474" s="74" t="str">
        <f>IFERROR(VLOOKUP($B474,'Hack Database'!$A:$J,5,FALSE),"")</f>
        <v/>
      </c>
      <c r="G474" s="74" t="str">
        <f>IFERROR(VLOOKUP($B474,'Hack Database'!$A:$J,6,FALSE),"")</f>
        <v/>
      </c>
      <c r="H474" s="81"/>
      <c r="I474" s="81"/>
      <c r="J474" s="74"/>
      <c r="K474" s="74" t="str">
        <f t="shared" si="7"/>
        <v/>
      </c>
      <c r="L474" s="74"/>
      <c r="M474" s="84"/>
      <c r="N474" s="84"/>
      <c r="O474" s="84"/>
      <c r="P474" s="74" t="str">
        <f>IFERROR(HYPERLINK(VLOOKUP($B474,'Online Database'!$A:$J,9,FALSE),"Open Page"),IFERROR(HYPERLINK(VLOOKUP($B474,'Manual Database'!$A:$J,9,FALSE),"Open Page"),""))</f>
        <v/>
      </c>
      <c r="Q474" s="74" t="str">
        <f>IFERROR(HYPERLINK(VLOOKUP($B474,'Online Database'!$A:$J,10,FALSE),"Download"),IFERROR(HYPERLINK(VLOOKUP($B474,'Manual Database'!$A:$J,10,FALSE),"Download"),""))</f>
        <v/>
      </c>
      <c r="R474" s="90"/>
    </row>
    <row r="475" spans="1:18" ht="22.05" customHeight="1">
      <c r="A475" s="74" t="str">
        <f>IF(C475="","",COUNTIF($C$2:C475,"&lt;&gt;"))</f>
        <v/>
      </c>
      <c r="B475" s="74"/>
      <c r="C475" s="74" t="str">
        <f>IFERROR(VLOOKUP($B475,'Hack Database'!$A:$J,2,FALSE),"")</f>
        <v/>
      </c>
      <c r="D475" s="74" t="str">
        <f>IFERROR(VLOOKUP($B475,'Hack Database'!$A:$J,3,FALSE),"")</f>
        <v/>
      </c>
      <c r="E475" s="74" t="str">
        <f>IFERROR(VLOOKUP($B475,'Hack Database'!$A:$J,4,FALSE),"")</f>
        <v/>
      </c>
      <c r="F475" s="74" t="str">
        <f>IFERROR(VLOOKUP($B475,'Hack Database'!$A:$J,5,FALSE),"")</f>
        <v/>
      </c>
      <c r="G475" s="74" t="str">
        <f>IFERROR(VLOOKUP($B475,'Hack Database'!$A:$J,6,FALSE),"")</f>
        <v/>
      </c>
      <c r="H475" s="81"/>
      <c r="I475" s="81"/>
      <c r="J475" s="74"/>
      <c r="K475" s="74" t="str">
        <f t="shared" si="7"/>
        <v/>
      </c>
      <c r="L475" s="74"/>
      <c r="M475" s="84"/>
      <c r="N475" s="84"/>
      <c r="O475" s="84"/>
      <c r="P475" s="74" t="str">
        <f>IFERROR(HYPERLINK(VLOOKUP($B475,'Online Database'!$A:$J,9,FALSE),"Open Page"),IFERROR(HYPERLINK(VLOOKUP($B475,'Manual Database'!$A:$J,9,FALSE),"Open Page"),""))</f>
        <v/>
      </c>
      <c r="Q475" s="74" t="str">
        <f>IFERROR(HYPERLINK(VLOOKUP($B475,'Online Database'!$A:$J,10,FALSE),"Download"),IFERROR(HYPERLINK(VLOOKUP($B475,'Manual Database'!$A:$J,10,FALSE),"Download"),""))</f>
        <v/>
      </c>
      <c r="R475" s="90"/>
    </row>
    <row r="476" spans="1:18" ht="22.05" customHeight="1">
      <c r="A476" s="74" t="str">
        <f>IF(C476="","",COUNTIF($C$2:C476,"&lt;&gt;"))</f>
        <v/>
      </c>
      <c r="B476" s="74"/>
      <c r="C476" s="74" t="str">
        <f>IFERROR(VLOOKUP($B476,'Hack Database'!$A:$J,2,FALSE),"")</f>
        <v/>
      </c>
      <c r="D476" s="74" t="str">
        <f>IFERROR(VLOOKUP($B476,'Hack Database'!$A:$J,3,FALSE),"")</f>
        <v/>
      </c>
      <c r="E476" s="74" t="str">
        <f>IFERROR(VLOOKUP($B476,'Hack Database'!$A:$J,4,FALSE),"")</f>
        <v/>
      </c>
      <c r="F476" s="74" t="str">
        <f>IFERROR(VLOOKUP($B476,'Hack Database'!$A:$J,5,FALSE),"")</f>
        <v/>
      </c>
      <c r="G476" s="74" t="str">
        <f>IFERROR(VLOOKUP($B476,'Hack Database'!$A:$J,6,FALSE),"")</f>
        <v/>
      </c>
      <c r="H476" s="81"/>
      <c r="I476" s="81"/>
      <c r="J476" s="74"/>
      <c r="K476" s="74" t="str">
        <f t="shared" si="7"/>
        <v/>
      </c>
      <c r="L476" s="74"/>
      <c r="M476" s="84"/>
      <c r="N476" s="84"/>
      <c r="O476" s="84"/>
      <c r="P476" s="74" t="str">
        <f>IFERROR(HYPERLINK(VLOOKUP($B476,'Online Database'!$A:$J,9,FALSE),"Open Page"),IFERROR(HYPERLINK(VLOOKUP($B476,'Manual Database'!$A:$J,9,FALSE),"Open Page"),""))</f>
        <v/>
      </c>
      <c r="Q476" s="74" t="str">
        <f>IFERROR(HYPERLINK(VLOOKUP($B476,'Online Database'!$A:$J,10,FALSE),"Download"),IFERROR(HYPERLINK(VLOOKUP($B476,'Manual Database'!$A:$J,10,FALSE),"Download"),""))</f>
        <v/>
      </c>
      <c r="R476" s="90"/>
    </row>
    <row r="477" spans="1:18" ht="22.05" customHeight="1">
      <c r="A477" s="74" t="str">
        <f>IF(C477="","",COUNTIF($C$2:C477,"&lt;&gt;"))</f>
        <v/>
      </c>
      <c r="B477" s="74"/>
      <c r="C477" s="74" t="str">
        <f>IFERROR(VLOOKUP($B477,'Hack Database'!$A:$J,2,FALSE),"")</f>
        <v/>
      </c>
      <c r="D477" s="74" t="str">
        <f>IFERROR(VLOOKUP($B477,'Hack Database'!$A:$J,3,FALSE),"")</f>
        <v/>
      </c>
      <c r="E477" s="74" t="str">
        <f>IFERROR(VLOOKUP($B477,'Hack Database'!$A:$J,4,FALSE),"")</f>
        <v/>
      </c>
      <c r="F477" s="74" t="str">
        <f>IFERROR(VLOOKUP($B477,'Hack Database'!$A:$J,5,FALSE),"")</f>
        <v/>
      </c>
      <c r="G477" s="74" t="str">
        <f>IFERROR(VLOOKUP($B477,'Hack Database'!$A:$J,6,FALSE),"")</f>
        <v/>
      </c>
      <c r="H477" s="81"/>
      <c r="I477" s="81"/>
      <c r="J477" s="74"/>
      <c r="K477" s="74" t="str">
        <f t="shared" si="7"/>
        <v/>
      </c>
      <c r="L477" s="74"/>
      <c r="M477" s="84"/>
      <c r="N477" s="84"/>
      <c r="O477" s="84"/>
      <c r="P477" s="74" t="str">
        <f>IFERROR(HYPERLINK(VLOOKUP($B477,'Online Database'!$A:$J,9,FALSE),"Open Page"),IFERROR(HYPERLINK(VLOOKUP($B477,'Manual Database'!$A:$J,9,FALSE),"Open Page"),""))</f>
        <v/>
      </c>
      <c r="Q477" s="74" t="str">
        <f>IFERROR(HYPERLINK(VLOOKUP($B477,'Online Database'!$A:$J,10,FALSE),"Download"),IFERROR(HYPERLINK(VLOOKUP($B477,'Manual Database'!$A:$J,10,FALSE),"Download"),""))</f>
        <v/>
      </c>
      <c r="R477" s="90"/>
    </row>
    <row r="478" spans="1:18" ht="22.05" customHeight="1">
      <c r="A478" s="74" t="str">
        <f>IF(C478="","",COUNTIF($C$2:C478,"&lt;&gt;"))</f>
        <v/>
      </c>
      <c r="B478" s="74"/>
      <c r="C478" s="74" t="str">
        <f>IFERROR(VLOOKUP($B478,'Hack Database'!$A:$J,2,FALSE),"")</f>
        <v/>
      </c>
      <c r="D478" s="74" t="str">
        <f>IFERROR(VLOOKUP($B478,'Hack Database'!$A:$J,3,FALSE),"")</f>
        <v/>
      </c>
      <c r="E478" s="74" t="str">
        <f>IFERROR(VLOOKUP($B478,'Hack Database'!$A:$J,4,FALSE),"")</f>
        <v/>
      </c>
      <c r="F478" s="74" t="str">
        <f>IFERROR(VLOOKUP($B478,'Hack Database'!$A:$J,5,FALSE),"")</f>
        <v/>
      </c>
      <c r="G478" s="74" t="str">
        <f>IFERROR(VLOOKUP($B478,'Hack Database'!$A:$J,6,FALSE),"")</f>
        <v/>
      </c>
      <c r="H478" s="81"/>
      <c r="I478" s="81"/>
      <c r="J478" s="74"/>
      <c r="K478" s="74" t="str">
        <f t="shared" si="7"/>
        <v/>
      </c>
      <c r="L478" s="74"/>
      <c r="M478" s="84"/>
      <c r="N478" s="84"/>
      <c r="O478" s="84"/>
      <c r="P478" s="74" t="str">
        <f>IFERROR(HYPERLINK(VLOOKUP($B478,'Online Database'!$A:$J,9,FALSE),"Open Page"),IFERROR(HYPERLINK(VLOOKUP($B478,'Manual Database'!$A:$J,9,FALSE),"Open Page"),""))</f>
        <v/>
      </c>
      <c r="Q478" s="74" t="str">
        <f>IFERROR(HYPERLINK(VLOOKUP($B478,'Online Database'!$A:$J,10,FALSE),"Download"),IFERROR(HYPERLINK(VLOOKUP($B478,'Manual Database'!$A:$J,10,FALSE),"Download"),""))</f>
        <v/>
      </c>
      <c r="R478" s="90"/>
    </row>
    <row r="479" spans="1:18" ht="22.05" customHeight="1">
      <c r="A479" s="74" t="str">
        <f>IF(C479="","",COUNTIF($C$2:C479,"&lt;&gt;"))</f>
        <v/>
      </c>
      <c r="B479" s="74"/>
      <c r="C479" s="74" t="str">
        <f>IFERROR(VLOOKUP($B479,'Hack Database'!$A:$J,2,FALSE),"")</f>
        <v/>
      </c>
      <c r="D479" s="74" t="str">
        <f>IFERROR(VLOOKUP($B479,'Hack Database'!$A:$J,3,FALSE),"")</f>
        <v/>
      </c>
      <c r="E479" s="74" t="str">
        <f>IFERROR(VLOOKUP($B479,'Hack Database'!$A:$J,4,FALSE),"")</f>
        <v/>
      </c>
      <c r="F479" s="74" t="str">
        <f>IFERROR(VLOOKUP($B479,'Hack Database'!$A:$J,5,FALSE),"")</f>
        <v/>
      </c>
      <c r="G479" s="74" t="str">
        <f>IFERROR(VLOOKUP($B479,'Hack Database'!$A:$J,6,FALSE),"")</f>
        <v/>
      </c>
      <c r="H479" s="81"/>
      <c r="I479" s="81"/>
      <c r="J479" s="74"/>
      <c r="K479" s="74" t="str">
        <f t="shared" si="7"/>
        <v/>
      </c>
      <c r="L479" s="74"/>
      <c r="M479" s="84"/>
      <c r="N479" s="84"/>
      <c r="O479" s="84"/>
      <c r="P479" s="74" t="str">
        <f>IFERROR(HYPERLINK(VLOOKUP($B479,'Online Database'!$A:$J,9,FALSE),"Open Page"),IFERROR(HYPERLINK(VLOOKUP($B479,'Manual Database'!$A:$J,9,FALSE),"Open Page"),""))</f>
        <v/>
      </c>
      <c r="Q479" s="74" t="str">
        <f>IFERROR(HYPERLINK(VLOOKUP($B479,'Online Database'!$A:$J,10,FALSE),"Download"),IFERROR(HYPERLINK(VLOOKUP($B479,'Manual Database'!$A:$J,10,FALSE),"Download"),""))</f>
        <v/>
      </c>
      <c r="R479" s="90"/>
    </row>
    <row r="480" spans="1:18" ht="22.05" customHeight="1">
      <c r="A480" s="74" t="str">
        <f>IF(C480="","",COUNTIF($C$2:C480,"&lt;&gt;"))</f>
        <v/>
      </c>
      <c r="B480" s="74"/>
      <c r="C480" s="74" t="str">
        <f>IFERROR(VLOOKUP($B480,'Hack Database'!$A:$J,2,FALSE),"")</f>
        <v/>
      </c>
      <c r="D480" s="74" t="str">
        <f>IFERROR(VLOOKUP($B480,'Hack Database'!$A:$J,3,FALSE),"")</f>
        <v/>
      </c>
      <c r="E480" s="74" t="str">
        <f>IFERROR(VLOOKUP($B480,'Hack Database'!$A:$J,4,FALSE),"")</f>
        <v/>
      </c>
      <c r="F480" s="74" t="str">
        <f>IFERROR(VLOOKUP($B480,'Hack Database'!$A:$J,5,FALSE),"")</f>
        <v/>
      </c>
      <c r="G480" s="74" t="str">
        <f>IFERROR(VLOOKUP($B480,'Hack Database'!$A:$J,6,FALSE),"")</f>
        <v/>
      </c>
      <c r="H480" s="81"/>
      <c r="I480" s="81"/>
      <c r="J480" s="74"/>
      <c r="K480" s="74" t="str">
        <f t="shared" si="7"/>
        <v/>
      </c>
      <c r="L480" s="74"/>
      <c r="M480" s="84"/>
      <c r="N480" s="84"/>
      <c r="O480" s="84"/>
      <c r="P480" s="74" t="str">
        <f>IFERROR(HYPERLINK(VLOOKUP($B480,'Online Database'!$A:$J,9,FALSE),"Open Page"),IFERROR(HYPERLINK(VLOOKUP($B480,'Manual Database'!$A:$J,9,FALSE),"Open Page"),""))</f>
        <v/>
      </c>
      <c r="Q480" s="74" t="str">
        <f>IFERROR(HYPERLINK(VLOOKUP($B480,'Online Database'!$A:$J,10,FALSE),"Download"),IFERROR(HYPERLINK(VLOOKUP($B480,'Manual Database'!$A:$J,10,FALSE),"Download"),""))</f>
        <v/>
      </c>
      <c r="R480" s="90"/>
    </row>
    <row r="481" spans="1:18" ht="22.05" customHeight="1">
      <c r="A481" s="74" t="str">
        <f>IF(C481="","",COUNTIF($C$2:C481,"&lt;&gt;"))</f>
        <v/>
      </c>
      <c r="B481" s="74"/>
      <c r="C481" s="74" t="str">
        <f>IFERROR(VLOOKUP($B481,'Hack Database'!$A:$J,2,FALSE),"")</f>
        <v/>
      </c>
      <c r="D481" s="74" t="str">
        <f>IFERROR(VLOOKUP($B481,'Hack Database'!$A:$J,3,FALSE),"")</f>
        <v/>
      </c>
      <c r="E481" s="74" t="str">
        <f>IFERROR(VLOOKUP($B481,'Hack Database'!$A:$J,4,FALSE),"")</f>
        <v/>
      </c>
      <c r="F481" s="74" t="str">
        <f>IFERROR(VLOOKUP($B481,'Hack Database'!$A:$J,5,FALSE),"")</f>
        <v/>
      </c>
      <c r="G481" s="74" t="str">
        <f>IFERROR(VLOOKUP($B481,'Hack Database'!$A:$J,6,FALSE),"")</f>
        <v/>
      </c>
      <c r="H481" s="81"/>
      <c r="I481" s="81"/>
      <c r="J481" s="74"/>
      <c r="K481" s="74" t="str">
        <f t="shared" si="7"/>
        <v/>
      </c>
      <c r="L481" s="74"/>
      <c r="M481" s="84"/>
      <c r="N481" s="84"/>
      <c r="O481" s="84"/>
      <c r="P481" s="74" t="str">
        <f>IFERROR(HYPERLINK(VLOOKUP($B481,'Online Database'!$A:$J,9,FALSE),"Open Page"),IFERROR(HYPERLINK(VLOOKUP($B481,'Manual Database'!$A:$J,9,FALSE),"Open Page"),""))</f>
        <v/>
      </c>
      <c r="Q481" s="74" t="str">
        <f>IFERROR(HYPERLINK(VLOOKUP($B481,'Online Database'!$A:$J,10,FALSE),"Download"),IFERROR(HYPERLINK(VLOOKUP($B481,'Manual Database'!$A:$J,10,FALSE),"Download"),""))</f>
        <v/>
      </c>
      <c r="R481" s="90"/>
    </row>
    <row r="482" spans="1:18" ht="22.05" customHeight="1">
      <c r="A482" s="74" t="str">
        <f>IF(C482="","",COUNTIF($C$2:C482,"&lt;&gt;"))</f>
        <v/>
      </c>
      <c r="B482" s="74"/>
      <c r="C482" s="74" t="str">
        <f>IFERROR(VLOOKUP($B482,'Hack Database'!$A:$J,2,FALSE),"")</f>
        <v/>
      </c>
      <c r="D482" s="74" t="str">
        <f>IFERROR(VLOOKUP($B482,'Hack Database'!$A:$J,3,FALSE),"")</f>
        <v/>
      </c>
      <c r="E482" s="74" t="str">
        <f>IFERROR(VLOOKUP($B482,'Hack Database'!$A:$J,4,FALSE),"")</f>
        <v/>
      </c>
      <c r="F482" s="74" t="str">
        <f>IFERROR(VLOOKUP($B482,'Hack Database'!$A:$J,5,FALSE),"")</f>
        <v/>
      </c>
      <c r="G482" s="74" t="str">
        <f>IFERROR(VLOOKUP($B482,'Hack Database'!$A:$J,6,FALSE),"")</f>
        <v/>
      </c>
      <c r="H482" s="81"/>
      <c r="I482" s="81"/>
      <c r="J482" s="74"/>
      <c r="K482" s="74" t="str">
        <f t="shared" si="7"/>
        <v/>
      </c>
      <c r="L482" s="74"/>
      <c r="M482" s="84"/>
      <c r="N482" s="84"/>
      <c r="O482" s="84"/>
      <c r="P482" s="74" t="str">
        <f>IFERROR(HYPERLINK(VLOOKUP($B482,'Online Database'!$A:$J,9,FALSE),"Open Page"),IFERROR(HYPERLINK(VLOOKUP($B482,'Manual Database'!$A:$J,9,FALSE),"Open Page"),""))</f>
        <v/>
      </c>
      <c r="Q482" s="74" t="str">
        <f>IFERROR(HYPERLINK(VLOOKUP($B482,'Online Database'!$A:$J,10,FALSE),"Download"),IFERROR(HYPERLINK(VLOOKUP($B482,'Manual Database'!$A:$J,10,FALSE),"Download"),""))</f>
        <v/>
      </c>
      <c r="R482" s="90"/>
    </row>
    <row r="483" spans="1:18" ht="22.05" customHeight="1">
      <c r="A483" s="74" t="str">
        <f>IF(C483="","",COUNTIF($C$2:C483,"&lt;&gt;"))</f>
        <v/>
      </c>
      <c r="B483" s="74"/>
      <c r="C483" s="74" t="str">
        <f>IFERROR(VLOOKUP($B483,'Hack Database'!$A:$J,2,FALSE),"")</f>
        <v/>
      </c>
      <c r="D483" s="74" t="str">
        <f>IFERROR(VLOOKUP($B483,'Hack Database'!$A:$J,3,FALSE),"")</f>
        <v/>
      </c>
      <c r="E483" s="74" t="str">
        <f>IFERROR(VLOOKUP($B483,'Hack Database'!$A:$J,4,FALSE),"")</f>
        <v/>
      </c>
      <c r="F483" s="74" t="str">
        <f>IFERROR(VLOOKUP($B483,'Hack Database'!$A:$J,5,FALSE),"")</f>
        <v/>
      </c>
      <c r="G483" s="74" t="str">
        <f>IFERROR(VLOOKUP($B483,'Hack Database'!$A:$J,6,FALSE),"")</f>
        <v/>
      </c>
      <c r="H483" s="81"/>
      <c r="I483" s="81"/>
      <c r="J483" s="74"/>
      <c r="K483" s="74" t="str">
        <f t="shared" si="7"/>
        <v/>
      </c>
      <c r="L483" s="74"/>
      <c r="M483" s="84"/>
      <c r="N483" s="84"/>
      <c r="O483" s="84"/>
      <c r="P483" s="74" t="str">
        <f>IFERROR(HYPERLINK(VLOOKUP($B483,'Online Database'!$A:$J,9,FALSE),"Open Page"),IFERROR(HYPERLINK(VLOOKUP($B483,'Manual Database'!$A:$J,9,FALSE),"Open Page"),""))</f>
        <v/>
      </c>
      <c r="Q483" s="74" t="str">
        <f>IFERROR(HYPERLINK(VLOOKUP($B483,'Online Database'!$A:$J,10,FALSE),"Download"),IFERROR(HYPERLINK(VLOOKUP($B483,'Manual Database'!$A:$J,10,FALSE),"Download"),""))</f>
        <v/>
      </c>
      <c r="R483" s="90"/>
    </row>
    <row r="484" spans="1:18" ht="22.05" customHeight="1">
      <c r="A484" s="74" t="str">
        <f>IF(C484="","",COUNTIF($C$2:C484,"&lt;&gt;"))</f>
        <v/>
      </c>
      <c r="B484" s="74"/>
      <c r="C484" s="74" t="str">
        <f>IFERROR(VLOOKUP($B484,'Hack Database'!$A:$J,2,FALSE),"")</f>
        <v/>
      </c>
      <c r="D484" s="74" t="str">
        <f>IFERROR(VLOOKUP($B484,'Hack Database'!$A:$J,3,FALSE),"")</f>
        <v/>
      </c>
      <c r="E484" s="74" t="str">
        <f>IFERROR(VLOOKUP($B484,'Hack Database'!$A:$J,4,FALSE),"")</f>
        <v/>
      </c>
      <c r="F484" s="74" t="str">
        <f>IFERROR(VLOOKUP($B484,'Hack Database'!$A:$J,5,FALSE),"")</f>
        <v/>
      </c>
      <c r="G484" s="74" t="str">
        <f>IFERROR(VLOOKUP($B484,'Hack Database'!$A:$J,6,FALSE),"")</f>
        <v/>
      </c>
      <c r="H484" s="81"/>
      <c r="I484" s="81"/>
      <c r="J484" s="74"/>
      <c r="K484" s="74" t="str">
        <f t="shared" si="7"/>
        <v/>
      </c>
      <c r="L484" s="74"/>
      <c r="M484" s="84"/>
      <c r="N484" s="84"/>
      <c r="O484" s="84"/>
      <c r="P484" s="74" t="str">
        <f>IFERROR(HYPERLINK(VLOOKUP($B484,'Online Database'!$A:$J,9,FALSE),"Open Page"),IFERROR(HYPERLINK(VLOOKUP($B484,'Manual Database'!$A:$J,9,FALSE),"Open Page"),""))</f>
        <v/>
      </c>
      <c r="Q484" s="74" t="str">
        <f>IFERROR(HYPERLINK(VLOOKUP($B484,'Online Database'!$A:$J,10,FALSE),"Download"),IFERROR(HYPERLINK(VLOOKUP($B484,'Manual Database'!$A:$J,10,FALSE),"Download"),""))</f>
        <v/>
      </c>
      <c r="R484" s="90"/>
    </row>
    <row r="485" spans="1:18" ht="22.05" customHeight="1">
      <c r="A485" s="74" t="str">
        <f>IF(C485="","",COUNTIF($C$2:C485,"&lt;&gt;"))</f>
        <v/>
      </c>
      <c r="B485" s="74"/>
      <c r="C485" s="74" t="str">
        <f>IFERROR(VLOOKUP($B485,'Hack Database'!$A:$J,2,FALSE),"")</f>
        <v/>
      </c>
      <c r="D485" s="74" t="str">
        <f>IFERROR(VLOOKUP($B485,'Hack Database'!$A:$J,3,FALSE),"")</f>
        <v/>
      </c>
      <c r="E485" s="74" t="str">
        <f>IFERROR(VLOOKUP($B485,'Hack Database'!$A:$J,4,FALSE),"")</f>
        <v/>
      </c>
      <c r="F485" s="74" t="str">
        <f>IFERROR(VLOOKUP($B485,'Hack Database'!$A:$J,5,FALSE),"")</f>
        <v/>
      </c>
      <c r="G485" s="74" t="str">
        <f>IFERROR(VLOOKUP($B485,'Hack Database'!$A:$J,6,FALSE),"")</f>
        <v/>
      </c>
      <c r="H485" s="81"/>
      <c r="I485" s="81"/>
      <c r="J485" s="74"/>
      <c r="K485" s="74" t="str">
        <f t="shared" si="7"/>
        <v/>
      </c>
      <c r="L485" s="74"/>
      <c r="M485" s="84"/>
      <c r="N485" s="84"/>
      <c r="O485" s="84"/>
      <c r="P485" s="74" t="str">
        <f>IFERROR(HYPERLINK(VLOOKUP($B485,'Online Database'!$A:$J,9,FALSE),"Open Page"),IFERROR(HYPERLINK(VLOOKUP($B485,'Manual Database'!$A:$J,9,FALSE),"Open Page"),""))</f>
        <v/>
      </c>
      <c r="Q485" s="74" t="str">
        <f>IFERROR(HYPERLINK(VLOOKUP($B485,'Online Database'!$A:$J,10,FALSE),"Download"),IFERROR(HYPERLINK(VLOOKUP($B485,'Manual Database'!$A:$J,10,FALSE),"Download"),""))</f>
        <v/>
      </c>
      <c r="R485" s="90"/>
    </row>
    <row r="486" spans="1:18" ht="22.05" customHeight="1">
      <c r="A486" s="74" t="str">
        <f>IF(C486="","",COUNTIF($C$2:C486,"&lt;&gt;"))</f>
        <v/>
      </c>
      <c r="B486" s="74"/>
      <c r="C486" s="74" t="str">
        <f>IFERROR(VLOOKUP($B486,'Hack Database'!$A:$J,2,FALSE),"")</f>
        <v/>
      </c>
      <c r="D486" s="74" t="str">
        <f>IFERROR(VLOOKUP($B486,'Hack Database'!$A:$J,3,FALSE),"")</f>
        <v/>
      </c>
      <c r="E486" s="74" t="str">
        <f>IFERROR(VLOOKUP($B486,'Hack Database'!$A:$J,4,FALSE),"")</f>
        <v/>
      </c>
      <c r="F486" s="74" t="str">
        <f>IFERROR(VLOOKUP($B486,'Hack Database'!$A:$J,5,FALSE),"")</f>
        <v/>
      </c>
      <c r="G486" s="74" t="str">
        <f>IFERROR(VLOOKUP($B486,'Hack Database'!$A:$J,6,FALSE),"")</f>
        <v/>
      </c>
      <c r="H486" s="81"/>
      <c r="I486" s="81"/>
      <c r="J486" s="74"/>
      <c r="K486" s="74" t="str">
        <f t="shared" si="7"/>
        <v/>
      </c>
      <c r="L486" s="74"/>
      <c r="M486" s="84"/>
      <c r="N486" s="84"/>
      <c r="O486" s="84"/>
      <c r="P486" s="74" t="str">
        <f>IFERROR(HYPERLINK(VLOOKUP($B486,'Online Database'!$A:$J,9,FALSE),"Open Page"),IFERROR(HYPERLINK(VLOOKUP($B486,'Manual Database'!$A:$J,9,FALSE),"Open Page"),""))</f>
        <v/>
      </c>
      <c r="Q486" s="74" t="str">
        <f>IFERROR(HYPERLINK(VLOOKUP($B486,'Online Database'!$A:$J,10,FALSE),"Download"),IFERROR(HYPERLINK(VLOOKUP($B486,'Manual Database'!$A:$J,10,FALSE),"Download"),""))</f>
        <v/>
      </c>
      <c r="R486" s="90"/>
    </row>
    <row r="487" spans="1:18" ht="22.05" customHeight="1">
      <c r="A487" s="74" t="str">
        <f>IF(C487="","",COUNTIF($C$2:C487,"&lt;&gt;"))</f>
        <v/>
      </c>
      <c r="B487" s="74"/>
      <c r="C487" s="74" t="str">
        <f>IFERROR(VLOOKUP($B487,'Hack Database'!$A:$J,2,FALSE),"")</f>
        <v/>
      </c>
      <c r="D487" s="74" t="str">
        <f>IFERROR(VLOOKUP($B487,'Hack Database'!$A:$J,3,FALSE),"")</f>
        <v/>
      </c>
      <c r="E487" s="74" t="str">
        <f>IFERROR(VLOOKUP($B487,'Hack Database'!$A:$J,4,FALSE),"")</f>
        <v/>
      </c>
      <c r="F487" s="74" t="str">
        <f>IFERROR(VLOOKUP($B487,'Hack Database'!$A:$J,5,FALSE),"")</f>
        <v/>
      </c>
      <c r="G487" s="74" t="str">
        <f>IFERROR(VLOOKUP($B487,'Hack Database'!$A:$J,6,FALSE),"")</f>
        <v/>
      </c>
      <c r="H487" s="81"/>
      <c r="I487" s="81"/>
      <c r="J487" s="74"/>
      <c r="K487" s="74" t="str">
        <f t="shared" si="7"/>
        <v/>
      </c>
      <c r="L487" s="74"/>
      <c r="M487" s="84"/>
      <c r="N487" s="84"/>
      <c r="O487" s="84"/>
      <c r="P487" s="74" t="str">
        <f>IFERROR(HYPERLINK(VLOOKUP($B487,'Online Database'!$A:$J,9,FALSE),"Open Page"),IFERROR(HYPERLINK(VLOOKUP($B487,'Manual Database'!$A:$J,9,FALSE),"Open Page"),""))</f>
        <v/>
      </c>
      <c r="Q487" s="74" t="str">
        <f>IFERROR(HYPERLINK(VLOOKUP($B487,'Online Database'!$A:$J,10,FALSE),"Download"),IFERROR(HYPERLINK(VLOOKUP($B487,'Manual Database'!$A:$J,10,FALSE),"Download"),""))</f>
        <v/>
      </c>
      <c r="R487" s="90"/>
    </row>
    <row r="488" spans="1:18" ht="22.05" customHeight="1">
      <c r="A488" s="74" t="str">
        <f>IF(C488="","",COUNTIF($C$2:C488,"&lt;&gt;"))</f>
        <v/>
      </c>
      <c r="B488" s="74"/>
      <c r="C488" s="74" t="str">
        <f>IFERROR(VLOOKUP($B488,'Hack Database'!$A:$J,2,FALSE),"")</f>
        <v/>
      </c>
      <c r="D488" s="74" t="str">
        <f>IFERROR(VLOOKUP($B488,'Hack Database'!$A:$J,3,FALSE),"")</f>
        <v/>
      </c>
      <c r="E488" s="74" t="str">
        <f>IFERROR(VLOOKUP($B488,'Hack Database'!$A:$J,4,FALSE),"")</f>
        <v/>
      </c>
      <c r="F488" s="74" t="str">
        <f>IFERROR(VLOOKUP($B488,'Hack Database'!$A:$J,5,FALSE),"")</f>
        <v/>
      </c>
      <c r="G488" s="74" t="str">
        <f>IFERROR(VLOOKUP($B488,'Hack Database'!$A:$J,6,FALSE),"")</f>
        <v/>
      </c>
      <c r="H488" s="81"/>
      <c r="I488" s="81"/>
      <c r="J488" s="74"/>
      <c r="K488" s="74" t="str">
        <f t="shared" si="7"/>
        <v/>
      </c>
      <c r="L488" s="74"/>
      <c r="M488" s="84"/>
      <c r="N488" s="84"/>
      <c r="O488" s="84"/>
      <c r="P488" s="74" t="str">
        <f>IFERROR(HYPERLINK(VLOOKUP($B488,'Online Database'!$A:$J,9,FALSE),"Open Page"),IFERROR(HYPERLINK(VLOOKUP($B488,'Manual Database'!$A:$J,9,FALSE),"Open Page"),""))</f>
        <v/>
      </c>
      <c r="Q488" s="74" t="str">
        <f>IFERROR(HYPERLINK(VLOOKUP($B488,'Online Database'!$A:$J,10,FALSE),"Download"),IFERROR(HYPERLINK(VLOOKUP($B488,'Manual Database'!$A:$J,10,FALSE),"Download"),""))</f>
        <v/>
      </c>
      <c r="R488" s="90"/>
    </row>
    <row r="489" spans="1:18" ht="22.05" customHeight="1">
      <c r="A489" s="74" t="str">
        <f>IF(C489="","",COUNTIF($C$2:C489,"&lt;&gt;"))</f>
        <v/>
      </c>
      <c r="B489" s="74"/>
      <c r="C489" s="74" t="str">
        <f>IFERROR(VLOOKUP($B489,'Hack Database'!$A:$J,2,FALSE),"")</f>
        <v/>
      </c>
      <c r="D489" s="74" t="str">
        <f>IFERROR(VLOOKUP($B489,'Hack Database'!$A:$J,3,FALSE),"")</f>
        <v/>
      </c>
      <c r="E489" s="74" t="str">
        <f>IFERROR(VLOOKUP($B489,'Hack Database'!$A:$J,4,FALSE),"")</f>
        <v/>
      </c>
      <c r="F489" s="74" t="str">
        <f>IFERROR(VLOOKUP($B489,'Hack Database'!$A:$J,5,FALSE),"")</f>
        <v/>
      </c>
      <c r="G489" s="74" t="str">
        <f>IFERROR(VLOOKUP($B489,'Hack Database'!$A:$J,6,FALSE),"")</f>
        <v/>
      </c>
      <c r="H489" s="81"/>
      <c r="I489" s="81"/>
      <c r="J489" s="74"/>
      <c r="K489" s="74" t="str">
        <f t="shared" si="7"/>
        <v/>
      </c>
      <c r="L489" s="74"/>
      <c r="M489" s="84"/>
      <c r="N489" s="84"/>
      <c r="O489" s="84"/>
      <c r="P489" s="74" t="str">
        <f>IFERROR(HYPERLINK(VLOOKUP($B489,'Online Database'!$A:$J,9,FALSE),"Open Page"),IFERROR(HYPERLINK(VLOOKUP($B489,'Manual Database'!$A:$J,9,FALSE),"Open Page"),""))</f>
        <v/>
      </c>
      <c r="Q489" s="74" t="str">
        <f>IFERROR(HYPERLINK(VLOOKUP($B489,'Online Database'!$A:$J,10,FALSE),"Download"),IFERROR(HYPERLINK(VLOOKUP($B489,'Manual Database'!$A:$J,10,FALSE),"Download"),""))</f>
        <v/>
      </c>
      <c r="R489" s="90"/>
    </row>
    <row r="490" spans="1:18" ht="22.05" customHeight="1">
      <c r="A490" s="74" t="str">
        <f>IF(C490="","",COUNTIF($C$2:C490,"&lt;&gt;"))</f>
        <v/>
      </c>
      <c r="B490" s="74"/>
      <c r="C490" s="74" t="str">
        <f>IFERROR(VLOOKUP($B490,'Hack Database'!$A:$J,2,FALSE),"")</f>
        <v/>
      </c>
      <c r="D490" s="74" t="str">
        <f>IFERROR(VLOOKUP($B490,'Hack Database'!$A:$J,3,FALSE),"")</f>
        <v/>
      </c>
      <c r="E490" s="74" t="str">
        <f>IFERROR(VLOOKUP($B490,'Hack Database'!$A:$J,4,FALSE),"")</f>
        <v/>
      </c>
      <c r="F490" s="74" t="str">
        <f>IFERROR(VLOOKUP($B490,'Hack Database'!$A:$J,5,FALSE),"")</f>
        <v/>
      </c>
      <c r="G490" s="74" t="str">
        <f>IFERROR(VLOOKUP($B490,'Hack Database'!$A:$J,6,FALSE),"")</f>
        <v/>
      </c>
      <c r="H490" s="81"/>
      <c r="I490" s="81"/>
      <c r="J490" s="74"/>
      <c r="K490" s="74" t="str">
        <f t="shared" si="7"/>
        <v/>
      </c>
      <c r="L490" s="74"/>
      <c r="M490" s="84"/>
      <c r="N490" s="84"/>
      <c r="O490" s="84"/>
      <c r="P490" s="74" t="str">
        <f>IFERROR(HYPERLINK(VLOOKUP($B490,'Online Database'!$A:$J,9,FALSE),"Open Page"),IFERROR(HYPERLINK(VLOOKUP($B490,'Manual Database'!$A:$J,9,FALSE),"Open Page"),""))</f>
        <v/>
      </c>
      <c r="Q490" s="74" t="str">
        <f>IFERROR(HYPERLINK(VLOOKUP($B490,'Online Database'!$A:$J,10,FALSE),"Download"),IFERROR(HYPERLINK(VLOOKUP($B490,'Manual Database'!$A:$J,10,FALSE),"Download"),""))</f>
        <v/>
      </c>
      <c r="R490" s="90"/>
    </row>
    <row r="491" spans="1:18" ht="22.05" customHeight="1">
      <c r="A491" s="74" t="str">
        <f>IF(C491="","",COUNTIF($C$2:C491,"&lt;&gt;"))</f>
        <v/>
      </c>
      <c r="B491" s="74"/>
      <c r="C491" s="74" t="str">
        <f>IFERROR(VLOOKUP($B491,'Hack Database'!$A:$J,2,FALSE),"")</f>
        <v/>
      </c>
      <c r="D491" s="74" t="str">
        <f>IFERROR(VLOOKUP($B491,'Hack Database'!$A:$J,3,FALSE),"")</f>
        <v/>
      </c>
      <c r="E491" s="74" t="str">
        <f>IFERROR(VLOOKUP($B491,'Hack Database'!$A:$J,4,FALSE),"")</f>
        <v/>
      </c>
      <c r="F491" s="74" t="str">
        <f>IFERROR(VLOOKUP($B491,'Hack Database'!$A:$J,5,FALSE),"")</f>
        <v/>
      </c>
      <c r="G491" s="74" t="str">
        <f>IFERROR(VLOOKUP($B491,'Hack Database'!$A:$J,6,FALSE),"")</f>
        <v/>
      </c>
      <c r="H491" s="81"/>
      <c r="I491" s="81"/>
      <c r="J491" s="74"/>
      <c r="K491" s="74" t="str">
        <f t="shared" si="7"/>
        <v/>
      </c>
      <c r="L491" s="74"/>
      <c r="M491" s="84"/>
      <c r="N491" s="84"/>
      <c r="O491" s="84"/>
      <c r="P491" s="74" t="str">
        <f>IFERROR(HYPERLINK(VLOOKUP($B491,'Online Database'!$A:$J,9,FALSE),"Open Page"),IFERROR(HYPERLINK(VLOOKUP($B491,'Manual Database'!$A:$J,9,FALSE),"Open Page"),""))</f>
        <v/>
      </c>
      <c r="Q491" s="74" t="str">
        <f>IFERROR(HYPERLINK(VLOOKUP($B491,'Online Database'!$A:$J,10,FALSE),"Download"),IFERROR(HYPERLINK(VLOOKUP($B491,'Manual Database'!$A:$J,10,FALSE),"Download"),""))</f>
        <v/>
      </c>
      <c r="R491" s="90"/>
    </row>
    <row r="492" spans="1:18" ht="22.05" customHeight="1">
      <c r="A492" s="74" t="str">
        <f>IF(C492="","",COUNTIF($C$2:C492,"&lt;&gt;"))</f>
        <v/>
      </c>
      <c r="B492" s="74"/>
      <c r="C492" s="74" t="str">
        <f>IFERROR(VLOOKUP($B492,'Hack Database'!$A:$J,2,FALSE),"")</f>
        <v/>
      </c>
      <c r="D492" s="74" t="str">
        <f>IFERROR(VLOOKUP($B492,'Hack Database'!$A:$J,3,FALSE),"")</f>
        <v/>
      </c>
      <c r="E492" s="74" t="str">
        <f>IFERROR(VLOOKUP($B492,'Hack Database'!$A:$J,4,FALSE),"")</f>
        <v/>
      </c>
      <c r="F492" s="74" t="str">
        <f>IFERROR(VLOOKUP($B492,'Hack Database'!$A:$J,5,FALSE),"")</f>
        <v/>
      </c>
      <c r="G492" s="74" t="str">
        <f>IFERROR(VLOOKUP($B492,'Hack Database'!$A:$J,6,FALSE),"")</f>
        <v/>
      </c>
      <c r="H492" s="81"/>
      <c r="I492" s="81"/>
      <c r="J492" s="74"/>
      <c r="K492" s="74" t="str">
        <f t="shared" si="7"/>
        <v/>
      </c>
      <c r="L492" s="74"/>
      <c r="M492" s="84"/>
      <c r="N492" s="84"/>
      <c r="O492" s="84"/>
      <c r="P492" s="74" t="str">
        <f>IFERROR(HYPERLINK(VLOOKUP($B492,'Online Database'!$A:$J,9,FALSE),"Open Page"),IFERROR(HYPERLINK(VLOOKUP($B492,'Manual Database'!$A:$J,9,FALSE),"Open Page"),""))</f>
        <v/>
      </c>
      <c r="Q492" s="74" t="str">
        <f>IFERROR(HYPERLINK(VLOOKUP($B492,'Online Database'!$A:$J,10,FALSE),"Download"),IFERROR(HYPERLINK(VLOOKUP($B492,'Manual Database'!$A:$J,10,FALSE),"Download"),""))</f>
        <v/>
      </c>
      <c r="R492" s="90"/>
    </row>
    <row r="493" spans="1:18" ht="22.05" customHeight="1">
      <c r="A493" s="74" t="str">
        <f>IF(C493="","",COUNTIF($C$2:C493,"&lt;&gt;"))</f>
        <v/>
      </c>
      <c r="B493" s="74"/>
      <c r="C493" s="74" t="str">
        <f>IFERROR(VLOOKUP($B493,'Hack Database'!$A:$J,2,FALSE),"")</f>
        <v/>
      </c>
      <c r="D493" s="74" t="str">
        <f>IFERROR(VLOOKUP($B493,'Hack Database'!$A:$J,3,FALSE),"")</f>
        <v/>
      </c>
      <c r="E493" s="74" t="str">
        <f>IFERROR(VLOOKUP($B493,'Hack Database'!$A:$J,4,FALSE),"")</f>
        <v/>
      </c>
      <c r="F493" s="74" t="str">
        <f>IFERROR(VLOOKUP($B493,'Hack Database'!$A:$J,5,FALSE),"")</f>
        <v/>
      </c>
      <c r="G493" s="74" t="str">
        <f>IFERROR(VLOOKUP($B493,'Hack Database'!$A:$J,6,FALSE),"")</f>
        <v/>
      </c>
      <c r="H493" s="81"/>
      <c r="I493" s="81"/>
      <c r="J493" s="74"/>
      <c r="K493" s="74" t="str">
        <f t="shared" si="7"/>
        <v/>
      </c>
      <c r="L493" s="74"/>
      <c r="M493" s="84"/>
      <c r="N493" s="84"/>
      <c r="O493" s="84"/>
      <c r="P493" s="74" t="str">
        <f>IFERROR(HYPERLINK(VLOOKUP($B493,'Online Database'!$A:$J,9,FALSE),"Open Page"),IFERROR(HYPERLINK(VLOOKUP($B493,'Manual Database'!$A:$J,9,FALSE),"Open Page"),""))</f>
        <v/>
      </c>
      <c r="Q493" s="74" t="str">
        <f>IFERROR(HYPERLINK(VLOOKUP($B493,'Online Database'!$A:$J,10,FALSE),"Download"),IFERROR(HYPERLINK(VLOOKUP($B493,'Manual Database'!$A:$J,10,FALSE),"Download"),""))</f>
        <v/>
      </c>
      <c r="R493" s="90"/>
    </row>
    <row r="494" spans="1:18" ht="22.05" customHeight="1">
      <c r="A494" s="74" t="str">
        <f>IF(C494="","",COUNTIF($C$2:C494,"&lt;&gt;"))</f>
        <v/>
      </c>
      <c r="B494" s="74"/>
      <c r="C494" s="74" t="str">
        <f>IFERROR(VLOOKUP($B494,'Hack Database'!$A:$J,2,FALSE),"")</f>
        <v/>
      </c>
      <c r="D494" s="74" t="str">
        <f>IFERROR(VLOOKUP($B494,'Hack Database'!$A:$J,3,FALSE),"")</f>
        <v/>
      </c>
      <c r="E494" s="74" t="str">
        <f>IFERROR(VLOOKUP($B494,'Hack Database'!$A:$J,4,FALSE),"")</f>
        <v/>
      </c>
      <c r="F494" s="74" t="str">
        <f>IFERROR(VLOOKUP($B494,'Hack Database'!$A:$J,5,FALSE),"")</f>
        <v/>
      </c>
      <c r="G494" s="74" t="str">
        <f>IFERROR(VLOOKUP($B494,'Hack Database'!$A:$J,6,FALSE),"")</f>
        <v/>
      </c>
      <c r="H494" s="81"/>
      <c r="I494" s="81"/>
      <c r="J494" s="74"/>
      <c r="K494" s="74" t="str">
        <f t="shared" si="7"/>
        <v/>
      </c>
      <c r="L494" s="74"/>
      <c r="M494" s="84"/>
      <c r="N494" s="84"/>
      <c r="O494" s="84"/>
      <c r="P494" s="74" t="str">
        <f>IFERROR(HYPERLINK(VLOOKUP($B494,'Online Database'!$A:$J,9,FALSE),"Open Page"),IFERROR(HYPERLINK(VLOOKUP($B494,'Manual Database'!$A:$J,9,FALSE),"Open Page"),""))</f>
        <v/>
      </c>
      <c r="Q494" s="74" t="str">
        <f>IFERROR(HYPERLINK(VLOOKUP($B494,'Online Database'!$A:$J,10,FALSE),"Download"),IFERROR(HYPERLINK(VLOOKUP($B494,'Manual Database'!$A:$J,10,FALSE),"Download"),""))</f>
        <v/>
      </c>
      <c r="R494" s="90"/>
    </row>
    <row r="495" spans="1:18" ht="22.05" customHeight="1">
      <c r="A495" s="74" t="str">
        <f>IF(C495="","",COUNTIF($C$2:C495,"&lt;&gt;"))</f>
        <v/>
      </c>
      <c r="B495" s="74"/>
      <c r="C495" s="74" t="str">
        <f>IFERROR(VLOOKUP($B495,'Hack Database'!$A:$J,2,FALSE),"")</f>
        <v/>
      </c>
      <c r="D495" s="74" t="str">
        <f>IFERROR(VLOOKUP($B495,'Hack Database'!$A:$J,3,FALSE),"")</f>
        <v/>
      </c>
      <c r="E495" s="74" t="str">
        <f>IFERROR(VLOOKUP($B495,'Hack Database'!$A:$J,4,FALSE),"")</f>
        <v/>
      </c>
      <c r="F495" s="74" t="str">
        <f>IFERROR(VLOOKUP($B495,'Hack Database'!$A:$J,5,FALSE),"")</f>
        <v/>
      </c>
      <c r="G495" s="74" t="str">
        <f>IFERROR(VLOOKUP($B495,'Hack Database'!$A:$J,6,FALSE),"")</f>
        <v/>
      </c>
      <c r="H495" s="81"/>
      <c r="I495" s="81"/>
      <c r="J495" s="74"/>
      <c r="K495" s="74" t="str">
        <f t="shared" si="7"/>
        <v/>
      </c>
      <c r="L495" s="74"/>
      <c r="M495" s="84"/>
      <c r="N495" s="84"/>
      <c r="O495" s="84"/>
      <c r="P495" s="74" t="str">
        <f>IFERROR(HYPERLINK(VLOOKUP($B495,'Online Database'!$A:$J,9,FALSE),"Open Page"),IFERROR(HYPERLINK(VLOOKUP($B495,'Manual Database'!$A:$J,9,FALSE),"Open Page"),""))</f>
        <v/>
      </c>
      <c r="Q495" s="74" t="str">
        <f>IFERROR(HYPERLINK(VLOOKUP($B495,'Online Database'!$A:$J,10,FALSE),"Download"),IFERROR(HYPERLINK(VLOOKUP($B495,'Manual Database'!$A:$J,10,FALSE),"Download"),""))</f>
        <v/>
      </c>
      <c r="R495" s="90"/>
    </row>
    <row r="496" spans="1:18" ht="22.05" customHeight="1">
      <c r="A496" s="74" t="str">
        <f>IF(C496="","",COUNTIF($C$2:C496,"&lt;&gt;"))</f>
        <v/>
      </c>
      <c r="B496" s="74"/>
      <c r="C496" s="74" t="str">
        <f>IFERROR(VLOOKUP($B496,'Hack Database'!$A:$J,2,FALSE),"")</f>
        <v/>
      </c>
      <c r="D496" s="74" t="str">
        <f>IFERROR(VLOOKUP($B496,'Hack Database'!$A:$J,3,FALSE),"")</f>
        <v/>
      </c>
      <c r="E496" s="74" t="str">
        <f>IFERROR(VLOOKUP($B496,'Hack Database'!$A:$J,4,FALSE),"")</f>
        <v/>
      </c>
      <c r="F496" s="74" t="str">
        <f>IFERROR(VLOOKUP($B496,'Hack Database'!$A:$J,5,FALSE),"")</f>
        <v/>
      </c>
      <c r="G496" s="74" t="str">
        <f>IFERROR(VLOOKUP($B496,'Hack Database'!$A:$J,6,FALSE),"")</f>
        <v/>
      </c>
      <c r="H496" s="81"/>
      <c r="I496" s="81"/>
      <c r="J496" s="74"/>
      <c r="K496" s="74" t="str">
        <f t="shared" si="7"/>
        <v/>
      </c>
      <c r="L496" s="74"/>
      <c r="M496" s="84"/>
      <c r="N496" s="84"/>
      <c r="O496" s="84"/>
      <c r="P496" s="74" t="str">
        <f>IFERROR(HYPERLINK(VLOOKUP($B496,'Online Database'!$A:$J,9,FALSE),"Open Page"),IFERROR(HYPERLINK(VLOOKUP($B496,'Manual Database'!$A:$J,9,FALSE),"Open Page"),""))</f>
        <v/>
      </c>
      <c r="Q496" s="74" t="str">
        <f>IFERROR(HYPERLINK(VLOOKUP($B496,'Online Database'!$A:$J,10,FALSE),"Download"),IFERROR(HYPERLINK(VLOOKUP($B496,'Manual Database'!$A:$J,10,FALSE),"Download"),""))</f>
        <v/>
      </c>
      <c r="R496" s="90"/>
    </row>
    <row r="497" spans="1:18" ht="22.05" customHeight="1">
      <c r="A497" s="74" t="str">
        <f>IF(C497="","",COUNTIF($C$2:C497,"&lt;&gt;"))</f>
        <v/>
      </c>
      <c r="B497" s="74"/>
      <c r="C497" s="74" t="str">
        <f>IFERROR(VLOOKUP($B497,'Hack Database'!$A:$J,2,FALSE),"")</f>
        <v/>
      </c>
      <c r="D497" s="74" t="str">
        <f>IFERROR(VLOOKUP($B497,'Hack Database'!$A:$J,3,FALSE),"")</f>
        <v/>
      </c>
      <c r="E497" s="74" t="str">
        <f>IFERROR(VLOOKUP($B497,'Hack Database'!$A:$J,4,FALSE),"")</f>
        <v/>
      </c>
      <c r="F497" s="74" t="str">
        <f>IFERROR(VLOOKUP($B497,'Hack Database'!$A:$J,5,FALSE),"")</f>
        <v/>
      </c>
      <c r="G497" s="74" t="str">
        <f>IFERROR(VLOOKUP($B497,'Hack Database'!$A:$J,6,FALSE),"")</f>
        <v/>
      </c>
      <c r="H497" s="81"/>
      <c r="I497" s="81"/>
      <c r="J497" s="74"/>
      <c r="K497" s="74" t="str">
        <f t="shared" si="7"/>
        <v/>
      </c>
      <c r="L497" s="74"/>
      <c r="M497" s="84"/>
      <c r="N497" s="84"/>
      <c r="O497" s="84"/>
      <c r="P497" s="74" t="str">
        <f>IFERROR(HYPERLINK(VLOOKUP($B497,'Online Database'!$A:$J,9,FALSE),"Open Page"),IFERROR(HYPERLINK(VLOOKUP($B497,'Manual Database'!$A:$J,9,FALSE),"Open Page"),""))</f>
        <v/>
      </c>
      <c r="Q497" s="74" t="str">
        <f>IFERROR(HYPERLINK(VLOOKUP($B497,'Online Database'!$A:$J,10,FALSE),"Download"),IFERROR(HYPERLINK(VLOOKUP($B497,'Manual Database'!$A:$J,10,FALSE),"Download"),""))</f>
        <v/>
      </c>
      <c r="R497" s="90"/>
    </row>
    <row r="498" spans="1:18" ht="22.05" customHeight="1">
      <c r="A498" s="74" t="str">
        <f>IF(C498="","",COUNTIF($C$2:C498,"&lt;&gt;"))</f>
        <v/>
      </c>
      <c r="B498" s="74"/>
      <c r="C498" s="74" t="str">
        <f>IFERROR(VLOOKUP($B498,'Hack Database'!$A:$J,2,FALSE),"")</f>
        <v/>
      </c>
      <c r="D498" s="74" t="str">
        <f>IFERROR(VLOOKUP($B498,'Hack Database'!$A:$J,3,FALSE),"")</f>
        <v/>
      </c>
      <c r="E498" s="74" t="str">
        <f>IFERROR(VLOOKUP($B498,'Hack Database'!$A:$J,4,FALSE),"")</f>
        <v/>
      </c>
      <c r="F498" s="74" t="str">
        <f>IFERROR(VLOOKUP($B498,'Hack Database'!$A:$J,5,FALSE),"")</f>
        <v/>
      </c>
      <c r="G498" s="74" t="str">
        <f>IFERROR(VLOOKUP($B498,'Hack Database'!$A:$J,6,FALSE),"")</f>
        <v/>
      </c>
      <c r="H498" s="81"/>
      <c r="I498" s="81"/>
      <c r="J498" s="74"/>
      <c r="K498" s="74" t="str">
        <f t="shared" si="7"/>
        <v/>
      </c>
      <c r="L498" s="74"/>
      <c r="M498" s="84"/>
      <c r="N498" s="84"/>
      <c r="O498" s="84"/>
      <c r="P498" s="74" t="str">
        <f>IFERROR(HYPERLINK(VLOOKUP($B498,'Online Database'!$A:$J,9,FALSE),"Open Page"),IFERROR(HYPERLINK(VLOOKUP($B498,'Manual Database'!$A:$J,9,FALSE),"Open Page"),""))</f>
        <v/>
      </c>
      <c r="Q498" s="74" t="str">
        <f>IFERROR(HYPERLINK(VLOOKUP($B498,'Online Database'!$A:$J,10,FALSE),"Download"),IFERROR(HYPERLINK(VLOOKUP($B498,'Manual Database'!$A:$J,10,FALSE),"Download"),""))</f>
        <v/>
      </c>
      <c r="R498" s="90"/>
    </row>
    <row r="499" spans="1:18" ht="22.05" customHeight="1">
      <c r="A499" s="74" t="str">
        <f>IF(C499="","",COUNTIF($C$2:C499,"&lt;&gt;"))</f>
        <v/>
      </c>
      <c r="B499" s="74"/>
      <c r="C499" s="74" t="str">
        <f>IFERROR(VLOOKUP($B499,'Hack Database'!$A:$J,2,FALSE),"")</f>
        <v/>
      </c>
      <c r="D499" s="74" t="str">
        <f>IFERROR(VLOOKUP($B499,'Hack Database'!$A:$J,3,FALSE),"")</f>
        <v/>
      </c>
      <c r="E499" s="74" t="str">
        <f>IFERROR(VLOOKUP($B499,'Hack Database'!$A:$J,4,FALSE),"")</f>
        <v/>
      </c>
      <c r="F499" s="74" t="str">
        <f>IFERROR(VLOOKUP($B499,'Hack Database'!$A:$J,5,FALSE),"")</f>
        <v/>
      </c>
      <c r="G499" s="74" t="str">
        <f>IFERROR(VLOOKUP($B499,'Hack Database'!$A:$J,6,FALSE),"")</f>
        <v/>
      </c>
      <c r="H499" s="81"/>
      <c r="I499" s="81"/>
      <c r="J499" s="74"/>
      <c r="K499" s="74" t="str">
        <f t="shared" si="7"/>
        <v/>
      </c>
      <c r="L499" s="74"/>
      <c r="M499" s="84"/>
      <c r="N499" s="84"/>
      <c r="O499" s="84"/>
      <c r="P499" s="74" t="str">
        <f>IFERROR(HYPERLINK(VLOOKUP($B499,'Online Database'!$A:$J,9,FALSE),"Open Page"),IFERROR(HYPERLINK(VLOOKUP($B499,'Manual Database'!$A:$J,9,FALSE),"Open Page"),""))</f>
        <v/>
      </c>
      <c r="Q499" s="74" t="str">
        <f>IFERROR(HYPERLINK(VLOOKUP($B499,'Online Database'!$A:$J,10,FALSE),"Download"),IFERROR(HYPERLINK(VLOOKUP($B499,'Manual Database'!$A:$J,10,FALSE),"Download"),""))</f>
        <v/>
      </c>
      <c r="R499" s="90"/>
    </row>
    <row r="500" spans="1:18" ht="22.05" customHeight="1">
      <c r="A500" s="74" t="str">
        <f>IF(C500="","",COUNTIF($C$2:C500,"&lt;&gt;"))</f>
        <v/>
      </c>
      <c r="B500" s="74"/>
      <c r="C500" s="74" t="str">
        <f>IFERROR(VLOOKUP($B500,'Hack Database'!$A:$J,2,FALSE),"")</f>
        <v/>
      </c>
      <c r="D500" s="74" t="str">
        <f>IFERROR(VLOOKUP($B500,'Hack Database'!$A:$J,3,FALSE),"")</f>
        <v/>
      </c>
      <c r="E500" s="74" t="str">
        <f>IFERROR(VLOOKUP($B500,'Hack Database'!$A:$J,4,FALSE),"")</f>
        <v/>
      </c>
      <c r="F500" s="74" t="str">
        <f>IFERROR(VLOOKUP($B500,'Hack Database'!$A:$J,5,FALSE),"")</f>
        <v/>
      </c>
      <c r="G500" s="74" t="str">
        <f>IFERROR(VLOOKUP($B500,'Hack Database'!$A:$J,6,FALSE),"")</f>
        <v/>
      </c>
      <c r="H500" s="81"/>
      <c r="I500" s="81"/>
      <c r="J500" s="74"/>
      <c r="K500" s="74" t="str">
        <f t="shared" si="7"/>
        <v/>
      </c>
      <c r="L500" s="74"/>
      <c r="M500" s="84"/>
      <c r="N500" s="84"/>
      <c r="O500" s="84"/>
      <c r="P500" s="74" t="str">
        <f>IFERROR(HYPERLINK(VLOOKUP($B500,'Online Database'!$A:$J,9,FALSE),"Open Page"),IFERROR(HYPERLINK(VLOOKUP($B500,'Manual Database'!$A:$J,9,FALSE),"Open Page"),""))</f>
        <v/>
      </c>
      <c r="Q500" s="74" t="str">
        <f>IFERROR(HYPERLINK(VLOOKUP($B500,'Online Database'!$A:$J,10,FALSE),"Download"),IFERROR(HYPERLINK(VLOOKUP($B500,'Manual Database'!$A:$J,10,FALSE),"Download"),""))</f>
        <v/>
      </c>
      <c r="R500" s="90"/>
    </row>
    <row r="501" spans="1:18" ht="22.05" customHeight="1">
      <c r="A501" s="75" t="str">
        <f>IF(C501="","",COUNTIF($C$2:C501,"&lt;&gt;"))</f>
        <v/>
      </c>
      <c r="C501" s="75" t="str">
        <f>IFERROR(VLOOKUP($B501,'Hack Database'!$A:$J,2,FALSE),"")</f>
        <v/>
      </c>
      <c r="D501" s="75" t="str">
        <f>IFERROR(VLOOKUP($B501,'Hack Database'!$A:$J,3,FALSE),"")</f>
        <v/>
      </c>
      <c r="E501" s="75" t="str">
        <f>IFERROR(VLOOKUP($B501,'Hack Database'!$A:$J,4,FALSE),"")</f>
        <v/>
      </c>
      <c r="F501" s="75" t="str">
        <f>IFERROR(VLOOKUP($B501,'Hack Database'!$A:$J,5,FALSE),"")</f>
        <v/>
      </c>
      <c r="G501" s="75" t="str">
        <f>IFERROR(VLOOKUP($B501,'Hack Database'!$A:$J,6,FALSE),"")</f>
        <v/>
      </c>
      <c r="K501" s="75" t="str">
        <f t="shared" si="7"/>
        <v/>
      </c>
      <c r="P501" s="75" t="str">
        <f>IFERROR(HYPERLINK(VLOOKUP($B501,'Online Database'!$A:$J,9,FALSE),"Open Page"),IFERROR(HYPERLINK(VLOOKUP($B501,'Manual Database'!$A:$J,9,FALSE),"Open Page"),""))</f>
        <v/>
      </c>
      <c r="Q501" s="75" t="str">
        <f>IFERROR(HYPERLINK(VLOOKUP($B501,'Online Database'!$A:$J,10,FALSE),"Download"),IFERROR(HYPERLINK(VLOOKUP($B501,'Manual Database'!$A:$J,10,FALSE),"Download"),""))</f>
        <v/>
      </c>
    </row>
  </sheetData>
  <mergeCells count="1">
    <mergeCell ref="M1:O1"/>
  </mergeCells>
  <conditionalFormatting sqref="J2:J250">
    <cfRule type="expression" dxfId="132" priority="79">
      <formula>AND($A2&lt;&gt;"",COUNTIF($A3:$A$250,"&lt;&gt;")&gt;0)</formula>
    </cfRule>
    <cfRule type="expression" dxfId="131" priority="80">
      <formula>AND($A2&lt;&gt;"",COUNTIF($A3:$A$250,"&lt;&gt;")=0)</formula>
    </cfRule>
  </conditionalFormatting>
  <conditionalFormatting sqref="J2:J250">
    <cfRule type="expression" dxfId="130" priority="77">
      <formula>J2="Yes"</formula>
    </cfRule>
    <cfRule type="expression" dxfId="129" priority="78">
      <formula>J2="No"</formula>
    </cfRule>
    <cfRule type="expression" dxfId="128" priority="81">
      <formula>AND($A2&lt;&gt;"",$J2="")</formula>
    </cfRule>
    <cfRule type="expression" dxfId="127" priority="82">
      <formula>AND($A2&lt;&gt;"",$J2="Yes")</formula>
    </cfRule>
    <cfRule type="expression" dxfId="126" priority="83">
      <formula>AND($A2&lt;&gt;"",$J2="No")</formula>
    </cfRule>
  </conditionalFormatting>
  <conditionalFormatting sqref="J2:J500">
    <cfRule type="expression" dxfId="125" priority="75">
      <formula>J2="Yes"</formula>
    </cfRule>
    <cfRule type="expression" dxfId="124" priority="76">
      <formula>J2="No"</formula>
    </cfRule>
  </conditionalFormatting>
  <conditionalFormatting sqref="C2:C250">
    <cfRule type="expression" dxfId="120" priority="72">
      <formula>AND($A2&lt;&gt;"",COUNTIF($A3:$A$250,"&lt;&gt;")&gt;0)</formula>
    </cfRule>
    <cfRule type="expression" dxfId="119" priority="73">
      <formula>AND($A2&lt;&gt;"",COUNTIF($A3:$A$250,"&lt;&gt;")=0)</formula>
    </cfRule>
  </conditionalFormatting>
  <conditionalFormatting sqref="C2:C250">
    <cfRule type="expression" dxfId="118" priority="74">
      <formula>$A2&lt;&gt;""</formula>
    </cfRule>
  </conditionalFormatting>
  <conditionalFormatting sqref="A2:A250">
    <cfRule type="expression" dxfId="117" priority="69">
      <formula>AND($A2&lt;&gt;"",COUNTIF($A3:$A$250,"&lt;&gt;")&gt;0)</formula>
    </cfRule>
    <cfRule type="expression" dxfId="116" priority="70">
      <formula>AND($A2&lt;&gt;"",COUNTIF($A3:$A$250,"&lt;&gt;")=0)</formula>
    </cfRule>
    <cfRule type="expression" dxfId="115" priority="71">
      <formula>$A2&lt;&gt;""</formula>
    </cfRule>
  </conditionalFormatting>
  <conditionalFormatting sqref="B2:B250">
    <cfRule type="expression" dxfId="114" priority="68">
      <formula>$A2&lt;&gt;""</formula>
    </cfRule>
  </conditionalFormatting>
  <conditionalFormatting sqref="B2:B250">
    <cfRule type="expression" dxfId="113" priority="66">
      <formula>AND($A2&lt;&gt;"",COUNTIF($A3:$A$250,"&lt;&gt;")&gt;0)</formula>
    </cfRule>
    <cfRule type="expression" dxfId="112" priority="67">
      <formula>AND($A2&lt;&gt;"",COUNTIF($A3:$A$250,"&lt;&gt;")=0)</formula>
    </cfRule>
  </conditionalFormatting>
  <conditionalFormatting sqref="D2:D250">
    <cfRule type="expression" dxfId="108" priority="63">
      <formula>AND($A2&lt;&gt;"",COUNTIF($A3:$A$250,"&lt;&gt;")&gt;0)</formula>
    </cfRule>
    <cfRule type="expression" dxfId="107" priority="64">
      <formula>AND($A2&lt;&gt;"",COUNTIF($A3:$A$250,"&lt;&gt;")=0)</formula>
    </cfRule>
  </conditionalFormatting>
  <conditionalFormatting sqref="D2:D250">
    <cfRule type="expression" dxfId="106" priority="65">
      <formula>$A2&lt;&gt;""</formula>
    </cfRule>
  </conditionalFormatting>
  <conditionalFormatting sqref="E2:E250">
    <cfRule type="expression" dxfId="105" priority="60">
      <formula>AND($A2&lt;&gt;"",COUNTIF($A3:$A$250,"&lt;&gt;")&gt;0)</formula>
    </cfRule>
    <cfRule type="expression" dxfId="104" priority="61">
      <formula>AND($A2&lt;&gt;"",COUNTIF($A3:$A$250,"&lt;&gt;")=0)</formula>
    </cfRule>
  </conditionalFormatting>
  <conditionalFormatting sqref="E2:E250">
    <cfRule type="expression" dxfId="103" priority="62">
      <formula>$A2&lt;&gt;""</formula>
    </cfRule>
  </conditionalFormatting>
  <conditionalFormatting sqref="F2:F250">
    <cfRule type="expression" dxfId="102" priority="49">
      <formula>AND($A2&lt;&gt;"",COUNTIF($A3:$A$250,"&lt;&gt;")&gt;0)</formula>
    </cfRule>
    <cfRule type="expression" dxfId="101" priority="50">
      <formula>AND($A2&lt;&gt;"",COUNTIF($A3:$A$250,"&lt;&gt;")=0)</formula>
    </cfRule>
  </conditionalFormatting>
  <conditionalFormatting sqref="F2:F250">
    <cfRule type="expression" dxfId="100" priority="41">
      <formula>F2="Newcomer"</formula>
    </cfRule>
    <cfRule type="expression" dxfId="99" priority="42">
      <formula>F2="Casual"</formula>
    </cfRule>
    <cfRule type="expression" dxfId="98" priority="43">
      <formula>F2="Intermediate"</formula>
    </cfRule>
    <cfRule type="expression" dxfId="97" priority="44">
      <formula>F2="Advanced"</formula>
    </cfRule>
    <cfRule type="expression" dxfId="96" priority="45">
      <formula>F2="Expert"</formula>
    </cfRule>
    <cfRule type="expression" dxfId="95" priority="46">
      <formula>F2="Master"</formula>
    </cfRule>
    <cfRule type="expression" dxfId="94" priority="47">
      <formula>F2="Grandmaster"</formula>
    </cfRule>
    <cfRule type="expression" dxfId="93" priority="48">
      <formula>F2="Unranked"</formula>
    </cfRule>
    <cfRule type="expression" dxfId="92" priority="51">
      <formula>AND($A2&lt;&gt;"",$F2="")</formula>
    </cfRule>
    <cfRule type="expression" dxfId="91" priority="52">
      <formula>AND($A2&lt;&gt;"",$F2="Newcomer")</formula>
    </cfRule>
    <cfRule type="expression" dxfId="90" priority="53">
      <formula>AND($A2&lt;&gt;"",$F2="Casual")</formula>
    </cfRule>
    <cfRule type="expression" dxfId="89" priority="54">
      <formula>AND($A2&lt;&gt;"",$F2="Intermediate")</formula>
    </cfRule>
    <cfRule type="expression" dxfId="88" priority="55">
      <formula>AND($A2&lt;&gt;"",$F2="Advanced")</formula>
    </cfRule>
    <cfRule type="expression" dxfId="87" priority="56">
      <formula>AND($A2&lt;&gt;"",$F2="Expert")</formula>
    </cfRule>
    <cfRule type="expression" dxfId="86" priority="57">
      <formula>AND($A2&lt;&gt;"",$F2="Master")</formula>
    </cfRule>
    <cfRule type="expression" dxfId="85" priority="58">
      <formula>AND($A2&lt;&gt;"",$F2="Grandmaster")</formula>
    </cfRule>
    <cfRule type="expression" dxfId="84" priority="59">
      <formula>AND($A2&lt;&gt;"",$F2="Unranked")</formula>
    </cfRule>
  </conditionalFormatting>
  <conditionalFormatting sqref="G2:G250">
    <cfRule type="expression" dxfId="83" priority="38">
      <formula>AND($A2&lt;&gt;"",COUNTIF($A3:$A$250,"&lt;&gt;")&gt;0)</formula>
    </cfRule>
    <cfRule type="expression" dxfId="82" priority="39">
      <formula>AND($A2&lt;&gt;"",COUNTIF($A3:$A$250,"&lt;&gt;")=0)</formula>
    </cfRule>
  </conditionalFormatting>
  <conditionalFormatting sqref="G2:G250">
    <cfRule type="expression" dxfId="81" priority="40">
      <formula>$A2&lt;&gt;""</formula>
    </cfRule>
  </conditionalFormatting>
  <conditionalFormatting sqref="H2:H250">
    <cfRule type="expression" dxfId="77" priority="35">
      <formula>AND($A2&lt;&gt;"",COUNTIF($A3:$A$250,"&lt;&gt;")&gt;0)</formula>
    </cfRule>
    <cfRule type="expression" dxfId="76" priority="36">
      <formula>AND($A2&lt;&gt;"",COUNTIF($A3:$A$250,"&lt;&gt;")=0)</formula>
    </cfRule>
  </conditionalFormatting>
  <conditionalFormatting sqref="H2:H250">
    <cfRule type="expression" dxfId="75" priority="37">
      <formula>$A2&lt;&gt;""</formula>
    </cfRule>
  </conditionalFormatting>
  <conditionalFormatting sqref="I2:I250">
    <cfRule type="expression" dxfId="74" priority="32">
      <formula>AND($A2&lt;&gt;"",COUNTIF($A3:$A$250,"&lt;&gt;")&gt;0)</formula>
    </cfRule>
    <cfRule type="expression" dxfId="73" priority="33">
      <formula>AND($A2&lt;&gt;"",COUNTIF($A3:$A$250,"&lt;&gt;")=0)</formula>
    </cfRule>
  </conditionalFormatting>
  <conditionalFormatting sqref="I2:I250">
    <cfRule type="expression" dxfId="72" priority="34">
      <formula>$A2&lt;&gt;""</formula>
    </cfRule>
  </conditionalFormatting>
  <conditionalFormatting sqref="K2:K250">
    <cfRule type="expression" dxfId="59" priority="25">
      <formula>AND($A2&lt;&gt;"",COUNTIF($A3:$A$250,"&lt;&gt;")&gt;0)</formula>
    </cfRule>
    <cfRule type="expression" dxfId="58" priority="26">
      <formula>AND($A2&lt;&gt;"",COUNTIF($A3:$A$250,"&lt;&gt;")=0)</formula>
    </cfRule>
  </conditionalFormatting>
  <conditionalFormatting sqref="K2:K250">
    <cfRule type="expression" dxfId="57" priority="21">
      <formula>K2="Planned"</formula>
    </cfRule>
    <cfRule type="expression" dxfId="56" priority="22">
      <formula>K2="In Progress"</formula>
    </cfRule>
    <cfRule type="expression" dxfId="55" priority="23">
      <formula>K2="Finished"</formula>
    </cfRule>
    <cfRule type="expression" dxfId="54" priority="24">
      <formula>K2="100% Complete"</formula>
    </cfRule>
    <cfRule type="expression" dxfId="53" priority="27">
      <formula>AND($A2&lt;&gt;"",$K2="")</formula>
    </cfRule>
    <cfRule type="expression" dxfId="52" priority="28">
      <formula>AND($A2&lt;&gt;"",$K2="Planned")</formula>
    </cfRule>
    <cfRule type="expression" dxfId="51" priority="29">
      <formula>AND($A2&lt;&gt;"",$K2="In Progress")</formula>
    </cfRule>
    <cfRule type="expression" dxfId="50" priority="30">
      <formula>AND($A2&lt;&gt;"",$K2="Finished")</formula>
    </cfRule>
    <cfRule type="expression" dxfId="49" priority="31">
      <formula>AND($A2&lt;&gt;"",$K2="100% Complete")</formula>
    </cfRule>
  </conditionalFormatting>
  <conditionalFormatting sqref="K2:K500">
    <cfRule type="expression" dxfId="48" priority="20">
      <formula>K2="In Progress"</formula>
    </cfRule>
  </conditionalFormatting>
  <conditionalFormatting sqref="L2:L250">
    <cfRule type="expression" dxfId="44" priority="15">
      <formula>AND($A2&lt;&gt;"",COUNTIF($A3:$A$250,"&lt;&gt;")&gt;0)</formula>
    </cfRule>
    <cfRule type="expression" dxfId="43" priority="16">
      <formula>AND($A2&lt;&gt;"",COUNTIF($A3:$A$250,"&lt;&gt;")=0)</formula>
    </cfRule>
  </conditionalFormatting>
  <conditionalFormatting sqref="L2:L250">
    <cfRule type="dataBar" priority="13">
      <dataBar>
        <cfvo type="min"/>
        <cfvo type="max"/>
        <color rgb="FF5B9BD5"/>
      </dataBar>
    </cfRule>
    <cfRule type="dataBar" priority="14">
      <dataBar>
        <cfvo type="min"/>
        <cfvo type="max"/>
        <color rgb="FF5B9BD5"/>
      </dataBar>
    </cfRule>
    <cfRule type="dataBar" priority="18">
      <dataBar>
        <cfvo type="min"/>
        <cfvo type="max"/>
        <color rgb="FF5B9BD5"/>
      </dataBar>
    </cfRule>
    <cfRule type="dataBar" priority="19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{C0DD797F-11C8-4C31-A421-8CC1A9CA142D}</x14:id>
        </ext>
      </extLst>
    </cfRule>
  </conditionalFormatting>
  <conditionalFormatting sqref="L2:L250">
    <cfRule type="expression" dxfId="42" priority="17">
      <formula>$A2&lt;&gt;""</formula>
    </cfRule>
  </conditionalFormatting>
  <conditionalFormatting sqref="M2:O250">
    <cfRule type="expression" dxfId="41" priority="10">
      <formula>AND($A2&lt;&gt;"",COUNTIF($A3:$A$250,"&lt;&gt;")&gt;0)</formula>
    </cfRule>
    <cfRule type="expression" dxfId="40" priority="11">
      <formula>AND($A2&lt;&gt;"",COUNTIF($A3:$A$250,"&lt;&gt;")=0)</formula>
    </cfRule>
  </conditionalFormatting>
  <conditionalFormatting sqref="M2:O250">
    <cfRule type="expression" dxfId="39" priority="12">
      <formula>$A2&lt;&gt;""</formula>
    </cfRule>
  </conditionalFormatting>
  <conditionalFormatting sqref="P2:P250">
    <cfRule type="expression" dxfId="35" priority="7">
      <formula>AND($A2&lt;&gt;"",COUNTIF($A3:$A$250,"&lt;&gt;")&gt;0)</formula>
    </cfRule>
    <cfRule type="expression" dxfId="34" priority="8">
      <formula>AND($A2&lt;&gt;"",COUNTIF($A3:$A$250,"&lt;&gt;")=0)</formula>
    </cfRule>
  </conditionalFormatting>
  <conditionalFormatting sqref="P2:P250">
    <cfRule type="expression" dxfId="33" priority="9">
      <formula>$A2&lt;&gt;""</formula>
    </cfRule>
  </conditionalFormatting>
  <conditionalFormatting sqref="Q2:Q250">
    <cfRule type="expression" dxfId="32" priority="4">
      <formula>AND($A2&lt;&gt;"",COUNTIF($A3:$A$250,"&lt;&gt;")&gt;0)</formula>
    </cfRule>
    <cfRule type="expression" dxfId="31" priority="5">
      <formula>AND($A2&lt;&gt;"",COUNTIF($A3:$A$250,"&lt;&gt;")=0)</formula>
    </cfRule>
  </conditionalFormatting>
  <conditionalFormatting sqref="Q2:Q250">
    <cfRule type="expression" dxfId="30" priority="6">
      <formula>$A2&lt;&gt;""</formula>
    </cfRule>
  </conditionalFormatting>
  <conditionalFormatting sqref="R2:R250">
    <cfRule type="expression" dxfId="29" priority="1">
      <formula>AND($A2&lt;&gt;"",COUNTIF($A3:$A$250,"&lt;&gt;")&gt;0)</formula>
    </cfRule>
    <cfRule type="expression" dxfId="28" priority="2">
      <formula>AND($A2&lt;&gt;"",COUNTIF($A3:$A$250,"&lt;&gt;")=0)</formula>
    </cfRule>
    <cfRule type="expression" dxfId="27" priority="3">
      <formula>$A2&lt;&gt;""</formula>
    </cfRule>
  </conditionalFormatting>
  <dataValidations count="3">
    <dataValidation type="list" allowBlank="1" sqref="B2:B501" xr:uid="{00000000-0002-0000-0100-000000000000}">
      <formula1>HackList</formula1>
    </dataValidation>
    <dataValidation type="list" allowBlank="1" sqref="J2:J501" xr:uid="{00000000-0002-0000-0100-000001000000}">
      <formula1>"Yes,No"</formula1>
    </dataValidation>
    <dataValidation type="list" allowBlank="1" sqref="L2:L501" xr:uid="{00000000-0002-0000-0100-000002000000}">
      <formula1>"1,2,3,4,5,6,7,8,9,10"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0DD797F-11C8-4C31-A421-8CC1A9CA142D}">
            <x14:dataBar>
              <x14:cfvo type="min"/>
              <x14:cfvo type="max"/>
              <x14:negativeFillColor auto="1"/>
              <x14:axisColor auto="1"/>
            </x14:dataBar>
          </x14:cfRule>
          <xm:sqref>L2:L250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100-000003000000}">
          <x14:formula1>
            <xm:f>Lists!$E$2:$E$1002</xm:f>
          </x14:formula1>
          <xm:sqref>M2:M501</xm:sqref>
        </x14:dataValidation>
        <x14:dataValidation type="list" allowBlank="1" xr:uid="{00000000-0002-0000-0100-000004000000}">
          <x14:formula1>
            <xm:f>Lists!$F$2:$F$61</xm:f>
          </x14:formula1>
          <xm:sqref>N2:N501</xm:sqref>
        </x14:dataValidation>
        <x14:dataValidation type="list" allowBlank="1" xr:uid="{00000000-0002-0000-0100-000005000000}">
          <x14:formula1>
            <xm:f>Lists!$G$2:$G$61</xm:f>
          </x14:formula1>
          <xm:sqref>O2:O501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748"/>
  <sheetViews>
    <sheetView workbookViewId="0"/>
  </sheetViews>
  <sheetFormatPr defaultRowHeight="13.5"/>
  <cols>
    <col min="1" max="1" width="48" customWidth="1"/>
    <col min="2" max="2" width="42" customWidth="1"/>
    <col min="3" max="3" width="32" customWidth="1"/>
    <col min="4" max="4" width="9" customWidth="1"/>
    <col min="5" max="5" width="16" customWidth="1"/>
    <col min="6" max="6" width="22" customWidth="1"/>
    <col min="7" max="7" width="13" customWidth="1"/>
    <col min="8" max="8" width="12" customWidth="1"/>
    <col min="9" max="10" width="48" customWidth="1"/>
  </cols>
  <sheetData>
    <row r="1" spans="1:10">
      <c r="A1" s="1" t="s">
        <v>51</v>
      </c>
      <c r="B1" s="2" t="s">
        <v>40</v>
      </c>
      <c r="C1" s="2" t="s">
        <v>15</v>
      </c>
      <c r="D1" s="5" t="s">
        <v>16</v>
      </c>
      <c r="E1" s="2" t="s">
        <v>17</v>
      </c>
      <c r="F1" s="2" t="s">
        <v>18</v>
      </c>
      <c r="G1" s="4" t="s">
        <v>20</v>
      </c>
      <c r="H1" s="2" t="s">
        <v>52</v>
      </c>
      <c r="I1" s="2" t="s">
        <v>53</v>
      </c>
      <c r="J1" s="3" t="s">
        <v>54</v>
      </c>
    </row>
    <row r="2" spans="1:10">
      <c r="A2" t="s">
        <v>55</v>
      </c>
      <c r="B2" t="s">
        <v>55</v>
      </c>
      <c r="C2" t="s">
        <v>56</v>
      </c>
      <c r="D2">
        <v>8</v>
      </c>
      <c r="E2" t="s">
        <v>33</v>
      </c>
      <c r="F2" t="s">
        <v>57</v>
      </c>
      <c r="G2" s="23">
        <v>45872</v>
      </c>
      <c r="H2" t="s">
        <v>58</v>
      </c>
      <c r="I2" t="s">
        <v>59</v>
      </c>
      <c r="J2" t="s">
        <v>60</v>
      </c>
    </row>
    <row r="3" spans="1:10">
      <c r="A3" t="s">
        <v>61</v>
      </c>
      <c r="B3" t="s">
        <v>61</v>
      </c>
      <c r="C3" t="s">
        <v>62</v>
      </c>
      <c r="D3">
        <v>25</v>
      </c>
      <c r="E3" t="s">
        <v>31</v>
      </c>
      <c r="F3" t="s">
        <v>63</v>
      </c>
      <c r="G3" s="23">
        <v>46021</v>
      </c>
      <c r="H3" t="s">
        <v>64</v>
      </c>
      <c r="I3" t="s">
        <v>65</v>
      </c>
      <c r="J3" t="s">
        <v>66</v>
      </c>
    </row>
    <row r="4" spans="1:10">
      <c r="A4" t="s">
        <v>67</v>
      </c>
      <c r="B4" t="s">
        <v>67</v>
      </c>
      <c r="C4" t="s">
        <v>68</v>
      </c>
      <c r="D4">
        <v>12</v>
      </c>
      <c r="E4" t="s">
        <v>29</v>
      </c>
      <c r="F4" t="s">
        <v>63</v>
      </c>
      <c r="G4" s="23">
        <v>41636</v>
      </c>
      <c r="H4" t="s">
        <v>69</v>
      </c>
      <c r="I4" t="s">
        <v>70</v>
      </c>
      <c r="J4" t="s">
        <v>71</v>
      </c>
    </row>
    <row r="5" spans="1:10">
      <c r="A5" t="s">
        <v>72</v>
      </c>
      <c r="B5" t="s">
        <v>72</v>
      </c>
      <c r="C5" t="s">
        <v>73</v>
      </c>
      <c r="D5">
        <v>1</v>
      </c>
      <c r="E5" t="s">
        <v>29</v>
      </c>
      <c r="F5" t="s">
        <v>63</v>
      </c>
      <c r="G5" s="23">
        <v>45906</v>
      </c>
      <c r="H5" t="s">
        <v>74</v>
      </c>
      <c r="I5" t="s">
        <v>75</v>
      </c>
      <c r="J5" t="s">
        <v>76</v>
      </c>
    </row>
    <row r="6" spans="1:10">
      <c r="A6" t="s">
        <v>77</v>
      </c>
      <c r="B6" t="s">
        <v>77</v>
      </c>
      <c r="C6" t="s">
        <v>78</v>
      </c>
      <c r="D6">
        <v>6</v>
      </c>
      <c r="E6" t="s">
        <v>35</v>
      </c>
      <c r="F6" t="s">
        <v>57</v>
      </c>
      <c r="G6" s="23">
        <v>44868</v>
      </c>
      <c r="H6" t="s">
        <v>79</v>
      </c>
      <c r="I6" t="s">
        <v>80</v>
      </c>
      <c r="J6" t="s">
        <v>81</v>
      </c>
    </row>
    <row r="7" spans="1:10">
      <c r="A7" t="s">
        <v>82</v>
      </c>
      <c r="B7" t="s">
        <v>82</v>
      </c>
      <c r="C7" t="s">
        <v>83</v>
      </c>
      <c r="D7">
        <v>7</v>
      </c>
      <c r="E7" t="s">
        <v>29</v>
      </c>
      <c r="F7" t="s">
        <v>63</v>
      </c>
      <c r="G7" s="23">
        <v>41627</v>
      </c>
      <c r="H7" t="s">
        <v>84</v>
      </c>
      <c r="I7" t="s">
        <v>85</v>
      </c>
      <c r="J7" t="s">
        <v>86</v>
      </c>
    </row>
    <row r="8" spans="1:10">
      <c r="A8" t="s">
        <v>87</v>
      </c>
      <c r="B8" t="s">
        <v>87</v>
      </c>
      <c r="C8" t="s">
        <v>88</v>
      </c>
      <c r="D8">
        <v>1</v>
      </c>
      <c r="E8" t="s">
        <v>36</v>
      </c>
      <c r="F8" t="s">
        <v>89</v>
      </c>
      <c r="G8" s="23">
        <v>42864</v>
      </c>
      <c r="H8" t="s">
        <v>90</v>
      </c>
      <c r="I8" t="s">
        <v>91</v>
      </c>
      <c r="J8" t="s">
        <v>92</v>
      </c>
    </row>
    <row r="9" spans="1:10">
      <c r="A9" t="s">
        <v>93</v>
      </c>
      <c r="B9" t="s">
        <v>93</v>
      </c>
      <c r="C9" t="s">
        <v>94</v>
      </c>
      <c r="D9">
        <v>2</v>
      </c>
      <c r="E9" t="s">
        <v>31</v>
      </c>
      <c r="F9" t="s">
        <v>63</v>
      </c>
      <c r="G9" s="23">
        <v>45500</v>
      </c>
      <c r="H9" t="s">
        <v>95</v>
      </c>
      <c r="I9" t="s">
        <v>96</v>
      </c>
      <c r="J9" t="s">
        <v>97</v>
      </c>
    </row>
    <row r="10" spans="1:10">
      <c r="A10" t="s">
        <v>98</v>
      </c>
      <c r="B10" t="s">
        <v>98</v>
      </c>
      <c r="C10" t="s">
        <v>99</v>
      </c>
      <c r="D10">
        <v>0</v>
      </c>
      <c r="E10" t="s">
        <v>36</v>
      </c>
      <c r="F10" t="s">
        <v>57</v>
      </c>
      <c r="G10" s="23">
        <v>46166</v>
      </c>
      <c r="H10" t="s">
        <v>100</v>
      </c>
      <c r="I10" t="s">
        <v>101</v>
      </c>
      <c r="J10" t="s">
        <v>102</v>
      </c>
    </row>
    <row r="11" spans="1:10">
      <c r="A11" t="s">
        <v>103</v>
      </c>
      <c r="B11" t="s">
        <v>103</v>
      </c>
      <c r="C11" t="s">
        <v>104</v>
      </c>
      <c r="D11">
        <v>0</v>
      </c>
      <c r="E11" t="s">
        <v>33</v>
      </c>
      <c r="F11" t="s">
        <v>57</v>
      </c>
      <c r="G11" s="23">
        <v>45237</v>
      </c>
      <c r="H11" t="s">
        <v>105</v>
      </c>
      <c r="I11" t="s">
        <v>106</v>
      </c>
      <c r="J11" t="s">
        <v>107</v>
      </c>
    </row>
    <row r="12" spans="1:10">
      <c r="A12" t="s">
        <v>108</v>
      </c>
      <c r="B12" t="s">
        <v>108</v>
      </c>
      <c r="C12" t="s">
        <v>109</v>
      </c>
      <c r="D12">
        <v>56</v>
      </c>
      <c r="E12" t="s">
        <v>35</v>
      </c>
      <c r="F12" t="s">
        <v>57</v>
      </c>
      <c r="G12" s="23">
        <v>46086</v>
      </c>
      <c r="H12" t="s">
        <v>110</v>
      </c>
      <c r="I12" t="s">
        <v>111</v>
      </c>
      <c r="J12" t="s">
        <v>112</v>
      </c>
    </row>
    <row r="13" spans="1:10">
      <c r="A13" t="s">
        <v>113</v>
      </c>
      <c r="B13" t="s">
        <v>113</v>
      </c>
      <c r="C13" t="s">
        <v>114</v>
      </c>
      <c r="D13">
        <v>11</v>
      </c>
      <c r="E13" t="s">
        <v>33</v>
      </c>
      <c r="F13" t="s">
        <v>115</v>
      </c>
      <c r="G13" s="23">
        <v>44234</v>
      </c>
      <c r="H13" t="s">
        <v>116</v>
      </c>
      <c r="I13" t="s">
        <v>117</v>
      </c>
      <c r="J13" t="s">
        <v>118</v>
      </c>
    </row>
    <row r="14" spans="1:10">
      <c r="A14" t="s">
        <v>119</v>
      </c>
      <c r="B14" t="s">
        <v>119</v>
      </c>
      <c r="C14" t="s">
        <v>120</v>
      </c>
      <c r="D14">
        <v>18</v>
      </c>
      <c r="E14" t="s">
        <v>29</v>
      </c>
      <c r="F14" t="s">
        <v>63</v>
      </c>
      <c r="G14" s="23">
        <v>45125</v>
      </c>
      <c r="H14" t="s">
        <v>121</v>
      </c>
      <c r="I14" t="s">
        <v>122</v>
      </c>
      <c r="J14" t="s">
        <v>123</v>
      </c>
    </row>
    <row r="15" spans="1:10">
      <c r="A15" t="s">
        <v>124</v>
      </c>
      <c r="B15" t="s">
        <v>124</v>
      </c>
      <c r="C15" t="s">
        <v>125</v>
      </c>
      <c r="D15">
        <v>6</v>
      </c>
      <c r="E15" t="s">
        <v>33</v>
      </c>
      <c r="F15" t="s">
        <v>63</v>
      </c>
      <c r="G15" s="23">
        <v>45944</v>
      </c>
      <c r="H15" t="s">
        <v>126</v>
      </c>
      <c r="I15" t="s">
        <v>127</v>
      </c>
      <c r="J15" t="s">
        <v>128</v>
      </c>
    </row>
    <row r="16" spans="1:10">
      <c r="A16" t="s">
        <v>129</v>
      </c>
      <c r="B16" t="s">
        <v>129</v>
      </c>
      <c r="C16" t="s">
        <v>130</v>
      </c>
      <c r="D16">
        <v>13</v>
      </c>
      <c r="E16" t="s">
        <v>29</v>
      </c>
      <c r="F16" t="s">
        <v>63</v>
      </c>
      <c r="G16" s="23">
        <v>41808</v>
      </c>
      <c r="H16" t="s">
        <v>131</v>
      </c>
      <c r="I16" t="s">
        <v>132</v>
      </c>
      <c r="J16" t="s">
        <v>133</v>
      </c>
    </row>
    <row r="17" spans="1:10">
      <c r="A17" t="s">
        <v>134</v>
      </c>
      <c r="B17" t="s">
        <v>134</v>
      </c>
      <c r="C17" t="s">
        <v>130</v>
      </c>
      <c r="D17">
        <v>8</v>
      </c>
      <c r="E17" t="s">
        <v>29</v>
      </c>
      <c r="F17" t="s">
        <v>63</v>
      </c>
      <c r="G17" s="23">
        <v>41549</v>
      </c>
      <c r="H17" t="s">
        <v>135</v>
      </c>
      <c r="I17" t="s">
        <v>136</v>
      </c>
      <c r="J17" t="s">
        <v>137</v>
      </c>
    </row>
    <row r="18" spans="1:10">
      <c r="A18" t="s">
        <v>138</v>
      </c>
      <c r="B18" t="s">
        <v>138</v>
      </c>
      <c r="C18" t="s">
        <v>139</v>
      </c>
      <c r="D18">
        <v>1</v>
      </c>
      <c r="E18" t="s">
        <v>31</v>
      </c>
      <c r="F18" t="s">
        <v>63</v>
      </c>
      <c r="G18" s="23">
        <v>45484</v>
      </c>
      <c r="H18" t="s">
        <v>140</v>
      </c>
      <c r="I18" t="s">
        <v>141</v>
      </c>
      <c r="J18" t="s">
        <v>142</v>
      </c>
    </row>
    <row r="19" spans="1:10">
      <c r="A19" t="s">
        <v>143</v>
      </c>
      <c r="B19" t="s">
        <v>143</v>
      </c>
      <c r="C19" t="s">
        <v>139</v>
      </c>
      <c r="D19">
        <v>1</v>
      </c>
      <c r="E19" t="s">
        <v>31</v>
      </c>
      <c r="F19" t="s">
        <v>63</v>
      </c>
      <c r="G19" s="23">
        <v>45584</v>
      </c>
      <c r="H19" t="s">
        <v>144</v>
      </c>
      <c r="I19" t="s">
        <v>145</v>
      </c>
      <c r="J19" t="s">
        <v>146</v>
      </c>
    </row>
    <row r="20" spans="1:10">
      <c r="A20" t="s">
        <v>147</v>
      </c>
      <c r="B20" t="s">
        <v>147</v>
      </c>
      <c r="C20" t="s">
        <v>139</v>
      </c>
      <c r="D20">
        <v>1</v>
      </c>
      <c r="E20" t="s">
        <v>31</v>
      </c>
      <c r="F20" t="s">
        <v>63</v>
      </c>
      <c r="G20" s="23">
        <v>45664</v>
      </c>
      <c r="H20" t="s">
        <v>148</v>
      </c>
      <c r="I20" t="s">
        <v>149</v>
      </c>
      <c r="J20" t="s">
        <v>150</v>
      </c>
    </row>
    <row r="21" spans="1:10">
      <c r="A21" t="s">
        <v>151</v>
      </c>
      <c r="B21" t="s">
        <v>151</v>
      </c>
      <c r="C21" t="s">
        <v>139</v>
      </c>
      <c r="D21">
        <v>1</v>
      </c>
      <c r="E21" t="s">
        <v>31</v>
      </c>
      <c r="F21" t="s">
        <v>63</v>
      </c>
      <c r="G21" s="23">
        <v>45797</v>
      </c>
      <c r="H21" t="s">
        <v>152</v>
      </c>
      <c r="I21" t="s">
        <v>153</v>
      </c>
      <c r="J21" t="s">
        <v>154</v>
      </c>
    </row>
    <row r="22" spans="1:10">
      <c r="A22" t="s">
        <v>155</v>
      </c>
      <c r="B22" t="s">
        <v>155</v>
      </c>
      <c r="C22" t="s">
        <v>139</v>
      </c>
      <c r="D22">
        <v>1</v>
      </c>
      <c r="E22" t="s">
        <v>31</v>
      </c>
      <c r="F22" t="s">
        <v>63</v>
      </c>
      <c r="G22" s="23">
        <v>46063</v>
      </c>
      <c r="H22" t="s">
        <v>156</v>
      </c>
      <c r="I22" t="s">
        <v>157</v>
      </c>
      <c r="J22" t="s">
        <v>158</v>
      </c>
    </row>
    <row r="23" spans="1:10">
      <c r="A23" t="s">
        <v>159</v>
      </c>
      <c r="B23" t="s">
        <v>159</v>
      </c>
      <c r="C23" t="s">
        <v>160</v>
      </c>
      <c r="D23">
        <v>7</v>
      </c>
      <c r="E23" t="s">
        <v>34</v>
      </c>
      <c r="F23" t="s">
        <v>57</v>
      </c>
      <c r="G23" s="23">
        <v>43648</v>
      </c>
      <c r="H23" t="s">
        <v>161</v>
      </c>
      <c r="I23" t="s">
        <v>162</v>
      </c>
      <c r="J23" t="s">
        <v>163</v>
      </c>
    </row>
    <row r="24" spans="1:10">
      <c r="A24" t="s">
        <v>164</v>
      </c>
      <c r="B24" t="s">
        <v>164</v>
      </c>
      <c r="C24" t="s">
        <v>165</v>
      </c>
      <c r="D24">
        <v>21</v>
      </c>
      <c r="E24" t="s">
        <v>36</v>
      </c>
      <c r="F24" t="s">
        <v>57</v>
      </c>
      <c r="G24" s="23">
        <v>45583</v>
      </c>
      <c r="H24" t="s">
        <v>166</v>
      </c>
      <c r="I24" t="s">
        <v>167</v>
      </c>
      <c r="J24" t="s">
        <v>168</v>
      </c>
    </row>
    <row r="25" spans="1:10">
      <c r="A25" t="s">
        <v>169</v>
      </c>
      <c r="B25" t="s">
        <v>169</v>
      </c>
      <c r="C25" t="s">
        <v>170</v>
      </c>
      <c r="D25">
        <v>17</v>
      </c>
      <c r="E25" t="s">
        <v>33</v>
      </c>
      <c r="F25" t="s">
        <v>57</v>
      </c>
      <c r="G25" s="23">
        <v>45436</v>
      </c>
      <c r="H25" t="s">
        <v>171</v>
      </c>
      <c r="I25" t="s">
        <v>172</v>
      </c>
      <c r="J25" t="s">
        <v>173</v>
      </c>
    </row>
    <row r="26" spans="1:10">
      <c r="A26" t="s">
        <v>174</v>
      </c>
      <c r="B26" t="s">
        <v>174</v>
      </c>
      <c r="C26" t="s">
        <v>175</v>
      </c>
      <c r="D26">
        <v>69</v>
      </c>
      <c r="E26" t="s">
        <v>31</v>
      </c>
      <c r="F26" t="s">
        <v>57</v>
      </c>
      <c r="G26" s="23">
        <v>44885</v>
      </c>
      <c r="H26" t="s">
        <v>176</v>
      </c>
      <c r="I26" t="s">
        <v>177</v>
      </c>
      <c r="J26" t="s">
        <v>178</v>
      </c>
    </row>
    <row r="27" spans="1:10">
      <c r="A27" t="s">
        <v>179</v>
      </c>
      <c r="B27" t="s">
        <v>179</v>
      </c>
      <c r="C27" t="s">
        <v>180</v>
      </c>
      <c r="D27">
        <v>9</v>
      </c>
      <c r="E27" t="s">
        <v>34</v>
      </c>
      <c r="F27" t="s">
        <v>57</v>
      </c>
      <c r="G27" s="23">
        <v>44664</v>
      </c>
      <c r="H27" t="s">
        <v>181</v>
      </c>
      <c r="I27" t="s">
        <v>182</v>
      </c>
      <c r="J27" t="s">
        <v>183</v>
      </c>
    </row>
    <row r="28" spans="1:10">
      <c r="A28" t="s">
        <v>184</v>
      </c>
      <c r="B28" t="s">
        <v>184</v>
      </c>
      <c r="C28" t="s">
        <v>185</v>
      </c>
      <c r="D28">
        <v>4</v>
      </c>
      <c r="E28" t="s">
        <v>29</v>
      </c>
      <c r="F28" t="s">
        <v>63</v>
      </c>
      <c r="G28" s="23">
        <v>42235</v>
      </c>
      <c r="H28" t="s">
        <v>186</v>
      </c>
      <c r="I28" t="s">
        <v>187</v>
      </c>
      <c r="J28" t="s">
        <v>188</v>
      </c>
    </row>
    <row r="29" spans="1:10">
      <c r="A29" t="s">
        <v>189</v>
      </c>
      <c r="B29" t="s">
        <v>189</v>
      </c>
      <c r="C29" t="s">
        <v>165</v>
      </c>
      <c r="D29">
        <v>35</v>
      </c>
      <c r="E29" t="s">
        <v>35</v>
      </c>
      <c r="F29" t="s">
        <v>57</v>
      </c>
      <c r="G29" s="23">
        <v>44164</v>
      </c>
      <c r="H29" t="s">
        <v>190</v>
      </c>
      <c r="I29" t="s">
        <v>191</v>
      </c>
      <c r="J29" t="s">
        <v>192</v>
      </c>
    </row>
    <row r="30" spans="1:10">
      <c r="A30" t="s">
        <v>193</v>
      </c>
      <c r="B30" t="s">
        <v>193</v>
      </c>
      <c r="C30" t="s">
        <v>194</v>
      </c>
      <c r="D30">
        <v>1</v>
      </c>
      <c r="E30" t="s">
        <v>35</v>
      </c>
      <c r="F30" t="s">
        <v>57</v>
      </c>
      <c r="G30" s="23">
        <v>45082</v>
      </c>
      <c r="H30" t="s">
        <v>195</v>
      </c>
      <c r="I30" t="s">
        <v>196</v>
      </c>
      <c r="J30" t="s">
        <v>197</v>
      </c>
    </row>
    <row r="31" spans="1:10">
      <c r="A31" t="s">
        <v>198</v>
      </c>
      <c r="B31" t="s">
        <v>198</v>
      </c>
      <c r="C31" t="s">
        <v>199</v>
      </c>
      <c r="D31">
        <v>4</v>
      </c>
      <c r="E31" t="s">
        <v>34</v>
      </c>
      <c r="F31" t="s">
        <v>57</v>
      </c>
      <c r="G31" s="23">
        <v>44252</v>
      </c>
      <c r="H31" t="s">
        <v>200</v>
      </c>
      <c r="I31" t="s">
        <v>201</v>
      </c>
      <c r="J31" t="s">
        <v>202</v>
      </c>
    </row>
    <row r="32" spans="1:10">
      <c r="A32" t="s">
        <v>203</v>
      </c>
      <c r="B32" t="s">
        <v>203</v>
      </c>
      <c r="C32" t="s">
        <v>194</v>
      </c>
      <c r="D32">
        <v>1</v>
      </c>
      <c r="E32" t="s">
        <v>35</v>
      </c>
      <c r="F32" t="s">
        <v>57</v>
      </c>
      <c r="G32" s="23">
        <v>45725</v>
      </c>
      <c r="H32" t="s">
        <v>204</v>
      </c>
      <c r="I32" t="s">
        <v>205</v>
      </c>
      <c r="J32" t="s">
        <v>206</v>
      </c>
    </row>
    <row r="33" spans="1:10">
      <c r="A33" t="s">
        <v>207</v>
      </c>
      <c r="B33" t="s">
        <v>207</v>
      </c>
      <c r="C33" t="s">
        <v>208</v>
      </c>
      <c r="D33">
        <v>29</v>
      </c>
      <c r="E33" t="s">
        <v>35</v>
      </c>
      <c r="F33" t="s">
        <v>57</v>
      </c>
      <c r="G33" s="23">
        <v>44862</v>
      </c>
      <c r="H33" t="s">
        <v>209</v>
      </c>
      <c r="I33" t="s">
        <v>210</v>
      </c>
      <c r="J33" t="s">
        <v>211</v>
      </c>
    </row>
    <row r="34" spans="1:10">
      <c r="A34" t="s">
        <v>212</v>
      </c>
      <c r="B34" t="s">
        <v>212</v>
      </c>
      <c r="C34" t="s">
        <v>213</v>
      </c>
      <c r="D34">
        <v>5</v>
      </c>
      <c r="E34" t="s">
        <v>29</v>
      </c>
      <c r="F34" t="s">
        <v>63</v>
      </c>
      <c r="G34" s="23">
        <v>42114</v>
      </c>
      <c r="H34" t="s">
        <v>214</v>
      </c>
      <c r="I34" t="s">
        <v>215</v>
      </c>
      <c r="J34" t="s">
        <v>216</v>
      </c>
    </row>
    <row r="35" spans="1:10">
      <c r="A35" t="s">
        <v>217</v>
      </c>
      <c r="B35" t="s">
        <v>217</v>
      </c>
      <c r="C35" t="s">
        <v>218</v>
      </c>
      <c r="D35">
        <v>16</v>
      </c>
      <c r="E35" t="s">
        <v>27</v>
      </c>
      <c r="F35" t="s">
        <v>63</v>
      </c>
      <c r="G35" s="23">
        <v>41457</v>
      </c>
      <c r="H35" t="s">
        <v>219</v>
      </c>
      <c r="I35" t="s">
        <v>220</v>
      </c>
      <c r="J35" t="s">
        <v>221</v>
      </c>
    </row>
    <row r="36" spans="1:10">
      <c r="A36" t="s">
        <v>222</v>
      </c>
      <c r="B36" t="s">
        <v>222</v>
      </c>
      <c r="C36" t="s">
        <v>223</v>
      </c>
      <c r="D36">
        <v>14</v>
      </c>
      <c r="E36" t="s">
        <v>29</v>
      </c>
      <c r="F36" t="s">
        <v>63</v>
      </c>
      <c r="G36" s="23">
        <v>43962</v>
      </c>
      <c r="H36" t="s">
        <v>224</v>
      </c>
      <c r="I36" t="s">
        <v>225</v>
      </c>
      <c r="J36" t="s">
        <v>226</v>
      </c>
    </row>
    <row r="37" spans="1:10">
      <c r="A37" t="s">
        <v>227</v>
      </c>
      <c r="B37" t="s">
        <v>227</v>
      </c>
      <c r="C37" t="s">
        <v>228</v>
      </c>
      <c r="D37">
        <v>6</v>
      </c>
      <c r="E37" t="s">
        <v>33</v>
      </c>
      <c r="F37" t="s">
        <v>57</v>
      </c>
      <c r="G37" s="23">
        <v>45964</v>
      </c>
      <c r="H37" t="s">
        <v>229</v>
      </c>
      <c r="I37" t="s">
        <v>230</v>
      </c>
      <c r="J37" t="s">
        <v>231</v>
      </c>
    </row>
    <row r="38" spans="1:10">
      <c r="A38" t="s">
        <v>232</v>
      </c>
      <c r="B38" t="s">
        <v>232</v>
      </c>
      <c r="C38" t="s">
        <v>233</v>
      </c>
      <c r="D38">
        <v>6</v>
      </c>
      <c r="E38" t="s">
        <v>33</v>
      </c>
      <c r="F38" t="s">
        <v>63</v>
      </c>
      <c r="G38" s="23">
        <v>45963</v>
      </c>
      <c r="H38" t="s">
        <v>234</v>
      </c>
      <c r="I38" t="s">
        <v>235</v>
      </c>
      <c r="J38" t="s">
        <v>236</v>
      </c>
    </row>
    <row r="39" spans="1:10">
      <c r="A39" t="s">
        <v>237</v>
      </c>
      <c r="B39" t="s">
        <v>237</v>
      </c>
      <c r="C39" t="s">
        <v>238</v>
      </c>
      <c r="D39">
        <v>8</v>
      </c>
      <c r="E39" t="s">
        <v>27</v>
      </c>
      <c r="F39" t="s">
        <v>63</v>
      </c>
      <c r="G39" s="23">
        <v>43703</v>
      </c>
      <c r="H39" t="s">
        <v>239</v>
      </c>
      <c r="I39" t="s">
        <v>240</v>
      </c>
      <c r="J39" t="s">
        <v>241</v>
      </c>
    </row>
    <row r="40" spans="1:10">
      <c r="A40" t="s">
        <v>242</v>
      </c>
      <c r="B40" t="s">
        <v>242</v>
      </c>
      <c r="C40" t="s">
        <v>243</v>
      </c>
      <c r="D40">
        <v>1</v>
      </c>
      <c r="E40" t="s">
        <v>27</v>
      </c>
      <c r="F40" t="s">
        <v>63</v>
      </c>
      <c r="G40" s="23">
        <v>42690</v>
      </c>
      <c r="H40" t="s">
        <v>244</v>
      </c>
      <c r="I40" t="s">
        <v>245</v>
      </c>
      <c r="J40" t="s">
        <v>246</v>
      </c>
    </row>
    <row r="41" spans="1:10">
      <c r="A41" t="s">
        <v>247</v>
      </c>
      <c r="B41" t="s">
        <v>247</v>
      </c>
      <c r="C41" t="s">
        <v>248</v>
      </c>
      <c r="D41">
        <v>0</v>
      </c>
      <c r="E41" t="s">
        <v>33</v>
      </c>
      <c r="F41" t="s">
        <v>57</v>
      </c>
      <c r="G41" s="23">
        <v>44420</v>
      </c>
      <c r="H41" t="s">
        <v>249</v>
      </c>
      <c r="I41" t="s">
        <v>250</v>
      </c>
      <c r="J41" t="s">
        <v>251</v>
      </c>
    </row>
    <row r="42" spans="1:10">
      <c r="A42" t="s">
        <v>252</v>
      </c>
      <c r="B42" t="s">
        <v>252</v>
      </c>
      <c r="C42" t="s">
        <v>253</v>
      </c>
      <c r="D42">
        <v>9</v>
      </c>
      <c r="E42" t="s">
        <v>34</v>
      </c>
      <c r="F42" t="s">
        <v>57</v>
      </c>
      <c r="G42" s="23">
        <v>45617</v>
      </c>
      <c r="H42" t="s">
        <v>254</v>
      </c>
      <c r="I42" t="s">
        <v>255</v>
      </c>
      <c r="J42" t="s">
        <v>256</v>
      </c>
    </row>
    <row r="43" spans="1:10">
      <c r="A43" t="s">
        <v>257</v>
      </c>
      <c r="B43" t="s">
        <v>257</v>
      </c>
      <c r="C43" t="s">
        <v>258</v>
      </c>
      <c r="D43">
        <v>10</v>
      </c>
      <c r="E43" t="s">
        <v>31</v>
      </c>
      <c r="F43" t="s">
        <v>63</v>
      </c>
      <c r="G43" s="23">
        <v>43865</v>
      </c>
      <c r="H43" t="s">
        <v>259</v>
      </c>
      <c r="I43" t="s">
        <v>260</v>
      </c>
      <c r="J43" t="s">
        <v>261</v>
      </c>
    </row>
    <row r="44" spans="1:10">
      <c r="A44" t="s">
        <v>262</v>
      </c>
      <c r="B44" t="s">
        <v>262</v>
      </c>
      <c r="C44" t="s">
        <v>263</v>
      </c>
      <c r="D44">
        <v>5</v>
      </c>
      <c r="E44" t="s">
        <v>29</v>
      </c>
      <c r="F44" t="s">
        <v>63</v>
      </c>
      <c r="G44" s="23">
        <v>45477</v>
      </c>
      <c r="H44" t="s">
        <v>264</v>
      </c>
      <c r="I44" t="s">
        <v>265</v>
      </c>
      <c r="J44" t="s">
        <v>266</v>
      </c>
    </row>
    <row r="45" spans="1:10">
      <c r="A45" t="s">
        <v>267</v>
      </c>
      <c r="B45" t="s">
        <v>267</v>
      </c>
      <c r="C45" t="s">
        <v>268</v>
      </c>
      <c r="D45">
        <v>9</v>
      </c>
      <c r="E45" t="s">
        <v>31</v>
      </c>
      <c r="F45" t="s">
        <v>63</v>
      </c>
      <c r="G45" s="23">
        <v>44006</v>
      </c>
      <c r="H45" t="s">
        <v>269</v>
      </c>
      <c r="I45" t="s">
        <v>270</v>
      </c>
      <c r="J45" t="s">
        <v>271</v>
      </c>
    </row>
    <row r="46" spans="1:10">
      <c r="A46" t="s">
        <v>272</v>
      </c>
      <c r="B46" t="s">
        <v>272</v>
      </c>
      <c r="C46" t="s">
        <v>273</v>
      </c>
      <c r="D46">
        <v>0</v>
      </c>
      <c r="E46" t="s">
        <v>31</v>
      </c>
      <c r="F46" t="s">
        <v>115</v>
      </c>
      <c r="G46" s="23">
        <v>44946</v>
      </c>
      <c r="H46" t="s">
        <v>274</v>
      </c>
      <c r="I46" t="s">
        <v>275</v>
      </c>
      <c r="J46" t="s">
        <v>276</v>
      </c>
    </row>
    <row r="47" spans="1:10">
      <c r="A47" t="s">
        <v>277</v>
      </c>
      <c r="B47" t="s">
        <v>277</v>
      </c>
      <c r="C47" t="s">
        <v>278</v>
      </c>
      <c r="D47">
        <v>4</v>
      </c>
      <c r="E47" t="s">
        <v>31</v>
      </c>
      <c r="F47" t="s">
        <v>57</v>
      </c>
      <c r="G47" s="23">
        <v>44540</v>
      </c>
      <c r="H47" t="s">
        <v>279</v>
      </c>
      <c r="I47" t="s">
        <v>280</v>
      </c>
      <c r="J47" t="s">
        <v>281</v>
      </c>
    </row>
    <row r="48" spans="1:10">
      <c r="A48" t="s">
        <v>282</v>
      </c>
      <c r="B48" t="s">
        <v>282</v>
      </c>
      <c r="C48" t="s">
        <v>278</v>
      </c>
      <c r="D48">
        <v>5</v>
      </c>
      <c r="E48" t="s">
        <v>33</v>
      </c>
      <c r="F48" t="s">
        <v>57</v>
      </c>
      <c r="G48" s="23">
        <v>45268</v>
      </c>
      <c r="H48" t="s">
        <v>283</v>
      </c>
      <c r="I48" t="s">
        <v>284</v>
      </c>
      <c r="J48" t="s">
        <v>285</v>
      </c>
    </row>
    <row r="49" spans="1:10">
      <c r="A49" t="s">
        <v>286</v>
      </c>
      <c r="B49" t="s">
        <v>286</v>
      </c>
      <c r="C49" t="s">
        <v>287</v>
      </c>
      <c r="D49">
        <v>1</v>
      </c>
      <c r="E49" t="s">
        <v>29</v>
      </c>
      <c r="F49" t="s">
        <v>63</v>
      </c>
      <c r="G49" s="23">
        <v>43827</v>
      </c>
      <c r="H49" t="s">
        <v>288</v>
      </c>
      <c r="I49" t="s">
        <v>289</v>
      </c>
      <c r="J49" t="s">
        <v>290</v>
      </c>
    </row>
    <row r="50" spans="1:10">
      <c r="A50" t="s">
        <v>291</v>
      </c>
      <c r="B50" t="s">
        <v>291</v>
      </c>
      <c r="C50" t="s">
        <v>292</v>
      </c>
      <c r="D50">
        <v>7</v>
      </c>
      <c r="E50" t="s">
        <v>34</v>
      </c>
      <c r="F50" t="s">
        <v>57</v>
      </c>
      <c r="G50" s="23">
        <v>45533</v>
      </c>
      <c r="H50" t="s">
        <v>293</v>
      </c>
      <c r="I50" t="s">
        <v>294</v>
      </c>
      <c r="J50" t="s">
        <v>295</v>
      </c>
    </row>
    <row r="51" spans="1:10">
      <c r="A51" t="s">
        <v>296</v>
      </c>
      <c r="B51" t="s">
        <v>296</v>
      </c>
      <c r="C51" t="s">
        <v>297</v>
      </c>
      <c r="D51">
        <v>12</v>
      </c>
      <c r="E51" t="s">
        <v>29</v>
      </c>
      <c r="F51" t="s">
        <v>63</v>
      </c>
      <c r="G51" s="23">
        <v>43918</v>
      </c>
      <c r="H51" t="s">
        <v>298</v>
      </c>
      <c r="I51" t="s">
        <v>299</v>
      </c>
      <c r="J51" t="s">
        <v>300</v>
      </c>
    </row>
    <row r="52" spans="1:10">
      <c r="A52" t="s">
        <v>301</v>
      </c>
      <c r="B52" t="s">
        <v>301</v>
      </c>
      <c r="C52" t="s">
        <v>302</v>
      </c>
      <c r="D52">
        <v>0</v>
      </c>
      <c r="E52" t="s">
        <v>35</v>
      </c>
      <c r="F52" t="s">
        <v>57</v>
      </c>
      <c r="G52" s="23">
        <v>44794</v>
      </c>
      <c r="H52" t="s">
        <v>303</v>
      </c>
      <c r="I52" t="s">
        <v>304</v>
      </c>
      <c r="J52" t="s">
        <v>305</v>
      </c>
    </row>
    <row r="53" spans="1:10">
      <c r="A53" t="s">
        <v>306</v>
      </c>
      <c r="B53" t="s">
        <v>306</v>
      </c>
      <c r="C53" t="s">
        <v>307</v>
      </c>
      <c r="D53">
        <v>7</v>
      </c>
      <c r="E53" t="s">
        <v>29</v>
      </c>
      <c r="F53" t="s">
        <v>63</v>
      </c>
      <c r="G53" s="23">
        <v>42710</v>
      </c>
      <c r="H53" t="s">
        <v>308</v>
      </c>
      <c r="I53" t="s">
        <v>309</v>
      </c>
      <c r="J53" t="s">
        <v>310</v>
      </c>
    </row>
    <row r="54" spans="1:10">
      <c r="A54" t="s">
        <v>311</v>
      </c>
      <c r="B54" t="s">
        <v>311</v>
      </c>
      <c r="C54" t="s">
        <v>312</v>
      </c>
      <c r="D54">
        <v>24</v>
      </c>
      <c r="E54" t="s">
        <v>34</v>
      </c>
      <c r="F54" t="s">
        <v>57</v>
      </c>
      <c r="G54" s="23">
        <v>44342</v>
      </c>
      <c r="H54" t="s">
        <v>313</v>
      </c>
      <c r="I54" t="s">
        <v>314</v>
      </c>
      <c r="J54" t="s">
        <v>315</v>
      </c>
    </row>
    <row r="55" spans="1:10">
      <c r="A55" t="s">
        <v>316</v>
      </c>
      <c r="B55" t="s">
        <v>316</v>
      </c>
      <c r="C55" t="s">
        <v>317</v>
      </c>
      <c r="D55">
        <v>7</v>
      </c>
      <c r="E55" t="s">
        <v>31</v>
      </c>
      <c r="F55" t="s">
        <v>63</v>
      </c>
      <c r="G55" s="23">
        <v>42013</v>
      </c>
      <c r="H55" t="s">
        <v>318</v>
      </c>
      <c r="I55" t="s">
        <v>319</v>
      </c>
      <c r="J55" t="s">
        <v>320</v>
      </c>
    </row>
    <row r="56" spans="1:10">
      <c r="A56" t="s">
        <v>321</v>
      </c>
      <c r="B56" t="s">
        <v>321</v>
      </c>
      <c r="C56" t="s">
        <v>322</v>
      </c>
      <c r="D56">
        <v>11</v>
      </c>
      <c r="E56" t="s">
        <v>27</v>
      </c>
      <c r="F56" t="s">
        <v>63</v>
      </c>
      <c r="G56" s="23">
        <v>42011</v>
      </c>
      <c r="H56" t="s">
        <v>323</v>
      </c>
      <c r="I56" t="s">
        <v>324</v>
      </c>
      <c r="J56" t="s">
        <v>325</v>
      </c>
    </row>
    <row r="57" spans="1:10">
      <c r="A57" t="s">
        <v>326</v>
      </c>
      <c r="B57" t="s">
        <v>326</v>
      </c>
      <c r="C57" t="s">
        <v>322</v>
      </c>
      <c r="D57">
        <v>12</v>
      </c>
      <c r="E57" t="s">
        <v>29</v>
      </c>
      <c r="F57" t="s">
        <v>63</v>
      </c>
      <c r="G57" s="23">
        <v>42069</v>
      </c>
      <c r="H57" t="s">
        <v>327</v>
      </c>
      <c r="I57" t="s">
        <v>328</v>
      </c>
      <c r="J57" t="s">
        <v>329</v>
      </c>
    </row>
    <row r="58" spans="1:10">
      <c r="A58" t="s">
        <v>330</v>
      </c>
      <c r="B58" t="s">
        <v>330</v>
      </c>
      <c r="C58" t="s">
        <v>287</v>
      </c>
      <c r="D58">
        <v>7</v>
      </c>
      <c r="E58" t="s">
        <v>29</v>
      </c>
      <c r="F58" t="s">
        <v>63</v>
      </c>
      <c r="G58" s="23">
        <v>43838</v>
      </c>
      <c r="H58" t="s">
        <v>331</v>
      </c>
      <c r="I58" t="s">
        <v>332</v>
      </c>
      <c r="J58" t="s">
        <v>333</v>
      </c>
    </row>
    <row r="59" spans="1:10">
      <c r="A59" t="s">
        <v>334</v>
      </c>
      <c r="B59" t="s">
        <v>334</v>
      </c>
      <c r="C59" t="s">
        <v>335</v>
      </c>
      <c r="D59">
        <v>7</v>
      </c>
      <c r="E59" t="s">
        <v>29</v>
      </c>
      <c r="F59" t="s">
        <v>63</v>
      </c>
      <c r="G59" s="23">
        <v>44297</v>
      </c>
      <c r="H59" t="s">
        <v>336</v>
      </c>
      <c r="I59" t="s">
        <v>337</v>
      </c>
      <c r="J59" t="s">
        <v>338</v>
      </c>
    </row>
    <row r="60" spans="1:10">
      <c r="A60" t="s">
        <v>339</v>
      </c>
      <c r="B60" t="s">
        <v>339</v>
      </c>
      <c r="C60" t="s">
        <v>340</v>
      </c>
      <c r="D60">
        <v>9</v>
      </c>
      <c r="E60" t="s">
        <v>36</v>
      </c>
      <c r="F60" t="s">
        <v>57</v>
      </c>
      <c r="G60" s="23">
        <v>45666</v>
      </c>
      <c r="H60" t="s">
        <v>341</v>
      </c>
      <c r="I60" t="s">
        <v>342</v>
      </c>
      <c r="J60" t="s">
        <v>343</v>
      </c>
    </row>
    <row r="61" spans="1:10">
      <c r="A61" t="s">
        <v>344</v>
      </c>
      <c r="B61" t="s">
        <v>344</v>
      </c>
      <c r="C61" t="s">
        <v>345</v>
      </c>
      <c r="D61">
        <v>7</v>
      </c>
      <c r="E61" t="s">
        <v>29</v>
      </c>
      <c r="F61" t="s">
        <v>63</v>
      </c>
      <c r="G61" s="23">
        <v>45398</v>
      </c>
      <c r="H61" t="s">
        <v>346</v>
      </c>
      <c r="I61" t="s">
        <v>347</v>
      </c>
      <c r="J61" t="s">
        <v>348</v>
      </c>
    </row>
    <row r="62" spans="1:10">
      <c r="A62" t="s">
        <v>349</v>
      </c>
      <c r="B62" t="s">
        <v>349</v>
      </c>
      <c r="C62" t="s">
        <v>350</v>
      </c>
      <c r="D62">
        <v>19</v>
      </c>
      <c r="E62" t="s">
        <v>29</v>
      </c>
      <c r="F62" t="s">
        <v>63</v>
      </c>
      <c r="G62" s="23">
        <v>43730</v>
      </c>
      <c r="H62" t="s">
        <v>351</v>
      </c>
      <c r="I62" t="s">
        <v>352</v>
      </c>
      <c r="J62" t="s">
        <v>353</v>
      </c>
    </row>
    <row r="63" spans="1:10">
      <c r="A63" t="s">
        <v>354</v>
      </c>
      <c r="B63" t="s">
        <v>354</v>
      </c>
      <c r="C63" t="s">
        <v>355</v>
      </c>
      <c r="D63">
        <v>1</v>
      </c>
      <c r="E63" t="s">
        <v>35</v>
      </c>
      <c r="F63" t="s">
        <v>57</v>
      </c>
      <c r="G63" s="23">
        <v>42133</v>
      </c>
      <c r="H63" t="s">
        <v>356</v>
      </c>
      <c r="I63" t="s">
        <v>357</v>
      </c>
      <c r="J63" t="s">
        <v>358</v>
      </c>
    </row>
    <row r="64" spans="1:10">
      <c r="A64" t="s">
        <v>359</v>
      </c>
      <c r="B64" t="s">
        <v>359</v>
      </c>
      <c r="C64" t="s">
        <v>360</v>
      </c>
      <c r="D64">
        <v>5</v>
      </c>
      <c r="E64" t="s">
        <v>29</v>
      </c>
      <c r="F64" t="s">
        <v>63</v>
      </c>
      <c r="G64" s="23">
        <v>43461</v>
      </c>
      <c r="H64" t="s">
        <v>361</v>
      </c>
      <c r="I64" t="s">
        <v>362</v>
      </c>
      <c r="J64" t="s">
        <v>363</v>
      </c>
    </row>
    <row r="65" spans="1:10">
      <c r="A65" t="s">
        <v>364</v>
      </c>
      <c r="B65" t="s">
        <v>364</v>
      </c>
      <c r="C65" t="s">
        <v>365</v>
      </c>
      <c r="D65">
        <v>25</v>
      </c>
      <c r="E65" t="s">
        <v>31</v>
      </c>
      <c r="F65" t="s">
        <v>63</v>
      </c>
      <c r="G65" s="23">
        <v>42207</v>
      </c>
      <c r="H65" t="s">
        <v>366</v>
      </c>
      <c r="I65" t="s">
        <v>367</v>
      </c>
      <c r="J65" t="s">
        <v>368</v>
      </c>
    </row>
    <row r="66" spans="1:10">
      <c r="A66" t="s">
        <v>369</v>
      </c>
      <c r="B66" t="s">
        <v>369</v>
      </c>
      <c r="C66" t="s">
        <v>370</v>
      </c>
      <c r="D66">
        <v>25</v>
      </c>
      <c r="E66" t="s">
        <v>31</v>
      </c>
      <c r="F66" t="s">
        <v>63</v>
      </c>
      <c r="G66" s="23">
        <v>43980</v>
      </c>
      <c r="H66" t="s">
        <v>371</v>
      </c>
      <c r="I66" t="s">
        <v>372</v>
      </c>
      <c r="J66" t="s">
        <v>373</v>
      </c>
    </row>
    <row r="67" spans="1:10">
      <c r="A67" t="s">
        <v>374</v>
      </c>
      <c r="B67" t="s">
        <v>374</v>
      </c>
      <c r="C67" t="s">
        <v>375</v>
      </c>
      <c r="D67">
        <v>7</v>
      </c>
      <c r="E67" t="s">
        <v>29</v>
      </c>
      <c r="F67" t="s">
        <v>63</v>
      </c>
      <c r="G67" s="23">
        <v>42218</v>
      </c>
      <c r="H67" t="s">
        <v>376</v>
      </c>
      <c r="I67" t="s">
        <v>377</v>
      </c>
      <c r="J67" t="s">
        <v>378</v>
      </c>
    </row>
    <row r="68" spans="1:10">
      <c r="A68" t="s">
        <v>379</v>
      </c>
      <c r="B68" t="s">
        <v>379</v>
      </c>
      <c r="C68" t="s">
        <v>380</v>
      </c>
      <c r="D68">
        <v>8</v>
      </c>
      <c r="E68" t="s">
        <v>27</v>
      </c>
      <c r="F68" t="s">
        <v>63</v>
      </c>
      <c r="G68" s="23">
        <v>41543</v>
      </c>
      <c r="H68" t="s">
        <v>381</v>
      </c>
      <c r="I68" t="s">
        <v>382</v>
      </c>
      <c r="J68" t="s">
        <v>383</v>
      </c>
    </row>
    <row r="69" spans="1:10">
      <c r="A69" t="s">
        <v>384</v>
      </c>
      <c r="B69" t="s">
        <v>384</v>
      </c>
      <c r="C69" t="s">
        <v>380</v>
      </c>
      <c r="D69">
        <v>3</v>
      </c>
      <c r="E69" t="s">
        <v>29</v>
      </c>
      <c r="F69" t="s">
        <v>63</v>
      </c>
      <c r="G69" s="23">
        <v>42062</v>
      </c>
      <c r="H69" t="s">
        <v>385</v>
      </c>
      <c r="I69" t="s">
        <v>386</v>
      </c>
      <c r="J69" t="s">
        <v>387</v>
      </c>
    </row>
    <row r="70" spans="1:10">
      <c r="A70" t="s">
        <v>388</v>
      </c>
      <c r="B70" t="s">
        <v>388</v>
      </c>
      <c r="C70" t="s">
        <v>389</v>
      </c>
      <c r="D70">
        <v>5</v>
      </c>
      <c r="E70" t="s">
        <v>27</v>
      </c>
      <c r="F70" t="s">
        <v>63</v>
      </c>
      <c r="G70" s="23">
        <v>42309</v>
      </c>
      <c r="H70" t="s">
        <v>390</v>
      </c>
      <c r="I70" t="s">
        <v>391</v>
      </c>
      <c r="J70" t="s">
        <v>392</v>
      </c>
    </row>
    <row r="71" spans="1:10">
      <c r="A71" t="s">
        <v>393</v>
      </c>
      <c r="B71" t="s">
        <v>393</v>
      </c>
      <c r="C71" t="s">
        <v>394</v>
      </c>
      <c r="D71">
        <v>0</v>
      </c>
      <c r="E71" t="s">
        <v>33</v>
      </c>
      <c r="F71" t="s">
        <v>63</v>
      </c>
      <c r="G71" s="23">
        <v>44613</v>
      </c>
      <c r="H71" t="s">
        <v>395</v>
      </c>
      <c r="I71" t="s">
        <v>396</v>
      </c>
      <c r="J71" t="s">
        <v>397</v>
      </c>
    </row>
    <row r="72" spans="1:10">
      <c r="A72" t="s">
        <v>398</v>
      </c>
      <c r="B72" t="s">
        <v>398</v>
      </c>
      <c r="C72" t="s">
        <v>399</v>
      </c>
      <c r="D72">
        <v>8</v>
      </c>
      <c r="E72" t="s">
        <v>29</v>
      </c>
      <c r="F72" t="s">
        <v>63</v>
      </c>
      <c r="G72" s="23">
        <v>42301</v>
      </c>
      <c r="H72" t="s">
        <v>400</v>
      </c>
      <c r="I72" t="s">
        <v>401</v>
      </c>
      <c r="J72" t="s">
        <v>402</v>
      </c>
    </row>
    <row r="73" spans="1:10">
      <c r="A73" t="s">
        <v>403</v>
      </c>
      <c r="B73" t="s">
        <v>403</v>
      </c>
      <c r="C73" t="s">
        <v>287</v>
      </c>
      <c r="D73">
        <v>1</v>
      </c>
      <c r="E73" t="s">
        <v>29</v>
      </c>
      <c r="F73" t="s">
        <v>63</v>
      </c>
      <c r="G73" s="23">
        <v>43907</v>
      </c>
      <c r="H73" t="s">
        <v>404</v>
      </c>
      <c r="I73" t="s">
        <v>405</v>
      </c>
      <c r="J73" t="s">
        <v>406</v>
      </c>
    </row>
    <row r="74" spans="1:10">
      <c r="A74" t="s">
        <v>407</v>
      </c>
      <c r="B74" t="s">
        <v>407</v>
      </c>
      <c r="C74" t="s">
        <v>408</v>
      </c>
      <c r="D74">
        <v>41</v>
      </c>
      <c r="E74" t="s">
        <v>29</v>
      </c>
      <c r="F74" t="s">
        <v>63</v>
      </c>
      <c r="G74" s="23">
        <v>44540</v>
      </c>
      <c r="H74" t="s">
        <v>409</v>
      </c>
      <c r="I74" t="s">
        <v>410</v>
      </c>
      <c r="J74" t="s">
        <v>411</v>
      </c>
    </row>
    <row r="75" spans="1:10">
      <c r="A75" t="s">
        <v>412</v>
      </c>
      <c r="B75" t="s">
        <v>412</v>
      </c>
      <c r="C75" t="s">
        <v>413</v>
      </c>
      <c r="D75">
        <v>13</v>
      </c>
      <c r="E75" t="s">
        <v>34</v>
      </c>
      <c r="F75" t="s">
        <v>57</v>
      </c>
      <c r="G75" s="23">
        <v>46207</v>
      </c>
      <c r="H75" t="s">
        <v>414</v>
      </c>
      <c r="I75" t="s">
        <v>415</v>
      </c>
      <c r="J75" t="s">
        <v>416</v>
      </c>
    </row>
    <row r="76" spans="1:10">
      <c r="A76" t="s">
        <v>417</v>
      </c>
      <c r="B76" t="s">
        <v>417</v>
      </c>
      <c r="C76" t="s">
        <v>408</v>
      </c>
      <c r="D76">
        <v>6</v>
      </c>
      <c r="E76" t="s">
        <v>27</v>
      </c>
      <c r="F76" t="s">
        <v>63</v>
      </c>
      <c r="G76" s="23">
        <v>41539</v>
      </c>
      <c r="H76" t="s">
        <v>418</v>
      </c>
      <c r="I76" t="s">
        <v>419</v>
      </c>
      <c r="J76" t="s">
        <v>420</v>
      </c>
    </row>
    <row r="77" spans="1:10">
      <c r="A77" t="s">
        <v>421</v>
      </c>
      <c r="B77" t="s">
        <v>421</v>
      </c>
      <c r="C77" t="s">
        <v>422</v>
      </c>
      <c r="D77">
        <v>1</v>
      </c>
      <c r="E77" t="s">
        <v>35</v>
      </c>
      <c r="F77" t="s">
        <v>89</v>
      </c>
      <c r="G77" s="23">
        <v>43782</v>
      </c>
      <c r="H77" t="s">
        <v>423</v>
      </c>
      <c r="I77" t="s">
        <v>424</v>
      </c>
      <c r="J77" t="s">
        <v>425</v>
      </c>
    </row>
    <row r="78" spans="1:10">
      <c r="A78" t="s">
        <v>426</v>
      </c>
      <c r="B78" t="s">
        <v>426</v>
      </c>
      <c r="C78" t="s">
        <v>427</v>
      </c>
      <c r="D78">
        <v>9</v>
      </c>
      <c r="E78" t="s">
        <v>35</v>
      </c>
      <c r="F78" t="s">
        <v>57</v>
      </c>
      <c r="G78" s="23">
        <v>45463</v>
      </c>
      <c r="H78" t="s">
        <v>428</v>
      </c>
      <c r="I78" t="s">
        <v>429</v>
      </c>
      <c r="J78" t="s">
        <v>430</v>
      </c>
    </row>
    <row r="79" spans="1:10">
      <c r="A79" t="s">
        <v>431</v>
      </c>
      <c r="B79" t="s">
        <v>431</v>
      </c>
      <c r="C79" t="s">
        <v>432</v>
      </c>
      <c r="D79">
        <v>7</v>
      </c>
      <c r="E79" t="s">
        <v>31</v>
      </c>
      <c r="F79" t="s">
        <v>63</v>
      </c>
      <c r="G79" s="23">
        <v>44034</v>
      </c>
      <c r="H79" t="s">
        <v>433</v>
      </c>
      <c r="I79" t="s">
        <v>434</v>
      </c>
      <c r="J79" t="s">
        <v>435</v>
      </c>
    </row>
    <row r="80" spans="1:10">
      <c r="A80" t="s">
        <v>436</v>
      </c>
      <c r="B80" t="s">
        <v>436</v>
      </c>
      <c r="C80" t="s">
        <v>437</v>
      </c>
      <c r="D80">
        <v>26</v>
      </c>
      <c r="E80" t="s">
        <v>33</v>
      </c>
      <c r="F80" t="s">
        <v>63</v>
      </c>
      <c r="G80" s="23">
        <v>46035</v>
      </c>
      <c r="H80" t="s">
        <v>438</v>
      </c>
      <c r="I80" t="s">
        <v>439</v>
      </c>
      <c r="J80" t="s">
        <v>440</v>
      </c>
    </row>
    <row r="81" spans="1:10">
      <c r="A81" t="s">
        <v>441</v>
      </c>
      <c r="B81" t="s">
        <v>441</v>
      </c>
      <c r="C81" t="s">
        <v>442</v>
      </c>
      <c r="D81">
        <v>1</v>
      </c>
      <c r="E81" t="s">
        <v>29</v>
      </c>
      <c r="F81" t="s">
        <v>63</v>
      </c>
      <c r="G81" s="23">
        <v>45532</v>
      </c>
      <c r="H81" t="s">
        <v>443</v>
      </c>
      <c r="I81" t="s">
        <v>444</v>
      </c>
      <c r="J81" t="s">
        <v>445</v>
      </c>
    </row>
    <row r="82" spans="1:10">
      <c r="A82" t="s">
        <v>446</v>
      </c>
      <c r="B82" t="s">
        <v>446</v>
      </c>
      <c r="C82" t="s">
        <v>447</v>
      </c>
      <c r="D82">
        <v>7</v>
      </c>
      <c r="E82" t="s">
        <v>34</v>
      </c>
      <c r="F82" t="s">
        <v>57</v>
      </c>
      <c r="G82" s="23">
        <v>44881</v>
      </c>
      <c r="H82" t="s">
        <v>448</v>
      </c>
      <c r="I82" t="s">
        <v>449</v>
      </c>
      <c r="J82" t="s">
        <v>450</v>
      </c>
    </row>
    <row r="83" spans="1:10">
      <c r="A83" t="s">
        <v>451</v>
      </c>
      <c r="B83" t="s">
        <v>451</v>
      </c>
      <c r="C83" t="s">
        <v>452</v>
      </c>
      <c r="D83">
        <v>6</v>
      </c>
      <c r="E83" t="s">
        <v>31</v>
      </c>
      <c r="F83" t="s">
        <v>57</v>
      </c>
      <c r="G83" s="23">
        <v>44932</v>
      </c>
      <c r="H83" t="s">
        <v>453</v>
      </c>
      <c r="I83" t="s">
        <v>454</v>
      </c>
      <c r="J83" t="s">
        <v>455</v>
      </c>
    </row>
    <row r="84" spans="1:10">
      <c r="A84" t="s">
        <v>456</v>
      </c>
      <c r="B84" t="s">
        <v>456</v>
      </c>
      <c r="C84" t="s">
        <v>452</v>
      </c>
      <c r="D84">
        <v>6</v>
      </c>
      <c r="E84" t="s">
        <v>31</v>
      </c>
      <c r="F84" t="s">
        <v>57</v>
      </c>
      <c r="G84" s="23">
        <v>45509</v>
      </c>
      <c r="H84" t="s">
        <v>457</v>
      </c>
      <c r="I84" t="s">
        <v>458</v>
      </c>
      <c r="J84" t="s">
        <v>459</v>
      </c>
    </row>
    <row r="85" spans="1:10">
      <c r="A85" t="s">
        <v>460</v>
      </c>
      <c r="B85" t="s">
        <v>460</v>
      </c>
      <c r="C85" t="s">
        <v>461</v>
      </c>
      <c r="D85">
        <v>7</v>
      </c>
      <c r="E85" t="s">
        <v>29</v>
      </c>
      <c r="F85" t="s">
        <v>63</v>
      </c>
      <c r="G85" s="23">
        <v>42299</v>
      </c>
      <c r="H85" t="s">
        <v>462</v>
      </c>
      <c r="I85" t="s">
        <v>463</v>
      </c>
      <c r="J85" t="s">
        <v>464</v>
      </c>
    </row>
    <row r="86" spans="1:10">
      <c r="A86" t="s">
        <v>465</v>
      </c>
      <c r="B86" t="s">
        <v>465</v>
      </c>
      <c r="C86" t="s">
        <v>466</v>
      </c>
      <c r="D86">
        <v>6</v>
      </c>
      <c r="E86" t="s">
        <v>27</v>
      </c>
      <c r="F86" t="s">
        <v>63</v>
      </c>
      <c r="G86" s="23">
        <v>42220</v>
      </c>
      <c r="H86" t="s">
        <v>467</v>
      </c>
      <c r="I86" t="s">
        <v>468</v>
      </c>
      <c r="J86" t="s">
        <v>469</v>
      </c>
    </row>
    <row r="87" spans="1:10">
      <c r="A87" t="s">
        <v>470</v>
      </c>
      <c r="B87" t="s">
        <v>470</v>
      </c>
      <c r="C87" t="s">
        <v>471</v>
      </c>
      <c r="D87">
        <v>8</v>
      </c>
      <c r="E87" t="s">
        <v>33</v>
      </c>
      <c r="F87" t="s">
        <v>63</v>
      </c>
      <c r="G87" s="23">
        <v>42939</v>
      </c>
      <c r="H87" t="s">
        <v>472</v>
      </c>
      <c r="I87" t="s">
        <v>473</v>
      </c>
      <c r="J87" t="s">
        <v>474</v>
      </c>
    </row>
    <row r="88" spans="1:10">
      <c r="A88" t="s">
        <v>475</v>
      </c>
      <c r="B88" t="s">
        <v>475</v>
      </c>
      <c r="C88" t="s">
        <v>471</v>
      </c>
      <c r="D88">
        <v>8</v>
      </c>
      <c r="E88" t="s">
        <v>33</v>
      </c>
      <c r="F88" t="s">
        <v>63</v>
      </c>
      <c r="G88" s="23">
        <v>42738</v>
      </c>
      <c r="H88" t="s">
        <v>476</v>
      </c>
      <c r="I88" t="s">
        <v>477</v>
      </c>
      <c r="J88" t="s">
        <v>478</v>
      </c>
    </row>
    <row r="89" spans="1:10">
      <c r="A89" t="s">
        <v>479</v>
      </c>
      <c r="B89" t="s">
        <v>479</v>
      </c>
      <c r="C89" t="s">
        <v>480</v>
      </c>
      <c r="D89">
        <v>16</v>
      </c>
      <c r="E89" t="s">
        <v>33</v>
      </c>
      <c r="F89" t="s">
        <v>57</v>
      </c>
      <c r="G89" s="23">
        <v>45152</v>
      </c>
      <c r="H89" t="s">
        <v>481</v>
      </c>
      <c r="I89" t="s">
        <v>482</v>
      </c>
      <c r="J89" t="s">
        <v>483</v>
      </c>
    </row>
    <row r="90" spans="1:10">
      <c r="A90" t="s">
        <v>484</v>
      </c>
      <c r="B90" t="s">
        <v>484</v>
      </c>
      <c r="C90" t="s">
        <v>485</v>
      </c>
      <c r="D90">
        <v>8</v>
      </c>
      <c r="E90" t="s">
        <v>33</v>
      </c>
      <c r="F90" t="s">
        <v>57</v>
      </c>
      <c r="G90" s="23">
        <v>44445</v>
      </c>
      <c r="H90" t="s">
        <v>486</v>
      </c>
      <c r="I90" t="s">
        <v>487</v>
      </c>
      <c r="J90" t="s">
        <v>488</v>
      </c>
    </row>
    <row r="91" spans="1:10">
      <c r="A91" t="s">
        <v>489</v>
      </c>
      <c r="B91" t="s">
        <v>489</v>
      </c>
      <c r="C91" t="s">
        <v>408</v>
      </c>
      <c r="D91">
        <v>8</v>
      </c>
      <c r="E91" t="s">
        <v>31</v>
      </c>
      <c r="F91" t="s">
        <v>63</v>
      </c>
      <c r="G91" s="23">
        <v>41451</v>
      </c>
      <c r="H91" t="s">
        <v>490</v>
      </c>
      <c r="I91" t="s">
        <v>491</v>
      </c>
      <c r="J91" t="s">
        <v>492</v>
      </c>
    </row>
    <row r="92" spans="1:10">
      <c r="A92" t="s">
        <v>493</v>
      </c>
      <c r="B92" t="s">
        <v>493</v>
      </c>
      <c r="C92" t="s">
        <v>494</v>
      </c>
      <c r="D92">
        <v>7</v>
      </c>
      <c r="E92" t="s">
        <v>35</v>
      </c>
      <c r="F92" t="s">
        <v>115</v>
      </c>
      <c r="G92" s="23">
        <v>46133</v>
      </c>
      <c r="H92" t="s">
        <v>495</v>
      </c>
      <c r="I92" t="s">
        <v>496</v>
      </c>
      <c r="J92" t="s">
        <v>497</v>
      </c>
    </row>
    <row r="93" spans="1:10">
      <c r="A93" t="s">
        <v>498</v>
      </c>
      <c r="B93" t="s">
        <v>498</v>
      </c>
      <c r="C93" t="s">
        <v>499</v>
      </c>
      <c r="D93">
        <v>1</v>
      </c>
      <c r="E93" t="s">
        <v>29</v>
      </c>
      <c r="F93" t="s">
        <v>63</v>
      </c>
      <c r="G93" s="23">
        <v>41445</v>
      </c>
      <c r="H93" t="s">
        <v>500</v>
      </c>
      <c r="I93" t="s">
        <v>501</v>
      </c>
      <c r="J93" t="s">
        <v>502</v>
      </c>
    </row>
    <row r="94" spans="1:10">
      <c r="A94" t="s">
        <v>503</v>
      </c>
      <c r="B94" t="s">
        <v>503</v>
      </c>
      <c r="C94" t="s">
        <v>504</v>
      </c>
      <c r="D94">
        <v>107</v>
      </c>
      <c r="E94" t="s">
        <v>29</v>
      </c>
      <c r="F94" t="s">
        <v>63</v>
      </c>
      <c r="G94" s="23">
        <v>46073</v>
      </c>
      <c r="H94" t="s">
        <v>505</v>
      </c>
      <c r="I94" t="s">
        <v>506</v>
      </c>
      <c r="J94" t="s">
        <v>507</v>
      </c>
    </row>
    <row r="95" spans="1:10">
      <c r="A95" t="s">
        <v>508</v>
      </c>
      <c r="B95" t="s">
        <v>508</v>
      </c>
      <c r="C95" t="s">
        <v>509</v>
      </c>
      <c r="D95">
        <v>94</v>
      </c>
      <c r="E95" t="s">
        <v>34</v>
      </c>
      <c r="F95" t="s">
        <v>63</v>
      </c>
      <c r="G95" s="23">
        <v>43167</v>
      </c>
      <c r="H95" t="s">
        <v>510</v>
      </c>
      <c r="I95" t="s">
        <v>511</v>
      </c>
      <c r="J95" t="s">
        <v>512</v>
      </c>
    </row>
    <row r="96" spans="1:10">
      <c r="A96" t="s">
        <v>513</v>
      </c>
      <c r="B96" t="s">
        <v>513</v>
      </c>
      <c r="C96" t="s">
        <v>514</v>
      </c>
      <c r="D96">
        <v>7</v>
      </c>
      <c r="E96" t="s">
        <v>31</v>
      </c>
      <c r="F96" t="s">
        <v>63</v>
      </c>
      <c r="G96" s="23">
        <v>43670</v>
      </c>
      <c r="H96" t="s">
        <v>515</v>
      </c>
      <c r="I96" t="s">
        <v>516</v>
      </c>
      <c r="J96" t="s">
        <v>517</v>
      </c>
    </row>
    <row r="97" spans="1:10">
      <c r="A97" t="s">
        <v>518</v>
      </c>
      <c r="B97" t="s">
        <v>518</v>
      </c>
      <c r="C97" t="s">
        <v>208</v>
      </c>
      <c r="D97">
        <v>18</v>
      </c>
      <c r="E97" t="s">
        <v>34</v>
      </c>
      <c r="F97" t="s">
        <v>57</v>
      </c>
      <c r="G97" s="23">
        <v>45769</v>
      </c>
      <c r="H97" t="s">
        <v>519</v>
      </c>
      <c r="I97" t="s">
        <v>520</v>
      </c>
      <c r="J97" t="s">
        <v>521</v>
      </c>
    </row>
    <row r="98" spans="1:10">
      <c r="A98" t="s">
        <v>522</v>
      </c>
      <c r="B98" t="s">
        <v>522</v>
      </c>
      <c r="C98" t="s">
        <v>523</v>
      </c>
      <c r="D98">
        <v>11</v>
      </c>
      <c r="E98" t="s">
        <v>34</v>
      </c>
      <c r="F98" t="s">
        <v>57</v>
      </c>
      <c r="G98" s="23">
        <v>44950</v>
      </c>
      <c r="H98" t="s">
        <v>524</v>
      </c>
      <c r="I98" t="s">
        <v>525</v>
      </c>
      <c r="J98" t="s">
        <v>526</v>
      </c>
    </row>
    <row r="99" spans="1:10">
      <c r="A99" t="s">
        <v>527</v>
      </c>
      <c r="B99" t="s">
        <v>527</v>
      </c>
      <c r="C99" t="s">
        <v>528</v>
      </c>
      <c r="D99">
        <v>69</v>
      </c>
      <c r="E99" t="s">
        <v>33</v>
      </c>
      <c r="F99" t="s">
        <v>63</v>
      </c>
      <c r="G99" s="23">
        <v>45802</v>
      </c>
      <c r="H99" t="s">
        <v>529</v>
      </c>
      <c r="I99" t="s">
        <v>530</v>
      </c>
      <c r="J99" t="s">
        <v>531</v>
      </c>
    </row>
    <row r="100" spans="1:10">
      <c r="A100" t="s">
        <v>532</v>
      </c>
      <c r="B100" t="s">
        <v>532</v>
      </c>
      <c r="C100" t="s">
        <v>533</v>
      </c>
      <c r="D100">
        <v>1</v>
      </c>
      <c r="E100" t="s">
        <v>31</v>
      </c>
      <c r="F100" t="s">
        <v>63</v>
      </c>
      <c r="G100" s="23">
        <v>42345</v>
      </c>
      <c r="H100" t="s">
        <v>534</v>
      </c>
      <c r="I100" t="s">
        <v>535</v>
      </c>
      <c r="J100" t="s">
        <v>536</v>
      </c>
    </row>
    <row r="101" spans="1:10">
      <c r="A101" t="s">
        <v>537</v>
      </c>
      <c r="B101" t="s">
        <v>537</v>
      </c>
      <c r="C101" t="s">
        <v>538</v>
      </c>
      <c r="D101">
        <v>120</v>
      </c>
      <c r="E101" t="s">
        <v>36</v>
      </c>
      <c r="F101" t="s">
        <v>63</v>
      </c>
      <c r="G101" s="23">
        <v>42876</v>
      </c>
      <c r="H101" t="s">
        <v>539</v>
      </c>
      <c r="I101" t="s">
        <v>540</v>
      </c>
      <c r="J101" t="s">
        <v>541</v>
      </c>
    </row>
    <row r="102" spans="1:10">
      <c r="A102" t="s">
        <v>542</v>
      </c>
      <c r="B102" t="s">
        <v>542</v>
      </c>
      <c r="C102" t="s">
        <v>302</v>
      </c>
      <c r="D102">
        <v>0</v>
      </c>
      <c r="E102" t="s">
        <v>35</v>
      </c>
      <c r="F102" t="s">
        <v>57</v>
      </c>
      <c r="G102" s="23">
        <v>44609</v>
      </c>
      <c r="H102" t="s">
        <v>543</v>
      </c>
      <c r="I102" t="s">
        <v>544</v>
      </c>
      <c r="J102" t="s">
        <v>545</v>
      </c>
    </row>
    <row r="103" spans="1:10">
      <c r="A103" t="s">
        <v>546</v>
      </c>
      <c r="B103" t="s">
        <v>546</v>
      </c>
      <c r="C103" t="s">
        <v>547</v>
      </c>
      <c r="D103">
        <v>4</v>
      </c>
      <c r="E103" t="s">
        <v>31</v>
      </c>
      <c r="F103" t="s">
        <v>63</v>
      </c>
      <c r="G103" s="23">
        <v>43292</v>
      </c>
      <c r="H103" t="s">
        <v>548</v>
      </c>
      <c r="I103" t="s">
        <v>549</v>
      </c>
      <c r="J103" t="s">
        <v>550</v>
      </c>
    </row>
    <row r="104" spans="1:10">
      <c r="A104" t="s">
        <v>551</v>
      </c>
      <c r="B104" t="s">
        <v>551</v>
      </c>
      <c r="C104" t="s">
        <v>552</v>
      </c>
      <c r="D104">
        <v>1</v>
      </c>
      <c r="E104" t="s">
        <v>31</v>
      </c>
      <c r="F104" t="s">
        <v>63</v>
      </c>
      <c r="G104" s="23">
        <v>45732</v>
      </c>
      <c r="H104" t="s">
        <v>553</v>
      </c>
      <c r="I104" t="s">
        <v>554</v>
      </c>
      <c r="J104" t="s">
        <v>555</v>
      </c>
    </row>
    <row r="105" spans="1:10">
      <c r="A105" t="s">
        <v>556</v>
      </c>
      <c r="B105" t="s">
        <v>556</v>
      </c>
      <c r="C105" t="s">
        <v>552</v>
      </c>
      <c r="D105">
        <v>16</v>
      </c>
      <c r="E105" t="s">
        <v>29</v>
      </c>
      <c r="F105" t="s">
        <v>63</v>
      </c>
      <c r="G105" s="23">
        <v>42306</v>
      </c>
      <c r="H105" t="s">
        <v>557</v>
      </c>
      <c r="I105" t="s">
        <v>558</v>
      </c>
      <c r="J105" t="s">
        <v>559</v>
      </c>
    </row>
    <row r="106" spans="1:10">
      <c r="A106" t="s">
        <v>560</v>
      </c>
      <c r="B106" t="s">
        <v>560</v>
      </c>
      <c r="C106" t="s">
        <v>561</v>
      </c>
      <c r="D106">
        <v>14</v>
      </c>
      <c r="E106" t="s">
        <v>33</v>
      </c>
      <c r="F106" t="s">
        <v>57</v>
      </c>
      <c r="G106" s="23">
        <v>44950</v>
      </c>
      <c r="H106" t="s">
        <v>562</v>
      </c>
      <c r="I106" t="s">
        <v>563</v>
      </c>
      <c r="J106" t="s">
        <v>564</v>
      </c>
    </row>
    <row r="107" spans="1:10">
      <c r="A107" t="s">
        <v>565</v>
      </c>
      <c r="B107" t="s">
        <v>565</v>
      </c>
      <c r="C107" t="s">
        <v>494</v>
      </c>
      <c r="D107">
        <v>0</v>
      </c>
      <c r="E107" t="s">
        <v>36</v>
      </c>
      <c r="F107" t="s">
        <v>57</v>
      </c>
      <c r="G107" s="23">
        <v>46089</v>
      </c>
      <c r="H107" t="s">
        <v>566</v>
      </c>
      <c r="I107" t="s">
        <v>567</v>
      </c>
      <c r="J107" t="s">
        <v>568</v>
      </c>
    </row>
    <row r="108" spans="1:10">
      <c r="A108" t="s">
        <v>569</v>
      </c>
      <c r="B108" t="s">
        <v>569</v>
      </c>
      <c r="C108" t="s">
        <v>570</v>
      </c>
      <c r="D108">
        <v>3</v>
      </c>
      <c r="E108" t="s">
        <v>34</v>
      </c>
      <c r="F108" t="s">
        <v>571</v>
      </c>
      <c r="G108" s="23">
        <v>43450</v>
      </c>
      <c r="H108" t="s">
        <v>572</v>
      </c>
      <c r="I108" t="s">
        <v>573</v>
      </c>
      <c r="J108" t="s">
        <v>574</v>
      </c>
    </row>
    <row r="109" spans="1:10">
      <c r="A109" t="s">
        <v>575</v>
      </c>
      <c r="B109" t="s">
        <v>575</v>
      </c>
      <c r="C109" t="s">
        <v>576</v>
      </c>
      <c r="D109">
        <v>10</v>
      </c>
      <c r="E109" t="s">
        <v>33</v>
      </c>
      <c r="F109" t="s">
        <v>57</v>
      </c>
      <c r="G109" s="23">
        <v>44854</v>
      </c>
      <c r="H109" t="s">
        <v>577</v>
      </c>
      <c r="I109" t="s">
        <v>578</v>
      </c>
      <c r="J109" t="s">
        <v>579</v>
      </c>
    </row>
    <row r="110" spans="1:10">
      <c r="A110" t="s">
        <v>580</v>
      </c>
      <c r="B110" t="s">
        <v>580</v>
      </c>
      <c r="C110" t="s">
        <v>576</v>
      </c>
      <c r="D110">
        <v>20</v>
      </c>
      <c r="E110" t="s">
        <v>34</v>
      </c>
      <c r="F110" t="s">
        <v>57</v>
      </c>
      <c r="G110" s="23">
        <v>46055</v>
      </c>
      <c r="H110" t="s">
        <v>581</v>
      </c>
      <c r="I110" t="s">
        <v>582</v>
      </c>
      <c r="J110" t="s">
        <v>583</v>
      </c>
    </row>
    <row r="111" spans="1:10">
      <c r="A111" t="s">
        <v>584</v>
      </c>
      <c r="B111" t="s">
        <v>584</v>
      </c>
      <c r="C111" t="s">
        <v>585</v>
      </c>
      <c r="D111">
        <v>10</v>
      </c>
      <c r="E111" t="s">
        <v>33</v>
      </c>
      <c r="F111" t="s">
        <v>57</v>
      </c>
      <c r="G111" s="23">
        <v>44745</v>
      </c>
      <c r="H111" t="s">
        <v>586</v>
      </c>
      <c r="I111" t="s">
        <v>587</v>
      </c>
      <c r="J111" t="s">
        <v>588</v>
      </c>
    </row>
    <row r="112" spans="1:10">
      <c r="A112" t="s">
        <v>589</v>
      </c>
      <c r="B112" t="s">
        <v>589</v>
      </c>
      <c r="C112" t="s">
        <v>590</v>
      </c>
      <c r="D112">
        <v>15</v>
      </c>
      <c r="E112" t="s">
        <v>35</v>
      </c>
      <c r="F112" t="s">
        <v>57</v>
      </c>
      <c r="G112" s="23">
        <v>44846</v>
      </c>
      <c r="H112" t="s">
        <v>591</v>
      </c>
      <c r="I112" t="s">
        <v>592</v>
      </c>
      <c r="J112" t="s">
        <v>593</v>
      </c>
    </row>
    <row r="113" spans="1:10">
      <c r="A113" t="s">
        <v>594</v>
      </c>
      <c r="B113" t="s">
        <v>594</v>
      </c>
      <c r="C113" t="s">
        <v>590</v>
      </c>
      <c r="D113">
        <v>14</v>
      </c>
      <c r="E113" t="s">
        <v>35</v>
      </c>
      <c r="F113" t="s">
        <v>57</v>
      </c>
      <c r="G113" s="23">
        <v>44624</v>
      </c>
      <c r="H113" t="s">
        <v>595</v>
      </c>
      <c r="I113" t="s">
        <v>596</v>
      </c>
      <c r="J113" t="s">
        <v>597</v>
      </c>
    </row>
    <row r="114" spans="1:10">
      <c r="A114" t="s">
        <v>598</v>
      </c>
      <c r="B114" t="s">
        <v>598</v>
      </c>
      <c r="C114" t="s">
        <v>590</v>
      </c>
      <c r="D114">
        <v>13</v>
      </c>
      <c r="E114" t="s">
        <v>35</v>
      </c>
      <c r="F114" t="s">
        <v>57</v>
      </c>
      <c r="G114" s="23">
        <v>44985</v>
      </c>
      <c r="H114" t="s">
        <v>599</v>
      </c>
      <c r="I114" t="s">
        <v>600</v>
      </c>
      <c r="J114" t="s">
        <v>601</v>
      </c>
    </row>
    <row r="115" spans="1:10">
      <c r="A115" t="s">
        <v>602</v>
      </c>
      <c r="B115" t="s">
        <v>602</v>
      </c>
      <c r="C115" t="s">
        <v>603</v>
      </c>
      <c r="D115">
        <v>73</v>
      </c>
      <c r="E115" t="s">
        <v>31</v>
      </c>
      <c r="F115" t="s">
        <v>63</v>
      </c>
      <c r="G115" s="23">
        <v>46092</v>
      </c>
      <c r="H115" t="s">
        <v>604</v>
      </c>
      <c r="I115" t="s">
        <v>605</v>
      </c>
      <c r="J115" t="s">
        <v>606</v>
      </c>
    </row>
    <row r="116" spans="1:10">
      <c r="A116" t="s">
        <v>607</v>
      </c>
      <c r="B116" t="s">
        <v>607</v>
      </c>
      <c r="C116" t="s">
        <v>608</v>
      </c>
      <c r="D116">
        <v>44</v>
      </c>
      <c r="E116" t="s">
        <v>33</v>
      </c>
      <c r="F116" t="s">
        <v>57</v>
      </c>
      <c r="G116" s="23">
        <v>43760</v>
      </c>
      <c r="H116" t="s">
        <v>609</v>
      </c>
      <c r="I116" t="s">
        <v>610</v>
      </c>
      <c r="J116" t="s">
        <v>611</v>
      </c>
    </row>
    <row r="117" spans="1:10">
      <c r="A117" t="s">
        <v>612</v>
      </c>
      <c r="B117" t="s">
        <v>612</v>
      </c>
      <c r="C117" t="s">
        <v>613</v>
      </c>
      <c r="D117">
        <v>8</v>
      </c>
      <c r="E117" t="s">
        <v>29</v>
      </c>
      <c r="F117" t="s">
        <v>63</v>
      </c>
      <c r="G117" s="23">
        <v>41815</v>
      </c>
      <c r="H117" t="s">
        <v>614</v>
      </c>
      <c r="I117" t="s">
        <v>615</v>
      </c>
      <c r="J117" t="s">
        <v>616</v>
      </c>
    </row>
    <row r="118" spans="1:10">
      <c r="A118" t="s">
        <v>617</v>
      </c>
      <c r="B118" t="s">
        <v>617</v>
      </c>
      <c r="C118" t="s">
        <v>613</v>
      </c>
      <c r="D118">
        <v>7</v>
      </c>
      <c r="E118" t="s">
        <v>29</v>
      </c>
      <c r="F118" t="s">
        <v>63</v>
      </c>
      <c r="G118" s="23">
        <v>41513</v>
      </c>
      <c r="H118" t="s">
        <v>618</v>
      </c>
      <c r="I118" t="s">
        <v>619</v>
      </c>
      <c r="J118" t="s">
        <v>620</v>
      </c>
    </row>
    <row r="119" spans="1:10">
      <c r="A119" t="s">
        <v>621</v>
      </c>
      <c r="B119" t="s">
        <v>621</v>
      </c>
      <c r="C119" t="s">
        <v>622</v>
      </c>
      <c r="D119">
        <v>3</v>
      </c>
      <c r="E119" t="s">
        <v>27</v>
      </c>
      <c r="F119" t="s">
        <v>63</v>
      </c>
      <c r="G119" s="23">
        <v>42044</v>
      </c>
      <c r="H119" t="s">
        <v>623</v>
      </c>
      <c r="I119" t="s">
        <v>624</v>
      </c>
      <c r="J119" t="s">
        <v>625</v>
      </c>
    </row>
    <row r="120" spans="1:10">
      <c r="A120" t="s">
        <v>626</v>
      </c>
      <c r="B120" t="s">
        <v>626</v>
      </c>
      <c r="C120" t="s">
        <v>627</v>
      </c>
      <c r="D120">
        <v>3</v>
      </c>
      <c r="E120" t="s">
        <v>33</v>
      </c>
      <c r="F120" t="s">
        <v>115</v>
      </c>
      <c r="G120" s="23">
        <v>44774</v>
      </c>
      <c r="H120" t="s">
        <v>628</v>
      </c>
      <c r="I120" t="s">
        <v>629</v>
      </c>
      <c r="J120" t="s">
        <v>630</v>
      </c>
    </row>
    <row r="121" spans="1:10">
      <c r="A121" t="s">
        <v>631</v>
      </c>
      <c r="B121" t="s">
        <v>631</v>
      </c>
      <c r="C121" t="s">
        <v>627</v>
      </c>
      <c r="D121">
        <v>10</v>
      </c>
      <c r="E121" t="s">
        <v>33</v>
      </c>
      <c r="F121" t="s">
        <v>63</v>
      </c>
      <c r="G121" s="23">
        <v>46167</v>
      </c>
      <c r="H121" t="s">
        <v>632</v>
      </c>
      <c r="I121" t="s">
        <v>633</v>
      </c>
      <c r="J121" t="s">
        <v>634</v>
      </c>
    </row>
    <row r="122" spans="1:10">
      <c r="A122" t="s">
        <v>635</v>
      </c>
      <c r="B122" t="s">
        <v>635</v>
      </c>
      <c r="C122" t="s">
        <v>636</v>
      </c>
      <c r="D122">
        <v>20</v>
      </c>
      <c r="E122" t="s">
        <v>29</v>
      </c>
      <c r="F122" t="s">
        <v>63</v>
      </c>
      <c r="G122" s="23">
        <v>41570</v>
      </c>
      <c r="H122" t="s">
        <v>637</v>
      </c>
      <c r="I122" t="s">
        <v>638</v>
      </c>
      <c r="J122" t="s">
        <v>639</v>
      </c>
    </row>
    <row r="123" spans="1:10">
      <c r="A123" t="s">
        <v>640</v>
      </c>
      <c r="B123" t="s">
        <v>640</v>
      </c>
      <c r="C123" t="s">
        <v>641</v>
      </c>
      <c r="D123">
        <v>1</v>
      </c>
      <c r="E123" t="s">
        <v>36</v>
      </c>
      <c r="F123" t="s">
        <v>57</v>
      </c>
      <c r="G123" s="23">
        <v>44874</v>
      </c>
      <c r="H123" t="s">
        <v>642</v>
      </c>
      <c r="I123" t="s">
        <v>643</v>
      </c>
      <c r="J123" t="s">
        <v>644</v>
      </c>
    </row>
    <row r="124" spans="1:10">
      <c r="A124" t="s">
        <v>645</v>
      </c>
      <c r="B124" t="s">
        <v>645</v>
      </c>
      <c r="C124" t="s">
        <v>646</v>
      </c>
      <c r="D124">
        <v>22</v>
      </c>
      <c r="E124" t="s">
        <v>34</v>
      </c>
      <c r="F124" t="s">
        <v>57</v>
      </c>
      <c r="G124" s="23">
        <v>45151</v>
      </c>
      <c r="H124" t="s">
        <v>647</v>
      </c>
      <c r="I124" t="s">
        <v>648</v>
      </c>
      <c r="J124" t="s">
        <v>649</v>
      </c>
    </row>
    <row r="125" spans="1:10">
      <c r="A125" t="s">
        <v>650</v>
      </c>
      <c r="B125" t="s">
        <v>650</v>
      </c>
      <c r="C125" t="s">
        <v>651</v>
      </c>
      <c r="D125">
        <v>6</v>
      </c>
      <c r="E125" t="s">
        <v>31</v>
      </c>
      <c r="F125" t="s">
        <v>63</v>
      </c>
      <c r="G125" s="23">
        <v>42258</v>
      </c>
      <c r="H125" t="s">
        <v>652</v>
      </c>
      <c r="I125" t="s">
        <v>653</v>
      </c>
      <c r="J125" t="s">
        <v>654</v>
      </c>
    </row>
    <row r="126" spans="1:10">
      <c r="A126" t="s">
        <v>655</v>
      </c>
      <c r="B126" t="s">
        <v>655</v>
      </c>
      <c r="C126" t="s">
        <v>656</v>
      </c>
      <c r="D126">
        <v>29</v>
      </c>
      <c r="E126" t="s">
        <v>34</v>
      </c>
      <c r="F126" t="s">
        <v>57</v>
      </c>
      <c r="G126" s="23">
        <v>44342</v>
      </c>
      <c r="H126" t="s">
        <v>657</v>
      </c>
      <c r="I126" t="s">
        <v>658</v>
      </c>
      <c r="J126" t="s">
        <v>659</v>
      </c>
    </row>
    <row r="127" spans="1:10">
      <c r="A127" t="s">
        <v>660</v>
      </c>
      <c r="B127" t="s">
        <v>660</v>
      </c>
      <c r="C127" t="s">
        <v>656</v>
      </c>
      <c r="D127">
        <v>28</v>
      </c>
      <c r="E127" t="s">
        <v>33</v>
      </c>
      <c r="F127" t="s">
        <v>57</v>
      </c>
      <c r="G127" s="23">
        <v>43442</v>
      </c>
      <c r="H127" t="s">
        <v>661</v>
      </c>
      <c r="I127" t="s">
        <v>662</v>
      </c>
      <c r="J127" t="s">
        <v>663</v>
      </c>
    </row>
    <row r="128" spans="1:10">
      <c r="A128" t="s">
        <v>664</v>
      </c>
      <c r="B128" t="s">
        <v>664</v>
      </c>
      <c r="C128" t="s">
        <v>665</v>
      </c>
      <c r="D128">
        <v>10</v>
      </c>
      <c r="E128" t="s">
        <v>34</v>
      </c>
      <c r="F128" t="s">
        <v>57</v>
      </c>
      <c r="G128" s="23">
        <v>44958</v>
      </c>
      <c r="H128" t="s">
        <v>666</v>
      </c>
      <c r="I128" t="s">
        <v>667</v>
      </c>
      <c r="J128" t="s">
        <v>668</v>
      </c>
    </row>
    <row r="129" spans="1:10">
      <c r="A129" t="s">
        <v>669</v>
      </c>
      <c r="B129" t="s">
        <v>669</v>
      </c>
      <c r="C129" t="s">
        <v>670</v>
      </c>
      <c r="D129">
        <v>32</v>
      </c>
      <c r="E129" t="s">
        <v>36</v>
      </c>
      <c r="F129" t="s">
        <v>57</v>
      </c>
      <c r="G129" s="23">
        <v>45680</v>
      </c>
      <c r="H129" t="s">
        <v>671</v>
      </c>
      <c r="I129" t="s">
        <v>672</v>
      </c>
      <c r="J129" t="s">
        <v>673</v>
      </c>
    </row>
    <row r="130" spans="1:10">
      <c r="A130" t="s">
        <v>674</v>
      </c>
      <c r="B130" t="s">
        <v>674</v>
      </c>
      <c r="C130" t="s">
        <v>675</v>
      </c>
      <c r="D130">
        <v>38</v>
      </c>
      <c r="E130" t="s">
        <v>29</v>
      </c>
      <c r="F130" t="s">
        <v>63</v>
      </c>
      <c r="G130" s="23">
        <v>42561</v>
      </c>
      <c r="H130" t="s">
        <v>676</v>
      </c>
      <c r="I130" t="s">
        <v>677</v>
      </c>
      <c r="J130" t="s">
        <v>678</v>
      </c>
    </row>
    <row r="131" spans="1:10">
      <c r="A131" t="s">
        <v>679</v>
      </c>
      <c r="B131" t="s">
        <v>679</v>
      </c>
      <c r="C131" t="s">
        <v>680</v>
      </c>
      <c r="D131">
        <v>4</v>
      </c>
      <c r="E131" t="s">
        <v>29</v>
      </c>
      <c r="F131" t="s">
        <v>63</v>
      </c>
      <c r="G131" s="23">
        <v>42046</v>
      </c>
      <c r="H131" t="s">
        <v>681</v>
      </c>
      <c r="I131" t="s">
        <v>682</v>
      </c>
      <c r="J131" t="s">
        <v>683</v>
      </c>
    </row>
    <row r="132" spans="1:10">
      <c r="A132" t="s">
        <v>684</v>
      </c>
      <c r="B132" t="s">
        <v>684</v>
      </c>
      <c r="C132" t="s">
        <v>685</v>
      </c>
      <c r="D132">
        <v>10</v>
      </c>
      <c r="E132" t="s">
        <v>31</v>
      </c>
      <c r="F132" t="s">
        <v>63</v>
      </c>
      <c r="G132" s="23">
        <v>45706</v>
      </c>
      <c r="H132" t="s">
        <v>686</v>
      </c>
      <c r="I132" t="s">
        <v>687</v>
      </c>
      <c r="J132" t="s">
        <v>688</v>
      </c>
    </row>
    <row r="133" spans="1:10">
      <c r="A133" t="s">
        <v>689</v>
      </c>
      <c r="B133" t="s">
        <v>689</v>
      </c>
      <c r="C133" t="s">
        <v>452</v>
      </c>
      <c r="D133">
        <v>0</v>
      </c>
      <c r="E133" t="s">
        <v>31</v>
      </c>
      <c r="F133" t="s">
        <v>57</v>
      </c>
      <c r="G133" s="23">
        <v>44475</v>
      </c>
      <c r="H133" t="s">
        <v>690</v>
      </c>
      <c r="I133" t="s">
        <v>691</v>
      </c>
      <c r="J133" t="s">
        <v>692</v>
      </c>
    </row>
    <row r="134" spans="1:10">
      <c r="A134" t="s">
        <v>693</v>
      </c>
      <c r="B134" t="s">
        <v>693</v>
      </c>
      <c r="C134" t="s">
        <v>694</v>
      </c>
      <c r="D134">
        <v>9</v>
      </c>
      <c r="E134" t="s">
        <v>29</v>
      </c>
      <c r="F134" t="s">
        <v>63</v>
      </c>
      <c r="G134" s="23">
        <v>42716</v>
      </c>
      <c r="H134" t="s">
        <v>695</v>
      </c>
      <c r="I134" t="s">
        <v>696</v>
      </c>
      <c r="J134" t="s">
        <v>697</v>
      </c>
    </row>
    <row r="135" spans="1:10">
      <c r="A135" t="s">
        <v>698</v>
      </c>
      <c r="B135" t="s">
        <v>698</v>
      </c>
      <c r="C135" t="s">
        <v>699</v>
      </c>
      <c r="D135">
        <v>1</v>
      </c>
      <c r="E135" t="s">
        <v>35</v>
      </c>
      <c r="F135" t="s">
        <v>57</v>
      </c>
      <c r="G135" s="23">
        <v>45091</v>
      </c>
      <c r="H135" t="s">
        <v>700</v>
      </c>
      <c r="I135" t="s">
        <v>701</v>
      </c>
      <c r="J135" t="s">
        <v>702</v>
      </c>
    </row>
    <row r="136" spans="1:10">
      <c r="A136" t="s">
        <v>703</v>
      </c>
      <c r="B136" t="s">
        <v>703</v>
      </c>
      <c r="C136" t="s">
        <v>704</v>
      </c>
      <c r="D136">
        <v>0</v>
      </c>
      <c r="E136" t="s">
        <v>27</v>
      </c>
      <c r="F136" t="s">
        <v>63</v>
      </c>
      <c r="G136" s="23">
        <v>44859</v>
      </c>
      <c r="H136" t="s">
        <v>705</v>
      </c>
      <c r="I136" t="s">
        <v>706</v>
      </c>
      <c r="J136" t="s">
        <v>707</v>
      </c>
    </row>
    <row r="137" spans="1:10">
      <c r="A137" t="s">
        <v>708</v>
      </c>
      <c r="B137" t="s">
        <v>708</v>
      </c>
      <c r="C137" t="s">
        <v>704</v>
      </c>
      <c r="D137">
        <v>5</v>
      </c>
      <c r="E137" t="s">
        <v>29</v>
      </c>
      <c r="F137" t="s">
        <v>63</v>
      </c>
      <c r="G137" s="23">
        <v>44407</v>
      </c>
      <c r="H137" t="s">
        <v>709</v>
      </c>
      <c r="I137" t="s">
        <v>710</v>
      </c>
      <c r="J137" t="s">
        <v>711</v>
      </c>
    </row>
    <row r="138" spans="1:10">
      <c r="A138" t="s">
        <v>712</v>
      </c>
      <c r="B138" t="s">
        <v>712</v>
      </c>
      <c r="C138" t="s">
        <v>713</v>
      </c>
      <c r="D138">
        <v>10</v>
      </c>
      <c r="E138" t="s">
        <v>33</v>
      </c>
      <c r="F138" t="s">
        <v>57</v>
      </c>
      <c r="G138" s="23">
        <v>43908</v>
      </c>
      <c r="H138" t="s">
        <v>714</v>
      </c>
      <c r="I138" t="s">
        <v>715</v>
      </c>
      <c r="J138" t="s">
        <v>716</v>
      </c>
    </row>
    <row r="139" spans="1:10">
      <c r="A139" t="s">
        <v>717</v>
      </c>
      <c r="B139" t="s">
        <v>717</v>
      </c>
      <c r="C139" t="s">
        <v>718</v>
      </c>
      <c r="D139">
        <v>8</v>
      </c>
      <c r="E139" t="s">
        <v>33</v>
      </c>
      <c r="F139" t="s">
        <v>57</v>
      </c>
      <c r="G139" s="23">
        <v>45634</v>
      </c>
      <c r="H139" t="s">
        <v>719</v>
      </c>
      <c r="I139" t="s">
        <v>720</v>
      </c>
      <c r="J139" t="s">
        <v>721</v>
      </c>
    </row>
    <row r="140" spans="1:10">
      <c r="A140" t="s">
        <v>722</v>
      </c>
      <c r="B140" t="s">
        <v>722</v>
      </c>
      <c r="C140" t="s">
        <v>723</v>
      </c>
      <c r="D140">
        <v>11</v>
      </c>
      <c r="E140" t="s">
        <v>33</v>
      </c>
      <c r="F140" t="s">
        <v>57</v>
      </c>
      <c r="G140" s="23">
        <v>44736</v>
      </c>
      <c r="H140" t="s">
        <v>724</v>
      </c>
      <c r="I140" t="s">
        <v>725</v>
      </c>
      <c r="J140" t="s">
        <v>726</v>
      </c>
    </row>
    <row r="141" spans="1:10">
      <c r="A141" t="s">
        <v>727</v>
      </c>
      <c r="B141" t="s">
        <v>727</v>
      </c>
      <c r="C141" t="s">
        <v>728</v>
      </c>
      <c r="D141">
        <v>7</v>
      </c>
      <c r="E141" t="s">
        <v>29</v>
      </c>
      <c r="F141" t="s">
        <v>63</v>
      </c>
      <c r="G141" s="23">
        <v>44297</v>
      </c>
      <c r="H141" t="s">
        <v>729</v>
      </c>
      <c r="I141" t="s">
        <v>730</v>
      </c>
      <c r="J141" t="s">
        <v>731</v>
      </c>
    </row>
    <row r="142" spans="1:10">
      <c r="A142" t="s">
        <v>732</v>
      </c>
      <c r="B142" t="s">
        <v>732</v>
      </c>
      <c r="C142" t="s">
        <v>733</v>
      </c>
      <c r="D142">
        <v>117</v>
      </c>
      <c r="E142" t="s">
        <v>33</v>
      </c>
      <c r="F142" t="s">
        <v>63</v>
      </c>
      <c r="G142" s="23">
        <v>41639</v>
      </c>
      <c r="H142" t="s">
        <v>734</v>
      </c>
      <c r="I142" t="s">
        <v>735</v>
      </c>
      <c r="J142" t="s">
        <v>736</v>
      </c>
    </row>
    <row r="143" spans="1:10">
      <c r="A143" t="s">
        <v>737</v>
      </c>
      <c r="B143" t="s">
        <v>737</v>
      </c>
      <c r="C143" t="s">
        <v>738</v>
      </c>
      <c r="D143">
        <v>14</v>
      </c>
      <c r="E143" t="s">
        <v>29</v>
      </c>
      <c r="F143" t="s">
        <v>63</v>
      </c>
      <c r="G143" s="23">
        <v>42303</v>
      </c>
      <c r="H143" t="s">
        <v>739</v>
      </c>
      <c r="I143" t="s">
        <v>740</v>
      </c>
      <c r="J143" t="s">
        <v>741</v>
      </c>
    </row>
    <row r="144" spans="1:10">
      <c r="A144" t="s">
        <v>742</v>
      </c>
      <c r="B144" t="s">
        <v>742</v>
      </c>
      <c r="C144" t="s">
        <v>743</v>
      </c>
      <c r="D144">
        <v>7</v>
      </c>
      <c r="E144" t="s">
        <v>33</v>
      </c>
      <c r="F144" t="s">
        <v>57</v>
      </c>
      <c r="G144" s="23">
        <v>44405</v>
      </c>
      <c r="H144" t="s">
        <v>744</v>
      </c>
      <c r="I144" t="s">
        <v>745</v>
      </c>
      <c r="J144" t="s">
        <v>746</v>
      </c>
    </row>
    <row r="145" spans="1:10">
      <c r="A145" t="s">
        <v>747</v>
      </c>
      <c r="B145" t="s">
        <v>747</v>
      </c>
      <c r="C145" t="s">
        <v>748</v>
      </c>
      <c r="D145">
        <v>19</v>
      </c>
      <c r="E145" t="s">
        <v>31</v>
      </c>
      <c r="F145" t="s">
        <v>63</v>
      </c>
      <c r="G145" s="23">
        <v>42284</v>
      </c>
      <c r="H145" t="s">
        <v>749</v>
      </c>
      <c r="I145" t="s">
        <v>750</v>
      </c>
      <c r="J145" t="s">
        <v>751</v>
      </c>
    </row>
    <row r="146" spans="1:10">
      <c r="A146" t="s">
        <v>752</v>
      </c>
      <c r="B146" t="s">
        <v>752</v>
      </c>
      <c r="C146" t="s">
        <v>753</v>
      </c>
      <c r="D146">
        <v>8</v>
      </c>
      <c r="E146" t="s">
        <v>31</v>
      </c>
      <c r="F146" t="s">
        <v>63</v>
      </c>
      <c r="G146" s="23">
        <v>42207</v>
      </c>
      <c r="H146" t="s">
        <v>754</v>
      </c>
      <c r="I146" t="s">
        <v>755</v>
      </c>
      <c r="J146" t="s">
        <v>756</v>
      </c>
    </row>
    <row r="147" spans="1:10">
      <c r="A147" t="s">
        <v>757</v>
      </c>
      <c r="B147" t="s">
        <v>757</v>
      </c>
      <c r="C147" t="s">
        <v>278</v>
      </c>
      <c r="D147">
        <v>4</v>
      </c>
      <c r="E147" t="s">
        <v>33</v>
      </c>
      <c r="F147" t="s">
        <v>57</v>
      </c>
      <c r="G147" s="23">
        <v>44995</v>
      </c>
      <c r="H147" t="s">
        <v>758</v>
      </c>
      <c r="I147" t="s">
        <v>759</v>
      </c>
      <c r="J147" t="s">
        <v>760</v>
      </c>
    </row>
    <row r="148" spans="1:10">
      <c r="A148" t="s">
        <v>761</v>
      </c>
      <c r="B148" t="s">
        <v>761</v>
      </c>
      <c r="C148" t="s">
        <v>762</v>
      </c>
      <c r="D148">
        <v>11</v>
      </c>
      <c r="E148" t="s">
        <v>27</v>
      </c>
      <c r="F148" t="s">
        <v>63</v>
      </c>
      <c r="G148" s="23">
        <v>42295</v>
      </c>
      <c r="H148" t="s">
        <v>763</v>
      </c>
      <c r="I148" t="s">
        <v>764</v>
      </c>
      <c r="J148" t="s">
        <v>765</v>
      </c>
    </row>
    <row r="149" spans="1:10">
      <c r="A149" t="s">
        <v>766</v>
      </c>
      <c r="B149" t="s">
        <v>766</v>
      </c>
      <c r="C149" t="s">
        <v>767</v>
      </c>
      <c r="D149">
        <v>5</v>
      </c>
      <c r="E149" t="s">
        <v>27</v>
      </c>
      <c r="F149" t="s">
        <v>63</v>
      </c>
      <c r="G149" s="23">
        <v>42317</v>
      </c>
      <c r="H149" t="s">
        <v>768</v>
      </c>
      <c r="I149" t="s">
        <v>769</v>
      </c>
      <c r="J149" t="s">
        <v>770</v>
      </c>
    </row>
    <row r="150" spans="1:10">
      <c r="A150" t="s">
        <v>771</v>
      </c>
      <c r="B150" t="s">
        <v>771</v>
      </c>
      <c r="C150" t="s">
        <v>772</v>
      </c>
      <c r="D150">
        <v>9</v>
      </c>
      <c r="E150" t="s">
        <v>31</v>
      </c>
      <c r="F150" t="s">
        <v>63</v>
      </c>
      <c r="G150" s="23">
        <v>42065</v>
      </c>
      <c r="H150" t="s">
        <v>773</v>
      </c>
      <c r="I150" t="s">
        <v>774</v>
      </c>
      <c r="J150" t="s">
        <v>775</v>
      </c>
    </row>
    <row r="151" spans="1:10">
      <c r="A151" t="s">
        <v>776</v>
      </c>
      <c r="B151" t="s">
        <v>776</v>
      </c>
      <c r="C151" t="s">
        <v>777</v>
      </c>
      <c r="D151">
        <v>71</v>
      </c>
      <c r="E151" t="s">
        <v>29</v>
      </c>
      <c r="F151" t="s">
        <v>63</v>
      </c>
      <c r="G151" s="23">
        <v>42892</v>
      </c>
      <c r="H151" t="s">
        <v>778</v>
      </c>
      <c r="I151" t="s">
        <v>779</v>
      </c>
      <c r="J151" t="s">
        <v>780</v>
      </c>
    </row>
    <row r="152" spans="1:10">
      <c r="A152" t="s">
        <v>781</v>
      </c>
      <c r="B152" t="s">
        <v>781</v>
      </c>
      <c r="C152" t="s">
        <v>777</v>
      </c>
      <c r="D152">
        <v>34</v>
      </c>
      <c r="E152" t="s">
        <v>29</v>
      </c>
      <c r="F152" t="s">
        <v>63</v>
      </c>
      <c r="G152" s="23">
        <v>42987</v>
      </c>
      <c r="H152" t="s">
        <v>782</v>
      </c>
      <c r="I152" t="s">
        <v>783</v>
      </c>
      <c r="J152" t="s">
        <v>784</v>
      </c>
    </row>
    <row r="153" spans="1:10">
      <c r="A153" t="s">
        <v>785</v>
      </c>
      <c r="B153" t="s">
        <v>785</v>
      </c>
      <c r="C153" t="s">
        <v>547</v>
      </c>
      <c r="D153">
        <v>54</v>
      </c>
      <c r="E153" t="s">
        <v>29</v>
      </c>
      <c r="F153" t="s">
        <v>63</v>
      </c>
      <c r="G153" s="23">
        <v>42764</v>
      </c>
      <c r="H153" t="s">
        <v>786</v>
      </c>
      <c r="I153" t="s">
        <v>787</v>
      </c>
      <c r="J153" t="s">
        <v>788</v>
      </c>
    </row>
    <row r="154" spans="1:10">
      <c r="A154" t="s">
        <v>789</v>
      </c>
      <c r="B154" t="s">
        <v>789</v>
      </c>
      <c r="C154" t="s">
        <v>547</v>
      </c>
      <c r="D154">
        <v>70</v>
      </c>
      <c r="E154" t="s">
        <v>29</v>
      </c>
      <c r="F154" t="s">
        <v>63</v>
      </c>
      <c r="G154" s="23">
        <v>42926</v>
      </c>
      <c r="H154" t="s">
        <v>790</v>
      </c>
      <c r="I154" t="s">
        <v>791</v>
      </c>
      <c r="J154" t="s">
        <v>792</v>
      </c>
    </row>
    <row r="155" spans="1:10">
      <c r="A155" t="s">
        <v>793</v>
      </c>
      <c r="B155" t="s">
        <v>793</v>
      </c>
      <c r="C155" t="s">
        <v>794</v>
      </c>
      <c r="D155">
        <v>8</v>
      </c>
      <c r="E155" t="s">
        <v>29</v>
      </c>
      <c r="F155" t="s">
        <v>63</v>
      </c>
      <c r="G155" s="23">
        <v>42211</v>
      </c>
      <c r="H155" t="s">
        <v>795</v>
      </c>
      <c r="I155" t="s">
        <v>796</v>
      </c>
      <c r="J155" t="s">
        <v>797</v>
      </c>
    </row>
    <row r="156" spans="1:10">
      <c r="A156" t="s">
        <v>798</v>
      </c>
      <c r="B156" t="s">
        <v>798</v>
      </c>
      <c r="C156" t="s">
        <v>799</v>
      </c>
      <c r="D156">
        <v>8</v>
      </c>
      <c r="E156" t="s">
        <v>31</v>
      </c>
      <c r="F156" t="s">
        <v>63</v>
      </c>
      <c r="G156" s="23">
        <v>42587</v>
      </c>
      <c r="H156" t="s">
        <v>800</v>
      </c>
      <c r="I156" t="s">
        <v>801</v>
      </c>
      <c r="J156" t="s">
        <v>802</v>
      </c>
    </row>
    <row r="157" spans="1:10">
      <c r="A157" t="s">
        <v>803</v>
      </c>
      <c r="B157" t="s">
        <v>803</v>
      </c>
      <c r="C157" t="s">
        <v>799</v>
      </c>
      <c r="D157">
        <v>9</v>
      </c>
      <c r="E157" t="s">
        <v>33</v>
      </c>
      <c r="F157" t="s">
        <v>63</v>
      </c>
      <c r="G157" s="23">
        <v>44385</v>
      </c>
      <c r="H157" t="s">
        <v>804</v>
      </c>
      <c r="I157" t="s">
        <v>805</v>
      </c>
      <c r="J157" t="s">
        <v>806</v>
      </c>
    </row>
    <row r="158" spans="1:10">
      <c r="A158" t="s">
        <v>807</v>
      </c>
      <c r="B158" t="s">
        <v>807</v>
      </c>
      <c r="C158" t="s">
        <v>504</v>
      </c>
      <c r="D158">
        <v>27</v>
      </c>
      <c r="E158" t="s">
        <v>29</v>
      </c>
      <c r="F158" t="s">
        <v>63</v>
      </c>
      <c r="G158" s="23">
        <v>46137</v>
      </c>
      <c r="H158" t="s">
        <v>808</v>
      </c>
      <c r="I158" t="s">
        <v>809</v>
      </c>
      <c r="J158" t="s">
        <v>810</v>
      </c>
    </row>
    <row r="159" spans="1:10">
      <c r="A159" t="s">
        <v>811</v>
      </c>
      <c r="B159" t="s">
        <v>811</v>
      </c>
      <c r="C159" t="s">
        <v>812</v>
      </c>
      <c r="D159">
        <v>13</v>
      </c>
      <c r="E159" t="s">
        <v>31</v>
      </c>
      <c r="F159" t="s">
        <v>57</v>
      </c>
      <c r="G159" s="23">
        <v>46192</v>
      </c>
      <c r="H159" t="s">
        <v>813</v>
      </c>
      <c r="I159" t="s">
        <v>814</v>
      </c>
      <c r="J159" t="s">
        <v>815</v>
      </c>
    </row>
    <row r="160" spans="1:10">
      <c r="A160" t="s">
        <v>816</v>
      </c>
      <c r="B160" t="s">
        <v>816</v>
      </c>
      <c r="C160" t="s">
        <v>817</v>
      </c>
      <c r="D160">
        <v>5</v>
      </c>
      <c r="E160" t="s">
        <v>29</v>
      </c>
      <c r="F160" t="s">
        <v>63</v>
      </c>
      <c r="G160" s="23">
        <v>42058</v>
      </c>
      <c r="H160" t="s">
        <v>818</v>
      </c>
      <c r="I160" t="s">
        <v>819</v>
      </c>
      <c r="J160" t="s">
        <v>820</v>
      </c>
    </row>
    <row r="161" spans="1:10">
      <c r="A161" t="s">
        <v>821</v>
      </c>
      <c r="B161" t="s">
        <v>821</v>
      </c>
      <c r="C161" t="s">
        <v>822</v>
      </c>
      <c r="D161">
        <v>45</v>
      </c>
      <c r="E161" t="s">
        <v>29</v>
      </c>
      <c r="F161" t="s">
        <v>63</v>
      </c>
      <c r="G161" s="23">
        <v>45279</v>
      </c>
      <c r="H161" t="s">
        <v>823</v>
      </c>
      <c r="I161" t="s">
        <v>824</v>
      </c>
      <c r="J161" t="s">
        <v>825</v>
      </c>
    </row>
    <row r="162" spans="1:10">
      <c r="A162" t="s">
        <v>826</v>
      </c>
      <c r="B162" t="s">
        <v>826</v>
      </c>
      <c r="C162" t="s">
        <v>827</v>
      </c>
      <c r="D162">
        <v>33</v>
      </c>
      <c r="E162" t="s">
        <v>29</v>
      </c>
      <c r="F162" t="s">
        <v>63</v>
      </c>
      <c r="G162" s="23">
        <v>44845</v>
      </c>
      <c r="H162" t="s">
        <v>828</v>
      </c>
      <c r="I162" t="s">
        <v>829</v>
      </c>
      <c r="J162" t="s">
        <v>830</v>
      </c>
    </row>
    <row r="163" spans="1:10">
      <c r="A163" t="s">
        <v>831</v>
      </c>
      <c r="B163" t="s">
        <v>831</v>
      </c>
      <c r="C163" t="s">
        <v>832</v>
      </c>
      <c r="D163">
        <v>9</v>
      </c>
      <c r="E163" t="s">
        <v>34</v>
      </c>
      <c r="F163" t="s">
        <v>57</v>
      </c>
      <c r="G163" s="23">
        <v>44918</v>
      </c>
      <c r="H163" t="s">
        <v>833</v>
      </c>
      <c r="I163" t="s">
        <v>834</v>
      </c>
      <c r="J163" t="s">
        <v>835</v>
      </c>
    </row>
    <row r="164" spans="1:10">
      <c r="A164" t="s">
        <v>836</v>
      </c>
      <c r="B164" t="s">
        <v>836</v>
      </c>
      <c r="C164" t="s">
        <v>837</v>
      </c>
      <c r="D164">
        <v>15</v>
      </c>
      <c r="E164" t="s">
        <v>35</v>
      </c>
      <c r="F164" t="s">
        <v>57</v>
      </c>
      <c r="G164" s="23">
        <v>45211</v>
      </c>
      <c r="H164" t="s">
        <v>838</v>
      </c>
      <c r="I164" t="s">
        <v>839</v>
      </c>
      <c r="J164" t="s">
        <v>840</v>
      </c>
    </row>
    <row r="165" spans="1:10">
      <c r="A165" t="s">
        <v>841</v>
      </c>
      <c r="B165" t="s">
        <v>841</v>
      </c>
      <c r="C165" t="s">
        <v>842</v>
      </c>
      <c r="D165">
        <v>25</v>
      </c>
      <c r="E165" t="s">
        <v>34</v>
      </c>
      <c r="F165" t="s">
        <v>57</v>
      </c>
      <c r="G165" s="23">
        <v>46114</v>
      </c>
      <c r="H165" t="s">
        <v>843</v>
      </c>
      <c r="I165" t="s">
        <v>844</v>
      </c>
      <c r="J165" t="s">
        <v>845</v>
      </c>
    </row>
    <row r="166" spans="1:10">
      <c r="A166" t="s">
        <v>846</v>
      </c>
      <c r="B166" t="s">
        <v>846</v>
      </c>
      <c r="C166" t="s">
        <v>847</v>
      </c>
      <c r="D166">
        <v>16</v>
      </c>
      <c r="E166" t="s">
        <v>34</v>
      </c>
      <c r="F166" t="s">
        <v>57</v>
      </c>
      <c r="G166" s="23">
        <v>44368</v>
      </c>
      <c r="H166" t="s">
        <v>848</v>
      </c>
      <c r="I166" t="s">
        <v>849</v>
      </c>
      <c r="J166" t="s">
        <v>850</v>
      </c>
    </row>
    <row r="167" spans="1:10">
      <c r="A167" t="s">
        <v>851</v>
      </c>
      <c r="B167" t="s">
        <v>851</v>
      </c>
      <c r="C167" t="s">
        <v>852</v>
      </c>
      <c r="D167">
        <v>19</v>
      </c>
      <c r="E167" t="s">
        <v>29</v>
      </c>
      <c r="F167" t="s">
        <v>63</v>
      </c>
      <c r="G167" s="23">
        <v>42346</v>
      </c>
      <c r="H167" t="s">
        <v>853</v>
      </c>
      <c r="I167" t="s">
        <v>854</v>
      </c>
      <c r="J167" t="s">
        <v>855</v>
      </c>
    </row>
    <row r="168" spans="1:10">
      <c r="A168" t="s">
        <v>856</v>
      </c>
      <c r="B168" t="s">
        <v>856</v>
      </c>
      <c r="C168" t="s">
        <v>83</v>
      </c>
      <c r="D168">
        <v>8</v>
      </c>
      <c r="E168" t="s">
        <v>34</v>
      </c>
      <c r="F168" t="s">
        <v>57</v>
      </c>
      <c r="G168" s="23">
        <v>46117</v>
      </c>
      <c r="H168" t="s">
        <v>857</v>
      </c>
      <c r="I168" t="s">
        <v>858</v>
      </c>
      <c r="J168" t="s">
        <v>859</v>
      </c>
    </row>
    <row r="169" spans="1:10">
      <c r="A169" t="s">
        <v>860</v>
      </c>
      <c r="B169" t="s">
        <v>860</v>
      </c>
      <c r="C169" t="s">
        <v>704</v>
      </c>
      <c r="D169">
        <v>10</v>
      </c>
      <c r="E169" t="s">
        <v>31</v>
      </c>
      <c r="F169" t="s">
        <v>63</v>
      </c>
      <c r="G169" s="23">
        <v>45401</v>
      </c>
      <c r="H169" t="s">
        <v>861</v>
      </c>
      <c r="I169" t="s">
        <v>862</v>
      </c>
      <c r="J169" t="s">
        <v>863</v>
      </c>
    </row>
    <row r="170" spans="1:10">
      <c r="A170" t="s">
        <v>864</v>
      </c>
      <c r="B170" t="s">
        <v>864</v>
      </c>
      <c r="C170" t="s">
        <v>865</v>
      </c>
      <c r="D170">
        <v>11</v>
      </c>
      <c r="E170" t="s">
        <v>33</v>
      </c>
      <c r="F170" t="s">
        <v>57</v>
      </c>
      <c r="G170" s="23">
        <v>45742</v>
      </c>
      <c r="H170" t="s">
        <v>866</v>
      </c>
      <c r="I170" t="s">
        <v>867</v>
      </c>
      <c r="J170" t="s">
        <v>868</v>
      </c>
    </row>
    <row r="171" spans="1:10">
      <c r="A171" t="s">
        <v>869</v>
      </c>
      <c r="B171" t="s">
        <v>869</v>
      </c>
      <c r="C171" t="s">
        <v>870</v>
      </c>
      <c r="D171">
        <v>1</v>
      </c>
      <c r="E171" t="s">
        <v>36</v>
      </c>
      <c r="F171" t="s">
        <v>89</v>
      </c>
      <c r="G171" s="23">
        <v>44428</v>
      </c>
      <c r="H171" t="s">
        <v>871</v>
      </c>
      <c r="I171" t="s">
        <v>872</v>
      </c>
      <c r="J171" t="s">
        <v>873</v>
      </c>
    </row>
    <row r="172" spans="1:10">
      <c r="A172" t="s">
        <v>874</v>
      </c>
      <c r="B172" t="s">
        <v>874</v>
      </c>
      <c r="C172" t="s">
        <v>875</v>
      </c>
      <c r="D172">
        <v>5</v>
      </c>
      <c r="E172" t="s">
        <v>29</v>
      </c>
      <c r="F172" t="s">
        <v>63</v>
      </c>
      <c r="G172" s="23">
        <v>43670</v>
      </c>
      <c r="H172" t="s">
        <v>876</v>
      </c>
      <c r="I172" t="s">
        <v>877</v>
      </c>
      <c r="J172" t="s">
        <v>878</v>
      </c>
    </row>
    <row r="173" spans="1:10">
      <c r="A173" t="s">
        <v>879</v>
      </c>
      <c r="B173" t="s">
        <v>879</v>
      </c>
      <c r="C173" t="s">
        <v>880</v>
      </c>
      <c r="D173">
        <v>3</v>
      </c>
      <c r="E173" t="s">
        <v>36</v>
      </c>
      <c r="F173" t="s">
        <v>57</v>
      </c>
      <c r="G173" s="23">
        <v>46097</v>
      </c>
      <c r="H173" t="s">
        <v>881</v>
      </c>
      <c r="I173" t="s">
        <v>882</v>
      </c>
      <c r="J173" t="s">
        <v>883</v>
      </c>
    </row>
    <row r="174" spans="1:10">
      <c r="A174" t="s">
        <v>884</v>
      </c>
      <c r="B174" t="s">
        <v>884</v>
      </c>
      <c r="C174" t="s">
        <v>885</v>
      </c>
      <c r="D174">
        <v>15</v>
      </c>
      <c r="E174" t="s">
        <v>34</v>
      </c>
      <c r="F174" t="s">
        <v>57</v>
      </c>
      <c r="G174" s="23">
        <v>44523</v>
      </c>
      <c r="H174" t="s">
        <v>886</v>
      </c>
      <c r="I174" t="s">
        <v>887</v>
      </c>
      <c r="J174" t="s">
        <v>888</v>
      </c>
    </row>
    <row r="175" spans="1:10">
      <c r="A175" t="s">
        <v>889</v>
      </c>
      <c r="B175" t="s">
        <v>889</v>
      </c>
      <c r="C175" t="s">
        <v>890</v>
      </c>
      <c r="D175">
        <v>24</v>
      </c>
      <c r="E175" t="s">
        <v>29</v>
      </c>
      <c r="F175" t="s">
        <v>63</v>
      </c>
      <c r="G175" s="23">
        <v>42238</v>
      </c>
      <c r="H175" t="s">
        <v>891</v>
      </c>
      <c r="I175" t="s">
        <v>892</v>
      </c>
      <c r="J175" t="s">
        <v>893</v>
      </c>
    </row>
    <row r="176" spans="1:10">
      <c r="A176" t="s">
        <v>894</v>
      </c>
      <c r="B176" t="s">
        <v>894</v>
      </c>
      <c r="C176" t="s">
        <v>895</v>
      </c>
      <c r="D176">
        <v>40</v>
      </c>
      <c r="E176" t="s">
        <v>31</v>
      </c>
      <c r="F176" t="s">
        <v>63</v>
      </c>
      <c r="G176" s="23">
        <v>45430</v>
      </c>
      <c r="H176" t="s">
        <v>896</v>
      </c>
      <c r="I176" t="s">
        <v>897</v>
      </c>
      <c r="J176" t="s">
        <v>898</v>
      </c>
    </row>
    <row r="177" spans="1:10">
      <c r="A177" t="s">
        <v>899</v>
      </c>
      <c r="B177" t="s">
        <v>899</v>
      </c>
      <c r="C177" t="s">
        <v>900</v>
      </c>
      <c r="D177">
        <v>18</v>
      </c>
      <c r="E177" t="s">
        <v>34</v>
      </c>
      <c r="F177" t="s">
        <v>57</v>
      </c>
      <c r="G177" s="23">
        <v>44622</v>
      </c>
      <c r="H177" t="s">
        <v>901</v>
      </c>
      <c r="I177" t="s">
        <v>902</v>
      </c>
      <c r="J177" t="s">
        <v>903</v>
      </c>
    </row>
    <row r="178" spans="1:10">
      <c r="A178" t="s">
        <v>904</v>
      </c>
      <c r="B178" t="s">
        <v>904</v>
      </c>
      <c r="C178" t="s">
        <v>905</v>
      </c>
      <c r="D178">
        <v>4</v>
      </c>
      <c r="E178" t="s">
        <v>27</v>
      </c>
      <c r="F178" t="s">
        <v>63</v>
      </c>
      <c r="G178" s="23">
        <v>45584</v>
      </c>
      <c r="H178" t="s">
        <v>906</v>
      </c>
      <c r="I178" t="s">
        <v>907</v>
      </c>
      <c r="J178" t="s">
        <v>908</v>
      </c>
    </row>
    <row r="179" spans="1:10">
      <c r="A179" t="s">
        <v>909</v>
      </c>
      <c r="B179" t="s">
        <v>909</v>
      </c>
      <c r="C179" t="s">
        <v>910</v>
      </c>
      <c r="D179">
        <v>11</v>
      </c>
      <c r="E179" t="s">
        <v>29</v>
      </c>
      <c r="F179" t="s">
        <v>63</v>
      </c>
      <c r="G179" s="23">
        <v>42021</v>
      </c>
      <c r="H179" t="s">
        <v>911</v>
      </c>
      <c r="I179" t="s">
        <v>912</v>
      </c>
      <c r="J179" t="s">
        <v>913</v>
      </c>
    </row>
    <row r="180" spans="1:10">
      <c r="A180" t="s">
        <v>914</v>
      </c>
      <c r="B180" t="s">
        <v>914</v>
      </c>
      <c r="C180" t="s">
        <v>915</v>
      </c>
      <c r="D180">
        <v>12</v>
      </c>
      <c r="E180" t="s">
        <v>34</v>
      </c>
      <c r="F180" t="s">
        <v>57</v>
      </c>
      <c r="G180" s="23">
        <v>45530</v>
      </c>
      <c r="H180" t="s">
        <v>916</v>
      </c>
      <c r="I180" t="s">
        <v>917</v>
      </c>
      <c r="J180" t="s">
        <v>918</v>
      </c>
    </row>
    <row r="181" spans="1:10">
      <c r="A181" t="s">
        <v>919</v>
      </c>
      <c r="B181" t="s">
        <v>919</v>
      </c>
      <c r="C181" t="s">
        <v>920</v>
      </c>
      <c r="D181">
        <v>5</v>
      </c>
      <c r="E181" t="s">
        <v>34</v>
      </c>
      <c r="F181" t="s">
        <v>57</v>
      </c>
      <c r="G181" s="23">
        <v>43774</v>
      </c>
      <c r="H181" t="s">
        <v>921</v>
      </c>
      <c r="I181" t="s">
        <v>922</v>
      </c>
      <c r="J181" t="s">
        <v>923</v>
      </c>
    </row>
    <row r="182" spans="1:10">
      <c r="A182" t="s">
        <v>924</v>
      </c>
      <c r="B182" t="s">
        <v>924</v>
      </c>
      <c r="C182" t="s">
        <v>925</v>
      </c>
      <c r="D182">
        <v>14</v>
      </c>
      <c r="E182" t="s">
        <v>33</v>
      </c>
      <c r="F182" t="s">
        <v>57</v>
      </c>
      <c r="G182" s="23">
        <v>45899</v>
      </c>
      <c r="H182" t="s">
        <v>926</v>
      </c>
      <c r="I182" t="s">
        <v>927</v>
      </c>
      <c r="J182" t="s">
        <v>928</v>
      </c>
    </row>
    <row r="183" spans="1:10">
      <c r="A183" t="s">
        <v>929</v>
      </c>
      <c r="B183" t="s">
        <v>929</v>
      </c>
      <c r="C183" t="s">
        <v>930</v>
      </c>
      <c r="D183">
        <v>44</v>
      </c>
      <c r="E183" t="s">
        <v>33</v>
      </c>
      <c r="F183" t="s">
        <v>57</v>
      </c>
      <c r="G183" s="23">
        <v>43514</v>
      </c>
      <c r="H183" t="s">
        <v>931</v>
      </c>
      <c r="I183" t="s">
        <v>932</v>
      </c>
      <c r="J183" t="s">
        <v>933</v>
      </c>
    </row>
    <row r="184" spans="1:10">
      <c r="A184" t="s">
        <v>934</v>
      </c>
      <c r="B184" t="s">
        <v>934</v>
      </c>
      <c r="C184" t="s">
        <v>935</v>
      </c>
      <c r="D184">
        <v>34</v>
      </c>
      <c r="E184" t="s">
        <v>31</v>
      </c>
      <c r="F184" t="s">
        <v>57</v>
      </c>
      <c r="G184" s="23">
        <v>44734</v>
      </c>
      <c r="H184" t="s">
        <v>936</v>
      </c>
      <c r="I184" t="s">
        <v>937</v>
      </c>
      <c r="J184" t="s">
        <v>938</v>
      </c>
    </row>
    <row r="185" spans="1:10">
      <c r="A185" t="s">
        <v>939</v>
      </c>
      <c r="B185" t="s">
        <v>939</v>
      </c>
      <c r="C185" t="s">
        <v>940</v>
      </c>
      <c r="D185">
        <v>36</v>
      </c>
      <c r="E185" t="s">
        <v>29</v>
      </c>
      <c r="F185" t="s">
        <v>63</v>
      </c>
      <c r="G185" s="23">
        <v>41454</v>
      </c>
      <c r="H185" t="s">
        <v>941</v>
      </c>
      <c r="I185" t="s">
        <v>942</v>
      </c>
      <c r="J185" t="s">
        <v>943</v>
      </c>
    </row>
    <row r="186" spans="1:10">
      <c r="A186" t="s">
        <v>944</v>
      </c>
      <c r="B186" t="s">
        <v>944</v>
      </c>
      <c r="C186" t="s">
        <v>945</v>
      </c>
      <c r="D186">
        <v>25</v>
      </c>
      <c r="E186" t="s">
        <v>35</v>
      </c>
      <c r="F186" t="s">
        <v>57</v>
      </c>
      <c r="G186" s="23">
        <v>46096</v>
      </c>
      <c r="H186" t="s">
        <v>946</v>
      </c>
      <c r="I186" t="s">
        <v>947</v>
      </c>
      <c r="J186" t="s">
        <v>948</v>
      </c>
    </row>
    <row r="187" spans="1:10">
      <c r="A187" t="s">
        <v>949</v>
      </c>
      <c r="B187" t="s">
        <v>949</v>
      </c>
      <c r="C187" t="s">
        <v>950</v>
      </c>
      <c r="D187">
        <v>13</v>
      </c>
      <c r="E187" t="s">
        <v>31</v>
      </c>
      <c r="F187" t="s">
        <v>57</v>
      </c>
      <c r="G187" s="23">
        <v>43335</v>
      </c>
      <c r="H187" t="s">
        <v>951</v>
      </c>
      <c r="I187" t="s">
        <v>952</v>
      </c>
      <c r="J187" t="s">
        <v>953</v>
      </c>
    </row>
    <row r="188" spans="1:10">
      <c r="A188" t="s">
        <v>954</v>
      </c>
      <c r="B188" t="s">
        <v>954</v>
      </c>
      <c r="C188" t="s">
        <v>955</v>
      </c>
      <c r="D188">
        <v>3</v>
      </c>
      <c r="E188" t="s">
        <v>34</v>
      </c>
      <c r="F188" t="s">
        <v>57</v>
      </c>
      <c r="G188" s="23">
        <v>44705</v>
      </c>
      <c r="H188" t="s">
        <v>956</v>
      </c>
      <c r="I188" t="s">
        <v>957</v>
      </c>
      <c r="J188" t="s">
        <v>958</v>
      </c>
    </row>
    <row r="189" spans="1:10">
      <c r="A189" t="s">
        <v>959</v>
      </c>
      <c r="B189" t="s">
        <v>959</v>
      </c>
      <c r="C189" t="s">
        <v>960</v>
      </c>
      <c r="D189">
        <v>13</v>
      </c>
      <c r="E189" t="s">
        <v>33</v>
      </c>
      <c r="F189" t="s">
        <v>57</v>
      </c>
      <c r="G189" s="23">
        <v>45592</v>
      </c>
      <c r="H189" t="s">
        <v>961</v>
      </c>
      <c r="I189" t="s">
        <v>962</v>
      </c>
      <c r="J189" t="s">
        <v>963</v>
      </c>
    </row>
    <row r="190" spans="1:10">
      <c r="A190" t="s">
        <v>964</v>
      </c>
      <c r="B190" t="s">
        <v>964</v>
      </c>
      <c r="C190" t="s">
        <v>965</v>
      </c>
      <c r="D190">
        <v>9</v>
      </c>
      <c r="E190" t="s">
        <v>34</v>
      </c>
      <c r="F190" t="s">
        <v>57</v>
      </c>
      <c r="G190" s="23">
        <v>46107</v>
      </c>
      <c r="H190" t="s">
        <v>966</v>
      </c>
      <c r="I190" t="s">
        <v>967</v>
      </c>
      <c r="J190" t="s">
        <v>968</v>
      </c>
    </row>
    <row r="191" spans="1:10">
      <c r="A191" t="s">
        <v>969</v>
      </c>
      <c r="B191" t="s">
        <v>969</v>
      </c>
      <c r="C191" t="s">
        <v>970</v>
      </c>
      <c r="D191">
        <v>10</v>
      </c>
      <c r="E191" t="s">
        <v>27</v>
      </c>
      <c r="F191" t="s">
        <v>63</v>
      </c>
      <c r="G191" s="23">
        <v>42260</v>
      </c>
      <c r="H191" t="s">
        <v>971</v>
      </c>
      <c r="I191" t="s">
        <v>972</v>
      </c>
      <c r="J191" t="s">
        <v>973</v>
      </c>
    </row>
    <row r="192" spans="1:10">
      <c r="A192" t="s">
        <v>974</v>
      </c>
      <c r="B192" t="s">
        <v>974</v>
      </c>
      <c r="C192" t="s">
        <v>975</v>
      </c>
      <c r="D192">
        <v>19</v>
      </c>
      <c r="E192" t="s">
        <v>31</v>
      </c>
      <c r="F192" t="s">
        <v>63</v>
      </c>
      <c r="G192" s="23">
        <v>45928</v>
      </c>
      <c r="H192" t="s">
        <v>976</v>
      </c>
      <c r="I192" t="s">
        <v>977</v>
      </c>
      <c r="J192" t="s">
        <v>978</v>
      </c>
    </row>
    <row r="193" spans="1:10">
      <c r="A193" t="s">
        <v>979</v>
      </c>
      <c r="B193" t="s">
        <v>979</v>
      </c>
      <c r="C193" t="s">
        <v>975</v>
      </c>
      <c r="D193">
        <v>23</v>
      </c>
      <c r="E193" t="s">
        <v>31</v>
      </c>
      <c r="F193" t="s">
        <v>63</v>
      </c>
      <c r="G193" s="23">
        <v>45628</v>
      </c>
      <c r="H193" t="s">
        <v>980</v>
      </c>
      <c r="I193" t="s">
        <v>981</v>
      </c>
      <c r="J193" t="s">
        <v>982</v>
      </c>
    </row>
    <row r="194" spans="1:10">
      <c r="A194" t="s">
        <v>983</v>
      </c>
      <c r="B194" t="s">
        <v>983</v>
      </c>
      <c r="C194" t="s">
        <v>984</v>
      </c>
      <c r="D194">
        <v>6</v>
      </c>
      <c r="E194" t="s">
        <v>35</v>
      </c>
      <c r="F194" t="s">
        <v>57</v>
      </c>
      <c r="G194" s="23">
        <v>44938</v>
      </c>
      <c r="H194" t="s">
        <v>985</v>
      </c>
      <c r="I194" t="s">
        <v>986</v>
      </c>
      <c r="J194" t="s">
        <v>987</v>
      </c>
    </row>
    <row r="195" spans="1:10">
      <c r="A195" t="s">
        <v>988</v>
      </c>
      <c r="B195" t="s">
        <v>988</v>
      </c>
      <c r="C195" t="s">
        <v>355</v>
      </c>
      <c r="D195">
        <v>40</v>
      </c>
      <c r="E195" t="s">
        <v>34</v>
      </c>
      <c r="F195" t="s">
        <v>57</v>
      </c>
      <c r="G195" s="23">
        <v>42179</v>
      </c>
      <c r="H195" t="s">
        <v>989</v>
      </c>
      <c r="I195" t="s">
        <v>990</v>
      </c>
      <c r="J195" t="s">
        <v>991</v>
      </c>
    </row>
    <row r="196" spans="1:10">
      <c r="A196" t="s">
        <v>992</v>
      </c>
      <c r="B196" t="s">
        <v>992</v>
      </c>
      <c r="C196" t="s">
        <v>993</v>
      </c>
      <c r="D196">
        <v>10</v>
      </c>
      <c r="E196" t="s">
        <v>29</v>
      </c>
      <c r="F196" t="s">
        <v>63</v>
      </c>
      <c r="G196" s="23">
        <v>42093</v>
      </c>
      <c r="H196" t="s">
        <v>994</v>
      </c>
      <c r="I196" t="s">
        <v>995</v>
      </c>
      <c r="J196" t="s">
        <v>996</v>
      </c>
    </row>
    <row r="197" spans="1:10">
      <c r="A197" t="s">
        <v>997</v>
      </c>
      <c r="B197" t="s">
        <v>997</v>
      </c>
      <c r="C197" t="s">
        <v>998</v>
      </c>
      <c r="D197">
        <v>22</v>
      </c>
      <c r="E197" t="s">
        <v>35</v>
      </c>
      <c r="F197" t="s">
        <v>57</v>
      </c>
      <c r="G197" s="23">
        <v>45077</v>
      </c>
      <c r="H197" t="s">
        <v>999</v>
      </c>
      <c r="I197" t="s">
        <v>1000</v>
      </c>
      <c r="J197" t="s">
        <v>1001</v>
      </c>
    </row>
    <row r="198" spans="1:10">
      <c r="A198" t="s">
        <v>1002</v>
      </c>
      <c r="B198" t="s">
        <v>1002</v>
      </c>
      <c r="C198" t="s">
        <v>1003</v>
      </c>
      <c r="D198">
        <v>13</v>
      </c>
      <c r="E198" t="s">
        <v>31</v>
      </c>
      <c r="F198" t="s">
        <v>63</v>
      </c>
      <c r="G198" s="23">
        <v>43918</v>
      </c>
      <c r="H198" t="s">
        <v>1004</v>
      </c>
      <c r="I198" t="s">
        <v>1005</v>
      </c>
      <c r="J198" t="s">
        <v>1006</v>
      </c>
    </row>
    <row r="199" spans="1:10">
      <c r="A199" t="s">
        <v>1007</v>
      </c>
      <c r="B199" t="s">
        <v>1007</v>
      </c>
      <c r="C199" t="s">
        <v>1003</v>
      </c>
      <c r="D199">
        <v>11</v>
      </c>
      <c r="E199" t="s">
        <v>31</v>
      </c>
      <c r="F199" t="s">
        <v>63</v>
      </c>
      <c r="G199" s="23">
        <v>44505</v>
      </c>
      <c r="H199" t="s">
        <v>1008</v>
      </c>
      <c r="I199" t="s">
        <v>1009</v>
      </c>
      <c r="J199" t="s">
        <v>1010</v>
      </c>
    </row>
    <row r="200" spans="1:10">
      <c r="A200" t="s">
        <v>1011</v>
      </c>
      <c r="B200" t="s">
        <v>1011</v>
      </c>
      <c r="C200" t="s">
        <v>1012</v>
      </c>
      <c r="D200">
        <v>16</v>
      </c>
      <c r="E200" t="s">
        <v>34</v>
      </c>
      <c r="F200" t="s">
        <v>57</v>
      </c>
      <c r="G200" s="23">
        <v>45347</v>
      </c>
      <c r="H200" t="s">
        <v>1013</v>
      </c>
      <c r="I200" t="s">
        <v>1014</v>
      </c>
      <c r="J200" t="s">
        <v>1015</v>
      </c>
    </row>
    <row r="201" spans="1:10">
      <c r="A201" t="s">
        <v>1016</v>
      </c>
      <c r="B201" t="s">
        <v>1016</v>
      </c>
      <c r="C201" t="s">
        <v>1017</v>
      </c>
      <c r="D201">
        <v>8</v>
      </c>
      <c r="E201" t="s">
        <v>31</v>
      </c>
      <c r="F201" t="s">
        <v>63</v>
      </c>
      <c r="G201" s="23">
        <v>44700</v>
      </c>
      <c r="H201" t="s">
        <v>1018</v>
      </c>
      <c r="I201" t="s">
        <v>1019</v>
      </c>
      <c r="J201" t="s">
        <v>1020</v>
      </c>
    </row>
    <row r="202" spans="1:10">
      <c r="A202" t="s">
        <v>1021</v>
      </c>
      <c r="B202" t="s">
        <v>1021</v>
      </c>
      <c r="C202" t="s">
        <v>1022</v>
      </c>
      <c r="D202">
        <v>14</v>
      </c>
      <c r="E202" t="s">
        <v>33</v>
      </c>
      <c r="F202" t="s">
        <v>57</v>
      </c>
      <c r="G202" s="23">
        <v>44577</v>
      </c>
      <c r="H202" t="s">
        <v>1023</v>
      </c>
      <c r="I202" t="s">
        <v>1024</v>
      </c>
      <c r="J202" t="s">
        <v>1025</v>
      </c>
    </row>
    <row r="203" spans="1:10">
      <c r="A203" t="s">
        <v>1026</v>
      </c>
      <c r="B203" t="s">
        <v>1026</v>
      </c>
      <c r="C203" t="s">
        <v>485</v>
      </c>
      <c r="D203">
        <v>20</v>
      </c>
      <c r="E203" t="s">
        <v>34</v>
      </c>
      <c r="F203" t="s">
        <v>57</v>
      </c>
      <c r="G203" s="23">
        <v>44523</v>
      </c>
      <c r="H203" t="s">
        <v>1027</v>
      </c>
      <c r="I203" t="s">
        <v>1028</v>
      </c>
      <c r="J203" t="s">
        <v>1029</v>
      </c>
    </row>
    <row r="204" spans="1:10">
      <c r="A204" t="s">
        <v>1030</v>
      </c>
      <c r="B204" t="s">
        <v>1030</v>
      </c>
      <c r="C204" t="s">
        <v>485</v>
      </c>
      <c r="D204">
        <v>5</v>
      </c>
      <c r="E204" t="s">
        <v>34</v>
      </c>
      <c r="F204" t="s">
        <v>57</v>
      </c>
      <c r="G204" s="23">
        <v>46005</v>
      </c>
      <c r="H204" t="s">
        <v>1031</v>
      </c>
      <c r="I204" t="s">
        <v>1032</v>
      </c>
      <c r="J204" t="s">
        <v>1033</v>
      </c>
    </row>
    <row r="205" spans="1:10">
      <c r="A205" t="s">
        <v>1034</v>
      </c>
      <c r="B205" t="s">
        <v>1034</v>
      </c>
      <c r="C205" t="s">
        <v>1035</v>
      </c>
      <c r="D205">
        <v>15</v>
      </c>
      <c r="E205" t="s">
        <v>31</v>
      </c>
      <c r="F205" t="s">
        <v>57</v>
      </c>
      <c r="G205" s="23">
        <v>45893</v>
      </c>
      <c r="H205" t="s">
        <v>1036</v>
      </c>
      <c r="I205" t="s">
        <v>1037</v>
      </c>
      <c r="J205" t="s">
        <v>1038</v>
      </c>
    </row>
    <row r="206" spans="1:10">
      <c r="A206" t="s">
        <v>1039</v>
      </c>
      <c r="B206" t="s">
        <v>1039</v>
      </c>
      <c r="C206" t="s">
        <v>1035</v>
      </c>
      <c r="D206">
        <v>20</v>
      </c>
      <c r="E206" t="s">
        <v>34</v>
      </c>
      <c r="F206" t="s">
        <v>57</v>
      </c>
      <c r="G206" s="23">
        <v>45386</v>
      </c>
      <c r="H206" t="s">
        <v>1040</v>
      </c>
      <c r="I206" t="s">
        <v>1041</v>
      </c>
      <c r="J206" t="s">
        <v>1042</v>
      </c>
    </row>
    <row r="207" spans="1:10">
      <c r="A207" t="s">
        <v>1043</v>
      </c>
      <c r="B207" t="s">
        <v>1043</v>
      </c>
      <c r="C207" t="s">
        <v>1044</v>
      </c>
      <c r="D207">
        <v>4</v>
      </c>
      <c r="E207" t="s">
        <v>31</v>
      </c>
      <c r="F207" t="s">
        <v>63</v>
      </c>
      <c r="G207" s="23">
        <v>44710</v>
      </c>
      <c r="H207" t="s">
        <v>1045</v>
      </c>
      <c r="I207" t="s">
        <v>1046</v>
      </c>
      <c r="J207" t="s">
        <v>1047</v>
      </c>
    </row>
    <row r="208" spans="1:10">
      <c r="A208" t="s">
        <v>1048</v>
      </c>
      <c r="B208" t="s">
        <v>1048</v>
      </c>
      <c r="C208" t="s">
        <v>1049</v>
      </c>
      <c r="D208">
        <v>12</v>
      </c>
      <c r="E208" t="s">
        <v>33</v>
      </c>
      <c r="F208" t="s">
        <v>57</v>
      </c>
      <c r="G208" s="23">
        <v>45509</v>
      </c>
      <c r="H208" t="s">
        <v>1050</v>
      </c>
      <c r="I208" t="s">
        <v>1051</v>
      </c>
      <c r="J208" t="s">
        <v>1052</v>
      </c>
    </row>
    <row r="209" spans="1:10">
      <c r="A209" t="s">
        <v>1053</v>
      </c>
      <c r="B209" t="s">
        <v>1053</v>
      </c>
      <c r="C209" t="s">
        <v>1054</v>
      </c>
      <c r="D209">
        <v>9</v>
      </c>
      <c r="E209" t="s">
        <v>34</v>
      </c>
      <c r="F209" t="s">
        <v>57</v>
      </c>
      <c r="G209" s="23">
        <v>45125</v>
      </c>
      <c r="H209" t="s">
        <v>1055</v>
      </c>
      <c r="I209" t="s">
        <v>1056</v>
      </c>
      <c r="J209" t="s">
        <v>1057</v>
      </c>
    </row>
    <row r="210" spans="1:10">
      <c r="A210" t="s">
        <v>1058</v>
      </c>
      <c r="B210" t="s">
        <v>1058</v>
      </c>
      <c r="C210" t="s">
        <v>1059</v>
      </c>
      <c r="D210">
        <v>11</v>
      </c>
      <c r="E210" t="s">
        <v>33</v>
      </c>
      <c r="F210" t="s">
        <v>57</v>
      </c>
      <c r="G210" s="23">
        <v>44768</v>
      </c>
      <c r="H210" t="s">
        <v>1060</v>
      </c>
      <c r="I210" t="s">
        <v>1061</v>
      </c>
      <c r="J210" t="s">
        <v>1062</v>
      </c>
    </row>
    <row r="211" spans="1:10">
      <c r="A211" t="s">
        <v>1063</v>
      </c>
      <c r="B211" t="s">
        <v>1063</v>
      </c>
      <c r="C211" t="s">
        <v>1064</v>
      </c>
      <c r="D211">
        <v>13</v>
      </c>
      <c r="E211" t="s">
        <v>35</v>
      </c>
      <c r="F211" t="s">
        <v>57</v>
      </c>
      <c r="G211" s="23">
        <v>45941</v>
      </c>
      <c r="H211" t="s">
        <v>1065</v>
      </c>
      <c r="I211" t="s">
        <v>1066</v>
      </c>
      <c r="J211" t="s">
        <v>1067</v>
      </c>
    </row>
    <row r="212" spans="1:10">
      <c r="A212" t="s">
        <v>1068</v>
      </c>
      <c r="B212" t="s">
        <v>1068</v>
      </c>
      <c r="C212" t="s">
        <v>1069</v>
      </c>
      <c r="D212">
        <v>7</v>
      </c>
      <c r="E212" t="s">
        <v>31</v>
      </c>
      <c r="F212" t="s">
        <v>57</v>
      </c>
      <c r="G212" s="23">
        <v>44781</v>
      </c>
      <c r="H212" t="s">
        <v>1070</v>
      </c>
      <c r="I212" t="s">
        <v>1071</v>
      </c>
      <c r="J212" t="s">
        <v>1072</v>
      </c>
    </row>
    <row r="213" spans="1:10">
      <c r="A213" t="s">
        <v>1073</v>
      </c>
      <c r="B213" t="s">
        <v>1073</v>
      </c>
      <c r="C213" t="s">
        <v>1074</v>
      </c>
      <c r="D213">
        <v>10</v>
      </c>
      <c r="E213" t="s">
        <v>33</v>
      </c>
      <c r="F213" t="s">
        <v>57</v>
      </c>
      <c r="G213" s="23">
        <v>44994</v>
      </c>
      <c r="H213" t="s">
        <v>1075</v>
      </c>
      <c r="I213" t="s">
        <v>1076</v>
      </c>
      <c r="J213" t="s">
        <v>1077</v>
      </c>
    </row>
    <row r="214" spans="1:10">
      <c r="A214" t="s">
        <v>1078</v>
      </c>
      <c r="B214" t="s">
        <v>1078</v>
      </c>
      <c r="C214" t="s">
        <v>399</v>
      </c>
      <c r="D214">
        <v>18</v>
      </c>
      <c r="E214" t="s">
        <v>29</v>
      </c>
      <c r="F214" t="s">
        <v>63</v>
      </c>
      <c r="G214" s="23">
        <v>41509</v>
      </c>
      <c r="H214" t="s">
        <v>1079</v>
      </c>
      <c r="I214" t="s">
        <v>1080</v>
      </c>
      <c r="J214" t="s">
        <v>1081</v>
      </c>
    </row>
    <row r="215" spans="1:10">
      <c r="A215" t="s">
        <v>1082</v>
      </c>
      <c r="B215" t="s">
        <v>1082</v>
      </c>
      <c r="C215" t="s">
        <v>1083</v>
      </c>
      <c r="D215">
        <v>91</v>
      </c>
      <c r="E215" t="s">
        <v>31</v>
      </c>
      <c r="F215" t="s">
        <v>63</v>
      </c>
      <c r="G215" s="23">
        <v>44607</v>
      </c>
      <c r="H215" t="s">
        <v>1084</v>
      </c>
      <c r="I215" t="s">
        <v>1085</v>
      </c>
      <c r="J215" t="s">
        <v>1086</v>
      </c>
    </row>
    <row r="216" spans="1:10">
      <c r="A216" t="s">
        <v>1087</v>
      </c>
      <c r="B216" t="s">
        <v>1087</v>
      </c>
      <c r="C216" t="s">
        <v>485</v>
      </c>
      <c r="D216">
        <v>5</v>
      </c>
      <c r="E216" t="s">
        <v>36</v>
      </c>
      <c r="F216" t="s">
        <v>57</v>
      </c>
      <c r="G216" s="23">
        <v>45216</v>
      </c>
      <c r="H216" t="s">
        <v>1088</v>
      </c>
      <c r="I216" t="s">
        <v>1089</v>
      </c>
      <c r="J216" t="s">
        <v>1090</v>
      </c>
    </row>
    <row r="217" spans="1:10">
      <c r="A217" t="s">
        <v>1091</v>
      </c>
      <c r="B217" t="s">
        <v>1091</v>
      </c>
      <c r="C217" t="s">
        <v>1092</v>
      </c>
      <c r="D217">
        <v>10</v>
      </c>
      <c r="E217" t="s">
        <v>33</v>
      </c>
      <c r="F217" t="s">
        <v>63</v>
      </c>
      <c r="G217" s="23">
        <v>45690</v>
      </c>
      <c r="H217" t="s">
        <v>1093</v>
      </c>
      <c r="I217" t="s">
        <v>1094</v>
      </c>
      <c r="J217" t="s">
        <v>1095</v>
      </c>
    </row>
    <row r="218" spans="1:10">
      <c r="A218" t="s">
        <v>1096</v>
      </c>
      <c r="B218" t="s">
        <v>1096</v>
      </c>
      <c r="C218" t="s">
        <v>1097</v>
      </c>
      <c r="D218">
        <v>1</v>
      </c>
      <c r="E218" t="s">
        <v>35</v>
      </c>
      <c r="F218" t="s">
        <v>89</v>
      </c>
      <c r="G218" s="23">
        <v>42796</v>
      </c>
      <c r="H218" t="s">
        <v>1098</v>
      </c>
      <c r="I218" t="s">
        <v>1099</v>
      </c>
      <c r="J218" t="s">
        <v>1100</v>
      </c>
    </row>
    <row r="219" spans="1:10">
      <c r="A219" t="s">
        <v>1101</v>
      </c>
      <c r="B219" t="s">
        <v>1101</v>
      </c>
      <c r="C219" t="s">
        <v>370</v>
      </c>
      <c r="D219">
        <v>13</v>
      </c>
      <c r="E219" t="s">
        <v>34</v>
      </c>
      <c r="F219" t="s">
        <v>57</v>
      </c>
      <c r="G219" s="23">
        <v>44145</v>
      </c>
      <c r="H219" t="s">
        <v>1102</v>
      </c>
      <c r="I219" t="s">
        <v>1103</v>
      </c>
      <c r="J219" t="s">
        <v>1104</v>
      </c>
    </row>
    <row r="220" spans="1:10">
      <c r="A220" t="s">
        <v>1105</v>
      </c>
      <c r="B220" t="s">
        <v>1105</v>
      </c>
      <c r="C220" t="s">
        <v>68</v>
      </c>
      <c r="D220">
        <v>58</v>
      </c>
      <c r="E220" t="s">
        <v>33</v>
      </c>
      <c r="F220" t="s">
        <v>63</v>
      </c>
      <c r="G220" s="23">
        <v>43372</v>
      </c>
      <c r="H220" t="s">
        <v>1106</v>
      </c>
      <c r="I220" t="s">
        <v>1107</v>
      </c>
      <c r="J220" t="s">
        <v>1108</v>
      </c>
    </row>
    <row r="221" spans="1:10">
      <c r="A221" t="s">
        <v>1109</v>
      </c>
      <c r="B221" t="s">
        <v>1109</v>
      </c>
      <c r="C221" t="s">
        <v>1110</v>
      </c>
      <c r="D221">
        <v>4</v>
      </c>
      <c r="E221" t="s">
        <v>34</v>
      </c>
      <c r="F221" t="s">
        <v>57</v>
      </c>
      <c r="G221" s="23">
        <v>46220</v>
      </c>
      <c r="H221" t="s">
        <v>1111</v>
      </c>
      <c r="I221" t="s">
        <v>1112</v>
      </c>
      <c r="J221" t="s">
        <v>1113</v>
      </c>
    </row>
    <row r="222" spans="1:10">
      <c r="A222" t="s">
        <v>1114</v>
      </c>
      <c r="B222" t="s">
        <v>1114</v>
      </c>
      <c r="C222" t="s">
        <v>812</v>
      </c>
      <c r="D222">
        <v>23</v>
      </c>
      <c r="E222" t="s">
        <v>34</v>
      </c>
      <c r="F222" t="s">
        <v>57</v>
      </c>
      <c r="G222" s="23">
        <v>45680</v>
      </c>
      <c r="H222" t="s">
        <v>1115</v>
      </c>
      <c r="I222" t="s">
        <v>1116</v>
      </c>
      <c r="J222" t="s">
        <v>1117</v>
      </c>
    </row>
    <row r="223" spans="1:10">
      <c r="A223" t="s">
        <v>1118</v>
      </c>
      <c r="B223" t="s">
        <v>1118</v>
      </c>
      <c r="C223" t="s">
        <v>1119</v>
      </c>
      <c r="D223">
        <v>33</v>
      </c>
      <c r="E223" t="s">
        <v>31</v>
      </c>
      <c r="F223" t="s">
        <v>63</v>
      </c>
      <c r="G223" s="23">
        <v>41450</v>
      </c>
      <c r="H223" t="s">
        <v>1120</v>
      </c>
      <c r="I223" t="s">
        <v>1121</v>
      </c>
      <c r="J223" t="s">
        <v>1122</v>
      </c>
    </row>
    <row r="224" spans="1:10">
      <c r="A224" t="s">
        <v>1123</v>
      </c>
      <c r="B224" t="s">
        <v>1123</v>
      </c>
      <c r="C224" t="s">
        <v>1124</v>
      </c>
      <c r="D224">
        <v>5</v>
      </c>
      <c r="E224" t="s">
        <v>33</v>
      </c>
      <c r="F224" t="s">
        <v>57</v>
      </c>
      <c r="G224" s="23">
        <v>45215</v>
      </c>
      <c r="H224" t="s">
        <v>1125</v>
      </c>
      <c r="I224" t="s">
        <v>1126</v>
      </c>
      <c r="J224" t="s">
        <v>1127</v>
      </c>
    </row>
    <row r="225" spans="1:10">
      <c r="A225" t="s">
        <v>1128</v>
      </c>
      <c r="B225" t="s">
        <v>1128</v>
      </c>
      <c r="C225" t="s">
        <v>1129</v>
      </c>
      <c r="D225">
        <v>7</v>
      </c>
      <c r="E225" t="s">
        <v>33</v>
      </c>
      <c r="F225" t="s">
        <v>63</v>
      </c>
      <c r="G225" s="23">
        <v>46013</v>
      </c>
      <c r="H225" t="s">
        <v>1130</v>
      </c>
      <c r="I225" t="s">
        <v>1131</v>
      </c>
      <c r="J225" t="s">
        <v>1132</v>
      </c>
    </row>
    <row r="226" spans="1:10">
      <c r="A226" t="s">
        <v>1133</v>
      </c>
      <c r="B226" t="s">
        <v>1133</v>
      </c>
      <c r="C226" t="s">
        <v>641</v>
      </c>
      <c r="D226">
        <v>6</v>
      </c>
      <c r="E226" t="s">
        <v>35</v>
      </c>
      <c r="F226" t="s">
        <v>57</v>
      </c>
      <c r="G226" s="23">
        <v>44657</v>
      </c>
      <c r="H226" t="s">
        <v>1134</v>
      </c>
      <c r="I226" t="s">
        <v>1135</v>
      </c>
      <c r="J226" t="s">
        <v>1136</v>
      </c>
    </row>
    <row r="227" spans="1:10">
      <c r="A227" t="s">
        <v>1137</v>
      </c>
      <c r="B227" t="s">
        <v>1137</v>
      </c>
      <c r="C227" t="s">
        <v>1054</v>
      </c>
      <c r="D227">
        <v>12</v>
      </c>
      <c r="E227" t="s">
        <v>35</v>
      </c>
      <c r="F227" t="s">
        <v>57</v>
      </c>
      <c r="G227" s="23">
        <v>44825</v>
      </c>
      <c r="H227" t="s">
        <v>1138</v>
      </c>
      <c r="I227" t="s">
        <v>1139</v>
      </c>
      <c r="J227" t="s">
        <v>1140</v>
      </c>
    </row>
    <row r="228" spans="1:10">
      <c r="A228" t="s">
        <v>1141</v>
      </c>
      <c r="B228" t="s">
        <v>1141</v>
      </c>
      <c r="C228" t="s">
        <v>1142</v>
      </c>
      <c r="D228">
        <v>17</v>
      </c>
      <c r="E228" t="s">
        <v>33</v>
      </c>
      <c r="F228" t="s">
        <v>57</v>
      </c>
      <c r="G228" s="23">
        <v>44900</v>
      </c>
      <c r="H228" t="s">
        <v>1143</v>
      </c>
      <c r="I228" t="s">
        <v>1144</v>
      </c>
      <c r="J228" t="s">
        <v>1145</v>
      </c>
    </row>
    <row r="229" spans="1:10">
      <c r="A229" t="s">
        <v>1146</v>
      </c>
      <c r="B229" t="s">
        <v>1146</v>
      </c>
      <c r="C229" t="s">
        <v>1022</v>
      </c>
      <c r="D229">
        <v>17</v>
      </c>
      <c r="E229" t="s">
        <v>33</v>
      </c>
      <c r="F229" t="s">
        <v>57</v>
      </c>
      <c r="G229" s="23">
        <v>44361</v>
      </c>
      <c r="H229" t="s">
        <v>1147</v>
      </c>
      <c r="I229" t="s">
        <v>1148</v>
      </c>
      <c r="J229" t="s">
        <v>1149</v>
      </c>
    </row>
    <row r="230" spans="1:10">
      <c r="A230" t="s">
        <v>1150</v>
      </c>
      <c r="B230" t="s">
        <v>1150</v>
      </c>
      <c r="C230" t="s">
        <v>1151</v>
      </c>
      <c r="D230">
        <v>11</v>
      </c>
      <c r="E230" t="s">
        <v>34</v>
      </c>
      <c r="F230" t="s">
        <v>57</v>
      </c>
      <c r="G230" s="23">
        <v>45733</v>
      </c>
      <c r="H230" t="s">
        <v>1152</v>
      </c>
      <c r="I230" t="s">
        <v>1153</v>
      </c>
      <c r="J230" t="s">
        <v>1154</v>
      </c>
    </row>
    <row r="231" spans="1:10">
      <c r="A231" t="s">
        <v>1155</v>
      </c>
      <c r="B231" t="s">
        <v>1155</v>
      </c>
      <c r="C231" t="s">
        <v>1156</v>
      </c>
      <c r="D231">
        <v>24</v>
      </c>
      <c r="E231" t="s">
        <v>29</v>
      </c>
      <c r="F231" t="s">
        <v>63</v>
      </c>
      <c r="G231" s="23">
        <v>42147</v>
      </c>
      <c r="H231" t="s">
        <v>1157</v>
      </c>
      <c r="I231" t="s">
        <v>1158</v>
      </c>
      <c r="J231" t="s">
        <v>1159</v>
      </c>
    </row>
    <row r="232" spans="1:10">
      <c r="A232" t="s">
        <v>1160</v>
      </c>
      <c r="B232" t="s">
        <v>1160</v>
      </c>
      <c r="C232" t="s">
        <v>1161</v>
      </c>
      <c r="D232">
        <v>6</v>
      </c>
      <c r="E232" t="s">
        <v>29</v>
      </c>
      <c r="F232" t="s">
        <v>63</v>
      </c>
      <c r="G232" s="23">
        <v>42309</v>
      </c>
      <c r="H232" t="s">
        <v>1162</v>
      </c>
      <c r="I232" t="s">
        <v>1163</v>
      </c>
      <c r="J232" t="s">
        <v>1164</v>
      </c>
    </row>
    <row r="233" spans="1:10">
      <c r="A233" t="s">
        <v>1165</v>
      </c>
      <c r="B233" t="s">
        <v>1165</v>
      </c>
      <c r="C233" t="s">
        <v>1166</v>
      </c>
      <c r="D233">
        <v>11</v>
      </c>
      <c r="E233" t="s">
        <v>31</v>
      </c>
      <c r="F233" t="s">
        <v>63</v>
      </c>
      <c r="G233" s="23">
        <v>44872</v>
      </c>
      <c r="H233" t="s">
        <v>1167</v>
      </c>
      <c r="I233" t="s">
        <v>1168</v>
      </c>
      <c r="J233" t="s">
        <v>1169</v>
      </c>
    </row>
    <row r="234" spans="1:10">
      <c r="A234" t="s">
        <v>1170</v>
      </c>
      <c r="B234" t="s">
        <v>1170</v>
      </c>
      <c r="C234" t="s">
        <v>1171</v>
      </c>
      <c r="D234">
        <v>9</v>
      </c>
      <c r="E234" t="s">
        <v>34</v>
      </c>
      <c r="F234" t="s">
        <v>57</v>
      </c>
      <c r="G234" s="23">
        <v>44400</v>
      </c>
      <c r="H234" t="s">
        <v>1172</v>
      </c>
      <c r="I234" t="s">
        <v>1173</v>
      </c>
      <c r="J234" t="s">
        <v>1174</v>
      </c>
    </row>
    <row r="235" spans="1:10">
      <c r="A235" t="s">
        <v>1175</v>
      </c>
      <c r="B235" t="s">
        <v>1175</v>
      </c>
      <c r="C235" t="s">
        <v>1176</v>
      </c>
      <c r="D235">
        <v>41</v>
      </c>
      <c r="E235" t="s">
        <v>29</v>
      </c>
      <c r="F235" t="s">
        <v>63</v>
      </c>
      <c r="G235" s="23">
        <v>42619</v>
      </c>
      <c r="H235" t="s">
        <v>1177</v>
      </c>
      <c r="I235" t="s">
        <v>1178</v>
      </c>
      <c r="J235" t="s">
        <v>1179</v>
      </c>
    </row>
    <row r="236" spans="1:10">
      <c r="A236" t="s">
        <v>1180</v>
      </c>
      <c r="B236" t="s">
        <v>1180</v>
      </c>
      <c r="C236" t="s">
        <v>1181</v>
      </c>
      <c r="D236">
        <v>25</v>
      </c>
      <c r="E236" t="s">
        <v>29</v>
      </c>
      <c r="F236" t="s">
        <v>63</v>
      </c>
      <c r="G236" s="23">
        <v>41572</v>
      </c>
      <c r="H236" t="s">
        <v>1182</v>
      </c>
      <c r="I236" t="s">
        <v>1183</v>
      </c>
      <c r="J236" t="s">
        <v>1184</v>
      </c>
    </row>
    <row r="237" spans="1:10">
      <c r="A237" t="s">
        <v>1185</v>
      </c>
      <c r="B237" t="s">
        <v>1185</v>
      </c>
      <c r="C237" t="s">
        <v>1186</v>
      </c>
      <c r="D237">
        <v>20</v>
      </c>
      <c r="E237" t="s">
        <v>35</v>
      </c>
      <c r="F237" t="s">
        <v>57</v>
      </c>
      <c r="G237" s="23">
        <v>44476</v>
      </c>
      <c r="H237" t="s">
        <v>1187</v>
      </c>
      <c r="I237" t="s">
        <v>1188</v>
      </c>
      <c r="J237" t="s">
        <v>1189</v>
      </c>
    </row>
    <row r="238" spans="1:10">
      <c r="A238" t="s">
        <v>1190</v>
      </c>
      <c r="B238" t="s">
        <v>1190</v>
      </c>
      <c r="C238" t="s">
        <v>935</v>
      </c>
      <c r="D238">
        <v>0</v>
      </c>
      <c r="E238" t="s">
        <v>33</v>
      </c>
      <c r="F238" t="s">
        <v>57</v>
      </c>
      <c r="G238" s="23">
        <v>44887</v>
      </c>
      <c r="H238" t="s">
        <v>1191</v>
      </c>
      <c r="I238" t="s">
        <v>1192</v>
      </c>
      <c r="J238" t="s">
        <v>1193</v>
      </c>
    </row>
    <row r="239" spans="1:10">
      <c r="A239" t="s">
        <v>1194</v>
      </c>
      <c r="B239" t="s">
        <v>1194</v>
      </c>
      <c r="C239" t="s">
        <v>1195</v>
      </c>
      <c r="D239">
        <v>8</v>
      </c>
      <c r="E239" t="s">
        <v>31</v>
      </c>
      <c r="F239" t="s">
        <v>63</v>
      </c>
      <c r="G239" s="23">
        <v>44341</v>
      </c>
      <c r="H239" t="s">
        <v>1196</v>
      </c>
      <c r="I239" t="s">
        <v>1197</v>
      </c>
      <c r="J239" t="s">
        <v>1198</v>
      </c>
    </row>
    <row r="240" spans="1:10">
      <c r="A240" t="s">
        <v>1199</v>
      </c>
      <c r="B240" t="s">
        <v>1199</v>
      </c>
      <c r="C240" t="s">
        <v>1200</v>
      </c>
      <c r="D240">
        <v>1</v>
      </c>
      <c r="E240" t="s">
        <v>35</v>
      </c>
      <c r="F240" t="s">
        <v>57</v>
      </c>
      <c r="G240" s="23">
        <v>45749</v>
      </c>
      <c r="H240" t="s">
        <v>1201</v>
      </c>
      <c r="I240" t="s">
        <v>1202</v>
      </c>
      <c r="J240" t="s">
        <v>1203</v>
      </c>
    </row>
    <row r="241" spans="1:10">
      <c r="A241" t="s">
        <v>1204</v>
      </c>
      <c r="B241" t="s">
        <v>1204</v>
      </c>
      <c r="C241" t="s">
        <v>1205</v>
      </c>
      <c r="D241">
        <v>9</v>
      </c>
      <c r="E241" t="s">
        <v>35</v>
      </c>
      <c r="F241" t="s">
        <v>57</v>
      </c>
      <c r="G241" s="23">
        <v>45899</v>
      </c>
      <c r="H241" t="s">
        <v>1206</v>
      </c>
      <c r="I241" t="s">
        <v>1207</v>
      </c>
      <c r="J241" t="s">
        <v>1208</v>
      </c>
    </row>
    <row r="242" spans="1:10">
      <c r="A242" t="s">
        <v>1209</v>
      </c>
      <c r="B242" t="s">
        <v>1209</v>
      </c>
      <c r="C242" t="s">
        <v>1210</v>
      </c>
      <c r="D242">
        <v>52</v>
      </c>
      <c r="E242" t="s">
        <v>29</v>
      </c>
      <c r="F242" t="s">
        <v>63</v>
      </c>
      <c r="G242" s="23">
        <v>43300</v>
      </c>
      <c r="H242" t="s">
        <v>1211</v>
      </c>
      <c r="I242" t="s">
        <v>1212</v>
      </c>
      <c r="J242" t="s">
        <v>1213</v>
      </c>
    </row>
    <row r="243" spans="1:10">
      <c r="A243" t="s">
        <v>1214</v>
      </c>
      <c r="B243" t="s">
        <v>1214</v>
      </c>
      <c r="C243" t="s">
        <v>1215</v>
      </c>
      <c r="D243">
        <v>10</v>
      </c>
      <c r="E243" t="s">
        <v>31</v>
      </c>
      <c r="F243" t="s">
        <v>63</v>
      </c>
      <c r="G243" s="23">
        <v>45717</v>
      </c>
      <c r="H243" t="s">
        <v>1216</v>
      </c>
      <c r="I243" t="s">
        <v>1217</v>
      </c>
      <c r="J243" t="s">
        <v>1218</v>
      </c>
    </row>
    <row r="244" spans="1:10">
      <c r="A244" t="s">
        <v>1219</v>
      </c>
      <c r="B244" t="s">
        <v>1219</v>
      </c>
      <c r="C244" t="s">
        <v>1220</v>
      </c>
      <c r="D244">
        <v>9</v>
      </c>
      <c r="E244" t="s">
        <v>31</v>
      </c>
      <c r="F244" t="s">
        <v>63</v>
      </c>
      <c r="G244" s="23">
        <v>42039</v>
      </c>
      <c r="H244" t="s">
        <v>1221</v>
      </c>
      <c r="I244" t="s">
        <v>1222</v>
      </c>
      <c r="J244" t="s">
        <v>1223</v>
      </c>
    </row>
    <row r="245" spans="1:10">
      <c r="A245" t="s">
        <v>1224</v>
      </c>
      <c r="B245" t="s">
        <v>1224</v>
      </c>
      <c r="C245" t="s">
        <v>1225</v>
      </c>
      <c r="D245">
        <v>17</v>
      </c>
      <c r="E245" t="s">
        <v>29</v>
      </c>
      <c r="F245" t="s">
        <v>63</v>
      </c>
      <c r="G245" s="23">
        <v>42304</v>
      </c>
      <c r="H245" t="s">
        <v>1226</v>
      </c>
      <c r="I245" t="s">
        <v>1227</v>
      </c>
      <c r="J245" t="s">
        <v>1228</v>
      </c>
    </row>
    <row r="246" spans="1:10">
      <c r="A246" t="s">
        <v>1229</v>
      </c>
      <c r="B246" t="s">
        <v>1229</v>
      </c>
      <c r="C246" t="s">
        <v>1230</v>
      </c>
      <c r="D246">
        <v>7</v>
      </c>
      <c r="E246" t="s">
        <v>31</v>
      </c>
      <c r="F246" t="s">
        <v>63</v>
      </c>
      <c r="G246" s="23">
        <v>42306</v>
      </c>
      <c r="H246" t="s">
        <v>1231</v>
      </c>
      <c r="I246" t="s">
        <v>1232</v>
      </c>
      <c r="J246" t="s">
        <v>1233</v>
      </c>
    </row>
    <row r="247" spans="1:10">
      <c r="A247" t="s">
        <v>1234</v>
      </c>
      <c r="B247" t="s">
        <v>1234</v>
      </c>
      <c r="C247" t="s">
        <v>1235</v>
      </c>
      <c r="D247">
        <v>48</v>
      </c>
      <c r="E247" t="s">
        <v>29</v>
      </c>
      <c r="F247" t="s">
        <v>63</v>
      </c>
      <c r="G247" s="23">
        <v>41552</v>
      </c>
      <c r="H247" t="s">
        <v>1236</v>
      </c>
      <c r="I247" t="s">
        <v>1237</v>
      </c>
      <c r="J247" t="s">
        <v>1238</v>
      </c>
    </row>
    <row r="248" spans="1:10">
      <c r="A248" t="s">
        <v>1239</v>
      </c>
      <c r="B248" t="s">
        <v>1239</v>
      </c>
      <c r="C248" t="s">
        <v>1235</v>
      </c>
      <c r="D248">
        <v>10</v>
      </c>
      <c r="E248" t="s">
        <v>29</v>
      </c>
      <c r="F248" t="s">
        <v>63</v>
      </c>
      <c r="G248" s="23">
        <v>42013</v>
      </c>
      <c r="H248" t="s">
        <v>1240</v>
      </c>
      <c r="I248" t="s">
        <v>1241</v>
      </c>
      <c r="J248" t="s">
        <v>1242</v>
      </c>
    </row>
    <row r="249" spans="1:10">
      <c r="A249" t="s">
        <v>1243</v>
      </c>
      <c r="B249" t="s">
        <v>1243</v>
      </c>
      <c r="C249" t="s">
        <v>1244</v>
      </c>
      <c r="D249">
        <v>6</v>
      </c>
      <c r="E249" t="s">
        <v>29</v>
      </c>
      <c r="F249" t="s">
        <v>63</v>
      </c>
      <c r="G249" s="23">
        <v>43471</v>
      </c>
      <c r="H249" t="s">
        <v>1245</v>
      </c>
      <c r="I249" t="s">
        <v>1246</v>
      </c>
      <c r="J249" t="s">
        <v>1247</v>
      </c>
    </row>
    <row r="250" spans="1:10">
      <c r="A250" t="s">
        <v>1248</v>
      </c>
      <c r="B250" t="s">
        <v>1248</v>
      </c>
      <c r="C250" t="s">
        <v>68</v>
      </c>
      <c r="D250">
        <v>18</v>
      </c>
      <c r="E250" t="s">
        <v>29</v>
      </c>
      <c r="F250" t="s">
        <v>63</v>
      </c>
      <c r="G250" s="23">
        <v>41572</v>
      </c>
      <c r="H250" t="s">
        <v>1249</v>
      </c>
      <c r="I250" t="s">
        <v>1250</v>
      </c>
      <c r="J250" t="s">
        <v>1251</v>
      </c>
    </row>
    <row r="251" spans="1:10">
      <c r="A251" t="s">
        <v>1252</v>
      </c>
      <c r="B251" t="s">
        <v>1252</v>
      </c>
      <c r="C251" t="s">
        <v>1253</v>
      </c>
      <c r="D251">
        <v>11</v>
      </c>
      <c r="E251" t="s">
        <v>29</v>
      </c>
      <c r="F251" t="s">
        <v>63</v>
      </c>
      <c r="G251" s="23">
        <v>42208</v>
      </c>
      <c r="H251" t="s">
        <v>1254</v>
      </c>
      <c r="I251" t="s">
        <v>1255</v>
      </c>
      <c r="J251" t="s">
        <v>1256</v>
      </c>
    </row>
    <row r="252" spans="1:10">
      <c r="A252" t="s">
        <v>1257</v>
      </c>
      <c r="B252" t="s">
        <v>1257</v>
      </c>
      <c r="C252" t="s">
        <v>1258</v>
      </c>
      <c r="D252">
        <v>15</v>
      </c>
      <c r="E252" t="s">
        <v>29</v>
      </c>
      <c r="F252" t="s">
        <v>63</v>
      </c>
      <c r="G252" s="23">
        <v>42224</v>
      </c>
      <c r="H252" t="s">
        <v>1259</v>
      </c>
      <c r="I252" t="s">
        <v>1260</v>
      </c>
      <c r="J252" t="s">
        <v>1261</v>
      </c>
    </row>
    <row r="253" spans="1:10">
      <c r="A253" t="s">
        <v>1262</v>
      </c>
      <c r="B253" t="s">
        <v>1262</v>
      </c>
      <c r="C253" t="s">
        <v>1263</v>
      </c>
      <c r="D253">
        <v>0</v>
      </c>
      <c r="E253" t="s">
        <v>27</v>
      </c>
      <c r="F253" t="s">
        <v>63</v>
      </c>
      <c r="G253" s="23">
        <v>45876</v>
      </c>
      <c r="H253" t="s">
        <v>1264</v>
      </c>
      <c r="I253" t="s">
        <v>1265</v>
      </c>
      <c r="J253" t="s">
        <v>1266</v>
      </c>
    </row>
    <row r="254" spans="1:10">
      <c r="A254" t="s">
        <v>1267</v>
      </c>
      <c r="B254" t="s">
        <v>1267</v>
      </c>
      <c r="C254" t="s">
        <v>1268</v>
      </c>
      <c r="D254">
        <v>1</v>
      </c>
      <c r="E254" t="s">
        <v>29</v>
      </c>
      <c r="F254" t="s">
        <v>63</v>
      </c>
      <c r="G254" s="23">
        <v>42579</v>
      </c>
      <c r="H254" t="s">
        <v>1269</v>
      </c>
      <c r="I254" t="s">
        <v>1270</v>
      </c>
      <c r="J254" t="s">
        <v>1271</v>
      </c>
    </row>
    <row r="255" spans="1:10">
      <c r="A255" t="s">
        <v>1272</v>
      </c>
      <c r="B255" t="s">
        <v>1272</v>
      </c>
      <c r="C255" t="s">
        <v>1268</v>
      </c>
      <c r="D255">
        <v>1</v>
      </c>
      <c r="E255" t="s">
        <v>29</v>
      </c>
      <c r="F255" t="s">
        <v>63</v>
      </c>
      <c r="G255" s="23">
        <v>43895</v>
      </c>
      <c r="H255" t="s">
        <v>1273</v>
      </c>
      <c r="I255" t="s">
        <v>1274</v>
      </c>
      <c r="J255" t="s">
        <v>1275</v>
      </c>
    </row>
    <row r="256" spans="1:10">
      <c r="A256" t="s">
        <v>1276</v>
      </c>
      <c r="B256" t="s">
        <v>1276</v>
      </c>
      <c r="C256" t="s">
        <v>1277</v>
      </c>
      <c r="D256">
        <v>1</v>
      </c>
      <c r="E256" t="s">
        <v>29</v>
      </c>
      <c r="F256" t="s">
        <v>63</v>
      </c>
      <c r="G256" s="23">
        <v>42322</v>
      </c>
      <c r="H256" t="s">
        <v>1278</v>
      </c>
      <c r="I256" t="s">
        <v>1279</v>
      </c>
      <c r="J256" t="s">
        <v>1280</v>
      </c>
    </row>
    <row r="257" spans="1:10">
      <c r="A257" t="s">
        <v>1281</v>
      </c>
      <c r="B257" t="s">
        <v>1281</v>
      </c>
      <c r="C257" t="s">
        <v>1282</v>
      </c>
      <c r="D257">
        <v>4</v>
      </c>
      <c r="E257" t="s">
        <v>31</v>
      </c>
      <c r="F257" t="s">
        <v>63</v>
      </c>
      <c r="G257" s="23">
        <v>44908</v>
      </c>
      <c r="H257" t="s">
        <v>1283</v>
      </c>
      <c r="I257" t="s">
        <v>1284</v>
      </c>
      <c r="J257" t="s">
        <v>1285</v>
      </c>
    </row>
    <row r="258" spans="1:10">
      <c r="A258" t="s">
        <v>1286</v>
      </c>
      <c r="B258" t="s">
        <v>1286</v>
      </c>
      <c r="C258" t="s">
        <v>1282</v>
      </c>
      <c r="D258">
        <v>5</v>
      </c>
      <c r="E258" t="s">
        <v>34</v>
      </c>
      <c r="F258" t="s">
        <v>63</v>
      </c>
      <c r="G258" s="23">
        <v>44505</v>
      </c>
      <c r="H258" t="s">
        <v>1287</v>
      </c>
      <c r="I258" t="s">
        <v>1288</v>
      </c>
      <c r="J258" t="s">
        <v>1289</v>
      </c>
    </row>
    <row r="259" spans="1:10">
      <c r="A259" t="s">
        <v>1290</v>
      </c>
      <c r="B259" t="s">
        <v>1290</v>
      </c>
      <c r="C259" t="s">
        <v>1291</v>
      </c>
      <c r="D259">
        <v>5</v>
      </c>
      <c r="E259" t="s">
        <v>31</v>
      </c>
      <c r="F259" t="s">
        <v>63</v>
      </c>
      <c r="G259" s="23">
        <v>44971</v>
      </c>
      <c r="H259" t="s">
        <v>1292</v>
      </c>
      <c r="I259" t="s">
        <v>1293</v>
      </c>
      <c r="J259" t="s">
        <v>1294</v>
      </c>
    </row>
    <row r="260" spans="1:10">
      <c r="A260" t="s">
        <v>1295</v>
      </c>
      <c r="B260" t="s">
        <v>1295</v>
      </c>
      <c r="C260" t="s">
        <v>1296</v>
      </c>
      <c r="D260">
        <v>6</v>
      </c>
      <c r="E260" t="s">
        <v>29</v>
      </c>
      <c r="F260" t="s">
        <v>63</v>
      </c>
      <c r="G260" s="23">
        <v>41856</v>
      </c>
      <c r="H260" t="s">
        <v>1297</v>
      </c>
      <c r="I260" t="s">
        <v>1298</v>
      </c>
      <c r="J260" t="s">
        <v>1299</v>
      </c>
    </row>
    <row r="261" spans="1:10">
      <c r="A261" t="s">
        <v>1300</v>
      </c>
      <c r="B261" t="s">
        <v>1300</v>
      </c>
      <c r="C261" t="s">
        <v>1301</v>
      </c>
      <c r="D261">
        <v>9</v>
      </c>
      <c r="E261" t="s">
        <v>27</v>
      </c>
      <c r="F261" t="s">
        <v>63</v>
      </c>
      <c r="G261" s="23">
        <v>42275</v>
      </c>
      <c r="H261" t="s">
        <v>1302</v>
      </c>
      <c r="I261" t="s">
        <v>1303</v>
      </c>
      <c r="J261" t="s">
        <v>1304</v>
      </c>
    </row>
    <row r="262" spans="1:10">
      <c r="A262" t="s">
        <v>1305</v>
      </c>
      <c r="B262" t="s">
        <v>1305</v>
      </c>
      <c r="C262" t="s">
        <v>1306</v>
      </c>
      <c r="D262">
        <v>67</v>
      </c>
      <c r="E262" t="s">
        <v>31</v>
      </c>
      <c r="F262" t="s">
        <v>63</v>
      </c>
      <c r="G262" s="23">
        <v>45199</v>
      </c>
      <c r="H262" t="s">
        <v>1307</v>
      </c>
      <c r="I262" t="s">
        <v>1308</v>
      </c>
      <c r="J262" t="s">
        <v>1309</v>
      </c>
    </row>
    <row r="263" spans="1:10">
      <c r="A263" t="s">
        <v>1310</v>
      </c>
      <c r="B263" t="s">
        <v>1310</v>
      </c>
      <c r="C263" t="s">
        <v>1306</v>
      </c>
      <c r="D263">
        <v>68</v>
      </c>
      <c r="E263" t="s">
        <v>31</v>
      </c>
      <c r="F263" t="s">
        <v>63</v>
      </c>
      <c r="G263" s="23">
        <v>45420</v>
      </c>
      <c r="H263" t="s">
        <v>1311</v>
      </c>
      <c r="I263" t="s">
        <v>1312</v>
      </c>
      <c r="J263" t="s">
        <v>1313</v>
      </c>
    </row>
    <row r="264" spans="1:10">
      <c r="A264" t="s">
        <v>1314</v>
      </c>
      <c r="B264" t="s">
        <v>1314</v>
      </c>
      <c r="C264" t="s">
        <v>1306</v>
      </c>
      <c r="D264">
        <v>44</v>
      </c>
      <c r="E264" t="s">
        <v>31</v>
      </c>
      <c r="F264" t="s">
        <v>63</v>
      </c>
      <c r="G264" s="23">
        <v>45232</v>
      </c>
      <c r="H264" t="s">
        <v>1315</v>
      </c>
      <c r="I264" t="s">
        <v>1316</v>
      </c>
      <c r="J264" t="s">
        <v>1317</v>
      </c>
    </row>
    <row r="265" spans="1:10">
      <c r="A265" t="s">
        <v>1318</v>
      </c>
      <c r="B265" t="s">
        <v>1318</v>
      </c>
      <c r="C265" t="s">
        <v>1306</v>
      </c>
      <c r="D265">
        <v>70</v>
      </c>
      <c r="E265" t="s">
        <v>31</v>
      </c>
      <c r="F265" t="s">
        <v>63</v>
      </c>
      <c r="G265" s="23">
        <v>45391</v>
      </c>
      <c r="H265" t="s">
        <v>1319</v>
      </c>
      <c r="I265" t="s">
        <v>1320</v>
      </c>
      <c r="J265" t="s">
        <v>1321</v>
      </c>
    </row>
    <row r="266" spans="1:10">
      <c r="A266" t="s">
        <v>1322</v>
      </c>
      <c r="B266" t="s">
        <v>1322</v>
      </c>
      <c r="C266" t="s">
        <v>1323</v>
      </c>
      <c r="D266">
        <v>6</v>
      </c>
      <c r="E266" t="s">
        <v>27</v>
      </c>
      <c r="F266" t="s">
        <v>63</v>
      </c>
      <c r="G266" s="23">
        <v>42293</v>
      </c>
      <c r="H266" t="s">
        <v>1324</v>
      </c>
      <c r="I266" t="s">
        <v>1325</v>
      </c>
      <c r="J266" t="s">
        <v>1326</v>
      </c>
    </row>
    <row r="267" spans="1:10">
      <c r="A267" t="s">
        <v>1327</v>
      </c>
      <c r="B267" t="s">
        <v>1327</v>
      </c>
      <c r="C267" t="s">
        <v>1054</v>
      </c>
      <c r="D267">
        <v>28</v>
      </c>
      <c r="E267" t="s">
        <v>34</v>
      </c>
      <c r="F267" t="s">
        <v>57</v>
      </c>
      <c r="G267" s="23">
        <v>44534</v>
      </c>
      <c r="H267" t="s">
        <v>1328</v>
      </c>
      <c r="I267" t="s">
        <v>1329</v>
      </c>
      <c r="J267" t="s">
        <v>1330</v>
      </c>
    </row>
    <row r="268" spans="1:10">
      <c r="A268" t="s">
        <v>1331</v>
      </c>
      <c r="B268" t="s">
        <v>1331</v>
      </c>
      <c r="C268" t="s">
        <v>1332</v>
      </c>
      <c r="D268">
        <v>12</v>
      </c>
      <c r="E268" t="s">
        <v>34</v>
      </c>
      <c r="F268" t="s">
        <v>57</v>
      </c>
      <c r="G268" s="23">
        <v>44666</v>
      </c>
      <c r="H268" t="s">
        <v>1333</v>
      </c>
      <c r="I268" t="s">
        <v>1334</v>
      </c>
      <c r="J268" t="s">
        <v>1335</v>
      </c>
    </row>
    <row r="269" spans="1:10">
      <c r="A269" t="s">
        <v>1336</v>
      </c>
      <c r="B269" t="s">
        <v>1336</v>
      </c>
      <c r="C269" t="s">
        <v>1332</v>
      </c>
      <c r="D269">
        <v>26</v>
      </c>
      <c r="E269" t="s">
        <v>34</v>
      </c>
      <c r="F269" t="s">
        <v>57</v>
      </c>
      <c r="G269" s="23">
        <v>45243</v>
      </c>
      <c r="H269" t="s">
        <v>1337</v>
      </c>
      <c r="I269" t="s">
        <v>1338</v>
      </c>
      <c r="J269" t="s">
        <v>1339</v>
      </c>
    </row>
    <row r="270" spans="1:10">
      <c r="A270" t="s">
        <v>1340</v>
      </c>
      <c r="B270" t="s">
        <v>1340</v>
      </c>
      <c r="C270" t="s">
        <v>713</v>
      </c>
      <c r="D270">
        <v>11</v>
      </c>
      <c r="E270" t="s">
        <v>31</v>
      </c>
      <c r="F270" t="s">
        <v>57</v>
      </c>
      <c r="G270" s="23">
        <v>43920</v>
      </c>
      <c r="H270" t="s">
        <v>1341</v>
      </c>
      <c r="I270" t="s">
        <v>1342</v>
      </c>
      <c r="J270" t="s">
        <v>1343</v>
      </c>
    </row>
    <row r="271" spans="1:10">
      <c r="A271" t="s">
        <v>1344</v>
      </c>
      <c r="B271" t="s">
        <v>1344</v>
      </c>
      <c r="C271" t="s">
        <v>1345</v>
      </c>
      <c r="D271">
        <v>10</v>
      </c>
      <c r="E271" t="s">
        <v>34</v>
      </c>
      <c r="F271" t="s">
        <v>57</v>
      </c>
      <c r="G271" s="23">
        <v>43754</v>
      </c>
      <c r="H271" t="s">
        <v>1346</v>
      </c>
      <c r="I271" t="s">
        <v>1347</v>
      </c>
      <c r="J271" t="s">
        <v>1348</v>
      </c>
    </row>
    <row r="272" spans="1:10">
      <c r="A272" t="s">
        <v>1349</v>
      </c>
      <c r="B272" t="s">
        <v>1349</v>
      </c>
      <c r="C272" t="s">
        <v>1350</v>
      </c>
      <c r="D272">
        <v>6</v>
      </c>
      <c r="E272" t="s">
        <v>35</v>
      </c>
      <c r="F272" t="s">
        <v>57</v>
      </c>
      <c r="G272" s="23">
        <v>44700</v>
      </c>
      <c r="H272" t="s">
        <v>1351</v>
      </c>
      <c r="I272" t="s">
        <v>1352</v>
      </c>
      <c r="J272" t="s">
        <v>1353</v>
      </c>
    </row>
    <row r="273" spans="1:10">
      <c r="A273" t="s">
        <v>1354</v>
      </c>
      <c r="B273" t="s">
        <v>1354</v>
      </c>
      <c r="C273" t="s">
        <v>1355</v>
      </c>
      <c r="D273">
        <v>11</v>
      </c>
      <c r="E273" t="s">
        <v>33</v>
      </c>
      <c r="F273" t="s">
        <v>57</v>
      </c>
      <c r="G273" s="23">
        <v>44513</v>
      </c>
      <c r="H273" t="s">
        <v>1356</v>
      </c>
      <c r="I273" t="s">
        <v>1357</v>
      </c>
      <c r="J273" t="s">
        <v>1358</v>
      </c>
    </row>
    <row r="274" spans="1:10">
      <c r="A274" t="s">
        <v>1359</v>
      </c>
      <c r="B274" t="s">
        <v>1359</v>
      </c>
      <c r="C274" t="s">
        <v>1244</v>
      </c>
      <c r="D274">
        <v>23</v>
      </c>
      <c r="E274" t="s">
        <v>29</v>
      </c>
      <c r="F274" t="s">
        <v>63</v>
      </c>
      <c r="G274" s="23">
        <v>43657</v>
      </c>
      <c r="H274" t="s">
        <v>1360</v>
      </c>
      <c r="I274" t="s">
        <v>1361</v>
      </c>
      <c r="J274" t="s">
        <v>1362</v>
      </c>
    </row>
    <row r="275" spans="1:10">
      <c r="A275" t="s">
        <v>1363</v>
      </c>
      <c r="B275" t="s">
        <v>1363</v>
      </c>
      <c r="C275" t="s">
        <v>1364</v>
      </c>
      <c r="D275">
        <v>4</v>
      </c>
      <c r="E275" t="s">
        <v>29</v>
      </c>
      <c r="F275" t="s">
        <v>63</v>
      </c>
      <c r="G275" s="23">
        <v>45049</v>
      </c>
      <c r="H275" t="s">
        <v>1365</v>
      </c>
      <c r="I275" t="s">
        <v>1366</v>
      </c>
      <c r="J275" t="s">
        <v>1367</v>
      </c>
    </row>
    <row r="276" spans="1:10">
      <c r="A276" t="s">
        <v>1368</v>
      </c>
      <c r="B276" t="s">
        <v>1368</v>
      </c>
      <c r="C276" t="s">
        <v>1369</v>
      </c>
      <c r="D276">
        <v>12</v>
      </c>
      <c r="E276" t="s">
        <v>34</v>
      </c>
      <c r="F276" t="s">
        <v>57</v>
      </c>
      <c r="G276" s="23">
        <v>45952</v>
      </c>
      <c r="H276" t="s">
        <v>1370</v>
      </c>
      <c r="I276" t="s">
        <v>1371</v>
      </c>
      <c r="J276" t="s">
        <v>1372</v>
      </c>
    </row>
    <row r="277" spans="1:10">
      <c r="A277" t="s">
        <v>1373</v>
      </c>
      <c r="B277" t="s">
        <v>1373</v>
      </c>
      <c r="C277" t="s">
        <v>1374</v>
      </c>
      <c r="D277">
        <v>5</v>
      </c>
      <c r="E277" t="s">
        <v>33</v>
      </c>
      <c r="F277" t="s">
        <v>57</v>
      </c>
      <c r="G277" s="23">
        <v>46214</v>
      </c>
      <c r="H277" t="s">
        <v>1375</v>
      </c>
      <c r="I277" t="s">
        <v>1376</v>
      </c>
      <c r="J277" t="s">
        <v>1377</v>
      </c>
    </row>
    <row r="278" spans="1:10">
      <c r="A278" t="s">
        <v>1378</v>
      </c>
      <c r="B278" t="s">
        <v>1378</v>
      </c>
      <c r="C278" t="s">
        <v>1379</v>
      </c>
      <c r="D278">
        <v>5</v>
      </c>
      <c r="E278" t="s">
        <v>31</v>
      </c>
      <c r="F278" t="s">
        <v>571</v>
      </c>
      <c r="G278" s="23">
        <v>45743</v>
      </c>
      <c r="H278" t="s">
        <v>1380</v>
      </c>
      <c r="I278" t="s">
        <v>1381</v>
      </c>
      <c r="J278" t="s">
        <v>1382</v>
      </c>
    </row>
    <row r="279" spans="1:10">
      <c r="A279" t="s">
        <v>1383</v>
      </c>
      <c r="B279" t="s">
        <v>1383</v>
      </c>
      <c r="C279" t="s">
        <v>1384</v>
      </c>
      <c r="D279">
        <v>98</v>
      </c>
      <c r="E279" t="s">
        <v>31</v>
      </c>
      <c r="F279" t="s">
        <v>63</v>
      </c>
      <c r="G279" s="23">
        <v>41644</v>
      </c>
      <c r="H279" t="s">
        <v>1385</v>
      </c>
      <c r="I279" t="s">
        <v>1386</v>
      </c>
      <c r="J279" t="s">
        <v>1387</v>
      </c>
    </row>
    <row r="280" spans="1:10">
      <c r="A280" t="s">
        <v>1388</v>
      </c>
      <c r="B280" t="s">
        <v>1388</v>
      </c>
      <c r="C280" t="s">
        <v>1389</v>
      </c>
      <c r="D280">
        <v>12</v>
      </c>
      <c r="E280" t="s">
        <v>33</v>
      </c>
      <c r="F280" t="s">
        <v>57</v>
      </c>
      <c r="G280" s="23">
        <v>45022</v>
      </c>
      <c r="H280" t="s">
        <v>1390</v>
      </c>
      <c r="I280" t="s">
        <v>1391</v>
      </c>
      <c r="J280" t="s">
        <v>1392</v>
      </c>
    </row>
    <row r="281" spans="1:10">
      <c r="A281" t="s">
        <v>1393</v>
      </c>
      <c r="B281" t="s">
        <v>1393</v>
      </c>
      <c r="C281" t="s">
        <v>1389</v>
      </c>
      <c r="D281">
        <v>25</v>
      </c>
      <c r="E281" t="s">
        <v>34</v>
      </c>
      <c r="F281" t="s">
        <v>57</v>
      </c>
      <c r="G281" s="23">
        <v>45329</v>
      </c>
      <c r="H281" t="s">
        <v>1394</v>
      </c>
      <c r="I281" t="s">
        <v>1395</v>
      </c>
      <c r="J281" t="s">
        <v>1396</v>
      </c>
    </row>
    <row r="282" spans="1:10">
      <c r="A282" t="s">
        <v>1397</v>
      </c>
      <c r="B282" t="s">
        <v>1397</v>
      </c>
      <c r="C282" t="s">
        <v>1389</v>
      </c>
      <c r="D282">
        <v>21</v>
      </c>
      <c r="E282" t="s">
        <v>34</v>
      </c>
      <c r="F282" t="s">
        <v>57</v>
      </c>
      <c r="G282" s="23">
        <v>45419</v>
      </c>
      <c r="H282" t="s">
        <v>1398</v>
      </c>
      <c r="I282" t="s">
        <v>1399</v>
      </c>
      <c r="J282" t="s">
        <v>1400</v>
      </c>
    </row>
    <row r="283" spans="1:10">
      <c r="A283" t="s">
        <v>1401</v>
      </c>
      <c r="B283" t="s">
        <v>1401</v>
      </c>
      <c r="C283" t="s">
        <v>1402</v>
      </c>
      <c r="D283">
        <v>80</v>
      </c>
      <c r="E283" t="s">
        <v>31</v>
      </c>
      <c r="F283" t="s">
        <v>63</v>
      </c>
      <c r="G283" s="23">
        <v>44828</v>
      </c>
      <c r="H283" t="s">
        <v>1403</v>
      </c>
      <c r="I283" t="s">
        <v>1404</v>
      </c>
      <c r="J283" t="s">
        <v>1405</v>
      </c>
    </row>
    <row r="284" spans="1:10">
      <c r="A284" t="s">
        <v>1406</v>
      </c>
      <c r="B284" t="s">
        <v>1406</v>
      </c>
      <c r="C284" t="s">
        <v>1407</v>
      </c>
      <c r="D284">
        <v>24</v>
      </c>
      <c r="E284" t="s">
        <v>33</v>
      </c>
      <c r="F284" t="s">
        <v>57</v>
      </c>
      <c r="G284" s="23">
        <v>45137</v>
      </c>
      <c r="H284" t="s">
        <v>1408</v>
      </c>
      <c r="I284" t="s">
        <v>1409</v>
      </c>
      <c r="J284" t="s">
        <v>1410</v>
      </c>
    </row>
    <row r="285" spans="1:10">
      <c r="A285" t="s">
        <v>1411</v>
      </c>
      <c r="B285" t="s">
        <v>1411</v>
      </c>
      <c r="C285" t="s">
        <v>1407</v>
      </c>
      <c r="D285">
        <v>19</v>
      </c>
      <c r="E285" t="s">
        <v>33</v>
      </c>
      <c r="F285" t="s">
        <v>57</v>
      </c>
      <c r="G285" s="23">
        <v>43627</v>
      </c>
      <c r="H285" t="s">
        <v>1412</v>
      </c>
      <c r="I285" t="s">
        <v>1413</v>
      </c>
      <c r="J285" t="s">
        <v>1414</v>
      </c>
    </row>
    <row r="286" spans="1:10">
      <c r="A286" t="s">
        <v>1415</v>
      </c>
      <c r="B286" t="s">
        <v>1415</v>
      </c>
      <c r="C286" t="s">
        <v>1407</v>
      </c>
      <c r="D286">
        <v>19</v>
      </c>
      <c r="E286" t="s">
        <v>33</v>
      </c>
      <c r="F286" t="s">
        <v>57</v>
      </c>
      <c r="G286" s="23">
        <v>44073</v>
      </c>
      <c r="H286" t="s">
        <v>1416</v>
      </c>
      <c r="I286" t="s">
        <v>1417</v>
      </c>
      <c r="J286" t="s">
        <v>1418</v>
      </c>
    </row>
    <row r="287" spans="1:10">
      <c r="A287" t="s">
        <v>1419</v>
      </c>
      <c r="B287" t="s">
        <v>1419</v>
      </c>
      <c r="C287" t="s">
        <v>1420</v>
      </c>
      <c r="D287">
        <v>11</v>
      </c>
      <c r="E287" t="s">
        <v>34</v>
      </c>
      <c r="F287" t="s">
        <v>57</v>
      </c>
      <c r="G287" s="23">
        <v>45062</v>
      </c>
      <c r="H287" t="s">
        <v>1421</v>
      </c>
      <c r="I287" t="s">
        <v>1422</v>
      </c>
      <c r="J287" t="s">
        <v>1423</v>
      </c>
    </row>
    <row r="288" spans="1:10">
      <c r="A288" t="s">
        <v>1424</v>
      </c>
      <c r="B288" t="s">
        <v>1424</v>
      </c>
      <c r="C288" t="s">
        <v>1420</v>
      </c>
      <c r="D288">
        <v>16</v>
      </c>
      <c r="E288" t="s">
        <v>35</v>
      </c>
      <c r="F288" t="s">
        <v>57</v>
      </c>
      <c r="G288" s="23">
        <v>45539</v>
      </c>
      <c r="H288" t="s">
        <v>1425</v>
      </c>
      <c r="I288" t="s">
        <v>1426</v>
      </c>
      <c r="J288" t="s">
        <v>1427</v>
      </c>
    </row>
    <row r="289" spans="1:10">
      <c r="A289" t="s">
        <v>1428</v>
      </c>
      <c r="B289" t="s">
        <v>1428</v>
      </c>
      <c r="C289" t="s">
        <v>1429</v>
      </c>
      <c r="D289">
        <v>10</v>
      </c>
      <c r="E289" t="s">
        <v>34</v>
      </c>
      <c r="F289" t="s">
        <v>63</v>
      </c>
      <c r="G289" s="23">
        <v>44143</v>
      </c>
      <c r="H289" t="s">
        <v>1430</v>
      </c>
      <c r="I289" t="s">
        <v>1431</v>
      </c>
      <c r="J289" t="s">
        <v>1432</v>
      </c>
    </row>
    <row r="290" spans="1:10">
      <c r="A290" t="s">
        <v>1433</v>
      </c>
      <c r="B290" t="s">
        <v>1433</v>
      </c>
      <c r="C290" t="s">
        <v>1434</v>
      </c>
      <c r="D290">
        <v>1</v>
      </c>
      <c r="E290" t="s">
        <v>33</v>
      </c>
      <c r="F290" t="s">
        <v>57</v>
      </c>
      <c r="G290" s="23">
        <v>45767</v>
      </c>
      <c r="H290" t="s">
        <v>1435</v>
      </c>
      <c r="I290" t="s">
        <v>1436</v>
      </c>
      <c r="J290" t="s">
        <v>1437</v>
      </c>
    </row>
    <row r="291" spans="1:10">
      <c r="A291" t="s">
        <v>1438</v>
      </c>
      <c r="B291" t="s">
        <v>1438</v>
      </c>
      <c r="C291" t="s">
        <v>812</v>
      </c>
      <c r="D291">
        <v>10</v>
      </c>
      <c r="E291" t="s">
        <v>33</v>
      </c>
      <c r="F291" t="s">
        <v>57</v>
      </c>
      <c r="G291" s="23">
        <v>45833</v>
      </c>
      <c r="H291" t="s">
        <v>1439</v>
      </c>
      <c r="I291" t="s">
        <v>1440</v>
      </c>
      <c r="J291" t="s">
        <v>1441</v>
      </c>
    </row>
    <row r="292" spans="1:10">
      <c r="A292" t="s">
        <v>1442</v>
      </c>
      <c r="B292" t="s">
        <v>1442</v>
      </c>
      <c r="C292" t="s">
        <v>547</v>
      </c>
      <c r="D292">
        <v>6</v>
      </c>
      <c r="E292" t="s">
        <v>31</v>
      </c>
      <c r="F292" t="s">
        <v>63</v>
      </c>
      <c r="G292" s="23">
        <v>43651</v>
      </c>
      <c r="H292" t="s">
        <v>1443</v>
      </c>
      <c r="I292" t="s">
        <v>1444</v>
      </c>
      <c r="J292" t="s">
        <v>1445</v>
      </c>
    </row>
    <row r="293" spans="1:10">
      <c r="A293" t="s">
        <v>1446</v>
      </c>
      <c r="B293" t="s">
        <v>1446</v>
      </c>
      <c r="C293" t="s">
        <v>68</v>
      </c>
      <c r="D293">
        <v>5</v>
      </c>
      <c r="E293" t="s">
        <v>31</v>
      </c>
      <c r="F293" t="s">
        <v>63</v>
      </c>
      <c r="G293" s="23">
        <v>41900</v>
      </c>
      <c r="H293" t="s">
        <v>1447</v>
      </c>
      <c r="I293" t="s">
        <v>1448</v>
      </c>
      <c r="J293" t="s">
        <v>1449</v>
      </c>
    </row>
    <row r="294" spans="1:10">
      <c r="A294" t="s">
        <v>1450</v>
      </c>
      <c r="B294" t="s">
        <v>1450</v>
      </c>
      <c r="C294" t="s">
        <v>104</v>
      </c>
      <c r="D294">
        <v>1</v>
      </c>
      <c r="E294" t="s">
        <v>35</v>
      </c>
      <c r="F294" t="s">
        <v>57</v>
      </c>
      <c r="G294" s="23">
        <v>44798</v>
      </c>
      <c r="H294" t="s">
        <v>1451</v>
      </c>
      <c r="I294" t="s">
        <v>1452</v>
      </c>
      <c r="J294" t="s">
        <v>1453</v>
      </c>
    </row>
    <row r="295" spans="1:10">
      <c r="A295" t="s">
        <v>1454</v>
      </c>
      <c r="B295" t="s">
        <v>1454</v>
      </c>
      <c r="C295" t="s">
        <v>895</v>
      </c>
      <c r="D295">
        <v>1</v>
      </c>
      <c r="E295" t="s">
        <v>34</v>
      </c>
      <c r="F295" t="s">
        <v>57</v>
      </c>
      <c r="G295" s="23">
        <v>42674</v>
      </c>
      <c r="H295" t="s">
        <v>1455</v>
      </c>
      <c r="I295" t="s">
        <v>1456</v>
      </c>
      <c r="J295" t="s">
        <v>1457</v>
      </c>
    </row>
    <row r="296" spans="1:10">
      <c r="A296" t="s">
        <v>1458</v>
      </c>
      <c r="B296" t="s">
        <v>1458</v>
      </c>
      <c r="C296" t="s">
        <v>1459</v>
      </c>
      <c r="D296">
        <v>6</v>
      </c>
      <c r="E296" t="s">
        <v>34</v>
      </c>
      <c r="F296" t="s">
        <v>57</v>
      </c>
      <c r="G296" s="23">
        <v>46080</v>
      </c>
      <c r="H296" t="s">
        <v>1460</v>
      </c>
      <c r="I296" t="s">
        <v>1461</v>
      </c>
      <c r="J296" t="s">
        <v>1462</v>
      </c>
    </row>
    <row r="297" spans="1:10">
      <c r="A297" t="s">
        <v>1463</v>
      </c>
      <c r="B297" t="s">
        <v>1463</v>
      </c>
      <c r="C297" t="s">
        <v>1464</v>
      </c>
      <c r="D297">
        <v>12</v>
      </c>
      <c r="E297" t="s">
        <v>33</v>
      </c>
      <c r="F297" t="s">
        <v>57</v>
      </c>
      <c r="G297" s="23">
        <v>45540</v>
      </c>
      <c r="H297" t="s">
        <v>1465</v>
      </c>
      <c r="I297" t="s">
        <v>1466</v>
      </c>
      <c r="J297" t="s">
        <v>1467</v>
      </c>
    </row>
    <row r="298" spans="1:10">
      <c r="A298" t="s">
        <v>1468</v>
      </c>
      <c r="B298" t="s">
        <v>1468</v>
      </c>
      <c r="C298" t="s">
        <v>1464</v>
      </c>
      <c r="D298">
        <v>10</v>
      </c>
      <c r="E298" t="s">
        <v>31</v>
      </c>
      <c r="F298" t="s">
        <v>57</v>
      </c>
      <c r="G298" s="23">
        <v>45717</v>
      </c>
      <c r="H298" t="s">
        <v>1469</v>
      </c>
      <c r="I298" t="s">
        <v>1470</v>
      </c>
      <c r="J298" t="s">
        <v>1471</v>
      </c>
    </row>
    <row r="299" spans="1:10">
      <c r="A299" t="s">
        <v>1472</v>
      </c>
      <c r="B299" t="s">
        <v>1472</v>
      </c>
      <c r="C299" t="s">
        <v>1473</v>
      </c>
      <c r="D299">
        <v>17</v>
      </c>
      <c r="E299" t="s">
        <v>33</v>
      </c>
      <c r="F299" t="s">
        <v>57</v>
      </c>
      <c r="G299" s="23">
        <v>44285</v>
      </c>
      <c r="H299" t="s">
        <v>1474</v>
      </c>
      <c r="I299" t="s">
        <v>1475</v>
      </c>
      <c r="J299" t="s">
        <v>1476</v>
      </c>
    </row>
    <row r="300" spans="1:10">
      <c r="A300" t="s">
        <v>1477</v>
      </c>
      <c r="B300" t="s">
        <v>1477</v>
      </c>
      <c r="C300" t="s">
        <v>1478</v>
      </c>
      <c r="D300">
        <v>7</v>
      </c>
      <c r="E300" t="s">
        <v>34</v>
      </c>
      <c r="F300" t="s">
        <v>57</v>
      </c>
      <c r="G300" s="23">
        <v>45778</v>
      </c>
      <c r="H300" t="s">
        <v>1479</v>
      </c>
      <c r="I300" t="s">
        <v>1480</v>
      </c>
      <c r="J300" t="s">
        <v>1481</v>
      </c>
    </row>
    <row r="301" spans="1:10">
      <c r="A301" t="s">
        <v>1482</v>
      </c>
      <c r="B301" t="s">
        <v>1482</v>
      </c>
      <c r="C301" t="s">
        <v>1483</v>
      </c>
      <c r="D301">
        <v>10</v>
      </c>
      <c r="E301" t="s">
        <v>34</v>
      </c>
      <c r="F301" t="s">
        <v>57</v>
      </c>
      <c r="G301" s="23">
        <v>44827</v>
      </c>
      <c r="H301" t="s">
        <v>1484</v>
      </c>
      <c r="I301" t="s">
        <v>1485</v>
      </c>
      <c r="J301" t="s">
        <v>1486</v>
      </c>
    </row>
    <row r="302" spans="1:10">
      <c r="A302" t="s">
        <v>1487</v>
      </c>
      <c r="B302" t="s">
        <v>1487</v>
      </c>
      <c r="C302" t="s">
        <v>1483</v>
      </c>
      <c r="D302">
        <v>18</v>
      </c>
      <c r="E302" t="s">
        <v>35</v>
      </c>
      <c r="F302" t="s">
        <v>57</v>
      </c>
      <c r="G302" s="23">
        <v>45054</v>
      </c>
      <c r="H302" t="s">
        <v>1488</v>
      </c>
      <c r="I302" t="s">
        <v>1489</v>
      </c>
      <c r="J302" t="s">
        <v>1490</v>
      </c>
    </row>
    <row r="303" spans="1:10">
      <c r="A303" t="s">
        <v>1491</v>
      </c>
      <c r="B303" t="s">
        <v>1491</v>
      </c>
      <c r="C303" t="s">
        <v>1492</v>
      </c>
      <c r="D303">
        <v>8</v>
      </c>
      <c r="E303" t="s">
        <v>29</v>
      </c>
      <c r="F303" t="s">
        <v>63</v>
      </c>
      <c r="G303" s="23">
        <v>43700</v>
      </c>
      <c r="H303" t="s">
        <v>1493</v>
      </c>
      <c r="I303" t="s">
        <v>1494</v>
      </c>
      <c r="J303" t="s">
        <v>1495</v>
      </c>
    </row>
    <row r="304" spans="1:10">
      <c r="A304" t="s">
        <v>1496</v>
      </c>
      <c r="B304" t="s">
        <v>1496</v>
      </c>
      <c r="C304" t="s">
        <v>1497</v>
      </c>
      <c r="D304">
        <v>24</v>
      </c>
      <c r="E304" t="s">
        <v>31</v>
      </c>
      <c r="F304" t="s">
        <v>63</v>
      </c>
      <c r="G304" s="23">
        <v>42719</v>
      </c>
      <c r="H304" t="s">
        <v>1498</v>
      </c>
      <c r="I304" t="s">
        <v>1499</v>
      </c>
      <c r="J304" t="s">
        <v>1500</v>
      </c>
    </row>
    <row r="305" spans="1:10">
      <c r="A305" t="s">
        <v>1501</v>
      </c>
      <c r="B305" t="s">
        <v>1501</v>
      </c>
      <c r="C305" t="s">
        <v>1497</v>
      </c>
      <c r="D305">
        <v>25</v>
      </c>
      <c r="E305" t="s">
        <v>29</v>
      </c>
      <c r="F305" t="s">
        <v>63</v>
      </c>
      <c r="G305" s="23">
        <v>43275</v>
      </c>
      <c r="H305" t="s">
        <v>1502</v>
      </c>
      <c r="I305" t="s">
        <v>1503</v>
      </c>
      <c r="J305" t="s">
        <v>1504</v>
      </c>
    </row>
    <row r="306" spans="1:10">
      <c r="A306" t="s">
        <v>1505</v>
      </c>
      <c r="B306" t="s">
        <v>1505</v>
      </c>
      <c r="C306" t="s">
        <v>1506</v>
      </c>
      <c r="D306">
        <v>6</v>
      </c>
      <c r="E306" t="s">
        <v>29</v>
      </c>
      <c r="F306" t="s">
        <v>63</v>
      </c>
      <c r="G306" s="23">
        <v>41675</v>
      </c>
      <c r="H306" t="s">
        <v>1507</v>
      </c>
      <c r="I306" t="s">
        <v>1508</v>
      </c>
      <c r="J306" t="s">
        <v>1509</v>
      </c>
    </row>
    <row r="307" spans="1:10">
      <c r="A307" t="s">
        <v>1510</v>
      </c>
      <c r="B307" t="s">
        <v>1510</v>
      </c>
      <c r="C307" t="s">
        <v>1511</v>
      </c>
      <c r="D307">
        <v>1</v>
      </c>
      <c r="E307" t="s">
        <v>31</v>
      </c>
      <c r="F307" t="s">
        <v>57</v>
      </c>
      <c r="G307" s="23">
        <v>43946</v>
      </c>
      <c r="H307" t="s">
        <v>1512</v>
      </c>
      <c r="I307" t="s">
        <v>1513</v>
      </c>
      <c r="J307" t="s">
        <v>1514</v>
      </c>
    </row>
    <row r="308" spans="1:10">
      <c r="A308" t="s">
        <v>1515</v>
      </c>
      <c r="B308" t="s">
        <v>1515</v>
      </c>
      <c r="C308" t="s">
        <v>1511</v>
      </c>
      <c r="D308">
        <v>1</v>
      </c>
      <c r="E308" t="s">
        <v>34</v>
      </c>
      <c r="F308" t="s">
        <v>115</v>
      </c>
      <c r="G308" s="23">
        <v>43972</v>
      </c>
      <c r="H308" t="s">
        <v>1516</v>
      </c>
      <c r="I308" t="s">
        <v>1517</v>
      </c>
      <c r="J308" t="s">
        <v>1518</v>
      </c>
    </row>
    <row r="309" spans="1:10">
      <c r="A309" t="s">
        <v>1519</v>
      </c>
      <c r="B309" t="s">
        <v>1519</v>
      </c>
      <c r="C309" t="s">
        <v>1520</v>
      </c>
      <c r="D309">
        <v>26</v>
      </c>
      <c r="E309" t="s">
        <v>29</v>
      </c>
      <c r="F309" t="s">
        <v>63</v>
      </c>
      <c r="G309" s="23">
        <v>42615</v>
      </c>
      <c r="H309" t="s">
        <v>1521</v>
      </c>
      <c r="I309" t="s">
        <v>1522</v>
      </c>
      <c r="J309" t="s">
        <v>1523</v>
      </c>
    </row>
    <row r="310" spans="1:10">
      <c r="A310" t="s">
        <v>1524</v>
      </c>
      <c r="B310" t="s">
        <v>1524</v>
      </c>
      <c r="C310" t="s">
        <v>1525</v>
      </c>
      <c r="D310">
        <v>9</v>
      </c>
      <c r="E310" t="s">
        <v>36</v>
      </c>
      <c r="F310" t="s">
        <v>57</v>
      </c>
      <c r="G310" s="23">
        <v>44135</v>
      </c>
      <c r="H310" t="s">
        <v>1526</v>
      </c>
      <c r="I310" t="s">
        <v>1527</v>
      </c>
      <c r="J310" t="s">
        <v>1528</v>
      </c>
    </row>
    <row r="311" spans="1:10">
      <c r="A311" t="s">
        <v>1529</v>
      </c>
      <c r="B311" t="s">
        <v>1529</v>
      </c>
      <c r="C311" t="s">
        <v>1530</v>
      </c>
      <c r="D311">
        <v>1</v>
      </c>
      <c r="E311" t="s">
        <v>33</v>
      </c>
      <c r="F311" t="s">
        <v>571</v>
      </c>
      <c r="G311" s="23">
        <v>42897</v>
      </c>
      <c r="H311" t="s">
        <v>1531</v>
      </c>
      <c r="I311" t="s">
        <v>1532</v>
      </c>
      <c r="J311" t="s">
        <v>1533</v>
      </c>
    </row>
    <row r="312" spans="1:10">
      <c r="A312" t="s">
        <v>1534</v>
      </c>
      <c r="B312" t="s">
        <v>1534</v>
      </c>
      <c r="C312" t="s">
        <v>1535</v>
      </c>
      <c r="D312">
        <v>5</v>
      </c>
      <c r="E312" t="s">
        <v>29</v>
      </c>
      <c r="F312" t="s">
        <v>63</v>
      </c>
      <c r="G312" s="23">
        <v>42276</v>
      </c>
      <c r="H312" t="s">
        <v>1536</v>
      </c>
      <c r="I312" t="s">
        <v>1537</v>
      </c>
      <c r="J312" t="s">
        <v>1538</v>
      </c>
    </row>
    <row r="313" spans="1:10">
      <c r="A313" t="s">
        <v>1539</v>
      </c>
      <c r="B313" t="s">
        <v>1539</v>
      </c>
      <c r="C313" t="s">
        <v>1434</v>
      </c>
      <c r="D313">
        <v>6</v>
      </c>
      <c r="E313" t="s">
        <v>31</v>
      </c>
      <c r="F313" t="s">
        <v>63</v>
      </c>
      <c r="G313" s="23">
        <v>46142</v>
      </c>
      <c r="H313" t="s">
        <v>1540</v>
      </c>
      <c r="I313" t="s">
        <v>1541</v>
      </c>
      <c r="J313" t="s">
        <v>1542</v>
      </c>
    </row>
    <row r="314" spans="1:10">
      <c r="A314" t="s">
        <v>1543</v>
      </c>
      <c r="B314" t="s">
        <v>1543</v>
      </c>
      <c r="C314" t="s">
        <v>1434</v>
      </c>
      <c r="D314">
        <v>6</v>
      </c>
      <c r="E314" t="s">
        <v>31</v>
      </c>
      <c r="F314" t="s">
        <v>63</v>
      </c>
      <c r="G314" s="23">
        <v>46198</v>
      </c>
      <c r="H314" t="s">
        <v>1544</v>
      </c>
      <c r="I314" t="s">
        <v>1545</v>
      </c>
      <c r="J314" t="s">
        <v>1546</v>
      </c>
    </row>
    <row r="315" spans="1:10">
      <c r="A315" t="s">
        <v>1547</v>
      </c>
      <c r="B315" t="s">
        <v>1547</v>
      </c>
      <c r="C315" t="s">
        <v>1434</v>
      </c>
      <c r="D315">
        <v>6</v>
      </c>
      <c r="E315" t="s">
        <v>33</v>
      </c>
      <c r="F315" t="s">
        <v>63</v>
      </c>
      <c r="G315" s="23">
        <v>46164</v>
      </c>
      <c r="H315" t="s">
        <v>1548</v>
      </c>
      <c r="I315" t="s">
        <v>1549</v>
      </c>
      <c r="J315" t="s">
        <v>1550</v>
      </c>
    </row>
    <row r="316" spans="1:10">
      <c r="A316" t="s">
        <v>1551</v>
      </c>
      <c r="B316" t="s">
        <v>1551</v>
      </c>
      <c r="C316" t="s">
        <v>1434</v>
      </c>
      <c r="D316">
        <v>6</v>
      </c>
      <c r="E316" t="s">
        <v>33</v>
      </c>
      <c r="F316" t="s">
        <v>63</v>
      </c>
      <c r="G316" s="23">
        <v>46202</v>
      </c>
      <c r="H316" t="s">
        <v>1552</v>
      </c>
      <c r="I316" t="s">
        <v>1553</v>
      </c>
      <c r="J316" t="s">
        <v>1554</v>
      </c>
    </row>
    <row r="317" spans="1:10">
      <c r="A317" t="s">
        <v>1555</v>
      </c>
      <c r="B317" t="s">
        <v>1555</v>
      </c>
      <c r="C317" t="s">
        <v>1556</v>
      </c>
      <c r="D317">
        <v>1</v>
      </c>
      <c r="E317" t="s">
        <v>36</v>
      </c>
      <c r="F317" t="s">
        <v>89</v>
      </c>
      <c r="G317" s="23">
        <v>43962</v>
      </c>
      <c r="H317" t="s">
        <v>1557</v>
      </c>
      <c r="I317" t="s">
        <v>1558</v>
      </c>
      <c r="J317" t="s">
        <v>1559</v>
      </c>
    </row>
    <row r="318" spans="1:10">
      <c r="A318" t="s">
        <v>1560</v>
      </c>
      <c r="B318" t="s">
        <v>1560</v>
      </c>
      <c r="C318" t="s">
        <v>762</v>
      </c>
      <c r="D318">
        <v>2</v>
      </c>
      <c r="E318" t="s">
        <v>29</v>
      </c>
      <c r="F318" t="s">
        <v>63</v>
      </c>
      <c r="G318" s="23">
        <v>41999</v>
      </c>
      <c r="H318" t="s">
        <v>1561</v>
      </c>
      <c r="I318" t="s">
        <v>1562</v>
      </c>
      <c r="J318" t="s">
        <v>1563</v>
      </c>
    </row>
    <row r="319" spans="1:10">
      <c r="A319" t="s">
        <v>1564</v>
      </c>
      <c r="B319" t="s">
        <v>1564</v>
      </c>
      <c r="C319" t="s">
        <v>1565</v>
      </c>
      <c r="D319">
        <v>11</v>
      </c>
      <c r="E319" t="s">
        <v>34</v>
      </c>
      <c r="F319" t="s">
        <v>57</v>
      </c>
      <c r="G319" s="23">
        <v>44237</v>
      </c>
      <c r="H319" t="s">
        <v>1566</v>
      </c>
      <c r="I319" t="s">
        <v>1567</v>
      </c>
      <c r="J319" t="s">
        <v>1568</v>
      </c>
    </row>
    <row r="320" spans="1:10">
      <c r="A320" t="s">
        <v>1569</v>
      </c>
      <c r="B320" t="s">
        <v>1569</v>
      </c>
      <c r="C320" t="s">
        <v>1570</v>
      </c>
      <c r="D320">
        <v>6</v>
      </c>
      <c r="E320" t="s">
        <v>34</v>
      </c>
      <c r="F320" t="s">
        <v>57</v>
      </c>
      <c r="G320" s="23">
        <v>44362</v>
      </c>
      <c r="H320" t="s">
        <v>1571</v>
      </c>
      <c r="I320" t="s">
        <v>1572</v>
      </c>
      <c r="J320" t="s">
        <v>1573</v>
      </c>
    </row>
    <row r="321" spans="1:10">
      <c r="A321" t="s">
        <v>1574</v>
      </c>
      <c r="B321" t="s">
        <v>1574</v>
      </c>
      <c r="C321" t="s">
        <v>1575</v>
      </c>
      <c r="D321">
        <v>20</v>
      </c>
      <c r="E321" t="s">
        <v>29</v>
      </c>
      <c r="F321" t="s">
        <v>57</v>
      </c>
      <c r="G321" s="23">
        <v>46006</v>
      </c>
      <c r="H321" t="s">
        <v>1576</v>
      </c>
      <c r="I321" t="s">
        <v>1577</v>
      </c>
      <c r="J321" t="s">
        <v>1578</v>
      </c>
    </row>
    <row r="322" spans="1:10">
      <c r="A322" t="s">
        <v>1579</v>
      </c>
      <c r="B322" t="s">
        <v>1579</v>
      </c>
      <c r="C322" t="s">
        <v>1580</v>
      </c>
      <c r="D322">
        <v>9</v>
      </c>
      <c r="E322" t="s">
        <v>34</v>
      </c>
      <c r="F322" t="s">
        <v>57</v>
      </c>
      <c r="G322" s="23">
        <v>44594</v>
      </c>
      <c r="H322" t="s">
        <v>1581</v>
      </c>
      <c r="I322" t="s">
        <v>1582</v>
      </c>
      <c r="J322" t="s">
        <v>1583</v>
      </c>
    </row>
    <row r="323" spans="1:10">
      <c r="A323" t="s">
        <v>1584</v>
      </c>
      <c r="B323" t="s">
        <v>1584</v>
      </c>
      <c r="C323" t="s">
        <v>718</v>
      </c>
      <c r="D323">
        <v>15</v>
      </c>
      <c r="E323" t="s">
        <v>34</v>
      </c>
      <c r="F323" t="s">
        <v>57</v>
      </c>
      <c r="G323" s="23">
        <v>43452</v>
      </c>
      <c r="H323" t="s">
        <v>1585</v>
      </c>
      <c r="I323" t="s">
        <v>1586</v>
      </c>
      <c r="J323" t="s">
        <v>1587</v>
      </c>
    </row>
    <row r="324" spans="1:10">
      <c r="A324" t="s">
        <v>1588</v>
      </c>
      <c r="B324" t="s">
        <v>1588</v>
      </c>
      <c r="C324" t="s">
        <v>718</v>
      </c>
      <c r="D324">
        <v>0</v>
      </c>
      <c r="E324" t="s">
        <v>34</v>
      </c>
      <c r="F324" t="s">
        <v>57</v>
      </c>
      <c r="G324" s="23">
        <v>45902</v>
      </c>
      <c r="H324" t="s">
        <v>1589</v>
      </c>
      <c r="I324" t="s">
        <v>1590</v>
      </c>
      <c r="J324" t="s">
        <v>1591</v>
      </c>
    </row>
    <row r="325" spans="1:10">
      <c r="A325" t="s">
        <v>1592</v>
      </c>
      <c r="B325" t="s">
        <v>1592</v>
      </c>
      <c r="C325" t="s">
        <v>1593</v>
      </c>
      <c r="D325">
        <v>11</v>
      </c>
      <c r="E325" t="s">
        <v>29</v>
      </c>
      <c r="F325" t="s">
        <v>63</v>
      </c>
      <c r="G325" s="23">
        <v>42215</v>
      </c>
      <c r="H325" t="s">
        <v>1594</v>
      </c>
      <c r="I325" t="s">
        <v>1595</v>
      </c>
      <c r="J325" t="s">
        <v>1596</v>
      </c>
    </row>
    <row r="326" spans="1:10">
      <c r="A326" t="s">
        <v>1597</v>
      </c>
      <c r="B326" t="s">
        <v>1597</v>
      </c>
      <c r="C326" t="s">
        <v>1598</v>
      </c>
      <c r="D326">
        <v>26</v>
      </c>
      <c r="E326" t="s">
        <v>31</v>
      </c>
      <c r="F326" t="s">
        <v>63</v>
      </c>
      <c r="G326" s="23">
        <v>42037</v>
      </c>
      <c r="H326" t="s">
        <v>1599</v>
      </c>
      <c r="I326" t="s">
        <v>1600</v>
      </c>
      <c r="J326" t="s">
        <v>1601</v>
      </c>
    </row>
    <row r="327" spans="1:10">
      <c r="A327" t="s">
        <v>1602</v>
      </c>
      <c r="B327" t="s">
        <v>1602</v>
      </c>
      <c r="C327" t="s">
        <v>1603</v>
      </c>
      <c r="D327">
        <v>10</v>
      </c>
      <c r="E327" t="s">
        <v>31</v>
      </c>
      <c r="F327" t="s">
        <v>63</v>
      </c>
      <c r="G327" s="23">
        <v>45314</v>
      </c>
      <c r="H327" t="s">
        <v>1604</v>
      </c>
      <c r="I327" t="s">
        <v>1605</v>
      </c>
      <c r="J327" t="s">
        <v>1606</v>
      </c>
    </row>
    <row r="328" spans="1:10">
      <c r="A328" t="s">
        <v>1607</v>
      </c>
      <c r="B328" t="s">
        <v>1607</v>
      </c>
      <c r="C328" t="s">
        <v>1608</v>
      </c>
      <c r="D328">
        <v>4</v>
      </c>
      <c r="E328" t="s">
        <v>34</v>
      </c>
      <c r="F328" t="s">
        <v>57</v>
      </c>
      <c r="G328" s="23">
        <v>45111</v>
      </c>
      <c r="H328" t="s">
        <v>1609</v>
      </c>
      <c r="I328" t="s">
        <v>1610</v>
      </c>
      <c r="J328" t="s">
        <v>1611</v>
      </c>
    </row>
    <row r="329" spans="1:10">
      <c r="A329" t="s">
        <v>1612</v>
      </c>
      <c r="B329" t="s">
        <v>1612</v>
      </c>
      <c r="C329" t="s">
        <v>1497</v>
      </c>
      <c r="D329">
        <v>0</v>
      </c>
      <c r="E329" t="s">
        <v>31</v>
      </c>
      <c r="F329" t="s">
        <v>63</v>
      </c>
      <c r="G329" s="23">
        <v>42718</v>
      </c>
      <c r="H329" t="s">
        <v>1613</v>
      </c>
      <c r="I329" t="s">
        <v>1614</v>
      </c>
      <c r="J329" t="s">
        <v>1615</v>
      </c>
    </row>
    <row r="330" spans="1:10">
      <c r="A330" t="s">
        <v>1616</v>
      </c>
      <c r="B330" t="s">
        <v>1616</v>
      </c>
      <c r="C330" t="s">
        <v>1617</v>
      </c>
      <c r="D330">
        <v>8</v>
      </c>
      <c r="E330" t="s">
        <v>27</v>
      </c>
      <c r="F330" t="s">
        <v>63</v>
      </c>
      <c r="G330" s="23">
        <v>44614</v>
      </c>
      <c r="H330" t="s">
        <v>1618</v>
      </c>
      <c r="I330" t="s">
        <v>1619</v>
      </c>
      <c r="J330" t="s">
        <v>1620</v>
      </c>
    </row>
    <row r="331" spans="1:10">
      <c r="A331" t="s">
        <v>1621</v>
      </c>
      <c r="B331" t="s">
        <v>1621</v>
      </c>
      <c r="C331" t="s">
        <v>1622</v>
      </c>
      <c r="D331">
        <v>11</v>
      </c>
      <c r="E331" t="s">
        <v>33</v>
      </c>
      <c r="F331" t="s">
        <v>57</v>
      </c>
      <c r="G331" s="23">
        <v>44685</v>
      </c>
      <c r="H331" t="s">
        <v>1623</v>
      </c>
      <c r="I331" t="s">
        <v>1624</v>
      </c>
      <c r="J331" t="s">
        <v>1625</v>
      </c>
    </row>
    <row r="332" spans="1:10">
      <c r="A332" t="s">
        <v>1626</v>
      </c>
      <c r="B332" t="s">
        <v>1626</v>
      </c>
      <c r="C332" t="s">
        <v>1627</v>
      </c>
      <c r="D332">
        <v>17</v>
      </c>
      <c r="E332" t="s">
        <v>34</v>
      </c>
      <c r="F332" t="s">
        <v>57</v>
      </c>
      <c r="G332" s="23">
        <v>45040</v>
      </c>
      <c r="H332" t="s">
        <v>1628</v>
      </c>
      <c r="I332" t="s">
        <v>1629</v>
      </c>
      <c r="J332" t="s">
        <v>1630</v>
      </c>
    </row>
    <row r="333" spans="1:10">
      <c r="A333" t="s">
        <v>1631</v>
      </c>
      <c r="B333" t="s">
        <v>1631</v>
      </c>
      <c r="C333" t="s">
        <v>1632</v>
      </c>
      <c r="D333">
        <v>23</v>
      </c>
      <c r="E333" t="s">
        <v>31</v>
      </c>
      <c r="F333" t="s">
        <v>57</v>
      </c>
      <c r="G333" s="23">
        <v>45477</v>
      </c>
      <c r="H333" t="s">
        <v>1633</v>
      </c>
      <c r="I333" t="s">
        <v>1634</v>
      </c>
      <c r="J333" t="s">
        <v>1635</v>
      </c>
    </row>
    <row r="334" spans="1:10">
      <c r="A334" t="s">
        <v>1636</v>
      </c>
      <c r="B334" t="s">
        <v>1636</v>
      </c>
      <c r="C334" t="s">
        <v>1637</v>
      </c>
      <c r="D334">
        <v>10</v>
      </c>
      <c r="E334" t="s">
        <v>33</v>
      </c>
      <c r="F334" t="s">
        <v>57</v>
      </c>
      <c r="G334" s="23">
        <v>45613</v>
      </c>
      <c r="H334" t="s">
        <v>1638</v>
      </c>
      <c r="I334" t="s">
        <v>1639</v>
      </c>
      <c r="J334" t="s">
        <v>1640</v>
      </c>
    </row>
    <row r="335" spans="1:10">
      <c r="A335" t="s">
        <v>1641</v>
      </c>
      <c r="B335" t="s">
        <v>1641</v>
      </c>
      <c r="C335" t="s">
        <v>83</v>
      </c>
      <c r="D335">
        <v>12</v>
      </c>
      <c r="E335" t="s">
        <v>27</v>
      </c>
      <c r="F335" t="s">
        <v>63</v>
      </c>
      <c r="G335" s="23">
        <v>42132</v>
      </c>
      <c r="H335" t="s">
        <v>1642</v>
      </c>
      <c r="I335" t="s">
        <v>1643</v>
      </c>
      <c r="J335" t="s">
        <v>1644</v>
      </c>
    </row>
    <row r="336" spans="1:10">
      <c r="A336" t="s">
        <v>1645</v>
      </c>
      <c r="B336" t="s">
        <v>1645</v>
      </c>
      <c r="C336" t="s">
        <v>1646</v>
      </c>
      <c r="D336">
        <v>1</v>
      </c>
      <c r="E336" t="s">
        <v>29</v>
      </c>
      <c r="F336" t="s">
        <v>63</v>
      </c>
      <c r="G336" s="23">
        <v>42003</v>
      </c>
      <c r="H336" t="s">
        <v>1647</v>
      </c>
      <c r="I336" t="s">
        <v>1648</v>
      </c>
      <c r="J336" t="s">
        <v>1649</v>
      </c>
    </row>
    <row r="337" spans="1:10">
      <c r="A337" t="s">
        <v>1650</v>
      </c>
      <c r="B337" t="s">
        <v>1650</v>
      </c>
      <c r="C337" t="s">
        <v>1651</v>
      </c>
      <c r="D337">
        <v>19</v>
      </c>
      <c r="E337" t="s">
        <v>34</v>
      </c>
      <c r="F337" t="s">
        <v>57</v>
      </c>
      <c r="G337" s="23">
        <v>44523</v>
      </c>
      <c r="H337" t="s">
        <v>1652</v>
      </c>
      <c r="I337" t="s">
        <v>1653</v>
      </c>
      <c r="J337" t="s">
        <v>1654</v>
      </c>
    </row>
    <row r="338" spans="1:10">
      <c r="A338" t="s">
        <v>1655</v>
      </c>
      <c r="B338" t="s">
        <v>1655</v>
      </c>
      <c r="C338" t="s">
        <v>743</v>
      </c>
      <c r="D338">
        <v>13</v>
      </c>
      <c r="E338" t="s">
        <v>34</v>
      </c>
      <c r="F338" t="s">
        <v>57</v>
      </c>
      <c r="G338" s="23">
        <v>44722</v>
      </c>
      <c r="H338" t="s">
        <v>1656</v>
      </c>
      <c r="I338" t="s">
        <v>1657</v>
      </c>
      <c r="J338" t="s">
        <v>1658</v>
      </c>
    </row>
    <row r="339" spans="1:10">
      <c r="A339" t="s">
        <v>1659</v>
      </c>
      <c r="B339" t="s">
        <v>1659</v>
      </c>
      <c r="C339" t="s">
        <v>1660</v>
      </c>
      <c r="D339">
        <v>5</v>
      </c>
      <c r="E339" t="s">
        <v>31</v>
      </c>
      <c r="F339" t="s">
        <v>115</v>
      </c>
      <c r="G339" s="23">
        <v>44383</v>
      </c>
      <c r="H339" t="s">
        <v>1661</v>
      </c>
      <c r="I339" t="s">
        <v>1662</v>
      </c>
      <c r="J339" t="s">
        <v>1663</v>
      </c>
    </row>
    <row r="340" spans="1:10">
      <c r="A340" t="s">
        <v>1664</v>
      </c>
      <c r="B340" t="s">
        <v>1664</v>
      </c>
      <c r="C340" t="s">
        <v>1665</v>
      </c>
      <c r="D340">
        <v>8</v>
      </c>
      <c r="E340" t="s">
        <v>35</v>
      </c>
      <c r="F340" t="s">
        <v>57</v>
      </c>
      <c r="G340" s="23">
        <v>45452</v>
      </c>
      <c r="H340" t="s">
        <v>1666</v>
      </c>
      <c r="I340" t="s">
        <v>1667</v>
      </c>
      <c r="J340" t="s">
        <v>1668</v>
      </c>
    </row>
    <row r="341" spans="1:10">
      <c r="A341" t="s">
        <v>1669</v>
      </c>
      <c r="B341" t="s">
        <v>1669</v>
      </c>
      <c r="C341" t="s">
        <v>68</v>
      </c>
      <c r="D341">
        <v>12</v>
      </c>
      <c r="E341" t="s">
        <v>31</v>
      </c>
      <c r="F341" t="s">
        <v>63</v>
      </c>
      <c r="G341" s="23">
        <v>42380</v>
      </c>
      <c r="H341" t="s">
        <v>1670</v>
      </c>
      <c r="I341" t="s">
        <v>1671</v>
      </c>
      <c r="J341" t="s">
        <v>1672</v>
      </c>
    </row>
    <row r="342" spans="1:10">
      <c r="A342" t="s">
        <v>1673</v>
      </c>
      <c r="B342" t="s">
        <v>1673</v>
      </c>
      <c r="C342" t="s">
        <v>1129</v>
      </c>
      <c r="D342">
        <v>6</v>
      </c>
      <c r="E342" t="s">
        <v>31</v>
      </c>
      <c r="F342" t="s">
        <v>63</v>
      </c>
      <c r="G342" s="23">
        <v>45534</v>
      </c>
      <c r="H342" t="s">
        <v>1674</v>
      </c>
      <c r="I342" t="s">
        <v>1675</v>
      </c>
      <c r="J342" t="s">
        <v>1676</v>
      </c>
    </row>
    <row r="343" spans="1:10">
      <c r="A343" t="s">
        <v>1677</v>
      </c>
      <c r="B343" t="s">
        <v>1677</v>
      </c>
      <c r="C343" t="s">
        <v>1215</v>
      </c>
      <c r="D343">
        <v>4</v>
      </c>
      <c r="E343" t="s">
        <v>31</v>
      </c>
      <c r="F343" t="s">
        <v>63</v>
      </c>
      <c r="G343" s="23">
        <v>45627</v>
      </c>
      <c r="H343" t="s">
        <v>1678</v>
      </c>
      <c r="I343" t="s">
        <v>1679</v>
      </c>
      <c r="J343" t="s">
        <v>1680</v>
      </c>
    </row>
    <row r="344" spans="1:10">
      <c r="A344" t="s">
        <v>1681</v>
      </c>
      <c r="B344" t="s">
        <v>1681</v>
      </c>
      <c r="C344" t="s">
        <v>1215</v>
      </c>
      <c r="D344">
        <v>8</v>
      </c>
      <c r="E344" t="s">
        <v>29</v>
      </c>
      <c r="F344" t="s">
        <v>63</v>
      </c>
      <c r="G344" s="23">
        <v>45565</v>
      </c>
      <c r="H344" t="s">
        <v>1682</v>
      </c>
      <c r="I344" t="s">
        <v>1683</v>
      </c>
      <c r="J344" t="s">
        <v>1684</v>
      </c>
    </row>
    <row r="345" spans="1:10">
      <c r="A345" t="s">
        <v>1685</v>
      </c>
      <c r="B345" t="s">
        <v>1685</v>
      </c>
      <c r="C345" t="s">
        <v>1686</v>
      </c>
      <c r="D345">
        <v>27</v>
      </c>
      <c r="E345" t="s">
        <v>31</v>
      </c>
      <c r="F345" t="s">
        <v>63</v>
      </c>
      <c r="G345" s="23">
        <v>42733</v>
      </c>
      <c r="H345" t="s">
        <v>1687</v>
      </c>
      <c r="I345" t="s">
        <v>1688</v>
      </c>
      <c r="J345" t="s">
        <v>1689</v>
      </c>
    </row>
    <row r="346" spans="1:10">
      <c r="A346" t="s">
        <v>1690</v>
      </c>
      <c r="B346" t="s">
        <v>1690</v>
      </c>
      <c r="C346" t="s">
        <v>646</v>
      </c>
      <c r="D346">
        <v>0</v>
      </c>
      <c r="E346" t="s">
        <v>34</v>
      </c>
      <c r="F346" t="s">
        <v>57</v>
      </c>
      <c r="G346" s="23">
        <v>45747</v>
      </c>
      <c r="H346" t="s">
        <v>1691</v>
      </c>
      <c r="I346" t="s">
        <v>1692</v>
      </c>
      <c r="J346" t="s">
        <v>1693</v>
      </c>
    </row>
    <row r="347" spans="1:10">
      <c r="A347" t="s">
        <v>1694</v>
      </c>
      <c r="B347" t="s">
        <v>1694</v>
      </c>
      <c r="C347" t="s">
        <v>165</v>
      </c>
      <c r="D347">
        <v>9</v>
      </c>
      <c r="E347" t="s">
        <v>36</v>
      </c>
      <c r="F347" t="s">
        <v>57</v>
      </c>
      <c r="G347" s="23">
        <v>45781</v>
      </c>
      <c r="H347" t="s">
        <v>1695</v>
      </c>
      <c r="I347" t="s">
        <v>1696</v>
      </c>
      <c r="J347" t="s">
        <v>1697</v>
      </c>
    </row>
    <row r="348" spans="1:10">
      <c r="A348" t="s">
        <v>1698</v>
      </c>
      <c r="B348" t="s">
        <v>1698</v>
      </c>
      <c r="C348" t="s">
        <v>1699</v>
      </c>
      <c r="D348">
        <v>22</v>
      </c>
      <c r="E348" t="s">
        <v>34</v>
      </c>
      <c r="F348" t="s">
        <v>57</v>
      </c>
      <c r="G348" s="23">
        <v>45608</v>
      </c>
      <c r="H348" t="s">
        <v>1700</v>
      </c>
      <c r="I348" t="s">
        <v>1701</v>
      </c>
      <c r="J348" t="s">
        <v>1702</v>
      </c>
    </row>
    <row r="349" spans="1:10">
      <c r="A349" t="s">
        <v>1703</v>
      </c>
      <c r="B349" t="s">
        <v>1703</v>
      </c>
      <c r="C349" t="s">
        <v>1704</v>
      </c>
      <c r="D349">
        <v>15</v>
      </c>
      <c r="E349" t="s">
        <v>29</v>
      </c>
      <c r="F349" t="s">
        <v>63</v>
      </c>
      <c r="G349" s="23">
        <v>41569</v>
      </c>
      <c r="H349" t="s">
        <v>1705</v>
      </c>
      <c r="I349" t="s">
        <v>1706</v>
      </c>
      <c r="J349" t="s">
        <v>1707</v>
      </c>
    </row>
    <row r="350" spans="1:10">
      <c r="A350" t="s">
        <v>1708</v>
      </c>
      <c r="B350" t="s">
        <v>1708</v>
      </c>
      <c r="C350" t="s">
        <v>1709</v>
      </c>
      <c r="D350">
        <v>7</v>
      </c>
      <c r="E350" t="s">
        <v>29</v>
      </c>
      <c r="F350" t="s">
        <v>63</v>
      </c>
      <c r="G350" s="23">
        <v>43167</v>
      </c>
      <c r="H350" t="s">
        <v>1710</v>
      </c>
      <c r="I350" t="s">
        <v>1711</v>
      </c>
      <c r="J350" t="s">
        <v>1712</v>
      </c>
    </row>
    <row r="351" spans="1:10">
      <c r="A351" t="s">
        <v>1713</v>
      </c>
      <c r="B351" t="s">
        <v>1713</v>
      </c>
      <c r="C351" t="s">
        <v>1714</v>
      </c>
      <c r="D351">
        <v>120</v>
      </c>
      <c r="E351" t="s">
        <v>31</v>
      </c>
      <c r="F351" t="s">
        <v>63</v>
      </c>
      <c r="G351" s="23">
        <v>43571</v>
      </c>
      <c r="H351" t="s">
        <v>1715</v>
      </c>
      <c r="I351" t="s">
        <v>1716</v>
      </c>
      <c r="J351" t="s">
        <v>1717</v>
      </c>
    </row>
    <row r="352" spans="1:10">
      <c r="A352" t="s">
        <v>1718</v>
      </c>
      <c r="B352" t="s">
        <v>1718</v>
      </c>
      <c r="C352" t="s">
        <v>1714</v>
      </c>
      <c r="D352">
        <v>120</v>
      </c>
      <c r="E352" t="s">
        <v>31</v>
      </c>
      <c r="F352" t="s">
        <v>63</v>
      </c>
      <c r="G352" s="23">
        <v>43995</v>
      </c>
      <c r="H352" t="s">
        <v>1719</v>
      </c>
      <c r="I352" t="s">
        <v>1720</v>
      </c>
      <c r="J352" t="s">
        <v>1721</v>
      </c>
    </row>
    <row r="353" spans="1:10">
      <c r="A353" t="s">
        <v>1722</v>
      </c>
      <c r="B353" t="s">
        <v>1722</v>
      </c>
      <c r="C353" t="s">
        <v>1714</v>
      </c>
      <c r="D353">
        <v>113</v>
      </c>
      <c r="E353" t="s">
        <v>31</v>
      </c>
      <c r="F353" t="s">
        <v>63</v>
      </c>
      <c r="G353" s="23">
        <v>43615</v>
      </c>
      <c r="H353" t="s">
        <v>1723</v>
      </c>
      <c r="I353" t="s">
        <v>1724</v>
      </c>
      <c r="J353" t="s">
        <v>1725</v>
      </c>
    </row>
    <row r="354" spans="1:10">
      <c r="A354" t="s">
        <v>1726</v>
      </c>
      <c r="B354" t="s">
        <v>1726</v>
      </c>
      <c r="C354" t="s">
        <v>680</v>
      </c>
      <c r="D354">
        <v>32</v>
      </c>
      <c r="E354" t="s">
        <v>27</v>
      </c>
      <c r="F354" t="s">
        <v>63</v>
      </c>
      <c r="G354" s="23">
        <v>42108</v>
      </c>
      <c r="H354" t="s">
        <v>1727</v>
      </c>
      <c r="I354" t="s">
        <v>1728</v>
      </c>
      <c r="J354" t="s">
        <v>1729</v>
      </c>
    </row>
    <row r="355" spans="1:10">
      <c r="A355" t="s">
        <v>1730</v>
      </c>
      <c r="B355" t="s">
        <v>1730</v>
      </c>
      <c r="C355" t="s">
        <v>1731</v>
      </c>
      <c r="D355">
        <v>96</v>
      </c>
      <c r="E355" t="s">
        <v>34</v>
      </c>
      <c r="F355" t="s">
        <v>57</v>
      </c>
      <c r="G355" s="23">
        <v>43263</v>
      </c>
      <c r="H355" t="s">
        <v>1732</v>
      </c>
      <c r="I355" t="s">
        <v>1733</v>
      </c>
      <c r="J355" t="s">
        <v>1734</v>
      </c>
    </row>
    <row r="356" spans="1:10">
      <c r="A356" t="s">
        <v>1735</v>
      </c>
      <c r="B356" t="s">
        <v>1735</v>
      </c>
      <c r="C356" t="s">
        <v>718</v>
      </c>
      <c r="D356">
        <v>9</v>
      </c>
      <c r="E356" t="s">
        <v>31</v>
      </c>
      <c r="F356" t="s">
        <v>57</v>
      </c>
      <c r="G356" s="23">
        <v>43558</v>
      </c>
      <c r="H356" t="s">
        <v>1736</v>
      </c>
      <c r="I356" t="s">
        <v>1737</v>
      </c>
      <c r="J356" t="s">
        <v>1738</v>
      </c>
    </row>
    <row r="357" spans="1:10">
      <c r="A357" t="s">
        <v>1739</v>
      </c>
      <c r="B357" t="s">
        <v>1739</v>
      </c>
      <c r="C357" t="s">
        <v>1740</v>
      </c>
      <c r="D357">
        <v>11</v>
      </c>
      <c r="E357" t="s">
        <v>33</v>
      </c>
      <c r="F357" t="s">
        <v>57</v>
      </c>
      <c r="G357" s="23">
        <v>44822</v>
      </c>
      <c r="H357" t="s">
        <v>1741</v>
      </c>
      <c r="I357" t="s">
        <v>1742</v>
      </c>
      <c r="J357" t="s">
        <v>1743</v>
      </c>
    </row>
    <row r="358" spans="1:10">
      <c r="A358" t="s">
        <v>1744</v>
      </c>
      <c r="B358" t="s">
        <v>1744</v>
      </c>
      <c r="C358" t="s">
        <v>1745</v>
      </c>
      <c r="D358">
        <v>10</v>
      </c>
      <c r="E358" t="s">
        <v>35</v>
      </c>
      <c r="F358" t="s">
        <v>57</v>
      </c>
      <c r="G358" s="23">
        <v>44952</v>
      </c>
      <c r="H358" t="s">
        <v>1746</v>
      </c>
      <c r="I358" t="s">
        <v>1747</v>
      </c>
      <c r="J358" t="s">
        <v>1748</v>
      </c>
    </row>
    <row r="359" spans="1:10">
      <c r="A359" t="s">
        <v>1749</v>
      </c>
      <c r="B359" t="s">
        <v>1749</v>
      </c>
      <c r="C359" t="s">
        <v>1750</v>
      </c>
      <c r="D359">
        <v>11</v>
      </c>
      <c r="E359" t="s">
        <v>29</v>
      </c>
      <c r="F359" t="s">
        <v>63</v>
      </c>
      <c r="G359" s="23">
        <v>41856</v>
      </c>
      <c r="H359" t="s">
        <v>1751</v>
      </c>
      <c r="I359" t="s">
        <v>1752</v>
      </c>
      <c r="J359" t="s">
        <v>1753</v>
      </c>
    </row>
    <row r="360" spans="1:10">
      <c r="A360" t="s">
        <v>1754</v>
      </c>
      <c r="B360" t="s">
        <v>1754</v>
      </c>
      <c r="C360" t="s">
        <v>1235</v>
      </c>
      <c r="D360">
        <v>15</v>
      </c>
      <c r="E360" t="s">
        <v>29</v>
      </c>
      <c r="F360" t="s">
        <v>63</v>
      </c>
      <c r="G360" s="23">
        <v>41614</v>
      </c>
      <c r="H360" t="s">
        <v>1755</v>
      </c>
      <c r="I360" t="s">
        <v>1756</v>
      </c>
      <c r="J360" t="s">
        <v>1757</v>
      </c>
    </row>
    <row r="361" spans="1:10">
      <c r="A361" t="s">
        <v>1758</v>
      </c>
      <c r="B361" t="s">
        <v>1758</v>
      </c>
      <c r="C361" t="s">
        <v>1759</v>
      </c>
      <c r="D361">
        <v>2</v>
      </c>
      <c r="E361" t="s">
        <v>35</v>
      </c>
      <c r="F361" t="s">
        <v>89</v>
      </c>
      <c r="G361" s="23">
        <v>42753</v>
      </c>
      <c r="H361" t="s">
        <v>1760</v>
      </c>
      <c r="I361" t="s">
        <v>1761</v>
      </c>
      <c r="J361" t="s">
        <v>1762</v>
      </c>
    </row>
    <row r="362" spans="1:10">
      <c r="A362" t="s">
        <v>1763</v>
      </c>
      <c r="B362" t="s">
        <v>1764</v>
      </c>
      <c r="C362" t="s">
        <v>1765</v>
      </c>
      <c r="D362">
        <v>5</v>
      </c>
      <c r="E362" t="s">
        <v>31</v>
      </c>
      <c r="F362" t="s">
        <v>63</v>
      </c>
      <c r="G362" s="23">
        <v>41644</v>
      </c>
      <c r="H362" t="s">
        <v>1766</v>
      </c>
      <c r="I362" t="s">
        <v>1767</v>
      </c>
      <c r="J362" t="s">
        <v>1768</v>
      </c>
    </row>
    <row r="363" spans="1:10">
      <c r="A363" t="s">
        <v>1769</v>
      </c>
      <c r="B363" t="s">
        <v>1770</v>
      </c>
      <c r="C363" t="s">
        <v>1771</v>
      </c>
      <c r="D363">
        <v>22</v>
      </c>
      <c r="E363" t="s">
        <v>35</v>
      </c>
      <c r="F363" t="s">
        <v>57</v>
      </c>
      <c r="G363" s="23">
        <v>44449</v>
      </c>
      <c r="H363" t="s">
        <v>1772</v>
      </c>
      <c r="I363" t="s">
        <v>1773</v>
      </c>
      <c r="J363" t="s">
        <v>1774</v>
      </c>
    </row>
    <row r="364" spans="1:10">
      <c r="A364" t="s">
        <v>1775</v>
      </c>
      <c r="B364" t="s">
        <v>1775</v>
      </c>
      <c r="C364" t="s">
        <v>1765</v>
      </c>
      <c r="D364">
        <v>8</v>
      </c>
      <c r="E364" t="s">
        <v>31</v>
      </c>
      <c r="F364" t="s">
        <v>63</v>
      </c>
      <c r="G364" s="23">
        <v>42334</v>
      </c>
      <c r="H364" t="s">
        <v>1776</v>
      </c>
      <c r="I364" t="s">
        <v>1777</v>
      </c>
      <c r="J364" t="s">
        <v>1778</v>
      </c>
    </row>
    <row r="365" spans="1:10">
      <c r="A365" t="s">
        <v>1779</v>
      </c>
      <c r="B365" t="s">
        <v>1779</v>
      </c>
      <c r="C365" t="s">
        <v>68</v>
      </c>
      <c r="D365">
        <v>95</v>
      </c>
      <c r="E365" t="s">
        <v>35</v>
      </c>
      <c r="F365" t="s">
        <v>63</v>
      </c>
      <c r="G365" s="23">
        <v>42211</v>
      </c>
      <c r="H365" t="s">
        <v>1780</v>
      </c>
      <c r="I365" t="s">
        <v>1781</v>
      </c>
      <c r="J365" t="s">
        <v>1782</v>
      </c>
    </row>
    <row r="366" spans="1:10">
      <c r="A366" t="s">
        <v>1783</v>
      </c>
      <c r="B366" t="s">
        <v>1783</v>
      </c>
      <c r="C366" t="s">
        <v>1784</v>
      </c>
      <c r="D366">
        <v>18</v>
      </c>
      <c r="E366" t="s">
        <v>29</v>
      </c>
      <c r="F366" t="s">
        <v>63</v>
      </c>
      <c r="G366" s="23">
        <v>42288</v>
      </c>
      <c r="H366" t="s">
        <v>1785</v>
      </c>
      <c r="I366" t="s">
        <v>1786</v>
      </c>
      <c r="J366" t="s">
        <v>1787</v>
      </c>
    </row>
    <row r="367" spans="1:10">
      <c r="A367" t="s">
        <v>1788</v>
      </c>
      <c r="B367" t="s">
        <v>1788</v>
      </c>
      <c r="C367" t="s">
        <v>1789</v>
      </c>
      <c r="D367">
        <v>36</v>
      </c>
      <c r="E367" t="s">
        <v>31</v>
      </c>
      <c r="F367" t="s">
        <v>571</v>
      </c>
      <c r="G367" s="23">
        <v>42654</v>
      </c>
      <c r="H367" t="s">
        <v>1790</v>
      </c>
      <c r="I367" t="s">
        <v>1791</v>
      </c>
      <c r="J367" t="s">
        <v>1792</v>
      </c>
    </row>
    <row r="368" spans="1:10">
      <c r="A368" t="s">
        <v>1793</v>
      </c>
      <c r="B368" t="s">
        <v>1793</v>
      </c>
      <c r="C368" t="s">
        <v>1794</v>
      </c>
      <c r="D368">
        <v>18</v>
      </c>
      <c r="E368" t="s">
        <v>34</v>
      </c>
      <c r="F368" t="s">
        <v>57</v>
      </c>
      <c r="G368" s="23">
        <v>44156</v>
      </c>
      <c r="H368" t="s">
        <v>1795</v>
      </c>
      <c r="I368" t="s">
        <v>1796</v>
      </c>
      <c r="J368" t="s">
        <v>1797</v>
      </c>
    </row>
    <row r="369" spans="1:10">
      <c r="A369" t="s">
        <v>1798</v>
      </c>
      <c r="B369" t="s">
        <v>1798</v>
      </c>
      <c r="C369" t="s">
        <v>1799</v>
      </c>
      <c r="D369">
        <v>13</v>
      </c>
      <c r="E369" t="s">
        <v>33</v>
      </c>
      <c r="F369" t="s">
        <v>57</v>
      </c>
      <c r="G369" s="23">
        <v>45262</v>
      </c>
      <c r="H369" t="s">
        <v>1800</v>
      </c>
      <c r="I369" t="s">
        <v>1801</v>
      </c>
      <c r="J369" t="s">
        <v>1802</v>
      </c>
    </row>
    <row r="370" spans="1:10">
      <c r="A370" t="s">
        <v>1803</v>
      </c>
      <c r="B370" t="s">
        <v>1803</v>
      </c>
      <c r="C370" t="s">
        <v>1804</v>
      </c>
      <c r="D370">
        <v>4</v>
      </c>
      <c r="E370" t="s">
        <v>29</v>
      </c>
      <c r="F370" t="s">
        <v>63</v>
      </c>
      <c r="G370" s="23">
        <v>43035</v>
      </c>
      <c r="H370" t="s">
        <v>1805</v>
      </c>
      <c r="I370" t="s">
        <v>1806</v>
      </c>
      <c r="J370" t="s">
        <v>1807</v>
      </c>
    </row>
    <row r="371" spans="1:10">
      <c r="A371" t="s">
        <v>1808</v>
      </c>
      <c r="B371" t="s">
        <v>1808</v>
      </c>
      <c r="C371" t="s">
        <v>1809</v>
      </c>
      <c r="D371">
        <v>8</v>
      </c>
      <c r="E371" t="s">
        <v>31</v>
      </c>
      <c r="F371" t="s">
        <v>63</v>
      </c>
      <c r="G371" s="23">
        <v>44724</v>
      </c>
      <c r="H371" t="s">
        <v>1810</v>
      </c>
      <c r="I371" t="s">
        <v>1811</v>
      </c>
      <c r="J371" t="s">
        <v>1812</v>
      </c>
    </row>
    <row r="372" spans="1:10">
      <c r="A372" t="s">
        <v>1813</v>
      </c>
      <c r="B372" t="s">
        <v>1813</v>
      </c>
      <c r="C372" t="s">
        <v>1814</v>
      </c>
      <c r="D372">
        <v>1</v>
      </c>
      <c r="E372" t="s">
        <v>33</v>
      </c>
      <c r="F372" t="s">
        <v>571</v>
      </c>
      <c r="G372" s="23">
        <v>41710</v>
      </c>
      <c r="H372" t="s">
        <v>1815</v>
      </c>
      <c r="I372" t="s">
        <v>1816</v>
      </c>
      <c r="J372" t="s">
        <v>1817</v>
      </c>
    </row>
    <row r="373" spans="1:10">
      <c r="A373" t="s">
        <v>1818</v>
      </c>
      <c r="B373" t="s">
        <v>1818</v>
      </c>
      <c r="C373" t="s">
        <v>1819</v>
      </c>
      <c r="D373">
        <v>16</v>
      </c>
      <c r="E373" t="s">
        <v>33</v>
      </c>
      <c r="F373" t="s">
        <v>57</v>
      </c>
      <c r="G373" s="23">
        <v>43424</v>
      </c>
      <c r="H373" t="s">
        <v>1820</v>
      </c>
      <c r="I373" t="s">
        <v>1821</v>
      </c>
      <c r="J373" t="s">
        <v>1822</v>
      </c>
    </row>
    <row r="374" spans="1:10">
      <c r="A374" t="s">
        <v>1823</v>
      </c>
      <c r="B374" t="s">
        <v>1823</v>
      </c>
      <c r="C374" t="s">
        <v>1824</v>
      </c>
      <c r="D374">
        <v>4</v>
      </c>
      <c r="E374" t="s">
        <v>34</v>
      </c>
      <c r="F374" t="s">
        <v>57</v>
      </c>
      <c r="G374" s="23">
        <v>45230</v>
      </c>
      <c r="H374" t="s">
        <v>1825</v>
      </c>
      <c r="I374" t="s">
        <v>1826</v>
      </c>
      <c r="J374" t="s">
        <v>1827</v>
      </c>
    </row>
    <row r="375" spans="1:10">
      <c r="A375" t="s">
        <v>1828</v>
      </c>
      <c r="B375" t="s">
        <v>1828</v>
      </c>
      <c r="C375" t="s">
        <v>842</v>
      </c>
      <c r="D375">
        <v>23</v>
      </c>
      <c r="E375" t="s">
        <v>34</v>
      </c>
      <c r="F375" t="s">
        <v>57</v>
      </c>
      <c r="G375" s="23">
        <v>46219</v>
      </c>
      <c r="H375" t="s">
        <v>1829</v>
      </c>
      <c r="I375" t="s">
        <v>1830</v>
      </c>
      <c r="J375" t="s">
        <v>1831</v>
      </c>
    </row>
    <row r="376" spans="1:10">
      <c r="A376" t="s">
        <v>1832</v>
      </c>
      <c r="B376" t="s">
        <v>1832</v>
      </c>
      <c r="C376" t="s">
        <v>1833</v>
      </c>
      <c r="D376">
        <v>27</v>
      </c>
      <c r="E376" t="s">
        <v>33</v>
      </c>
      <c r="F376" t="s">
        <v>57</v>
      </c>
      <c r="G376" s="23">
        <v>44413</v>
      </c>
      <c r="H376" t="s">
        <v>1834</v>
      </c>
      <c r="I376" t="s">
        <v>1835</v>
      </c>
      <c r="J376" t="s">
        <v>1836</v>
      </c>
    </row>
    <row r="377" spans="1:10">
      <c r="A377" t="s">
        <v>1837</v>
      </c>
      <c r="B377" t="s">
        <v>1837</v>
      </c>
      <c r="C377" t="s">
        <v>1838</v>
      </c>
      <c r="D377">
        <v>45</v>
      </c>
      <c r="E377" t="s">
        <v>34</v>
      </c>
      <c r="F377" t="s">
        <v>57</v>
      </c>
      <c r="G377" s="23">
        <v>45836</v>
      </c>
      <c r="H377" t="s">
        <v>1839</v>
      </c>
      <c r="I377" t="s">
        <v>1840</v>
      </c>
      <c r="J377" t="s">
        <v>1841</v>
      </c>
    </row>
    <row r="378" spans="1:10">
      <c r="A378" t="s">
        <v>1842</v>
      </c>
      <c r="B378" t="s">
        <v>1842</v>
      </c>
      <c r="C378" t="s">
        <v>1843</v>
      </c>
      <c r="D378">
        <v>23</v>
      </c>
      <c r="E378" t="s">
        <v>34</v>
      </c>
      <c r="F378" t="s">
        <v>57</v>
      </c>
      <c r="G378" s="23">
        <v>45484</v>
      </c>
      <c r="H378" t="s">
        <v>1844</v>
      </c>
      <c r="I378" t="s">
        <v>1845</v>
      </c>
      <c r="J378" t="s">
        <v>1846</v>
      </c>
    </row>
    <row r="379" spans="1:10">
      <c r="A379" t="s">
        <v>1847</v>
      </c>
      <c r="B379" t="s">
        <v>1847</v>
      </c>
      <c r="C379" t="s">
        <v>1848</v>
      </c>
      <c r="D379">
        <v>14</v>
      </c>
      <c r="E379" t="s">
        <v>34</v>
      </c>
      <c r="F379" t="s">
        <v>57</v>
      </c>
      <c r="G379" s="23">
        <v>45587</v>
      </c>
      <c r="H379" t="s">
        <v>1849</v>
      </c>
      <c r="I379" t="s">
        <v>1850</v>
      </c>
      <c r="J379" t="s">
        <v>1851</v>
      </c>
    </row>
    <row r="380" spans="1:10">
      <c r="A380" t="s">
        <v>1852</v>
      </c>
      <c r="B380" t="s">
        <v>1852</v>
      </c>
      <c r="C380" t="s">
        <v>1714</v>
      </c>
      <c r="D380">
        <v>102</v>
      </c>
      <c r="E380" t="s">
        <v>31</v>
      </c>
      <c r="F380" t="s">
        <v>63</v>
      </c>
      <c r="G380" s="23">
        <v>46204</v>
      </c>
      <c r="H380" t="s">
        <v>1853</v>
      </c>
      <c r="I380" t="s">
        <v>1854</v>
      </c>
      <c r="J380" t="s">
        <v>1855</v>
      </c>
    </row>
    <row r="381" spans="1:10">
      <c r="A381" t="s">
        <v>1856</v>
      </c>
      <c r="B381" t="s">
        <v>1856</v>
      </c>
      <c r="C381" t="s">
        <v>1714</v>
      </c>
      <c r="D381">
        <v>120</v>
      </c>
      <c r="E381" t="s">
        <v>31</v>
      </c>
      <c r="F381" t="s">
        <v>63</v>
      </c>
      <c r="G381" s="23">
        <v>46215</v>
      </c>
      <c r="H381" t="s">
        <v>1857</v>
      </c>
      <c r="I381" t="s">
        <v>1858</v>
      </c>
      <c r="J381" t="s">
        <v>1859</v>
      </c>
    </row>
    <row r="382" spans="1:10">
      <c r="A382" t="s">
        <v>1860</v>
      </c>
      <c r="B382" t="s">
        <v>1860</v>
      </c>
      <c r="C382" t="s">
        <v>1861</v>
      </c>
      <c r="D382">
        <v>10</v>
      </c>
      <c r="E382" t="s">
        <v>33</v>
      </c>
      <c r="F382" t="s">
        <v>57</v>
      </c>
      <c r="G382" s="23">
        <v>45867</v>
      </c>
      <c r="H382" t="s">
        <v>1862</v>
      </c>
      <c r="I382" t="s">
        <v>1863</v>
      </c>
      <c r="J382" t="s">
        <v>1864</v>
      </c>
    </row>
    <row r="383" spans="1:10">
      <c r="A383" t="s">
        <v>1865</v>
      </c>
      <c r="B383" t="s">
        <v>1865</v>
      </c>
      <c r="C383" t="s">
        <v>1861</v>
      </c>
      <c r="D383">
        <v>14</v>
      </c>
      <c r="E383" t="s">
        <v>33</v>
      </c>
      <c r="F383" t="s">
        <v>57</v>
      </c>
      <c r="G383" s="23">
        <v>46007</v>
      </c>
      <c r="H383" t="s">
        <v>1866</v>
      </c>
      <c r="I383" t="s">
        <v>1867</v>
      </c>
      <c r="J383" t="s">
        <v>1868</v>
      </c>
    </row>
    <row r="384" spans="1:10">
      <c r="A384" t="s">
        <v>1869</v>
      </c>
      <c r="B384" t="s">
        <v>1869</v>
      </c>
      <c r="C384" t="s">
        <v>1870</v>
      </c>
      <c r="D384">
        <v>15</v>
      </c>
      <c r="E384" t="s">
        <v>34</v>
      </c>
      <c r="F384" t="s">
        <v>57</v>
      </c>
      <c r="G384" s="23">
        <v>45120</v>
      </c>
      <c r="H384" t="s">
        <v>1871</v>
      </c>
      <c r="I384" t="s">
        <v>1872</v>
      </c>
      <c r="J384" t="s">
        <v>1873</v>
      </c>
    </row>
    <row r="385" spans="1:10">
      <c r="A385" t="s">
        <v>1874</v>
      </c>
      <c r="B385" t="s">
        <v>1874</v>
      </c>
      <c r="C385" t="s">
        <v>1875</v>
      </c>
      <c r="D385">
        <v>22</v>
      </c>
      <c r="E385" t="s">
        <v>34</v>
      </c>
      <c r="F385" t="s">
        <v>57</v>
      </c>
      <c r="G385" s="23">
        <v>44378</v>
      </c>
      <c r="H385" t="s">
        <v>1876</v>
      </c>
      <c r="I385" t="s">
        <v>1877</v>
      </c>
      <c r="J385" t="s">
        <v>1878</v>
      </c>
    </row>
    <row r="386" spans="1:10">
      <c r="A386" t="s">
        <v>1879</v>
      </c>
      <c r="B386" t="s">
        <v>1879</v>
      </c>
      <c r="C386" t="s">
        <v>452</v>
      </c>
      <c r="D386">
        <v>11</v>
      </c>
      <c r="E386" t="s">
        <v>33</v>
      </c>
      <c r="F386" t="s">
        <v>57</v>
      </c>
      <c r="G386" s="23">
        <v>44861</v>
      </c>
      <c r="H386" t="s">
        <v>1880</v>
      </c>
      <c r="I386" t="s">
        <v>1881</v>
      </c>
      <c r="J386" t="s">
        <v>1882</v>
      </c>
    </row>
    <row r="387" spans="1:10">
      <c r="A387" t="s">
        <v>1883</v>
      </c>
      <c r="B387" t="s">
        <v>1883</v>
      </c>
      <c r="C387" t="s">
        <v>1884</v>
      </c>
      <c r="D387">
        <v>8</v>
      </c>
      <c r="E387" t="s">
        <v>34</v>
      </c>
      <c r="F387" t="s">
        <v>57</v>
      </c>
      <c r="G387" s="23">
        <v>44330</v>
      </c>
      <c r="H387" t="s">
        <v>1885</v>
      </c>
      <c r="I387" t="s">
        <v>1886</v>
      </c>
      <c r="J387" t="s">
        <v>1887</v>
      </c>
    </row>
    <row r="388" spans="1:10">
      <c r="A388" t="s">
        <v>1888</v>
      </c>
      <c r="B388" t="s">
        <v>1888</v>
      </c>
      <c r="C388" t="s">
        <v>1884</v>
      </c>
      <c r="D388">
        <v>9</v>
      </c>
      <c r="E388" t="s">
        <v>34</v>
      </c>
      <c r="F388" t="s">
        <v>57</v>
      </c>
      <c r="G388" s="23">
        <v>44373</v>
      </c>
      <c r="H388" t="s">
        <v>1889</v>
      </c>
      <c r="I388" t="s">
        <v>1890</v>
      </c>
      <c r="J388" t="s">
        <v>1891</v>
      </c>
    </row>
    <row r="389" spans="1:10">
      <c r="A389" t="s">
        <v>1892</v>
      </c>
      <c r="B389" t="s">
        <v>1892</v>
      </c>
      <c r="C389" t="s">
        <v>1884</v>
      </c>
      <c r="D389">
        <v>12</v>
      </c>
      <c r="E389" t="s">
        <v>34</v>
      </c>
      <c r="F389" t="s">
        <v>57</v>
      </c>
      <c r="G389" s="23">
        <v>44724</v>
      </c>
      <c r="H389" t="s">
        <v>1893</v>
      </c>
      <c r="I389" t="s">
        <v>1894</v>
      </c>
      <c r="J389" t="s">
        <v>1895</v>
      </c>
    </row>
    <row r="390" spans="1:10">
      <c r="A390" t="s">
        <v>1896</v>
      </c>
      <c r="B390" t="s">
        <v>1896</v>
      </c>
      <c r="C390" t="s">
        <v>1884</v>
      </c>
      <c r="D390">
        <v>13</v>
      </c>
      <c r="E390" t="s">
        <v>34</v>
      </c>
      <c r="F390" t="s">
        <v>57</v>
      </c>
      <c r="G390" s="23">
        <v>45150</v>
      </c>
      <c r="H390" t="s">
        <v>1897</v>
      </c>
      <c r="I390" t="s">
        <v>1898</v>
      </c>
      <c r="J390" t="s">
        <v>1899</v>
      </c>
    </row>
    <row r="391" spans="1:10">
      <c r="A391" t="s">
        <v>1900</v>
      </c>
      <c r="B391" t="s">
        <v>1900</v>
      </c>
      <c r="C391" t="s">
        <v>1884</v>
      </c>
      <c r="D391">
        <v>23</v>
      </c>
      <c r="E391" t="s">
        <v>35</v>
      </c>
      <c r="F391" t="s">
        <v>57</v>
      </c>
      <c r="G391" s="23">
        <v>45522</v>
      </c>
      <c r="H391" t="s">
        <v>1901</v>
      </c>
      <c r="I391" t="s">
        <v>1902</v>
      </c>
      <c r="J391" t="s">
        <v>1903</v>
      </c>
    </row>
    <row r="392" spans="1:10">
      <c r="A392" t="s">
        <v>1904</v>
      </c>
      <c r="B392" t="s">
        <v>1904</v>
      </c>
      <c r="C392" t="s">
        <v>1905</v>
      </c>
      <c r="D392">
        <v>10</v>
      </c>
      <c r="E392" t="s">
        <v>33</v>
      </c>
      <c r="F392" t="s">
        <v>57</v>
      </c>
      <c r="G392" s="23">
        <v>45567</v>
      </c>
      <c r="H392" t="s">
        <v>1906</v>
      </c>
      <c r="I392" t="s">
        <v>1907</v>
      </c>
      <c r="J392" t="s">
        <v>1908</v>
      </c>
    </row>
    <row r="393" spans="1:10">
      <c r="A393" t="s">
        <v>1909</v>
      </c>
      <c r="B393" t="s">
        <v>1909</v>
      </c>
      <c r="C393" t="s">
        <v>1905</v>
      </c>
      <c r="D393">
        <v>14</v>
      </c>
      <c r="E393" t="s">
        <v>33</v>
      </c>
      <c r="F393" t="s">
        <v>57</v>
      </c>
      <c r="G393" s="23">
        <v>44249</v>
      </c>
      <c r="H393" t="s">
        <v>1910</v>
      </c>
      <c r="I393" t="s">
        <v>1911</v>
      </c>
      <c r="J393" t="s">
        <v>1912</v>
      </c>
    </row>
    <row r="394" spans="1:10">
      <c r="A394" t="s">
        <v>1913</v>
      </c>
      <c r="B394" t="s">
        <v>1913</v>
      </c>
      <c r="C394" t="s">
        <v>1905</v>
      </c>
      <c r="D394">
        <v>15</v>
      </c>
      <c r="E394" t="s">
        <v>33</v>
      </c>
      <c r="F394" t="s">
        <v>57</v>
      </c>
      <c r="G394" s="23">
        <v>44698</v>
      </c>
      <c r="H394" t="s">
        <v>1914</v>
      </c>
      <c r="I394" t="s">
        <v>1915</v>
      </c>
      <c r="J394" t="s">
        <v>1916</v>
      </c>
    </row>
    <row r="395" spans="1:10">
      <c r="A395" t="s">
        <v>1917</v>
      </c>
      <c r="B395" t="s">
        <v>1917</v>
      </c>
      <c r="C395" t="s">
        <v>1918</v>
      </c>
      <c r="D395">
        <v>10</v>
      </c>
      <c r="E395" t="s">
        <v>34</v>
      </c>
      <c r="F395" t="s">
        <v>57</v>
      </c>
      <c r="G395" s="23">
        <v>45914</v>
      </c>
      <c r="H395" t="s">
        <v>1919</v>
      </c>
      <c r="I395" t="s">
        <v>1920</v>
      </c>
      <c r="J395" t="s">
        <v>1921</v>
      </c>
    </row>
    <row r="396" spans="1:10">
      <c r="A396" t="s">
        <v>1922</v>
      </c>
      <c r="B396" t="s">
        <v>1922</v>
      </c>
      <c r="C396" t="s">
        <v>1575</v>
      </c>
      <c r="D396">
        <v>0</v>
      </c>
      <c r="E396" t="s">
        <v>31</v>
      </c>
      <c r="F396" t="s">
        <v>63</v>
      </c>
      <c r="G396" s="23">
        <v>45747</v>
      </c>
      <c r="H396" t="s">
        <v>1923</v>
      </c>
      <c r="I396" t="s">
        <v>1924</v>
      </c>
      <c r="J396" t="s">
        <v>1925</v>
      </c>
    </row>
    <row r="397" spans="1:10">
      <c r="A397" t="s">
        <v>1926</v>
      </c>
      <c r="B397" t="s">
        <v>1926</v>
      </c>
      <c r="C397" t="s">
        <v>1927</v>
      </c>
      <c r="D397">
        <v>9</v>
      </c>
      <c r="E397" t="s">
        <v>34</v>
      </c>
      <c r="F397" t="s">
        <v>57</v>
      </c>
      <c r="G397" s="23">
        <v>44879</v>
      </c>
      <c r="H397" t="s">
        <v>1928</v>
      </c>
      <c r="I397" t="s">
        <v>1929</v>
      </c>
      <c r="J397" t="s">
        <v>1930</v>
      </c>
    </row>
    <row r="398" spans="1:10">
      <c r="A398" t="s">
        <v>1931</v>
      </c>
      <c r="B398" t="s">
        <v>1931</v>
      </c>
      <c r="C398" t="s">
        <v>1932</v>
      </c>
      <c r="D398">
        <v>8</v>
      </c>
      <c r="E398" t="s">
        <v>35</v>
      </c>
      <c r="F398" t="s">
        <v>57</v>
      </c>
      <c r="G398" s="23">
        <v>44729</v>
      </c>
      <c r="H398" t="s">
        <v>1933</v>
      </c>
      <c r="I398" t="s">
        <v>1934</v>
      </c>
      <c r="J398" t="s">
        <v>1935</v>
      </c>
    </row>
    <row r="399" spans="1:10">
      <c r="A399" t="s">
        <v>1936</v>
      </c>
      <c r="B399" t="s">
        <v>1936</v>
      </c>
      <c r="C399" t="s">
        <v>1932</v>
      </c>
      <c r="D399">
        <v>10</v>
      </c>
      <c r="E399" t="s">
        <v>35</v>
      </c>
      <c r="F399" t="s">
        <v>57</v>
      </c>
      <c r="G399" s="23">
        <v>44529</v>
      </c>
      <c r="H399" t="s">
        <v>1937</v>
      </c>
      <c r="I399" t="s">
        <v>1938</v>
      </c>
      <c r="J399" t="s">
        <v>1939</v>
      </c>
    </row>
    <row r="400" spans="1:10">
      <c r="A400" t="s">
        <v>1940</v>
      </c>
      <c r="B400" t="s">
        <v>1940</v>
      </c>
      <c r="C400" t="s">
        <v>1932</v>
      </c>
      <c r="D400">
        <v>8</v>
      </c>
      <c r="E400" t="s">
        <v>35</v>
      </c>
      <c r="F400" t="s">
        <v>57</v>
      </c>
      <c r="G400" s="23">
        <v>44832</v>
      </c>
      <c r="H400" t="s">
        <v>1941</v>
      </c>
      <c r="I400" t="s">
        <v>1942</v>
      </c>
      <c r="J400" t="s">
        <v>1943</v>
      </c>
    </row>
    <row r="401" spans="1:10">
      <c r="A401" t="s">
        <v>1944</v>
      </c>
      <c r="B401" t="s">
        <v>1944</v>
      </c>
      <c r="C401" t="s">
        <v>1945</v>
      </c>
      <c r="D401">
        <v>17</v>
      </c>
      <c r="E401" t="s">
        <v>31</v>
      </c>
      <c r="F401" t="s">
        <v>63</v>
      </c>
      <c r="G401" s="23">
        <v>45494</v>
      </c>
      <c r="H401" t="s">
        <v>1946</v>
      </c>
      <c r="I401" t="s">
        <v>1947</v>
      </c>
      <c r="J401" t="s">
        <v>1948</v>
      </c>
    </row>
    <row r="402" spans="1:10">
      <c r="A402" t="s">
        <v>1949</v>
      </c>
      <c r="B402" t="s">
        <v>1949</v>
      </c>
      <c r="C402" t="s">
        <v>1905</v>
      </c>
      <c r="D402">
        <v>22</v>
      </c>
      <c r="E402" t="s">
        <v>34</v>
      </c>
      <c r="F402" t="s">
        <v>57</v>
      </c>
      <c r="G402" s="23">
        <v>44154</v>
      </c>
      <c r="H402" t="s">
        <v>1950</v>
      </c>
      <c r="I402" t="s">
        <v>1951</v>
      </c>
      <c r="J402" t="s">
        <v>1952</v>
      </c>
    </row>
    <row r="403" spans="1:10">
      <c r="A403" t="s">
        <v>1953</v>
      </c>
      <c r="B403" t="s">
        <v>1953</v>
      </c>
      <c r="C403" t="s">
        <v>302</v>
      </c>
      <c r="D403">
        <v>0</v>
      </c>
      <c r="E403" t="s">
        <v>31</v>
      </c>
      <c r="F403" t="s">
        <v>63</v>
      </c>
      <c r="G403" s="23">
        <v>44635</v>
      </c>
      <c r="H403" t="s">
        <v>1954</v>
      </c>
      <c r="I403" t="s">
        <v>1955</v>
      </c>
      <c r="J403" t="s">
        <v>1956</v>
      </c>
    </row>
    <row r="404" spans="1:10">
      <c r="A404" t="s">
        <v>1957</v>
      </c>
      <c r="B404" t="s">
        <v>1957</v>
      </c>
      <c r="C404" t="s">
        <v>1958</v>
      </c>
      <c r="D404">
        <v>0</v>
      </c>
      <c r="E404" t="s">
        <v>35</v>
      </c>
      <c r="F404" t="s">
        <v>57</v>
      </c>
      <c r="G404" s="23">
        <v>44480</v>
      </c>
      <c r="H404" t="s">
        <v>1959</v>
      </c>
      <c r="I404" t="s">
        <v>1960</v>
      </c>
      <c r="J404" t="s">
        <v>1961</v>
      </c>
    </row>
    <row r="405" spans="1:10">
      <c r="A405" t="s">
        <v>1962</v>
      </c>
      <c r="B405" t="s">
        <v>1962</v>
      </c>
      <c r="C405" t="s">
        <v>1478</v>
      </c>
      <c r="D405">
        <v>8</v>
      </c>
      <c r="E405" t="s">
        <v>34</v>
      </c>
      <c r="F405" t="s">
        <v>57</v>
      </c>
      <c r="G405" s="23">
        <v>45781</v>
      </c>
      <c r="H405" t="s">
        <v>1963</v>
      </c>
      <c r="I405" t="s">
        <v>1964</v>
      </c>
      <c r="J405" t="s">
        <v>1965</v>
      </c>
    </row>
    <row r="406" spans="1:10">
      <c r="A406" t="s">
        <v>1966</v>
      </c>
      <c r="B406" t="s">
        <v>1966</v>
      </c>
      <c r="C406" t="s">
        <v>1967</v>
      </c>
      <c r="D406">
        <v>18</v>
      </c>
      <c r="E406" t="s">
        <v>35</v>
      </c>
      <c r="F406" t="s">
        <v>57</v>
      </c>
      <c r="G406" s="23">
        <v>43849</v>
      </c>
      <c r="H406" t="s">
        <v>1968</v>
      </c>
      <c r="I406" t="s">
        <v>1969</v>
      </c>
      <c r="J406" t="s">
        <v>1970</v>
      </c>
    </row>
    <row r="407" spans="1:10">
      <c r="A407" t="s">
        <v>1971</v>
      </c>
      <c r="B407" t="s">
        <v>1971</v>
      </c>
      <c r="C407" t="s">
        <v>452</v>
      </c>
      <c r="D407">
        <v>1</v>
      </c>
      <c r="E407" t="s">
        <v>31</v>
      </c>
      <c r="F407" t="s">
        <v>57</v>
      </c>
      <c r="G407" s="23">
        <v>44885</v>
      </c>
      <c r="H407" t="s">
        <v>1972</v>
      </c>
      <c r="I407" t="s">
        <v>1973</v>
      </c>
      <c r="J407" t="s">
        <v>1974</v>
      </c>
    </row>
    <row r="408" spans="1:10">
      <c r="A408" t="s">
        <v>1975</v>
      </c>
      <c r="B408" t="s">
        <v>1975</v>
      </c>
      <c r="C408" t="s">
        <v>1976</v>
      </c>
      <c r="D408">
        <v>12</v>
      </c>
      <c r="E408" t="s">
        <v>34</v>
      </c>
      <c r="F408" t="s">
        <v>57</v>
      </c>
      <c r="G408" s="23">
        <v>45021</v>
      </c>
      <c r="H408" t="s">
        <v>1977</v>
      </c>
      <c r="I408" t="s">
        <v>1978</v>
      </c>
      <c r="J408" t="s">
        <v>1979</v>
      </c>
    </row>
    <row r="409" spans="1:10">
      <c r="A409" t="s">
        <v>1980</v>
      </c>
      <c r="B409" t="s">
        <v>1980</v>
      </c>
      <c r="C409" t="s">
        <v>1981</v>
      </c>
      <c r="D409">
        <v>10</v>
      </c>
      <c r="E409" t="s">
        <v>34</v>
      </c>
      <c r="F409" t="s">
        <v>57</v>
      </c>
      <c r="G409" s="23">
        <v>44561</v>
      </c>
      <c r="H409" t="s">
        <v>1982</v>
      </c>
      <c r="I409" t="s">
        <v>1983</v>
      </c>
      <c r="J409" t="s">
        <v>1984</v>
      </c>
    </row>
    <row r="410" spans="1:10">
      <c r="A410" t="s">
        <v>1985</v>
      </c>
      <c r="B410" t="s">
        <v>1985</v>
      </c>
      <c r="C410" t="s">
        <v>1986</v>
      </c>
      <c r="D410">
        <v>4</v>
      </c>
      <c r="E410" t="s">
        <v>29</v>
      </c>
      <c r="F410" t="s">
        <v>63</v>
      </c>
      <c r="G410" s="23">
        <v>44007</v>
      </c>
      <c r="H410" t="s">
        <v>1987</v>
      </c>
      <c r="I410" t="s">
        <v>1988</v>
      </c>
      <c r="J410" t="s">
        <v>1989</v>
      </c>
    </row>
    <row r="411" spans="1:10">
      <c r="A411" t="s">
        <v>1990</v>
      </c>
      <c r="B411" t="s">
        <v>1990</v>
      </c>
      <c r="C411" t="s">
        <v>1991</v>
      </c>
      <c r="D411">
        <v>89</v>
      </c>
      <c r="E411" t="s">
        <v>29</v>
      </c>
      <c r="F411" t="s">
        <v>63</v>
      </c>
      <c r="G411" s="23">
        <v>45638</v>
      </c>
      <c r="H411" t="s">
        <v>1992</v>
      </c>
      <c r="I411" t="s">
        <v>1993</v>
      </c>
      <c r="J411" t="s">
        <v>1994</v>
      </c>
    </row>
    <row r="412" spans="1:10">
      <c r="A412" t="s">
        <v>1995</v>
      </c>
      <c r="B412" t="s">
        <v>1995</v>
      </c>
      <c r="C412" t="s">
        <v>1996</v>
      </c>
      <c r="D412">
        <v>18</v>
      </c>
      <c r="E412" t="s">
        <v>31</v>
      </c>
      <c r="F412" t="s">
        <v>63</v>
      </c>
      <c r="G412" s="23">
        <v>42615</v>
      </c>
      <c r="H412" t="s">
        <v>1997</v>
      </c>
      <c r="I412" t="s">
        <v>1998</v>
      </c>
      <c r="J412" t="s">
        <v>1999</v>
      </c>
    </row>
    <row r="413" spans="1:10">
      <c r="A413" t="s">
        <v>2000</v>
      </c>
      <c r="B413" t="s">
        <v>2000</v>
      </c>
      <c r="C413" t="s">
        <v>2001</v>
      </c>
      <c r="D413">
        <v>7</v>
      </c>
      <c r="E413" t="s">
        <v>29</v>
      </c>
      <c r="F413" t="s">
        <v>63</v>
      </c>
      <c r="G413" s="23">
        <v>42134</v>
      </c>
      <c r="H413" t="s">
        <v>2002</v>
      </c>
      <c r="I413" t="s">
        <v>2003</v>
      </c>
      <c r="J413" t="s">
        <v>2004</v>
      </c>
    </row>
    <row r="414" spans="1:10">
      <c r="A414" t="s">
        <v>2005</v>
      </c>
      <c r="B414" t="s">
        <v>2005</v>
      </c>
      <c r="C414" t="s">
        <v>2006</v>
      </c>
      <c r="D414">
        <v>0</v>
      </c>
      <c r="E414" t="s">
        <v>35</v>
      </c>
      <c r="F414" t="s">
        <v>57</v>
      </c>
      <c r="G414" s="23">
        <v>46072</v>
      </c>
      <c r="H414" t="s">
        <v>2007</v>
      </c>
      <c r="I414" t="s">
        <v>2008</v>
      </c>
      <c r="J414" t="s">
        <v>2009</v>
      </c>
    </row>
    <row r="415" spans="1:10">
      <c r="A415" t="s">
        <v>2010</v>
      </c>
      <c r="B415" t="s">
        <v>2010</v>
      </c>
      <c r="C415" t="s">
        <v>2011</v>
      </c>
      <c r="D415">
        <v>23</v>
      </c>
      <c r="E415" t="s">
        <v>34</v>
      </c>
      <c r="F415" t="s">
        <v>57</v>
      </c>
      <c r="G415" s="23">
        <v>44349</v>
      </c>
      <c r="H415" t="s">
        <v>2012</v>
      </c>
      <c r="I415" t="s">
        <v>2013</v>
      </c>
      <c r="J415" t="s">
        <v>2014</v>
      </c>
    </row>
    <row r="416" spans="1:10">
      <c r="A416" t="s">
        <v>2015</v>
      </c>
      <c r="B416" t="s">
        <v>2015</v>
      </c>
      <c r="C416" t="s">
        <v>2016</v>
      </c>
      <c r="D416">
        <v>11</v>
      </c>
      <c r="E416" t="s">
        <v>33</v>
      </c>
      <c r="F416" t="s">
        <v>571</v>
      </c>
      <c r="G416" s="23">
        <v>42873</v>
      </c>
      <c r="H416" t="s">
        <v>2017</v>
      </c>
      <c r="I416" t="s">
        <v>2018</v>
      </c>
      <c r="J416" t="s">
        <v>2019</v>
      </c>
    </row>
    <row r="417" spans="1:10">
      <c r="A417" t="s">
        <v>2020</v>
      </c>
      <c r="B417" t="s">
        <v>2020</v>
      </c>
      <c r="C417" t="s">
        <v>2021</v>
      </c>
      <c r="D417">
        <v>1</v>
      </c>
      <c r="E417" t="s">
        <v>34</v>
      </c>
      <c r="F417" t="s">
        <v>57</v>
      </c>
      <c r="G417" s="23">
        <v>45595</v>
      </c>
      <c r="H417" t="s">
        <v>2022</v>
      </c>
      <c r="I417" t="s">
        <v>2023</v>
      </c>
      <c r="J417" t="s">
        <v>2024</v>
      </c>
    </row>
    <row r="418" spans="1:10">
      <c r="A418" t="s">
        <v>2025</v>
      </c>
      <c r="B418" t="s">
        <v>2025</v>
      </c>
      <c r="C418" t="s">
        <v>1429</v>
      </c>
      <c r="D418">
        <v>20</v>
      </c>
      <c r="E418" t="s">
        <v>34</v>
      </c>
      <c r="F418" t="s">
        <v>57</v>
      </c>
      <c r="G418" s="23">
        <v>44033</v>
      </c>
      <c r="H418" t="s">
        <v>2026</v>
      </c>
      <c r="I418" t="s">
        <v>2027</v>
      </c>
      <c r="J418" t="s">
        <v>2028</v>
      </c>
    </row>
    <row r="419" spans="1:10">
      <c r="A419" t="s">
        <v>2029</v>
      </c>
      <c r="B419" t="s">
        <v>2029</v>
      </c>
      <c r="C419" t="s">
        <v>2030</v>
      </c>
      <c r="D419">
        <v>7</v>
      </c>
      <c r="E419" t="s">
        <v>31</v>
      </c>
      <c r="F419" t="s">
        <v>63</v>
      </c>
      <c r="G419" s="23">
        <v>44779</v>
      </c>
      <c r="H419" t="s">
        <v>2031</v>
      </c>
      <c r="I419" t="s">
        <v>2032</v>
      </c>
      <c r="J419" t="s">
        <v>2033</v>
      </c>
    </row>
    <row r="420" spans="1:10">
      <c r="A420" t="s">
        <v>2034</v>
      </c>
      <c r="B420" t="s">
        <v>2034</v>
      </c>
      <c r="C420" t="s">
        <v>2035</v>
      </c>
      <c r="D420">
        <v>22</v>
      </c>
      <c r="E420" t="s">
        <v>33</v>
      </c>
      <c r="F420" t="s">
        <v>57</v>
      </c>
      <c r="G420" s="23">
        <v>43879</v>
      </c>
      <c r="H420" t="s">
        <v>2036</v>
      </c>
      <c r="I420" t="s">
        <v>2037</v>
      </c>
      <c r="J420" t="s">
        <v>2038</v>
      </c>
    </row>
    <row r="421" spans="1:10">
      <c r="A421" t="s">
        <v>2039</v>
      </c>
      <c r="B421" t="s">
        <v>2039</v>
      </c>
      <c r="C421" t="s">
        <v>1389</v>
      </c>
      <c r="D421">
        <v>17</v>
      </c>
      <c r="E421" t="s">
        <v>34</v>
      </c>
      <c r="F421" t="s">
        <v>57</v>
      </c>
      <c r="G421" s="23">
        <v>45076</v>
      </c>
      <c r="H421" t="s">
        <v>2040</v>
      </c>
      <c r="I421" t="s">
        <v>2041</v>
      </c>
      <c r="J421" t="s">
        <v>2042</v>
      </c>
    </row>
    <row r="422" spans="1:10">
      <c r="A422" t="s">
        <v>2043</v>
      </c>
      <c r="B422" t="s">
        <v>2043</v>
      </c>
      <c r="C422" t="s">
        <v>2044</v>
      </c>
      <c r="D422">
        <v>10</v>
      </c>
      <c r="E422" t="s">
        <v>34</v>
      </c>
      <c r="F422" t="s">
        <v>57</v>
      </c>
      <c r="G422" s="23">
        <v>44817</v>
      </c>
      <c r="H422" t="s">
        <v>2045</v>
      </c>
      <c r="I422" t="s">
        <v>2046</v>
      </c>
      <c r="J422" t="s">
        <v>2047</v>
      </c>
    </row>
    <row r="423" spans="1:10">
      <c r="A423" t="s">
        <v>2048</v>
      </c>
      <c r="B423" t="s">
        <v>2048</v>
      </c>
      <c r="C423" t="s">
        <v>641</v>
      </c>
      <c r="D423">
        <v>5</v>
      </c>
      <c r="E423" t="s">
        <v>35</v>
      </c>
      <c r="F423" t="s">
        <v>57</v>
      </c>
      <c r="G423" s="23">
        <v>44304</v>
      </c>
      <c r="H423" t="s">
        <v>2049</v>
      </c>
      <c r="I423" t="s">
        <v>2050</v>
      </c>
      <c r="J423" t="s">
        <v>2051</v>
      </c>
    </row>
    <row r="424" spans="1:10">
      <c r="A424" t="s">
        <v>2052</v>
      </c>
      <c r="B424" t="s">
        <v>2052</v>
      </c>
      <c r="C424" t="s">
        <v>1637</v>
      </c>
      <c r="D424">
        <v>9</v>
      </c>
      <c r="E424" t="s">
        <v>34</v>
      </c>
      <c r="F424" t="s">
        <v>57</v>
      </c>
      <c r="G424" s="23">
        <v>46081</v>
      </c>
      <c r="H424" t="s">
        <v>2053</v>
      </c>
      <c r="I424" t="s">
        <v>2054</v>
      </c>
      <c r="J424" t="s">
        <v>2055</v>
      </c>
    </row>
    <row r="425" spans="1:10">
      <c r="A425" t="s">
        <v>2056</v>
      </c>
      <c r="B425" t="s">
        <v>2056</v>
      </c>
      <c r="C425" t="s">
        <v>2057</v>
      </c>
      <c r="D425">
        <v>1</v>
      </c>
      <c r="E425" t="s">
        <v>31</v>
      </c>
      <c r="F425" t="s">
        <v>63</v>
      </c>
      <c r="G425" s="23">
        <v>42161</v>
      </c>
      <c r="H425" t="s">
        <v>2058</v>
      </c>
      <c r="I425" t="s">
        <v>2059</v>
      </c>
      <c r="J425" t="s">
        <v>2060</v>
      </c>
    </row>
    <row r="426" spans="1:10">
      <c r="A426" t="s">
        <v>2061</v>
      </c>
      <c r="B426" t="s">
        <v>2061</v>
      </c>
      <c r="C426" t="s">
        <v>2062</v>
      </c>
      <c r="D426">
        <v>10</v>
      </c>
      <c r="E426" t="s">
        <v>34</v>
      </c>
      <c r="F426" t="s">
        <v>115</v>
      </c>
      <c r="G426" s="23">
        <v>43817</v>
      </c>
      <c r="H426" t="s">
        <v>2063</v>
      </c>
      <c r="I426" t="s">
        <v>2064</v>
      </c>
      <c r="J426" t="s">
        <v>2065</v>
      </c>
    </row>
    <row r="427" spans="1:10">
      <c r="A427" t="s">
        <v>2066</v>
      </c>
      <c r="B427" t="s">
        <v>2066</v>
      </c>
      <c r="C427" t="s">
        <v>2067</v>
      </c>
      <c r="D427">
        <v>1</v>
      </c>
      <c r="E427" t="s">
        <v>27</v>
      </c>
      <c r="F427" t="s">
        <v>63</v>
      </c>
      <c r="G427" s="23">
        <v>42339</v>
      </c>
      <c r="H427" t="s">
        <v>2068</v>
      </c>
      <c r="I427" t="s">
        <v>2069</v>
      </c>
      <c r="J427" t="s">
        <v>2070</v>
      </c>
    </row>
    <row r="428" spans="1:10">
      <c r="A428" t="s">
        <v>2071</v>
      </c>
      <c r="B428" t="s">
        <v>2071</v>
      </c>
      <c r="C428" t="s">
        <v>2072</v>
      </c>
      <c r="D428">
        <v>2</v>
      </c>
      <c r="E428" t="s">
        <v>31</v>
      </c>
      <c r="F428" t="s">
        <v>63</v>
      </c>
      <c r="G428" s="23">
        <v>45957</v>
      </c>
      <c r="H428" t="s">
        <v>2073</v>
      </c>
      <c r="I428" t="s">
        <v>2074</v>
      </c>
      <c r="J428" t="s">
        <v>2075</v>
      </c>
    </row>
    <row r="429" spans="1:10">
      <c r="A429" t="s">
        <v>2076</v>
      </c>
      <c r="B429" t="s">
        <v>2076</v>
      </c>
      <c r="C429" t="s">
        <v>1389</v>
      </c>
      <c r="D429">
        <v>20</v>
      </c>
      <c r="E429" t="s">
        <v>34</v>
      </c>
      <c r="F429" t="s">
        <v>57</v>
      </c>
      <c r="G429" s="23">
        <v>45463</v>
      </c>
      <c r="H429" t="s">
        <v>2077</v>
      </c>
      <c r="I429" t="s">
        <v>2078</v>
      </c>
      <c r="J429" t="s">
        <v>2079</v>
      </c>
    </row>
    <row r="430" spans="1:10">
      <c r="A430" t="s">
        <v>2080</v>
      </c>
      <c r="B430" t="s">
        <v>2080</v>
      </c>
      <c r="C430" t="s">
        <v>2081</v>
      </c>
      <c r="D430">
        <v>15</v>
      </c>
      <c r="E430" t="s">
        <v>33</v>
      </c>
      <c r="F430" t="s">
        <v>57</v>
      </c>
      <c r="G430" s="23">
        <v>45635</v>
      </c>
      <c r="H430" t="s">
        <v>2082</v>
      </c>
      <c r="I430" t="s">
        <v>2083</v>
      </c>
      <c r="J430" t="s">
        <v>2084</v>
      </c>
    </row>
    <row r="431" spans="1:10">
      <c r="A431" t="s">
        <v>2085</v>
      </c>
      <c r="B431" t="s">
        <v>2085</v>
      </c>
      <c r="C431" t="s">
        <v>2086</v>
      </c>
      <c r="D431">
        <v>5</v>
      </c>
      <c r="E431" t="s">
        <v>34</v>
      </c>
      <c r="F431" t="s">
        <v>57</v>
      </c>
      <c r="G431" s="23">
        <v>44536</v>
      </c>
      <c r="H431" t="s">
        <v>2087</v>
      </c>
      <c r="I431" t="s">
        <v>2088</v>
      </c>
      <c r="J431" t="s">
        <v>2089</v>
      </c>
    </row>
    <row r="432" spans="1:10">
      <c r="A432" t="s">
        <v>2090</v>
      </c>
      <c r="B432" t="s">
        <v>2090</v>
      </c>
      <c r="C432" t="s">
        <v>83</v>
      </c>
      <c r="D432">
        <v>3</v>
      </c>
      <c r="E432" t="s">
        <v>29</v>
      </c>
      <c r="F432" t="s">
        <v>63</v>
      </c>
      <c r="G432" s="23">
        <v>42270</v>
      </c>
      <c r="H432" t="s">
        <v>2091</v>
      </c>
      <c r="I432" t="s">
        <v>2092</v>
      </c>
      <c r="J432" t="s">
        <v>2093</v>
      </c>
    </row>
    <row r="433" spans="1:10">
      <c r="A433" t="s">
        <v>2094</v>
      </c>
      <c r="B433" t="s">
        <v>2094</v>
      </c>
      <c r="C433" t="s">
        <v>2095</v>
      </c>
      <c r="D433">
        <v>9</v>
      </c>
      <c r="E433" t="s">
        <v>34</v>
      </c>
      <c r="F433" t="s">
        <v>57</v>
      </c>
      <c r="G433" s="23">
        <v>43860</v>
      </c>
      <c r="H433" t="s">
        <v>2096</v>
      </c>
      <c r="I433" t="s">
        <v>2097</v>
      </c>
      <c r="J433" t="s">
        <v>2098</v>
      </c>
    </row>
    <row r="434" spans="1:10">
      <c r="A434" t="s">
        <v>2099</v>
      </c>
      <c r="B434" t="s">
        <v>2099</v>
      </c>
      <c r="C434" t="s">
        <v>2100</v>
      </c>
      <c r="D434">
        <v>20</v>
      </c>
      <c r="E434" t="s">
        <v>29</v>
      </c>
      <c r="F434" t="s">
        <v>63</v>
      </c>
      <c r="G434" s="23">
        <v>42276</v>
      </c>
      <c r="H434" t="s">
        <v>2101</v>
      </c>
      <c r="I434" t="s">
        <v>2102</v>
      </c>
      <c r="J434" t="s">
        <v>2103</v>
      </c>
    </row>
    <row r="435" spans="1:10">
      <c r="A435" t="s">
        <v>2104</v>
      </c>
      <c r="B435" t="s">
        <v>2104</v>
      </c>
      <c r="C435" t="s">
        <v>68</v>
      </c>
      <c r="D435">
        <v>12</v>
      </c>
      <c r="E435" t="s">
        <v>33</v>
      </c>
      <c r="F435" t="s">
        <v>63</v>
      </c>
      <c r="G435" s="23">
        <v>44317</v>
      </c>
      <c r="H435" t="s">
        <v>2105</v>
      </c>
      <c r="I435" t="s">
        <v>2106</v>
      </c>
      <c r="J435" t="s">
        <v>2107</v>
      </c>
    </row>
    <row r="436" spans="1:10">
      <c r="A436" t="s">
        <v>2108</v>
      </c>
      <c r="B436" t="s">
        <v>2108</v>
      </c>
      <c r="C436" t="s">
        <v>2109</v>
      </c>
      <c r="D436">
        <v>8</v>
      </c>
      <c r="E436" t="s">
        <v>31</v>
      </c>
      <c r="F436" t="s">
        <v>63</v>
      </c>
      <c r="G436" s="23">
        <v>42694</v>
      </c>
      <c r="H436" t="s">
        <v>2110</v>
      </c>
      <c r="I436" t="s">
        <v>2111</v>
      </c>
      <c r="J436" t="s">
        <v>2112</v>
      </c>
    </row>
    <row r="437" spans="1:10">
      <c r="A437" t="s">
        <v>2113</v>
      </c>
      <c r="B437" t="s">
        <v>2113</v>
      </c>
      <c r="C437" t="s">
        <v>2114</v>
      </c>
      <c r="D437">
        <v>8</v>
      </c>
      <c r="E437" t="s">
        <v>29</v>
      </c>
      <c r="F437" t="s">
        <v>63</v>
      </c>
      <c r="G437" s="23">
        <v>43827</v>
      </c>
      <c r="H437" t="s">
        <v>2115</v>
      </c>
      <c r="I437" t="s">
        <v>2116</v>
      </c>
      <c r="J437" t="s">
        <v>2117</v>
      </c>
    </row>
    <row r="438" spans="1:10">
      <c r="A438" t="s">
        <v>2118</v>
      </c>
      <c r="B438" t="s">
        <v>2118</v>
      </c>
      <c r="C438" t="s">
        <v>2119</v>
      </c>
      <c r="D438">
        <v>30</v>
      </c>
      <c r="E438" t="s">
        <v>31</v>
      </c>
      <c r="F438" t="s">
        <v>63</v>
      </c>
      <c r="G438" s="23">
        <v>44617</v>
      </c>
      <c r="H438" t="s">
        <v>2120</v>
      </c>
      <c r="I438" t="s">
        <v>2121</v>
      </c>
      <c r="J438" t="s">
        <v>2122</v>
      </c>
    </row>
    <row r="439" spans="1:10">
      <c r="A439" t="s">
        <v>2123</v>
      </c>
      <c r="B439" t="s">
        <v>2123</v>
      </c>
      <c r="C439" t="s">
        <v>2119</v>
      </c>
      <c r="D439">
        <v>21</v>
      </c>
      <c r="E439" t="s">
        <v>31</v>
      </c>
      <c r="F439" t="s">
        <v>63</v>
      </c>
      <c r="G439" s="23">
        <v>43949</v>
      </c>
      <c r="H439" t="s">
        <v>2124</v>
      </c>
      <c r="I439" t="s">
        <v>2125</v>
      </c>
      <c r="J439" t="s">
        <v>2126</v>
      </c>
    </row>
    <row r="440" spans="1:10">
      <c r="A440" t="s">
        <v>2127</v>
      </c>
      <c r="B440" t="s">
        <v>2127</v>
      </c>
      <c r="C440" t="s">
        <v>2128</v>
      </c>
      <c r="D440">
        <v>12</v>
      </c>
      <c r="E440" t="s">
        <v>31</v>
      </c>
      <c r="F440" t="s">
        <v>63</v>
      </c>
      <c r="G440" s="23">
        <v>44414</v>
      </c>
      <c r="H440" t="s">
        <v>2129</v>
      </c>
      <c r="I440" t="s">
        <v>2130</v>
      </c>
      <c r="J440" t="s">
        <v>2131</v>
      </c>
    </row>
    <row r="441" spans="1:10">
      <c r="A441" t="s">
        <v>2132</v>
      </c>
      <c r="B441" t="s">
        <v>2132</v>
      </c>
      <c r="C441" t="s">
        <v>2133</v>
      </c>
      <c r="D441">
        <v>2</v>
      </c>
      <c r="E441" t="s">
        <v>31</v>
      </c>
      <c r="F441" t="s">
        <v>115</v>
      </c>
      <c r="G441" s="23">
        <v>45174</v>
      </c>
      <c r="H441" t="s">
        <v>2134</v>
      </c>
      <c r="I441" t="s">
        <v>2135</v>
      </c>
      <c r="J441" t="s">
        <v>2136</v>
      </c>
    </row>
    <row r="442" spans="1:10">
      <c r="A442" t="s">
        <v>2137</v>
      </c>
      <c r="B442" t="s">
        <v>2137</v>
      </c>
      <c r="C442" t="s">
        <v>585</v>
      </c>
      <c r="D442">
        <v>11</v>
      </c>
      <c r="E442" t="s">
        <v>34</v>
      </c>
      <c r="F442" t="s">
        <v>57</v>
      </c>
      <c r="G442" s="23">
        <v>44252</v>
      </c>
      <c r="H442" t="s">
        <v>2138</v>
      </c>
      <c r="I442" t="s">
        <v>2139</v>
      </c>
      <c r="J442" t="s">
        <v>2140</v>
      </c>
    </row>
    <row r="443" spans="1:10">
      <c r="A443" t="s">
        <v>2141</v>
      </c>
      <c r="B443" t="s">
        <v>2141</v>
      </c>
      <c r="C443" t="s">
        <v>2142</v>
      </c>
      <c r="D443">
        <v>8</v>
      </c>
      <c r="E443" t="s">
        <v>35</v>
      </c>
      <c r="F443" t="s">
        <v>57</v>
      </c>
      <c r="G443" s="23">
        <v>44420</v>
      </c>
      <c r="H443" t="s">
        <v>2143</v>
      </c>
      <c r="I443" t="s">
        <v>2144</v>
      </c>
      <c r="J443" t="s">
        <v>2145</v>
      </c>
    </row>
    <row r="444" spans="1:10">
      <c r="A444" t="s">
        <v>2146</v>
      </c>
      <c r="B444" t="s">
        <v>2146</v>
      </c>
      <c r="C444" t="s">
        <v>2147</v>
      </c>
      <c r="D444">
        <v>5</v>
      </c>
      <c r="E444" t="s">
        <v>27</v>
      </c>
      <c r="F444" t="s">
        <v>63</v>
      </c>
      <c r="G444" s="23">
        <v>41462</v>
      </c>
      <c r="H444" t="s">
        <v>2148</v>
      </c>
      <c r="I444" t="s">
        <v>2149</v>
      </c>
      <c r="J444" t="s">
        <v>2150</v>
      </c>
    </row>
    <row r="445" spans="1:10">
      <c r="A445" t="s">
        <v>2151</v>
      </c>
      <c r="B445" t="s">
        <v>2151</v>
      </c>
      <c r="C445" t="s">
        <v>2152</v>
      </c>
      <c r="D445">
        <v>4</v>
      </c>
      <c r="E445" t="s">
        <v>31</v>
      </c>
      <c r="F445" t="s">
        <v>63</v>
      </c>
      <c r="G445" s="23">
        <v>42933</v>
      </c>
      <c r="H445" t="s">
        <v>2153</v>
      </c>
      <c r="I445" t="s">
        <v>2154</v>
      </c>
      <c r="J445" t="s">
        <v>2155</v>
      </c>
    </row>
    <row r="446" spans="1:10">
      <c r="A446" t="s">
        <v>2156</v>
      </c>
      <c r="B446" t="s">
        <v>2156</v>
      </c>
      <c r="C446" t="s">
        <v>2152</v>
      </c>
      <c r="D446">
        <v>4</v>
      </c>
      <c r="E446" t="s">
        <v>31</v>
      </c>
      <c r="F446" t="s">
        <v>63</v>
      </c>
      <c r="G446" s="23">
        <v>43305</v>
      </c>
      <c r="H446" t="s">
        <v>2157</v>
      </c>
      <c r="I446" t="s">
        <v>2158</v>
      </c>
      <c r="J446" t="s">
        <v>2159</v>
      </c>
    </row>
    <row r="447" spans="1:10">
      <c r="A447" t="s">
        <v>2160</v>
      </c>
      <c r="B447" t="s">
        <v>2160</v>
      </c>
      <c r="C447" t="s">
        <v>2152</v>
      </c>
      <c r="D447">
        <v>4</v>
      </c>
      <c r="E447" t="s">
        <v>31</v>
      </c>
      <c r="F447" t="s">
        <v>63</v>
      </c>
      <c r="G447" s="23">
        <v>45710</v>
      </c>
      <c r="H447" t="s">
        <v>2161</v>
      </c>
      <c r="I447" t="s">
        <v>2162</v>
      </c>
      <c r="J447" t="s">
        <v>2163</v>
      </c>
    </row>
    <row r="448" spans="1:10">
      <c r="A448" t="s">
        <v>2164</v>
      </c>
      <c r="B448" t="s">
        <v>2164</v>
      </c>
      <c r="C448" t="s">
        <v>2165</v>
      </c>
      <c r="D448">
        <v>1</v>
      </c>
      <c r="E448" t="s">
        <v>31</v>
      </c>
      <c r="F448" t="s">
        <v>63</v>
      </c>
      <c r="G448" s="23">
        <v>44362</v>
      </c>
      <c r="H448" t="s">
        <v>2166</v>
      </c>
      <c r="I448" t="s">
        <v>2167</v>
      </c>
      <c r="J448" t="s">
        <v>2168</v>
      </c>
    </row>
    <row r="449" spans="1:10">
      <c r="A449" t="s">
        <v>2169</v>
      </c>
      <c r="B449" t="s">
        <v>2169</v>
      </c>
      <c r="C449" t="s">
        <v>253</v>
      </c>
      <c r="D449">
        <v>19</v>
      </c>
      <c r="E449" t="s">
        <v>34</v>
      </c>
      <c r="F449" t="s">
        <v>57</v>
      </c>
      <c r="G449" s="23">
        <v>46046</v>
      </c>
      <c r="H449" t="s">
        <v>2170</v>
      </c>
      <c r="I449" t="s">
        <v>2171</v>
      </c>
      <c r="J449" t="s">
        <v>2172</v>
      </c>
    </row>
    <row r="450" spans="1:10">
      <c r="A450" t="s">
        <v>2173</v>
      </c>
      <c r="B450" t="s">
        <v>2173</v>
      </c>
      <c r="C450" t="s">
        <v>2174</v>
      </c>
      <c r="D450">
        <v>21</v>
      </c>
      <c r="E450" t="s">
        <v>33</v>
      </c>
      <c r="F450" t="s">
        <v>57</v>
      </c>
      <c r="G450" s="23">
        <v>43658</v>
      </c>
      <c r="H450" t="s">
        <v>2175</v>
      </c>
      <c r="I450" t="s">
        <v>2176</v>
      </c>
      <c r="J450" t="s">
        <v>2177</v>
      </c>
    </row>
    <row r="451" spans="1:10">
      <c r="A451" t="s">
        <v>2178</v>
      </c>
      <c r="B451" t="s">
        <v>2178</v>
      </c>
      <c r="C451" t="s">
        <v>2179</v>
      </c>
      <c r="D451">
        <v>4</v>
      </c>
      <c r="E451" t="s">
        <v>29</v>
      </c>
      <c r="F451" t="s">
        <v>63</v>
      </c>
      <c r="G451" s="23">
        <v>42108</v>
      </c>
      <c r="H451" t="s">
        <v>2180</v>
      </c>
      <c r="I451" t="s">
        <v>2181</v>
      </c>
      <c r="J451" t="s">
        <v>2182</v>
      </c>
    </row>
    <row r="452" spans="1:10">
      <c r="A452" t="s">
        <v>2183</v>
      </c>
      <c r="B452" t="s">
        <v>2183</v>
      </c>
      <c r="C452" t="s">
        <v>1064</v>
      </c>
      <c r="D452">
        <v>17</v>
      </c>
      <c r="E452" t="s">
        <v>31</v>
      </c>
      <c r="F452" t="s">
        <v>57</v>
      </c>
      <c r="G452" s="23">
        <v>45349</v>
      </c>
      <c r="H452" t="s">
        <v>2184</v>
      </c>
      <c r="I452" t="s">
        <v>2185</v>
      </c>
      <c r="J452" t="s">
        <v>2186</v>
      </c>
    </row>
    <row r="453" spans="1:10">
      <c r="A453" t="s">
        <v>2187</v>
      </c>
      <c r="B453" t="s">
        <v>2187</v>
      </c>
      <c r="C453" t="s">
        <v>2188</v>
      </c>
      <c r="D453">
        <v>20</v>
      </c>
      <c r="E453" t="s">
        <v>34</v>
      </c>
      <c r="F453" t="s">
        <v>57</v>
      </c>
      <c r="G453" s="23">
        <v>44937</v>
      </c>
      <c r="H453" t="s">
        <v>2189</v>
      </c>
      <c r="I453" t="s">
        <v>2190</v>
      </c>
      <c r="J453" t="s">
        <v>2191</v>
      </c>
    </row>
    <row r="454" spans="1:10">
      <c r="A454" t="s">
        <v>2192</v>
      </c>
      <c r="B454" t="s">
        <v>2192</v>
      </c>
      <c r="C454" t="s">
        <v>2142</v>
      </c>
      <c r="D454">
        <v>16</v>
      </c>
      <c r="E454" t="s">
        <v>35</v>
      </c>
      <c r="F454" t="s">
        <v>57</v>
      </c>
      <c r="G454" s="23">
        <v>44218</v>
      </c>
      <c r="H454" t="s">
        <v>2193</v>
      </c>
      <c r="I454" t="s">
        <v>2194</v>
      </c>
      <c r="J454" t="s">
        <v>2195</v>
      </c>
    </row>
    <row r="455" spans="1:10">
      <c r="A455" t="s">
        <v>2196</v>
      </c>
      <c r="B455" t="s">
        <v>2196</v>
      </c>
      <c r="C455" t="s">
        <v>2197</v>
      </c>
      <c r="D455">
        <v>60</v>
      </c>
      <c r="E455" t="s">
        <v>29</v>
      </c>
      <c r="F455" t="s">
        <v>63</v>
      </c>
      <c r="G455" s="23">
        <v>41673</v>
      </c>
      <c r="H455" t="s">
        <v>2198</v>
      </c>
      <c r="I455" t="s">
        <v>2199</v>
      </c>
      <c r="J455" t="s">
        <v>2200</v>
      </c>
    </row>
    <row r="456" spans="1:10">
      <c r="A456" t="s">
        <v>2201</v>
      </c>
      <c r="B456" t="s">
        <v>2201</v>
      </c>
      <c r="C456" t="s">
        <v>2021</v>
      </c>
      <c r="D456">
        <v>5</v>
      </c>
      <c r="E456" t="s">
        <v>35</v>
      </c>
      <c r="F456" t="s">
        <v>57</v>
      </c>
      <c r="G456" s="23">
        <v>45613</v>
      </c>
      <c r="H456" t="s">
        <v>2202</v>
      </c>
      <c r="I456" t="s">
        <v>2203</v>
      </c>
      <c r="J456" t="s">
        <v>2204</v>
      </c>
    </row>
    <row r="457" spans="1:10">
      <c r="A457" t="s">
        <v>2205</v>
      </c>
      <c r="B457" t="s">
        <v>2205</v>
      </c>
      <c r="C457" t="s">
        <v>253</v>
      </c>
      <c r="D457">
        <v>0</v>
      </c>
      <c r="E457" t="s">
        <v>34</v>
      </c>
      <c r="F457" t="s">
        <v>57</v>
      </c>
      <c r="G457" s="23">
        <v>44963</v>
      </c>
      <c r="H457" t="s">
        <v>2206</v>
      </c>
      <c r="I457" t="s">
        <v>2207</v>
      </c>
      <c r="J457" t="s">
        <v>2208</v>
      </c>
    </row>
    <row r="458" spans="1:10">
      <c r="A458" t="s">
        <v>2209</v>
      </c>
      <c r="B458" t="s">
        <v>2209</v>
      </c>
      <c r="C458" t="s">
        <v>2210</v>
      </c>
      <c r="D458">
        <v>11</v>
      </c>
      <c r="E458" t="s">
        <v>34</v>
      </c>
      <c r="F458" t="s">
        <v>57</v>
      </c>
      <c r="G458" s="23">
        <v>46105</v>
      </c>
      <c r="H458" t="s">
        <v>2211</v>
      </c>
      <c r="I458" t="s">
        <v>2212</v>
      </c>
      <c r="J458" t="s">
        <v>2213</v>
      </c>
    </row>
    <row r="459" spans="1:10">
      <c r="A459" t="s">
        <v>2214</v>
      </c>
      <c r="B459" t="s">
        <v>2214</v>
      </c>
      <c r="C459" t="s">
        <v>2215</v>
      </c>
      <c r="D459">
        <v>15</v>
      </c>
      <c r="E459" t="s">
        <v>33</v>
      </c>
      <c r="F459" t="s">
        <v>57</v>
      </c>
      <c r="G459" s="23">
        <v>44522</v>
      </c>
      <c r="H459" t="s">
        <v>2216</v>
      </c>
      <c r="I459" t="s">
        <v>2217</v>
      </c>
      <c r="J459" t="s">
        <v>2218</v>
      </c>
    </row>
    <row r="460" spans="1:10">
      <c r="A460" t="s">
        <v>2219</v>
      </c>
      <c r="B460" t="s">
        <v>2219</v>
      </c>
      <c r="C460" t="s">
        <v>2220</v>
      </c>
      <c r="D460">
        <v>5</v>
      </c>
      <c r="E460" t="s">
        <v>34</v>
      </c>
      <c r="F460" t="s">
        <v>57</v>
      </c>
      <c r="G460" s="23">
        <v>45931</v>
      </c>
      <c r="H460" t="s">
        <v>2221</v>
      </c>
      <c r="I460" t="s">
        <v>2222</v>
      </c>
      <c r="J460" t="s">
        <v>2223</v>
      </c>
    </row>
    <row r="461" spans="1:10">
      <c r="A461" t="s">
        <v>2224</v>
      </c>
      <c r="B461" t="s">
        <v>2224</v>
      </c>
      <c r="C461" t="s">
        <v>2225</v>
      </c>
      <c r="D461">
        <v>2</v>
      </c>
      <c r="E461" t="s">
        <v>31</v>
      </c>
      <c r="F461" t="s">
        <v>63</v>
      </c>
      <c r="G461" s="23">
        <v>42003</v>
      </c>
      <c r="H461" t="s">
        <v>2226</v>
      </c>
      <c r="I461" t="s">
        <v>2227</v>
      </c>
      <c r="J461" t="s">
        <v>2228</v>
      </c>
    </row>
    <row r="462" spans="1:10">
      <c r="A462" t="s">
        <v>2229</v>
      </c>
      <c r="B462" t="s">
        <v>2229</v>
      </c>
      <c r="C462" t="s">
        <v>2230</v>
      </c>
      <c r="D462">
        <v>25</v>
      </c>
      <c r="E462" t="s">
        <v>33</v>
      </c>
      <c r="F462" t="s">
        <v>57</v>
      </c>
      <c r="G462" s="23">
        <v>44417</v>
      </c>
      <c r="H462" t="s">
        <v>2231</v>
      </c>
      <c r="I462" t="s">
        <v>2232</v>
      </c>
      <c r="J462" t="s">
        <v>2233</v>
      </c>
    </row>
    <row r="463" spans="1:10">
      <c r="A463" t="s">
        <v>2234</v>
      </c>
      <c r="B463" t="s">
        <v>2234</v>
      </c>
      <c r="C463" t="s">
        <v>2235</v>
      </c>
      <c r="D463">
        <v>4</v>
      </c>
      <c r="E463" t="s">
        <v>33</v>
      </c>
      <c r="F463" t="s">
        <v>57</v>
      </c>
      <c r="G463" s="23">
        <v>43534</v>
      </c>
      <c r="H463" t="s">
        <v>2236</v>
      </c>
      <c r="I463" t="s">
        <v>2237</v>
      </c>
      <c r="J463" t="s">
        <v>2238</v>
      </c>
    </row>
    <row r="464" spans="1:10">
      <c r="A464" t="s">
        <v>2239</v>
      </c>
      <c r="B464" t="s">
        <v>2239</v>
      </c>
      <c r="C464" t="s">
        <v>2240</v>
      </c>
      <c r="D464">
        <v>11</v>
      </c>
      <c r="E464" t="s">
        <v>35</v>
      </c>
      <c r="F464" t="s">
        <v>57</v>
      </c>
      <c r="G464" s="23">
        <v>42124</v>
      </c>
      <c r="H464" t="s">
        <v>2241</v>
      </c>
      <c r="I464" t="s">
        <v>2242</v>
      </c>
      <c r="J464" t="s">
        <v>2243</v>
      </c>
    </row>
    <row r="465" spans="1:10">
      <c r="A465" t="s">
        <v>2244</v>
      </c>
      <c r="B465" t="s">
        <v>2244</v>
      </c>
      <c r="C465" t="s">
        <v>2245</v>
      </c>
      <c r="D465">
        <v>38</v>
      </c>
      <c r="E465" t="s">
        <v>33</v>
      </c>
      <c r="F465" t="s">
        <v>63</v>
      </c>
      <c r="G465" s="23">
        <v>43892</v>
      </c>
      <c r="H465" t="s">
        <v>2246</v>
      </c>
      <c r="I465" t="s">
        <v>2247</v>
      </c>
      <c r="J465" t="s">
        <v>2248</v>
      </c>
    </row>
    <row r="466" spans="1:10">
      <c r="A466" t="s">
        <v>2249</v>
      </c>
      <c r="B466" t="s">
        <v>2249</v>
      </c>
      <c r="C466" t="s">
        <v>2250</v>
      </c>
      <c r="D466">
        <v>10</v>
      </c>
      <c r="E466" t="s">
        <v>35</v>
      </c>
      <c r="F466" t="s">
        <v>57</v>
      </c>
      <c r="G466" s="23">
        <v>45967</v>
      </c>
      <c r="H466" t="s">
        <v>2251</v>
      </c>
      <c r="I466" t="s">
        <v>2252</v>
      </c>
      <c r="J466" t="s">
        <v>2253</v>
      </c>
    </row>
    <row r="467" spans="1:10">
      <c r="A467" t="s">
        <v>2254</v>
      </c>
      <c r="B467" t="s">
        <v>2254</v>
      </c>
      <c r="C467" t="s">
        <v>2255</v>
      </c>
      <c r="D467">
        <v>10</v>
      </c>
      <c r="E467" t="s">
        <v>33</v>
      </c>
      <c r="F467" t="s">
        <v>57</v>
      </c>
      <c r="G467" s="23">
        <v>44677</v>
      </c>
      <c r="H467" t="s">
        <v>2256</v>
      </c>
      <c r="I467" t="s">
        <v>2257</v>
      </c>
      <c r="J467" t="s">
        <v>2258</v>
      </c>
    </row>
    <row r="468" spans="1:10">
      <c r="A468" t="s">
        <v>2259</v>
      </c>
      <c r="B468" t="s">
        <v>2259</v>
      </c>
      <c r="C468" t="s">
        <v>2260</v>
      </c>
      <c r="D468">
        <v>4</v>
      </c>
      <c r="E468" t="s">
        <v>29</v>
      </c>
      <c r="F468" t="s">
        <v>63</v>
      </c>
      <c r="G468" s="23">
        <v>44493</v>
      </c>
      <c r="H468" t="s">
        <v>2261</v>
      </c>
      <c r="I468" t="s">
        <v>2262</v>
      </c>
      <c r="J468" t="s">
        <v>2263</v>
      </c>
    </row>
    <row r="469" spans="1:10">
      <c r="A469" t="s">
        <v>2264</v>
      </c>
      <c r="B469" t="s">
        <v>2264</v>
      </c>
      <c r="C469" t="s">
        <v>427</v>
      </c>
      <c r="D469">
        <v>7</v>
      </c>
      <c r="E469" t="s">
        <v>34</v>
      </c>
      <c r="F469" t="s">
        <v>57</v>
      </c>
      <c r="G469" s="23">
        <v>45144</v>
      </c>
      <c r="H469" t="s">
        <v>2265</v>
      </c>
      <c r="I469" t="s">
        <v>2266</v>
      </c>
      <c r="J469" t="s">
        <v>2267</v>
      </c>
    </row>
    <row r="470" spans="1:10">
      <c r="A470" t="s">
        <v>2268</v>
      </c>
      <c r="B470" t="s">
        <v>2268</v>
      </c>
      <c r="C470" t="s">
        <v>2269</v>
      </c>
      <c r="D470">
        <v>1</v>
      </c>
      <c r="E470" t="s">
        <v>35</v>
      </c>
      <c r="F470" t="s">
        <v>89</v>
      </c>
      <c r="G470" s="23">
        <v>44087</v>
      </c>
      <c r="H470" t="s">
        <v>2270</v>
      </c>
      <c r="I470" t="s">
        <v>2271</v>
      </c>
      <c r="J470" t="s">
        <v>2272</v>
      </c>
    </row>
    <row r="471" spans="1:10">
      <c r="A471" t="s">
        <v>2273</v>
      </c>
      <c r="B471" t="s">
        <v>2273</v>
      </c>
      <c r="C471" t="s">
        <v>2269</v>
      </c>
      <c r="D471">
        <v>3</v>
      </c>
      <c r="E471" t="s">
        <v>36</v>
      </c>
      <c r="F471" t="s">
        <v>89</v>
      </c>
      <c r="G471" s="23">
        <v>45816</v>
      </c>
      <c r="H471" t="s">
        <v>2274</v>
      </c>
      <c r="I471" t="s">
        <v>2275</v>
      </c>
      <c r="J471" t="s">
        <v>2276</v>
      </c>
    </row>
    <row r="472" spans="1:10">
      <c r="A472" t="s">
        <v>2277</v>
      </c>
      <c r="B472" t="s">
        <v>2277</v>
      </c>
      <c r="C472" t="s">
        <v>590</v>
      </c>
      <c r="D472">
        <v>14</v>
      </c>
      <c r="E472" t="s">
        <v>31</v>
      </c>
      <c r="F472" t="s">
        <v>57</v>
      </c>
      <c r="G472" s="23">
        <v>45386</v>
      </c>
      <c r="H472" t="s">
        <v>2278</v>
      </c>
      <c r="I472" t="s">
        <v>2279</v>
      </c>
      <c r="J472" t="s">
        <v>2280</v>
      </c>
    </row>
    <row r="473" spans="1:10">
      <c r="A473" t="s">
        <v>2281</v>
      </c>
      <c r="B473" t="s">
        <v>2281</v>
      </c>
      <c r="C473" t="s">
        <v>590</v>
      </c>
      <c r="D473">
        <v>16</v>
      </c>
      <c r="E473" t="s">
        <v>31</v>
      </c>
      <c r="F473" t="s">
        <v>57</v>
      </c>
      <c r="G473" s="23">
        <v>45572</v>
      </c>
      <c r="H473" t="s">
        <v>2282</v>
      </c>
      <c r="I473" t="s">
        <v>2283</v>
      </c>
      <c r="J473" t="s">
        <v>2284</v>
      </c>
    </row>
    <row r="474" spans="1:10">
      <c r="A474" t="s">
        <v>2285</v>
      </c>
      <c r="B474" t="s">
        <v>2285</v>
      </c>
      <c r="C474" t="s">
        <v>590</v>
      </c>
      <c r="D474">
        <v>19</v>
      </c>
      <c r="E474" t="s">
        <v>33</v>
      </c>
      <c r="F474" t="s">
        <v>57</v>
      </c>
      <c r="G474" s="23">
        <v>45996</v>
      </c>
      <c r="H474" t="s">
        <v>2286</v>
      </c>
      <c r="I474" t="s">
        <v>2287</v>
      </c>
      <c r="J474" t="s">
        <v>2288</v>
      </c>
    </row>
    <row r="475" spans="1:10">
      <c r="A475" t="s">
        <v>2289</v>
      </c>
      <c r="B475" t="s">
        <v>2289</v>
      </c>
      <c r="C475" t="s">
        <v>2290</v>
      </c>
      <c r="D475">
        <v>0</v>
      </c>
      <c r="E475" t="s">
        <v>31</v>
      </c>
      <c r="F475" t="s">
        <v>57</v>
      </c>
      <c r="G475" s="23">
        <v>46093</v>
      </c>
      <c r="H475" t="s">
        <v>2291</v>
      </c>
      <c r="I475" t="s">
        <v>2292</v>
      </c>
      <c r="J475" t="s">
        <v>2293</v>
      </c>
    </row>
    <row r="476" spans="1:10">
      <c r="A476" t="s">
        <v>2294</v>
      </c>
      <c r="B476" t="s">
        <v>2294</v>
      </c>
      <c r="C476" t="s">
        <v>1389</v>
      </c>
      <c r="D476">
        <v>12</v>
      </c>
      <c r="E476" t="s">
        <v>31</v>
      </c>
      <c r="F476" t="s">
        <v>57</v>
      </c>
      <c r="G476" s="23">
        <v>45394</v>
      </c>
      <c r="H476" t="s">
        <v>2295</v>
      </c>
      <c r="I476" t="s">
        <v>2296</v>
      </c>
      <c r="J476" t="s">
        <v>2297</v>
      </c>
    </row>
    <row r="477" spans="1:10">
      <c r="A477" t="s">
        <v>2298</v>
      </c>
      <c r="B477" t="s">
        <v>2298</v>
      </c>
      <c r="C477" t="s">
        <v>2299</v>
      </c>
      <c r="D477">
        <v>6</v>
      </c>
      <c r="E477" t="s">
        <v>27</v>
      </c>
      <c r="F477" t="s">
        <v>63</v>
      </c>
      <c r="G477" s="23">
        <v>42093</v>
      </c>
      <c r="H477" t="s">
        <v>2300</v>
      </c>
      <c r="I477" t="s">
        <v>2301</v>
      </c>
      <c r="J477" t="s">
        <v>2302</v>
      </c>
    </row>
    <row r="478" spans="1:10">
      <c r="A478" t="s">
        <v>2303</v>
      </c>
      <c r="B478" t="s">
        <v>2303</v>
      </c>
      <c r="C478" t="s">
        <v>2304</v>
      </c>
      <c r="D478">
        <v>57</v>
      </c>
      <c r="E478" t="s">
        <v>34</v>
      </c>
      <c r="F478" t="s">
        <v>63</v>
      </c>
      <c r="G478" s="23">
        <v>45151</v>
      </c>
      <c r="H478" t="s">
        <v>2305</v>
      </c>
      <c r="I478" t="s">
        <v>2306</v>
      </c>
      <c r="J478" t="s">
        <v>2307</v>
      </c>
    </row>
    <row r="479" spans="1:10">
      <c r="A479" t="s">
        <v>2308</v>
      </c>
      <c r="B479" t="s">
        <v>2308</v>
      </c>
      <c r="C479" t="s">
        <v>2309</v>
      </c>
      <c r="D479">
        <v>10</v>
      </c>
      <c r="E479" t="s">
        <v>33</v>
      </c>
      <c r="F479" t="s">
        <v>57</v>
      </c>
      <c r="G479" s="23">
        <v>45534</v>
      </c>
      <c r="H479" t="s">
        <v>2310</v>
      </c>
      <c r="I479" t="s">
        <v>2311</v>
      </c>
      <c r="J479" t="s">
        <v>2312</v>
      </c>
    </row>
    <row r="480" spans="1:10">
      <c r="A480" t="s">
        <v>2313</v>
      </c>
      <c r="B480" t="s">
        <v>2313</v>
      </c>
      <c r="C480" t="s">
        <v>1804</v>
      </c>
      <c r="D480">
        <v>8</v>
      </c>
      <c r="E480" t="s">
        <v>34</v>
      </c>
      <c r="F480" t="s">
        <v>57</v>
      </c>
      <c r="G480" s="23">
        <v>45883</v>
      </c>
      <c r="H480" t="s">
        <v>2314</v>
      </c>
      <c r="I480" t="s">
        <v>2315</v>
      </c>
      <c r="J480" t="s">
        <v>2316</v>
      </c>
    </row>
    <row r="481" spans="1:10">
      <c r="A481" t="s">
        <v>2317</v>
      </c>
      <c r="B481" t="s">
        <v>2317</v>
      </c>
      <c r="C481" t="s">
        <v>641</v>
      </c>
      <c r="D481">
        <v>50</v>
      </c>
      <c r="E481" t="s">
        <v>35</v>
      </c>
      <c r="F481" t="s">
        <v>115</v>
      </c>
      <c r="G481" s="23">
        <v>45457</v>
      </c>
      <c r="H481" t="s">
        <v>2318</v>
      </c>
      <c r="I481" t="s">
        <v>2319</v>
      </c>
      <c r="J481" t="s">
        <v>2320</v>
      </c>
    </row>
    <row r="482" spans="1:10">
      <c r="A482" t="s">
        <v>2321</v>
      </c>
      <c r="B482" t="s">
        <v>2321</v>
      </c>
      <c r="C482" t="s">
        <v>1575</v>
      </c>
      <c r="D482">
        <v>19</v>
      </c>
      <c r="E482" t="s">
        <v>34</v>
      </c>
      <c r="F482" t="s">
        <v>57</v>
      </c>
      <c r="G482" s="23">
        <v>44940</v>
      </c>
      <c r="H482" t="s">
        <v>2322</v>
      </c>
      <c r="I482" t="s">
        <v>2323</v>
      </c>
      <c r="J482" t="s">
        <v>2324</v>
      </c>
    </row>
    <row r="483" spans="1:10">
      <c r="A483" t="s">
        <v>2325</v>
      </c>
      <c r="B483" t="s">
        <v>2325</v>
      </c>
      <c r="C483" t="s">
        <v>2326</v>
      </c>
      <c r="D483">
        <v>11</v>
      </c>
      <c r="E483" t="s">
        <v>34</v>
      </c>
      <c r="F483" t="s">
        <v>57</v>
      </c>
      <c r="G483" s="23">
        <v>44291</v>
      </c>
      <c r="H483" t="s">
        <v>2327</v>
      </c>
      <c r="I483" t="s">
        <v>2328</v>
      </c>
      <c r="J483" t="s">
        <v>2329</v>
      </c>
    </row>
    <row r="484" spans="1:10">
      <c r="A484" t="s">
        <v>2330</v>
      </c>
      <c r="B484" t="s">
        <v>2330</v>
      </c>
      <c r="C484" t="s">
        <v>2331</v>
      </c>
      <c r="D484">
        <v>8</v>
      </c>
      <c r="E484" t="s">
        <v>29</v>
      </c>
      <c r="F484" t="s">
        <v>63</v>
      </c>
      <c r="G484" s="23">
        <v>41856</v>
      </c>
      <c r="H484" t="s">
        <v>2332</v>
      </c>
      <c r="I484" t="s">
        <v>2333</v>
      </c>
      <c r="J484" t="s">
        <v>2334</v>
      </c>
    </row>
    <row r="485" spans="1:10">
      <c r="A485" t="s">
        <v>2335</v>
      </c>
      <c r="B485" t="s">
        <v>2335</v>
      </c>
      <c r="C485" t="s">
        <v>2142</v>
      </c>
      <c r="D485">
        <v>13</v>
      </c>
      <c r="E485" t="s">
        <v>35</v>
      </c>
      <c r="F485" t="s">
        <v>57</v>
      </c>
      <c r="G485" s="23">
        <v>43538</v>
      </c>
      <c r="H485" t="s">
        <v>2336</v>
      </c>
      <c r="I485" t="s">
        <v>2337</v>
      </c>
      <c r="J485" t="s">
        <v>2338</v>
      </c>
    </row>
    <row r="486" spans="1:10">
      <c r="A486" t="s">
        <v>2339</v>
      </c>
      <c r="B486" t="s">
        <v>2339</v>
      </c>
      <c r="C486" t="s">
        <v>2340</v>
      </c>
      <c r="D486">
        <v>11</v>
      </c>
      <c r="E486" t="s">
        <v>34</v>
      </c>
      <c r="F486" t="s">
        <v>57</v>
      </c>
      <c r="G486" s="23">
        <v>44694</v>
      </c>
      <c r="H486" t="s">
        <v>2341</v>
      </c>
      <c r="I486" t="s">
        <v>2342</v>
      </c>
      <c r="J486" t="s">
        <v>2343</v>
      </c>
    </row>
    <row r="487" spans="1:10">
      <c r="A487" t="s">
        <v>2344</v>
      </c>
      <c r="B487" t="s">
        <v>2344</v>
      </c>
      <c r="C487" t="s">
        <v>2345</v>
      </c>
      <c r="D487">
        <v>12</v>
      </c>
      <c r="E487" t="s">
        <v>34</v>
      </c>
      <c r="F487" t="s">
        <v>57</v>
      </c>
      <c r="G487" s="23">
        <v>44462</v>
      </c>
      <c r="H487" t="s">
        <v>2346</v>
      </c>
      <c r="I487" t="s">
        <v>2347</v>
      </c>
      <c r="J487" t="s">
        <v>2348</v>
      </c>
    </row>
    <row r="488" spans="1:10">
      <c r="A488" t="s">
        <v>2349</v>
      </c>
      <c r="B488" t="s">
        <v>2349</v>
      </c>
      <c r="C488" t="s">
        <v>340</v>
      </c>
      <c r="D488">
        <v>12</v>
      </c>
      <c r="E488" t="s">
        <v>34</v>
      </c>
      <c r="F488" t="s">
        <v>57</v>
      </c>
      <c r="G488" s="23">
        <v>44913</v>
      </c>
      <c r="H488" t="s">
        <v>2350</v>
      </c>
      <c r="I488" t="s">
        <v>2351</v>
      </c>
      <c r="J488" t="s">
        <v>2352</v>
      </c>
    </row>
    <row r="489" spans="1:10">
      <c r="A489" t="s">
        <v>2353</v>
      </c>
      <c r="B489" t="s">
        <v>2353</v>
      </c>
      <c r="C489" t="s">
        <v>2354</v>
      </c>
      <c r="D489">
        <v>9</v>
      </c>
      <c r="E489" t="s">
        <v>34</v>
      </c>
      <c r="F489" t="s">
        <v>57</v>
      </c>
      <c r="G489" s="23">
        <v>45337</v>
      </c>
      <c r="H489" t="s">
        <v>2355</v>
      </c>
      <c r="I489" t="s">
        <v>2356</v>
      </c>
      <c r="J489" t="s">
        <v>2357</v>
      </c>
    </row>
    <row r="490" spans="1:10">
      <c r="A490" t="s">
        <v>2358</v>
      </c>
      <c r="B490" t="s">
        <v>2358</v>
      </c>
      <c r="C490" t="s">
        <v>2359</v>
      </c>
      <c r="D490">
        <v>10</v>
      </c>
      <c r="E490" t="s">
        <v>34</v>
      </c>
      <c r="F490" t="s">
        <v>57</v>
      </c>
      <c r="G490" s="23">
        <v>44602</v>
      </c>
      <c r="H490" t="s">
        <v>2360</v>
      </c>
      <c r="I490" t="s">
        <v>2361</v>
      </c>
      <c r="J490" t="s">
        <v>2362</v>
      </c>
    </row>
    <row r="491" spans="1:10">
      <c r="A491" t="s">
        <v>2363</v>
      </c>
      <c r="B491" t="s">
        <v>2363</v>
      </c>
      <c r="C491" t="s">
        <v>723</v>
      </c>
      <c r="D491">
        <v>16</v>
      </c>
      <c r="E491" t="s">
        <v>34</v>
      </c>
      <c r="F491" t="s">
        <v>57</v>
      </c>
      <c r="G491" s="23">
        <v>45143</v>
      </c>
      <c r="H491" t="s">
        <v>2364</v>
      </c>
      <c r="I491" t="s">
        <v>2365</v>
      </c>
      <c r="J491" t="s">
        <v>2366</v>
      </c>
    </row>
    <row r="492" spans="1:10">
      <c r="A492" t="s">
        <v>2367</v>
      </c>
      <c r="B492" t="s">
        <v>2367</v>
      </c>
      <c r="C492" t="s">
        <v>2368</v>
      </c>
      <c r="D492">
        <v>7</v>
      </c>
      <c r="E492" t="s">
        <v>29</v>
      </c>
      <c r="F492" t="s">
        <v>63</v>
      </c>
      <c r="G492" s="23">
        <v>41667</v>
      </c>
      <c r="H492" t="s">
        <v>2369</v>
      </c>
      <c r="I492" t="s">
        <v>2370</v>
      </c>
      <c r="J492" t="s">
        <v>2371</v>
      </c>
    </row>
    <row r="493" spans="1:10">
      <c r="A493" t="s">
        <v>2372</v>
      </c>
      <c r="B493" t="s">
        <v>2372</v>
      </c>
      <c r="C493" t="s">
        <v>2373</v>
      </c>
      <c r="D493">
        <v>8</v>
      </c>
      <c r="E493" t="s">
        <v>34</v>
      </c>
      <c r="F493" t="s">
        <v>57</v>
      </c>
      <c r="G493" s="23">
        <v>43999</v>
      </c>
      <c r="H493" t="s">
        <v>2374</v>
      </c>
      <c r="I493" t="s">
        <v>2375</v>
      </c>
      <c r="J493" t="s">
        <v>2376</v>
      </c>
    </row>
    <row r="494" spans="1:10">
      <c r="A494" t="s">
        <v>2377</v>
      </c>
      <c r="B494" t="s">
        <v>2377</v>
      </c>
      <c r="C494" t="s">
        <v>2359</v>
      </c>
      <c r="D494">
        <v>21</v>
      </c>
      <c r="E494" t="s">
        <v>34</v>
      </c>
      <c r="F494" t="s">
        <v>57</v>
      </c>
      <c r="G494" s="23">
        <v>45654</v>
      </c>
      <c r="H494" t="s">
        <v>2378</v>
      </c>
      <c r="I494" t="s">
        <v>2379</v>
      </c>
      <c r="J494" t="s">
        <v>2380</v>
      </c>
    </row>
    <row r="495" spans="1:10">
      <c r="A495" t="s">
        <v>2381</v>
      </c>
      <c r="B495" t="s">
        <v>2381</v>
      </c>
      <c r="C495" t="s">
        <v>2382</v>
      </c>
      <c r="D495">
        <v>8</v>
      </c>
      <c r="E495" t="s">
        <v>34</v>
      </c>
      <c r="F495" t="s">
        <v>57</v>
      </c>
      <c r="G495" s="23">
        <v>43789</v>
      </c>
      <c r="H495" t="s">
        <v>2383</v>
      </c>
      <c r="I495" t="s">
        <v>2384</v>
      </c>
      <c r="J495" t="s">
        <v>2385</v>
      </c>
    </row>
    <row r="496" spans="1:10">
      <c r="A496" t="s">
        <v>2386</v>
      </c>
      <c r="B496" t="s">
        <v>2386</v>
      </c>
      <c r="C496" t="s">
        <v>1049</v>
      </c>
      <c r="D496">
        <v>13</v>
      </c>
      <c r="E496" t="s">
        <v>33</v>
      </c>
      <c r="F496" t="s">
        <v>57</v>
      </c>
      <c r="G496" s="23">
        <v>45126</v>
      </c>
      <c r="H496" t="s">
        <v>2387</v>
      </c>
      <c r="I496" t="s">
        <v>2388</v>
      </c>
      <c r="J496" t="s">
        <v>2389</v>
      </c>
    </row>
    <row r="497" spans="1:10">
      <c r="A497" t="s">
        <v>2390</v>
      </c>
      <c r="B497" t="s">
        <v>2390</v>
      </c>
      <c r="C497" t="s">
        <v>2391</v>
      </c>
      <c r="D497">
        <v>9</v>
      </c>
      <c r="E497" t="s">
        <v>33</v>
      </c>
      <c r="F497" t="s">
        <v>57</v>
      </c>
      <c r="G497" s="23">
        <v>46071</v>
      </c>
      <c r="H497" t="s">
        <v>2392</v>
      </c>
      <c r="I497" t="s">
        <v>2393</v>
      </c>
      <c r="J497" t="s">
        <v>2394</v>
      </c>
    </row>
    <row r="498" spans="1:10">
      <c r="A498" t="s">
        <v>2395</v>
      </c>
      <c r="B498" t="s">
        <v>2395</v>
      </c>
      <c r="C498" t="s">
        <v>2396</v>
      </c>
      <c r="D498">
        <v>4</v>
      </c>
      <c r="E498" t="s">
        <v>34</v>
      </c>
      <c r="F498" t="s">
        <v>57</v>
      </c>
      <c r="G498" s="23">
        <v>42950</v>
      </c>
      <c r="H498" t="s">
        <v>2397</v>
      </c>
      <c r="I498" t="s">
        <v>2398</v>
      </c>
      <c r="J498" t="s">
        <v>2399</v>
      </c>
    </row>
    <row r="499" spans="1:10">
      <c r="A499" t="s">
        <v>2400</v>
      </c>
      <c r="B499" t="s">
        <v>2400</v>
      </c>
      <c r="C499" t="s">
        <v>2401</v>
      </c>
      <c r="D499">
        <v>5</v>
      </c>
      <c r="E499" t="s">
        <v>29</v>
      </c>
      <c r="F499" t="s">
        <v>63</v>
      </c>
      <c r="G499" s="23">
        <v>42657</v>
      </c>
      <c r="H499" t="s">
        <v>2402</v>
      </c>
      <c r="I499" t="s">
        <v>2403</v>
      </c>
      <c r="J499" t="s">
        <v>2404</v>
      </c>
    </row>
    <row r="500" spans="1:10">
      <c r="A500" t="s">
        <v>2405</v>
      </c>
      <c r="B500" t="s">
        <v>2405</v>
      </c>
      <c r="C500" t="s">
        <v>965</v>
      </c>
      <c r="D500">
        <v>10</v>
      </c>
      <c r="E500" t="s">
        <v>34</v>
      </c>
      <c r="F500" t="s">
        <v>57</v>
      </c>
      <c r="G500" s="23">
        <v>44755</v>
      </c>
      <c r="H500" t="s">
        <v>2406</v>
      </c>
      <c r="I500" t="s">
        <v>2407</v>
      </c>
      <c r="J500" t="s">
        <v>2408</v>
      </c>
    </row>
    <row r="501" spans="1:10">
      <c r="A501" t="s">
        <v>2409</v>
      </c>
      <c r="B501" t="s">
        <v>2409</v>
      </c>
      <c r="C501" t="s">
        <v>2410</v>
      </c>
      <c r="D501">
        <v>12</v>
      </c>
      <c r="E501" t="s">
        <v>29</v>
      </c>
      <c r="F501" t="s">
        <v>63</v>
      </c>
      <c r="G501" s="23">
        <v>41535</v>
      </c>
      <c r="H501" t="s">
        <v>2411</v>
      </c>
      <c r="I501" t="s">
        <v>2412</v>
      </c>
      <c r="J501" t="s">
        <v>2413</v>
      </c>
    </row>
    <row r="502" spans="1:10">
      <c r="A502" t="s">
        <v>2414</v>
      </c>
      <c r="B502" t="s">
        <v>2414</v>
      </c>
      <c r="C502" t="s">
        <v>2415</v>
      </c>
      <c r="D502">
        <v>7</v>
      </c>
      <c r="E502" t="s">
        <v>29</v>
      </c>
      <c r="F502" t="s">
        <v>63</v>
      </c>
      <c r="G502" s="23">
        <v>42058</v>
      </c>
      <c r="H502" t="s">
        <v>2416</v>
      </c>
      <c r="I502" t="s">
        <v>2417</v>
      </c>
      <c r="J502" t="s">
        <v>2418</v>
      </c>
    </row>
    <row r="503" spans="1:10">
      <c r="A503" t="s">
        <v>2419</v>
      </c>
      <c r="B503" t="s">
        <v>2419</v>
      </c>
      <c r="C503" t="s">
        <v>1296</v>
      </c>
      <c r="D503">
        <v>10</v>
      </c>
      <c r="E503" t="s">
        <v>29</v>
      </c>
      <c r="F503" t="s">
        <v>63</v>
      </c>
      <c r="G503" s="23">
        <v>41885</v>
      </c>
      <c r="H503" t="s">
        <v>2420</v>
      </c>
      <c r="I503" t="s">
        <v>2421</v>
      </c>
      <c r="J503" t="s">
        <v>2422</v>
      </c>
    </row>
    <row r="504" spans="1:10">
      <c r="A504" t="s">
        <v>2423</v>
      </c>
      <c r="B504" t="s">
        <v>2423</v>
      </c>
      <c r="C504" t="s">
        <v>243</v>
      </c>
      <c r="D504">
        <v>9</v>
      </c>
      <c r="E504" t="s">
        <v>31</v>
      </c>
      <c r="F504" t="s">
        <v>63</v>
      </c>
      <c r="G504" s="23">
        <v>45004</v>
      </c>
      <c r="H504" t="s">
        <v>2424</v>
      </c>
      <c r="I504" t="s">
        <v>2425</v>
      </c>
      <c r="J504" t="s">
        <v>2426</v>
      </c>
    </row>
    <row r="505" spans="1:10">
      <c r="A505" t="s">
        <v>2427</v>
      </c>
      <c r="B505" t="s">
        <v>2427</v>
      </c>
      <c r="C505" t="s">
        <v>2415</v>
      </c>
      <c r="D505">
        <v>9</v>
      </c>
      <c r="E505" t="s">
        <v>29</v>
      </c>
      <c r="F505" t="s">
        <v>63</v>
      </c>
      <c r="G505" s="23">
        <v>42233</v>
      </c>
      <c r="H505" t="s">
        <v>2428</v>
      </c>
      <c r="I505" t="s">
        <v>2429</v>
      </c>
      <c r="J505" t="s">
        <v>2430</v>
      </c>
    </row>
    <row r="506" spans="1:10">
      <c r="A506" t="s">
        <v>2431</v>
      </c>
      <c r="B506" t="s">
        <v>2431</v>
      </c>
      <c r="C506" t="s">
        <v>2432</v>
      </c>
      <c r="D506">
        <v>3</v>
      </c>
      <c r="E506" t="s">
        <v>29</v>
      </c>
      <c r="F506" t="s">
        <v>2433</v>
      </c>
      <c r="G506" s="23">
        <v>45958</v>
      </c>
      <c r="H506" t="s">
        <v>2434</v>
      </c>
      <c r="I506" t="s">
        <v>2435</v>
      </c>
      <c r="J506" t="s">
        <v>2436</v>
      </c>
    </row>
    <row r="507" spans="1:10">
      <c r="A507" t="s">
        <v>2437</v>
      </c>
      <c r="B507" t="s">
        <v>2437</v>
      </c>
      <c r="C507" t="s">
        <v>1575</v>
      </c>
      <c r="D507">
        <v>11</v>
      </c>
      <c r="E507" t="s">
        <v>33</v>
      </c>
      <c r="F507" t="s">
        <v>57</v>
      </c>
      <c r="G507" s="23">
        <v>44763</v>
      </c>
      <c r="H507" t="s">
        <v>2438</v>
      </c>
      <c r="I507" t="s">
        <v>2439</v>
      </c>
      <c r="J507" t="s">
        <v>2440</v>
      </c>
    </row>
    <row r="508" spans="1:10">
      <c r="A508" t="s">
        <v>2441</v>
      </c>
      <c r="B508" t="s">
        <v>2441</v>
      </c>
      <c r="C508" t="s">
        <v>2442</v>
      </c>
      <c r="D508">
        <v>63</v>
      </c>
      <c r="E508" t="s">
        <v>34</v>
      </c>
      <c r="F508" t="s">
        <v>63</v>
      </c>
      <c r="G508" s="23">
        <v>42230</v>
      </c>
      <c r="H508" t="s">
        <v>2443</v>
      </c>
      <c r="I508" t="s">
        <v>2444</v>
      </c>
      <c r="J508" t="s">
        <v>2445</v>
      </c>
    </row>
    <row r="509" spans="1:10">
      <c r="A509" t="s">
        <v>2446</v>
      </c>
      <c r="B509" t="s">
        <v>2446</v>
      </c>
      <c r="C509" t="s">
        <v>2447</v>
      </c>
      <c r="D509">
        <v>6</v>
      </c>
      <c r="E509" t="s">
        <v>34</v>
      </c>
      <c r="F509" t="s">
        <v>57</v>
      </c>
      <c r="G509" s="23">
        <v>44861</v>
      </c>
      <c r="H509" t="s">
        <v>2448</v>
      </c>
      <c r="I509" t="s">
        <v>2449</v>
      </c>
      <c r="J509" t="s">
        <v>2450</v>
      </c>
    </row>
    <row r="510" spans="1:10">
      <c r="A510" t="s">
        <v>2451</v>
      </c>
      <c r="B510" t="s">
        <v>2451</v>
      </c>
      <c r="C510" t="s">
        <v>2447</v>
      </c>
      <c r="D510">
        <v>7</v>
      </c>
      <c r="E510" t="s">
        <v>35</v>
      </c>
      <c r="F510" t="s">
        <v>57</v>
      </c>
      <c r="G510" s="23">
        <v>45389</v>
      </c>
      <c r="H510" t="s">
        <v>2452</v>
      </c>
      <c r="I510" t="s">
        <v>2453</v>
      </c>
      <c r="J510" t="s">
        <v>2454</v>
      </c>
    </row>
    <row r="511" spans="1:10">
      <c r="A511" t="s">
        <v>2455</v>
      </c>
      <c r="B511" t="s">
        <v>2455</v>
      </c>
      <c r="C511" t="s">
        <v>494</v>
      </c>
      <c r="D511">
        <v>3</v>
      </c>
      <c r="E511" t="s">
        <v>33</v>
      </c>
      <c r="F511" t="s">
        <v>115</v>
      </c>
      <c r="G511" s="23">
        <v>45915</v>
      </c>
      <c r="H511" t="s">
        <v>2456</v>
      </c>
      <c r="I511" t="s">
        <v>2457</v>
      </c>
      <c r="J511" t="s">
        <v>2458</v>
      </c>
    </row>
    <row r="512" spans="1:10">
      <c r="A512" t="s">
        <v>2459</v>
      </c>
      <c r="B512" t="s">
        <v>2459</v>
      </c>
      <c r="C512" t="s">
        <v>2460</v>
      </c>
      <c r="D512">
        <v>15</v>
      </c>
      <c r="E512" t="s">
        <v>31</v>
      </c>
      <c r="F512" t="s">
        <v>63</v>
      </c>
      <c r="G512" s="23">
        <v>42225</v>
      </c>
      <c r="H512" t="s">
        <v>2461</v>
      </c>
      <c r="I512" t="s">
        <v>2462</v>
      </c>
      <c r="J512" t="s">
        <v>2463</v>
      </c>
    </row>
    <row r="513" spans="1:10">
      <c r="A513" t="s">
        <v>2464</v>
      </c>
      <c r="B513" t="s">
        <v>2464</v>
      </c>
      <c r="C513" t="s">
        <v>2465</v>
      </c>
      <c r="D513">
        <v>21</v>
      </c>
      <c r="E513" t="s">
        <v>34</v>
      </c>
      <c r="F513" t="s">
        <v>57</v>
      </c>
      <c r="G513" s="23">
        <v>43830</v>
      </c>
      <c r="H513" t="s">
        <v>2466</v>
      </c>
      <c r="I513" t="s">
        <v>2467</v>
      </c>
      <c r="J513" t="s">
        <v>2468</v>
      </c>
    </row>
    <row r="514" spans="1:10">
      <c r="A514" t="s">
        <v>2469</v>
      </c>
      <c r="B514" t="s">
        <v>2469</v>
      </c>
      <c r="C514" t="s">
        <v>1064</v>
      </c>
      <c r="D514">
        <v>9</v>
      </c>
      <c r="E514" t="s">
        <v>34</v>
      </c>
      <c r="F514" t="s">
        <v>57</v>
      </c>
      <c r="G514" s="23">
        <v>46014</v>
      </c>
      <c r="H514" t="s">
        <v>2470</v>
      </c>
      <c r="I514" t="s">
        <v>2471</v>
      </c>
      <c r="J514" t="s">
        <v>2472</v>
      </c>
    </row>
    <row r="515" spans="1:10">
      <c r="A515" t="s">
        <v>2473</v>
      </c>
      <c r="B515" t="s">
        <v>2473</v>
      </c>
      <c r="C515" t="s">
        <v>355</v>
      </c>
      <c r="D515">
        <v>24</v>
      </c>
      <c r="E515" t="s">
        <v>34</v>
      </c>
      <c r="F515" t="s">
        <v>57</v>
      </c>
      <c r="G515" s="23">
        <v>45713</v>
      </c>
      <c r="H515" t="s">
        <v>2474</v>
      </c>
      <c r="I515" t="s">
        <v>2475</v>
      </c>
      <c r="J515" t="s">
        <v>2476</v>
      </c>
    </row>
    <row r="516" spans="1:10">
      <c r="A516" t="s">
        <v>2477</v>
      </c>
      <c r="B516" t="s">
        <v>2477</v>
      </c>
      <c r="C516" t="s">
        <v>2478</v>
      </c>
      <c r="D516">
        <v>10</v>
      </c>
      <c r="E516" t="s">
        <v>33</v>
      </c>
      <c r="F516" t="s">
        <v>57</v>
      </c>
      <c r="G516" s="23">
        <v>44439</v>
      </c>
      <c r="H516" t="s">
        <v>2479</v>
      </c>
      <c r="I516" t="s">
        <v>2480</v>
      </c>
      <c r="J516" t="s">
        <v>2481</v>
      </c>
    </row>
    <row r="517" spans="1:10">
      <c r="A517" t="s">
        <v>2482</v>
      </c>
      <c r="B517" t="s">
        <v>2482</v>
      </c>
      <c r="C517" t="s">
        <v>2483</v>
      </c>
      <c r="D517">
        <v>1</v>
      </c>
      <c r="E517" t="s">
        <v>33</v>
      </c>
      <c r="F517" t="s">
        <v>571</v>
      </c>
      <c r="G517" s="23">
        <v>43290</v>
      </c>
      <c r="H517" t="s">
        <v>2484</v>
      </c>
      <c r="I517" t="s">
        <v>2485</v>
      </c>
      <c r="J517" t="s">
        <v>2486</v>
      </c>
    </row>
    <row r="518" spans="1:10">
      <c r="A518" t="s">
        <v>2487</v>
      </c>
      <c r="B518" t="s">
        <v>2487</v>
      </c>
      <c r="C518" t="s">
        <v>2488</v>
      </c>
      <c r="D518">
        <v>29</v>
      </c>
      <c r="E518" t="s">
        <v>33</v>
      </c>
      <c r="F518" t="s">
        <v>57</v>
      </c>
      <c r="G518" s="23">
        <v>44016</v>
      </c>
      <c r="H518" t="s">
        <v>2489</v>
      </c>
      <c r="I518" t="s">
        <v>2490</v>
      </c>
      <c r="J518" t="s">
        <v>2491</v>
      </c>
    </row>
    <row r="519" spans="1:10">
      <c r="A519" t="s">
        <v>2492</v>
      </c>
      <c r="B519" t="s">
        <v>2492</v>
      </c>
      <c r="C519" t="s">
        <v>2493</v>
      </c>
      <c r="D519">
        <v>5</v>
      </c>
      <c r="E519" t="s">
        <v>29</v>
      </c>
      <c r="F519" t="s">
        <v>63</v>
      </c>
      <c r="G519" s="23">
        <v>42658</v>
      </c>
      <c r="H519" t="s">
        <v>2494</v>
      </c>
      <c r="I519" t="s">
        <v>2495</v>
      </c>
      <c r="J519" t="s">
        <v>2496</v>
      </c>
    </row>
    <row r="520" spans="1:10">
      <c r="A520" t="s">
        <v>2497</v>
      </c>
      <c r="B520" t="s">
        <v>2497</v>
      </c>
      <c r="C520" t="s">
        <v>175</v>
      </c>
      <c r="D520">
        <v>15</v>
      </c>
      <c r="E520" t="s">
        <v>31</v>
      </c>
      <c r="F520" t="s">
        <v>57</v>
      </c>
      <c r="G520" s="23">
        <v>44510</v>
      </c>
      <c r="H520" t="s">
        <v>2498</v>
      </c>
      <c r="I520" t="s">
        <v>2499</v>
      </c>
      <c r="J520" t="s">
        <v>2500</v>
      </c>
    </row>
    <row r="521" spans="1:10">
      <c r="A521" t="s">
        <v>2501</v>
      </c>
      <c r="B521" t="s">
        <v>2501</v>
      </c>
      <c r="C521" t="s">
        <v>2502</v>
      </c>
      <c r="D521">
        <v>12</v>
      </c>
      <c r="E521" t="s">
        <v>31</v>
      </c>
      <c r="F521" t="s">
        <v>63</v>
      </c>
      <c r="G521" s="23">
        <v>42104</v>
      </c>
      <c r="H521" t="s">
        <v>2503</v>
      </c>
      <c r="I521" t="s">
        <v>2504</v>
      </c>
      <c r="J521" t="s">
        <v>2505</v>
      </c>
    </row>
    <row r="522" spans="1:10">
      <c r="A522" t="s">
        <v>2506</v>
      </c>
      <c r="B522" t="s">
        <v>2506</v>
      </c>
      <c r="C522" t="s">
        <v>2507</v>
      </c>
      <c r="D522">
        <v>9</v>
      </c>
      <c r="E522" t="s">
        <v>33</v>
      </c>
      <c r="F522" t="s">
        <v>571</v>
      </c>
      <c r="G522" s="23">
        <v>43514</v>
      </c>
      <c r="H522" t="s">
        <v>2508</v>
      </c>
      <c r="I522" t="s">
        <v>2509</v>
      </c>
      <c r="J522" t="s">
        <v>2510</v>
      </c>
    </row>
    <row r="523" spans="1:10">
      <c r="A523" t="s">
        <v>2511</v>
      </c>
      <c r="B523" t="s">
        <v>2511</v>
      </c>
      <c r="C523" t="s">
        <v>2512</v>
      </c>
      <c r="D523">
        <v>27</v>
      </c>
      <c r="E523" t="s">
        <v>35</v>
      </c>
      <c r="F523" t="s">
        <v>57</v>
      </c>
      <c r="G523" s="23">
        <v>44916</v>
      </c>
      <c r="H523" t="s">
        <v>2513</v>
      </c>
      <c r="I523" t="s">
        <v>2514</v>
      </c>
      <c r="J523" t="s">
        <v>2515</v>
      </c>
    </row>
    <row r="524" spans="1:10">
      <c r="A524" t="s">
        <v>2516</v>
      </c>
      <c r="B524" t="s">
        <v>2516</v>
      </c>
      <c r="C524" t="s">
        <v>2119</v>
      </c>
      <c r="D524">
        <v>19</v>
      </c>
      <c r="E524" t="s">
        <v>31</v>
      </c>
      <c r="F524" t="s">
        <v>63</v>
      </c>
      <c r="G524" s="23">
        <v>44120</v>
      </c>
      <c r="H524" t="s">
        <v>2517</v>
      </c>
      <c r="I524" t="s">
        <v>2518</v>
      </c>
      <c r="J524" t="s">
        <v>2519</v>
      </c>
    </row>
    <row r="525" spans="1:10">
      <c r="A525" t="s">
        <v>2520</v>
      </c>
      <c r="B525" t="s">
        <v>2520</v>
      </c>
      <c r="C525" t="s">
        <v>2521</v>
      </c>
      <c r="D525">
        <v>21</v>
      </c>
      <c r="E525" t="s">
        <v>35</v>
      </c>
      <c r="F525" t="s">
        <v>57</v>
      </c>
      <c r="G525" s="23">
        <v>45447</v>
      </c>
      <c r="H525" t="s">
        <v>2522</v>
      </c>
      <c r="I525" t="s">
        <v>2523</v>
      </c>
      <c r="J525" t="s">
        <v>2524</v>
      </c>
    </row>
    <row r="526" spans="1:10">
      <c r="A526" t="s">
        <v>2525</v>
      </c>
      <c r="B526" t="s">
        <v>2525</v>
      </c>
      <c r="C526" t="s">
        <v>2526</v>
      </c>
      <c r="D526">
        <v>10</v>
      </c>
      <c r="E526" t="s">
        <v>35</v>
      </c>
      <c r="F526" t="s">
        <v>57</v>
      </c>
      <c r="G526" s="23">
        <v>45071</v>
      </c>
      <c r="H526" t="s">
        <v>2527</v>
      </c>
      <c r="I526" t="s">
        <v>2528</v>
      </c>
      <c r="J526" t="s">
        <v>2529</v>
      </c>
    </row>
    <row r="527" spans="1:10">
      <c r="A527" t="s">
        <v>2530</v>
      </c>
      <c r="B527" t="s">
        <v>2530</v>
      </c>
      <c r="C527" t="s">
        <v>2531</v>
      </c>
      <c r="D527">
        <v>5</v>
      </c>
      <c r="E527" t="s">
        <v>34</v>
      </c>
      <c r="F527" t="s">
        <v>57</v>
      </c>
      <c r="G527" s="23">
        <v>44398</v>
      </c>
      <c r="H527" t="s">
        <v>2532</v>
      </c>
      <c r="I527" t="s">
        <v>2533</v>
      </c>
      <c r="J527" t="s">
        <v>2534</v>
      </c>
    </row>
    <row r="528" spans="1:10">
      <c r="A528" t="s">
        <v>2535</v>
      </c>
      <c r="B528" t="s">
        <v>2535</v>
      </c>
      <c r="C528" t="s">
        <v>1379</v>
      </c>
      <c r="D528">
        <v>24</v>
      </c>
      <c r="E528" t="s">
        <v>31</v>
      </c>
      <c r="F528" t="s">
        <v>57</v>
      </c>
      <c r="G528" s="23">
        <v>45664</v>
      </c>
      <c r="H528" t="s">
        <v>2536</v>
      </c>
      <c r="I528" t="s">
        <v>2537</v>
      </c>
      <c r="J528" t="s">
        <v>2538</v>
      </c>
    </row>
    <row r="529" spans="1:10">
      <c r="A529" t="s">
        <v>2539</v>
      </c>
      <c r="B529" t="s">
        <v>2539</v>
      </c>
      <c r="C529" t="s">
        <v>570</v>
      </c>
      <c r="D529">
        <v>1</v>
      </c>
      <c r="E529" t="s">
        <v>34</v>
      </c>
      <c r="F529" t="s">
        <v>57</v>
      </c>
      <c r="G529" s="23">
        <v>44302</v>
      </c>
      <c r="H529" t="s">
        <v>2540</v>
      </c>
      <c r="I529" t="s">
        <v>2541</v>
      </c>
      <c r="J529" t="s">
        <v>2542</v>
      </c>
    </row>
    <row r="530" spans="1:10">
      <c r="A530" t="s">
        <v>2543</v>
      </c>
      <c r="B530" t="s">
        <v>2543</v>
      </c>
      <c r="C530" t="s">
        <v>2544</v>
      </c>
      <c r="D530">
        <v>11</v>
      </c>
      <c r="E530" t="s">
        <v>33</v>
      </c>
      <c r="F530" t="s">
        <v>57</v>
      </c>
      <c r="G530" s="23">
        <v>45244</v>
      </c>
      <c r="H530" t="s">
        <v>2545</v>
      </c>
      <c r="I530" t="s">
        <v>2546</v>
      </c>
      <c r="J530" t="s">
        <v>2547</v>
      </c>
    </row>
    <row r="531" spans="1:10">
      <c r="A531" t="s">
        <v>2548</v>
      </c>
      <c r="B531" t="s">
        <v>2548</v>
      </c>
      <c r="C531" t="s">
        <v>2549</v>
      </c>
      <c r="D531">
        <v>60</v>
      </c>
      <c r="E531" t="s">
        <v>29</v>
      </c>
      <c r="F531" t="s">
        <v>63</v>
      </c>
      <c r="G531" s="23">
        <v>42217</v>
      </c>
      <c r="H531" t="s">
        <v>2550</v>
      </c>
      <c r="I531" t="s">
        <v>2551</v>
      </c>
      <c r="J531" t="s">
        <v>2552</v>
      </c>
    </row>
    <row r="532" spans="1:10">
      <c r="A532" t="s">
        <v>2553</v>
      </c>
      <c r="B532" t="s">
        <v>2553</v>
      </c>
      <c r="C532" t="s">
        <v>2554</v>
      </c>
      <c r="D532">
        <v>19</v>
      </c>
      <c r="E532" t="s">
        <v>35</v>
      </c>
      <c r="F532" t="s">
        <v>57</v>
      </c>
      <c r="G532" s="23">
        <v>44320</v>
      </c>
      <c r="H532" t="s">
        <v>2555</v>
      </c>
      <c r="I532" t="s">
        <v>2556</v>
      </c>
      <c r="J532" t="s">
        <v>2557</v>
      </c>
    </row>
    <row r="533" spans="1:10">
      <c r="A533" t="s">
        <v>2558</v>
      </c>
      <c r="B533" t="s">
        <v>2558</v>
      </c>
      <c r="C533" t="s">
        <v>2559</v>
      </c>
      <c r="D533">
        <v>5</v>
      </c>
      <c r="E533" t="s">
        <v>29</v>
      </c>
      <c r="F533" t="s">
        <v>63</v>
      </c>
      <c r="G533" s="23">
        <v>43470</v>
      </c>
      <c r="H533" t="s">
        <v>2560</v>
      </c>
      <c r="I533" t="s">
        <v>2561</v>
      </c>
      <c r="J533" t="s">
        <v>2562</v>
      </c>
    </row>
    <row r="534" spans="1:10">
      <c r="A534" t="s">
        <v>2563</v>
      </c>
      <c r="B534" t="s">
        <v>2563</v>
      </c>
      <c r="C534" t="s">
        <v>646</v>
      </c>
      <c r="D534">
        <v>11</v>
      </c>
      <c r="E534" t="s">
        <v>33</v>
      </c>
      <c r="F534" t="s">
        <v>57</v>
      </c>
      <c r="G534" s="23">
        <v>45603</v>
      </c>
      <c r="H534" t="s">
        <v>2564</v>
      </c>
      <c r="I534" t="s">
        <v>2565</v>
      </c>
      <c r="J534" t="s">
        <v>2566</v>
      </c>
    </row>
    <row r="535" spans="1:10">
      <c r="A535" t="s">
        <v>2567</v>
      </c>
      <c r="B535" t="s">
        <v>2567</v>
      </c>
      <c r="C535" t="s">
        <v>2568</v>
      </c>
      <c r="D535">
        <v>14</v>
      </c>
      <c r="E535" t="s">
        <v>29</v>
      </c>
      <c r="F535" t="s">
        <v>63</v>
      </c>
      <c r="G535" s="23">
        <v>42914</v>
      </c>
      <c r="H535" t="s">
        <v>2569</v>
      </c>
      <c r="I535" t="s">
        <v>2570</v>
      </c>
      <c r="J535" t="s">
        <v>2571</v>
      </c>
    </row>
    <row r="536" spans="1:10">
      <c r="A536" t="s">
        <v>2572</v>
      </c>
      <c r="B536" t="s">
        <v>2572</v>
      </c>
      <c r="C536" t="s">
        <v>2573</v>
      </c>
      <c r="D536">
        <v>7</v>
      </c>
      <c r="E536" t="s">
        <v>35</v>
      </c>
      <c r="F536" t="s">
        <v>57</v>
      </c>
      <c r="G536" s="23">
        <v>44460</v>
      </c>
      <c r="H536" t="s">
        <v>2574</v>
      </c>
      <c r="I536" t="s">
        <v>2575</v>
      </c>
      <c r="J536" t="s">
        <v>2576</v>
      </c>
    </row>
    <row r="537" spans="1:10">
      <c r="A537" t="s">
        <v>2577</v>
      </c>
      <c r="B537" t="s">
        <v>2577</v>
      </c>
      <c r="C537" t="s">
        <v>2578</v>
      </c>
      <c r="D537">
        <v>2</v>
      </c>
      <c r="E537" t="s">
        <v>33</v>
      </c>
      <c r="F537" t="s">
        <v>63</v>
      </c>
      <c r="G537" s="23">
        <v>42519</v>
      </c>
      <c r="H537" t="s">
        <v>2579</v>
      </c>
      <c r="I537" t="s">
        <v>2580</v>
      </c>
      <c r="J537" t="s">
        <v>2581</v>
      </c>
    </row>
    <row r="538" spans="1:10">
      <c r="A538" t="s">
        <v>2582</v>
      </c>
      <c r="B538" t="s">
        <v>2582</v>
      </c>
      <c r="C538" t="s">
        <v>2583</v>
      </c>
      <c r="D538">
        <v>11</v>
      </c>
      <c r="E538" t="s">
        <v>33</v>
      </c>
      <c r="F538" t="s">
        <v>57</v>
      </c>
      <c r="G538" s="23">
        <v>45153</v>
      </c>
      <c r="H538" t="s">
        <v>2584</v>
      </c>
      <c r="I538" t="s">
        <v>2585</v>
      </c>
      <c r="J538" t="s">
        <v>2586</v>
      </c>
    </row>
    <row r="539" spans="1:10">
      <c r="A539" t="s">
        <v>2587</v>
      </c>
      <c r="B539" t="s">
        <v>2587</v>
      </c>
      <c r="C539" t="s">
        <v>2588</v>
      </c>
      <c r="D539">
        <v>6</v>
      </c>
      <c r="E539" t="s">
        <v>35</v>
      </c>
      <c r="F539" t="s">
        <v>57</v>
      </c>
      <c r="G539" s="23">
        <v>43468</v>
      </c>
      <c r="H539" t="s">
        <v>2589</v>
      </c>
      <c r="I539" t="s">
        <v>2590</v>
      </c>
      <c r="J539" t="s">
        <v>2591</v>
      </c>
    </row>
    <row r="540" spans="1:10">
      <c r="A540" t="s">
        <v>2592</v>
      </c>
      <c r="B540" t="s">
        <v>2592</v>
      </c>
      <c r="C540" t="s">
        <v>2593</v>
      </c>
      <c r="D540">
        <v>7</v>
      </c>
      <c r="E540" t="s">
        <v>35</v>
      </c>
      <c r="F540" t="s">
        <v>57</v>
      </c>
      <c r="G540" s="23">
        <v>44587</v>
      </c>
      <c r="H540" t="s">
        <v>2594</v>
      </c>
      <c r="I540" t="s">
        <v>2595</v>
      </c>
      <c r="J540" t="s">
        <v>2596</v>
      </c>
    </row>
    <row r="541" spans="1:10">
      <c r="A541" t="s">
        <v>2597</v>
      </c>
      <c r="B541" t="s">
        <v>2597</v>
      </c>
      <c r="C541" t="s">
        <v>2598</v>
      </c>
      <c r="D541">
        <v>25</v>
      </c>
      <c r="E541" t="s">
        <v>33</v>
      </c>
      <c r="F541" t="s">
        <v>57</v>
      </c>
      <c r="G541" s="23">
        <v>44687</v>
      </c>
      <c r="H541" t="s">
        <v>2599</v>
      </c>
      <c r="I541" t="s">
        <v>2600</v>
      </c>
      <c r="J541" t="s">
        <v>2601</v>
      </c>
    </row>
    <row r="542" spans="1:10">
      <c r="A542" t="s">
        <v>2602</v>
      </c>
      <c r="B542" t="s">
        <v>2602</v>
      </c>
      <c r="C542" t="s">
        <v>2245</v>
      </c>
      <c r="D542">
        <v>13</v>
      </c>
      <c r="E542" t="s">
        <v>34</v>
      </c>
      <c r="F542" t="s">
        <v>57</v>
      </c>
      <c r="G542" s="23">
        <v>45166</v>
      </c>
      <c r="H542" t="s">
        <v>2603</v>
      </c>
      <c r="I542" t="s">
        <v>2604</v>
      </c>
      <c r="J542" t="s">
        <v>2605</v>
      </c>
    </row>
    <row r="543" spans="1:10">
      <c r="A543" t="s">
        <v>2606</v>
      </c>
      <c r="B543" t="s">
        <v>2606</v>
      </c>
      <c r="C543" t="s">
        <v>641</v>
      </c>
      <c r="D543">
        <v>0</v>
      </c>
      <c r="E543" t="s">
        <v>35</v>
      </c>
      <c r="F543" t="s">
        <v>57</v>
      </c>
      <c r="G543" s="23">
        <v>44581</v>
      </c>
      <c r="H543" t="s">
        <v>2607</v>
      </c>
      <c r="I543" t="s">
        <v>2608</v>
      </c>
      <c r="J543" t="s">
        <v>2609</v>
      </c>
    </row>
    <row r="544" spans="1:10">
      <c r="A544" t="s">
        <v>2610</v>
      </c>
      <c r="B544" t="s">
        <v>2610</v>
      </c>
      <c r="C544" t="s">
        <v>452</v>
      </c>
      <c r="D544">
        <v>11</v>
      </c>
      <c r="E544" t="s">
        <v>33</v>
      </c>
      <c r="F544" t="s">
        <v>57</v>
      </c>
      <c r="G544" s="23">
        <v>44921</v>
      </c>
      <c r="H544" t="s">
        <v>2611</v>
      </c>
      <c r="I544" t="s">
        <v>2612</v>
      </c>
      <c r="J544" t="s">
        <v>2613</v>
      </c>
    </row>
    <row r="545" spans="1:10">
      <c r="A545" t="s">
        <v>2614</v>
      </c>
      <c r="B545" t="s">
        <v>2614</v>
      </c>
      <c r="C545" t="s">
        <v>2615</v>
      </c>
      <c r="D545">
        <v>9</v>
      </c>
      <c r="E545" t="s">
        <v>31</v>
      </c>
      <c r="F545" t="s">
        <v>63</v>
      </c>
      <c r="G545" s="23">
        <v>44436</v>
      </c>
      <c r="H545" t="s">
        <v>2616</v>
      </c>
      <c r="I545" t="s">
        <v>2617</v>
      </c>
      <c r="J545" t="s">
        <v>2618</v>
      </c>
    </row>
    <row r="546" spans="1:10">
      <c r="A546" t="s">
        <v>2619</v>
      </c>
      <c r="B546" t="s">
        <v>2619</v>
      </c>
      <c r="C546" t="s">
        <v>2620</v>
      </c>
      <c r="D546">
        <v>10</v>
      </c>
      <c r="E546" t="s">
        <v>33</v>
      </c>
      <c r="F546" t="s">
        <v>57</v>
      </c>
      <c r="G546" s="23">
        <v>43950</v>
      </c>
      <c r="H546" t="s">
        <v>2621</v>
      </c>
      <c r="I546" t="s">
        <v>2622</v>
      </c>
      <c r="J546" t="s">
        <v>2623</v>
      </c>
    </row>
    <row r="547" spans="1:10">
      <c r="A547" t="s">
        <v>2624</v>
      </c>
      <c r="B547" t="s">
        <v>2624</v>
      </c>
      <c r="C547" t="s">
        <v>2625</v>
      </c>
      <c r="D547">
        <v>17</v>
      </c>
      <c r="E547" t="s">
        <v>33</v>
      </c>
      <c r="F547" t="s">
        <v>57</v>
      </c>
      <c r="G547" s="23">
        <v>45531</v>
      </c>
      <c r="H547" t="s">
        <v>2626</v>
      </c>
      <c r="I547" t="s">
        <v>2627</v>
      </c>
      <c r="J547" t="s">
        <v>2628</v>
      </c>
    </row>
    <row r="548" spans="1:10">
      <c r="A548" t="s">
        <v>2629</v>
      </c>
      <c r="B548" t="s">
        <v>2629</v>
      </c>
      <c r="C548" t="s">
        <v>2625</v>
      </c>
      <c r="D548">
        <v>17</v>
      </c>
      <c r="E548" t="s">
        <v>31</v>
      </c>
      <c r="F548" t="s">
        <v>57</v>
      </c>
      <c r="G548" s="23">
        <v>45531</v>
      </c>
      <c r="H548" t="s">
        <v>2630</v>
      </c>
      <c r="I548" t="s">
        <v>2631</v>
      </c>
      <c r="J548" t="s">
        <v>2632</v>
      </c>
    </row>
    <row r="549" spans="1:10">
      <c r="A549" t="s">
        <v>2633</v>
      </c>
      <c r="B549" t="s">
        <v>2633</v>
      </c>
      <c r="C549" t="s">
        <v>83</v>
      </c>
      <c r="D549">
        <v>15</v>
      </c>
      <c r="E549" t="s">
        <v>33</v>
      </c>
      <c r="F549" t="s">
        <v>57</v>
      </c>
      <c r="G549" s="23">
        <v>45716</v>
      </c>
      <c r="H549" t="s">
        <v>2634</v>
      </c>
      <c r="I549" t="s">
        <v>2635</v>
      </c>
      <c r="J549" t="s">
        <v>2636</v>
      </c>
    </row>
    <row r="550" spans="1:10">
      <c r="A550" t="s">
        <v>2637</v>
      </c>
      <c r="B550" t="s">
        <v>2637</v>
      </c>
      <c r="C550" t="s">
        <v>2165</v>
      </c>
      <c r="D550">
        <v>92</v>
      </c>
      <c r="E550" t="s">
        <v>33</v>
      </c>
      <c r="F550" t="s">
        <v>63</v>
      </c>
      <c r="G550" s="23">
        <v>46104</v>
      </c>
      <c r="H550" t="s">
        <v>2638</v>
      </c>
      <c r="I550" t="s">
        <v>2639</v>
      </c>
      <c r="J550" t="s">
        <v>2640</v>
      </c>
    </row>
    <row r="551" spans="1:10">
      <c r="A551" t="s">
        <v>2641</v>
      </c>
      <c r="B551" t="s">
        <v>2641</v>
      </c>
      <c r="C551" t="s">
        <v>494</v>
      </c>
      <c r="D551">
        <v>9</v>
      </c>
      <c r="E551" t="s">
        <v>31</v>
      </c>
      <c r="F551" t="s">
        <v>115</v>
      </c>
      <c r="G551" s="23">
        <v>45780</v>
      </c>
      <c r="H551" t="s">
        <v>2642</v>
      </c>
      <c r="I551" t="s">
        <v>2643</v>
      </c>
      <c r="J551" t="s">
        <v>2644</v>
      </c>
    </row>
    <row r="552" spans="1:10">
      <c r="A552" t="s">
        <v>2645</v>
      </c>
      <c r="B552" t="s">
        <v>2645</v>
      </c>
      <c r="C552" t="s">
        <v>2646</v>
      </c>
      <c r="D552">
        <v>1</v>
      </c>
      <c r="E552" t="s">
        <v>35</v>
      </c>
      <c r="F552" t="s">
        <v>57</v>
      </c>
      <c r="G552" s="23">
        <v>45299</v>
      </c>
      <c r="H552" t="s">
        <v>2647</v>
      </c>
      <c r="I552" t="s">
        <v>2648</v>
      </c>
      <c r="J552" t="s">
        <v>2649</v>
      </c>
    </row>
    <row r="553" spans="1:10">
      <c r="A553" t="s">
        <v>2650</v>
      </c>
      <c r="B553" t="s">
        <v>2650</v>
      </c>
      <c r="C553" t="s">
        <v>109</v>
      </c>
      <c r="D553">
        <v>15</v>
      </c>
      <c r="E553" t="s">
        <v>34</v>
      </c>
      <c r="F553" t="s">
        <v>57</v>
      </c>
      <c r="G553" s="23">
        <v>44795</v>
      </c>
      <c r="H553" t="s">
        <v>2651</v>
      </c>
      <c r="I553" t="s">
        <v>2652</v>
      </c>
      <c r="J553" t="s">
        <v>2653</v>
      </c>
    </row>
    <row r="554" spans="1:10">
      <c r="A554" t="s">
        <v>2654</v>
      </c>
      <c r="B554" t="s">
        <v>2654</v>
      </c>
      <c r="C554" t="s">
        <v>2655</v>
      </c>
      <c r="D554">
        <v>11</v>
      </c>
      <c r="E554" t="s">
        <v>29</v>
      </c>
      <c r="F554" t="s">
        <v>63</v>
      </c>
      <c r="G554" s="23">
        <v>42093</v>
      </c>
      <c r="H554" t="s">
        <v>2656</v>
      </c>
      <c r="I554" t="s">
        <v>2657</v>
      </c>
      <c r="J554" t="s">
        <v>2658</v>
      </c>
    </row>
    <row r="555" spans="1:10">
      <c r="A555" t="s">
        <v>2659</v>
      </c>
      <c r="B555" t="s">
        <v>2659</v>
      </c>
      <c r="C555" t="s">
        <v>1622</v>
      </c>
      <c r="D555">
        <v>14</v>
      </c>
      <c r="E555" t="s">
        <v>33</v>
      </c>
      <c r="F555" t="s">
        <v>57</v>
      </c>
      <c r="G555" s="23">
        <v>45448</v>
      </c>
      <c r="H555" t="s">
        <v>2660</v>
      </c>
      <c r="I555" t="s">
        <v>2661</v>
      </c>
      <c r="J555" t="s">
        <v>2662</v>
      </c>
    </row>
    <row r="556" spans="1:10">
      <c r="A556" t="s">
        <v>2663</v>
      </c>
      <c r="B556" t="s">
        <v>2663</v>
      </c>
      <c r="C556" t="s">
        <v>1622</v>
      </c>
      <c r="D556">
        <v>36</v>
      </c>
      <c r="E556" t="s">
        <v>34</v>
      </c>
      <c r="F556" t="s">
        <v>57</v>
      </c>
      <c r="G556" s="23">
        <v>46050</v>
      </c>
      <c r="H556" t="s">
        <v>2664</v>
      </c>
      <c r="I556" t="s">
        <v>2665</v>
      </c>
      <c r="J556" t="s">
        <v>2666</v>
      </c>
    </row>
    <row r="557" spans="1:10">
      <c r="A557" t="s">
        <v>2667</v>
      </c>
      <c r="B557" t="s">
        <v>2667</v>
      </c>
      <c r="C557" t="s">
        <v>2668</v>
      </c>
      <c r="D557">
        <v>11</v>
      </c>
      <c r="E557" t="s">
        <v>34</v>
      </c>
      <c r="F557" t="s">
        <v>57</v>
      </c>
      <c r="G557" s="23">
        <v>43892</v>
      </c>
      <c r="H557" t="s">
        <v>2669</v>
      </c>
      <c r="I557" t="s">
        <v>2670</v>
      </c>
      <c r="J557" t="s">
        <v>2671</v>
      </c>
    </row>
    <row r="558" spans="1:10">
      <c r="A558" t="s">
        <v>2672</v>
      </c>
      <c r="B558" t="s">
        <v>2672</v>
      </c>
      <c r="C558" t="s">
        <v>2673</v>
      </c>
      <c r="D558">
        <v>14</v>
      </c>
      <c r="E558" t="s">
        <v>34</v>
      </c>
      <c r="F558" t="s">
        <v>57</v>
      </c>
      <c r="G558" s="23">
        <v>45898</v>
      </c>
      <c r="H558" t="s">
        <v>2674</v>
      </c>
      <c r="I558" t="s">
        <v>2675</v>
      </c>
      <c r="J558" t="s">
        <v>2676</v>
      </c>
    </row>
    <row r="559" spans="1:10">
      <c r="A559" t="s">
        <v>2677</v>
      </c>
      <c r="B559" t="s">
        <v>2677</v>
      </c>
      <c r="C559" t="s">
        <v>2678</v>
      </c>
      <c r="D559">
        <v>5</v>
      </c>
      <c r="E559" t="s">
        <v>29</v>
      </c>
      <c r="F559" t="s">
        <v>63</v>
      </c>
      <c r="G559" s="23">
        <v>42441</v>
      </c>
      <c r="H559" t="s">
        <v>2679</v>
      </c>
      <c r="I559" t="s">
        <v>2680</v>
      </c>
      <c r="J559" t="s">
        <v>2681</v>
      </c>
    </row>
    <row r="560" spans="1:10">
      <c r="A560" t="s">
        <v>2682</v>
      </c>
      <c r="B560" t="s">
        <v>2682</v>
      </c>
      <c r="C560" t="s">
        <v>208</v>
      </c>
      <c r="D560">
        <v>22</v>
      </c>
      <c r="E560" t="s">
        <v>34</v>
      </c>
      <c r="F560" t="s">
        <v>57</v>
      </c>
      <c r="G560" s="23">
        <v>45450</v>
      </c>
      <c r="H560" t="s">
        <v>2683</v>
      </c>
      <c r="I560" t="s">
        <v>2684</v>
      </c>
      <c r="J560" t="s">
        <v>2685</v>
      </c>
    </row>
    <row r="561" spans="1:10">
      <c r="A561" t="s">
        <v>2686</v>
      </c>
      <c r="B561" t="s">
        <v>2686</v>
      </c>
      <c r="C561" t="s">
        <v>2687</v>
      </c>
      <c r="D561">
        <v>13</v>
      </c>
      <c r="E561" t="s">
        <v>33</v>
      </c>
      <c r="F561" t="s">
        <v>57</v>
      </c>
      <c r="G561" s="23">
        <v>44388</v>
      </c>
      <c r="H561" t="s">
        <v>2688</v>
      </c>
      <c r="I561" t="s">
        <v>2689</v>
      </c>
      <c r="J561" t="s">
        <v>2690</v>
      </c>
    </row>
    <row r="562" spans="1:10">
      <c r="A562" t="s">
        <v>2691</v>
      </c>
      <c r="B562" t="s">
        <v>2691</v>
      </c>
      <c r="C562" t="s">
        <v>2692</v>
      </c>
      <c r="D562">
        <v>19</v>
      </c>
      <c r="E562" t="s">
        <v>34</v>
      </c>
      <c r="F562" t="s">
        <v>57</v>
      </c>
      <c r="G562" s="23">
        <v>45539</v>
      </c>
      <c r="H562" t="s">
        <v>2693</v>
      </c>
      <c r="I562" t="s">
        <v>2694</v>
      </c>
      <c r="J562" t="s">
        <v>2695</v>
      </c>
    </row>
    <row r="563" spans="1:10">
      <c r="A563" t="s">
        <v>2696</v>
      </c>
      <c r="B563" t="s">
        <v>2696</v>
      </c>
      <c r="C563" t="s">
        <v>1171</v>
      </c>
      <c r="D563">
        <v>7</v>
      </c>
      <c r="E563" t="s">
        <v>34</v>
      </c>
      <c r="F563" t="s">
        <v>57</v>
      </c>
      <c r="G563" s="23">
        <v>44363</v>
      </c>
      <c r="H563" t="s">
        <v>2697</v>
      </c>
      <c r="I563" t="s">
        <v>2698</v>
      </c>
      <c r="J563" t="s">
        <v>2699</v>
      </c>
    </row>
    <row r="564" spans="1:10">
      <c r="A564" t="s">
        <v>2700</v>
      </c>
      <c r="B564" t="s">
        <v>2700</v>
      </c>
      <c r="C564" t="s">
        <v>2701</v>
      </c>
      <c r="D564">
        <v>30</v>
      </c>
      <c r="E564" t="s">
        <v>34</v>
      </c>
      <c r="F564" t="s">
        <v>57</v>
      </c>
      <c r="G564" s="23">
        <v>45984</v>
      </c>
      <c r="H564" t="s">
        <v>2702</v>
      </c>
      <c r="I564" t="s">
        <v>2703</v>
      </c>
      <c r="J564" t="s">
        <v>2704</v>
      </c>
    </row>
    <row r="565" spans="1:10">
      <c r="A565" t="s">
        <v>2705</v>
      </c>
      <c r="B565" t="s">
        <v>2705</v>
      </c>
      <c r="C565" t="s">
        <v>2706</v>
      </c>
      <c r="D565">
        <v>23</v>
      </c>
      <c r="E565" t="s">
        <v>33</v>
      </c>
      <c r="F565" t="s">
        <v>57</v>
      </c>
      <c r="G565" s="23">
        <v>44133</v>
      </c>
      <c r="H565" t="s">
        <v>2707</v>
      </c>
      <c r="I565" t="s">
        <v>2708</v>
      </c>
      <c r="J565" t="s">
        <v>2709</v>
      </c>
    </row>
    <row r="566" spans="1:10">
      <c r="A566" t="s">
        <v>2710</v>
      </c>
      <c r="B566" t="s">
        <v>2710</v>
      </c>
      <c r="C566" t="s">
        <v>2142</v>
      </c>
      <c r="D566">
        <v>8</v>
      </c>
      <c r="E566" t="s">
        <v>35</v>
      </c>
      <c r="F566" t="s">
        <v>57</v>
      </c>
      <c r="G566" s="23">
        <v>43348</v>
      </c>
      <c r="H566" t="s">
        <v>2711</v>
      </c>
      <c r="I566" t="s">
        <v>2712</v>
      </c>
      <c r="J566" t="s">
        <v>2713</v>
      </c>
    </row>
    <row r="567" spans="1:10">
      <c r="A567" t="s">
        <v>2714</v>
      </c>
      <c r="B567" t="s">
        <v>2714</v>
      </c>
      <c r="C567" t="s">
        <v>2715</v>
      </c>
      <c r="D567">
        <v>21</v>
      </c>
      <c r="E567" t="s">
        <v>34</v>
      </c>
      <c r="F567" t="s">
        <v>57</v>
      </c>
      <c r="G567" s="23">
        <v>44923</v>
      </c>
      <c r="H567" t="s">
        <v>2716</v>
      </c>
      <c r="I567" t="s">
        <v>2717</v>
      </c>
      <c r="J567" t="s">
        <v>2718</v>
      </c>
    </row>
    <row r="568" spans="1:10">
      <c r="A568" t="s">
        <v>2719</v>
      </c>
      <c r="B568" t="s">
        <v>2719</v>
      </c>
      <c r="C568" t="s">
        <v>2720</v>
      </c>
      <c r="D568">
        <v>11</v>
      </c>
      <c r="E568" t="s">
        <v>33</v>
      </c>
      <c r="F568" t="s">
        <v>57</v>
      </c>
      <c r="G568" s="23">
        <v>44964</v>
      </c>
      <c r="H568" t="s">
        <v>2721</v>
      </c>
      <c r="I568" t="s">
        <v>2722</v>
      </c>
      <c r="J568" t="s">
        <v>2723</v>
      </c>
    </row>
    <row r="569" spans="1:10">
      <c r="A569" t="s">
        <v>2724</v>
      </c>
      <c r="B569" t="s">
        <v>2724</v>
      </c>
      <c r="C569" t="s">
        <v>2720</v>
      </c>
      <c r="D569">
        <v>18</v>
      </c>
      <c r="E569" t="s">
        <v>34</v>
      </c>
      <c r="F569" t="s">
        <v>57</v>
      </c>
      <c r="G569" s="23">
        <v>45398</v>
      </c>
      <c r="H569" t="s">
        <v>2725</v>
      </c>
      <c r="I569" t="s">
        <v>2726</v>
      </c>
      <c r="J569" t="s">
        <v>2727</v>
      </c>
    </row>
    <row r="570" spans="1:10">
      <c r="A570" t="s">
        <v>2728</v>
      </c>
      <c r="B570" t="s">
        <v>2728</v>
      </c>
      <c r="C570" t="s">
        <v>62</v>
      </c>
      <c r="D570">
        <v>0</v>
      </c>
      <c r="E570" t="s">
        <v>33</v>
      </c>
      <c r="F570" t="s">
        <v>63</v>
      </c>
      <c r="G570" s="23">
        <v>42686</v>
      </c>
      <c r="H570" t="s">
        <v>2729</v>
      </c>
      <c r="I570" t="s">
        <v>2730</v>
      </c>
      <c r="J570" t="s">
        <v>2731</v>
      </c>
    </row>
    <row r="571" spans="1:10">
      <c r="A571" t="s">
        <v>2732</v>
      </c>
      <c r="B571" t="s">
        <v>2732</v>
      </c>
      <c r="C571" t="s">
        <v>2733</v>
      </c>
      <c r="D571">
        <v>7</v>
      </c>
      <c r="E571" t="s">
        <v>31</v>
      </c>
      <c r="F571" t="s">
        <v>63</v>
      </c>
      <c r="G571" s="23">
        <v>42426</v>
      </c>
      <c r="H571" t="s">
        <v>2734</v>
      </c>
      <c r="I571" t="s">
        <v>2735</v>
      </c>
      <c r="J571" t="s">
        <v>2736</v>
      </c>
    </row>
    <row r="572" spans="1:10">
      <c r="A572" t="s">
        <v>2737</v>
      </c>
      <c r="B572" t="s">
        <v>2737</v>
      </c>
      <c r="C572" t="s">
        <v>2738</v>
      </c>
      <c r="D572">
        <v>0</v>
      </c>
      <c r="E572" t="s">
        <v>34</v>
      </c>
      <c r="F572" t="s">
        <v>57</v>
      </c>
      <c r="G572" s="23">
        <v>45161</v>
      </c>
      <c r="H572" t="s">
        <v>2739</v>
      </c>
      <c r="I572" t="s">
        <v>2740</v>
      </c>
      <c r="J572" t="s">
        <v>2741</v>
      </c>
    </row>
    <row r="573" spans="1:10">
      <c r="A573" t="s">
        <v>2742</v>
      </c>
      <c r="B573" t="s">
        <v>2742</v>
      </c>
      <c r="C573" t="s">
        <v>2396</v>
      </c>
      <c r="D573">
        <v>12</v>
      </c>
      <c r="E573" t="s">
        <v>35</v>
      </c>
      <c r="F573" t="s">
        <v>57</v>
      </c>
      <c r="G573" s="23">
        <v>44013</v>
      </c>
      <c r="H573" t="s">
        <v>2743</v>
      </c>
      <c r="I573" t="s">
        <v>2744</v>
      </c>
      <c r="J573" t="s">
        <v>2745</v>
      </c>
    </row>
    <row r="574" spans="1:10">
      <c r="A574" t="s">
        <v>2746</v>
      </c>
      <c r="B574" t="s">
        <v>2746</v>
      </c>
      <c r="C574" t="s">
        <v>1389</v>
      </c>
      <c r="D574">
        <v>0</v>
      </c>
      <c r="E574" t="s">
        <v>33</v>
      </c>
      <c r="F574" t="s">
        <v>57</v>
      </c>
      <c r="G574" s="23">
        <v>45662</v>
      </c>
      <c r="H574" t="s">
        <v>2747</v>
      </c>
      <c r="I574" t="s">
        <v>2748</v>
      </c>
      <c r="J574" t="s">
        <v>2749</v>
      </c>
    </row>
    <row r="575" spans="1:10">
      <c r="A575" t="s">
        <v>2750</v>
      </c>
      <c r="B575" t="s">
        <v>2750</v>
      </c>
      <c r="C575" t="s">
        <v>1306</v>
      </c>
      <c r="D575">
        <v>7</v>
      </c>
      <c r="E575" t="s">
        <v>31</v>
      </c>
      <c r="F575" t="s">
        <v>63</v>
      </c>
      <c r="G575" s="23">
        <v>45020</v>
      </c>
      <c r="H575" t="s">
        <v>2751</v>
      </c>
      <c r="I575" t="s">
        <v>2752</v>
      </c>
      <c r="J575" t="s">
        <v>2753</v>
      </c>
    </row>
    <row r="576" spans="1:10">
      <c r="A576" t="s">
        <v>2754</v>
      </c>
      <c r="B576" t="s">
        <v>2754</v>
      </c>
      <c r="C576" t="s">
        <v>1306</v>
      </c>
      <c r="D576">
        <v>7</v>
      </c>
      <c r="E576" t="s">
        <v>31</v>
      </c>
      <c r="F576" t="s">
        <v>63</v>
      </c>
      <c r="G576" s="23">
        <v>45076</v>
      </c>
      <c r="H576" t="s">
        <v>2755</v>
      </c>
      <c r="I576" t="s">
        <v>2756</v>
      </c>
      <c r="J576" t="s">
        <v>2757</v>
      </c>
    </row>
    <row r="577" spans="1:10">
      <c r="A577" t="s">
        <v>2758</v>
      </c>
      <c r="B577" t="s">
        <v>2758</v>
      </c>
      <c r="C577" t="s">
        <v>2646</v>
      </c>
      <c r="D577">
        <v>2</v>
      </c>
      <c r="E577" t="s">
        <v>36</v>
      </c>
      <c r="F577" t="s">
        <v>57</v>
      </c>
      <c r="G577" s="23">
        <v>45637</v>
      </c>
      <c r="H577" t="s">
        <v>2759</v>
      </c>
      <c r="I577" t="s">
        <v>2760</v>
      </c>
      <c r="J577" t="s">
        <v>2761</v>
      </c>
    </row>
    <row r="578" spans="1:10">
      <c r="A578" t="s">
        <v>2762</v>
      </c>
      <c r="B578" t="s">
        <v>2762</v>
      </c>
      <c r="C578" t="s">
        <v>2763</v>
      </c>
      <c r="D578">
        <v>12</v>
      </c>
      <c r="E578" t="s">
        <v>34</v>
      </c>
      <c r="F578" t="s">
        <v>57</v>
      </c>
      <c r="G578" s="23">
        <v>44721</v>
      </c>
      <c r="H578" t="s">
        <v>2764</v>
      </c>
      <c r="I578" t="s">
        <v>2765</v>
      </c>
      <c r="J578" t="s">
        <v>2766</v>
      </c>
    </row>
    <row r="579" spans="1:10">
      <c r="A579" t="s">
        <v>2767</v>
      </c>
      <c r="B579" t="s">
        <v>2767</v>
      </c>
      <c r="C579" t="s">
        <v>1622</v>
      </c>
      <c r="D579">
        <v>19</v>
      </c>
      <c r="E579" t="s">
        <v>34</v>
      </c>
      <c r="F579" t="s">
        <v>57</v>
      </c>
      <c r="G579" s="23">
        <v>44942</v>
      </c>
      <c r="H579" t="s">
        <v>2768</v>
      </c>
      <c r="I579" t="s">
        <v>2769</v>
      </c>
      <c r="J579" t="s">
        <v>2770</v>
      </c>
    </row>
    <row r="580" spans="1:10">
      <c r="A580" t="s">
        <v>2771</v>
      </c>
      <c r="B580" t="s">
        <v>2771</v>
      </c>
      <c r="C580" t="s">
        <v>2772</v>
      </c>
      <c r="D580">
        <v>32</v>
      </c>
      <c r="E580" t="s">
        <v>33</v>
      </c>
      <c r="F580" t="s">
        <v>115</v>
      </c>
      <c r="G580" s="23">
        <v>45797</v>
      </c>
      <c r="H580" t="s">
        <v>2773</v>
      </c>
      <c r="I580" t="s">
        <v>2774</v>
      </c>
      <c r="J580" t="s">
        <v>2775</v>
      </c>
    </row>
    <row r="581" spans="1:10">
      <c r="A581" t="s">
        <v>2776</v>
      </c>
      <c r="B581" t="s">
        <v>2776</v>
      </c>
      <c r="C581" t="s">
        <v>2777</v>
      </c>
      <c r="D581">
        <v>27</v>
      </c>
      <c r="E581" t="s">
        <v>31</v>
      </c>
      <c r="F581" t="s">
        <v>63</v>
      </c>
      <c r="G581" s="23">
        <v>42807</v>
      </c>
      <c r="H581" t="s">
        <v>2778</v>
      </c>
      <c r="I581" t="s">
        <v>2779</v>
      </c>
      <c r="J581" t="s">
        <v>2780</v>
      </c>
    </row>
    <row r="582" spans="1:10">
      <c r="A582" t="s">
        <v>2781</v>
      </c>
      <c r="B582" t="s">
        <v>2781</v>
      </c>
      <c r="C582" t="s">
        <v>2782</v>
      </c>
      <c r="D582">
        <v>28</v>
      </c>
      <c r="E582" t="s">
        <v>33</v>
      </c>
      <c r="F582" t="s">
        <v>63</v>
      </c>
      <c r="G582" s="23">
        <v>45895</v>
      </c>
      <c r="H582" t="s">
        <v>2783</v>
      </c>
      <c r="I582" t="s">
        <v>2784</v>
      </c>
      <c r="J582" t="s">
        <v>2785</v>
      </c>
    </row>
    <row r="583" spans="1:10">
      <c r="A583" t="s">
        <v>2786</v>
      </c>
      <c r="B583" t="s">
        <v>2786</v>
      </c>
      <c r="C583" t="s">
        <v>1570</v>
      </c>
      <c r="D583">
        <v>11</v>
      </c>
      <c r="E583" t="s">
        <v>34</v>
      </c>
      <c r="F583" t="s">
        <v>57</v>
      </c>
      <c r="G583" s="23">
        <v>44198</v>
      </c>
      <c r="H583" t="s">
        <v>2787</v>
      </c>
      <c r="I583" t="s">
        <v>2788</v>
      </c>
      <c r="J583" t="s">
        <v>2789</v>
      </c>
    </row>
    <row r="584" spans="1:10">
      <c r="A584" t="s">
        <v>2790</v>
      </c>
      <c r="B584" t="s">
        <v>2790</v>
      </c>
      <c r="C584" t="s">
        <v>935</v>
      </c>
      <c r="D584">
        <v>20</v>
      </c>
      <c r="E584" t="s">
        <v>34</v>
      </c>
      <c r="F584" t="s">
        <v>57</v>
      </c>
      <c r="G584" s="23">
        <v>44311</v>
      </c>
      <c r="H584" t="s">
        <v>2791</v>
      </c>
      <c r="I584" t="s">
        <v>2792</v>
      </c>
      <c r="J584" t="s">
        <v>2793</v>
      </c>
    </row>
    <row r="585" spans="1:10">
      <c r="A585" t="s">
        <v>2794</v>
      </c>
      <c r="B585" t="s">
        <v>2794</v>
      </c>
      <c r="C585" t="s">
        <v>2554</v>
      </c>
      <c r="D585">
        <v>14</v>
      </c>
      <c r="E585" t="s">
        <v>36</v>
      </c>
      <c r="F585" t="s">
        <v>57</v>
      </c>
      <c r="G585" s="23">
        <v>45723</v>
      </c>
      <c r="H585" t="s">
        <v>2795</v>
      </c>
      <c r="I585" t="s">
        <v>2796</v>
      </c>
      <c r="J585" t="s">
        <v>2797</v>
      </c>
    </row>
    <row r="586" spans="1:10">
      <c r="A586" t="s">
        <v>2798</v>
      </c>
      <c r="B586" t="s">
        <v>2798</v>
      </c>
      <c r="C586" t="s">
        <v>2245</v>
      </c>
      <c r="D586">
        <v>10</v>
      </c>
      <c r="E586" t="s">
        <v>33</v>
      </c>
      <c r="F586" t="s">
        <v>63</v>
      </c>
      <c r="G586" s="23">
        <v>44831</v>
      </c>
      <c r="H586" t="s">
        <v>2799</v>
      </c>
      <c r="I586" t="s">
        <v>2800</v>
      </c>
      <c r="J586" t="s">
        <v>2801</v>
      </c>
    </row>
    <row r="587" spans="1:10">
      <c r="A587" t="s">
        <v>2802</v>
      </c>
      <c r="B587" t="s">
        <v>2802</v>
      </c>
      <c r="C587" t="s">
        <v>2245</v>
      </c>
      <c r="D587">
        <v>9</v>
      </c>
      <c r="E587" t="s">
        <v>33</v>
      </c>
      <c r="F587" t="s">
        <v>63</v>
      </c>
      <c r="G587" s="23">
        <v>44982</v>
      </c>
      <c r="H587" t="s">
        <v>2803</v>
      </c>
      <c r="I587" t="s">
        <v>2804</v>
      </c>
      <c r="J587" t="s">
        <v>2805</v>
      </c>
    </row>
    <row r="588" spans="1:10">
      <c r="A588" t="s">
        <v>2806</v>
      </c>
      <c r="B588" t="s">
        <v>2806</v>
      </c>
      <c r="C588" t="s">
        <v>2245</v>
      </c>
      <c r="D588">
        <v>19</v>
      </c>
      <c r="E588" t="s">
        <v>34</v>
      </c>
      <c r="F588" t="s">
        <v>115</v>
      </c>
      <c r="G588" s="23">
        <v>45141</v>
      </c>
      <c r="H588" t="s">
        <v>2807</v>
      </c>
      <c r="I588" t="s">
        <v>2808</v>
      </c>
      <c r="J588" t="s">
        <v>2809</v>
      </c>
    </row>
    <row r="589" spans="1:10">
      <c r="A589" t="s">
        <v>2810</v>
      </c>
      <c r="B589" t="s">
        <v>2810</v>
      </c>
      <c r="C589" t="s">
        <v>2245</v>
      </c>
      <c r="D589">
        <v>42</v>
      </c>
      <c r="E589" t="s">
        <v>34</v>
      </c>
      <c r="F589" t="s">
        <v>115</v>
      </c>
      <c r="G589" s="23">
        <v>45607</v>
      </c>
      <c r="H589" t="s">
        <v>2811</v>
      </c>
      <c r="I589" t="s">
        <v>2812</v>
      </c>
      <c r="J589" t="s">
        <v>2813</v>
      </c>
    </row>
    <row r="590" spans="1:10">
      <c r="A590" t="s">
        <v>2814</v>
      </c>
      <c r="B590" t="s">
        <v>2814</v>
      </c>
      <c r="C590" t="s">
        <v>2245</v>
      </c>
      <c r="D590">
        <v>18</v>
      </c>
      <c r="E590" t="s">
        <v>33</v>
      </c>
      <c r="F590" t="s">
        <v>63</v>
      </c>
      <c r="G590" s="23">
        <v>45939</v>
      </c>
      <c r="H590" t="s">
        <v>2815</v>
      </c>
      <c r="I590" t="s">
        <v>2816</v>
      </c>
      <c r="J590" t="s">
        <v>2817</v>
      </c>
    </row>
    <row r="591" spans="1:10">
      <c r="A591" t="s">
        <v>2818</v>
      </c>
      <c r="B591" t="s">
        <v>2818</v>
      </c>
      <c r="C591" t="s">
        <v>322</v>
      </c>
      <c r="D591">
        <v>6</v>
      </c>
      <c r="E591" t="s">
        <v>31</v>
      </c>
      <c r="F591" t="s">
        <v>63</v>
      </c>
      <c r="G591" s="23">
        <v>41781</v>
      </c>
      <c r="H591" t="s">
        <v>2819</v>
      </c>
      <c r="I591" t="s">
        <v>2820</v>
      </c>
      <c r="J591" t="s">
        <v>2821</v>
      </c>
    </row>
    <row r="592" spans="1:10">
      <c r="A592" t="s">
        <v>2822</v>
      </c>
      <c r="B592" t="s">
        <v>2822</v>
      </c>
      <c r="C592" t="s">
        <v>2823</v>
      </c>
      <c r="D592">
        <v>8</v>
      </c>
      <c r="E592" t="s">
        <v>27</v>
      </c>
      <c r="F592" t="s">
        <v>63</v>
      </c>
      <c r="G592" s="23">
        <v>41479</v>
      </c>
      <c r="H592" t="s">
        <v>2824</v>
      </c>
      <c r="I592" t="s">
        <v>2825</v>
      </c>
      <c r="J592" t="s">
        <v>2826</v>
      </c>
    </row>
    <row r="593" spans="1:10">
      <c r="A593" t="s">
        <v>2827</v>
      </c>
      <c r="B593" t="s">
        <v>2827</v>
      </c>
      <c r="C593" t="s">
        <v>2828</v>
      </c>
      <c r="D593">
        <v>1</v>
      </c>
      <c r="E593" t="s">
        <v>31</v>
      </c>
      <c r="F593" t="s">
        <v>571</v>
      </c>
      <c r="G593" s="23">
        <v>43054</v>
      </c>
      <c r="H593" t="s">
        <v>2829</v>
      </c>
      <c r="I593" t="s">
        <v>2830</v>
      </c>
      <c r="J593" t="s">
        <v>2831</v>
      </c>
    </row>
    <row r="594" spans="1:10">
      <c r="A594" t="s">
        <v>2832</v>
      </c>
      <c r="B594" t="s">
        <v>2832</v>
      </c>
      <c r="C594" t="s">
        <v>2833</v>
      </c>
      <c r="D594">
        <v>21</v>
      </c>
      <c r="E594" t="s">
        <v>35</v>
      </c>
      <c r="F594" t="s">
        <v>57</v>
      </c>
      <c r="G594" s="23">
        <v>43198</v>
      </c>
      <c r="H594" t="s">
        <v>2834</v>
      </c>
      <c r="I594" t="s">
        <v>2835</v>
      </c>
      <c r="J594" t="s">
        <v>2836</v>
      </c>
    </row>
    <row r="595" spans="1:10">
      <c r="A595" t="s">
        <v>2837</v>
      </c>
      <c r="B595" t="s">
        <v>2837</v>
      </c>
      <c r="C595" t="s">
        <v>2833</v>
      </c>
      <c r="D595">
        <v>23</v>
      </c>
      <c r="E595" t="s">
        <v>35</v>
      </c>
      <c r="F595" t="s">
        <v>57</v>
      </c>
      <c r="G595" s="23">
        <v>43559</v>
      </c>
      <c r="H595" t="s">
        <v>2838</v>
      </c>
      <c r="I595" t="s">
        <v>2839</v>
      </c>
      <c r="J595" t="s">
        <v>2840</v>
      </c>
    </row>
    <row r="596" spans="1:10">
      <c r="A596" t="s">
        <v>2841</v>
      </c>
      <c r="B596" t="s">
        <v>2841</v>
      </c>
      <c r="C596" t="s">
        <v>2833</v>
      </c>
      <c r="D596">
        <v>41</v>
      </c>
      <c r="E596" t="s">
        <v>37</v>
      </c>
      <c r="F596" t="s">
        <v>57</v>
      </c>
      <c r="G596" s="23">
        <v>45247</v>
      </c>
      <c r="H596" t="s">
        <v>2842</v>
      </c>
      <c r="I596" t="s">
        <v>2843</v>
      </c>
      <c r="J596" t="s">
        <v>2844</v>
      </c>
    </row>
    <row r="597" spans="1:10">
      <c r="A597" t="s">
        <v>2845</v>
      </c>
      <c r="B597" t="s">
        <v>2845</v>
      </c>
      <c r="C597" t="s">
        <v>2846</v>
      </c>
      <c r="D597">
        <v>6</v>
      </c>
      <c r="E597" t="s">
        <v>31</v>
      </c>
      <c r="F597" t="s">
        <v>57</v>
      </c>
      <c r="G597" s="23">
        <v>44044</v>
      </c>
      <c r="H597" t="s">
        <v>2847</v>
      </c>
      <c r="I597" t="s">
        <v>2848</v>
      </c>
      <c r="J597" t="s">
        <v>2849</v>
      </c>
    </row>
    <row r="598" spans="1:10">
      <c r="A598" t="s">
        <v>2850</v>
      </c>
      <c r="B598" t="s">
        <v>2850</v>
      </c>
      <c r="C598" t="s">
        <v>2851</v>
      </c>
      <c r="D598">
        <v>13</v>
      </c>
      <c r="E598" t="s">
        <v>27</v>
      </c>
      <c r="F598" t="s">
        <v>63</v>
      </c>
      <c r="G598" s="23">
        <v>41626</v>
      </c>
      <c r="H598" t="s">
        <v>2852</v>
      </c>
      <c r="I598" t="s">
        <v>2853</v>
      </c>
      <c r="J598" t="s">
        <v>2854</v>
      </c>
    </row>
    <row r="599" spans="1:10">
      <c r="A599" t="s">
        <v>2855</v>
      </c>
      <c r="B599" t="s">
        <v>2855</v>
      </c>
      <c r="C599" t="s">
        <v>2856</v>
      </c>
      <c r="D599">
        <v>16</v>
      </c>
      <c r="E599" t="s">
        <v>34</v>
      </c>
      <c r="F599" t="s">
        <v>57</v>
      </c>
      <c r="G599" s="23">
        <v>45741</v>
      </c>
      <c r="H599" t="s">
        <v>2857</v>
      </c>
      <c r="I599" t="s">
        <v>2858</v>
      </c>
      <c r="J599" t="s">
        <v>2859</v>
      </c>
    </row>
    <row r="600" spans="1:10">
      <c r="A600" t="s">
        <v>2860</v>
      </c>
      <c r="B600" t="s">
        <v>2860</v>
      </c>
      <c r="C600" t="s">
        <v>1097</v>
      </c>
      <c r="D600">
        <v>3</v>
      </c>
      <c r="E600" t="s">
        <v>36</v>
      </c>
      <c r="F600" t="s">
        <v>571</v>
      </c>
      <c r="G600" s="23">
        <v>45386</v>
      </c>
      <c r="H600" t="s">
        <v>2861</v>
      </c>
      <c r="I600" t="s">
        <v>2862</v>
      </c>
      <c r="J600" t="s">
        <v>2863</v>
      </c>
    </row>
    <row r="601" spans="1:10">
      <c r="A601" t="s">
        <v>2864</v>
      </c>
      <c r="B601" t="s">
        <v>2864</v>
      </c>
      <c r="C601" t="s">
        <v>2865</v>
      </c>
      <c r="D601">
        <v>15</v>
      </c>
      <c r="E601" t="s">
        <v>29</v>
      </c>
      <c r="F601" t="s">
        <v>63</v>
      </c>
      <c r="G601" s="23">
        <v>42010</v>
      </c>
      <c r="H601" t="s">
        <v>2866</v>
      </c>
      <c r="I601" t="s">
        <v>2867</v>
      </c>
      <c r="J601" t="s">
        <v>2868</v>
      </c>
    </row>
    <row r="602" spans="1:10">
      <c r="A602" t="s">
        <v>2869</v>
      </c>
      <c r="B602" t="s">
        <v>2869</v>
      </c>
      <c r="C602" t="s">
        <v>2290</v>
      </c>
      <c r="D602">
        <v>21</v>
      </c>
      <c r="E602" t="s">
        <v>33</v>
      </c>
      <c r="F602" t="s">
        <v>57</v>
      </c>
      <c r="G602" s="23">
        <v>46035</v>
      </c>
      <c r="H602" t="s">
        <v>2870</v>
      </c>
      <c r="I602" t="s">
        <v>2871</v>
      </c>
      <c r="J602" t="s">
        <v>2872</v>
      </c>
    </row>
    <row r="603" spans="1:10">
      <c r="A603" t="s">
        <v>2873</v>
      </c>
      <c r="B603" t="s">
        <v>2873</v>
      </c>
      <c r="C603" t="s">
        <v>2874</v>
      </c>
      <c r="D603">
        <v>34</v>
      </c>
      <c r="E603" t="s">
        <v>33</v>
      </c>
      <c r="F603" t="s">
        <v>63</v>
      </c>
      <c r="G603" s="23">
        <v>44082</v>
      </c>
      <c r="H603" t="s">
        <v>2875</v>
      </c>
      <c r="I603" t="s">
        <v>2876</v>
      </c>
      <c r="J603" t="s">
        <v>2877</v>
      </c>
    </row>
    <row r="604" spans="1:10">
      <c r="A604" t="s">
        <v>2878</v>
      </c>
      <c r="B604" t="s">
        <v>2878</v>
      </c>
      <c r="C604" t="s">
        <v>2879</v>
      </c>
      <c r="D604">
        <v>15</v>
      </c>
      <c r="E604" t="s">
        <v>34</v>
      </c>
      <c r="F604" t="s">
        <v>57</v>
      </c>
      <c r="G604" s="23">
        <v>45117</v>
      </c>
      <c r="H604" t="s">
        <v>2880</v>
      </c>
      <c r="I604" t="s">
        <v>2881</v>
      </c>
      <c r="J604" t="s">
        <v>2882</v>
      </c>
    </row>
    <row r="605" spans="1:10">
      <c r="A605" t="s">
        <v>2883</v>
      </c>
      <c r="B605" t="s">
        <v>2883</v>
      </c>
      <c r="C605" t="s">
        <v>1069</v>
      </c>
      <c r="D605">
        <v>10</v>
      </c>
      <c r="E605" t="s">
        <v>33</v>
      </c>
      <c r="F605" t="s">
        <v>57</v>
      </c>
      <c r="G605" s="23">
        <v>44843</v>
      </c>
      <c r="H605" t="s">
        <v>2884</v>
      </c>
      <c r="I605" t="s">
        <v>2885</v>
      </c>
      <c r="J605" t="s">
        <v>2886</v>
      </c>
    </row>
    <row r="606" spans="1:10">
      <c r="A606" t="s">
        <v>2887</v>
      </c>
      <c r="B606" t="s">
        <v>2887</v>
      </c>
      <c r="C606" t="s">
        <v>2888</v>
      </c>
      <c r="D606">
        <v>19</v>
      </c>
      <c r="E606" t="s">
        <v>34</v>
      </c>
      <c r="F606" t="s">
        <v>57</v>
      </c>
      <c r="G606" s="23">
        <v>44711</v>
      </c>
      <c r="H606" t="s">
        <v>2889</v>
      </c>
      <c r="I606" t="s">
        <v>2890</v>
      </c>
      <c r="J606" t="s">
        <v>2891</v>
      </c>
    </row>
    <row r="607" spans="1:10">
      <c r="A607" t="s">
        <v>2892</v>
      </c>
      <c r="B607" t="s">
        <v>2892</v>
      </c>
      <c r="C607" t="s">
        <v>452</v>
      </c>
      <c r="D607">
        <v>1</v>
      </c>
      <c r="E607" t="s">
        <v>33</v>
      </c>
      <c r="F607" t="s">
        <v>57</v>
      </c>
      <c r="G607" s="23">
        <v>44543</v>
      </c>
      <c r="H607" t="s">
        <v>2893</v>
      </c>
      <c r="I607" t="s">
        <v>2894</v>
      </c>
      <c r="J607" t="s">
        <v>2895</v>
      </c>
    </row>
    <row r="608" spans="1:10">
      <c r="A608" t="s">
        <v>2896</v>
      </c>
      <c r="B608" t="s">
        <v>2896</v>
      </c>
      <c r="C608" t="s">
        <v>83</v>
      </c>
      <c r="D608">
        <v>16</v>
      </c>
      <c r="E608" t="s">
        <v>33</v>
      </c>
      <c r="F608" t="s">
        <v>57</v>
      </c>
      <c r="G608" s="23">
        <v>45791</v>
      </c>
      <c r="H608" t="s">
        <v>2897</v>
      </c>
      <c r="I608" t="s">
        <v>2898</v>
      </c>
      <c r="J608" t="s">
        <v>2899</v>
      </c>
    </row>
    <row r="609" spans="1:10">
      <c r="A609" t="s">
        <v>2900</v>
      </c>
      <c r="B609" t="s">
        <v>2900</v>
      </c>
      <c r="C609" t="s">
        <v>2901</v>
      </c>
      <c r="D609">
        <v>43</v>
      </c>
      <c r="E609" t="s">
        <v>31</v>
      </c>
      <c r="F609" t="s">
        <v>63</v>
      </c>
      <c r="G609" s="23">
        <v>42297</v>
      </c>
      <c r="H609" t="s">
        <v>2902</v>
      </c>
      <c r="I609" t="s">
        <v>2903</v>
      </c>
      <c r="J609" t="s">
        <v>2904</v>
      </c>
    </row>
    <row r="610" spans="1:10">
      <c r="A610" t="s">
        <v>2905</v>
      </c>
      <c r="B610" t="s">
        <v>2905</v>
      </c>
      <c r="C610" t="s">
        <v>2906</v>
      </c>
      <c r="D610">
        <v>53</v>
      </c>
      <c r="E610" t="s">
        <v>31</v>
      </c>
      <c r="F610" t="s">
        <v>63</v>
      </c>
      <c r="G610" s="23">
        <v>42291</v>
      </c>
      <c r="H610" t="s">
        <v>2907</v>
      </c>
      <c r="I610" t="s">
        <v>2908</v>
      </c>
      <c r="J610" t="s">
        <v>2909</v>
      </c>
    </row>
    <row r="611" spans="1:10">
      <c r="A611" t="s">
        <v>2910</v>
      </c>
      <c r="B611" t="s">
        <v>2910</v>
      </c>
      <c r="C611" t="s">
        <v>1129</v>
      </c>
      <c r="D611">
        <v>9</v>
      </c>
      <c r="E611" t="s">
        <v>29</v>
      </c>
      <c r="F611" t="s">
        <v>63</v>
      </c>
      <c r="G611" s="23">
        <v>41539</v>
      </c>
      <c r="H611" t="s">
        <v>2911</v>
      </c>
      <c r="I611" t="s">
        <v>2912</v>
      </c>
      <c r="J611" t="s">
        <v>2913</v>
      </c>
    </row>
    <row r="612" spans="1:10">
      <c r="A612" t="s">
        <v>2914</v>
      </c>
      <c r="B612" t="s">
        <v>2914</v>
      </c>
      <c r="C612" t="s">
        <v>1129</v>
      </c>
      <c r="D612">
        <v>9</v>
      </c>
      <c r="E612" t="s">
        <v>31</v>
      </c>
      <c r="F612" t="s">
        <v>63</v>
      </c>
      <c r="G612" s="23">
        <v>44215</v>
      </c>
      <c r="H612" t="s">
        <v>2915</v>
      </c>
      <c r="I612" t="s">
        <v>2916</v>
      </c>
      <c r="J612" t="s">
        <v>2917</v>
      </c>
    </row>
    <row r="613" spans="1:10">
      <c r="A613" t="s">
        <v>2918</v>
      </c>
      <c r="B613" t="s">
        <v>2918</v>
      </c>
      <c r="C613" t="s">
        <v>1129</v>
      </c>
      <c r="D613">
        <v>7</v>
      </c>
      <c r="E613" t="s">
        <v>29</v>
      </c>
      <c r="F613" t="s">
        <v>63</v>
      </c>
      <c r="G613" s="23">
        <v>45295</v>
      </c>
      <c r="H613" t="s">
        <v>2919</v>
      </c>
      <c r="I613" t="s">
        <v>2920</v>
      </c>
      <c r="J613" t="s">
        <v>2921</v>
      </c>
    </row>
    <row r="614" spans="1:10">
      <c r="A614" t="s">
        <v>2922</v>
      </c>
      <c r="B614" t="s">
        <v>2922</v>
      </c>
      <c r="C614" t="s">
        <v>1129</v>
      </c>
      <c r="D614">
        <v>7</v>
      </c>
      <c r="E614" t="s">
        <v>33</v>
      </c>
      <c r="F614" t="s">
        <v>63</v>
      </c>
      <c r="G614" s="23">
        <v>44148</v>
      </c>
      <c r="H614" t="s">
        <v>2923</v>
      </c>
      <c r="I614" t="s">
        <v>2924</v>
      </c>
      <c r="J614" t="s">
        <v>2925</v>
      </c>
    </row>
    <row r="615" spans="1:10">
      <c r="A615" t="s">
        <v>2926</v>
      </c>
      <c r="B615" t="s">
        <v>2926</v>
      </c>
      <c r="C615" t="s">
        <v>1129</v>
      </c>
      <c r="D615">
        <v>5</v>
      </c>
      <c r="E615" t="s">
        <v>31</v>
      </c>
      <c r="F615" t="s">
        <v>63</v>
      </c>
      <c r="G615" s="23">
        <v>45608</v>
      </c>
      <c r="H615" t="s">
        <v>2927</v>
      </c>
      <c r="I615" t="s">
        <v>2928</v>
      </c>
      <c r="J615" t="s">
        <v>2929</v>
      </c>
    </row>
    <row r="616" spans="1:10">
      <c r="A616" t="s">
        <v>2930</v>
      </c>
      <c r="B616" t="s">
        <v>2930</v>
      </c>
      <c r="C616" t="s">
        <v>1129</v>
      </c>
      <c r="D616">
        <v>12</v>
      </c>
      <c r="E616" t="s">
        <v>31</v>
      </c>
      <c r="F616" t="s">
        <v>63</v>
      </c>
      <c r="G616" s="23">
        <v>45834</v>
      </c>
      <c r="H616" t="s">
        <v>2931</v>
      </c>
      <c r="I616" t="s">
        <v>2932</v>
      </c>
      <c r="J616" t="s">
        <v>2933</v>
      </c>
    </row>
    <row r="617" spans="1:10">
      <c r="A617" t="s">
        <v>2934</v>
      </c>
      <c r="B617" t="s">
        <v>2934</v>
      </c>
      <c r="C617" t="s">
        <v>1129</v>
      </c>
      <c r="D617">
        <v>10</v>
      </c>
      <c r="E617" t="s">
        <v>31</v>
      </c>
      <c r="F617" t="s">
        <v>63</v>
      </c>
      <c r="G617" s="23">
        <v>44185</v>
      </c>
      <c r="H617" t="s">
        <v>2935</v>
      </c>
      <c r="I617" t="s">
        <v>2936</v>
      </c>
      <c r="J617" t="s">
        <v>2937</v>
      </c>
    </row>
    <row r="618" spans="1:10">
      <c r="A618" t="s">
        <v>2938</v>
      </c>
      <c r="B618" t="s">
        <v>2938</v>
      </c>
      <c r="C618" t="s">
        <v>1129</v>
      </c>
      <c r="D618">
        <v>10</v>
      </c>
      <c r="E618" t="s">
        <v>31</v>
      </c>
      <c r="F618" t="s">
        <v>63</v>
      </c>
      <c r="G618" s="23">
        <v>44169</v>
      </c>
      <c r="H618" t="s">
        <v>2939</v>
      </c>
      <c r="I618" t="s">
        <v>2940</v>
      </c>
      <c r="J618" t="s">
        <v>2941</v>
      </c>
    </row>
    <row r="619" spans="1:10">
      <c r="A619" t="s">
        <v>2942</v>
      </c>
      <c r="B619" t="s">
        <v>2942</v>
      </c>
      <c r="C619" t="s">
        <v>1129</v>
      </c>
      <c r="D619">
        <v>10</v>
      </c>
      <c r="E619" t="s">
        <v>31</v>
      </c>
      <c r="F619" t="s">
        <v>63</v>
      </c>
      <c r="G619" s="23">
        <v>44279</v>
      </c>
      <c r="H619" t="s">
        <v>2943</v>
      </c>
      <c r="I619" t="s">
        <v>2944</v>
      </c>
      <c r="J619" t="s">
        <v>2945</v>
      </c>
    </row>
    <row r="620" spans="1:10">
      <c r="A620" t="s">
        <v>2946</v>
      </c>
      <c r="B620" t="s">
        <v>2946</v>
      </c>
      <c r="C620" t="s">
        <v>1129</v>
      </c>
      <c r="D620">
        <v>20</v>
      </c>
      <c r="E620" t="s">
        <v>31</v>
      </c>
      <c r="F620" t="s">
        <v>63</v>
      </c>
      <c r="G620" s="23">
        <v>41627</v>
      </c>
      <c r="H620" t="s">
        <v>2947</v>
      </c>
      <c r="I620" t="s">
        <v>2948</v>
      </c>
      <c r="J620" t="s">
        <v>2949</v>
      </c>
    </row>
    <row r="621" spans="1:10">
      <c r="A621" t="s">
        <v>2950</v>
      </c>
      <c r="B621" t="s">
        <v>2950</v>
      </c>
      <c r="C621" t="s">
        <v>1129</v>
      </c>
      <c r="D621">
        <v>6</v>
      </c>
      <c r="E621" t="s">
        <v>31</v>
      </c>
      <c r="F621" t="s">
        <v>63</v>
      </c>
      <c r="G621" s="23">
        <v>46143</v>
      </c>
      <c r="H621" t="s">
        <v>2951</v>
      </c>
      <c r="I621" t="s">
        <v>2952</v>
      </c>
      <c r="J621" t="s">
        <v>2953</v>
      </c>
    </row>
    <row r="622" spans="1:10">
      <c r="A622" t="s">
        <v>2954</v>
      </c>
      <c r="B622" t="s">
        <v>2954</v>
      </c>
      <c r="C622" t="s">
        <v>1129</v>
      </c>
      <c r="D622">
        <v>15</v>
      </c>
      <c r="E622" t="s">
        <v>29</v>
      </c>
      <c r="F622" t="s">
        <v>63</v>
      </c>
      <c r="G622" s="23">
        <v>42178</v>
      </c>
      <c r="H622" t="s">
        <v>2955</v>
      </c>
      <c r="I622" t="s">
        <v>2956</v>
      </c>
      <c r="J622" t="s">
        <v>2957</v>
      </c>
    </row>
    <row r="623" spans="1:10">
      <c r="A623" t="s">
        <v>2958</v>
      </c>
      <c r="B623" t="s">
        <v>2958</v>
      </c>
      <c r="C623" t="s">
        <v>1129</v>
      </c>
      <c r="D623">
        <v>11</v>
      </c>
      <c r="E623" t="s">
        <v>29</v>
      </c>
      <c r="F623" t="s">
        <v>63</v>
      </c>
      <c r="G623" s="23">
        <v>42952</v>
      </c>
      <c r="H623" t="s">
        <v>2959</v>
      </c>
      <c r="I623" t="s">
        <v>2960</v>
      </c>
      <c r="J623" t="s">
        <v>2961</v>
      </c>
    </row>
    <row r="624" spans="1:10">
      <c r="A624" t="s">
        <v>2962</v>
      </c>
      <c r="B624" t="s">
        <v>2962</v>
      </c>
      <c r="C624" t="s">
        <v>1129</v>
      </c>
      <c r="D624">
        <v>14</v>
      </c>
      <c r="E624" t="s">
        <v>29</v>
      </c>
      <c r="F624" t="s">
        <v>63</v>
      </c>
      <c r="G624" s="23">
        <v>43561</v>
      </c>
      <c r="H624" t="s">
        <v>2963</v>
      </c>
      <c r="I624" t="s">
        <v>2964</v>
      </c>
      <c r="J624" t="s">
        <v>2965</v>
      </c>
    </row>
    <row r="625" spans="1:10">
      <c r="A625" t="s">
        <v>2966</v>
      </c>
      <c r="B625" t="s">
        <v>2966</v>
      </c>
      <c r="C625" t="s">
        <v>1129</v>
      </c>
      <c r="D625">
        <v>11</v>
      </c>
      <c r="E625" t="s">
        <v>31</v>
      </c>
      <c r="F625" t="s">
        <v>63</v>
      </c>
      <c r="G625" s="23">
        <v>44170</v>
      </c>
      <c r="H625" t="s">
        <v>2967</v>
      </c>
      <c r="I625" t="s">
        <v>2968</v>
      </c>
      <c r="J625" t="s">
        <v>2969</v>
      </c>
    </row>
    <row r="626" spans="1:10">
      <c r="A626" t="s">
        <v>2970</v>
      </c>
      <c r="B626" t="s">
        <v>2970</v>
      </c>
      <c r="C626" t="s">
        <v>1129</v>
      </c>
      <c r="D626">
        <v>10</v>
      </c>
      <c r="E626" t="s">
        <v>31</v>
      </c>
      <c r="F626" t="s">
        <v>63</v>
      </c>
      <c r="G626" s="23">
        <v>45386</v>
      </c>
      <c r="H626" t="s">
        <v>2971</v>
      </c>
      <c r="I626" t="s">
        <v>2972</v>
      </c>
      <c r="J626" t="s">
        <v>2973</v>
      </c>
    </row>
    <row r="627" spans="1:10">
      <c r="A627" t="s">
        <v>2974</v>
      </c>
      <c r="B627" t="s">
        <v>2974</v>
      </c>
      <c r="C627" t="s">
        <v>1129</v>
      </c>
      <c r="D627">
        <v>10</v>
      </c>
      <c r="E627" t="s">
        <v>31</v>
      </c>
      <c r="F627" t="s">
        <v>63</v>
      </c>
      <c r="G627" s="23">
        <v>45917</v>
      </c>
      <c r="H627" t="s">
        <v>2975</v>
      </c>
      <c r="I627" t="s">
        <v>2976</v>
      </c>
      <c r="J627" t="s">
        <v>2977</v>
      </c>
    </row>
    <row r="628" spans="1:10">
      <c r="A628" t="s">
        <v>2978</v>
      </c>
      <c r="B628" t="s">
        <v>2978</v>
      </c>
      <c r="C628" t="s">
        <v>2979</v>
      </c>
      <c r="D628">
        <v>7</v>
      </c>
      <c r="E628" t="s">
        <v>35</v>
      </c>
      <c r="F628" t="s">
        <v>57</v>
      </c>
      <c r="G628" s="23">
        <v>44187</v>
      </c>
      <c r="H628" t="s">
        <v>2980</v>
      </c>
      <c r="I628" t="s">
        <v>2981</v>
      </c>
      <c r="J628" t="s">
        <v>2982</v>
      </c>
    </row>
    <row r="629" spans="1:10">
      <c r="A629" t="s">
        <v>2983</v>
      </c>
      <c r="B629" t="s">
        <v>2983</v>
      </c>
      <c r="C629" t="s">
        <v>1129</v>
      </c>
      <c r="D629">
        <v>27</v>
      </c>
      <c r="E629" t="s">
        <v>31</v>
      </c>
      <c r="F629" t="s">
        <v>115</v>
      </c>
      <c r="G629" s="23">
        <v>45732</v>
      </c>
      <c r="H629" t="s">
        <v>2984</v>
      </c>
      <c r="I629" t="s">
        <v>2985</v>
      </c>
      <c r="J629" t="s">
        <v>2986</v>
      </c>
    </row>
    <row r="630" spans="1:10">
      <c r="A630" t="s">
        <v>2987</v>
      </c>
      <c r="B630" t="s">
        <v>2987</v>
      </c>
      <c r="C630" t="s">
        <v>1129</v>
      </c>
      <c r="D630">
        <v>20</v>
      </c>
      <c r="E630" t="s">
        <v>31</v>
      </c>
      <c r="F630" t="s">
        <v>57</v>
      </c>
      <c r="G630" s="23">
        <v>45739</v>
      </c>
      <c r="H630" t="s">
        <v>2988</v>
      </c>
      <c r="I630" t="s">
        <v>2989</v>
      </c>
      <c r="J630" t="s">
        <v>2990</v>
      </c>
    </row>
    <row r="631" spans="1:10">
      <c r="A631" t="s">
        <v>2991</v>
      </c>
      <c r="B631" t="s">
        <v>2991</v>
      </c>
      <c r="C631" t="s">
        <v>2992</v>
      </c>
      <c r="D631">
        <v>1</v>
      </c>
      <c r="E631" t="s">
        <v>35</v>
      </c>
      <c r="F631" t="s">
        <v>57</v>
      </c>
      <c r="G631" s="23">
        <v>42938</v>
      </c>
      <c r="H631" t="s">
        <v>2993</v>
      </c>
      <c r="I631" t="s">
        <v>2994</v>
      </c>
      <c r="J631" t="s">
        <v>2995</v>
      </c>
    </row>
    <row r="632" spans="1:10">
      <c r="A632" t="s">
        <v>2996</v>
      </c>
      <c r="B632" t="s">
        <v>2996</v>
      </c>
      <c r="C632" t="s">
        <v>2992</v>
      </c>
      <c r="D632">
        <v>1</v>
      </c>
      <c r="E632" t="s">
        <v>35</v>
      </c>
      <c r="F632" t="s">
        <v>57</v>
      </c>
      <c r="G632" s="23">
        <v>43287</v>
      </c>
      <c r="H632" t="s">
        <v>2997</v>
      </c>
      <c r="I632" t="s">
        <v>2998</v>
      </c>
      <c r="J632" t="s">
        <v>2999</v>
      </c>
    </row>
    <row r="633" spans="1:10">
      <c r="A633" t="s">
        <v>3000</v>
      </c>
      <c r="B633" t="s">
        <v>3000</v>
      </c>
      <c r="C633" t="s">
        <v>812</v>
      </c>
      <c r="D633">
        <v>13</v>
      </c>
      <c r="E633" t="s">
        <v>34</v>
      </c>
      <c r="F633" t="s">
        <v>57</v>
      </c>
      <c r="G633" s="23">
        <v>45760</v>
      </c>
      <c r="H633" t="s">
        <v>3001</v>
      </c>
      <c r="I633" t="s">
        <v>3002</v>
      </c>
      <c r="J633" t="s">
        <v>3003</v>
      </c>
    </row>
    <row r="634" spans="1:10">
      <c r="A634" t="s">
        <v>3004</v>
      </c>
      <c r="B634" t="s">
        <v>3004</v>
      </c>
      <c r="C634" t="s">
        <v>812</v>
      </c>
      <c r="D634">
        <v>23</v>
      </c>
      <c r="E634" t="s">
        <v>34</v>
      </c>
      <c r="F634" t="s">
        <v>57</v>
      </c>
      <c r="G634" s="23">
        <v>46087</v>
      </c>
      <c r="H634" t="s">
        <v>3005</v>
      </c>
      <c r="I634" t="s">
        <v>3006</v>
      </c>
      <c r="J634" t="s">
        <v>3007</v>
      </c>
    </row>
    <row r="635" spans="1:10">
      <c r="A635" t="s">
        <v>3008</v>
      </c>
      <c r="B635" t="s">
        <v>3008</v>
      </c>
      <c r="C635" t="s">
        <v>3009</v>
      </c>
      <c r="D635">
        <v>5</v>
      </c>
      <c r="E635" t="s">
        <v>29</v>
      </c>
      <c r="F635" t="s">
        <v>63</v>
      </c>
      <c r="G635" s="23">
        <v>42213</v>
      </c>
      <c r="H635" t="s">
        <v>3010</v>
      </c>
      <c r="I635" t="s">
        <v>3011</v>
      </c>
      <c r="J635" t="s">
        <v>3012</v>
      </c>
    </row>
    <row r="636" spans="1:10">
      <c r="A636" t="s">
        <v>3013</v>
      </c>
      <c r="B636" t="s">
        <v>3013</v>
      </c>
      <c r="C636" t="s">
        <v>3014</v>
      </c>
      <c r="D636">
        <v>14</v>
      </c>
      <c r="E636" t="s">
        <v>34</v>
      </c>
      <c r="F636" t="s">
        <v>57</v>
      </c>
      <c r="G636" s="23">
        <v>44606</v>
      </c>
      <c r="H636" t="s">
        <v>3015</v>
      </c>
      <c r="I636" t="s">
        <v>3016</v>
      </c>
      <c r="J636" t="s">
        <v>3017</v>
      </c>
    </row>
    <row r="637" spans="1:10">
      <c r="A637" t="s">
        <v>3018</v>
      </c>
      <c r="B637" t="s">
        <v>3018</v>
      </c>
      <c r="C637" t="s">
        <v>1129</v>
      </c>
      <c r="D637">
        <v>7</v>
      </c>
      <c r="E637" t="s">
        <v>31</v>
      </c>
      <c r="F637" t="s">
        <v>63</v>
      </c>
      <c r="G637" s="23">
        <v>45825</v>
      </c>
      <c r="H637" t="s">
        <v>3019</v>
      </c>
      <c r="I637" t="s">
        <v>3020</v>
      </c>
      <c r="J637" t="s">
        <v>3021</v>
      </c>
    </row>
    <row r="638" spans="1:10">
      <c r="A638" t="s">
        <v>3022</v>
      </c>
      <c r="B638" t="s">
        <v>3022</v>
      </c>
      <c r="C638" t="s">
        <v>3023</v>
      </c>
      <c r="D638">
        <v>3</v>
      </c>
      <c r="E638" t="s">
        <v>29</v>
      </c>
      <c r="F638" t="s">
        <v>63</v>
      </c>
      <c r="G638" s="23">
        <v>43871</v>
      </c>
      <c r="H638" t="s">
        <v>3024</v>
      </c>
      <c r="I638" t="s">
        <v>3025</v>
      </c>
      <c r="J638" t="s">
        <v>3026</v>
      </c>
    </row>
    <row r="639" spans="1:10">
      <c r="A639" t="s">
        <v>3027</v>
      </c>
      <c r="B639" t="s">
        <v>3027</v>
      </c>
      <c r="C639" t="s">
        <v>3028</v>
      </c>
      <c r="D639">
        <v>8</v>
      </c>
      <c r="E639" t="s">
        <v>31</v>
      </c>
      <c r="F639" t="s">
        <v>57</v>
      </c>
      <c r="G639" s="23">
        <v>44489</v>
      </c>
      <c r="H639" t="s">
        <v>3029</v>
      </c>
      <c r="I639" t="s">
        <v>3030</v>
      </c>
      <c r="J639" t="s">
        <v>3031</v>
      </c>
    </row>
    <row r="640" spans="1:10">
      <c r="A640" t="s">
        <v>3032</v>
      </c>
      <c r="B640" t="s">
        <v>3032</v>
      </c>
      <c r="C640" t="s">
        <v>243</v>
      </c>
      <c r="D640">
        <v>5</v>
      </c>
      <c r="E640" t="s">
        <v>33</v>
      </c>
      <c r="F640" t="s">
        <v>57</v>
      </c>
      <c r="G640" s="23">
        <v>46173</v>
      </c>
      <c r="H640" t="s">
        <v>3033</v>
      </c>
      <c r="I640" t="s">
        <v>3034</v>
      </c>
      <c r="J640" t="s">
        <v>3035</v>
      </c>
    </row>
    <row r="641" spans="1:10">
      <c r="A641" t="s">
        <v>3036</v>
      </c>
      <c r="B641" t="s">
        <v>3036</v>
      </c>
      <c r="C641" t="s">
        <v>646</v>
      </c>
      <c r="D641">
        <v>23</v>
      </c>
      <c r="E641" t="s">
        <v>34</v>
      </c>
      <c r="F641" t="s">
        <v>57</v>
      </c>
      <c r="G641" s="23">
        <v>46062</v>
      </c>
      <c r="H641" t="s">
        <v>3037</v>
      </c>
      <c r="I641" t="s">
        <v>3038</v>
      </c>
      <c r="J641" t="s">
        <v>3039</v>
      </c>
    </row>
    <row r="642" spans="1:10">
      <c r="A642" t="s">
        <v>3040</v>
      </c>
      <c r="B642" t="s">
        <v>3040</v>
      </c>
      <c r="C642" t="s">
        <v>646</v>
      </c>
      <c r="D642">
        <v>12</v>
      </c>
      <c r="E642" t="s">
        <v>34</v>
      </c>
      <c r="F642" t="s">
        <v>57</v>
      </c>
      <c r="G642" s="23">
        <v>44832</v>
      </c>
      <c r="H642" t="s">
        <v>3041</v>
      </c>
      <c r="I642" t="s">
        <v>3042</v>
      </c>
      <c r="J642" t="s">
        <v>3043</v>
      </c>
    </row>
    <row r="643" spans="1:10">
      <c r="A643" t="s">
        <v>3044</v>
      </c>
      <c r="B643" t="s">
        <v>3044</v>
      </c>
      <c r="C643" t="s">
        <v>646</v>
      </c>
      <c r="D643">
        <v>11</v>
      </c>
      <c r="E643" t="s">
        <v>34</v>
      </c>
      <c r="F643" t="s">
        <v>57</v>
      </c>
      <c r="G643" s="23">
        <v>44916</v>
      </c>
      <c r="H643" t="s">
        <v>3045</v>
      </c>
      <c r="I643" t="s">
        <v>3046</v>
      </c>
      <c r="J643" t="s">
        <v>3047</v>
      </c>
    </row>
    <row r="644" spans="1:10">
      <c r="A644" t="s">
        <v>3048</v>
      </c>
      <c r="B644" t="s">
        <v>3048</v>
      </c>
      <c r="C644" t="s">
        <v>3049</v>
      </c>
      <c r="D644">
        <v>23</v>
      </c>
      <c r="E644" t="s">
        <v>33</v>
      </c>
      <c r="F644" t="s">
        <v>57</v>
      </c>
      <c r="G644" s="23">
        <v>44942</v>
      </c>
      <c r="H644" t="s">
        <v>3050</v>
      </c>
      <c r="I644" t="s">
        <v>3051</v>
      </c>
      <c r="J644" t="s">
        <v>3052</v>
      </c>
    </row>
    <row r="645" spans="1:10">
      <c r="A645" t="s">
        <v>3053</v>
      </c>
      <c r="B645" t="s">
        <v>3053</v>
      </c>
      <c r="C645" t="s">
        <v>3054</v>
      </c>
      <c r="D645">
        <v>10</v>
      </c>
      <c r="E645" t="s">
        <v>33</v>
      </c>
      <c r="F645" t="s">
        <v>57</v>
      </c>
      <c r="G645" s="23">
        <v>44092</v>
      </c>
      <c r="H645" t="s">
        <v>3055</v>
      </c>
      <c r="I645" t="s">
        <v>3056</v>
      </c>
      <c r="J645" t="s">
        <v>3057</v>
      </c>
    </row>
    <row r="646" spans="1:10">
      <c r="A646" t="s">
        <v>3058</v>
      </c>
      <c r="B646" t="s">
        <v>3058</v>
      </c>
      <c r="C646" t="s">
        <v>3054</v>
      </c>
      <c r="D646">
        <v>9</v>
      </c>
      <c r="E646" t="s">
        <v>33</v>
      </c>
      <c r="F646" t="s">
        <v>57</v>
      </c>
      <c r="G646" s="23">
        <v>44757</v>
      </c>
      <c r="H646" t="s">
        <v>3059</v>
      </c>
      <c r="I646" t="s">
        <v>3060</v>
      </c>
      <c r="J646" t="s">
        <v>3061</v>
      </c>
    </row>
    <row r="647" spans="1:10">
      <c r="A647" t="s">
        <v>3062</v>
      </c>
      <c r="B647" t="s">
        <v>3062</v>
      </c>
      <c r="C647" t="s">
        <v>1932</v>
      </c>
      <c r="D647">
        <v>5</v>
      </c>
      <c r="E647" t="s">
        <v>36</v>
      </c>
      <c r="F647" t="s">
        <v>57</v>
      </c>
      <c r="G647" s="23">
        <v>44904</v>
      </c>
      <c r="H647" t="s">
        <v>3063</v>
      </c>
      <c r="I647" t="s">
        <v>3064</v>
      </c>
      <c r="J647" t="s">
        <v>3065</v>
      </c>
    </row>
    <row r="648" spans="1:10">
      <c r="A648" t="s">
        <v>3066</v>
      </c>
      <c r="B648" t="s">
        <v>3066</v>
      </c>
      <c r="C648" t="s">
        <v>3067</v>
      </c>
      <c r="D648">
        <v>17</v>
      </c>
      <c r="E648" t="s">
        <v>35</v>
      </c>
      <c r="F648" t="s">
        <v>57</v>
      </c>
      <c r="G648" s="23">
        <v>45012</v>
      </c>
      <c r="H648" t="s">
        <v>3068</v>
      </c>
      <c r="I648" t="s">
        <v>3069</v>
      </c>
      <c r="J648" t="s">
        <v>3070</v>
      </c>
    </row>
    <row r="649" spans="1:10">
      <c r="A649" t="s">
        <v>3071</v>
      </c>
      <c r="B649" t="s">
        <v>3071</v>
      </c>
      <c r="C649" t="s">
        <v>3072</v>
      </c>
      <c r="D649">
        <v>5</v>
      </c>
      <c r="E649" t="s">
        <v>33</v>
      </c>
      <c r="F649" t="s">
        <v>57</v>
      </c>
      <c r="G649" s="23">
        <v>43950</v>
      </c>
      <c r="H649" t="s">
        <v>3073</v>
      </c>
      <c r="I649" t="s">
        <v>3074</v>
      </c>
      <c r="J649" t="s">
        <v>3075</v>
      </c>
    </row>
    <row r="650" spans="1:10">
      <c r="A650" t="s">
        <v>3076</v>
      </c>
      <c r="B650" t="s">
        <v>3076</v>
      </c>
      <c r="C650" t="s">
        <v>3077</v>
      </c>
      <c r="D650">
        <v>19</v>
      </c>
      <c r="E650" t="s">
        <v>33</v>
      </c>
      <c r="F650" t="s">
        <v>57</v>
      </c>
      <c r="G650" s="23">
        <v>46029</v>
      </c>
      <c r="H650" t="s">
        <v>3078</v>
      </c>
      <c r="I650" t="s">
        <v>3079</v>
      </c>
      <c r="J650" t="s">
        <v>3080</v>
      </c>
    </row>
    <row r="651" spans="1:10">
      <c r="A651" t="s">
        <v>3081</v>
      </c>
      <c r="B651" t="s">
        <v>3081</v>
      </c>
      <c r="C651" t="s">
        <v>452</v>
      </c>
      <c r="D651">
        <v>0</v>
      </c>
      <c r="E651" t="s">
        <v>33</v>
      </c>
      <c r="F651" t="s">
        <v>57</v>
      </c>
      <c r="G651" s="23">
        <v>44409</v>
      </c>
      <c r="H651" t="s">
        <v>3082</v>
      </c>
      <c r="I651" t="s">
        <v>3083</v>
      </c>
      <c r="J651" t="s">
        <v>3084</v>
      </c>
    </row>
    <row r="652" spans="1:10">
      <c r="A652" t="s">
        <v>3085</v>
      </c>
      <c r="B652" t="s">
        <v>3085</v>
      </c>
      <c r="C652" t="s">
        <v>452</v>
      </c>
      <c r="D652">
        <v>0</v>
      </c>
      <c r="E652" t="s">
        <v>33</v>
      </c>
      <c r="F652" t="s">
        <v>57</v>
      </c>
      <c r="G652" s="23">
        <v>44460</v>
      </c>
      <c r="H652" t="s">
        <v>3086</v>
      </c>
      <c r="I652" t="s">
        <v>3087</v>
      </c>
      <c r="J652" t="s">
        <v>3088</v>
      </c>
    </row>
    <row r="653" spans="1:10">
      <c r="A653" t="s">
        <v>3089</v>
      </c>
      <c r="B653" t="s">
        <v>3089</v>
      </c>
      <c r="C653" t="s">
        <v>452</v>
      </c>
      <c r="D653">
        <v>0</v>
      </c>
      <c r="E653" t="s">
        <v>33</v>
      </c>
      <c r="F653" t="s">
        <v>57</v>
      </c>
      <c r="G653" s="23">
        <v>44463</v>
      </c>
      <c r="H653" t="s">
        <v>3090</v>
      </c>
      <c r="I653" t="s">
        <v>3091</v>
      </c>
      <c r="J653" t="s">
        <v>3092</v>
      </c>
    </row>
    <row r="654" spans="1:10">
      <c r="A654" t="s">
        <v>3093</v>
      </c>
      <c r="B654" t="s">
        <v>3093</v>
      </c>
      <c r="C654" t="s">
        <v>3094</v>
      </c>
      <c r="D654">
        <v>13</v>
      </c>
      <c r="E654" t="s">
        <v>33</v>
      </c>
      <c r="F654" t="s">
        <v>63</v>
      </c>
      <c r="G654" s="23">
        <v>45944</v>
      </c>
      <c r="H654" t="s">
        <v>3095</v>
      </c>
      <c r="I654" t="s">
        <v>3096</v>
      </c>
      <c r="J654" t="s">
        <v>3097</v>
      </c>
    </row>
    <row r="655" spans="1:10">
      <c r="A655" t="s">
        <v>3098</v>
      </c>
      <c r="B655" t="s">
        <v>3098</v>
      </c>
      <c r="C655" t="s">
        <v>641</v>
      </c>
      <c r="D655">
        <v>16</v>
      </c>
      <c r="E655" t="s">
        <v>34</v>
      </c>
      <c r="F655" t="s">
        <v>57</v>
      </c>
      <c r="G655" s="23">
        <v>44110</v>
      </c>
      <c r="H655" t="s">
        <v>3099</v>
      </c>
      <c r="I655" t="s">
        <v>3100</v>
      </c>
      <c r="J655" t="s">
        <v>3101</v>
      </c>
    </row>
    <row r="656" spans="1:10">
      <c r="A656" t="s">
        <v>3102</v>
      </c>
      <c r="B656" t="s">
        <v>3102</v>
      </c>
      <c r="C656" t="s">
        <v>1784</v>
      </c>
      <c r="D656">
        <v>16</v>
      </c>
      <c r="E656" t="s">
        <v>31</v>
      </c>
      <c r="F656" t="s">
        <v>571</v>
      </c>
      <c r="G656" s="23">
        <v>41724</v>
      </c>
      <c r="H656" t="s">
        <v>3103</v>
      </c>
      <c r="I656" t="s">
        <v>3104</v>
      </c>
      <c r="J656" t="s">
        <v>3105</v>
      </c>
    </row>
    <row r="657" spans="1:10">
      <c r="A657" t="s">
        <v>3106</v>
      </c>
      <c r="B657" t="s">
        <v>3106</v>
      </c>
      <c r="C657" t="s">
        <v>3107</v>
      </c>
      <c r="D657">
        <v>14</v>
      </c>
      <c r="E657" t="s">
        <v>35</v>
      </c>
      <c r="F657" t="s">
        <v>57</v>
      </c>
      <c r="G657" s="23">
        <v>45970</v>
      </c>
      <c r="H657" t="s">
        <v>3108</v>
      </c>
      <c r="I657" t="s">
        <v>3109</v>
      </c>
      <c r="J657" t="s">
        <v>3110</v>
      </c>
    </row>
    <row r="658" spans="1:10">
      <c r="A658" t="s">
        <v>3111</v>
      </c>
      <c r="B658" t="s">
        <v>3111</v>
      </c>
      <c r="C658" t="s">
        <v>355</v>
      </c>
      <c r="D658">
        <v>12</v>
      </c>
      <c r="E658" t="s">
        <v>34</v>
      </c>
      <c r="F658" t="s">
        <v>57</v>
      </c>
      <c r="G658" s="23">
        <v>46130</v>
      </c>
      <c r="H658" t="s">
        <v>3112</v>
      </c>
      <c r="I658" t="s">
        <v>3113</v>
      </c>
      <c r="J658" t="s">
        <v>3114</v>
      </c>
    </row>
    <row r="659" spans="1:10">
      <c r="A659" t="s">
        <v>3115</v>
      </c>
      <c r="B659" t="s">
        <v>3115</v>
      </c>
      <c r="C659" t="s">
        <v>452</v>
      </c>
      <c r="D659">
        <v>6</v>
      </c>
      <c r="E659" t="s">
        <v>34</v>
      </c>
      <c r="F659" t="s">
        <v>57</v>
      </c>
      <c r="G659" s="23">
        <v>45634</v>
      </c>
      <c r="H659" t="s">
        <v>3116</v>
      </c>
      <c r="I659" t="s">
        <v>3117</v>
      </c>
      <c r="J659" t="s">
        <v>3118</v>
      </c>
    </row>
    <row r="660" spans="1:10">
      <c r="A660" t="s">
        <v>3119</v>
      </c>
      <c r="B660" t="s">
        <v>3119</v>
      </c>
      <c r="C660" t="s">
        <v>2465</v>
      </c>
      <c r="D660">
        <v>13</v>
      </c>
      <c r="E660" t="s">
        <v>33</v>
      </c>
      <c r="F660" t="s">
        <v>57</v>
      </c>
      <c r="G660" s="23">
        <v>43876</v>
      </c>
      <c r="H660" t="s">
        <v>3120</v>
      </c>
      <c r="I660" t="s">
        <v>3121</v>
      </c>
      <c r="J660" t="s">
        <v>3122</v>
      </c>
    </row>
    <row r="661" spans="1:10">
      <c r="A661" t="s">
        <v>3123</v>
      </c>
      <c r="B661" t="s">
        <v>3123</v>
      </c>
      <c r="C661" t="s">
        <v>523</v>
      </c>
      <c r="D661">
        <v>11</v>
      </c>
      <c r="E661" t="s">
        <v>35</v>
      </c>
      <c r="F661" t="s">
        <v>57</v>
      </c>
      <c r="G661" s="23">
        <v>44663</v>
      </c>
      <c r="H661" t="s">
        <v>3124</v>
      </c>
      <c r="I661" t="s">
        <v>3125</v>
      </c>
      <c r="J661" t="s">
        <v>3126</v>
      </c>
    </row>
    <row r="662" spans="1:10">
      <c r="A662" t="s">
        <v>3127</v>
      </c>
      <c r="B662" t="s">
        <v>3127</v>
      </c>
      <c r="C662" t="s">
        <v>355</v>
      </c>
      <c r="D662">
        <v>20</v>
      </c>
      <c r="E662" t="s">
        <v>31</v>
      </c>
      <c r="F662" t="s">
        <v>571</v>
      </c>
      <c r="G662" s="23">
        <v>41956</v>
      </c>
      <c r="H662" t="s">
        <v>3128</v>
      </c>
      <c r="I662" t="s">
        <v>3129</v>
      </c>
      <c r="J662" t="s">
        <v>3130</v>
      </c>
    </row>
    <row r="663" spans="1:10">
      <c r="A663" t="s">
        <v>3131</v>
      </c>
      <c r="B663" t="s">
        <v>3131</v>
      </c>
      <c r="C663" t="s">
        <v>3132</v>
      </c>
      <c r="D663">
        <v>7</v>
      </c>
      <c r="E663" t="s">
        <v>33</v>
      </c>
      <c r="F663" t="s">
        <v>57</v>
      </c>
      <c r="G663" s="23">
        <v>43551</v>
      </c>
      <c r="H663" t="s">
        <v>3133</v>
      </c>
      <c r="I663" t="s">
        <v>3134</v>
      </c>
      <c r="J663" t="s">
        <v>3135</v>
      </c>
    </row>
    <row r="664" spans="1:10">
      <c r="A664" t="s">
        <v>3136</v>
      </c>
      <c r="B664" t="s">
        <v>3136</v>
      </c>
      <c r="C664" t="s">
        <v>3137</v>
      </c>
      <c r="D664">
        <v>13</v>
      </c>
      <c r="E664" t="s">
        <v>35</v>
      </c>
      <c r="F664" t="s">
        <v>3138</v>
      </c>
      <c r="G664" s="23">
        <v>44484</v>
      </c>
      <c r="H664" t="s">
        <v>3139</v>
      </c>
      <c r="I664" t="s">
        <v>3140</v>
      </c>
      <c r="J664" t="s">
        <v>3141</v>
      </c>
    </row>
    <row r="665" spans="1:10">
      <c r="A665" t="s">
        <v>3142</v>
      </c>
      <c r="B665" t="s">
        <v>3142</v>
      </c>
      <c r="C665" t="s">
        <v>3143</v>
      </c>
      <c r="D665">
        <v>1</v>
      </c>
      <c r="E665" t="s">
        <v>34</v>
      </c>
      <c r="F665" t="s">
        <v>57</v>
      </c>
      <c r="G665" s="23">
        <v>44503</v>
      </c>
      <c r="H665" t="s">
        <v>3144</v>
      </c>
      <c r="I665" t="s">
        <v>3145</v>
      </c>
      <c r="J665" t="s">
        <v>3146</v>
      </c>
    </row>
    <row r="666" spans="1:10">
      <c r="A666" t="s">
        <v>3147</v>
      </c>
      <c r="B666" t="s">
        <v>3147</v>
      </c>
      <c r="C666" t="s">
        <v>1506</v>
      </c>
      <c r="D666">
        <v>5</v>
      </c>
      <c r="E666" t="s">
        <v>29</v>
      </c>
      <c r="F666" t="s">
        <v>63</v>
      </c>
      <c r="G666" s="23">
        <v>42218</v>
      </c>
      <c r="H666" t="s">
        <v>3148</v>
      </c>
      <c r="I666" t="s">
        <v>3149</v>
      </c>
      <c r="J666" t="s">
        <v>3150</v>
      </c>
    </row>
    <row r="667" spans="1:10">
      <c r="A667" t="s">
        <v>3151</v>
      </c>
      <c r="B667" t="s">
        <v>3151</v>
      </c>
      <c r="C667" t="s">
        <v>3152</v>
      </c>
      <c r="D667">
        <v>0</v>
      </c>
      <c r="E667" t="s">
        <v>33</v>
      </c>
      <c r="F667" t="s">
        <v>57</v>
      </c>
      <c r="G667" s="23">
        <v>45426</v>
      </c>
      <c r="H667" t="s">
        <v>3153</v>
      </c>
      <c r="I667" t="s">
        <v>3154</v>
      </c>
      <c r="J667" t="s">
        <v>3155</v>
      </c>
    </row>
    <row r="668" spans="1:10">
      <c r="A668" t="s">
        <v>3156</v>
      </c>
      <c r="B668" t="s">
        <v>3156</v>
      </c>
      <c r="C668" t="s">
        <v>3157</v>
      </c>
      <c r="D668">
        <v>8</v>
      </c>
      <c r="E668" t="s">
        <v>31</v>
      </c>
      <c r="F668" t="s">
        <v>571</v>
      </c>
      <c r="G668" s="23">
        <v>43833</v>
      </c>
      <c r="H668" t="s">
        <v>3158</v>
      </c>
      <c r="I668" t="s">
        <v>3159</v>
      </c>
      <c r="J668" t="s">
        <v>3160</v>
      </c>
    </row>
    <row r="669" spans="1:10">
      <c r="A669" t="s">
        <v>3161</v>
      </c>
      <c r="B669" t="s">
        <v>3161</v>
      </c>
      <c r="C669" t="s">
        <v>3162</v>
      </c>
      <c r="D669">
        <v>28</v>
      </c>
      <c r="E669" t="s">
        <v>29</v>
      </c>
      <c r="F669" t="s">
        <v>63</v>
      </c>
      <c r="G669" s="23">
        <v>44836</v>
      </c>
      <c r="H669" t="s">
        <v>3163</v>
      </c>
      <c r="I669" t="s">
        <v>3164</v>
      </c>
      <c r="J669" t="s">
        <v>3165</v>
      </c>
    </row>
    <row r="670" spans="1:10">
      <c r="A670" t="s">
        <v>3166</v>
      </c>
      <c r="B670" t="s">
        <v>3166</v>
      </c>
      <c r="C670" t="s">
        <v>2906</v>
      </c>
      <c r="D670">
        <v>62</v>
      </c>
      <c r="E670" t="s">
        <v>31</v>
      </c>
      <c r="F670" t="s">
        <v>63</v>
      </c>
      <c r="G670" s="23">
        <v>42245</v>
      </c>
      <c r="H670" t="s">
        <v>3167</v>
      </c>
      <c r="I670" t="s">
        <v>3168</v>
      </c>
      <c r="J670" t="s">
        <v>3169</v>
      </c>
    </row>
    <row r="671" spans="1:10">
      <c r="A671" t="s">
        <v>3170</v>
      </c>
      <c r="B671" t="s">
        <v>3170</v>
      </c>
      <c r="C671" t="s">
        <v>2901</v>
      </c>
      <c r="D671">
        <v>27</v>
      </c>
      <c r="E671" t="s">
        <v>31</v>
      </c>
      <c r="F671" t="s">
        <v>63</v>
      </c>
      <c r="G671" s="23">
        <v>42618</v>
      </c>
      <c r="H671" t="s">
        <v>3171</v>
      </c>
      <c r="I671" t="s">
        <v>3172</v>
      </c>
      <c r="J671" t="s">
        <v>3173</v>
      </c>
    </row>
    <row r="672" spans="1:10">
      <c r="A672" t="s">
        <v>3174</v>
      </c>
      <c r="B672" t="s">
        <v>3174</v>
      </c>
      <c r="C672" t="s">
        <v>2706</v>
      </c>
      <c r="D672">
        <v>17</v>
      </c>
      <c r="E672" t="s">
        <v>34</v>
      </c>
      <c r="F672" t="s">
        <v>57</v>
      </c>
      <c r="G672" s="23">
        <v>44445</v>
      </c>
      <c r="H672" t="s">
        <v>3175</v>
      </c>
      <c r="I672" t="s">
        <v>3176</v>
      </c>
      <c r="J672" t="s">
        <v>3177</v>
      </c>
    </row>
    <row r="673" spans="1:10">
      <c r="A673" t="s">
        <v>3178</v>
      </c>
      <c r="B673" t="s">
        <v>3178</v>
      </c>
      <c r="C673" t="s">
        <v>3179</v>
      </c>
      <c r="D673">
        <v>7</v>
      </c>
      <c r="E673" t="s">
        <v>29</v>
      </c>
      <c r="F673" t="s">
        <v>63</v>
      </c>
      <c r="G673" s="23">
        <v>42215</v>
      </c>
      <c r="H673" t="s">
        <v>3180</v>
      </c>
      <c r="I673" t="s">
        <v>3181</v>
      </c>
      <c r="J673" t="s">
        <v>3182</v>
      </c>
    </row>
    <row r="674" spans="1:10">
      <c r="A674" t="s">
        <v>3183</v>
      </c>
      <c r="B674" t="s">
        <v>3183</v>
      </c>
      <c r="C674" t="s">
        <v>570</v>
      </c>
      <c r="D674">
        <v>1</v>
      </c>
      <c r="E674" t="s">
        <v>35</v>
      </c>
      <c r="F674" t="s">
        <v>57</v>
      </c>
      <c r="G674" s="23">
        <v>41976</v>
      </c>
      <c r="H674" t="s">
        <v>3184</v>
      </c>
      <c r="I674" t="s">
        <v>3185</v>
      </c>
      <c r="J674" t="s">
        <v>3186</v>
      </c>
    </row>
    <row r="675" spans="1:10">
      <c r="A675" t="s">
        <v>3187</v>
      </c>
      <c r="B675" t="s">
        <v>3187</v>
      </c>
      <c r="C675" t="s">
        <v>3188</v>
      </c>
      <c r="D675">
        <v>28</v>
      </c>
      <c r="E675" t="s">
        <v>33</v>
      </c>
      <c r="F675" t="s">
        <v>57</v>
      </c>
      <c r="G675" s="23">
        <v>44642</v>
      </c>
      <c r="H675" t="s">
        <v>3189</v>
      </c>
      <c r="I675" t="s">
        <v>3190</v>
      </c>
      <c r="J675" t="s">
        <v>3191</v>
      </c>
    </row>
    <row r="676" spans="1:10">
      <c r="A676" t="s">
        <v>3192</v>
      </c>
      <c r="B676" t="s">
        <v>3192</v>
      </c>
      <c r="C676" t="s">
        <v>1745</v>
      </c>
      <c r="D676">
        <v>3</v>
      </c>
      <c r="E676" t="s">
        <v>35</v>
      </c>
      <c r="F676" t="s">
        <v>57</v>
      </c>
      <c r="G676" s="23">
        <v>45671</v>
      </c>
      <c r="H676" t="s">
        <v>3193</v>
      </c>
      <c r="I676" t="s">
        <v>3194</v>
      </c>
      <c r="J676" t="s">
        <v>3195</v>
      </c>
    </row>
    <row r="677" spans="1:10">
      <c r="A677" t="s">
        <v>3196</v>
      </c>
      <c r="B677" t="s">
        <v>3196</v>
      </c>
      <c r="C677" t="s">
        <v>2879</v>
      </c>
      <c r="D677">
        <v>14</v>
      </c>
      <c r="E677" t="s">
        <v>33</v>
      </c>
      <c r="F677" t="s">
        <v>57</v>
      </c>
      <c r="G677" s="23">
        <v>45246</v>
      </c>
      <c r="H677" t="s">
        <v>3197</v>
      </c>
      <c r="I677" t="s">
        <v>3198</v>
      </c>
      <c r="J677" t="s">
        <v>3199</v>
      </c>
    </row>
    <row r="678" spans="1:10">
      <c r="A678" t="s">
        <v>3200</v>
      </c>
      <c r="B678" t="s">
        <v>3200</v>
      </c>
      <c r="C678" t="s">
        <v>3201</v>
      </c>
      <c r="D678">
        <v>28</v>
      </c>
      <c r="E678" t="s">
        <v>31</v>
      </c>
      <c r="F678" t="s">
        <v>63</v>
      </c>
      <c r="G678" s="23">
        <v>45334</v>
      </c>
      <c r="H678" t="s">
        <v>3202</v>
      </c>
      <c r="I678" t="s">
        <v>3203</v>
      </c>
      <c r="J678" t="s">
        <v>3204</v>
      </c>
    </row>
    <row r="679" spans="1:10">
      <c r="A679" t="s">
        <v>3205</v>
      </c>
      <c r="B679" t="s">
        <v>3205</v>
      </c>
      <c r="C679" t="s">
        <v>68</v>
      </c>
      <c r="D679">
        <v>22</v>
      </c>
      <c r="E679" t="s">
        <v>29</v>
      </c>
      <c r="F679" t="s">
        <v>63</v>
      </c>
      <c r="G679" s="23">
        <v>42384</v>
      </c>
      <c r="H679" t="s">
        <v>3206</v>
      </c>
      <c r="I679" t="s">
        <v>3207</v>
      </c>
      <c r="J679" t="s">
        <v>3208</v>
      </c>
    </row>
    <row r="680" spans="1:10">
      <c r="A680" t="s">
        <v>3209</v>
      </c>
      <c r="B680" t="s">
        <v>3209</v>
      </c>
      <c r="C680" t="s">
        <v>3210</v>
      </c>
      <c r="D680">
        <v>2</v>
      </c>
      <c r="E680" t="s">
        <v>27</v>
      </c>
      <c r="F680" t="s">
        <v>63</v>
      </c>
      <c r="G680" s="23">
        <v>42560</v>
      </c>
      <c r="H680" t="s">
        <v>3211</v>
      </c>
      <c r="I680" t="s">
        <v>3212</v>
      </c>
      <c r="J680" t="s">
        <v>3213</v>
      </c>
    </row>
    <row r="681" spans="1:10">
      <c r="A681" t="s">
        <v>3214</v>
      </c>
      <c r="B681" t="s">
        <v>3214</v>
      </c>
      <c r="C681" t="s">
        <v>547</v>
      </c>
      <c r="D681">
        <v>1</v>
      </c>
      <c r="E681" t="s">
        <v>33</v>
      </c>
      <c r="F681" t="s">
        <v>115</v>
      </c>
      <c r="G681" s="23">
        <v>45544</v>
      </c>
      <c r="H681" t="s">
        <v>3215</v>
      </c>
      <c r="I681" t="s">
        <v>3216</v>
      </c>
      <c r="J681" t="s">
        <v>3217</v>
      </c>
    </row>
    <row r="682" spans="1:10">
      <c r="A682" t="s">
        <v>3218</v>
      </c>
      <c r="B682" t="s">
        <v>3218</v>
      </c>
      <c r="C682" t="s">
        <v>3219</v>
      </c>
      <c r="D682">
        <v>8</v>
      </c>
      <c r="E682" t="s">
        <v>34</v>
      </c>
      <c r="F682" t="s">
        <v>57</v>
      </c>
      <c r="G682" s="23">
        <v>45446</v>
      </c>
      <c r="H682" t="s">
        <v>3220</v>
      </c>
      <c r="I682" t="s">
        <v>3221</v>
      </c>
      <c r="J682" t="s">
        <v>3222</v>
      </c>
    </row>
    <row r="683" spans="1:10">
      <c r="A683" t="s">
        <v>3223</v>
      </c>
      <c r="B683" t="s">
        <v>3223</v>
      </c>
      <c r="C683" t="s">
        <v>998</v>
      </c>
      <c r="D683">
        <v>20</v>
      </c>
      <c r="E683" t="s">
        <v>34</v>
      </c>
      <c r="F683" t="s">
        <v>57</v>
      </c>
      <c r="G683" s="23">
        <v>44317</v>
      </c>
      <c r="H683" t="s">
        <v>3224</v>
      </c>
      <c r="I683" t="s">
        <v>3225</v>
      </c>
      <c r="J683" t="s">
        <v>3226</v>
      </c>
    </row>
    <row r="684" spans="1:10">
      <c r="A684" t="s">
        <v>3227</v>
      </c>
      <c r="B684" t="s">
        <v>3227</v>
      </c>
      <c r="C684" t="s">
        <v>998</v>
      </c>
      <c r="D684">
        <v>21</v>
      </c>
      <c r="E684" t="s">
        <v>34</v>
      </c>
      <c r="F684" t="s">
        <v>57</v>
      </c>
      <c r="G684" s="23">
        <v>46114</v>
      </c>
      <c r="H684" t="s">
        <v>3228</v>
      </c>
      <c r="I684" t="s">
        <v>3229</v>
      </c>
      <c r="J684" t="s">
        <v>3230</v>
      </c>
    </row>
    <row r="685" spans="1:10">
      <c r="A685" t="s">
        <v>3231</v>
      </c>
      <c r="B685" t="s">
        <v>3231</v>
      </c>
      <c r="C685" t="s">
        <v>3232</v>
      </c>
      <c r="D685">
        <v>9</v>
      </c>
      <c r="E685" t="s">
        <v>29</v>
      </c>
      <c r="F685" t="s">
        <v>63</v>
      </c>
      <c r="G685" s="23">
        <v>41452</v>
      </c>
      <c r="H685" t="s">
        <v>3233</v>
      </c>
      <c r="I685" t="s">
        <v>3234</v>
      </c>
      <c r="J685" t="s">
        <v>3235</v>
      </c>
    </row>
    <row r="686" spans="1:10">
      <c r="A686" t="s">
        <v>3236</v>
      </c>
      <c r="B686" t="s">
        <v>3236</v>
      </c>
      <c r="C686" t="s">
        <v>3237</v>
      </c>
      <c r="D686">
        <v>6</v>
      </c>
      <c r="E686" t="s">
        <v>27</v>
      </c>
      <c r="F686" t="s">
        <v>63</v>
      </c>
      <c r="G686" s="23">
        <v>42228</v>
      </c>
      <c r="H686" t="s">
        <v>3238</v>
      </c>
      <c r="I686" t="s">
        <v>3239</v>
      </c>
      <c r="J686" t="s">
        <v>3240</v>
      </c>
    </row>
    <row r="687" spans="1:10">
      <c r="A687" t="s">
        <v>3241</v>
      </c>
      <c r="B687" t="s">
        <v>3241</v>
      </c>
      <c r="C687" t="s">
        <v>3242</v>
      </c>
      <c r="D687">
        <v>1</v>
      </c>
      <c r="E687" t="s">
        <v>29</v>
      </c>
      <c r="F687" t="s">
        <v>63</v>
      </c>
      <c r="G687" s="23">
        <v>43409</v>
      </c>
      <c r="H687" t="s">
        <v>3243</v>
      </c>
      <c r="I687" t="s">
        <v>3244</v>
      </c>
      <c r="J687" t="s">
        <v>3245</v>
      </c>
    </row>
    <row r="688" spans="1:10">
      <c r="A688" t="s">
        <v>3246</v>
      </c>
      <c r="B688" t="s">
        <v>3246</v>
      </c>
      <c r="C688" t="s">
        <v>3247</v>
      </c>
      <c r="D688">
        <v>6</v>
      </c>
      <c r="E688" t="s">
        <v>34</v>
      </c>
      <c r="F688" t="s">
        <v>57</v>
      </c>
      <c r="G688" s="23">
        <v>45747</v>
      </c>
      <c r="H688" t="s">
        <v>3248</v>
      </c>
      <c r="I688" t="s">
        <v>3249</v>
      </c>
      <c r="J688" t="s">
        <v>3250</v>
      </c>
    </row>
    <row r="689" spans="1:10">
      <c r="A689" t="s">
        <v>3251</v>
      </c>
      <c r="B689" t="s">
        <v>3251</v>
      </c>
      <c r="C689" t="s">
        <v>3252</v>
      </c>
      <c r="D689">
        <v>1</v>
      </c>
      <c r="E689" t="s">
        <v>29</v>
      </c>
      <c r="F689" t="s">
        <v>63</v>
      </c>
      <c r="G689" s="23">
        <v>42166</v>
      </c>
      <c r="H689" t="s">
        <v>3253</v>
      </c>
      <c r="I689" t="s">
        <v>3254</v>
      </c>
      <c r="J689" t="s">
        <v>3255</v>
      </c>
    </row>
    <row r="690" spans="1:10">
      <c r="A690" t="s">
        <v>3256</v>
      </c>
      <c r="B690" t="s">
        <v>3256</v>
      </c>
      <c r="C690" t="s">
        <v>3257</v>
      </c>
      <c r="D690">
        <v>6</v>
      </c>
      <c r="E690" t="s">
        <v>34</v>
      </c>
      <c r="F690" t="s">
        <v>57</v>
      </c>
      <c r="G690" s="23">
        <v>44664</v>
      </c>
      <c r="H690" t="s">
        <v>3258</v>
      </c>
      <c r="I690" t="s">
        <v>3259</v>
      </c>
      <c r="J690" t="s">
        <v>3260</v>
      </c>
    </row>
    <row r="691" spans="1:10">
      <c r="A691" t="s">
        <v>3261</v>
      </c>
      <c r="B691" t="s">
        <v>3261</v>
      </c>
      <c r="C691" t="s">
        <v>3262</v>
      </c>
      <c r="D691">
        <v>6</v>
      </c>
      <c r="E691" t="s">
        <v>29</v>
      </c>
      <c r="F691" t="s">
        <v>63</v>
      </c>
      <c r="G691" s="23">
        <v>44554</v>
      </c>
      <c r="H691" t="s">
        <v>3263</v>
      </c>
      <c r="I691" t="s">
        <v>3264</v>
      </c>
      <c r="J691" t="s">
        <v>3265</v>
      </c>
    </row>
    <row r="692" spans="1:10">
      <c r="A692" t="s">
        <v>3266</v>
      </c>
      <c r="B692" t="s">
        <v>3266</v>
      </c>
      <c r="C692" t="s">
        <v>340</v>
      </c>
      <c r="D692">
        <v>1</v>
      </c>
      <c r="E692" t="s">
        <v>36</v>
      </c>
      <c r="F692" t="s">
        <v>57</v>
      </c>
      <c r="G692" s="23">
        <v>45679</v>
      </c>
      <c r="H692" t="s">
        <v>3267</v>
      </c>
      <c r="I692" t="s">
        <v>3268</v>
      </c>
      <c r="J692" t="s">
        <v>3269</v>
      </c>
    </row>
    <row r="693" spans="1:10">
      <c r="A693" t="s">
        <v>3270</v>
      </c>
      <c r="B693" t="s">
        <v>3270</v>
      </c>
      <c r="C693" t="s">
        <v>940</v>
      </c>
      <c r="D693">
        <v>11</v>
      </c>
      <c r="E693" t="s">
        <v>29</v>
      </c>
      <c r="F693" t="s">
        <v>63</v>
      </c>
      <c r="G693" s="23">
        <v>42221</v>
      </c>
      <c r="H693" t="s">
        <v>3271</v>
      </c>
      <c r="I693" t="s">
        <v>3272</v>
      </c>
      <c r="J693" t="s">
        <v>3273</v>
      </c>
    </row>
    <row r="694" spans="1:10">
      <c r="A694" t="s">
        <v>3274</v>
      </c>
      <c r="B694" t="s">
        <v>3274</v>
      </c>
      <c r="C694" t="s">
        <v>3275</v>
      </c>
      <c r="D694">
        <v>25</v>
      </c>
      <c r="E694" t="s">
        <v>34</v>
      </c>
      <c r="F694" t="s">
        <v>57</v>
      </c>
      <c r="G694" s="23">
        <v>45147</v>
      </c>
      <c r="H694" t="s">
        <v>3276</v>
      </c>
      <c r="I694" t="s">
        <v>3277</v>
      </c>
      <c r="J694" t="s">
        <v>3278</v>
      </c>
    </row>
    <row r="695" spans="1:10">
      <c r="A695" t="s">
        <v>3279</v>
      </c>
      <c r="B695" t="s">
        <v>3279</v>
      </c>
      <c r="C695" t="s">
        <v>3280</v>
      </c>
      <c r="D695">
        <v>10</v>
      </c>
      <c r="E695" t="s">
        <v>34</v>
      </c>
      <c r="F695" t="s">
        <v>57</v>
      </c>
      <c r="G695" s="23">
        <v>45785</v>
      </c>
      <c r="H695" t="s">
        <v>3281</v>
      </c>
      <c r="I695" t="s">
        <v>3282</v>
      </c>
      <c r="J695" t="s">
        <v>3283</v>
      </c>
    </row>
    <row r="696" spans="1:10">
      <c r="A696" t="s">
        <v>3284</v>
      </c>
      <c r="B696" t="s">
        <v>3284</v>
      </c>
      <c r="C696" t="s">
        <v>641</v>
      </c>
      <c r="D696">
        <v>19</v>
      </c>
      <c r="E696" t="s">
        <v>35</v>
      </c>
      <c r="F696" t="s">
        <v>57</v>
      </c>
      <c r="G696" s="23">
        <v>44252</v>
      </c>
      <c r="H696" t="s">
        <v>3285</v>
      </c>
      <c r="I696" t="s">
        <v>3286</v>
      </c>
      <c r="J696" t="s">
        <v>3287</v>
      </c>
    </row>
    <row r="697" spans="1:10">
      <c r="A697" t="s">
        <v>3288</v>
      </c>
      <c r="B697" t="s">
        <v>3288</v>
      </c>
      <c r="C697" t="s">
        <v>3289</v>
      </c>
      <c r="D697">
        <v>12</v>
      </c>
      <c r="E697" t="s">
        <v>29</v>
      </c>
      <c r="F697" t="s">
        <v>63</v>
      </c>
      <c r="G697" s="23">
        <v>42308</v>
      </c>
      <c r="H697" t="s">
        <v>3290</v>
      </c>
      <c r="I697" t="s">
        <v>3291</v>
      </c>
      <c r="J697" t="s">
        <v>3292</v>
      </c>
    </row>
    <row r="698" spans="1:10">
      <c r="A698" t="s">
        <v>3293</v>
      </c>
      <c r="B698" t="s">
        <v>3293</v>
      </c>
      <c r="C698" t="s">
        <v>3294</v>
      </c>
      <c r="D698">
        <v>17</v>
      </c>
      <c r="E698" t="s">
        <v>35</v>
      </c>
      <c r="F698" t="s">
        <v>57</v>
      </c>
      <c r="G698" s="23">
        <v>44588</v>
      </c>
      <c r="H698" t="s">
        <v>3295</v>
      </c>
      <c r="I698" t="s">
        <v>3296</v>
      </c>
      <c r="J698" t="s">
        <v>3297</v>
      </c>
    </row>
    <row r="699" spans="1:10">
      <c r="A699" t="s">
        <v>3298</v>
      </c>
      <c r="B699" t="s">
        <v>3298</v>
      </c>
      <c r="C699" t="s">
        <v>3294</v>
      </c>
      <c r="D699">
        <v>20</v>
      </c>
      <c r="E699" t="s">
        <v>35</v>
      </c>
      <c r="F699" t="s">
        <v>57</v>
      </c>
      <c r="G699" s="23">
        <v>45384</v>
      </c>
      <c r="H699" t="s">
        <v>3299</v>
      </c>
      <c r="I699" t="s">
        <v>3300</v>
      </c>
      <c r="J699" t="s">
        <v>3301</v>
      </c>
    </row>
    <row r="700" spans="1:10">
      <c r="A700" t="s">
        <v>3302</v>
      </c>
      <c r="B700" t="s">
        <v>3302</v>
      </c>
      <c r="C700" t="s">
        <v>665</v>
      </c>
      <c r="D700">
        <v>15</v>
      </c>
      <c r="E700" t="s">
        <v>35</v>
      </c>
      <c r="F700" t="s">
        <v>57</v>
      </c>
      <c r="G700" s="23">
        <v>45240</v>
      </c>
      <c r="H700" t="s">
        <v>3303</v>
      </c>
      <c r="I700" t="s">
        <v>3304</v>
      </c>
      <c r="J700" t="s">
        <v>3305</v>
      </c>
    </row>
    <row r="701" spans="1:10">
      <c r="A701" t="s">
        <v>3306</v>
      </c>
      <c r="B701" t="s">
        <v>3306</v>
      </c>
      <c r="C701" t="s">
        <v>665</v>
      </c>
      <c r="D701">
        <v>12</v>
      </c>
      <c r="E701" t="s">
        <v>35</v>
      </c>
      <c r="F701" t="s">
        <v>57</v>
      </c>
      <c r="G701" s="23">
        <v>45938</v>
      </c>
      <c r="H701" t="s">
        <v>3307</v>
      </c>
      <c r="I701" t="s">
        <v>3308</v>
      </c>
      <c r="J701" t="s">
        <v>3309</v>
      </c>
    </row>
    <row r="702" spans="1:10">
      <c r="A702" t="s">
        <v>3310</v>
      </c>
      <c r="B702" t="s">
        <v>3310</v>
      </c>
      <c r="C702" t="s">
        <v>723</v>
      </c>
      <c r="D702">
        <v>11</v>
      </c>
      <c r="E702" t="s">
        <v>34</v>
      </c>
      <c r="F702" t="s">
        <v>57</v>
      </c>
      <c r="G702" s="23">
        <v>45446</v>
      </c>
      <c r="H702" t="s">
        <v>3311</v>
      </c>
      <c r="I702" t="s">
        <v>3312</v>
      </c>
      <c r="J702" t="s">
        <v>3313</v>
      </c>
    </row>
    <row r="703" spans="1:10">
      <c r="A703" t="s">
        <v>3314</v>
      </c>
      <c r="B703" t="s">
        <v>3314</v>
      </c>
      <c r="C703" t="s">
        <v>3315</v>
      </c>
      <c r="D703">
        <v>69</v>
      </c>
      <c r="E703" t="s">
        <v>34</v>
      </c>
      <c r="F703" t="s">
        <v>57</v>
      </c>
      <c r="G703" s="23">
        <v>45315</v>
      </c>
      <c r="H703" t="s">
        <v>3316</v>
      </c>
      <c r="I703" t="s">
        <v>3317</v>
      </c>
      <c r="J703" t="s">
        <v>3318</v>
      </c>
    </row>
    <row r="704" spans="1:10">
      <c r="A704" t="s">
        <v>3319</v>
      </c>
      <c r="B704" t="s">
        <v>3319</v>
      </c>
      <c r="C704" t="s">
        <v>68</v>
      </c>
      <c r="D704">
        <v>32</v>
      </c>
      <c r="E704" t="s">
        <v>31</v>
      </c>
      <c r="F704" t="s">
        <v>63</v>
      </c>
      <c r="G704" s="23">
        <v>41700</v>
      </c>
      <c r="H704" t="s">
        <v>3320</v>
      </c>
      <c r="I704" t="s">
        <v>3321</v>
      </c>
      <c r="J704" t="s">
        <v>3322</v>
      </c>
    </row>
    <row r="705" spans="1:10">
      <c r="A705" t="s">
        <v>3323</v>
      </c>
      <c r="B705" t="s">
        <v>3323</v>
      </c>
      <c r="C705" t="s">
        <v>3324</v>
      </c>
      <c r="D705">
        <v>15</v>
      </c>
      <c r="E705" t="s">
        <v>33</v>
      </c>
      <c r="F705" t="s">
        <v>57</v>
      </c>
      <c r="G705" s="23">
        <v>44684</v>
      </c>
      <c r="H705" t="s">
        <v>3325</v>
      </c>
      <c r="I705" t="s">
        <v>3326</v>
      </c>
      <c r="J705" t="s">
        <v>3327</v>
      </c>
    </row>
    <row r="706" spans="1:10">
      <c r="A706" t="s">
        <v>3328</v>
      </c>
      <c r="B706" t="s">
        <v>3328</v>
      </c>
      <c r="C706" t="s">
        <v>3324</v>
      </c>
      <c r="D706">
        <v>27</v>
      </c>
      <c r="E706" t="s">
        <v>34</v>
      </c>
      <c r="F706" t="s">
        <v>57</v>
      </c>
      <c r="G706" s="23">
        <v>45527</v>
      </c>
      <c r="H706" t="s">
        <v>3329</v>
      </c>
      <c r="I706" t="s">
        <v>3330</v>
      </c>
      <c r="J706" t="s">
        <v>3331</v>
      </c>
    </row>
    <row r="707" spans="1:10">
      <c r="A707" t="s">
        <v>3332</v>
      </c>
      <c r="B707" t="s">
        <v>3332</v>
      </c>
      <c r="C707" t="s">
        <v>3333</v>
      </c>
      <c r="D707">
        <v>1</v>
      </c>
      <c r="E707" t="s">
        <v>29</v>
      </c>
      <c r="F707" t="s">
        <v>63</v>
      </c>
      <c r="G707" s="23">
        <v>44212</v>
      </c>
      <c r="H707" t="s">
        <v>3334</v>
      </c>
      <c r="I707" t="s">
        <v>3335</v>
      </c>
      <c r="J707" t="s">
        <v>3336</v>
      </c>
    </row>
    <row r="708" spans="1:10">
      <c r="A708" t="s">
        <v>3337</v>
      </c>
      <c r="B708" t="s">
        <v>3337</v>
      </c>
      <c r="C708" t="s">
        <v>3294</v>
      </c>
      <c r="D708">
        <v>17</v>
      </c>
      <c r="E708" t="s">
        <v>34</v>
      </c>
      <c r="F708" t="s">
        <v>57</v>
      </c>
      <c r="G708" s="23">
        <v>44273</v>
      </c>
      <c r="H708" t="s">
        <v>3338</v>
      </c>
      <c r="I708" t="s">
        <v>3339</v>
      </c>
      <c r="J708" t="s">
        <v>3340</v>
      </c>
    </row>
    <row r="709" spans="1:10">
      <c r="A709" t="s">
        <v>3341</v>
      </c>
      <c r="B709" t="s">
        <v>3341</v>
      </c>
      <c r="C709" t="s">
        <v>2531</v>
      </c>
      <c r="D709">
        <v>8</v>
      </c>
      <c r="E709" t="s">
        <v>35</v>
      </c>
      <c r="F709" t="s">
        <v>57</v>
      </c>
      <c r="G709" s="23">
        <v>44802</v>
      </c>
      <c r="H709" t="s">
        <v>3342</v>
      </c>
      <c r="I709" t="s">
        <v>3343</v>
      </c>
      <c r="J709" t="s">
        <v>3344</v>
      </c>
    </row>
    <row r="710" spans="1:10">
      <c r="A710" t="s">
        <v>3345</v>
      </c>
      <c r="B710" t="s">
        <v>3345</v>
      </c>
      <c r="C710" t="s">
        <v>3346</v>
      </c>
      <c r="D710">
        <v>22</v>
      </c>
      <c r="E710" t="s">
        <v>34</v>
      </c>
      <c r="F710" t="s">
        <v>57</v>
      </c>
      <c r="G710" s="23">
        <v>43970</v>
      </c>
      <c r="H710" t="s">
        <v>3347</v>
      </c>
      <c r="I710" t="s">
        <v>3348</v>
      </c>
      <c r="J710" t="s">
        <v>3349</v>
      </c>
    </row>
    <row r="711" spans="1:10">
      <c r="A711" t="s">
        <v>3350</v>
      </c>
      <c r="B711" t="s">
        <v>3350</v>
      </c>
      <c r="C711" t="s">
        <v>3351</v>
      </c>
      <c r="D711">
        <v>15</v>
      </c>
      <c r="E711" t="s">
        <v>34</v>
      </c>
      <c r="F711" t="s">
        <v>57</v>
      </c>
      <c r="G711" s="23">
        <v>44438</v>
      </c>
      <c r="H711" t="s">
        <v>3352</v>
      </c>
      <c r="I711" t="s">
        <v>3353</v>
      </c>
      <c r="J711" t="s">
        <v>3354</v>
      </c>
    </row>
    <row r="712" spans="1:10">
      <c r="A712" t="s">
        <v>3355</v>
      </c>
      <c r="B712" t="s">
        <v>3355</v>
      </c>
      <c r="C712" t="s">
        <v>3356</v>
      </c>
      <c r="D712">
        <v>5</v>
      </c>
      <c r="E712" t="s">
        <v>33</v>
      </c>
      <c r="F712" t="s">
        <v>57</v>
      </c>
      <c r="G712" s="23">
        <v>44329</v>
      </c>
      <c r="H712" t="s">
        <v>3357</v>
      </c>
      <c r="I712" t="s">
        <v>3358</v>
      </c>
      <c r="J712" t="s">
        <v>3359</v>
      </c>
    </row>
    <row r="713" spans="1:10">
      <c r="A713" t="s">
        <v>3360</v>
      </c>
      <c r="B713" t="s">
        <v>3360</v>
      </c>
      <c r="C713" t="s">
        <v>1511</v>
      </c>
      <c r="D713">
        <v>22</v>
      </c>
      <c r="E713" t="s">
        <v>34</v>
      </c>
      <c r="F713" t="s">
        <v>57</v>
      </c>
      <c r="G713" s="23">
        <v>43376</v>
      </c>
      <c r="H713" t="s">
        <v>3361</v>
      </c>
      <c r="I713" t="s">
        <v>3362</v>
      </c>
      <c r="J713" t="s">
        <v>3363</v>
      </c>
    </row>
    <row r="714" spans="1:10">
      <c r="A714" t="s">
        <v>3364</v>
      </c>
      <c r="B714" t="s">
        <v>3364</v>
      </c>
      <c r="C714" t="s">
        <v>2701</v>
      </c>
      <c r="D714">
        <v>17</v>
      </c>
      <c r="E714" t="s">
        <v>34</v>
      </c>
      <c r="F714" t="s">
        <v>57</v>
      </c>
      <c r="G714" s="23">
        <v>46153</v>
      </c>
      <c r="H714" t="s">
        <v>3365</v>
      </c>
      <c r="I714" t="s">
        <v>3366</v>
      </c>
      <c r="J714" t="s">
        <v>3367</v>
      </c>
    </row>
    <row r="715" spans="1:10">
      <c r="A715" t="s">
        <v>3368</v>
      </c>
      <c r="B715" t="s">
        <v>3368</v>
      </c>
      <c r="C715" t="s">
        <v>603</v>
      </c>
      <c r="D715">
        <v>41</v>
      </c>
      <c r="E715" t="s">
        <v>29</v>
      </c>
      <c r="F715" t="s">
        <v>63</v>
      </c>
      <c r="G715" s="23">
        <v>45806</v>
      </c>
      <c r="H715" t="s">
        <v>3369</v>
      </c>
      <c r="I715" t="s">
        <v>3370</v>
      </c>
      <c r="J715" t="s">
        <v>3371</v>
      </c>
    </row>
    <row r="716" spans="1:10">
      <c r="A716" t="s">
        <v>3372</v>
      </c>
      <c r="B716" t="s">
        <v>3372</v>
      </c>
      <c r="C716" t="s">
        <v>3373</v>
      </c>
      <c r="D716">
        <v>1</v>
      </c>
      <c r="E716" t="s">
        <v>34</v>
      </c>
      <c r="F716" t="s">
        <v>89</v>
      </c>
      <c r="G716" s="23">
        <v>42141</v>
      </c>
      <c r="H716" t="s">
        <v>3374</v>
      </c>
      <c r="I716" t="s">
        <v>3375</v>
      </c>
      <c r="J716" t="s">
        <v>3376</v>
      </c>
    </row>
    <row r="717" spans="1:10">
      <c r="A717" t="s">
        <v>3377</v>
      </c>
      <c r="B717" t="s">
        <v>3377</v>
      </c>
      <c r="C717" t="s">
        <v>3373</v>
      </c>
      <c r="D717">
        <v>1</v>
      </c>
      <c r="E717" t="s">
        <v>36</v>
      </c>
      <c r="F717" t="s">
        <v>89</v>
      </c>
      <c r="G717" s="23">
        <v>42080</v>
      </c>
      <c r="H717" t="s">
        <v>3378</v>
      </c>
      <c r="I717" t="s">
        <v>3379</v>
      </c>
      <c r="J717" t="s">
        <v>3380</v>
      </c>
    </row>
    <row r="718" spans="1:10">
      <c r="A718" t="s">
        <v>3381</v>
      </c>
      <c r="B718" t="s">
        <v>3381</v>
      </c>
      <c r="C718" t="s">
        <v>3346</v>
      </c>
      <c r="D718">
        <v>14</v>
      </c>
      <c r="E718" t="s">
        <v>34</v>
      </c>
      <c r="F718" t="s">
        <v>57</v>
      </c>
      <c r="G718" s="23">
        <v>44334</v>
      </c>
      <c r="H718" t="s">
        <v>3382</v>
      </c>
      <c r="I718" t="s">
        <v>3383</v>
      </c>
      <c r="J718" t="s">
        <v>3384</v>
      </c>
    </row>
    <row r="719" spans="1:10">
      <c r="A719" t="s">
        <v>3385</v>
      </c>
      <c r="B719" t="s">
        <v>3385</v>
      </c>
      <c r="C719" t="s">
        <v>3315</v>
      </c>
      <c r="D719">
        <v>10</v>
      </c>
      <c r="E719" t="s">
        <v>33</v>
      </c>
      <c r="F719" t="s">
        <v>571</v>
      </c>
      <c r="G719" s="23">
        <v>42999</v>
      </c>
      <c r="H719" t="s">
        <v>3386</v>
      </c>
      <c r="I719" t="s">
        <v>3387</v>
      </c>
      <c r="J719" t="s">
        <v>3388</v>
      </c>
    </row>
    <row r="720" spans="1:10">
      <c r="A720" t="s">
        <v>3389</v>
      </c>
      <c r="B720" t="s">
        <v>3389</v>
      </c>
      <c r="C720" t="s">
        <v>3390</v>
      </c>
      <c r="D720">
        <v>8</v>
      </c>
      <c r="E720" t="s">
        <v>34</v>
      </c>
      <c r="F720" t="s">
        <v>57</v>
      </c>
      <c r="G720" s="23">
        <v>45397</v>
      </c>
      <c r="H720" t="s">
        <v>3391</v>
      </c>
      <c r="I720" t="s">
        <v>3392</v>
      </c>
      <c r="J720" t="s">
        <v>3393</v>
      </c>
    </row>
    <row r="721" spans="1:10">
      <c r="A721" t="s">
        <v>3394</v>
      </c>
      <c r="B721" t="s">
        <v>3394</v>
      </c>
      <c r="C721" t="s">
        <v>3395</v>
      </c>
      <c r="D721">
        <v>14</v>
      </c>
      <c r="E721" t="s">
        <v>35</v>
      </c>
      <c r="F721" t="s">
        <v>57</v>
      </c>
      <c r="G721" s="23">
        <v>46180</v>
      </c>
      <c r="H721" t="s">
        <v>3396</v>
      </c>
      <c r="I721" t="s">
        <v>3397</v>
      </c>
      <c r="J721" t="s">
        <v>3398</v>
      </c>
    </row>
    <row r="722" spans="1:10">
      <c r="A722" t="s">
        <v>3399</v>
      </c>
      <c r="B722" t="s">
        <v>3399</v>
      </c>
      <c r="C722" t="s">
        <v>3400</v>
      </c>
      <c r="D722">
        <v>43</v>
      </c>
      <c r="E722" t="s">
        <v>31</v>
      </c>
      <c r="F722" t="s">
        <v>63</v>
      </c>
      <c r="G722" s="23">
        <v>42255</v>
      </c>
      <c r="H722" t="s">
        <v>3401</v>
      </c>
      <c r="I722" t="s">
        <v>3402</v>
      </c>
      <c r="J722" t="s">
        <v>3403</v>
      </c>
    </row>
    <row r="723" spans="1:10">
      <c r="A723" t="s">
        <v>3404</v>
      </c>
      <c r="B723" t="s">
        <v>3404</v>
      </c>
      <c r="C723" t="s">
        <v>3405</v>
      </c>
      <c r="D723">
        <v>35</v>
      </c>
      <c r="E723" t="s">
        <v>29</v>
      </c>
      <c r="F723" t="s">
        <v>63</v>
      </c>
      <c r="G723" s="23">
        <v>45411</v>
      </c>
      <c r="H723" t="s">
        <v>3406</v>
      </c>
      <c r="I723" t="s">
        <v>3407</v>
      </c>
      <c r="J723" t="s">
        <v>3408</v>
      </c>
    </row>
    <row r="724" spans="1:10">
      <c r="A724" t="s">
        <v>3409</v>
      </c>
      <c r="B724" t="s">
        <v>3409</v>
      </c>
      <c r="C724" t="s">
        <v>243</v>
      </c>
      <c r="D724">
        <v>7</v>
      </c>
      <c r="E724" t="s">
        <v>34</v>
      </c>
      <c r="F724" t="s">
        <v>57</v>
      </c>
      <c r="G724" s="23">
        <v>45258</v>
      </c>
      <c r="H724" t="s">
        <v>3410</v>
      </c>
      <c r="I724" t="s">
        <v>3411</v>
      </c>
      <c r="J724" t="s">
        <v>3412</v>
      </c>
    </row>
    <row r="725" spans="1:10">
      <c r="A725" t="s">
        <v>3413</v>
      </c>
      <c r="B725" t="s">
        <v>3413</v>
      </c>
      <c r="C725" t="s">
        <v>3414</v>
      </c>
      <c r="D725">
        <v>18</v>
      </c>
      <c r="E725" t="s">
        <v>29</v>
      </c>
      <c r="F725" t="s">
        <v>63</v>
      </c>
      <c r="G725" s="23">
        <v>42281</v>
      </c>
      <c r="H725" t="s">
        <v>3415</v>
      </c>
      <c r="I725" t="s">
        <v>3416</v>
      </c>
      <c r="J725" t="s">
        <v>3417</v>
      </c>
    </row>
    <row r="726" spans="1:10">
      <c r="A726" t="s">
        <v>3418</v>
      </c>
      <c r="B726" t="s">
        <v>3418</v>
      </c>
      <c r="C726" t="s">
        <v>930</v>
      </c>
      <c r="D726">
        <v>17</v>
      </c>
      <c r="E726" t="s">
        <v>35</v>
      </c>
      <c r="F726" t="s">
        <v>57</v>
      </c>
      <c r="G726" s="23">
        <v>44067</v>
      </c>
      <c r="H726" t="s">
        <v>3419</v>
      </c>
      <c r="I726" t="s">
        <v>3420</v>
      </c>
      <c r="J726" t="s">
        <v>3421</v>
      </c>
    </row>
    <row r="727" spans="1:10">
      <c r="A727" t="s">
        <v>3422</v>
      </c>
      <c r="B727" t="s">
        <v>3422</v>
      </c>
      <c r="C727" t="s">
        <v>930</v>
      </c>
      <c r="D727">
        <v>25</v>
      </c>
      <c r="E727" t="s">
        <v>36</v>
      </c>
      <c r="F727" t="s">
        <v>57</v>
      </c>
      <c r="G727" s="23">
        <v>45653</v>
      </c>
      <c r="H727" t="s">
        <v>3423</v>
      </c>
      <c r="I727" t="s">
        <v>3424</v>
      </c>
      <c r="J727" t="s">
        <v>3425</v>
      </c>
    </row>
    <row r="728" spans="1:10">
      <c r="A728" t="s">
        <v>3426</v>
      </c>
      <c r="B728" t="s">
        <v>3426</v>
      </c>
      <c r="C728" t="s">
        <v>930</v>
      </c>
      <c r="D728">
        <v>24</v>
      </c>
      <c r="E728" t="s">
        <v>34</v>
      </c>
      <c r="F728" t="s">
        <v>57</v>
      </c>
      <c r="G728" s="23">
        <v>43679</v>
      </c>
      <c r="H728" t="s">
        <v>3427</v>
      </c>
      <c r="I728" t="s">
        <v>3428</v>
      </c>
      <c r="J728" t="s">
        <v>3429</v>
      </c>
    </row>
    <row r="729" spans="1:10">
      <c r="A729" t="s">
        <v>3430</v>
      </c>
      <c r="B729" t="s">
        <v>3430</v>
      </c>
      <c r="C729" t="s">
        <v>3431</v>
      </c>
      <c r="D729">
        <v>11</v>
      </c>
      <c r="E729" t="s">
        <v>29</v>
      </c>
      <c r="F729" t="s">
        <v>63</v>
      </c>
      <c r="G729" s="23">
        <v>41451</v>
      </c>
      <c r="H729" t="s">
        <v>3432</v>
      </c>
      <c r="I729" t="s">
        <v>3433</v>
      </c>
      <c r="J729" t="s">
        <v>3434</v>
      </c>
    </row>
    <row r="730" spans="1:10">
      <c r="A730" t="s">
        <v>3435</v>
      </c>
      <c r="B730" t="s">
        <v>3435</v>
      </c>
      <c r="C730" t="s">
        <v>3436</v>
      </c>
      <c r="D730">
        <v>20</v>
      </c>
      <c r="E730" t="s">
        <v>33</v>
      </c>
      <c r="F730" t="s">
        <v>57</v>
      </c>
      <c r="G730" s="23">
        <v>45604</v>
      </c>
      <c r="H730" t="s">
        <v>3437</v>
      </c>
      <c r="I730" t="s">
        <v>3438</v>
      </c>
      <c r="J730" t="s">
        <v>3439</v>
      </c>
    </row>
    <row r="731" spans="1:10">
      <c r="A731" t="s">
        <v>3440</v>
      </c>
      <c r="B731" t="s">
        <v>3440</v>
      </c>
      <c r="C731" t="s">
        <v>2701</v>
      </c>
      <c r="D731">
        <v>62</v>
      </c>
      <c r="E731" t="s">
        <v>31</v>
      </c>
      <c r="F731" t="s">
        <v>57</v>
      </c>
      <c r="G731" s="23">
        <v>45767</v>
      </c>
      <c r="H731" t="s">
        <v>3441</v>
      </c>
      <c r="I731" t="s">
        <v>3442</v>
      </c>
      <c r="J731" t="s">
        <v>3443</v>
      </c>
    </row>
    <row r="732" spans="1:10">
      <c r="A732" t="s">
        <v>3444</v>
      </c>
      <c r="B732" t="s">
        <v>3444</v>
      </c>
      <c r="C732" t="s">
        <v>3445</v>
      </c>
      <c r="D732">
        <v>5</v>
      </c>
      <c r="E732" t="s">
        <v>33</v>
      </c>
      <c r="F732" t="s">
        <v>57</v>
      </c>
      <c r="G732" s="23">
        <v>45680</v>
      </c>
      <c r="H732" t="s">
        <v>3446</v>
      </c>
      <c r="I732" t="s">
        <v>3447</v>
      </c>
      <c r="J732" t="s">
        <v>3448</v>
      </c>
    </row>
    <row r="733" spans="1:10">
      <c r="A733" t="s">
        <v>3449</v>
      </c>
      <c r="B733" t="s">
        <v>3449</v>
      </c>
      <c r="C733" t="s">
        <v>3450</v>
      </c>
      <c r="D733">
        <v>6</v>
      </c>
      <c r="E733" t="s">
        <v>29</v>
      </c>
      <c r="F733" t="s">
        <v>63</v>
      </c>
      <c r="G733" s="23">
        <v>45020</v>
      </c>
      <c r="H733" t="s">
        <v>3451</v>
      </c>
      <c r="I733" t="s">
        <v>3452</v>
      </c>
      <c r="J733" t="s">
        <v>3453</v>
      </c>
    </row>
    <row r="734" spans="1:10">
      <c r="A734" t="s">
        <v>3454</v>
      </c>
      <c r="B734" t="s">
        <v>3454</v>
      </c>
      <c r="C734" t="s">
        <v>3455</v>
      </c>
      <c r="D734">
        <v>4</v>
      </c>
      <c r="E734" t="s">
        <v>31</v>
      </c>
      <c r="F734" t="s">
        <v>63</v>
      </c>
      <c r="G734" s="23">
        <v>45095</v>
      </c>
      <c r="H734" t="s">
        <v>3456</v>
      </c>
      <c r="I734" t="s">
        <v>3457</v>
      </c>
      <c r="J734" t="s">
        <v>3458</v>
      </c>
    </row>
    <row r="735" spans="1:10">
      <c r="A735" t="s">
        <v>3459</v>
      </c>
      <c r="B735" t="s">
        <v>3459</v>
      </c>
      <c r="C735" t="s">
        <v>930</v>
      </c>
      <c r="D735">
        <v>15</v>
      </c>
      <c r="E735" t="s">
        <v>36</v>
      </c>
      <c r="F735" t="s">
        <v>57</v>
      </c>
      <c r="G735" s="23">
        <v>45998</v>
      </c>
      <c r="H735" t="s">
        <v>3460</v>
      </c>
      <c r="I735" t="s">
        <v>3461</v>
      </c>
      <c r="J735" t="s">
        <v>3462</v>
      </c>
    </row>
    <row r="736" spans="1:10">
      <c r="A736" t="s">
        <v>3463</v>
      </c>
      <c r="B736" t="s">
        <v>3463</v>
      </c>
      <c r="C736" t="s">
        <v>3464</v>
      </c>
      <c r="D736">
        <v>4</v>
      </c>
      <c r="E736" t="s">
        <v>31</v>
      </c>
      <c r="F736" t="s">
        <v>63</v>
      </c>
      <c r="G736" s="23">
        <v>45616</v>
      </c>
      <c r="H736" t="s">
        <v>3465</v>
      </c>
      <c r="I736" t="s">
        <v>3466</v>
      </c>
      <c r="J736" t="s">
        <v>3467</v>
      </c>
    </row>
    <row r="737" spans="1:10">
      <c r="A737" t="s">
        <v>3468</v>
      </c>
      <c r="B737" t="s">
        <v>3468</v>
      </c>
      <c r="C737" t="s">
        <v>1637</v>
      </c>
      <c r="D737">
        <v>7</v>
      </c>
      <c r="E737" t="s">
        <v>33</v>
      </c>
      <c r="F737" t="s">
        <v>57</v>
      </c>
      <c r="G737" s="23">
        <v>44655</v>
      </c>
      <c r="H737" t="s">
        <v>3469</v>
      </c>
      <c r="I737" t="s">
        <v>3470</v>
      </c>
      <c r="J737" t="s">
        <v>3471</v>
      </c>
    </row>
    <row r="738" spans="1:10">
      <c r="A738" t="s">
        <v>3472</v>
      </c>
      <c r="B738" t="s">
        <v>3472</v>
      </c>
      <c r="C738" t="s">
        <v>3473</v>
      </c>
      <c r="D738">
        <v>8</v>
      </c>
      <c r="E738" t="s">
        <v>34</v>
      </c>
      <c r="F738" t="s">
        <v>57</v>
      </c>
      <c r="G738" s="23">
        <v>45587</v>
      </c>
      <c r="H738" t="s">
        <v>3474</v>
      </c>
      <c r="I738" t="s">
        <v>3475</v>
      </c>
      <c r="J738" t="s">
        <v>3476</v>
      </c>
    </row>
    <row r="739" spans="1:10">
      <c r="A739" t="s">
        <v>3477</v>
      </c>
      <c r="B739" t="s">
        <v>3477</v>
      </c>
      <c r="C739" t="s">
        <v>3478</v>
      </c>
      <c r="D739">
        <v>35</v>
      </c>
      <c r="E739" t="s">
        <v>29</v>
      </c>
      <c r="F739" t="s">
        <v>63</v>
      </c>
      <c r="G739" s="23">
        <v>43675</v>
      </c>
      <c r="H739" t="s">
        <v>3479</v>
      </c>
      <c r="I739" t="s">
        <v>3480</v>
      </c>
      <c r="J739" t="s">
        <v>3481</v>
      </c>
    </row>
    <row r="740" spans="1:10">
      <c r="A740" t="s">
        <v>3482</v>
      </c>
      <c r="B740" t="s">
        <v>3482</v>
      </c>
      <c r="C740" t="s">
        <v>3483</v>
      </c>
      <c r="D740">
        <v>125</v>
      </c>
      <c r="E740" t="s">
        <v>34</v>
      </c>
      <c r="F740" t="s">
        <v>63</v>
      </c>
      <c r="G740" s="23">
        <v>42684</v>
      </c>
      <c r="H740" t="s">
        <v>3484</v>
      </c>
      <c r="I740" t="s">
        <v>3485</v>
      </c>
      <c r="J740" t="s">
        <v>3486</v>
      </c>
    </row>
    <row r="741" spans="1:10">
      <c r="A741" t="s">
        <v>3487</v>
      </c>
      <c r="B741" t="s">
        <v>3487</v>
      </c>
      <c r="C741" t="s">
        <v>2133</v>
      </c>
      <c r="D741">
        <v>3</v>
      </c>
      <c r="E741" t="s">
        <v>34</v>
      </c>
      <c r="F741" t="s">
        <v>57</v>
      </c>
      <c r="G741" s="23">
        <v>45618</v>
      </c>
      <c r="H741" t="s">
        <v>3488</v>
      </c>
      <c r="I741" t="s">
        <v>3489</v>
      </c>
      <c r="J741" t="s">
        <v>3490</v>
      </c>
    </row>
    <row r="742" spans="1:10">
      <c r="A742" t="s">
        <v>3491</v>
      </c>
      <c r="B742" t="s">
        <v>3491</v>
      </c>
      <c r="C742" t="s">
        <v>2152</v>
      </c>
      <c r="D742">
        <v>4</v>
      </c>
      <c r="E742" t="s">
        <v>31</v>
      </c>
      <c r="F742" t="s">
        <v>63</v>
      </c>
      <c r="G742" s="23">
        <v>42530</v>
      </c>
      <c r="H742" t="s">
        <v>3492</v>
      </c>
      <c r="I742" t="s">
        <v>3493</v>
      </c>
      <c r="J742" t="s">
        <v>3494</v>
      </c>
    </row>
    <row r="743" spans="1:10">
      <c r="A743" t="s">
        <v>3495</v>
      </c>
      <c r="B743" t="s">
        <v>3495</v>
      </c>
      <c r="C743" t="s">
        <v>208</v>
      </c>
      <c r="D743">
        <v>25</v>
      </c>
      <c r="E743" t="s">
        <v>35</v>
      </c>
      <c r="F743" t="s">
        <v>57</v>
      </c>
      <c r="G743" s="23">
        <v>46215</v>
      </c>
      <c r="H743" t="s">
        <v>3496</v>
      </c>
      <c r="I743" t="s">
        <v>3497</v>
      </c>
      <c r="J743" t="s">
        <v>3498</v>
      </c>
    </row>
    <row r="744" spans="1:10">
      <c r="A744" t="s">
        <v>3499</v>
      </c>
      <c r="B744" t="s">
        <v>3499</v>
      </c>
      <c r="C744" t="s">
        <v>99</v>
      </c>
      <c r="D744">
        <v>12</v>
      </c>
      <c r="E744" t="s">
        <v>35</v>
      </c>
      <c r="F744" t="s">
        <v>57</v>
      </c>
      <c r="G744" s="23">
        <v>46222</v>
      </c>
      <c r="H744" t="s">
        <v>3500</v>
      </c>
      <c r="I744" t="s">
        <v>3501</v>
      </c>
      <c r="J744" t="s">
        <v>3502</v>
      </c>
    </row>
    <row r="745" spans="1:10">
      <c r="A745" t="s">
        <v>3503</v>
      </c>
      <c r="B745" t="s">
        <v>3503</v>
      </c>
      <c r="C745" t="s">
        <v>3504</v>
      </c>
      <c r="D745">
        <v>130</v>
      </c>
      <c r="E745" t="s">
        <v>33</v>
      </c>
      <c r="F745" t="s">
        <v>63</v>
      </c>
      <c r="G745" s="23">
        <v>43578</v>
      </c>
      <c r="H745" t="s">
        <v>3505</v>
      </c>
      <c r="I745" t="s">
        <v>3506</v>
      </c>
      <c r="J745" t="s">
        <v>3507</v>
      </c>
    </row>
    <row r="746" spans="1:10">
      <c r="A746" t="s">
        <v>3508</v>
      </c>
      <c r="B746" t="s">
        <v>3508</v>
      </c>
      <c r="C746" t="s">
        <v>268</v>
      </c>
      <c r="D746">
        <v>17</v>
      </c>
      <c r="E746" t="s">
        <v>31</v>
      </c>
      <c r="F746" t="s">
        <v>63</v>
      </c>
      <c r="G746" s="23">
        <v>44434</v>
      </c>
      <c r="H746" t="s">
        <v>3509</v>
      </c>
      <c r="I746" t="s">
        <v>3510</v>
      </c>
      <c r="J746" t="s">
        <v>3511</v>
      </c>
    </row>
    <row r="747" spans="1:10">
      <c r="A747" t="s">
        <v>3512</v>
      </c>
      <c r="B747" t="s">
        <v>3512</v>
      </c>
      <c r="C747" t="s">
        <v>3513</v>
      </c>
      <c r="D747">
        <v>8</v>
      </c>
      <c r="E747" t="s">
        <v>29</v>
      </c>
      <c r="F747" t="s">
        <v>63</v>
      </c>
      <c r="G747" s="23">
        <v>42896</v>
      </c>
      <c r="H747" t="s">
        <v>3514</v>
      </c>
      <c r="I747" t="s">
        <v>3515</v>
      </c>
      <c r="J747" t="s">
        <v>3516</v>
      </c>
    </row>
    <row r="748" spans="1:10">
      <c r="A748" t="s">
        <v>3517</v>
      </c>
      <c r="B748" t="s">
        <v>3517</v>
      </c>
      <c r="C748" t="s">
        <v>3518</v>
      </c>
      <c r="D748">
        <v>11</v>
      </c>
      <c r="E748" t="s">
        <v>35</v>
      </c>
      <c r="F748" t="s">
        <v>57</v>
      </c>
      <c r="G748" s="23">
        <v>44376</v>
      </c>
      <c r="H748" t="s">
        <v>3519</v>
      </c>
      <c r="I748" t="s">
        <v>3520</v>
      </c>
      <c r="J748" t="s">
        <v>3521</v>
      </c>
    </row>
    <row r="749" spans="1:10">
      <c r="A749" t="s">
        <v>3522</v>
      </c>
      <c r="B749" t="s">
        <v>3522</v>
      </c>
      <c r="C749" t="s">
        <v>3523</v>
      </c>
      <c r="D749">
        <v>7</v>
      </c>
      <c r="E749" t="s">
        <v>31</v>
      </c>
      <c r="F749" t="s">
        <v>63</v>
      </c>
      <c r="G749" s="23">
        <v>42217</v>
      </c>
      <c r="H749" t="s">
        <v>3524</v>
      </c>
      <c r="I749" t="s">
        <v>3525</v>
      </c>
      <c r="J749" t="s">
        <v>3526</v>
      </c>
    </row>
    <row r="750" spans="1:10">
      <c r="A750" t="s">
        <v>3527</v>
      </c>
      <c r="B750" t="s">
        <v>3527</v>
      </c>
      <c r="C750" t="s">
        <v>641</v>
      </c>
      <c r="D750">
        <v>10</v>
      </c>
      <c r="E750" t="s">
        <v>35</v>
      </c>
      <c r="F750" t="s">
        <v>57</v>
      </c>
      <c r="G750" s="23">
        <v>44768</v>
      </c>
      <c r="H750" t="s">
        <v>3528</v>
      </c>
      <c r="I750" t="s">
        <v>3529</v>
      </c>
      <c r="J750" t="s">
        <v>3530</v>
      </c>
    </row>
    <row r="751" spans="1:10">
      <c r="A751" t="s">
        <v>3531</v>
      </c>
      <c r="B751" t="s">
        <v>3531</v>
      </c>
      <c r="C751" t="s">
        <v>3532</v>
      </c>
      <c r="D751">
        <v>11</v>
      </c>
      <c r="E751" t="s">
        <v>29</v>
      </c>
      <c r="F751" t="s">
        <v>63</v>
      </c>
      <c r="G751" s="23">
        <v>41645</v>
      </c>
      <c r="H751" t="s">
        <v>3533</v>
      </c>
      <c r="I751" t="s">
        <v>3534</v>
      </c>
      <c r="J751" t="s">
        <v>3535</v>
      </c>
    </row>
    <row r="752" spans="1:10">
      <c r="A752" t="s">
        <v>3536</v>
      </c>
      <c r="B752" t="s">
        <v>3536</v>
      </c>
      <c r="C752" t="s">
        <v>3537</v>
      </c>
      <c r="D752">
        <v>6</v>
      </c>
      <c r="E752" t="s">
        <v>27</v>
      </c>
      <c r="F752" t="s">
        <v>63</v>
      </c>
      <c r="G752" s="23">
        <v>41525</v>
      </c>
      <c r="H752" t="s">
        <v>3538</v>
      </c>
      <c r="I752" t="s">
        <v>3539</v>
      </c>
      <c r="J752" t="s">
        <v>3540</v>
      </c>
    </row>
    <row r="753" spans="1:10">
      <c r="A753" t="s">
        <v>3541</v>
      </c>
      <c r="B753" t="s">
        <v>3541</v>
      </c>
      <c r="C753" t="s">
        <v>3478</v>
      </c>
      <c r="D753">
        <v>12</v>
      </c>
      <c r="E753" t="s">
        <v>35</v>
      </c>
      <c r="F753" t="s">
        <v>115</v>
      </c>
      <c r="G753" s="23">
        <v>46074</v>
      </c>
      <c r="H753" t="s">
        <v>3542</v>
      </c>
      <c r="I753" t="s">
        <v>3543</v>
      </c>
      <c r="J753" t="s">
        <v>3544</v>
      </c>
    </row>
    <row r="754" spans="1:10">
      <c r="A754" t="s">
        <v>3545</v>
      </c>
      <c r="B754" t="s">
        <v>3545</v>
      </c>
      <c r="C754" t="s">
        <v>370</v>
      </c>
      <c r="D754">
        <v>6</v>
      </c>
      <c r="E754" t="s">
        <v>33</v>
      </c>
      <c r="F754" t="s">
        <v>57</v>
      </c>
      <c r="G754" s="23">
        <v>45057</v>
      </c>
      <c r="H754" t="s">
        <v>3546</v>
      </c>
      <c r="I754" t="s">
        <v>3547</v>
      </c>
      <c r="J754" t="s">
        <v>3548</v>
      </c>
    </row>
    <row r="755" spans="1:10">
      <c r="A755" t="s">
        <v>3549</v>
      </c>
      <c r="B755" t="s">
        <v>3549</v>
      </c>
      <c r="C755" t="s">
        <v>3550</v>
      </c>
      <c r="D755">
        <v>99</v>
      </c>
      <c r="E755" t="s">
        <v>31</v>
      </c>
      <c r="F755" t="s">
        <v>63</v>
      </c>
      <c r="G755" s="23">
        <v>44331</v>
      </c>
      <c r="H755" t="s">
        <v>3551</v>
      </c>
      <c r="I755" t="s">
        <v>3552</v>
      </c>
      <c r="J755" t="s">
        <v>3553</v>
      </c>
    </row>
    <row r="756" spans="1:10">
      <c r="A756" t="s">
        <v>3554</v>
      </c>
      <c r="B756" t="s">
        <v>3554</v>
      </c>
      <c r="C756" t="s">
        <v>3555</v>
      </c>
      <c r="D756">
        <v>25</v>
      </c>
      <c r="E756" t="s">
        <v>31</v>
      </c>
      <c r="F756" t="s">
        <v>63</v>
      </c>
      <c r="G756" s="23">
        <v>42014</v>
      </c>
      <c r="H756" t="s">
        <v>3556</v>
      </c>
      <c r="I756" t="s">
        <v>3557</v>
      </c>
      <c r="J756" t="s">
        <v>3558</v>
      </c>
    </row>
    <row r="757" spans="1:10">
      <c r="A757" t="s">
        <v>3559</v>
      </c>
      <c r="B757" t="s">
        <v>3559</v>
      </c>
      <c r="C757" t="s">
        <v>3560</v>
      </c>
      <c r="D757">
        <v>11</v>
      </c>
      <c r="E757" t="s">
        <v>29</v>
      </c>
      <c r="F757" t="s">
        <v>63</v>
      </c>
      <c r="G757" s="23">
        <v>42322</v>
      </c>
      <c r="H757" t="s">
        <v>3561</v>
      </c>
      <c r="I757" t="s">
        <v>3562</v>
      </c>
      <c r="J757" t="s">
        <v>3563</v>
      </c>
    </row>
    <row r="758" spans="1:10">
      <c r="A758" t="s">
        <v>3564</v>
      </c>
      <c r="B758" t="s">
        <v>3564</v>
      </c>
      <c r="C758" t="s">
        <v>3565</v>
      </c>
      <c r="D758">
        <v>3</v>
      </c>
      <c r="E758" t="s">
        <v>31</v>
      </c>
      <c r="F758" t="s">
        <v>63</v>
      </c>
      <c r="G758" s="23">
        <v>44557</v>
      </c>
      <c r="H758" t="s">
        <v>3566</v>
      </c>
      <c r="I758" t="s">
        <v>3567</v>
      </c>
      <c r="J758" t="s">
        <v>3568</v>
      </c>
    </row>
    <row r="759" spans="1:10">
      <c r="A759" t="s">
        <v>3569</v>
      </c>
      <c r="B759" t="s">
        <v>3569</v>
      </c>
      <c r="C759" t="s">
        <v>3570</v>
      </c>
      <c r="D759">
        <v>1</v>
      </c>
      <c r="E759" t="s">
        <v>34</v>
      </c>
      <c r="F759" t="s">
        <v>57</v>
      </c>
      <c r="G759" s="23">
        <v>41724</v>
      </c>
      <c r="H759" t="s">
        <v>3571</v>
      </c>
      <c r="I759" t="s">
        <v>3572</v>
      </c>
      <c r="J759" t="s">
        <v>3573</v>
      </c>
    </row>
    <row r="760" spans="1:10">
      <c r="A760" t="s">
        <v>3574</v>
      </c>
      <c r="B760" t="s">
        <v>3574</v>
      </c>
      <c r="C760" t="s">
        <v>3575</v>
      </c>
      <c r="D760">
        <v>13</v>
      </c>
      <c r="E760" t="s">
        <v>31</v>
      </c>
      <c r="F760" t="s">
        <v>63</v>
      </c>
      <c r="G760" s="23">
        <v>42059</v>
      </c>
      <c r="H760" t="s">
        <v>3576</v>
      </c>
      <c r="I760" t="s">
        <v>3577</v>
      </c>
      <c r="J760" t="s">
        <v>3578</v>
      </c>
    </row>
    <row r="761" spans="1:10">
      <c r="A761" t="s">
        <v>3579</v>
      </c>
      <c r="B761" t="s">
        <v>3579</v>
      </c>
      <c r="C761" t="s">
        <v>3580</v>
      </c>
      <c r="D761">
        <v>10</v>
      </c>
      <c r="E761" t="s">
        <v>34</v>
      </c>
      <c r="F761" t="s">
        <v>57</v>
      </c>
      <c r="G761" s="23">
        <v>45799</v>
      </c>
      <c r="H761" t="s">
        <v>3581</v>
      </c>
      <c r="I761" t="s">
        <v>3582</v>
      </c>
      <c r="J761" t="s">
        <v>3583</v>
      </c>
    </row>
    <row r="762" spans="1:10">
      <c r="A762" t="s">
        <v>57</v>
      </c>
      <c r="B762" t="s">
        <v>57</v>
      </c>
      <c r="C762" t="s">
        <v>2979</v>
      </c>
      <c r="D762">
        <v>5</v>
      </c>
      <c r="E762" t="s">
        <v>35</v>
      </c>
      <c r="F762" t="s">
        <v>57</v>
      </c>
      <c r="G762" s="23">
        <v>45523</v>
      </c>
      <c r="H762" t="s">
        <v>3584</v>
      </c>
      <c r="I762" t="s">
        <v>3585</v>
      </c>
      <c r="J762" t="s">
        <v>3586</v>
      </c>
    </row>
    <row r="763" spans="1:10">
      <c r="A763" t="s">
        <v>3587</v>
      </c>
      <c r="B763" t="s">
        <v>3587</v>
      </c>
      <c r="C763" t="s">
        <v>2979</v>
      </c>
      <c r="D763">
        <v>5</v>
      </c>
      <c r="E763" t="s">
        <v>35</v>
      </c>
      <c r="F763" t="s">
        <v>57</v>
      </c>
      <c r="G763" s="23">
        <v>45561</v>
      </c>
      <c r="H763" t="s">
        <v>3588</v>
      </c>
      <c r="I763" t="s">
        <v>3589</v>
      </c>
      <c r="J763" t="s">
        <v>3590</v>
      </c>
    </row>
    <row r="764" spans="1:10">
      <c r="A764" t="s">
        <v>3591</v>
      </c>
      <c r="B764" t="s">
        <v>3591</v>
      </c>
      <c r="C764" t="s">
        <v>3592</v>
      </c>
      <c r="D764">
        <v>10</v>
      </c>
      <c r="E764" t="s">
        <v>35</v>
      </c>
      <c r="F764" t="s">
        <v>57</v>
      </c>
      <c r="G764" s="23">
        <v>44523</v>
      </c>
      <c r="H764" t="s">
        <v>3593</v>
      </c>
      <c r="I764" t="s">
        <v>3594</v>
      </c>
      <c r="J764" t="s">
        <v>3595</v>
      </c>
    </row>
    <row r="765" spans="1:10">
      <c r="A765" t="s">
        <v>3596</v>
      </c>
      <c r="B765" t="s">
        <v>3596</v>
      </c>
      <c r="C765" t="s">
        <v>3597</v>
      </c>
      <c r="D765">
        <v>8</v>
      </c>
      <c r="E765" t="s">
        <v>34</v>
      </c>
      <c r="F765" t="s">
        <v>57</v>
      </c>
      <c r="G765" s="23">
        <v>45550</v>
      </c>
      <c r="H765" t="s">
        <v>3598</v>
      </c>
      <c r="I765" t="s">
        <v>3599</v>
      </c>
      <c r="J765" t="s">
        <v>3600</v>
      </c>
    </row>
    <row r="766" spans="1:10">
      <c r="A766" t="s">
        <v>3601</v>
      </c>
      <c r="B766" t="s">
        <v>3601</v>
      </c>
      <c r="C766" t="s">
        <v>3602</v>
      </c>
      <c r="D766">
        <v>12</v>
      </c>
      <c r="E766" t="s">
        <v>29</v>
      </c>
      <c r="F766" t="s">
        <v>57</v>
      </c>
      <c r="G766" s="23">
        <v>46222</v>
      </c>
      <c r="H766" t="s">
        <v>3603</v>
      </c>
      <c r="I766" t="s">
        <v>3604</v>
      </c>
      <c r="J766" t="s">
        <v>3605</v>
      </c>
    </row>
    <row r="767" spans="1:10">
      <c r="A767" t="s">
        <v>3606</v>
      </c>
      <c r="B767" t="s">
        <v>3606</v>
      </c>
      <c r="C767" t="s">
        <v>3607</v>
      </c>
      <c r="D767">
        <v>36</v>
      </c>
      <c r="E767" t="s">
        <v>31</v>
      </c>
      <c r="F767" t="s">
        <v>57</v>
      </c>
      <c r="G767" s="23">
        <v>45777</v>
      </c>
      <c r="H767" t="s">
        <v>3608</v>
      </c>
      <c r="I767" t="s">
        <v>3609</v>
      </c>
      <c r="J767" t="s">
        <v>3610</v>
      </c>
    </row>
    <row r="768" spans="1:10">
      <c r="A768" t="s">
        <v>3611</v>
      </c>
      <c r="B768" t="s">
        <v>3611</v>
      </c>
      <c r="C768" t="s">
        <v>847</v>
      </c>
      <c r="D768">
        <v>5</v>
      </c>
      <c r="E768" t="s">
        <v>35</v>
      </c>
      <c r="F768" t="s">
        <v>57</v>
      </c>
      <c r="G768" s="23">
        <v>44777</v>
      </c>
      <c r="H768" t="s">
        <v>3612</v>
      </c>
      <c r="I768" t="s">
        <v>3613</v>
      </c>
      <c r="J768" t="s">
        <v>3614</v>
      </c>
    </row>
    <row r="769" spans="1:10">
      <c r="A769" t="s">
        <v>3615</v>
      </c>
      <c r="B769" t="s">
        <v>3615</v>
      </c>
      <c r="C769" t="s">
        <v>847</v>
      </c>
      <c r="D769">
        <v>7</v>
      </c>
      <c r="E769" t="s">
        <v>34</v>
      </c>
      <c r="F769" t="s">
        <v>57</v>
      </c>
      <c r="G769" s="23">
        <v>45600</v>
      </c>
      <c r="H769" t="s">
        <v>3616</v>
      </c>
      <c r="I769" t="s">
        <v>3617</v>
      </c>
      <c r="J769" t="s">
        <v>3618</v>
      </c>
    </row>
    <row r="770" spans="1:10">
      <c r="A770" t="s">
        <v>3619</v>
      </c>
      <c r="B770" t="s">
        <v>3619</v>
      </c>
      <c r="C770" t="s">
        <v>3620</v>
      </c>
      <c r="D770">
        <v>4</v>
      </c>
      <c r="E770" t="s">
        <v>34</v>
      </c>
      <c r="F770" t="s">
        <v>57</v>
      </c>
      <c r="G770" s="23">
        <v>44221</v>
      </c>
      <c r="H770" t="s">
        <v>3621</v>
      </c>
      <c r="I770" t="s">
        <v>3622</v>
      </c>
      <c r="J770" t="s">
        <v>3623</v>
      </c>
    </row>
    <row r="771" spans="1:10">
      <c r="A771" t="s">
        <v>3624</v>
      </c>
      <c r="B771" t="s">
        <v>3624</v>
      </c>
      <c r="C771" t="s">
        <v>3625</v>
      </c>
      <c r="D771">
        <v>12</v>
      </c>
      <c r="E771" t="s">
        <v>34</v>
      </c>
      <c r="F771" t="s">
        <v>57</v>
      </c>
      <c r="G771" s="23">
        <v>43775</v>
      </c>
      <c r="H771" t="s">
        <v>3626</v>
      </c>
      <c r="I771" t="s">
        <v>3627</v>
      </c>
      <c r="J771" t="s">
        <v>3628</v>
      </c>
    </row>
    <row r="772" spans="1:10">
      <c r="A772" t="s">
        <v>3629</v>
      </c>
      <c r="B772" t="s">
        <v>3629</v>
      </c>
      <c r="C772" t="s">
        <v>3630</v>
      </c>
      <c r="D772">
        <v>10</v>
      </c>
      <c r="E772" t="s">
        <v>31</v>
      </c>
      <c r="F772" t="s">
        <v>57</v>
      </c>
      <c r="G772" s="23">
        <v>44679</v>
      </c>
      <c r="H772" t="s">
        <v>3631</v>
      </c>
      <c r="I772" t="s">
        <v>3632</v>
      </c>
      <c r="J772" t="s">
        <v>3633</v>
      </c>
    </row>
    <row r="773" spans="1:10">
      <c r="A773" t="s">
        <v>3634</v>
      </c>
      <c r="B773" t="s">
        <v>3634</v>
      </c>
      <c r="C773" t="s">
        <v>3635</v>
      </c>
      <c r="D773">
        <v>10</v>
      </c>
      <c r="E773" t="s">
        <v>31</v>
      </c>
      <c r="F773" t="s">
        <v>57</v>
      </c>
      <c r="G773" s="23">
        <v>44108</v>
      </c>
      <c r="H773" t="s">
        <v>3636</v>
      </c>
      <c r="I773" t="s">
        <v>3637</v>
      </c>
      <c r="J773" t="s">
        <v>3638</v>
      </c>
    </row>
    <row r="774" spans="1:10">
      <c r="A774" t="s">
        <v>3639</v>
      </c>
      <c r="B774" t="s">
        <v>3639</v>
      </c>
      <c r="C774" t="s">
        <v>1824</v>
      </c>
      <c r="D774">
        <v>1</v>
      </c>
      <c r="E774" t="s">
        <v>34</v>
      </c>
      <c r="F774" t="s">
        <v>57</v>
      </c>
      <c r="G774" s="23">
        <v>44973</v>
      </c>
      <c r="H774" t="s">
        <v>3640</v>
      </c>
      <c r="I774" t="s">
        <v>3641</v>
      </c>
      <c r="J774" t="s">
        <v>3642</v>
      </c>
    </row>
    <row r="775" spans="1:10">
      <c r="A775" t="s">
        <v>3643</v>
      </c>
      <c r="B775" t="s">
        <v>3643</v>
      </c>
      <c r="C775" t="s">
        <v>3644</v>
      </c>
      <c r="D775">
        <v>11</v>
      </c>
      <c r="E775" t="s">
        <v>34</v>
      </c>
      <c r="F775" t="s">
        <v>57</v>
      </c>
      <c r="G775" s="23">
        <v>42965</v>
      </c>
      <c r="H775" t="s">
        <v>3645</v>
      </c>
      <c r="I775" t="s">
        <v>3646</v>
      </c>
      <c r="J775" t="s">
        <v>3647</v>
      </c>
    </row>
    <row r="776" spans="1:10">
      <c r="A776" t="s">
        <v>3648</v>
      </c>
      <c r="B776" t="s">
        <v>3648</v>
      </c>
      <c r="C776" t="s">
        <v>3644</v>
      </c>
      <c r="D776">
        <v>9</v>
      </c>
      <c r="E776" t="s">
        <v>35</v>
      </c>
      <c r="F776" t="s">
        <v>57</v>
      </c>
      <c r="G776" s="23">
        <v>42965</v>
      </c>
      <c r="H776" t="s">
        <v>3649</v>
      </c>
      <c r="I776" t="s">
        <v>3650</v>
      </c>
      <c r="J776" t="s">
        <v>3651</v>
      </c>
    </row>
    <row r="777" spans="1:10">
      <c r="A777" t="s">
        <v>3652</v>
      </c>
      <c r="B777" t="s">
        <v>3652</v>
      </c>
      <c r="C777" t="s">
        <v>3644</v>
      </c>
      <c r="D777">
        <v>12</v>
      </c>
      <c r="E777" t="s">
        <v>36</v>
      </c>
      <c r="F777" t="s">
        <v>57</v>
      </c>
      <c r="G777" s="23">
        <v>42965</v>
      </c>
      <c r="H777" t="s">
        <v>3653</v>
      </c>
      <c r="I777" t="s">
        <v>3654</v>
      </c>
      <c r="J777" t="s">
        <v>3655</v>
      </c>
    </row>
    <row r="778" spans="1:10">
      <c r="A778" t="s">
        <v>3656</v>
      </c>
      <c r="B778" t="s">
        <v>3656</v>
      </c>
      <c r="C778" t="s">
        <v>2526</v>
      </c>
      <c r="D778">
        <v>10</v>
      </c>
      <c r="E778" t="s">
        <v>35</v>
      </c>
      <c r="F778" t="s">
        <v>57</v>
      </c>
      <c r="G778" s="23">
        <v>46094</v>
      </c>
      <c r="H778" t="s">
        <v>3657</v>
      </c>
      <c r="I778" t="s">
        <v>3658</v>
      </c>
      <c r="J778" t="s">
        <v>3659</v>
      </c>
    </row>
    <row r="779" spans="1:10">
      <c r="A779" t="s">
        <v>3660</v>
      </c>
      <c r="B779" t="s">
        <v>3660</v>
      </c>
      <c r="C779" t="s">
        <v>3661</v>
      </c>
      <c r="D779">
        <v>22</v>
      </c>
      <c r="E779" t="s">
        <v>34</v>
      </c>
      <c r="F779" t="s">
        <v>57</v>
      </c>
      <c r="G779" s="23">
        <v>43569</v>
      </c>
      <c r="H779" t="s">
        <v>3662</v>
      </c>
      <c r="I779" t="s">
        <v>3663</v>
      </c>
      <c r="J779" t="s">
        <v>3664</v>
      </c>
    </row>
    <row r="780" spans="1:10">
      <c r="A780" t="s">
        <v>3665</v>
      </c>
      <c r="B780" t="s">
        <v>3665</v>
      </c>
      <c r="C780" t="s">
        <v>3666</v>
      </c>
      <c r="D780">
        <v>25</v>
      </c>
      <c r="E780" t="s">
        <v>29</v>
      </c>
      <c r="F780" t="s">
        <v>63</v>
      </c>
      <c r="G780" s="23">
        <v>42239</v>
      </c>
      <c r="H780" t="s">
        <v>3667</v>
      </c>
      <c r="I780" t="s">
        <v>3668</v>
      </c>
      <c r="J780" t="s">
        <v>3669</v>
      </c>
    </row>
    <row r="781" spans="1:10">
      <c r="A781" t="s">
        <v>3670</v>
      </c>
      <c r="B781" t="s">
        <v>3670</v>
      </c>
      <c r="C781" t="s">
        <v>504</v>
      </c>
      <c r="D781">
        <v>82</v>
      </c>
      <c r="E781" t="s">
        <v>29</v>
      </c>
      <c r="F781" t="s">
        <v>63</v>
      </c>
      <c r="G781" s="23">
        <v>42284</v>
      </c>
      <c r="H781" t="s">
        <v>3671</v>
      </c>
      <c r="I781" t="s">
        <v>3672</v>
      </c>
      <c r="J781" t="s">
        <v>3673</v>
      </c>
    </row>
    <row r="782" spans="1:10">
      <c r="A782" t="s">
        <v>3674</v>
      </c>
      <c r="B782" t="s">
        <v>3674</v>
      </c>
      <c r="C782" t="s">
        <v>3675</v>
      </c>
      <c r="D782">
        <v>10</v>
      </c>
      <c r="E782" t="s">
        <v>29</v>
      </c>
      <c r="F782" t="s">
        <v>63</v>
      </c>
      <c r="G782" s="23">
        <v>42349</v>
      </c>
      <c r="H782" t="s">
        <v>3676</v>
      </c>
      <c r="I782" t="s">
        <v>3677</v>
      </c>
      <c r="J782" t="s">
        <v>3678</v>
      </c>
    </row>
    <row r="783" spans="1:10">
      <c r="A783" t="s">
        <v>3679</v>
      </c>
      <c r="B783" t="s">
        <v>3679</v>
      </c>
      <c r="C783" t="s">
        <v>3680</v>
      </c>
      <c r="D783">
        <v>28</v>
      </c>
      <c r="E783" t="s">
        <v>33</v>
      </c>
      <c r="F783" t="s">
        <v>57</v>
      </c>
      <c r="G783" s="23">
        <v>45233</v>
      </c>
      <c r="H783" t="s">
        <v>3681</v>
      </c>
      <c r="I783" t="s">
        <v>3682</v>
      </c>
      <c r="J783" t="s">
        <v>3683</v>
      </c>
    </row>
    <row r="784" spans="1:10">
      <c r="A784" t="s">
        <v>3684</v>
      </c>
      <c r="B784" t="s">
        <v>3684</v>
      </c>
      <c r="C784" t="s">
        <v>3685</v>
      </c>
      <c r="D784">
        <v>42</v>
      </c>
      <c r="E784" t="s">
        <v>31</v>
      </c>
      <c r="F784" t="s">
        <v>63</v>
      </c>
      <c r="G784" s="23">
        <v>41517</v>
      </c>
      <c r="H784" t="s">
        <v>3686</v>
      </c>
      <c r="I784" t="s">
        <v>3687</v>
      </c>
      <c r="J784" t="s">
        <v>3688</v>
      </c>
    </row>
    <row r="785" spans="1:10">
      <c r="A785" t="s">
        <v>3689</v>
      </c>
      <c r="B785" t="s">
        <v>3689</v>
      </c>
      <c r="C785" t="s">
        <v>2359</v>
      </c>
      <c r="D785">
        <v>13</v>
      </c>
      <c r="E785" t="s">
        <v>34</v>
      </c>
      <c r="F785" t="s">
        <v>57</v>
      </c>
      <c r="G785" s="23">
        <v>46123</v>
      </c>
      <c r="H785" t="s">
        <v>3690</v>
      </c>
      <c r="I785" t="s">
        <v>3691</v>
      </c>
      <c r="J785" t="s">
        <v>3692</v>
      </c>
    </row>
    <row r="786" spans="1:10">
      <c r="A786" t="s">
        <v>3693</v>
      </c>
      <c r="B786" t="s">
        <v>3693</v>
      </c>
      <c r="C786" t="s">
        <v>2225</v>
      </c>
      <c r="D786">
        <v>35</v>
      </c>
      <c r="E786" t="s">
        <v>29</v>
      </c>
      <c r="F786" t="s">
        <v>63</v>
      </c>
      <c r="G786" s="23">
        <v>42057</v>
      </c>
      <c r="H786" t="s">
        <v>3694</v>
      </c>
      <c r="I786" t="s">
        <v>3695</v>
      </c>
      <c r="J786" t="s">
        <v>3696</v>
      </c>
    </row>
    <row r="787" spans="1:10">
      <c r="A787" t="s">
        <v>3697</v>
      </c>
      <c r="B787" t="s">
        <v>3697</v>
      </c>
      <c r="C787" t="s">
        <v>3698</v>
      </c>
      <c r="D787">
        <v>13</v>
      </c>
      <c r="E787" t="s">
        <v>34</v>
      </c>
      <c r="F787" t="s">
        <v>57</v>
      </c>
      <c r="G787" s="23">
        <v>44022</v>
      </c>
      <c r="H787" t="s">
        <v>3699</v>
      </c>
      <c r="I787" t="s">
        <v>3700</v>
      </c>
      <c r="J787" t="s">
        <v>3701</v>
      </c>
    </row>
    <row r="788" spans="1:10">
      <c r="A788" t="s">
        <v>3702</v>
      </c>
      <c r="B788" t="s">
        <v>3702</v>
      </c>
      <c r="C788" t="s">
        <v>590</v>
      </c>
      <c r="D788">
        <v>12</v>
      </c>
      <c r="E788" t="s">
        <v>33</v>
      </c>
      <c r="F788" t="s">
        <v>57</v>
      </c>
      <c r="G788" s="23">
        <v>44925</v>
      </c>
      <c r="H788" t="s">
        <v>3703</v>
      </c>
      <c r="I788" t="s">
        <v>3704</v>
      </c>
      <c r="J788" t="s">
        <v>3705</v>
      </c>
    </row>
    <row r="789" spans="1:10">
      <c r="A789" t="s">
        <v>3706</v>
      </c>
      <c r="B789" t="s">
        <v>3706</v>
      </c>
      <c r="C789" t="s">
        <v>3707</v>
      </c>
      <c r="D789">
        <v>15</v>
      </c>
      <c r="E789" t="s">
        <v>34</v>
      </c>
      <c r="F789" t="s">
        <v>57</v>
      </c>
      <c r="G789" s="23">
        <v>45335</v>
      </c>
      <c r="H789" t="s">
        <v>3708</v>
      </c>
      <c r="I789" t="s">
        <v>3709</v>
      </c>
      <c r="J789" t="s">
        <v>3710</v>
      </c>
    </row>
    <row r="790" spans="1:10">
      <c r="A790" t="s">
        <v>3711</v>
      </c>
      <c r="B790" t="s">
        <v>3711</v>
      </c>
      <c r="C790" t="s">
        <v>360</v>
      </c>
      <c r="D790">
        <v>5</v>
      </c>
      <c r="E790" t="s">
        <v>33</v>
      </c>
      <c r="F790" t="s">
        <v>63</v>
      </c>
      <c r="G790" s="23">
        <v>43800</v>
      </c>
      <c r="H790" t="s">
        <v>3712</v>
      </c>
      <c r="I790" t="s">
        <v>3713</v>
      </c>
      <c r="J790" t="s">
        <v>3714</v>
      </c>
    </row>
    <row r="791" spans="1:10">
      <c r="A791" t="s">
        <v>3715</v>
      </c>
      <c r="B791" t="s">
        <v>3715</v>
      </c>
      <c r="C791" t="s">
        <v>3716</v>
      </c>
      <c r="D791">
        <v>4</v>
      </c>
      <c r="E791" t="s">
        <v>36</v>
      </c>
      <c r="F791" t="s">
        <v>57</v>
      </c>
      <c r="G791" s="23">
        <v>45551</v>
      </c>
      <c r="H791" t="s">
        <v>3717</v>
      </c>
      <c r="I791" t="s">
        <v>3718</v>
      </c>
      <c r="J791" t="s">
        <v>3719</v>
      </c>
    </row>
    <row r="792" spans="1:10">
      <c r="A792" t="s">
        <v>3720</v>
      </c>
      <c r="B792" t="s">
        <v>3720</v>
      </c>
      <c r="C792" t="s">
        <v>3721</v>
      </c>
      <c r="D792">
        <v>1</v>
      </c>
      <c r="E792" t="s">
        <v>29</v>
      </c>
      <c r="F792" t="s">
        <v>63</v>
      </c>
      <c r="G792" s="23">
        <v>42003</v>
      </c>
      <c r="H792" t="s">
        <v>3722</v>
      </c>
      <c r="I792" t="s">
        <v>3723</v>
      </c>
      <c r="J792" t="s">
        <v>3724</v>
      </c>
    </row>
    <row r="793" spans="1:10">
      <c r="A793" t="s">
        <v>3725</v>
      </c>
      <c r="B793" t="s">
        <v>3725</v>
      </c>
      <c r="C793" t="s">
        <v>3726</v>
      </c>
      <c r="D793">
        <v>11</v>
      </c>
      <c r="E793" t="s">
        <v>33</v>
      </c>
      <c r="F793" t="s">
        <v>57</v>
      </c>
      <c r="G793" s="23">
        <v>44214</v>
      </c>
      <c r="H793" t="s">
        <v>3727</v>
      </c>
      <c r="I793" t="s">
        <v>3728</v>
      </c>
      <c r="J793" t="s">
        <v>3729</v>
      </c>
    </row>
    <row r="794" spans="1:10">
      <c r="A794" t="s">
        <v>3730</v>
      </c>
      <c r="B794" t="s">
        <v>3730</v>
      </c>
      <c r="C794" t="s">
        <v>680</v>
      </c>
      <c r="D794">
        <v>6</v>
      </c>
      <c r="E794" t="s">
        <v>31</v>
      </c>
      <c r="F794" t="s">
        <v>63</v>
      </c>
      <c r="G794" s="23">
        <v>42176</v>
      </c>
      <c r="H794" t="s">
        <v>3731</v>
      </c>
      <c r="I794" t="s">
        <v>3732</v>
      </c>
      <c r="J794" t="s">
        <v>3733</v>
      </c>
    </row>
    <row r="795" spans="1:10">
      <c r="A795" t="s">
        <v>3734</v>
      </c>
      <c r="B795" t="s">
        <v>3734</v>
      </c>
      <c r="C795" t="s">
        <v>680</v>
      </c>
      <c r="D795">
        <v>6</v>
      </c>
      <c r="E795" t="s">
        <v>29</v>
      </c>
      <c r="F795" t="s">
        <v>63</v>
      </c>
      <c r="G795" s="23">
        <v>41566</v>
      </c>
      <c r="H795" t="s">
        <v>3735</v>
      </c>
      <c r="I795" t="s">
        <v>3736</v>
      </c>
      <c r="J795" t="s">
        <v>3737</v>
      </c>
    </row>
    <row r="796" spans="1:10">
      <c r="A796" t="s">
        <v>3738</v>
      </c>
      <c r="B796" t="s">
        <v>3738</v>
      </c>
      <c r="C796" t="s">
        <v>680</v>
      </c>
      <c r="D796">
        <v>32</v>
      </c>
      <c r="E796" t="s">
        <v>29</v>
      </c>
      <c r="F796" t="s">
        <v>63</v>
      </c>
      <c r="G796" s="23">
        <v>42176</v>
      </c>
      <c r="H796" t="s">
        <v>3739</v>
      </c>
      <c r="I796" t="s">
        <v>3740</v>
      </c>
      <c r="J796" t="s">
        <v>3741</v>
      </c>
    </row>
    <row r="797" spans="1:10">
      <c r="A797" t="s">
        <v>3742</v>
      </c>
      <c r="B797" t="s">
        <v>3742</v>
      </c>
      <c r="C797" t="s">
        <v>680</v>
      </c>
      <c r="D797">
        <v>13</v>
      </c>
      <c r="E797" t="s">
        <v>31</v>
      </c>
      <c r="F797" t="s">
        <v>63</v>
      </c>
      <c r="G797" s="23">
        <v>42176</v>
      </c>
      <c r="H797" t="s">
        <v>3743</v>
      </c>
      <c r="I797" t="s">
        <v>3744</v>
      </c>
      <c r="J797" t="s">
        <v>3745</v>
      </c>
    </row>
    <row r="798" spans="1:10">
      <c r="A798" t="s">
        <v>3746</v>
      </c>
      <c r="B798" t="s">
        <v>3746</v>
      </c>
      <c r="C798" t="s">
        <v>680</v>
      </c>
      <c r="D798">
        <v>11</v>
      </c>
      <c r="E798" t="s">
        <v>27</v>
      </c>
      <c r="F798" t="s">
        <v>63</v>
      </c>
      <c r="G798" s="23">
        <v>41557</v>
      </c>
      <c r="H798" t="s">
        <v>3747</v>
      </c>
      <c r="I798" t="s">
        <v>3748</v>
      </c>
      <c r="J798" t="s">
        <v>3749</v>
      </c>
    </row>
    <row r="799" spans="1:10">
      <c r="A799" t="s">
        <v>3750</v>
      </c>
      <c r="B799" t="s">
        <v>3750</v>
      </c>
      <c r="C799" t="s">
        <v>3751</v>
      </c>
      <c r="D799">
        <v>27</v>
      </c>
      <c r="E799" t="s">
        <v>34</v>
      </c>
      <c r="F799" t="s">
        <v>57</v>
      </c>
      <c r="G799" s="23">
        <v>44291</v>
      </c>
      <c r="H799" t="s">
        <v>3752</v>
      </c>
      <c r="I799" t="s">
        <v>3753</v>
      </c>
      <c r="J799" t="s">
        <v>3754</v>
      </c>
    </row>
    <row r="800" spans="1:10">
      <c r="A800" t="s">
        <v>3755</v>
      </c>
      <c r="B800" t="s">
        <v>3755</v>
      </c>
      <c r="C800" t="s">
        <v>670</v>
      </c>
      <c r="D800">
        <v>25</v>
      </c>
      <c r="E800" t="s">
        <v>36</v>
      </c>
      <c r="F800" t="s">
        <v>57</v>
      </c>
      <c r="G800" s="23">
        <v>44956</v>
      </c>
      <c r="H800" t="s">
        <v>3756</v>
      </c>
      <c r="I800" t="s">
        <v>3757</v>
      </c>
      <c r="J800" t="s">
        <v>3758</v>
      </c>
    </row>
    <row r="801" spans="1:10">
      <c r="A801" t="s">
        <v>3759</v>
      </c>
      <c r="B801" t="s">
        <v>3759</v>
      </c>
      <c r="C801" t="s">
        <v>3760</v>
      </c>
      <c r="D801">
        <v>10</v>
      </c>
      <c r="E801" t="s">
        <v>34</v>
      </c>
      <c r="F801" t="s">
        <v>57</v>
      </c>
      <c r="G801" s="23">
        <v>44361</v>
      </c>
      <c r="H801" t="s">
        <v>3761</v>
      </c>
      <c r="I801" t="s">
        <v>3762</v>
      </c>
      <c r="J801" t="s">
        <v>3763</v>
      </c>
    </row>
    <row r="802" spans="1:10">
      <c r="A802" t="s">
        <v>3764</v>
      </c>
      <c r="B802" t="s">
        <v>3764</v>
      </c>
      <c r="C802" t="s">
        <v>945</v>
      </c>
      <c r="D802">
        <v>16</v>
      </c>
      <c r="E802" t="s">
        <v>33</v>
      </c>
      <c r="F802" t="s">
        <v>63</v>
      </c>
      <c r="G802" s="23">
        <v>45730</v>
      </c>
      <c r="H802" t="s">
        <v>3765</v>
      </c>
      <c r="I802" t="s">
        <v>3766</v>
      </c>
      <c r="J802" t="s">
        <v>3767</v>
      </c>
    </row>
    <row r="803" spans="1:10">
      <c r="A803" t="s">
        <v>3768</v>
      </c>
      <c r="B803" t="s">
        <v>3768</v>
      </c>
      <c r="C803" t="s">
        <v>3769</v>
      </c>
      <c r="D803">
        <v>29</v>
      </c>
      <c r="E803" t="s">
        <v>34</v>
      </c>
      <c r="F803" t="s">
        <v>57</v>
      </c>
      <c r="G803" s="23">
        <v>43446</v>
      </c>
      <c r="H803" t="s">
        <v>3770</v>
      </c>
      <c r="I803" t="s">
        <v>3771</v>
      </c>
      <c r="J803" t="s">
        <v>3772</v>
      </c>
    </row>
    <row r="804" spans="1:10">
      <c r="A804" t="s">
        <v>3773</v>
      </c>
      <c r="B804" t="s">
        <v>3773</v>
      </c>
      <c r="C804" t="s">
        <v>370</v>
      </c>
      <c r="D804">
        <v>9</v>
      </c>
      <c r="E804" t="s">
        <v>34</v>
      </c>
      <c r="F804" t="s">
        <v>57</v>
      </c>
      <c r="G804" s="23">
        <v>44007</v>
      </c>
      <c r="H804" t="s">
        <v>3774</v>
      </c>
      <c r="I804" t="s">
        <v>3775</v>
      </c>
      <c r="J804" t="s">
        <v>3776</v>
      </c>
    </row>
    <row r="805" spans="1:10">
      <c r="A805" t="s">
        <v>3777</v>
      </c>
      <c r="B805" t="s">
        <v>3777</v>
      </c>
      <c r="C805" t="s">
        <v>3778</v>
      </c>
      <c r="D805">
        <v>19</v>
      </c>
      <c r="E805" t="s">
        <v>29</v>
      </c>
      <c r="F805" t="s">
        <v>63</v>
      </c>
      <c r="G805" s="23">
        <v>42238</v>
      </c>
      <c r="H805" t="s">
        <v>3779</v>
      </c>
      <c r="I805" t="s">
        <v>3780</v>
      </c>
      <c r="J805" t="s">
        <v>3781</v>
      </c>
    </row>
    <row r="806" spans="1:10">
      <c r="A806" t="s">
        <v>3782</v>
      </c>
      <c r="B806" t="s">
        <v>3782</v>
      </c>
      <c r="C806" t="s">
        <v>3783</v>
      </c>
      <c r="D806">
        <v>13</v>
      </c>
      <c r="E806" t="s">
        <v>33</v>
      </c>
      <c r="F806" t="s">
        <v>57</v>
      </c>
      <c r="G806" s="23">
        <v>45849</v>
      </c>
      <c r="H806" t="s">
        <v>3784</v>
      </c>
      <c r="I806" t="s">
        <v>3785</v>
      </c>
      <c r="J806" t="s">
        <v>3786</v>
      </c>
    </row>
    <row r="807" spans="1:10">
      <c r="A807" t="s">
        <v>3787</v>
      </c>
      <c r="B807" t="s">
        <v>3787</v>
      </c>
      <c r="C807" t="s">
        <v>3788</v>
      </c>
      <c r="D807">
        <v>17</v>
      </c>
      <c r="E807" t="s">
        <v>33</v>
      </c>
      <c r="F807" t="s">
        <v>57</v>
      </c>
      <c r="G807" s="23">
        <v>42784</v>
      </c>
      <c r="H807" t="s">
        <v>3789</v>
      </c>
      <c r="I807" t="s">
        <v>3790</v>
      </c>
      <c r="J807" t="s">
        <v>3791</v>
      </c>
    </row>
    <row r="808" spans="1:10">
      <c r="A808" t="s">
        <v>3792</v>
      </c>
      <c r="B808" t="s">
        <v>3792</v>
      </c>
      <c r="C808" t="s">
        <v>3788</v>
      </c>
      <c r="D808">
        <v>21</v>
      </c>
      <c r="E808" t="s">
        <v>34</v>
      </c>
      <c r="F808" t="s">
        <v>57</v>
      </c>
      <c r="G808" s="23">
        <v>43368</v>
      </c>
      <c r="H808" t="s">
        <v>3793</v>
      </c>
      <c r="I808" t="s">
        <v>3794</v>
      </c>
      <c r="J808" t="s">
        <v>3795</v>
      </c>
    </row>
    <row r="809" spans="1:10">
      <c r="A809" t="s">
        <v>3796</v>
      </c>
      <c r="B809" t="s">
        <v>3796</v>
      </c>
      <c r="C809" t="s">
        <v>3797</v>
      </c>
      <c r="D809">
        <v>9</v>
      </c>
      <c r="E809" t="s">
        <v>33</v>
      </c>
      <c r="F809" t="s">
        <v>57</v>
      </c>
      <c r="G809" s="23">
        <v>45031</v>
      </c>
      <c r="H809" t="s">
        <v>3798</v>
      </c>
      <c r="I809" t="s">
        <v>3799</v>
      </c>
      <c r="J809" t="s">
        <v>3800</v>
      </c>
    </row>
    <row r="810" spans="1:10">
      <c r="A810" t="s">
        <v>3801</v>
      </c>
      <c r="B810" t="s">
        <v>3801</v>
      </c>
      <c r="C810" t="s">
        <v>2062</v>
      </c>
      <c r="D810">
        <v>6</v>
      </c>
      <c r="E810" t="s">
        <v>34</v>
      </c>
      <c r="F810" t="s">
        <v>57</v>
      </c>
      <c r="G810" s="23">
        <v>43797</v>
      </c>
      <c r="H810" t="s">
        <v>3802</v>
      </c>
      <c r="I810" t="s">
        <v>3803</v>
      </c>
      <c r="J810" t="s">
        <v>3804</v>
      </c>
    </row>
    <row r="811" spans="1:10">
      <c r="A811" t="s">
        <v>3805</v>
      </c>
      <c r="B811" t="s">
        <v>3805</v>
      </c>
      <c r="C811" t="s">
        <v>94</v>
      </c>
      <c r="D811">
        <v>14</v>
      </c>
      <c r="E811" t="s">
        <v>31</v>
      </c>
      <c r="F811" t="s">
        <v>63</v>
      </c>
      <c r="G811" s="23">
        <v>43705</v>
      </c>
      <c r="H811" t="s">
        <v>3806</v>
      </c>
      <c r="I811" t="s">
        <v>3807</v>
      </c>
      <c r="J811" t="s">
        <v>3808</v>
      </c>
    </row>
    <row r="812" spans="1:10">
      <c r="A812" t="s">
        <v>3809</v>
      </c>
      <c r="B812" t="s">
        <v>3809</v>
      </c>
      <c r="C812" t="s">
        <v>3810</v>
      </c>
      <c r="D812">
        <v>1</v>
      </c>
      <c r="E812" t="s">
        <v>33</v>
      </c>
      <c r="F812" t="s">
        <v>63</v>
      </c>
      <c r="G812" s="23">
        <v>44781</v>
      </c>
      <c r="H812" t="s">
        <v>3811</v>
      </c>
      <c r="I812" t="s">
        <v>3812</v>
      </c>
      <c r="J812" t="s">
        <v>3813</v>
      </c>
    </row>
    <row r="813" spans="1:10">
      <c r="A813" t="s">
        <v>3814</v>
      </c>
      <c r="B813" t="s">
        <v>3814</v>
      </c>
      <c r="C813" t="s">
        <v>3815</v>
      </c>
      <c r="D813">
        <v>5</v>
      </c>
      <c r="E813" t="s">
        <v>34</v>
      </c>
      <c r="F813" t="s">
        <v>57</v>
      </c>
      <c r="G813" s="23">
        <v>45788</v>
      </c>
      <c r="H813" t="s">
        <v>3816</v>
      </c>
      <c r="I813" t="s">
        <v>3817</v>
      </c>
      <c r="J813" t="s">
        <v>3818</v>
      </c>
    </row>
    <row r="814" spans="1:10">
      <c r="A814" t="s">
        <v>3819</v>
      </c>
      <c r="B814" t="s">
        <v>3819</v>
      </c>
      <c r="C814" t="s">
        <v>3820</v>
      </c>
      <c r="D814">
        <v>6</v>
      </c>
      <c r="E814" t="s">
        <v>27</v>
      </c>
      <c r="F814" t="s">
        <v>63</v>
      </c>
      <c r="G814" s="23">
        <v>42285</v>
      </c>
      <c r="H814" t="s">
        <v>3821</v>
      </c>
      <c r="I814" t="s">
        <v>3822</v>
      </c>
      <c r="J814" t="s">
        <v>3823</v>
      </c>
    </row>
    <row r="815" spans="1:10">
      <c r="A815" t="s">
        <v>3824</v>
      </c>
      <c r="B815" t="s">
        <v>3824</v>
      </c>
      <c r="C815" t="s">
        <v>1556</v>
      </c>
      <c r="D815">
        <v>29</v>
      </c>
      <c r="E815" t="s">
        <v>34</v>
      </c>
      <c r="F815" t="s">
        <v>571</v>
      </c>
      <c r="G815" s="23">
        <v>42939</v>
      </c>
      <c r="H815" t="s">
        <v>3825</v>
      </c>
      <c r="I815" t="s">
        <v>3826</v>
      </c>
      <c r="J815" t="s">
        <v>3827</v>
      </c>
    </row>
    <row r="816" spans="1:10">
      <c r="A816" t="s">
        <v>3828</v>
      </c>
      <c r="B816" t="s">
        <v>3828</v>
      </c>
      <c r="C816" t="s">
        <v>1556</v>
      </c>
      <c r="D816">
        <v>29</v>
      </c>
      <c r="E816" t="s">
        <v>35</v>
      </c>
      <c r="F816" t="s">
        <v>571</v>
      </c>
      <c r="G816" s="23">
        <v>44106</v>
      </c>
      <c r="H816" t="s">
        <v>3829</v>
      </c>
      <c r="I816" t="s">
        <v>3830</v>
      </c>
      <c r="J816" t="s">
        <v>3831</v>
      </c>
    </row>
    <row r="817" spans="1:10">
      <c r="A817" t="s">
        <v>3832</v>
      </c>
      <c r="B817" t="s">
        <v>3832</v>
      </c>
      <c r="C817" t="s">
        <v>3833</v>
      </c>
      <c r="D817">
        <v>4</v>
      </c>
      <c r="E817" t="s">
        <v>27</v>
      </c>
      <c r="F817" t="s">
        <v>63</v>
      </c>
      <c r="G817" s="23">
        <v>41814</v>
      </c>
      <c r="H817" t="s">
        <v>3834</v>
      </c>
      <c r="I817" t="s">
        <v>3835</v>
      </c>
      <c r="J817" t="s">
        <v>3836</v>
      </c>
    </row>
    <row r="818" spans="1:10">
      <c r="A818" t="s">
        <v>3837</v>
      </c>
      <c r="B818" t="s">
        <v>3837</v>
      </c>
      <c r="C818" t="s">
        <v>1506</v>
      </c>
      <c r="D818">
        <v>5</v>
      </c>
      <c r="E818" t="s">
        <v>29</v>
      </c>
      <c r="F818" t="s">
        <v>63</v>
      </c>
      <c r="G818" s="23">
        <v>42217</v>
      </c>
      <c r="H818" t="s">
        <v>3838</v>
      </c>
      <c r="I818" t="s">
        <v>3839</v>
      </c>
      <c r="J818" t="s">
        <v>3840</v>
      </c>
    </row>
    <row r="819" spans="1:10">
      <c r="A819" t="s">
        <v>3841</v>
      </c>
      <c r="B819" t="s">
        <v>3841</v>
      </c>
      <c r="C819" t="s">
        <v>3842</v>
      </c>
      <c r="D819">
        <v>16</v>
      </c>
      <c r="E819" t="s">
        <v>34</v>
      </c>
      <c r="F819" t="s">
        <v>57</v>
      </c>
      <c r="G819" s="23">
        <v>44103</v>
      </c>
      <c r="H819" t="s">
        <v>3843</v>
      </c>
      <c r="I819" t="s">
        <v>3844</v>
      </c>
      <c r="J819" t="s">
        <v>3845</v>
      </c>
    </row>
    <row r="820" spans="1:10">
      <c r="A820" t="s">
        <v>3846</v>
      </c>
      <c r="B820" t="s">
        <v>3846</v>
      </c>
      <c r="C820" t="s">
        <v>1824</v>
      </c>
      <c r="D820">
        <v>65</v>
      </c>
      <c r="E820" t="s">
        <v>34</v>
      </c>
      <c r="F820" t="s">
        <v>115</v>
      </c>
      <c r="G820" s="23">
        <v>44248</v>
      </c>
      <c r="H820" t="s">
        <v>3847</v>
      </c>
      <c r="I820" t="s">
        <v>3848</v>
      </c>
      <c r="J820" t="s">
        <v>3849</v>
      </c>
    </row>
    <row r="821" spans="1:10">
      <c r="A821" t="s">
        <v>3850</v>
      </c>
      <c r="B821" t="s">
        <v>3850</v>
      </c>
      <c r="C821" t="s">
        <v>3851</v>
      </c>
      <c r="D821">
        <v>3</v>
      </c>
      <c r="E821" t="s">
        <v>27</v>
      </c>
      <c r="F821" t="s">
        <v>63</v>
      </c>
      <c r="G821" s="23">
        <v>45162</v>
      </c>
      <c r="H821" t="s">
        <v>3852</v>
      </c>
      <c r="I821" t="s">
        <v>3853</v>
      </c>
      <c r="J821" t="s">
        <v>3854</v>
      </c>
    </row>
    <row r="822" spans="1:10">
      <c r="A822" t="s">
        <v>3855</v>
      </c>
      <c r="B822" t="s">
        <v>3855</v>
      </c>
      <c r="C822" t="s">
        <v>3851</v>
      </c>
      <c r="D822">
        <v>13</v>
      </c>
      <c r="E822" t="s">
        <v>29</v>
      </c>
      <c r="F822" t="s">
        <v>63</v>
      </c>
      <c r="G822" s="23">
        <v>45210</v>
      </c>
      <c r="H822" t="s">
        <v>3856</v>
      </c>
      <c r="I822" t="s">
        <v>3857</v>
      </c>
      <c r="J822" t="s">
        <v>3858</v>
      </c>
    </row>
    <row r="823" spans="1:10">
      <c r="A823" t="s">
        <v>3859</v>
      </c>
      <c r="B823" t="s">
        <v>3859</v>
      </c>
      <c r="C823" t="s">
        <v>3860</v>
      </c>
      <c r="D823">
        <v>9</v>
      </c>
      <c r="E823" t="s">
        <v>33</v>
      </c>
      <c r="F823" t="s">
        <v>57</v>
      </c>
      <c r="G823" s="23">
        <v>45831</v>
      </c>
      <c r="H823" t="s">
        <v>3861</v>
      </c>
      <c r="I823" t="s">
        <v>3862</v>
      </c>
      <c r="J823" t="s">
        <v>3863</v>
      </c>
    </row>
    <row r="824" spans="1:10">
      <c r="A824" t="s">
        <v>3864</v>
      </c>
      <c r="B824" t="s">
        <v>3864</v>
      </c>
      <c r="C824" t="s">
        <v>3865</v>
      </c>
      <c r="D824">
        <v>8</v>
      </c>
      <c r="E824" t="s">
        <v>35</v>
      </c>
      <c r="F824" t="s">
        <v>57</v>
      </c>
      <c r="G824" s="23">
        <v>45416</v>
      </c>
      <c r="H824" t="s">
        <v>3866</v>
      </c>
      <c r="I824" t="s">
        <v>3867</v>
      </c>
      <c r="J824" t="s">
        <v>3868</v>
      </c>
    </row>
    <row r="825" spans="1:10">
      <c r="A825" t="s">
        <v>3869</v>
      </c>
      <c r="B825" t="s">
        <v>3869</v>
      </c>
      <c r="C825" t="s">
        <v>3870</v>
      </c>
      <c r="D825">
        <v>6</v>
      </c>
      <c r="E825" t="s">
        <v>27</v>
      </c>
      <c r="F825" t="s">
        <v>63</v>
      </c>
      <c r="G825" s="23">
        <v>42841</v>
      </c>
      <c r="H825" t="s">
        <v>3871</v>
      </c>
      <c r="I825" t="s">
        <v>3872</v>
      </c>
      <c r="J825" t="s">
        <v>3873</v>
      </c>
    </row>
    <row r="826" spans="1:10">
      <c r="A826" t="s">
        <v>3874</v>
      </c>
      <c r="B826" t="s">
        <v>3874</v>
      </c>
      <c r="C826" t="s">
        <v>3324</v>
      </c>
      <c r="D826">
        <v>9</v>
      </c>
      <c r="E826" t="s">
        <v>34</v>
      </c>
      <c r="F826" t="s">
        <v>57</v>
      </c>
      <c r="G826" s="23">
        <v>46176</v>
      </c>
      <c r="H826" t="s">
        <v>3875</v>
      </c>
      <c r="I826" t="s">
        <v>3876</v>
      </c>
      <c r="J826" t="s">
        <v>3877</v>
      </c>
    </row>
    <row r="827" spans="1:10">
      <c r="A827" t="s">
        <v>3878</v>
      </c>
      <c r="B827" t="s">
        <v>3878</v>
      </c>
      <c r="C827" t="s">
        <v>3879</v>
      </c>
      <c r="D827">
        <v>6</v>
      </c>
      <c r="E827" t="s">
        <v>34</v>
      </c>
      <c r="F827" t="s">
        <v>57</v>
      </c>
      <c r="G827" s="23">
        <v>45121</v>
      </c>
      <c r="H827" t="s">
        <v>3880</v>
      </c>
      <c r="I827" t="s">
        <v>3881</v>
      </c>
      <c r="J827" t="s">
        <v>3882</v>
      </c>
    </row>
    <row r="828" spans="1:10">
      <c r="A828" t="s">
        <v>3883</v>
      </c>
      <c r="B828" t="s">
        <v>3883</v>
      </c>
      <c r="C828" t="s">
        <v>3884</v>
      </c>
      <c r="D828">
        <v>5</v>
      </c>
      <c r="E828" t="s">
        <v>35</v>
      </c>
      <c r="F828" t="s">
        <v>57</v>
      </c>
      <c r="G828" s="23">
        <v>45606</v>
      </c>
      <c r="H828" t="s">
        <v>3885</v>
      </c>
      <c r="I828" t="s">
        <v>3886</v>
      </c>
      <c r="J828" t="s">
        <v>3887</v>
      </c>
    </row>
    <row r="829" spans="1:10">
      <c r="A829" t="s">
        <v>3888</v>
      </c>
      <c r="B829" t="s">
        <v>3888</v>
      </c>
      <c r="C829" t="s">
        <v>1097</v>
      </c>
      <c r="D829">
        <v>1</v>
      </c>
      <c r="E829" t="s">
        <v>35</v>
      </c>
      <c r="F829" t="s">
        <v>57</v>
      </c>
      <c r="G829" s="23">
        <v>45408</v>
      </c>
      <c r="H829" t="s">
        <v>3889</v>
      </c>
      <c r="I829" t="s">
        <v>3890</v>
      </c>
      <c r="J829" t="s">
        <v>3891</v>
      </c>
    </row>
    <row r="830" spans="1:10">
      <c r="A830" t="s">
        <v>3892</v>
      </c>
      <c r="B830" t="s">
        <v>3892</v>
      </c>
      <c r="C830" t="s">
        <v>3893</v>
      </c>
      <c r="D830">
        <v>24</v>
      </c>
      <c r="E830" t="s">
        <v>29</v>
      </c>
      <c r="F830" t="s">
        <v>63</v>
      </c>
      <c r="G830" s="23">
        <v>45704</v>
      </c>
      <c r="H830" t="s">
        <v>3894</v>
      </c>
      <c r="I830" t="s">
        <v>3895</v>
      </c>
      <c r="J830" t="s">
        <v>3896</v>
      </c>
    </row>
    <row r="831" spans="1:10">
      <c r="A831" t="s">
        <v>3897</v>
      </c>
      <c r="B831" t="s">
        <v>3897</v>
      </c>
      <c r="C831" t="s">
        <v>3893</v>
      </c>
      <c r="D831">
        <v>12</v>
      </c>
      <c r="E831" t="s">
        <v>31</v>
      </c>
      <c r="F831" t="s">
        <v>63</v>
      </c>
      <c r="G831" s="23">
        <v>44833</v>
      </c>
      <c r="H831" t="s">
        <v>3898</v>
      </c>
      <c r="I831" t="s">
        <v>3899</v>
      </c>
      <c r="J831" t="s">
        <v>3900</v>
      </c>
    </row>
    <row r="832" spans="1:10">
      <c r="A832" t="s">
        <v>3901</v>
      </c>
      <c r="B832" t="s">
        <v>3901</v>
      </c>
      <c r="C832" t="s">
        <v>3902</v>
      </c>
      <c r="D832">
        <v>1</v>
      </c>
      <c r="E832" t="s">
        <v>29</v>
      </c>
      <c r="F832" t="s">
        <v>63</v>
      </c>
      <c r="G832" s="23">
        <v>45567</v>
      </c>
      <c r="H832" t="s">
        <v>3903</v>
      </c>
      <c r="I832" t="s">
        <v>3904</v>
      </c>
      <c r="J832" t="s">
        <v>3905</v>
      </c>
    </row>
    <row r="833" spans="1:10">
      <c r="A833" t="s">
        <v>3906</v>
      </c>
      <c r="B833" t="s">
        <v>3906</v>
      </c>
      <c r="C833" t="s">
        <v>62</v>
      </c>
      <c r="D833">
        <v>91</v>
      </c>
      <c r="E833" t="s">
        <v>31</v>
      </c>
      <c r="F833" t="s">
        <v>63</v>
      </c>
      <c r="G833" s="23">
        <v>44583</v>
      </c>
      <c r="H833" t="s">
        <v>3907</v>
      </c>
      <c r="I833" t="s">
        <v>3908</v>
      </c>
      <c r="J833" t="s">
        <v>3909</v>
      </c>
    </row>
    <row r="834" spans="1:10">
      <c r="A834" t="s">
        <v>3910</v>
      </c>
      <c r="B834" t="s">
        <v>3910</v>
      </c>
      <c r="C834" t="s">
        <v>62</v>
      </c>
      <c r="D834">
        <v>59</v>
      </c>
      <c r="E834" t="s">
        <v>31</v>
      </c>
      <c r="F834" t="s">
        <v>63</v>
      </c>
      <c r="G834" s="23">
        <v>44543</v>
      </c>
      <c r="H834" t="s">
        <v>3911</v>
      </c>
      <c r="I834" t="s">
        <v>3912</v>
      </c>
      <c r="J834" t="s">
        <v>3913</v>
      </c>
    </row>
    <row r="835" spans="1:10">
      <c r="A835" t="s">
        <v>3914</v>
      </c>
      <c r="B835" t="s">
        <v>3914</v>
      </c>
      <c r="C835" t="s">
        <v>3324</v>
      </c>
      <c r="D835">
        <v>8</v>
      </c>
      <c r="E835" t="s">
        <v>33</v>
      </c>
      <c r="F835" t="s">
        <v>57</v>
      </c>
      <c r="G835" s="23">
        <v>45699</v>
      </c>
      <c r="H835" t="s">
        <v>3915</v>
      </c>
      <c r="I835" t="s">
        <v>3916</v>
      </c>
      <c r="J835" t="s">
        <v>3917</v>
      </c>
    </row>
    <row r="836" spans="1:10">
      <c r="A836" t="s">
        <v>3918</v>
      </c>
      <c r="B836" t="s">
        <v>3918</v>
      </c>
      <c r="C836" t="s">
        <v>1958</v>
      </c>
      <c r="D836">
        <v>6</v>
      </c>
      <c r="E836" t="s">
        <v>35</v>
      </c>
      <c r="F836" t="s">
        <v>57</v>
      </c>
      <c r="G836" s="23">
        <v>44633</v>
      </c>
      <c r="H836" t="s">
        <v>3919</v>
      </c>
      <c r="I836" t="s">
        <v>3920</v>
      </c>
      <c r="J836" t="s">
        <v>3921</v>
      </c>
    </row>
    <row r="837" spans="1:10">
      <c r="A837" t="s">
        <v>3922</v>
      </c>
      <c r="B837" t="s">
        <v>3922</v>
      </c>
      <c r="C837" t="s">
        <v>3923</v>
      </c>
      <c r="D837">
        <v>12</v>
      </c>
      <c r="E837" t="s">
        <v>34</v>
      </c>
      <c r="F837" t="s">
        <v>57</v>
      </c>
      <c r="G837" s="23">
        <v>45866</v>
      </c>
      <c r="H837" t="s">
        <v>3924</v>
      </c>
      <c r="I837" t="s">
        <v>3925</v>
      </c>
      <c r="J837" t="s">
        <v>3926</v>
      </c>
    </row>
    <row r="838" spans="1:10">
      <c r="A838" t="s">
        <v>3927</v>
      </c>
      <c r="B838" t="s">
        <v>3927</v>
      </c>
      <c r="C838" t="s">
        <v>3928</v>
      </c>
      <c r="D838">
        <v>68</v>
      </c>
      <c r="E838" t="s">
        <v>33</v>
      </c>
      <c r="F838" t="s">
        <v>57</v>
      </c>
      <c r="G838" s="23">
        <v>46159</v>
      </c>
      <c r="H838" t="s">
        <v>3929</v>
      </c>
      <c r="I838" t="s">
        <v>3930</v>
      </c>
      <c r="J838" t="s">
        <v>3931</v>
      </c>
    </row>
    <row r="839" spans="1:10">
      <c r="A839" t="s">
        <v>3932</v>
      </c>
      <c r="B839" t="s">
        <v>3932</v>
      </c>
      <c r="C839" t="s">
        <v>1369</v>
      </c>
      <c r="D839">
        <v>5</v>
      </c>
      <c r="E839" t="s">
        <v>31</v>
      </c>
      <c r="F839" t="s">
        <v>57</v>
      </c>
      <c r="G839" s="23">
        <v>45833</v>
      </c>
      <c r="H839" t="s">
        <v>3933</v>
      </c>
      <c r="I839" t="s">
        <v>3934</v>
      </c>
      <c r="J839" t="s">
        <v>3935</v>
      </c>
    </row>
    <row r="840" spans="1:10">
      <c r="A840" t="s">
        <v>3936</v>
      </c>
      <c r="B840" t="s">
        <v>3936</v>
      </c>
      <c r="C840" t="s">
        <v>3937</v>
      </c>
      <c r="D840">
        <v>64</v>
      </c>
      <c r="E840" t="s">
        <v>34</v>
      </c>
      <c r="F840" t="s">
        <v>57</v>
      </c>
      <c r="G840" s="23">
        <v>45600</v>
      </c>
      <c r="H840" t="s">
        <v>3938</v>
      </c>
      <c r="I840" t="s">
        <v>3939</v>
      </c>
      <c r="J840" t="s">
        <v>3940</v>
      </c>
    </row>
    <row r="841" spans="1:10">
      <c r="A841" t="s">
        <v>3941</v>
      </c>
      <c r="B841" t="s">
        <v>3941</v>
      </c>
      <c r="C841" t="s">
        <v>3942</v>
      </c>
      <c r="D841">
        <v>16</v>
      </c>
      <c r="E841" t="s">
        <v>29</v>
      </c>
      <c r="F841" t="s">
        <v>63</v>
      </c>
      <c r="G841" s="23">
        <v>41560</v>
      </c>
      <c r="H841" t="s">
        <v>3943</v>
      </c>
      <c r="I841" t="s">
        <v>3944</v>
      </c>
      <c r="J841" t="s">
        <v>3945</v>
      </c>
    </row>
    <row r="842" spans="1:10">
      <c r="A842" t="s">
        <v>3946</v>
      </c>
      <c r="B842" t="s">
        <v>3946</v>
      </c>
      <c r="C842" t="s">
        <v>3947</v>
      </c>
      <c r="D842">
        <v>25</v>
      </c>
      <c r="E842" t="s">
        <v>33</v>
      </c>
      <c r="F842" t="s">
        <v>57</v>
      </c>
      <c r="G842" s="23">
        <v>43131</v>
      </c>
      <c r="H842" t="s">
        <v>3948</v>
      </c>
      <c r="I842" t="s">
        <v>3949</v>
      </c>
      <c r="J842" t="s">
        <v>3950</v>
      </c>
    </row>
    <row r="843" spans="1:10">
      <c r="A843" t="s">
        <v>3951</v>
      </c>
      <c r="B843" t="s">
        <v>3951</v>
      </c>
      <c r="C843" t="s">
        <v>3952</v>
      </c>
      <c r="D843">
        <v>7</v>
      </c>
      <c r="E843" t="s">
        <v>34</v>
      </c>
      <c r="F843" t="s">
        <v>57</v>
      </c>
      <c r="G843" s="23">
        <v>44753</v>
      </c>
      <c r="H843" t="s">
        <v>3953</v>
      </c>
      <c r="I843" t="s">
        <v>3954</v>
      </c>
      <c r="J843" t="s">
        <v>3955</v>
      </c>
    </row>
    <row r="844" spans="1:10">
      <c r="A844" t="s">
        <v>3956</v>
      </c>
      <c r="B844" t="s">
        <v>3956</v>
      </c>
      <c r="C844" t="s">
        <v>3957</v>
      </c>
      <c r="D844">
        <v>47</v>
      </c>
      <c r="E844" t="s">
        <v>33</v>
      </c>
      <c r="F844" t="s">
        <v>63</v>
      </c>
      <c r="G844" s="23">
        <v>41823</v>
      </c>
      <c r="H844" t="s">
        <v>3958</v>
      </c>
      <c r="I844" t="s">
        <v>3959</v>
      </c>
      <c r="J844" t="s">
        <v>3960</v>
      </c>
    </row>
    <row r="845" spans="1:10">
      <c r="A845" t="s">
        <v>3961</v>
      </c>
      <c r="B845" t="s">
        <v>3961</v>
      </c>
      <c r="C845" t="s">
        <v>223</v>
      </c>
      <c r="D845">
        <v>7</v>
      </c>
      <c r="E845" t="s">
        <v>31</v>
      </c>
      <c r="F845" t="s">
        <v>63</v>
      </c>
      <c r="G845" s="23">
        <v>43977</v>
      </c>
      <c r="H845" t="s">
        <v>3962</v>
      </c>
      <c r="I845" t="s">
        <v>3963</v>
      </c>
      <c r="J845" t="s">
        <v>3964</v>
      </c>
    </row>
    <row r="846" spans="1:10">
      <c r="A846" t="s">
        <v>3965</v>
      </c>
      <c r="B846" t="s">
        <v>3965</v>
      </c>
      <c r="C846" t="s">
        <v>3137</v>
      </c>
      <c r="D846">
        <v>27</v>
      </c>
      <c r="E846" t="s">
        <v>34</v>
      </c>
      <c r="F846" t="s">
        <v>57</v>
      </c>
      <c r="G846" s="23">
        <v>43971</v>
      </c>
      <c r="H846" t="s">
        <v>3966</v>
      </c>
      <c r="I846" t="s">
        <v>3967</v>
      </c>
      <c r="J846" t="s">
        <v>3968</v>
      </c>
    </row>
    <row r="847" spans="1:10">
      <c r="A847" t="s">
        <v>3969</v>
      </c>
      <c r="B847" t="s">
        <v>3969</v>
      </c>
      <c r="C847" t="s">
        <v>3137</v>
      </c>
      <c r="D847">
        <v>34</v>
      </c>
      <c r="E847" t="s">
        <v>35</v>
      </c>
      <c r="F847" t="s">
        <v>57</v>
      </c>
      <c r="G847" s="23">
        <v>44853</v>
      </c>
      <c r="H847" t="s">
        <v>3970</v>
      </c>
      <c r="I847" t="s">
        <v>3971</v>
      </c>
      <c r="J847" t="s">
        <v>3972</v>
      </c>
    </row>
    <row r="848" spans="1:10">
      <c r="A848" t="s">
        <v>3973</v>
      </c>
      <c r="B848" t="s">
        <v>3973</v>
      </c>
      <c r="C848" t="s">
        <v>2573</v>
      </c>
      <c r="D848">
        <v>34</v>
      </c>
      <c r="E848" t="s">
        <v>35</v>
      </c>
      <c r="F848" t="s">
        <v>57</v>
      </c>
      <c r="G848" s="23">
        <v>46196</v>
      </c>
      <c r="H848" t="s">
        <v>3974</v>
      </c>
      <c r="I848" t="s">
        <v>3975</v>
      </c>
      <c r="J848" t="s">
        <v>3976</v>
      </c>
    </row>
    <row r="849" spans="1:10">
      <c r="A849" t="s">
        <v>3977</v>
      </c>
      <c r="B849" t="s">
        <v>3977</v>
      </c>
      <c r="C849" t="s">
        <v>3978</v>
      </c>
      <c r="D849">
        <v>8</v>
      </c>
      <c r="E849" t="s">
        <v>35</v>
      </c>
      <c r="F849" t="s">
        <v>57</v>
      </c>
      <c r="G849" s="23">
        <v>44102</v>
      </c>
      <c r="H849" t="s">
        <v>3979</v>
      </c>
      <c r="I849" t="s">
        <v>3980</v>
      </c>
      <c r="J849" t="s">
        <v>3981</v>
      </c>
    </row>
    <row r="850" spans="1:10">
      <c r="A850" t="s">
        <v>3982</v>
      </c>
      <c r="B850" t="s">
        <v>3982</v>
      </c>
      <c r="C850" t="s">
        <v>1097</v>
      </c>
      <c r="D850">
        <v>1</v>
      </c>
      <c r="E850" t="s">
        <v>35</v>
      </c>
      <c r="F850" t="s">
        <v>571</v>
      </c>
      <c r="G850" s="23">
        <v>45406</v>
      </c>
      <c r="H850" t="s">
        <v>3983</v>
      </c>
      <c r="I850" t="s">
        <v>3984</v>
      </c>
      <c r="J850" t="s">
        <v>3985</v>
      </c>
    </row>
    <row r="851" spans="1:10">
      <c r="A851" t="s">
        <v>3986</v>
      </c>
      <c r="B851" t="s">
        <v>3986</v>
      </c>
      <c r="C851" t="s">
        <v>3987</v>
      </c>
      <c r="D851">
        <v>15</v>
      </c>
      <c r="E851" t="s">
        <v>27</v>
      </c>
      <c r="F851" t="s">
        <v>63</v>
      </c>
      <c r="G851" s="23">
        <v>46055</v>
      </c>
      <c r="H851" t="s">
        <v>3988</v>
      </c>
      <c r="I851" t="s">
        <v>3989</v>
      </c>
      <c r="J851" t="s">
        <v>3990</v>
      </c>
    </row>
    <row r="852" spans="1:10">
      <c r="A852" t="s">
        <v>3991</v>
      </c>
      <c r="B852" t="s">
        <v>3991</v>
      </c>
      <c r="C852" t="s">
        <v>920</v>
      </c>
      <c r="D852">
        <v>8</v>
      </c>
      <c r="E852" t="s">
        <v>33</v>
      </c>
      <c r="F852" t="s">
        <v>63</v>
      </c>
      <c r="G852" s="23">
        <v>43940</v>
      </c>
      <c r="H852" t="s">
        <v>3992</v>
      </c>
      <c r="I852" t="s">
        <v>3993</v>
      </c>
      <c r="J852" t="s">
        <v>3994</v>
      </c>
    </row>
    <row r="853" spans="1:10">
      <c r="A853" t="s">
        <v>3995</v>
      </c>
      <c r="B853" t="s">
        <v>3995</v>
      </c>
      <c r="C853" t="s">
        <v>3996</v>
      </c>
      <c r="D853">
        <v>1</v>
      </c>
      <c r="E853" t="s">
        <v>33</v>
      </c>
      <c r="F853" t="s">
        <v>571</v>
      </c>
      <c r="G853" s="23">
        <v>41817</v>
      </c>
      <c r="H853" t="s">
        <v>3997</v>
      </c>
      <c r="I853" t="s">
        <v>3998</v>
      </c>
      <c r="J853" t="s">
        <v>3999</v>
      </c>
    </row>
    <row r="854" spans="1:10">
      <c r="A854" t="s">
        <v>4000</v>
      </c>
      <c r="B854" t="s">
        <v>4000</v>
      </c>
      <c r="C854" t="s">
        <v>3289</v>
      </c>
      <c r="D854">
        <v>51</v>
      </c>
      <c r="E854" t="s">
        <v>29</v>
      </c>
      <c r="F854" t="s">
        <v>63</v>
      </c>
      <c r="G854" s="23">
        <v>42315</v>
      </c>
      <c r="H854" t="s">
        <v>4001</v>
      </c>
      <c r="I854" t="s">
        <v>4002</v>
      </c>
      <c r="J854" t="s">
        <v>4003</v>
      </c>
    </row>
    <row r="855" spans="1:10">
      <c r="A855" t="s">
        <v>4004</v>
      </c>
      <c r="B855" t="s">
        <v>4004</v>
      </c>
      <c r="C855" t="s">
        <v>4005</v>
      </c>
      <c r="D855">
        <v>4</v>
      </c>
      <c r="E855" t="s">
        <v>31</v>
      </c>
      <c r="F855" t="s">
        <v>57</v>
      </c>
      <c r="G855" s="23">
        <v>43486</v>
      </c>
      <c r="H855" t="s">
        <v>4006</v>
      </c>
      <c r="I855" t="s">
        <v>4007</v>
      </c>
      <c r="J855" t="s">
        <v>4008</v>
      </c>
    </row>
    <row r="856" spans="1:10">
      <c r="A856" t="s">
        <v>4009</v>
      </c>
      <c r="B856" t="s">
        <v>4009</v>
      </c>
      <c r="C856" t="s">
        <v>4010</v>
      </c>
      <c r="D856">
        <v>10</v>
      </c>
      <c r="E856" t="s">
        <v>27</v>
      </c>
      <c r="F856" t="s">
        <v>63</v>
      </c>
      <c r="G856" s="23">
        <v>42039</v>
      </c>
      <c r="H856" t="s">
        <v>4011</v>
      </c>
      <c r="I856" t="s">
        <v>4012</v>
      </c>
      <c r="J856" t="s">
        <v>4013</v>
      </c>
    </row>
    <row r="857" spans="1:10">
      <c r="A857" t="s">
        <v>4014</v>
      </c>
      <c r="B857" t="s">
        <v>4014</v>
      </c>
      <c r="C857" t="s">
        <v>83</v>
      </c>
      <c r="D857">
        <v>15</v>
      </c>
      <c r="E857" t="s">
        <v>33</v>
      </c>
      <c r="F857" t="s">
        <v>57</v>
      </c>
      <c r="G857" s="23">
        <v>44966</v>
      </c>
      <c r="H857" t="s">
        <v>4015</v>
      </c>
      <c r="I857" t="s">
        <v>4016</v>
      </c>
      <c r="J857" t="s">
        <v>4017</v>
      </c>
    </row>
    <row r="858" spans="1:10">
      <c r="A858" t="s">
        <v>4018</v>
      </c>
      <c r="B858" t="s">
        <v>4018</v>
      </c>
      <c r="C858" t="s">
        <v>1665</v>
      </c>
      <c r="D858">
        <v>9</v>
      </c>
      <c r="E858" t="s">
        <v>34</v>
      </c>
      <c r="F858" t="s">
        <v>57</v>
      </c>
      <c r="G858" s="23">
        <v>45550</v>
      </c>
      <c r="H858" t="s">
        <v>4019</v>
      </c>
      <c r="I858" t="s">
        <v>4020</v>
      </c>
      <c r="J858" t="s">
        <v>4021</v>
      </c>
    </row>
    <row r="859" spans="1:10">
      <c r="A859" t="s">
        <v>4022</v>
      </c>
      <c r="B859" t="s">
        <v>4022</v>
      </c>
      <c r="C859" t="s">
        <v>2269</v>
      </c>
      <c r="D859">
        <v>1</v>
      </c>
      <c r="E859" t="s">
        <v>35</v>
      </c>
      <c r="F859" t="s">
        <v>89</v>
      </c>
      <c r="G859" s="23">
        <v>44127</v>
      </c>
      <c r="H859" t="s">
        <v>4023</v>
      </c>
      <c r="I859" t="s">
        <v>4024</v>
      </c>
      <c r="J859" t="s">
        <v>4025</v>
      </c>
    </row>
    <row r="860" spans="1:10">
      <c r="A860" t="s">
        <v>4026</v>
      </c>
      <c r="B860" t="s">
        <v>4026</v>
      </c>
      <c r="C860" t="s">
        <v>4027</v>
      </c>
      <c r="D860">
        <v>23</v>
      </c>
      <c r="E860" t="s">
        <v>33</v>
      </c>
      <c r="F860" t="s">
        <v>57</v>
      </c>
      <c r="G860" s="23">
        <v>44104</v>
      </c>
      <c r="H860" t="s">
        <v>4028</v>
      </c>
      <c r="I860" t="s">
        <v>4029</v>
      </c>
      <c r="J860" t="s">
        <v>4030</v>
      </c>
    </row>
    <row r="861" spans="1:10">
      <c r="A861" t="s">
        <v>4031</v>
      </c>
      <c r="B861" t="s">
        <v>4031</v>
      </c>
      <c r="C861" t="s">
        <v>4032</v>
      </c>
      <c r="D861">
        <v>1</v>
      </c>
      <c r="E861" t="s">
        <v>36</v>
      </c>
      <c r="F861" t="s">
        <v>57</v>
      </c>
      <c r="G861" s="23">
        <v>45403</v>
      </c>
      <c r="H861" t="s">
        <v>4033</v>
      </c>
      <c r="I861" t="s">
        <v>4034</v>
      </c>
      <c r="J861" t="s">
        <v>4035</v>
      </c>
    </row>
    <row r="862" spans="1:10">
      <c r="A862" t="s">
        <v>4036</v>
      </c>
      <c r="B862" t="s">
        <v>4036</v>
      </c>
      <c r="C862" t="s">
        <v>1580</v>
      </c>
      <c r="D862">
        <v>23</v>
      </c>
      <c r="E862" t="s">
        <v>34</v>
      </c>
      <c r="F862" t="s">
        <v>57</v>
      </c>
      <c r="G862" s="23">
        <v>43300</v>
      </c>
      <c r="H862" t="s">
        <v>4037</v>
      </c>
      <c r="I862" t="s">
        <v>4038</v>
      </c>
      <c r="J862" t="s">
        <v>4039</v>
      </c>
    </row>
    <row r="863" spans="1:10">
      <c r="A863" t="s">
        <v>4040</v>
      </c>
      <c r="B863" t="s">
        <v>4040</v>
      </c>
      <c r="C863" t="s">
        <v>4041</v>
      </c>
      <c r="D863">
        <v>16</v>
      </c>
      <c r="E863" t="s">
        <v>27</v>
      </c>
      <c r="F863" t="s">
        <v>63</v>
      </c>
      <c r="G863" s="23">
        <v>42243</v>
      </c>
      <c r="H863" t="s">
        <v>4042</v>
      </c>
      <c r="I863" t="s">
        <v>4043</v>
      </c>
      <c r="J863" t="s">
        <v>4044</v>
      </c>
    </row>
    <row r="864" spans="1:10">
      <c r="A864" t="s">
        <v>4045</v>
      </c>
      <c r="B864" t="s">
        <v>4045</v>
      </c>
      <c r="C864" t="s">
        <v>4046</v>
      </c>
      <c r="D864">
        <v>13</v>
      </c>
      <c r="E864" t="s">
        <v>27</v>
      </c>
      <c r="F864" t="s">
        <v>63</v>
      </c>
      <c r="G864" s="23">
        <v>42233</v>
      </c>
      <c r="H864" t="s">
        <v>4047</v>
      </c>
      <c r="I864" t="s">
        <v>4048</v>
      </c>
      <c r="J864" t="s">
        <v>4049</v>
      </c>
    </row>
    <row r="865" spans="1:10">
      <c r="A865" t="s">
        <v>4050</v>
      </c>
      <c r="B865" t="s">
        <v>4050</v>
      </c>
      <c r="C865" t="s">
        <v>4051</v>
      </c>
      <c r="D865">
        <v>9</v>
      </c>
      <c r="E865" t="s">
        <v>29</v>
      </c>
      <c r="F865" t="s">
        <v>63</v>
      </c>
      <c r="G865" s="23">
        <v>41694</v>
      </c>
      <c r="H865" t="s">
        <v>4052</v>
      </c>
      <c r="I865" t="s">
        <v>4053</v>
      </c>
      <c r="J865" t="s">
        <v>4054</v>
      </c>
    </row>
    <row r="866" spans="1:10">
      <c r="A866" t="s">
        <v>4055</v>
      </c>
      <c r="B866" t="s">
        <v>4055</v>
      </c>
      <c r="C866" t="s">
        <v>1210</v>
      </c>
      <c r="D866">
        <v>111</v>
      </c>
      <c r="E866" t="s">
        <v>31</v>
      </c>
      <c r="F866" t="s">
        <v>63</v>
      </c>
      <c r="G866" s="23">
        <v>43316</v>
      </c>
      <c r="H866" t="s">
        <v>4056</v>
      </c>
      <c r="I866" t="s">
        <v>4057</v>
      </c>
      <c r="J866" t="s">
        <v>4058</v>
      </c>
    </row>
    <row r="867" spans="1:10">
      <c r="A867" t="s">
        <v>4059</v>
      </c>
      <c r="B867" t="s">
        <v>4059</v>
      </c>
      <c r="C867" t="s">
        <v>4060</v>
      </c>
      <c r="D867">
        <v>5</v>
      </c>
      <c r="E867" t="s">
        <v>27</v>
      </c>
      <c r="F867" t="s">
        <v>63</v>
      </c>
      <c r="G867" s="23">
        <v>42238</v>
      </c>
      <c r="H867" t="s">
        <v>4061</v>
      </c>
      <c r="I867" t="s">
        <v>4062</v>
      </c>
      <c r="J867" t="s">
        <v>4063</v>
      </c>
    </row>
    <row r="868" spans="1:10">
      <c r="A868" t="s">
        <v>4064</v>
      </c>
      <c r="B868" t="s">
        <v>4064</v>
      </c>
      <c r="C868" t="s">
        <v>4065</v>
      </c>
      <c r="D868">
        <v>21</v>
      </c>
      <c r="E868" t="s">
        <v>29</v>
      </c>
      <c r="F868" t="s">
        <v>63</v>
      </c>
      <c r="G868" s="23">
        <v>41837</v>
      </c>
      <c r="H868" t="s">
        <v>4066</v>
      </c>
      <c r="I868" t="s">
        <v>4067</v>
      </c>
      <c r="J868" t="s">
        <v>4068</v>
      </c>
    </row>
    <row r="869" spans="1:10">
      <c r="A869" t="s">
        <v>4069</v>
      </c>
      <c r="B869" t="s">
        <v>4069</v>
      </c>
      <c r="C869" t="s">
        <v>4070</v>
      </c>
      <c r="D869">
        <v>3</v>
      </c>
      <c r="E869" t="s">
        <v>27</v>
      </c>
      <c r="F869" t="s">
        <v>63</v>
      </c>
      <c r="G869" s="23">
        <v>42163</v>
      </c>
      <c r="H869" t="s">
        <v>4071</v>
      </c>
      <c r="I869" t="s">
        <v>4072</v>
      </c>
      <c r="J869" t="s">
        <v>4073</v>
      </c>
    </row>
    <row r="870" spans="1:10">
      <c r="A870" t="s">
        <v>4074</v>
      </c>
      <c r="B870" t="s">
        <v>4074</v>
      </c>
      <c r="C870" t="s">
        <v>4075</v>
      </c>
      <c r="D870">
        <v>80</v>
      </c>
      <c r="E870" t="s">
        <v>33</v>
      </c>
      <c r="F870" t="s">
        <v>63</v>
      </c>
      <c r="G870" s="23">
        <v>46048</v>
      </c>
      <c r="H870" t="s">
        <v>4076</v>
      </c>
      <c r="I870" t="s">
        <v>4077</v>
      </c>
      <c r="J870" t="s">
        <v>4078</v>
      </c>
    </row>
    <row r="871" spans="1:10">
      <c r="A871" t="s">
        <v>4079</v>
      </c>
      <c r="B871" t="s">
        <v>4079</v>
      </c>
      <c r="C871" t="s">
        <v>4080</v>
      </c>
      <c r="D871">
        <v>6</v>
      </c>
      <c r="E871" t="s">
        <v>34</v>
      </c>
      <c r="F871" t="s">
        <v>57</v>
      </c>
      <c r="G871" s="23">
        <v>44308</v>
      </c>
      <c r="H871" t="s">
        <v>4081</v>
      </c>
      <c r="I871" t="s">
        <v>4082</v>
      </c>
      <c r="J871" t="s">
        <v>4083</v>
      </c>
    </row>
    <row r="872" spans="1:10">
      <c r="A872" t="s">
        <v>4084</v>
      </c>
      <c r="B872" t="s">
        <v>4084</v>
      </c>
      <c r="C872" t="s">
        <v>1996</v>
      </c>
      <c r="D872">
        <v>47</v>
      </c>
      <c r="E872" t="s">
        <v>31</v>
      </c>
      <c r="F872" t="s">
        <v>63</v>
      </c>
      <c r="G872" s="23">
        <v>42902</v>
      </c>
      <c r="H872" t="s">
        <v>4085</v>
      </c>
      <c r="I872" t="s">
        <v>4086</v>
      </c>
      <c r="J872" t="s">
        <v>4087</v>
      </c>
    </row>
    <row r="873" spans="1:10">
      <c r="A873" t="s">
        <v>4088</v>
      </c>
      <c r="B873" t="s">
        <v>4088</v>
      </c>
      <c r="C873" t="s">
        <v>452</v>
      </c>
      <c r="D873">
        <v>18</v>
      </c>
      <c r="E873" t="s">
        <v>31</v>
      </c>
      <c r="F873" t="s">
        <v>57</v>
      </c>
      <c r="G873" s="23">
        <v>45847</v>
      </c>
      <c r="H873" t="s">
        <v>4089</v>
      </c>
      <c r="I873" t="s">
        <v>4090</v>
      </c>
      <c r="J873" t="s">
        <v>4091</v>
      </c>
    </row>
    <row r="874" spans="1:10">
      <c r="A874" t="s">
        <v>4092</v>
      </c>
      <c r="B874" t="s">
        <v>4092</v>
      </c>
      <c r="C874" t="s">
        <v>2687</v>
      </c>
      <c r="D874">
        <v>17</v>
      </c>
      <c r="E874" t="s">
        <v>31</v>
      </c>
      <c r="F874" t="s">
        <v>57</v>
      </c>
      <c r="G874" s="23">
        <v>44690</v>
      </c>
      <c r="H874" t="s">
        <v>4093</v>
      </c>
      <c r="I874" t="s">
        <v>4094</v>
      </c>
      <c r="J874" t="s">
        <v>4095</v>
      </c>
    </row>
    <row r="875" spans="1:10">
      <c r="A875" t="s">
        <v>4096</v>
      </c>
      <c r="B875" t="s">
        <v>4096</v>
      </c>
      <c r="C875" t="s">
        <v>452</v>
      </c>
      <c r="D875">
        <v>6</v>
      </c>
      <c r="E875" t="s">
        <v>33</v>
      </c>
      <c r="F875" t="s">
        <v>57</v>
      </c>
      <c r="G875" s="23">
        <v>44869</v>
      </c>
      <c r="H875" t="s">
        <v>4097</v>
      </c>
      <c r="I875" t="s">
        <v>4098</v>
      </c>
      <c r="J875" t="s">
        <v>4099</v>
      </c>
    </row>
    <row r="876" spans="1:10">
      <c r="A876" t="s">
        <v>4100</v>
      </c>
      <c r="B876" t="s">
        <v>4100</v>
      </c>
      <c r="C876" t="s">
        <v>1176</v>
      </c>
      <c r="D876">
        <v>56</v>
      </c>
      <c r="E876" t="s">
        <v>31</v>
      </c>
      <c r="F876" t="s">
        <v>63</v>
      </c>
      <c r="G876" s="23">
        <v>43844</v>
      </c>
      <c r="H876" t="s">
        <v>4101</v>
      </c>
      <c r="I876" t="s">
        <v>4102</v>
      </c>
      <c r="J876" t="s">
        <v>4103</v>
      </c>
    </row>
    <row r="877" spans="1:10">
      <c r="A877" t="s">
        <v>4104</v>
      </c>
      <c r="B877" t="s">
        <v>4104</v>
      </c>
      <c r="C877" t="s">
        <v>827</v>
      </c>
      <c r="D877">
        <v>5</v>
      </c>
      <c r="E877" t="s">
        <v>27</v>
      </c>
      <c r="F877" t="s">
        <v>63</v>
      </c>
      <c r="G877" s="23">
        <v>44730</v>
      </c>
      <c r="H877" t="s">
        <v>4105</v>
      </c>
      <c r="I877" t="s">
        <v>4106</v>
      </c>
      <c r="J877" t="s">
        <v>4107</v>
      </c>
    </row>
    <row r="878" spans="1:10">
      <c r="A878" t="s">
        <v>4108</v>
      </c>
      <c r="B878" t="s">
        <v>4108</v>
      </c>
      <c r="C878" t="s">
        <v>2401</v>
      </c>
      <c r="D878">
        <v>93</v>
      </c>
      <c r="E878" t="s">
        <v>29</v>
      </c>
      <c r="F878" t="s">
        <v>63</v>
      </c>
      <c r="G878" s="23">
        <v>42727</v>
      </c>
      <c r="H878" t="s">
        <v>4109</v>
      </c>
      <c r="I878" t="s">
        <v>4110</v>
      </c>
      <c r="J878" t="s">
        <v>4111</v>
      </c>
    </row>
    <row r="879" spans="1:10">
      <c r="A879" t="s">
        <v>4112</v>
      </c>
      <c r="B879" t="s">
        <v>4112</v>
      </c>
      <c r="C879" t="s">
        <v>4113</v>
      </c>
      <c r="D879">
        <v>10</v>
      </c>
      <c r="E879" t="s">
        <v>29</v>
      </c>
      <c r="F879" t="s">
        <v>63</v>
      </c>
      <c r="G879" s="23">
        <v>45704</v>
      </c>
      <c r="H879" t="s">
        <v>4114</v>
      </c>
      <c r="I879" t="s">
        <v>4115</v>
      </c>
      <c r="J879" t="s">
        <v>4116</v>
      </c>
    </row>
    <row r="880" spans="1:10">
      <c r="A880" t="s">
        <v>4117</v>
      </c>
      <c r="B880" t="s">
        <v>4117</v>
      </c>
      <c r="C880" t="s">
        <v>4118</v>
      </c>
      <c r="D880">
        <v>8</v>
      </c>
      <c r="E880" t="s">
        <v>27</v>
      </c>
      <c r="F880" t="s">
        <v>63</v>
      </c>
      <c r="G880" s="23">
        <v>42271</v>
      </c>
      <c r="H880" t="s">
        <v>4119</v>
      </c>
      <c r="I880" t="s">
        <v>4120</v>
      </c>
      <c r="J880" t="s">
        <v>4121</v>
      </c>
    </row>
    <row r="881" spans="1:10">
      <c r="A881" t="s">
        <v>4122</v>
      </c>
      <c r="B881" t="s">
        <v>4122</v>
      </c>
      <c r="C881" t="s">
        <v>3346</v>
      </c>
      <c r="D881">
        <v>13</v>
      </c>
      <c r="E881" t="s">
        <v>34</v>
      </c>
      <c r="F881" t="s">
        <v>57</v>
      </c>
      <c r="G881" s="23">
        <v>43692</v>
      </c>
      <c r="H881" t="s">
        <v>4123</v>
      </c>
      <c r="I881" t="s">
        <v>4124</v>
      </c>
      <c r="J881" t="s">
        <v>4125</v>
      </c>
    </row>
    <row r="882" spans="1:10">
      <c r="A882" t="s">
        <v>4126</v>
      </c>
      <c r="B882" t="s">
        <v>4126</v>
      </c>
      <c r="C882" t="s">
        <v>4127</v>
      </c>
      <c r="D882">
        <v>10</v>
      </c>
      <c r="E882" t="s">
        <v>27</v>
      </c>
      <c r="F882" t="s">
        <v>63</v>
      </c>
      <c r="G882" s="23">
        <v>42312</v>
      </c>
      <c r="H882" t="s">
        <v>4128</v>
      </c>
      <c r="I882" t="s">
        <v>4129</v>
      </c>
      <c r="J882" t="s">
        <v>4130</v>
      </c>
    </row>
    <row r="883" spans="1:10">
      <c r="A883" t="s">
        <v>4131</v>
      </c>
      <c r="B883" t="s">
        <v>4131</v>
      </c>
      <c r="C883" t="s">
        <v>4132</v>
      </c>
      <c r="D883">
        <v>65</v>
      </c>
      <c r="E883" t="s">
        <v>31</v>
      </c>
      <c r="F883" t="s">
        <v>63</v>
      </c>
      <c r="G883" s="23">
        <v>44222</v>
      </c>
      <c r="H883" t="s">
        <v>4133</v>
      </c>
      <c r="I883" t="s">
        <v>4134</v>
      </c>
      <c r="J883" t="s">
        <v>4135</v>
      </c>
    </row>
    <row r="884" spans="1:10">
      <c r="A884" t="s">
        <v>4136</v>
      </c>
      <c r="B884" t="s">
        <v>4136</v>
      </c>
      <c r="C884" t="s">
        <v>4137</v>
      </c>
      <c r="D884">
        <v>97</v>
      </c>
      <c r="E884" t="s">
        <v>34</v>
      </c>
      <c r="F884" t="s">
        <v>63</v>
      </c>
      <c r="G884" s="23">
        <v>44392</v>
      </c>
      <c r="H884" t="s">
        <v>4138</v>
      </c>
      <c r="I884" t="s">
        <v>4139</v>
      </c>
      <c r="J884" t="s">
        <v>4140</v>
      </c>
    </row>
    <row r="885" spans="1:10">
      <c r="A885" t="s">
        <v>4141</v>
      </c>
      <c r="B885" t="s">
        <v>4141</v>
      </c>
      <c r="C885" t="s">
        <v>4137</v>
      </c>
      <c r="D885">
        <v>30</v>
      </c>
      <c r="E885" t="s">
        <v>29</v>
      </c>
      <c r="F885" t="s">
        <v>63</v>
      </c>
      <c r="G885" s="23">
        <v>41497</v>
      </c>
      <c r="H885" t="s">
        <v>4142</v>
      </c>
      <c r="I885" t="s">
        <v>4143</v>
      </c>
      <c r="J885" t="s">
        <v>4144</v>
      </c>
    </row>
    <row r="886" spans="1:10">
      <c r="A886" t="s">
        <v>4145</v>
      </c>
      <c r="B886" t="s">
        <v>4145</v>
      </c>
      <c r="C886" t="s">
        <v>4137</v>
      </c>
      <c r="D886">
        <v>87</v>
      </c>
      <c r="E886" t="s">
        <v>33</v>
      </c>
      <c r="F886" t="s">
        <v>63</v>
      </c>
      <c r="G886" s="23">
        <v>45219</v>
      </c>
      <c r="H886" t="s">
        <v>4146</v>
      </c>
      <c r="I886" t="s">
        <v>4147</v>
      </c>
      <c r="J886" t="s">
        <v>4148</v>
      </c>
    </row>
    <row r="887" spans="1:10">
      <c r="A887" t="s">
        <v>4149</v>
      </c>
      <c r="B887" t="s">
        <v>4149</v>
      </c>
      <c r="C887" t="s">
        <v>4137</v>
      </c>
      <c r="D887">
        <v>9</v>
      </c>
      <c r="E887" t="s">
        <v>35</v>
      </c>
      <c r="F887" t="s">
        <v>63</v>
      </c>
      <c r="G887" s="23">
        <v>44392</v>
      </c>
      <c r="H887" t="s">
        <v>4150</v>
      </c>
      <c r="I887" t="s">
        <v>4151</v>
      </c>
      <c r="J887" t="s">
        <v>4152</v>
      </c>
    </row>
    <row r="888" spans="1:10">
      <c r="A888" t="s">
        <v>4153</v>
      </c>
      <c r="B888" t="s">
        <v>4153</v>
      </c>
      <c r="C888" t="s">
        <v>4154</v>
      </c>
      <c r="D888">
        <v>7</v>
      </c>
      <c r="E888" t="s">
        <v>29</v>
      </c>
      <c r="F888" t="s">
        <v>63</v>
      </c>
      <c r="G888" s="23">
        <v>41509</v>
      </c>
      <c r="H888" t="s">
        <v>4155</v>
      </c>
      <c r="I888" t="s">
        <v>4156</v>
      </c>
      <c r="J888" t="s">
        <v>4157</v>
      </c>
    </row>
    <row r="889" spans="1:10">
      <c r="A889" t="s">
        <v>4158</v>
      </c>
      <c r="B889" t="s">
        <v>4158</v>
      </c>
      <c r="C889" t="s">
        <v>4159</v>
      </c>
      <c r="D889">
        <v>6</v>
      </c>
      <c r="E889" t="s">
        <v>29</v>
      </c>
      <c r="F889" t="s">
        <v>63</v>
      </c>
      <c r="G889" s="23">
        <v>42267</v>
      </c>
      <c r="H889" t="s">
        <v>4160</v>
      </c>
      <c r="I889" t="s">
        <v>4161</v>
      </c>
      <c r="J889" t="s">
        <v>4162</v>
      </c>
    </row>
    <row r="890" spans="1:10">
      <c r="A890" t="s">
        <v>4163</v>
      </c>
      <c r="B890" t="s">
        <v>4163</v>
      </c>
      <c r="C890" t="s">
        <v>4164</v>
      </c>
      <c r="D890">
        <v>15</v>
      </c>
      <c r="E890" t="s">
        <v>27</v>
      </c>
      <c r="F890" t="s">
        <v>63</v>
      </c>
      <c r="G890" s="23">
        <v>42291</v>
      </c>
      <c r="H890" t="s">
        <v>4165</v>
      </c>
      <c r="I890" t="s">
        <v>4166</v>
      </c>
      <c r="J890" t="s">
        <v>4167</v>
      </c>
    </row>
    <row r="891" spans="1:10">
      <c r="A891" t="s">
        <v>4168</v>
      </c>
      <c r="B891" t="s">
        <v>4168</v>
      </c>
      <c r="C891" t="s">
        <v>4169</v>
      </c>
      <c r="D891">
        <v>4</v>
      </c>
      <c r="E891" t="s">
        <v>34</v>
      </c>
      <c r="F891" t="s">
        <v>57</v>
      </c>
      <c r="G891" s="23">
        <v>43065</v>
      </c>
      <c r="H891" t="s">
        <v>4170</v>
      </c>
      <c r="I891" t="s">
        <v>4171</v>
      </c>
      <c r="J891" t="s">
        <v>4172</v>
      </c>
    </row>
    <row r="892" spans="1:10">
      <c r="A892" t="s">
        <v>4173</v>
      </c>
      <c r="B892" t="s">
        <v>4173</v>
      </c>
      <c r="C892" t="s">
        <v>4169</v>
      </c>
      <c r="D892">
        <v>9</v>
      </c>
      <c r="E892" t="s">
        <v>34</v>
      </c>
      <c r="F892" t="s">
        <v>57</v>
      </c>
      <c r="G892" s="23">
        <v>44833</v>
      </c>
      <c r="H892" t="s">
        <v>4174</v>
      </c>
      <c r="I892" t="s">
        <v>4175</v>
      </c>
      <c r="J892" t="s">
        <v>4176</v>
      </c>
    </row>
    <row r="893" spans="1:10">
      <c r="A893" t="s">
        <v>4177</v>
      </c>
      <c r="B893" t="s">
        <v>4177</v>
      </c>
      <c r="C893" t="s">
        <v>4169</v>
      </c>
      <c r="D893">
        <v>8</v>
      </c>
      <c r="E893" t="s">
        <v>34</v>
      </c>
      <c r="F893" t="s">
        <v>57</v>
      </c>
      <c r="G893" s="23">
        <v>44850</v>
      </c>
      <c r="H893" t="s">
        <v>4178</v>
      </c>
      <c r="I893" t="s">
        <v>4179</v>
      </c>
      <c r="J893" t="s">
        <v>4180</v>
      </c>
    </row>
    <row r="894" spans="1:10">
      <c r="A894" t="s">
        <v>4181</v>
      </c>
      <c r="B894" t="s">
        <v>4181</v>
      </c>
      <c r="C894" t="s">
        <v>4182</v>
      </c>
      <c r="D894">
        <v>108</v>
      </c>
      <c r="E894" t="s">
        <v>29</v>
      </c>
      <c r="F894" t="s">
        <v>63</v>
      </c>
      <c r="G894" s="23">
        <v>42924</v>
      </c>
      <c r="H894" t="s">
        <v>4183</v>
      </c>
      <c r="I894" t="s">
        <v>4184</v>
      </c>
      <c r="J894" t="s">
        <v>4185</v>
      </c>
    </row>
    <row r="895" spans="1:10">
      <c r="A895" t="s">
        <v>4186</v>
      </c>
      <c r="B895" t="s">
        <v>4186</v>
      </c>
      <c r="C895" t="s">
        <v>4182</v>
      </c>
      <c r="D895">
        <v>103</v>
      </c>
      <c r="E895" t="s">
        <v>31</v>
      </c>
      <c r="F895" t="s">
        <v>63</v>
      </c>
      <c r="G895" s="23">
        <v>43281</v>
      </c>
      <c r="H895" t="s">
        <v>4187</v>
      </c>
      <c r="I895" t="s">
        <v>4188</v>
      </c>
      <c r="J895" t="s">
        <v>4189</v>
      </c>
    </row>
    <row r="896" spans="1:10">
      <c r="A896" t="s">
        <v>4190</v>
      </c>
      <c r="B896" t="s">
        <v>4190</v>
      </c>
      <c r="C896" t="s">
        <v>4182</v>
      </c>
      <c r="D896">
        <v>108</v>
      </c>
      <c r="E896" t="s">
        <v>31</v>
      </c>
      <c r="F896" t="s">
        <v>63</v>
      </c>
      <c r="G896" s="23">
        <v>43882</v>
      </c>
      <c r="H896" t="s">
        <v>4191</v>
      </c>
      <c r="I896" t="s">
        <v>4192</v>
      </c>
      <c r="J896" t="s">
        <v>4193</v>
      </c>
    </row>
    <row r="897" spans="1:10">
      <c r="A897" t="s">
        <v>4194</v>
      </c>
      <c r="B897" t="s">
        <v>4194</v>
      </c>
      <c r="C897" t="s">
        <v>4182</v>
      </c>
      <c r="D897">
        <v>105</v>
      </c>
      <c r="E897" t="s">
        <v>31</v>
      </c>
      <c r="F897" t="s">
        <v>63</v>
      </c>
      <c r="G897" s="23">
        <v>44760</v>
      </c>
      <c r="H897" t="s">
        <v>4195</v>
      </c>
      <c r="I897" t="s">
        <v>4196</v>
      </c>
      <c r="J897" t="s">
        <v>4197</v>
      </c>
    </row>
    <row r="898" spans="1:10">
      <c r="A898" t="s">
        <v>4198</v>
      </c>
      <c r="B898" t="s">
        <v>4198</v>
      </c>
      <c r="C898" t="s">
        <v>4182</v>
      </c>
      <c r="D898">
        <v>112</v>
      </c>
      <c r="E898" t="s">
        <v>31</v>
      </c>
      <c r="F898" t="s">
        <v>63</v>
      </c>
      <c r="G898" s="23">
        <v>45222</v>
      </c>
      <c r="H898" t="s">
        <v>4199</v>
      </c>
      <c r="I898" t="s">
        <v>4200</v>
      </c>
      <c r="J898" t="s">
        <v>4201</v>
      </c>
    </row>
    <row r="899" spans="1:10">
      <c r="A899" t="s">
        <v>4202</v>
      </c>
      <c r="B899" t="s">
        <v>4202</v>
      </c>
      <c r="C899" t="s">
        <v>4182</v>
      </c>
      <c r="D899">
        <v>103</v>
      </c>
      <c r="E899" t="s">
        <v>31</v>
      </c>
      <c r="F899" t="s">
        <v>63</v>
      </c>
      <c r="G899" s="23">
        <v>45739</v>
      </c>
      <c r="H899" t="s">
        <v>4203</v>
      </c>
      <c r="I899" t="s">
        <v>4204</v>
      </c>
      <c r="J899" t="s">
        <v>4205</v>
      </c>
    </row>
    <row r="900" spans="1:10">
      <c r="A900" t="s">
        <v>4206</v>
      </c>
      <c r="B900" t="s">
        <v>4206</v>
      </c>
      <c r="C900" t="s">
        <v>4207</v>
      </c>
      <c r="D900">
        <v>18</v>
      </c>
      <c r="E900" t="s">
        <v>31</v>
      </c>
      <c r="F900" t="s">
        <v>63</v>
      </c>
      <c r="G900" s="23">
        <v>45349</v>
      </c>
      <c r="H900" t="s">
        <v>4208</v>
      </c>
      <c r="I900" t="s">
        <v>4209</v>
      </c>
      <c r="J900" t="s">
        <v>4210</v>
      </c>
    </row>
    <row r="901" spans="1:10">
      <c r="A901" t="s">
        <v>4211</v>
      </c>
      <c r="B901" t="s">
        <v>4211</v>
      </c>
      <c r="C901" t="s">
        <v>4212</v>
      </c>
      <c r="D901">
        <v>7</v>
      </c>
      <c r="E901" t="s">
        <v>29</v>
      </c>
      <c r="F901" t="s">
        <v>63</v>
      </c>
      <c r="G901" s="23">
        <v>42503</v>
      </c>
      <c r="H901" t="s">
        <v>4213</v>
      </c>
      <c r="I901" t="s">
        <v>4214</v>
      </c>
      <c r="J901" t="s">
        <v>4215</v>
      </c>
    </row>
    <row r="902" spans="1:10">
      <c r="A902" t="s">
        <v>4216</v>
      </c>
      <c r="B902" t="s">
        <v>4216</v>
      </c>
      <c r="C902" t="s">
        <v>4217</v>
      </c>
      <c r="D902">
        <v>12</v>
      </c>
      <c r="E902" t="s">
        <v>29</v>
      </c>
      <c r="F902" t="s">
        <v>63</v>
      </c>
      <c r="G902" s="23">
        <v>44021</v>
      </c>
      <c r="H902" t="s">
        <v>4218</v>
      </c>
      <c r="I902" t="s">
        <v>4219</v>
      </c>
      <c r="J902" t="s">
        <v>4220</v>
      </c>
    </row>
    <row r="903" spans="1:10">
      <c r="A903" t="s">
        <v>4221</v>
      </c>
      <c r="B903" t="s">
        <v>4221</v>
      </c>
      <c r="C903" t="s">
        <v>4222</v>
      </c>
      <c r="D903">
        <v>11</v>
      </c>
      <c r="E903" t="s">
        <v>27</v>
      </c>
      <c r="F903" t="s">
        <v>63</v>
      </c>
      <c r="G903" s="23">
        <v>42224</v>
      </c>
      <c r="H903" t="s">
        <v>4223</v>
      </c>
      <c r="I903" t="s">
        <v>4224</v>
      </c>
      <c r="J903" t="s">
        <v>4225</v>
      </c>
    </row>
    <row r="904" spans="1:10">
      <c r="A904" t="s">
        <v>4226</v>
      </c>
      <c r="B904" t="s">
        <v>4226</v>
      </c>
      <c r="C904" t="s">
        <v>4227</v>
      </c>
      <c r="D904">
        <v>50</v>
      </c>
      <c r="E904" t="s">
        <v>29</v>
      </c>
      <c r="F904" t="s">
        <v>63</v>
      </c>
      <c r="G904" s="23">
        <v>42298</v>
      </c>
      <c r="H904" t="s">
        <v>4228</v>
      </c>
      <c r="I904" t="s">
        <v>4229</v>
      </c>
      <c r="J904" t="s">
        <v>4230</v>
      </c>
    </row>
    <row r="905" spans="1:10">
      <c r="A905" t="s">
        <v>4231</v>
      </c>
      <c r="B905" t="s">
        <v>4231</v>
      </c>
      <c r="C905" t="s">
        <v>4232</v>
      </c>
      <c r="D905">
        <v>16</v>
      </c>
      <c r="E905" t="s">
        <v>34</v>
      </c>
      <c r="F905" t="s">
        <v>57</v>
      </c>
      <c r="G905" s="23">
        <v>44539</v>
      </c>
      <c r="H905" t="s">
        <v>4233</v>
      </c>
      <c r="I905" t="s">
        <v>4234</v>
      </c>
      <c r="J905" t="s">
        <v>4235</v>
      </c>
    </row>
    <row r="906" spans="1:10">
      <c r="A906" t="s">
        <v>4236</v>
      </c>
      <c r="B906" t="s">
        <v>4236</v>
      </c>
      <c r="C906" t="s">
        <v>307</v>
      </c>
      <c r="D906">
        <v>27</v>
      </c>
      <c r="E906" t="s">
        <v>29</v>
      </c>
      <c r="F906" t="s">
        <v>63</v>
      </c>
      <c r="G906" s="23">
        <v>41762</v>
      </c>
      <c r="H906" t="s">
        <v>4237</v>
      </c>
      <c r="I906" t="s">
        <v>4238</v>
      </c>
      <c r="J906" t="s">
        <v>4239</v>
      </c>
    </row>
    <row r="907" spans="1:10">
      <c r="A907" t="s">
        <v>4240</v>
      </c>
      <c r="B907" t="s">
        <v>4240</v>
      </c>
      <c r="C907" t="s">
        <v>307</v>
      </c>
      <c r="D907">
        <v>4</v>
      </c>
      <c r="E907" t="s">
        <v>27</v>
      </c>
      <c r="F907" t="s">
        <v>63</v>
      </c>
      <c r="G907" s="23">
        <v>41528</v>
      </c>
      <c r="H907" t="s">
        <v>4241</v>
      </c>
      <c r="I907" t="s">
        <v>4242</v>
      </c>
      <c r="J907" t="s">
        <v>4243</v>
      </c>
    </row>
    <row r="908" spans="1:10">
      <c r="A908" t="s">
        <v>4244</v>
      </c>
      <c r="B908" t="s">
        <v>4244</v>
      </c>
      <c r="C908" t="s">
        <v>4245</v>
      </c>
      <c r="D908">
        <v>7</v>
      </c>
      <c r="E908" t="s">
        <v>29</v>
      </c>
      <c r="F908" t="s">
        <v>63</v>
      </c>
      <c r="G908" s="23">
        <v>42205</v>
      </c>
      <c r="H908" t="s">
        <v>4246</v>
      </c>
      <c r="I908" t="s">
        <v>4247</v>
      </c>
      <c r="J908" t="s">
        <v>4248</v>
      </c>
    </row>
    <row r="909" spans="1:10">
      <c r="A909" t="s">
        <v>4249</v>
      </c>
      <c r="B909" t="s">
        <v>4249</v>
      </c>
      <c r="C909" t="s">
        <v>4250</v>
      </c>
      <c r="D909">
        <v>10</v>
      </c>
      <c r="E909" t="s">
        <v>31</v>
      </c>
      <c r="F909" t="s">
        <v>63</v>
      </c>
      <c r="G909" s="23">
        <v>42163</v>
      </c>
      <c r="H909" t="s">
        <v>4251</v>
      </c>
      <c r="I909" t="s">
        <v>4252</v>
      </c>
      <c r="J909" t="s">
        <v>4253</v>
      </c>
    </row>
    <row r="910" spans="1:10">
      <c r="A910" t="s">
        <v>4254</v>
      </c>
      <c r="B910" t="s">
        <v>4254</v>
      </c>
      <c r="C910" t="s">
        <v>4255</v>
      </c>
      <c r="D910">
        <v>59</v>
      </c>
      <c r="E910" t="s">
        <v>33</v>
      </c>
      <c r="F910" t="s">
        <v>57</v>
      </c>
      <c r="G910" s="23">
        <v>45011</v>
      </c>
      <c r="H910" t="s">
        <v>4256</v>
      </c>
      <c r="I910" t="s">
        <v>4257</v>
      </c>
      <c r="J910" t="s">
        <v>4258</v>
      </c>
    </row>
    <row r="911" spans="1:10">
      <c r="A911" t="s">
        <v>4259</v>
      </c>
      <c r="B911" t="s">
        <v>4259</v>
      </c>
      <c r="C911" t="s">
        <v>4260</v>
      </c>
      <c r="D911">
        <v>20</v>
      </c>
      <c r="E911" t="s">
        <v>35</v>
      </c>
      <c r="F911" t="s">
        <v>57</v>
      </c>
      <c r="G911" s="23">
        <v>44634</v>
      </c>
      <c r="H911" t="s">
        <v>4261</v>
      </c>
      <c r="I911" t="s">
        <v>4262</v>
      </c>
      <c r="J911" t="s">
        <v>4263</v>
      </c>
    </row>
    <row r="912" spans="1:10">
      <c r="A912" t="s">
        <v>4264</v>
      </c>
      <c r="B912" t="s">
        <v>4264</v>
      </c>
      <c r="C912" t="s">
        <v>1824</v>
      </c>
      <c r="D912">
        <v>21</v>
      </c>
      <c r="E912" t="s">
        <v>34</v>
      </c>
      <c r="F912" t="s">
        <v>57</v>
      </c>
      <c r="G912" s="23">
        <v>44072</v>
      </c>
      <c r="H912" t="s">
        <v>4265</v>
      </c>
      <c r="I912" t="s">
        <v>4266</v>
      </c>
      <c r="J912" t="s">
        <v>4267</v>
      </c>
    </row>
    <row r="913" spans="1:10">
      <c r="A913" t="s">
        <v>4268</v>
      </c>
      <c r="B913" t="s">
        <v>4268</v>
      </c>
      <c r="C913" t="s">
        <v>1464</v>
      </c>
      <c r="D913">
        <v>16</v>
      </c>
      <c r="E913" t="s">
        <v>33</v>
      </c>
      <c r="F913" t="s">
        <v>57</v>
      </c>
      <c r="G913" s="23">
        <v>45791</v>
      </c>
      <c r="H913" t="s">
        <v>4269</v>
      </c>
      <c r="I913" t="s">
        <v>4270</v>
      </c>
      <c r="J913" t="s">
        <v>4271</v>
      </c>
    </row>
    <row r="914" spans="1:10">
      <c r="A914" t="s">
        <v>4272</v>
      </c>
      <c r="B914" t="s">
        <v>4272</v>
      </c>
      <c r="C914" t="s">
        <v>4273</v>
      </c>
      <c r="D914">
        <v>70</v>
      </c>
      <c r="E914" t="s">
        <v>31</v>
      </c>
      <c r="F914" t="s">
        <v>63</v>
      </c>
      <c r="G914" s="23">
        <v>44497</v>
      </c>
      <c r="H914" t="s">
        <v>4274</v>
      </c>
      <c r="I914" t="s">
        <v>4275</v>
      </c>
      <c r="J914" t="s">
        <v>4276</v>
      </c>
    </row>
    <row r="915" spans="1:10">
      <c r="A915" t="s">
        <v>4277</v>
      </c>
      <c r="B915" t="s">
        <v>4277</v>
      </c>
      <c r="C915" t="s">
        <v>4278</v>
      </c>
      <c r="D915">
        <v>17</v>
      </c>
      <c r="E915" t="s">
        <v>33</v>
      </c>
      <c r="F915" t="s">
        <v>57</v>
      </c>
      <c r="G915" s="23">
        <v>44278</v>
      </c>
      <c r="H915" t="s">
        <v>4279</v>
      </c>
      <c r="I915" t="s">
        <v>4280</v>
      </c>
      <c r="J915" t="s">
        <v>4281</v>
      </c>
    </row>
    <row r="916" spans="1:10">
      <c r="A916" t="s">
        <v>4282</v>
      </c>
      <c r="B916" t="s">
        <v>4282</v>
      </c>
      <c r="C916" t="s">
        <v>4283</v>
      </c>
      <c r="D916">
        <v>13</v>
      </c>
      <c r="E916" t="s">
        <v>33</v>
      </c>
      <c r="F916" t="s">
        <v>57</v>
      </c>
      <c r="G916" s="23">
        <v>45479</v>
      </c>
      <c r="H916" t="s">
        <v>4284</v>
      </c>
      <c r="I916" t="s">
        <v>4285</v>
      </c>
      <c r="J916" t="s">
        <v>4286</v>
      </c>
    </row>
    <row r="917" spans="1:10">
      <c r="A917" t="s">
        <v>4287</v>
      </c>
      <c r="B917" t="s">
        <v>4287</v>
      </c>
      <c r="C917" t="s">
        <v>4288</v>
      </c>
      <c r="D917">
        <v>8</v>
      </c>
      <c r="E917" t="s">
        <v>27</v>
      </c>
      <c r="F917" t="s">
        <v>63</v>
      </c>
      <c r="G917" s="23">
        <v>42279</v>
      </c>
      <c r="H917" t="s">
        <v>4289</v>
      </c>
      <c r="I917" t="s">
        <v>4290</v>
      </c>
      <c r="J917" t="s">
        <v>4291</v>
      </c>
    </row>
    <row r="918" spans="1:10">
      <c r="A918" t="s">
        <v>4292</v>
      </c>
      <c r="B918" t="s">
        <v>4293</v>
      </c>
      <c r="C918" t="s">
        <v>4294</v>
      </c>
      <c r="D918">
        <v>7</v>
      </c>
      <c r="E918" t="s">
        <v>27</v>
      </c>
      <c r="F918" t="s">
        <v>63</v>
      </c>
      <c r="G918" s="23">
        <v>41714</v>
      </c>
      <c r="H918" t="s">
        <v>4295</v>
      </c>
      <c r="I918" t="s">
        <v>4296</v>
      </c>
      <c r="J918" t="s">
        <v>4297</v>
      </c>
    </row>
    <row r="919" spans="1:10">
      <c r="A919" t="s">
        <v>4298</v>
      </c>
      <c r="B919" t="s">
        <v>4299</v>
      </c>
      <c r="C919" t="s">
        <v>4300</v>
      </c>
      <c r="D919">
        <v>5</v>
      </c>
      <c r="E919" t="s">
        <v>27</v>
      </c>
      <c r="F919" t="s">
        <v>63</v>
      </c>
      <c r="G919" s="23">
        <v>42237</v>
      </c>
      <c r="H919" t="s">
        <v>4301</v>
      </c>
      <c r="I919" t="s">
        <v>4302</v>
      </c>
      <c r="J919" t="s">
        <v>4303</v>
      </c>
    </row>
    <row r="920" spans="1:10">
      <c r="A920" t="s">
        <v>4304</v>
      </c>
      <c r="B920" t="s">
        <v>4304</v>
      </c>
      <c r="C920" t="s">
        <v>4305</v>
      </c>
      <c r="D920">
        <v>21</v>
      </c>
      <c r="E920" t="s">
        <v>29</v>
      </c>
      <c r="F920" t="s">
        <v>63</v>
      </c>
      <c r="G920" s="23">
        <v>45648</v>
      </c>
      <c r="H920" t="s">
        <v>4306</v>
      </c>
      <c r="I920" t="s">
        <v>4307</v>
      </c>
      <c r="J920" t="s">
        <v>4308</v>
      </c>
    </row>
    <row r="921" spans="1:10">
      <c r="A921" t="s">
        <v>4309</v>
      </c>
      <c r="B921" t="s">
        <v>4309</v>
      </c>
      <c r="C921" t="s">
        <v>4310</v>
      </c>
      <c r="D921">
        <v>26</v>
      </c>
      <c r="E921" t="s">
        <v>29</v>
      </c>
      <c r="F921" t="s">
        <v>63</v>
      </c>
      <c r="G921" s="23">
        <v>41821</v>
      </c>
      <c r="H921" t="s">
        <v>4311</v>
      </c>
      <c r="I921" t="s">
        <v>4312</v>
      </c>
      <c r="J921" t="s">
        <v>4313</v>
      </c>
    </row>
    <row r="922" spans="1:10">
      <c r="A922" t="s">
        <v>4314</v>
      </c>
      <c r="B922" t="s">
        <v>4314</v>
      </c>
      <c r="C922" t="s">
        <v>4315</v>
      </c>
      <c r="D922">
        <v>7</v>
      </c>
      <c r="E922" t="s">
        <v>29</v>
      </c>
      <c r="F922" t="s">
        <v>63</v>
      </c>
      <c r="G922" s="23">
        <v>44676</v>
      </c>
      <c r="H922" t="s">
        <v>4316</v>
      </c>
      <c r="I922" t="s">
        <v>4317</v>
      </c>
      <c r="J922" t="s">
        <v>4318</v>
      </c>
    </row>
    <row r="923" spans="1:10">
      <c r="A923" t="s">
        <v>4319</v>
      </c>
      <c r="B923" t="s">
        <v>4319</v>
      </c>
      <c r="C923" t="s">
        <v>4320</v>
      </c>
      <c r="D923">
        <v>6</v>
      </c>
      <c r="E923" t="s">
        <v>27</v>
      </c>
      <c r="F923" t="s">
        <v>63</v>
      </c>
      <c r="G923" s="23">
        <v>42108</v>
      </c>
      <c r="H923" t="s">
        <v>4321</v>
      </c>
      <c r="I923" t="s">
        <v>4322</v>
      </c>
      <c r="J923" t="s">
        <v>4323</v>
      </c>
    </row>
    <row r="924" spans="1:10">
      <c r="A924" t="s">
        <v>4324</v>
      </c>
      <c r="B924" t="s">
        <v>4324</v>
      </c>
      <c r="C924" t="s">
        <v>4325</v>
      </c>
      <c r="D924">
        <v>5</v>
      </c>
      <c r="E924" t="s">
        <v>27</v>
      </c>
      <c r="F924" t="s">
        <v>63</v>
      </c>
      <c r="G924" s="23">
        <v>42229</v>
      </c>
      <c r="H924" t="s">
        <v>4326</v>
      </c>
      <c r="I924" t="s">
        <v>4327</v>
      </c>
      <c r="J924" t="s">
        <v>4328</v>
      </c>
    </row>
    <row r="925" spans="1:10">
      <c r="A925" t="s">
        <v>4329</v>
      </c>
      <c r="B925" t="s">
        <v>4329</v>
      </c>
      <c r="C925" t="s">
        <v>504</v>
      </c>
      <c r="D925">
        <v>86</v>
      </c>
      <c r="E925" t="s">
        <v>29</v>
      </c>
      <c r="F925" t="s">
        <v>63</v>
      </c>
      <c r="G925" s="23">
        <v>42939</v>
      </c>
      <c r="H925" t="s">
        <v>4330</v>
      </c>
      <c r="I925" t="s">
        <v>4331</v>
      </c>
      <c r="J925" t="s">
        <v>4332</v>
      </c>
    </row>
    <row r="926" spans="1:10">
      <c r="A926" t="s">
        <v>4333</v>
      </c>
      <c r="B926" t="s">
        <v>4333</v>
      </c>
      <c r="C926" t="s">
        <v>1819</v>
      </c>
      <c r="D926">
        <v>16</v>
      </c>
      <c r="E926" t="s">
        <v>31</v>
      </c>
      <c r="F926" t="s">
        <v>63</v>
      </c>
      <c r="G926" s="23">
        <v>43373</v>
      </c>
      <c r="H926" t="s">
        <v>4334</v>
      </c>
      <c r="I926" t="s">
        <v>4335</v>
      </c>
      <c r="J926" t="s">
        <v>4336</v>
      </c>
    </row>
    <row r="927" spans="1:10">
      <c r="A927" t="s">
        <v>4337</v>
      </c>
      <c r="B927" t="s">
        <v>4337</v>
      </c>
      <c r="C927" t="s">
        <v>504</v>
      </c>
      <c r="D927">
        <v>44</v>
      </c>
      <c r="E927" t="s">
        <v>29</v>
      </c>
      <c r="F927" t="s">
        <v>63</v>
      </c>
      <c r="G927" s="23">
        <v>42334</v>
      </c>
      <c r="H927" t="s">
        <v>4338</v>
      </c>
      <c r="I927" t="s">
        <v>4339</v>
      </c>
      <c r="J927" t="s">
        <v>4340</v>
      </c>
    </row>
    <row r="928" spans="1:10">
      <c r="A928" t="s">
        <v>4341</v>
      </c>
      <c r="B928" t="s">
        <v>4341</v>
      </c>
      <c r="C928" t="s">
        <v>4342</v>
      </c>
      <c r="D928">
        <v>28</v>
      </c>
      <c r="E928" t="s">
        <v>29</v>
      </c>
      <c r="F928" t="s">
        <v>63</v>
      </c>
      <c r="G928" s="23">
        <v>42217</v>
      </c>
      <c r="H928" t="s">
        <v>4343</v>
      </c>
      <c r="I928" t="s">
        <v>4344</v>
      </c>
      <c r="J928" t="s">
        <v>4345</v>
      </c>
    </row>
    <row r="929" spans="1:10">
      <c r="A929" t="s">
        <v>4346</v>
      </c>
      <c r="B929" t="s">
        <v>4346</v>
      </c>
      <c r="C929" t="s">
        <v>4347</v>
      </c>
      <c r="D929">
        <v>8</v>
      </c>
      <c r="E929" t="s">
        <v>27</v>
      </c>
      <c r="F929" t="s">
        <v>63</v>
      </c>
      <c r="G929" s="23">
        <v>41528</v>
      </c>
      <c r="H929" t="s">
        <v>4348</v>
      </c>
      <c r="I929" t="s">
        <v>4349</v>
      </c>
      <c r="J929" t="s">
        <v>4350</v>
      </c>
    </row>
    <row r="930" spans="1:10">
      <c r="A930" t="s">
        <v>4351</v>
      </c>
      <c r="B930" t="s">
        <v>4351</v>
      </c>
      <c r="C930" t="s">
        <v>4352</v>
      </c>
      <c r="D930">
        <v>6</v>
      </c>
      <c r="E930" t="s">
        <v>31</v>
      </c>
      <c r="F930" t="s">
        <v>63</v>
      </c>
      <c r="G930" s="23">
        <v>42217</v>
      </c>
      <c r="H930" t="s">
        <v>4353</v>
      </c>
      <c r="I930" t="s">
        <v>4354</v>
      </c>
      <c r="J930" t="s">
        <v>4355</v>
      </c>
    </row>
    <row r="931" spans="1:10">
      <c r="A931" t="s">
        <v>4356</v>
      </c>
      <c r="B931" t="s">
        <v>4356</v>
      </c>
      <c r="C931" t="s">
        <v>3262</v>
      </c>
      <c r="D931">
        <v>35</v>
      </c>
      <c r="E931" t="s">
        <v>29</v>
      </c>
      <c r="F931" t="s">
        <v>63</v>
      </c>
      <c r="G931" s="23">
        <v>45349</v>
      </c>
      <c r="H931" t="s">
        <v>4357</v>
      </c>
      <c r="I931" t="s">
        <v>4358</v>
      </c>
      <c r="J931" t="s">
        <v>4359</v>
      </c>
    </row>
    <row r="932" spans="1:10">
      <c r="A932" t="s">
        <v>4360</v>
      </c>
      <c r="B932" t="s">
        <v>4360</v>
      </c>
      <c r="C932" t="s">
        <v>4305</v>
      </c>
      <c r="D932">
        <v>1</v>
      </c>
      <c r="E932" t="s">
        <v>29</v>
      </c>
      <c r="F932" t="s">
        <v>63</v>
      </c>
      <c r="G932" s="23">
        <v>44565</v>
      </c>
      <c r="H932" t="s">
        <v>4361</v>
      </c>
      <c r="I932" t="s">
        <v>4362</v>
      </c>
      <c r="J932" t="s">
        <v>4363</v>
      </c>
    </row>
    <row r="933" spans="1:10">
      <c r="A933" t="s">
        <v>4364</v>
      </c>
      <c r="B933" t="s">
        <v>4364</v>
      </c>
      <c r="C933" t="s">
        <v>4365</v>
      </c>
      <c r="D933">
        <v>1</v>
      </c>
      <c r="E933" t="s">
        <v>33</v>
      </c>
      <c r="F933" t="s">
        <v>57</v>
      </c>
      <c r="G933" s="23">
        <v>44492</v>
      </c>
      <c r="H933" t="s">
        <v>4366</v>
      </c>
      <c r="I933" t="s">
        <v>4367</v>
      </c>
      <c r="J933" t="s">
        <v>4368</v>
      </c>
    </row>
    <row r="934" spans="1:10">
      <c r="A934" t="s">
        <v>4369</v>
      </c>
      <c r="B934" t="s">
        <v>4370</v>
      </c>
      <c r="C934" t="s">
        <v>4371</v>
      </c>
      <c r="D934">
        <v>12</v>
      </c>
      <c r="E934" t="s">
        <v>29</v>
      </c>
      <c r="F934" t="s">
        <v>63</v>
      </c>
      <c r="G934" s="23">
        <v>44012</v>
      </c>
      <c r="H934" t="s">
        <v>4372</v>
      </c>
      <c r="I934" t="s">
        <v>4373</v>
      </c>
      <c r="J934" t="s">
        <v>4374</v>
      </c>
    </row>
    <row r="935" spans="1:10">
      <c r="A935" t="s">
        <v>4375</v>
      </c>
      <c r="B935" t="s">
        <v>4370</v>
      </c>
      <c r="C935" t="s">
        <v>4371</v>
      </c>
      <c r="D935">
        <v>33</v>
      </c>
      <c r="E935" t="s">
        <v>29</v>
      </c>
      <c r="F935" t="s">
        <v>63</v>
      </c>
      <c r="G935" s="23">
        <v>45109</v>
      </c>
      <c r="H935" t="s">
        <v>4376</v>
      </c>
      <c r="I935" t="s">
        <v>4377</v>
      </c>
      <c r="J935" t="s">
        <v>4378</v>
      </c>
    </row>
    <row r="936" spans="1:10">
      <c r="A936" t="s">
        <v>4379</v>
      </c>
      <c r="B936" t="s">
        <v>4370</v>
      </c>
      <c r="C936" t="s">
        <v>4371</v>
      </c>
      <c r="D936">
        <v>40</v>
      </c>
      <c r="E936" t="s">
        <v>31</v>
      </c>
      <c r="F936" t="s">
        <v>63</v>
      </c>
      <c r="G936" s="23">
        <v>45851</v>
      </c>
      <c r="H936" t="s">
        <v>4380</v>
      </c>
      <c r="I936" t="s">
        <v>4381</v>
      </c>
      <c r="J936" t="s">
        <v>4382</v>
      </c>
    </row>
    <row r="937" spans="1:10">
      <c r="A937" t="s">
        <v>4383</v>
      </c>
      <c r="B937" t="s">
        <v>4383</v>
      </c>
      <c r="C937" t="s">
        <v>4384</v>
      </c>
      <c r="D937">
        <v>6</v>
      </c>
      <c r="E937" t="s">
        <v>29</v>
      </c>
      <c r="F937" t="s">
        <v>63</v>
      </c>
      <c r="G937" s="23">
        <v>42338</v>
      </c>
      <c r="H937" t="s">
        <v>4385</v>
      </c>
      <c r="I937" t="s">
        <v>4386</v>
      </c>
      <c r="J937" t="s">
        <v>4387</v>
      </c>
    </row>
    <row r="938" spans="1:10">
      <c r="A938" t="s">
        <v>4388</v>
      </c>
      <c r="B938" t="s">
        <v>4388</v>
      </c>
      <c r="C938" t="s">
        <v>4389</v>
      </c>
      <c r="D938">
        <v>8</v>
      </c>
      <c r="E938" t="s">
        <v>29</v>
      </c>
      <c r="F938" t="s">
        <v>63</v>
      </c>
      <c r="G938" s="23">
        <v>42872</v>
      </c>
      <c r="H938" t="s">
        <v>4390</v>
      </c>
      <c r="I938" t="s">
        <v>4391</v>
      </c>
      <c r="J938" t="s">
        <v>4392</v>
      </c>
    </row>
    <row r="939" spans="1:10">
      <c r="A939" t="s">
        <v>4393</v>
      </c>
      <c r="B939" t="s">
        <v>4393</v>
      </c>
      <c r="C939" t="s">
        <v>1506</v>
      </c>
      <c r="D939">
        <v>6</v>
      </c>
      <c r="E939" t="s">
        <v>29</v>
      </c>
      <c r="F939" t="s">
        <v>63</v>
      </c>
      <c r="G939" s="23">
        <v>42214</v>
      </c>
      <c r="H939" t="s">
        <v>4394</v>
      </c>
      <c r="I939" t="s">
        <v>4395</v>
      </c>
      <c r="J939" t="s">
        <v>4396</v>
      </c>
    </row>
    <row r="940" spans="1:10">
      <c r="A940" t="s">
        <v>4397</v>
      </c>
      <c r="B940" t="s">
        <v>4397</v>
      </c>
      <c r="C940" t="s">
        <v>4398</v>
      </c>
      <c r="D940">
        <v>3</v>
      </c>
      <c r="E940" t="s">
        <v>29</v>
      </c>
      <c r="F940" t="s">
        <v>63</v>
      </c>
      <c r="G940" s="23">
        <v>42153</v>
      </c>
      <c r="H940" t="s">
        <v>4399</v>
      </c>
      <c r="I940" t="s">
        <v>4400</v>
      </c>
      <c r="J940" t="s">
        <v>4401</v>
      </c>
    </row>
    <row r="941" spans="1:10">
      <c r="A941" t="s">
        <v>4402</v>
      </c>
      <c r="B941" t="s">
        <v>4402</v>
      </c>
      <c r="C941" t="s">
        <v>1244</v>
      </c>
      <c r="D941">
        <v>8</v>
      </c>
      <c r="E941" t="s">
        <v>31</v>
      </c>
      <c r="F941" t="s">
        <v>63</v>
      </c>
      <c r="G941" s="23">
        <v>45725</v>
      </c>
      <c r="H941" t="s">
        <v>4403</v>
      </c>
      <c r="I941" t="s">
        <v>4404</v>
      </c>
      <c r="J941" t="s">
        <v>4405</v>
      </c>
    </row>
    <row r="942" spans="1:10">
      <c r="A942" t="s">
        <v>4406</v>
      </c>
      <c r="B942" t="s">
        <v>4406</v>
      </c>
      <c r="C942" t="s">
        <v>4407</v>
      </c>
      <c r="D942">
        <v>5</v>
      </c>
      <c r="E942" t="s">
        <v>29</v>
      </c>
      <c r="F942" t="s">
        <v>63</v>
      </c>
      <c r="G942" s="23">
        <v>42236</v>
      </c>
      <c r="H942" t="s">
        <v>4408</v>
      </c>
      <c r="I942" t="s">
        <v>4409</v>
      </c>
      <c r="J942" t="s">
        <v>4410</v>
      </c>
    </row>
    <row r="943" spans="1:10">
      <c r="A943" t="s">
        <v>4411</v>
      </c>
      <c r="B943" t="s">
        <v>4411</v>
      </c>
      <c r="C943" t="s">
        <v>1244</v>
      </c>
      <c r="D943">
        <v>7</v>
      </c>
      <c r="E943" t="s">
        <v>31</v>
      </c>
      <c r="F943" t="s">
        <v>63</v>
      </c>
      <c r="G943" s="23">
        <v>46075</v>
      </c>
      <c r="H943" t="s">
        <v>4412</v>
      </c>
      <c r="I943" t="s">
        <v>4413</v>
      </c>
      <c r="J943" t="s">
        <v>4414</v>
      </c>
    </row>
    <row r="944" spans="1:10">
      <c r="A944" t="s">
        <v>4415</v>
      </c>
      <c r="B944" t="s">
        <v>4415</v>
      </c>
      <c r="C944" t="s">
        <v>4416</v>
      </c>
      <c r="D944">
        <v>11</v>
      </c>
      <c r="E944" t="s">
        <v>27</v>
      </c>
      <c r="F944" t="s">
        <v>63</v>
      </c>
      <c r="G944" s="23">
        <v>42091</v>
      </c>
      <c r="H944" t="s">
        <v>4417</v>
      </c>
      <c r="I944" t="s">
        <v>4418</v>
      </c>
      <c r="J944" t="s">
        <v>4419</v>
      </c>
    </row>
    <row r="945" spans="1:10">
      <c r="A945" t="s">
        <v>4420</v>
      </c>
      <c r="B945" t="s">
        <v>4420</v>
      </c>
      <c r="C945" t="s">
        <v>4421</v>
      </c>
      <c r="D945">
        <v>18</v>
      </c>
      <c r="E945" t="s">
        <v>33</v>
      </c>
      <c r="F945" t="s">
        <v>57</v>
      </c>
      <c r="G945" s="23">
        <v>43957</v>
      </c>
      <c r="H945" t="s">
        <v>4422</v>
      </c>
      <c r="I945" t="s">
        <v>4423</v>
      </c>
      <c r="J945" t="s">
        <v>4424</v>
      </c>
    </row>
    <row r="946" spans="1:10">
      <c r="A946" t="s">
        <v>4425</v>
      </c>
      <c r="B946" t="s">
        <v>4425</v>
      </c>
      <c r="C946" t="s">
        <v>4426</v>
      </c>
      <c r="D946">
        <v>8</v>
      </c>
      <c r="E946" t="s">
        <v>29</v>
      </c>
      <c r="F946" t="s">
        <v>63</v>
      </c>
      <c r="G946" s="23">
        <v>42315</v>
      </c>
      <c r="H946" t="s">
        <v>4427</v>
      </c>
      <c r="I946" t="s">
        <v>4428</v>
      </c>
      <c r="J946" t="s">
        <v>4429</v>
      </c>
    </row>
    <row r="947" spans="1:10">
      <c r="A947" t="s">
        <v>4430</v>
      </c>
      <c r="B947" t="s">
        <v>4430</v>
      </c>
      <c r="C947" t="s">
        <v>4431</v>
      </c>
      <c r="D947">
        <v>12</v>
      </c>
      <c r="E947" t="s">
        <v>29</v>
      </c>
      <c r="F947" t="s">
        <v>63</v>
      </c>
      <c r="G947" s="23">
        <v>42224</v>
      </c>
      <c r="H947" t="s">
        <v>4432</v>
      </c>
      <c r="I947" t="s">
        <v>4433</v>
      </c>
      <c r="J947" t="s">
        <v>4434</v>
      </c>
    </row>
    <row r="948" spans="1:10">
      <c r="A948" t="s">
        <v>4435</v>
      </c>
      <c r="B948" t="s">
        <v>4435</v>
      </c>
      <c r="C948" t="s">
        <v>4436</v>
      </c>
      <c r="D948">
        <v>10</v>
      </c>
      <c r="E948" t="s">
        <v>29</v>
      </c>
      <c r="F948" t="s">
        <v>63</v>
      </c>
      <c r="G948" s="23">
        <v>41569</v>
      </c>
      <c r="H948" t="s">
        <v>4437</v>
      </c>
      <c r="I948" t="s">
        <v>4438</v>
      </c>
      <c r="J948" t="s">
        <v>4439</v>
      </c>
    </row>
    <row r="949" spans="1:10">
      <c r="A949" t="s">
        <v>4440</v>
      </c>
      <c r="B949" t="s">
        <v>4440</v>
      </c>
      <c r="C949" t="s">
        <v>4441</v>
      </c>
      <c r="D949">
        <v>7</v>
      </c>
      <c r="E949" t="s">
        <v>29</v>
      </c>
      <c r="F949" t="s">
        <v>63</v>
      </c>
      <c r="G949" s="23">
        <v>41998</v>
      </c>
      <c r="H949" t="s">
        <v>4442</v>
      </c>
      <c r="I949" t="s">
        <v>4443</v>
      </c>
      <c r="J949" t="s">
        <v>4444</v>
      </c>
    </row>
    <row r="950" spans="1:10">
      <c r="A950" t="s">
        <v>4445</v>
      </c>
      <c r="B950" t="s">
        <v>4445</v>
      </c>
      <c r="C950" t="s">
        <v>4446</v>
      </c>
      <c r="D950">
        <v>4</v>
      </c>
      <c r="E950" t="s">
        <v>31</v>
      </c>
      <c r="F950" t="s">
        <v>63</v>
      </c>
      <c r="G950" s="23">
        <v>42163</v>
      </c>
      <c r="H950" t="s">
        <v>4447</v>
      </c>
      <c r="I950" t="s">
        <v>4448</v>
      </c>
      <c r="J950" t="s">
        <v>4449</v>
      </c>
    </row>
    <row r="951" spans="1:10">
      <c r="A951" t="s">
        <v>4450</v>
      </c>
      <c r="B951" t="s">
        <v>4450</v>
      </c>
      <c r="C951" t="s">
        <v>4451</v>
      </c>
      <c r="D951">
        <v>6</v>
      </c>
      <c r="E951" t="s">
        <v>27</v>
      </c>
      <c r="F951" t="s">
        <v>63</v>
      </c>
      <c r="G951" s="23">
        <v>42264</v>
      </c>
      <c r="H951" t="s">
        <v>4452</v>
      </c>
      <c r="I951" t="s">
        <v>4453</v>
      </c>
      <c r="J951" t="s">
        <v>4454</v>
      </c>
    </row>
    <row r="952" spans="1:10">
      <c r="A952" t="s">
        <v>4455</v>
      </c>
      <c r="B952" t="s">
        <v>4455</v>
      </c>
      <c r="C952" t="s">
        <v>4310</v>
      </c>
      <c r="D952">
        <v>7</v>
      </c>
      <c r="E952" t="s">
        <v>29</v>
      </c>
      <c r="F952" t="s">
        <v>63</v>
      </c>
      <c r="G952" s="23">
        <v>43435</v>
      </c>
      <c r="H952" t="s">
        <v>4456</v>
      </c>
      <c r="I952" t="s">
        <v>4457</v>
      </c>
      <c r="J952" t="s">
        <v>4458</v>
      </c>
    </row>
    <row r="953" spans="1:10">
      <c r="A953" t="s">
        <v>4459</v>
      </c>
      <c r="B953" t="s">
        <v>4459</v>
      </c>
      <c r="C953" t="s">
        <v>4460</v>
      </c>
      <c r="D953">
        <v>5</v>
      </c>
      <c r="E953" t="s">
        <v>31</v>
      </c>
      <c r="F953" t="s">
        <v>63</v>
      </c>
      <c r="G953" s="23">
        <v>42208</v>
      </c>
      <c r="H953" t="s">
        <v>4461</v>
      </c>
      <c r="I953" t="s">
        <v>4462</v>
      </c>
      <c r="J953" t="s">
        <v>4463</v>
      </c>
    </row>
    <row r="954" spans="1:10">
      <c r="A954" t="s">
        <v>4464</v>
      </c>
      <c r="B954" t="s">
        <v>4464</v>
      </c>
      <c r="C954" t="s">
        <v>4465</v>
      </c>
      <c r="D954">
        <v>3</v>
      </c>
      <c r="E954" t="s">
        <v>29</v>
      </c>
      <c r="F954" t="s">
        <v>63</v>
      </c>
      <c r="G954" s="23">
        <v>42135</v>
      </c>
      <c r="H954" t="s">
        <v>4466</v>
      </c>
      <c r="I954" t="s">
        <v>4467</v>
      </c>
      <c r="J954" t="s">
        <v>4468</v>
      </c>
    </row>
    <row r="955" spans="1:10">
      <c r="A955" t="s">
        <v>4469</v>
      </c>
      <c r="B955" t="s">
        <v>4469</v>
      </c>
      <c r="C955" t="s">
        <v>2245</v>
      </c>
      <c r="D955">
        <v>8</v>
      </c>
      <c r="E955" t="s">
        <v>29</v>
      </c>
      <c r="F955" t="s">
        <v>63</v>
      </c>
      <c r="G955" s="23">
        <v>43548</v>
      </c>
      <c r="H955" t="s">
        <v>4470</v>
      </c>
      <c r="I955" t="s">
        <v>4471</v>
      </c>
      <c r="J955" t="s">
        <v>4472</v>
      </c>
    </row>
    <row r="956" spans="1:10">
      <c r="A956" t="s">
        <v>4473</v>
      </c>
      <c r="B956" t="s">
        <v>4473</v>
      </c>
      <c r="C956" t="s">
        <v>2245</v>
      </c>
      <c r="D956">
        <v>32</v>
      </c>
      <c r="E956" t="s">
        <v>29</v>
      </c>
      <c r="F956" t="s">
        <v>63</v>
      </c>
      <c r="G956" s="23">
        <v>43747</v>
      </c>
      <c r="H956" t="s">
        <v>4474</v>
      </c>
      <c r="I956" t="s">
        <v>4475</v>
      </c>
      <c r="J956" t="s">
        <v>4476</v>
      </c>
    </row>
    <row r="957" spans="1:10">
      <c r="A957" t="s">
        <v>4477</v>
      </c>
      <c r="B957" t="s">
        <v>4477</v>
      </c>
      <c r="C957" t="s">
        <v>4478</v>
      </c>
      <c r="D957">
        <v>7</v>
      </c>
      <c r="E957" t="s">
        <v>29</v>
      </c>
      <c r="F957" t="s">
        <v>63</v>
      </c>
      <c r="G957" s="23">
        <v>42338</v>
      </c>
      <c r="H957" t="s">
        <v>4479</v>
      </c>
      <c r="I957" t="s">
        <v>4480</v>
      </c>
      <c r="J957" t="s">
        <v>4481</v>
      </c>
    </row>
    <row r="958" spans="1:10">
      <c r="A958" t="s">
        <v>4482</v>
      </c>
      <c r="B958" t="s">
        <v>4482</v>
      </c>
      <c r="C958" t="s">
        <v>4483</v>
      </c>
      <c r="D958">
        <v>17</v>
      </c>
      <c r="E958" t="s">
        <v>29</v>
      </c>
      <c r="F958" t="s">
        <v>63</v>
      </c>
      <c r="G958" s="23">
        <v>42252</v>
      </c>
      <c r="H958" t="s">
        <v>4484</v>
      </c>
      <c r="I958" t="s">
        <v>4485</v>
      </c>
      <c r="J958" t="s">
        <v>4486</v>
      </c>
    </row>
    <row r="959" spans="1:10">
      <c r="A959" t="s">
        <v>4487</v>
      </c>
      <c r="B959" t="s">
        <v>4487</v>
      </c>
      <c r="C959" t="s">
        <v>4483</v>
      </c>
      <c r="D959">
        <v>6</v>
      </c>
      <c r="E959" t="s">
        <v>27</v>
      </c>
      <c r="F959" t="s">
        <v>63</v>
      </c>
      <c r="G959" s="23">
        <v>42293</v>
      </c>
      <c r="H959" t="s">
        <v>4488</v>
      </c>
      <c r="I959" t="s">
        <v>4489</v>
      </c>
      <c r="J959" t="s">
        <v>4490</v>
      </c>
    </row>
    <row r="960" spans="1:10">
      <c r="A960" t="s">
        <v>4491</v>
      </c>
      <c r="B960" t="s">
        <v>4491</v>
      </c>
      <c r="C960" t="s">
        <v>4492</v>
      </c>
      <c r="D960">
        <v>60</v>
      </c>
      <c r="E960" t="s">
        <v>27</v>
      </c>
      <c r="F960" t="s">
        <v>63</v>
      </c>
      <c r="G960" s="23">
        <v>42286</v>
      </c>
      <c r="H960" t="s">
        <v>4493</v>
      </c>
      <c r="I960" t="s">
        <v>4494</v>
      </c>
      <c r="J960" t="s">
        <v>4495</v>
      </c>
    </row>
    <row r="961" spans="1:10">
      <c r="A961" t="s">
        <v>4496</v>
      </c>
      <c r="B961" t="s">
        <v>4496</v>
      </c>
      <c r="C961" t="s">
        <v>2133</v>
      </c>
      <c r="D961">
        <v>11</v>
      </c>
      <c r="E961" t="s">
        <v>31</v>
      </c>
      <c r="F961" t="s">
        <v>63</v>
      </c>
      <c r="G961" s="23">
        <v>42231</v>
      </c>
      <c r="H961" t="s">
        <v>4497</v>
      </c>
      <c r="I961" t="s">
        <v>4498</v>
      </c>
      <c r="J961" t="s">
        <v>4499</v>
      </c>
    </row>
    <row r="962" spans="1:10">
      <c r="A962" t="s">
        <v>4500</v>
      </c>
      <c r="B962" t="s">
        <v>4500</v>
      </c>
      <c r="C962" t="s">
        <v>4501</v>
      </c>
      <c r="D962">
        <v>3</v>
      </c>
      <c r="E962" t="s">
        <v>33</v>
      </c>
      <c r="F962" t="s">
        <v>57</v>
      </c>
      <c r="G962" s="23">
        <v>44584</v>
      </c>
      <c r="H962" t="s">
        <v>4502</v>
      </c>
      <c r="I962" t="s">
        <v>4503</v>
      </c>
      <c r="J962" t="s">
        <v>4504</v>
      </c>
    </row>
    <row r="963" spans="1:10">
      <c r="A963" t="s">
        <v>4505</v>
      </c>
      <c r="B963" t="s">
        <v>4505</v>
      </c>
      <c r="C963" t="s">
        <v>4506</v>
      </c>
      <c r="D963">
        <v>12</v>
      </c>
      <c r="E963" t="s">
        <v>29</v>
      </c>
      <c r="F963" t="s">
        <v>63</v>
      </c>
      <c r="G963" s="23">
        <v>46035</v>
      </c>
      <c r="H963" t="s">
        <v>4507</v>
      </c>
      <c r="I963" t="s">
        <v>4508</v>
      </c>
      <c r="J963" t="s">
        <v>4509</v>
      </c>
    </row>
    <row r="964" spans="1:10">
      <c r="A964" t="s">
        <v>4510</v>
      </c>
      <c r="B964" t="s">
        <v>4510</v>
      </c>
      <c r="C964" t="s">
        <v>2460</v>
      </c>
      <c r="D964">
        <v>7</v>
      </c>
      <c r="E964" t="s">
        <v>31</v>
      </c>
      <c r="F964" t="s">
        <v>63</v>
      </c>
      <c r="G964" s="23">
        <v>42003</v>
      </c>
      <c r="H964" t="s">
        <v>4511</v>
      </c>
      <c r="I964" t="s">
        <v>4512</v>
      </c>
      <c r="J964" t="s">
        <v>4513</v>
      </c>
    </row>
    <row r="965" spans="1:10">
      <c r="A965" t="s">
        <v>4514</v>
      </c>
      <c r="B965" t="s">
        <v>4514</v>
      </c>
      <c r="C965" t="s">
        <v>4515</v>
      </c>
      <c r="D965">
        <v>16</v>
      </c>
      <c r="E965" t="s">
        <v>31</v>
      </c>
      <c r="F965" t="s">
        <v>63</v>
      </c>
      <c r="G965" s="23">
        <v>42255</v>
      </c>
      <c r="H965" t="s">
        <v>4516</v>
      </c>
      <c r="I965" t="s">
        <v>4517</v>
      </c>
      <c r="J965" t="s">
        <v>4518</v>
      </c>
    </row>
    <row r="966" spans="1:10">
      <c r="A966" t="s">
        <v>4519</v>
      </c>
      <c r="B966" t="s">
        <v>4519</v>
      </c>
      <c r="C966" t="s">
        <v>130</v>
      </c>
      <c r="D966">
        <v>86</v>
      </c>
      <c r="E966" t="s">
        <v>31</v>
      </c>
      <c r="F966" t="s">
        <v>63</v>
      </c>
      <c r="G966" s="23">
        <v>44255</v>
      </c>
      <c r="H966" t="s">
        <v>4520</v>
      </c>
      <c r="I966" t="s">
        <v>4521</v>
      </c>
      <c r="J966" t="s">
        <v>4522</v>
      </c>
    </row>
    <row r="967" spans="1:10">
      <c r="A967" t="s">
        <v>4523</v>
      </c>
      <c r="B967" t="s">
        <v>4523</v>
      </c>
      <c r="C967" t="s">
        <v>130</v>
      </c>
      <c r="D967">
        <v>95</v>
      </c>
      <c r="E967" t="s">
        <v>31</v>
      </c>
      <c r="F967" t="s">
        <v>63</v>
      </c>
      <c r="G967" s="23">
        <v>44395</v>
      </c>
      <c r="H967" t="s">
        <v>4524</v>
      </c>
      <c r="I967" t="s">
        <v>4525</v>
      </c>
      <c r="J967" t="s">
        <v>4526</v>
      </c>
    </row>
    <row r="968" spans="1:10">
      <c r="A968" t="s">
        <v>4527</v>
      </c>
      <c r="B968" t="s">
        <v>4527</v>
      </c>
      <c r="C968" t="s">
        <v>130</v>
      </c>
      <c r="D968">
        <v>95</v>
      </c>
      <c r="E968" t="s">
        <v>31</v>
      </c>
      <c r="F968" t="s">
        <v>63</v>
      </c>
      <c r="G968" s="23">
        <v>42349</v>
      </c>
      <c r="H968" t="s">
        <v>4528</v>
      </c>
      <c r="I968" t="s">
        <v>4529</v>
      </c>
      <c r="J968" t="s">
        <v>4530</v>
      </c>
    </row>
    <row r="969" spans="1:10">
      <c r="A969" t="s">
        <v>4531</v>
      </c>
      <c r="B969" t="s">
        <v>4531</v>
      </c>
      <c r="C969" t="s">
        <v>4532</v>
      </c>
      <c r="D969">
        <v>18</v>
      </c>
      <c r="E969" t="s">
        <v>29</v>
      </c>
      <c r="F969" t="s">
        <v>63</v>
      </c>
      <c r="G969" s="23">
        <v>45848</v>
      </c>
      <c r="H969" t="s">
        <v>4533</v>
      </c>
      <c r="I969" t="s">
        <v>4534</v>
      </c>
      <c r="J969" t="s">
        <v>4535</v>
      </c>
    </row>
    <row r="970" spans="1:10">
      <c r="A970" t="s">
        <v>4536</v>
      </c>
      <c r="B970" t="s">
        <v>4536</v>
      </c>
      <c r="C970" t="s">
        <v>4537</v>
      </c>
      <c r="D970">
        <v>5</v>
      </c>
      <c r="E970" t="s">
        <v>29</v>
      </c>
      <c r="F970" t="s">
        <v>63</v>
      </c>
      <c r="G970" s="23">
        <v>43454</v>
      </c>
      <c r="H970" t="s">
        <v>4538</v>
      </c>
      <c r="I970" t="s">
        <v>4539</v>
      </c>
      <c r="J970" t="s">
        <v>4540</v>
      </c>
    </row>
    <row r="971" spans="1:10">
      <c r="A971" t="s">
        <v>4541</v>
      </c>
      <c r="B971" t="s">
        <v>4541</v>
      </c>
      <c r="C971" t="s">
        <v>4542</v>
      </c>
      <c r="D971">
        <v>11</v>
      </c>
      <c r="E971" t="s">
        <v>33</v>
      </c>
      <c r="F971" t="s">
        <v>63</v>
      </c>
      <c r="G971" s="23">
        <v>44891</v>
      </c>
      <c r="H971" t="s">
        <v>4543</v>
      </c>
      <c r="I971" t="s">
        <v>4544</v>
      </c>
      <c r="J971" t="s">
        <v>4545</v>
      </c>
    </row>
    <row r="972" spans="1:10">
      <c r="A972" t="s">
        <v>4546</v>
      </c>
      <c r="B972" t="s">
        <v>4546</v>
      </c>
      <c r="C972" t="s">
        <v>4547</v>
      </c>
      <c r="D972">
        <v>5</v>
      </c>
      <c r="E972" t="s">
        <v>29</v>
      </c>
      <c r="F972" t="s">
        <v>63</v>
      </c>
      <c r="G972" s="23">
        <v>42255</v>
      </c>
      <c r="H972" t="s">
        <v>4548</v>
      </c>
      <c r="I972" t="s">
        <v>4549</v>
      </c>
      <c r="J972" t="s">
        <v>4550</v>
      </c>
    </row>
    <row r="973" spans="1:10">
      <c r="A973" t="s">
        <v>4551</v>
      </c>
      <c r="B973" t="s">
        <v>4551</v>
      </c>
      <c r="C973" t="s">
        <v>4552</v>
      </c>
      <c r="D973">
        <v>56</v>
      </c>
      <c r="E973" t="s">
        <v>31</v>
      </c>
      <c r="F973" t="s">
        <v>63</v>
      </c>
      <c r="G973" s="23">
        <v>45828</v>
      </c>
      <c r="H973" t="s">
        <v>4553</v>
      </c>
      <c r="I973" t="s">
        <v>4554</v>
      </c>
      <c r="J973" t="s">
        <v>4555</v>
      </c>
    </row>
    <row r="974" spans="1:10">
      <c r="A974" t="s">
        <v>4556</v>
      </c>
      <c r="B974" t="s">
        <v>4556</v>
      </c>
      <c r="C974" t="s">
        <v>4557</v>
      </c>
      <c r="D974">
        <v>13</v>
      </c>
      <c r="E974" t="s">
        <v>29</v>
      </c>
      <c r="F974" t="s">
        <v>63</v>
      </c>
      <c r="G974" s="23">
        <v>44826</v>
      </c>
      <c r="H974" t="s">
        <v>4558</v>
      </c>
      <c r="I974" t="s">
        <v>4559</v>
      </c>
      <c r="J974" t="s">
        <v>4560</v>
      </c>
    </row>
    <row r="975" spans="1:10">
      <c r="A975" t="s">
        <v>4561</v>
      </c>
      <c r="B975" t="s">
        <v>4561</v>
      </c>
      <c r="C975" t="s">
        <v>4562</v>
      </c>
      <c r="D975">
        <v>10</v>
      </c>
      <c r="E975" t="s">
        <v>27</v>
      </c>
      <c r="F975" t="s">
        <v>63</v>
      </c>
      <c r="G975" s="23">
        <v>42268</v>
      </c>
      <c r="H975" t="s">
        <v>4563</v>
      </c>
      <c r="I975" t="s">
        <v>4564</v>
      </c>
      <c r="J975" t="s">
        <v>4565</v>
      </c>
    </row>
    <row r="976" spans="1:10">
      <c r="A976" t="s">
        <v>4566</v>
      </c>
      <c r="B976" t="s">
        <v>4566</v>
      </c>
      <c r="C976" t="s">
        <v>4567</v>
      </c>
      <c r="D976">
        <v>6</v>
      </c>
      <c r="E976" t="s">
        <v>29</v>
      </c>
      <c r="F976" t="s">
        <v>63</v>
      </c>
      <c r="G976" s="23">
        <v>42314</v>
      </c>
      <c r="H976" t="s">
        <v>4568</v>
      </c>
      <c r="I976" t="s">
        <v>4569</v>
      </c>
      <c r="J976" t="s">
        <v>4570</v>
      </c>
    </row>
    <row r="977" spans="1:10">
      <c r="A977" t="s">
        <v>4571</v>
      </c>
      <c r="B977" t="s">
        <v>4571</v>
      </c>
      <c r="C977" t="s">
        <v>4572</v>
      </c>
      <c r="D977">
        <v>5</v>
      </c>
      <c r="E977" t="s">
        <v>29</v>
      </c>
      <c r="F977" t="s">
        <v>63</v>
      </c>
      <c r="G977" s="23">
        <v>42288</v>
      </c>
      <c r="H977" t="s">
        <v>4573</v>
      </c>
      <c r="I977" t="s">
        <v>4574</v>
      </c>
      <c r="J977" t="s">
        <v>4575</v>
      </c>
    </row>
    <row r="978" spans="1:10">
      <c r="A978" t="s">
        <v>4576</v>
      </c>
      <c r="B978" t="s">
        <v>4576</v>
      </c>
      <c r="C978" t="s">
        <v>2979</v>
      </c>
      <c r="D978">
        <v>7</v>
      </c>
      <c r="E978" t="s">
        <v>27</v>
      </c>
      <c r="F978" t="s">
        <v>63</v>
      </c>
      <c r="G978" s="23">
        <v>42482</v>
      </c>
      <c r="H978" t="s">
        <v>4577</v>
      </c>
      <c r="I978" t="s">
        <v>4578</v>
      </c>
      <c r="J978" t="s">
        <v>4579</v>
      </c>
    </row>
    <row r="979" spans="1:10">
      <c r="A979" t="s">
        <v>4580</v>
      </c>
      <c r="B979" t="s">
        <v>4580</v>
      </c>
      <c r="C979" t="s">
        <v>4581</v>
      </c>
      <c r="D979">
        <v>6</v>
      </c>
      <c r="E979" t="s">
        <v>27</v>
      </c>
      <c r="F979" t="s">
        <v>63</v>
      </c>
      <c r="G979" s="23">
        <v>42228</v>
      </c>
      <c r="H979" t="s">
        <v>4582</v>
      </c>
      <c r="I979" t="s">
        <v>4583</v>
      </c>
      <c r="J979" t="s">
        <v>4584</v>
      </c>
    </row>
    <row r="980" spans="1:10">
      <c r="A980" t="s">
        <v>4585</v>
      </c>
      <c r="B980" t="s">
        <v>4585</v>
      </c>
      <c r="C980" t="s">
        <v>243</v>
      </c>
      <c r="D980">
        <v>9</v>
      </c>
      <c r="E980" t="s">
        <v>31</v>
      </c>
      <c r="F980" t="s">
        <v>63</v>
      </c>
      <c r="G980" s="23">
        <v>43909</v>
      </c>
      <c r="H980" t="s">
        <v>4586</v>
      </c>
      <c r="I980" t="s">
        <v>4587</v>
      </c>
      <c r="J980" t="s">
        <v>4588</v>
      </c>
    </row>
    <row r="981" spans="1:10">
      <c r="A981" t="s">
        <v>4589</v>
      </c>
      <c r="B981" t="s">
        <v>4589</v>
      </c>
      <c r="C981" t="s">
        <v>4590</v>
      </c>
      <c r="D981">
        <v>20</v>
      </c>
      <c r="E981" t="s">
        <v>35</v>
      </c>
      <c r="F981" t="s">
        <v>571</v>
      </c>
      <c r="G981" s="23">
        <v>45510</v>
      </c>
      <c r="H981" t="s">
        <v>4591</v>
      </c>
      <c r="I981" t="s">
        <v>4592</v>
      </c>
      <c r="J981" t="s">
        <v>4593</v>
      </c>
    </row>
    <row r="982" spans="1:10">
      <c r="A982" t="s">
        <v>4594</v>
      </c>
      <c r="B982" t="s">
        <v>4594</v>
      </c>
      <c r="C982" t="s">
        <v>1603</v>
      </c>
      <c r="D982">
        <v>85</v>
      </c>
      <c r="E982" t="s">
        <v>31</v>
      </c>
      <c r="F982" t="s">
        <v>63</v>
      </c>
      <c r="G982" s="23">
        <v>42285</v>
      </c>
      <c r="H982" t="s">
        <v>4595</v>
      </c>
      <c r="I982" t="s">
        <v>4596</v>
      </c>
      <c r="J982" t="s">
        <v>4597</v>
      </c>
    </row>
    <row r="983" spans="1:10">
      <c r="A983" t="s">
        <v>4598</v>
      </c>
      <c r="B983" t="s">
        <v>4598</v>
      </c>
      <c r="C983" t="s">
        <v>1244</v>
      </c>
      <c r="D983">
        <v>32</v>
      </c>
      <c r="E983" t="s">
        <v>33</v>
      </c>
      <c r="F983" t="s">
        <v>63</v>
      </c>
      <c r="G983" s="23">
        <v>44102</v>
      </c>
      <c r="H983" t="s">
        <v>4599</v>
      </c>
      <c r="I983" t="s">
        <v>4600</v>
      </c>
      <c r="J983" t="s">
        <v>4601</v>
      </c>
    </row>
    <row r="984" spans="1:10">
      <c r="A984" t="s">
        <v>4602</v>
      </c>
      <c r="B984" t="s">
        <v>4602</v>
      </c>
      <c r="C984" t="s">
        <v>1244</v>
      </c>
      <c r="D984">
        <v>13</v>
      </c>
      <c r="E984" t="s">
        <v>31</v>
      </c>
      <c r="F984" t="s">
        <v>63</v>
      </c>
      <c r="G984" s="23">
        <v>44193</v>
      </c>
      <c r="H984" t="s">
        <v>4603</v>
      </c>
      <c r="I984" t="s">
        <v>4604</v>
      </c>
      <c r="J984" t="s">
        <v>4605</v>
      </c>
    </row>
    <row r="985" spans="1:10">
      <c r="A985" t="s">
        <v>4606</v>
      </c>
      <c r="B985" t="s">
        <v>4606</v>
      </c>
      <c r="C985" t="s">
        <v>1244</v>
      </c>
      <c r="D985">
        <v>42</v>
      </c>
      <c r="E985" t="s">
        <v>33</v>
      </c>
      <c r="F985" t="s">
        <v>63</v>
      </c>
      <c r="G985" s="23">
        <v>44452</v>
      </c>
      <c r="H985" t="s">
        <v>4607</v>
      </c>
      <c r="I985" t="s">
        <v>4608</v>
      </c>
      <c r="J985" t="s">
        <v>4609</v>
      </c>
    </row>
    <row r="986" spans="1:10">
      <c r="A986" t="s">
        <v>4610</v>
      </c>
      <c r="B986" t="s">
        <v>4610</v>
      </c>
      <c r="C986" t="s">
        <v>1244</v>
      </c>
      <c r="D986">
        <v>50</v>
      </c>
      <c r="E986" t="s">
        <v>33</v>
      </c>
      <c r="F986" t="s">
        <v>63</v>
      </c>
      <c r="G986" s="23">
        <v>45320</v>
      </c>
      <c r="H986" t="s">
        <v>4611</v>
      </c>
      <c r="I986" t="s">
        <v>4612</v>
      </c>
      <c r="J986" t="s">
        <v>4613</v>
      </c>
    </row>
    <row r="987" spans="1:10">
      <c r="A987" t="s">
        <v>4614</v>
      </c>
      <c r="B987" t="s">
        <v>4614</v>
      </c>
      <c r="C987" t="s">
        <v>1244</v>
      </c>
      <c r="D987">
        <v>4</v>
      </c>
      <c r="E987" t="s">
        <v>31</v>
      </c>
      <c r="F987" t="s">
        <v>63</v>
      </c>
      <c r="G987" s="23">
        <v>45540</v>
      </c>
      <c r="H987" t="s">
        <v>4615</v>
      </c>
      <c r="I987" t="s">
        <v>4616</v>
      </c>
      <c r="J987" t="s">
        <v>4617</v>
      </c>
    </row>
    <row r="988" spans="1:10">
      <c r="A988" t="s">
        <v>4618</v>
      </c>
      <c r="B988" t="s">
        <v>4618</v>
      </c>
      <c r="C988" t="s">
        <v>4619</v>
      </c>
      <c r="D988">
        <v>5</v>
      </c>
      <c r="E988" t="s">
        <v>33</v>
      </c>
      <c r="F988" t="s">
        <v>63</v>
      </c>
      <c r="G988" s="23">
        <v>42629</v>
      </c>
      <c r="H988" t="s">
        <v>4620</v>
      </c>
      <c r="I988" t="s">
        <v>4621</v>
      </c>
      <c r="J988" t="s">
        <v>4622</v>
      </c>
    </row>
    <row r="989" spans="1:10">
      <c r="A989" t="s">
        <v>4623</v>
      </c>
      <c r="B989" t="s">
        <v>4623</v>
      </c>
      <c r="C989" t="s">
        <v>4371</v>
      </c>
      <c r="D989">
        <v>11</v>
      </c>
      <c r="E989" t="s">
        <v>29</v>
      </c>
      <c r="F989" t="s">
        <v>63</v>
      </c>
      <c r="G989" s="23">
        <v>43907</v>
      </c>
      <c r="H989" t="s">
        <v>4624</v>
      </c>
      <c r="I989" t="s">
        <v>4625</v>
      </c>
      <c r="J989" t="s">
        <v>4626</v>
      </c>
    </row>
    <row r="990" spans="1:10">
      <c r="A990" t="s">
        <v>4627</v>
      </c>
      <c r="B990" t="s">
        <v>4627</v>
      </c>
      <c r="C990" t="s">
        <v>4628</v>
      </c>
      <c r="D990">
        <v>26</v>
      </c>
      <c r="E990" t="s">
        <v>29</v>
      </c>
      <c r="F990" t="s">
        <v>63</v>
      </c>
      <c r="G990" s="23">
        <v>42339</v>
      </c>
      <c r="H990" t="s">
        <v>4629</v>
      </c>
      <c r="I990" t="s">
        <v>4630</v>
      </c>
      <c r="J990" t="s">
        <v>4631</v>
      </c>
    </row>
    <row r="991" spans="1:10">
      <c r="A991" t="s">
        <v>4632</v>
      </c>
      <c r="B991" t="s">
        <v>4632</v>
      </c>
      <c r="C991" t="s">
        <v>4633</v>
      </c>
      <c r="D991">
        <v>8</v>
      </c>
      <c r="E991" t="s">
        <v>29</v>
      </c>
      <c r="F991" t="s">
        <v>63</v>
      </c>
      <c r="G991" s="23">
        <v>41450</v>
      </c>
      <c r="H991" t="s">
        <v>4634</v>
      </c>
      <c r="I991" t="s">
        <v>4635</v>
      </c>
      <c r="J991" t="s">
        <v>4636</v>
      </c>
    </row>
    <row r="992" spans="1:10">
      <c r="A992" t="s">
        <v>4637</v>
      </c>
      <c r="B992" t="s">
        <v>4637</v>
      </c>
      <c r="C992" t="s">
        <v>4638</v>
      </c>
      <c r="D992">
        <v>8</v>
      </c>
      <c r="E992" t="s">
        <v>31</v>
      </c>
      <c r="F992" t="s">
        <v>63</v>
      </c>
      <c r="G992" s="23">
        <v>42691</v>
      </c>
      <c r="H992" t="s">
        <v>4639</v>
      </c>
      <c r="I992" t="s">
        <v>4640</v>
      </c>
      <c r="J992" t="s">
        <v>4641</v>
      </c>
    </row>
    <row r="993" spans="1:10">
      <c r="A993" t="s">
        <v>4642</v>
      </c>
      <c r="B993" t="s">
        <v>4642</v>
      </c>
      <c r="C993" t="s">
        <v>4643</v>
      </c>
      <c r="D993">
        <v>96</v>
      </c>
      <c r="E993" t="s">
        <v>29</v>
      </c>
      <c r="F993" t="s">
        <v>63</v>
      </c>
      <c r="G993" s="23">
        <v>42010</v>
      </c>
      <c r="H993" t="s">
        <v>4644</v>
      </c>
      <c r="I993" t="s">
        <v>4645</v>
      </c>
      <c r="J993" t="s">
        <v>4646</v>
      </c>
    </row>
    <row r="994" spans="1:10">
      <c r="A994" t="s">
        <v>4647</v>
      </c>
      <c r="B994" t="s">
        <v>4647</v>
      </c>
      <c r="C994" t="s">
        <v>4547</v>
      </c>
      <c r="D994">
        <v>52</v>
      </c>
      <c r="E994" t="s">
        <v>29</v>
      </c>
      <c r="F994" t="s">
        <v>63</v>
      </c>
      <c r="G994" s="23">
        <v>45351</v>
      </c>
      <c r="H994" t="s">
        <v>4648</v>
      </c>
      <c r="I994" t="s">
        <v>4649</v>
      </c>
      <c r="J994" t="s">
        <v>4650</v>
      </c>
    </row>
    <row r="995" spans="1:10">
      <c r="A995" t="s">
        <v>4651</v>
      </c>
      <c r="B995" t="s">
        <v>4651</v>
      </c>
      <c r="C995" t="s">
        <v>4652</v>
      </c>
      <c r="D995">
        <v>3</v>
      </c>
      <c r="E995" t="s">
        <v>27</v>
      </c>
      <c r="F995" t="s">
        <v>63</v>
      </c>
      <c r="G995" s="23">
        <v>42135</v>
      </c>
      <c r="H995" t="s">
        <v>4653</v>
      </c>
      <c r="I995" t="s">
        <v>4654</v>
      </c>
      <c r="J995" t="s">
        <v>4655</v>
      </c>
    </row>
    <row r="996" spans="1:10">
      <c r="A996" t="s">
        <v>4656</v>
      </c>
      <c r="B996" t="s">
        <v>4656</v>
      </c>
      <c r="C996" t="s">
        <v>504</v>
      </c>
      <c r="D996">
        <v>90</v>
      </c>
      <c r="E996" t="s">
        <v>29</v>
      </c>
      <c r="F996" t="s">
        <v>63</v>
      </c>
      <c r="G996" s="23">
        <v>42939</v>
      </c>
      <c r="H996" t="s">
        <v>4657</v>
      </c>
      <c r="I996" t="s">
        <v>4658</v>
      </c>
      <c r="J996" t="s">
        <v>4659</v>
      </c>
    </row>
    <row r="997" spans="1:10">
      <c r="A997" t="s">
        <v>4660</v>
      </c>
      <c r="B997" t="s">
        <v>4660</v>
      </c>
      <c r="C997" t="s">
        <v>2197</v>
      </c>
      <c r="D997">
        <v>13</v>
      </c>
      <c r="E997" t="s">
        <v>27</v>
      </c>
      <c r="F997" t="s">
        <v>63</v>
      </c>
      <c r="G997" s="23">
        <v>42306</v>
      </c>
      <c r="H997" t="s">
        <v>4661</v>
      </c>
      <c r="I997" t="s">
        <v>4662</v>
      </c>
      <c r="J997" t="s">
        <v>4663</v>
      </c>
    </row>
    <row r="998" spans="1:10">
      <c r="A998" t="s">
        <v>4664</v>
      </c>
      <c r="B998" t="s">
        <v>4664</v>
      </c>
      <c r="C998" t="s">
        <v>4665</v>
      </c>
      <c r="D998">
        <v>9</v>
      </c>
      <c r="E998" t="s">
        <v>33</v>
      </c>
      <c r="F998" t="s">
        <v>571</v>
      </c>
      <c r="G998" s="23">
        <v>42960</v>
      </c>
      <c r="H998" t="s">
        <v>4666</v>
      </c>
      <c r="I998" t="s">
        <v>4667</v>
      </c>
      <c r="J998" t="s">
        <v>4668</v>
      </c>
    </row>
    <row r="999" spans="1:10">
      <c r="A999" t="s">
        <v>4669</v>
      </c>
      <c r="B999" t="s">
        <v>4669</v>
      </c>
      <c r="C999" t="s">
        <v>4670</v>
      </c>
      <c r="D999">
        <v>4</v>
      </c>
      <c r="E999" t="s">
        <v>27</v>
      </c>
      <c r="F999" t="s">
        <v>63</v>
      </c>
      <c r="G999" s="23">
        <v>42125</v>
      </c>
      <c r="H999" t="s">
        <v>4671</v>
      </c>
      <c r="I999" t="s">
        <v>4672</v>
      </c>
      <c r="J999" t="s">
        <v>4673</v>
      </c>
    </row>
    <row r="1000" spans="1:10">
      <c r="A1000" t="s">
        <v>4674</v>
      </c>
      <c r="B1000" t="s">
        <v>4674</v>
      </c>
      <c r="C1000" t="s">
        <v>1784</v>
      </c>
      <c r="D1000">
        <v>12</v>
      </c>
      <c r="E1000" t="s">
        <v>36</v>
      </c>
      <c r="F1000" t="s">
        <v>57</v>
      </c>
      <c r="G1000" s="23">
        <v>42722</v>
      </c>
      <c r="H1000" t="s">
        <v>4675</v>
      </c>
      <c r="I1000" t="s">
        <v>4676</v>
      </c>
      <c r="J1000" t="s">
        <v>4677</v>
      </c>
    </row>
    <row r="1001" spans="1:10">
      <c r="A1001" t="s">
        <v>4678</v>
      </c>
      <c r="B1001" t="s">
        <v>4678</v>
      </c>
      <c r="C1001" t="s">
        <v>4679</v>
      </c>
      <c r="D1001">
        <v>18</v>
      </c>
      <c r="E1001" t="s">
        <v>34</v>
      </c>
      <c r="F1001" t="s">
        <v>57</v>
      </c>
      <c r="G1001" s="23">
        <v>44880</v>
      </c>
      <c r="H1001" t="s">
        <v>4680</v>
      </c>
      <c r="I1001" t="s">
        <v>4681</v>
      </c>
      <c r="J1001" t="s">
        <v>4682</v>
      </c>
    </row>
    <row r="1002" spans="1:10">
      <c r="A1002" t="s">
        <v>4683</v>
      </c>
      <c r="B1002" t="s">
        <v>4683</v>
      </c>
      <c r="C1002" t="s">
        <v>641</v>
      </c>
      <c r="D1002">
        <v>6</v>
      </c>
      <c r="E1002" t="s">
        <v>35</v>
      </c>
      <c r="F1002" t="s">
        <v>57</v>
      </c>
      <c r="G1002" s="23">
        <v>44620</v>
      </c>
      <c r="H1002" t="s">
        <v>4684</v>
      </c>
      <c r="I1002" t="s">
        <v>4685</v>
      </c>
      <c r="J1002" t="s">
        <v>4686</v>
      </c>
    </row>
    <row r="1003" spans="1:10">
      <c r="A1003" t="s">
        <v>4687</v>
      </c>
      <c r="B1003" t="s">
        <v>4687</v>
      </c>
      <c r="C1003" t="s">
        <v>3346</v>
      </c>
      <c r="D1003">
        <v>4</v>
      </c>
      <c r="E1003" t="s">
        <v>34</v>
      </c>
      <c r="F1003" t="s">
        <v>57</v>
      </c>
      <c r="G1003" s="23">
        <v>43459</v>
      </c>
      <c r="H1003" t="s">
        <v>4688</v>
      </c>
      <c r="I1003" t="s">
        <v>4689</v>
      </c>
      <c r="J1003" t="s">
        <v>4690</v>
      </c>
    </row>
    <row r="1004" spans="1:10">
      <c r="A1004" t="s">
        <v>4691</v>
      </c>
      <c r="B1004" t="s">
        <v>4691</v>
      </c>
      <c r="C1004" t="s">
        <v>312</v>
      </c>
      <c r="D1004">
        <v>20</v>
      </c>
      <c r="E1004" t="s">
        <v>34</v>
      </c>
      <c r="F1004" t="s">
        <v>57</v>
      </c>
      <c r="G1004" s="23">
        <v>43984</v>
      </c>
      <c r="H1004" t="s">
        <v>4692</v>
      </c>
      <c r="I1004" t="s">
        <v>4693</v>
      </c>
      <c r="J1004" t="s">
        <v>4694</v>
      </c>
    </row>
    <row r="1005" spans="1:10">
      <c r="A1005" t="s">
        <v>4695</v>
      </c>
      <c r="B1005" t="s">
        <v>4695</v>
      </c>
      <c r="C1005" t="s">
        <v>1296</v>
      </c>
      <c r="D1005">
        <v>11</v>
      </c>
      <c r="E1005" t="s">
        <v>29</v>
      </c>
      <c r="F1005" t="s">
        <v>63</v>
      </c>
      <c r="G1005" s="23">
        <v>42062</v>
      </c>
      <c r="H1005" t="s">
        <v>4696</v>
      </c>
      <c r="I1005" t="s">
        <v>4697</v>
      </c>
      <c r="J1005" t="s">
        <v>4698</v>
      </c>
    </row>
    <row r="1006" spans="1:10">
      <c r="A1006" t="s">
        <v>4699</v>
      </c>
      <c r="B1006" t="s">
        <v>4700</v>
      </c>
      <c r="C1006" t="s">
        <v>3132</v>
      </c>
      <c r="D1006">
        <v>10</v>
      </c>
      <c r="E1006" t="s">
        <v>34</v>
      </c>
      <c r="F1006" t="s">
        <v>57</v>
      </c>
      <c r="G1006" s="23">
        <v>43870</v>
      </c>
      <c r="H1006" t="s">
        <v>4701</v>
      </c>
      <c r="I1006" t="s">
        <v>4702</v>
      </c>
      <c r="J1006" t="s">
        <v>4703</v>
      </c>
    </row>
    <row r="1007" spans="1:10">
      <c r="A1007" t="s">
        <v>4704</v>
      </c>
      <c r="B1007" t="s">
        <v>4700</v>
      </c>
      <c r="C1007" t="s">
        <v>4705</v>
      </c>
      <c r="D1007">
        <v>15</v>
      </c>
      <c r="E1007" t="s">
        <v>31</v>
      </c>
      <c r="F1007" t="s">
        <v>63</v>
      </c>
      <c r="G1007" s="23">
        <v>45144</v>
      </c>
      <c r="H1007" t="s">
        <v>4706</v>
      </c>
      <c r="I1007" t="s">
        <v>4707</v>
      </c>
      <c r="J1007" t="s">
        <v>4708</v>
      </c>
    </row>
    <row r="1008" spans="1:10">
      <c r="A1008" t="s">
        <v>4709</v>
      </c>
      <c r="B1008" t="s">
        <v>4709</v>
      </c>
      <c r="C1008" t="s">
        <v>4710</v>
      </c>
      <c r="D1008">
        <v>8</v>
      </c>
      <c r="E1008" t="s">
        <v>31</v>
      </c>
      <c r="F1008" t="s">
        <v>63</v>
      </c>
      <c r="G1008" s="23">
        <v>43383</v>
      </c>
      <c r="H1008" t="s">
        <v>4711</v>
      </c>
      <c r="I1008" t="s">
        <v>4712</v>
      </c>
      <c r="J1008" t="s">
        <v>4713</v>
      </c>
    </row>
    <row r="1009" spans="1:10">
      <c r="A1009" t="s">
        <v>4714</v>
      </c>
      <c r="B1009" t="s">
        <v>4714</v>
      </c>
      <c r="C1009" t="s">
        <v>2526</v>
      </c>
      <c r="D1009">
        <v>10</v>
      </c>
      <c r="E1009" t="s">
        <v>35</v>
      </c>
      <c r="F1009" t="s">
        <v>57</v>
      </c>
      <c r="G1009" s="23">
        <v>44386</v>
      </c>
      <c r="H1009" t="s">
        <v>4715</v>
      </c>
      <c r="I1009" t="s">
        <v>4716</v>
      </c>
      <c r="J1009" t="s">
        <v>4717</v>
      </c>
    </row>
    <row r="1010" spans="1:10">
      <c r="A1010" t="s">
        <v>4718</v>
      </c>
      <c r="B1010" t="s">
        <v>4718</v>
      </c>
      <c r="C1010" t="s">
        <v>4719</v>
      </c>
      <c r="D1010">
        <v>4</v>
      </c>
      <c r="E1010" t="s">
        <v>33</v>
      </c>
      <c r="F1010" t="s">
        <v>57</v>
      </c>
      <c r="G1010" s="23">
        <v>45938</v>
      </c>
      <c r="H1010" t="s">
        <v>4720</v>
      </c>
      <c r="I1010" t="s">
        <v>4721</v>
      </c>
      <c r="J1010" t="s">
        <v>4722</v>
      </c>
    </row>
    <row r="1011" spans="1:10">
      <c r="A1011" t="s">
        <v>4723</v>
      </c>
      <c r="B1011" t="s">
        <v>4723</v>
      </c>
      <c r="C1011" t="s">
        <v>4724</v>
      </c>
      <c r="D1011">
        <v>15</v>
      </c>
      <c r="E1011" t="s">
        <v>36</v>
      </c>
      <c r="F1011" t="s">
        <v>57</v>
      </c>
      <c r="G1011" s="23">
        <v>44952</v>
      </c>
      <c r="H1011" t="s">
        <v>4725</v>
      </c>
      <c r="I1011" t="s">
        <v>4726</v>
      </c>
      <c r="J1011" t="s">
        <v>4727</v>
      </c>
    </row>
    <row r="1012" spans="1:10">
      <c r="A1012" t="s">
        <v>4728</v>
      </c>
      <c r="B1012" t="s">
        <v>4728</v>
      </c>
      <c r="C1012" t="s">
        <v>4724</v>
      </c>
      <c r="D1012">
        <v>15</v>
      </c>
      <c r="E1012" t="s">
        <v>34</v>
      </c>
      <c r="F1012" t="s">
        <v>57</v>
      </c>
      <c r="G1012" s="23">
        <v>44984</v>
      </c>
      <c r="H1012" t="s">
        <v>4729</v>
      </c>
      <c r="I1012" t="s">
        <v>4730</v>
      </c>
      <c r="J1012" t="s">
        <v>4731</v>
      </c>
    </row>
    <row r="1013" spans="1:10">
      <c r="A1013" t="s">
        <v>4732</v>
      </c>
      <c r="B1013" t="s">
        <v>4732</v>
      </c>
      <c r="C1013" t="s">
        <v>4733</v>
      </c>
      <c r="D1013">
        <v>7</v>
      </c>
      <c r="E1013" t="s">
        <v>33</v>
      </c>
      <c r="F1013" t="s">
        <v>57</v>
      </c>
      <c r="G1013" s="23">
        <v>44243</v>
      </c>
      <c r="H1013" t="s">
        <v>4734</v>
      </c>
      <c r="I1013" t="s">
        <v>4735</v>
      </c>
      <c r="J1013" t="s">
        <v>4736</v>
      </c>
    </row>
    <row r="1014" spans="1:10">
      <c r="A1014" t="s">
        <v>4737</v>
      </c>
      <c r="B1014" t="s">
        <v>4737</v>
      </c>
      <c r="C1014" t="s">
        <v>1784</v>
      </c>
      <c r="D1014">
        <v>9</v>
      </c>
      <c r="E1014" t="s">
        <v>33</v>
      </c>
      <c r="F1014" t="s">
        <v>571</v>
      </c>
      <c r="G1014" s="23">
        <v>41917</v>
      </c>
      <c r="H1014" t="s">
        <v>4738</v>
      </c>
      <c r="I1014" t="s">
        <v>4739</v>
      </c>
      <c r="J1014" t="s">
        <v>4740</v>
      </c>
    </row>
    <row r="1015" spans="1:10">
      <c r="A1015" t="s">
        <v>4741</v>
      </c>
      <c r="B1015" t="s">
        <v>4741</v>
      </c>
      <c r="C1015" t="s">
        <v>1784</v>
      </c>
      <c r="D1015">
        <v>9</v>
      </c>
      <c r="E1015" t="s">
        <v>34</v>
      </c>
      <c r="F1015" t="s">
        <v>571</v>
      </c>
      <c r="G1015" s="23">
        <v>42557</v>
      </c>
      <c r="H1015" t="s">
        <v>4742</v>
      </c>
      <c r="I1015" t="s">
        <v>4743</v>
      </c>
      <c r="J1015" t="s">
        <v>4744</v>
      </c>
    </row>
    <row r="1016" spans="1:10">
      <c r="A1016" t="s">
        <v>4745</v>
      </c>
      <c r="B1016" t="s">
        <v>4745</v>
      </c>
      <c r="C1016" t="s">
        <v>743</v>
      </c>
      <c r="D1016">
        <v>18</v>
      </c>
      <c r="E1016" t="s">
        <v>35</v>
      </c>
      <c r="F1016" t="s">
        <v>57</v>
      </c>
      <c r="G1016" s="23">
        <v>45705</v>
      </c>
      <c r="H1016" t="s">
        <v>4746</v>
      </c>
      <c r="I1016" t="s">
        <v>4747</v>
      </c>
      <c r="J1016" t="s">
        <v>4748</v>
      </c>
    </row>
    <row r="1017" spans="1:10">
      <c r="A1017" t="s">
        <v>4749</v>
      </c>
      <c r="B1017" t="s">
        <v>4749</v>
      </c>
      <c r="C1017" t="s">
        <v>4750</v>
      </c>
      <c r="D1017">
        <v>2</v>
      </c>
      <c r="E1017" t="s">
        <v>31</v>
      </c>
      <c r="F1017" t="s">
        <v>571</v>
      </c>
      <c r="G1017" s="23">
        <v>44142</v>
      </c>
      <c r="H1017" t="s">
        <v>4751</v>
      </c>
      <c r="I1017" t="s">
        <v>4752</v>
      </c>
      <c r="J1017" t="s">
        <v>4753</v>
      </c>
    </row>
    <row r="1018" spans="1:10">
      <c r="A1018" t="s">
        <v>4754</v>
      </c>
      <c r="B1018" t="s">
        <v>4754</v>
      </c>
      <c r="C1018" t="s">
        <v>4755</v>
      </c>
      <c r="D1018">
        <v>6</v>
      </c>
      <c r="E1018" t="s">
        <v>29</v>
      </c>
      <c r="F1018" t="s">
        <v>63</v>
      </c>
      <c r="G1018" s="23">
        <v>42256</v>
      </c>
      <c r="H1018" t="s">
        <v>4756</v>
      </c>
      <c r="I1018" t="s">
        <v>4757</v>
      </c>
      <c r="J1018" t="s">
        <v>4758</v>
      </c>
    </row>
    <row r="1019" spans="1:10">
      <c r="A1019" t="s">
        <v>4759</v>
      </c>
      <c r="B1019" t="s">
        <v>4759</v>
      </c>
      <c r="C1019" t="s">
        <v>2165</v>
      </c>
      <c r="D1019">
        <v>2</v>
      </c>
      <c r="E1019" t="s">
        <v>33</v>
      </c>
      <c r="F1019" t="s">
        <v>57</v>
      </c>
      <c r="G1019" s="23">
        <v>44456</v>
      </c>
      <c r="H1019" t="s">
        <v>4760</v>
      </c>
      <c r="I1019" t="s">
        <v>4761</v>
      </c>
      <c r="J1019" t="s">
        <v>4762</v>
      </c>
    </row>
    <row r="1020" spans="1:10">
      <c r="A1020" t="s">
        <v>4763</v>
      </c>
      <c r="B1020" t="s">
        <v>4763</v>
      </c>
      <c r="C1020" t="s">
        <v>4764</v>
      </c>
      <c r="D1020">
        <v>17</v>
      </c>
      <c r="E1020" t="s">
        <v>34</v>
      </c>
      <c r="F1020" t="s">
        <v>57</v>
      </c>
      <c r="G1020" s="23">
        <v>44753</v>
      </c>
      <c r="H1020" t="s">
        <v>4765</v>
      </c>
      <c r="I1020" t="s">
        <v>4766</v>
      </c>
      <c r="J1020" t="s">
        <v>4767</v>
      </c>
    </row>
    <row r="1021" spans="1:10">
      <c r="A1021" t="s">
        <v>4768</v>
      </c>
      <c r="B1021" t="s">
        <v>4768</v>
      </c>
      <c r="C1021" t="s">
        <v>4764</v>
      </c>
      <c r="D1021">
        <v>16</v>
      </c>
      <c r="E1021" t="s">
        <v>34</v>
      </c>
      <c r="F1021" t="s">
        <v>57</v>
      </c>
      <c r="G1021" s="23">
        <v>45991</v>
      </c>
      <c r="H1021" t="s">
        <v>4769</v>
      </c>
      <c r="I1021" t="s">
        <v>4770</v>
      </c>
      <c r="J1021" t="s">
        <v>4771</v>
      </c>
    </row>
    <row r="1022" spans="1:10">
      <c r="A1022" t="s">
        <v>4772</v>
      </c>
      <c r="B1022" t="s">
        <v>4772</v>
      </c>
      <c r="C1022" t="s">
        <v>1017</v>
      </c>
      <c r="D1022">
        <v>9</v>
      </c>
      <c r="E1022" t="s">
        <v>27</v>
      </c>
      <c r="F1022" t="s">
        <v>63</v>
      </c>
      <c r="G1022" s="23">
        <v>44018</v>
      </c>
      <c r="H1022" t="s">
        <v>4773</v>
      </c>
      <c r="I1022" t="s">
        <v>4774</v>
      </c>
      <c r="J1022" t="s">
        <v>4775</v>
      </c>
    </row>
    <row r="1023" spans="1:10">
      <c r="A1023" t="s">
        <v>4776</v>
      </c>
      <c r="B1023" t="s">
        <v>4776</v>
      </c>
      <c r="C1023" t="s">
        <v>243</v>
      </c>
      <c r="D1023">
        <v>33</v>
      </c>
      <c r="E1023" t="s">
        <v>31</v>
      </c>
      <c r="F1023" t="s">
        <v>63</v>
      </c>
      <c r="G1023" s="23">
        <v>44923</v>
      </c>
      <c r="H1023" t="s">
        <v>4777</v>
      </c>
      <c r="I1023" t="s">
        <v>4778</v>
      </c>
      <c r="J1023" t="s">
        <v>4779</v>
      </c>
    </row>
    <row r="1024" spans="1:10">
      <c r="A1024" t="s">
        <v>4780</v>
      </c>
      <c r="B1024" t="s">
        <v>4780</v>
      </c>
      <c r="C1024" t="s">
        <v>243</v>
      </c>
      <c r="D1024">
        <v>42</v>
      </c>
      <c r="E1024" t="s">
        <v>29</v>
      </c>
      <c r="F1024" t="s">
        <v>63</v>
      </c>
      <c r="G1024" s="23">
        <v>43690</v>
      </c>
      <c r="H1024" t="s">
        <v>4781</v>
      </c>
      <c r="I1024" t="s">
        <v>4782</v>
      </c>
      <c r="J1024" t="s">
        <v>4783</v>
      </c>
    </row>
    <row r="1025" spans="1:10">
      <c r="A1025" t="s">
        <v>4784</v>
      </c>
      <c r="B1025" t="s">
        <v>4784</v>
      </c>
      <c r="C1025" t="s">
        <v>4785</v>
      </c>
      <c r="D1025">
        <v>12</v>
      </c>
      <c r="E1025" t="s">
        <v>27</v>
      </c>
      <c r="F1025" t="s">
        <v>63</v>
      </c>
      <c r="G1025" s="23">
        <v>41626</v>
      </c>
      <c r="H1025" t="s">
        <v>4786</v>
      </c>
      <c r="I1025" t="s">
        <v>4787</v>
      </c>
      <c r="J1025" t="s">
        <v>4788</v>
      </c>
    </row>
    <row r="1026" spans="1:10">
      <c r="A1026" t="s">
        <v>4789</v>
      </c>
      <c r="B1026" t="s">
        <v>4789</v>
      </c>
      <c r="C1026" t="s">
        <v>243</v>
      </c>
      <c r="D1026">
        <v>13</v>
      </c>
      <c r="E1026" t="s">
        <v>29</v>
      </c>
      <c r="F1026" t="s">
        <v>63</v>
      </c>
      <c r="G1026" s="23">
        <v>43823</v>
      </c>
      <c r="H1026" t="s">
        <v>4790</v>
      </c>
      <c r="I1026" t="s">
        <v>4791</v>
      </c>
      <c r="J1026" t="s">
        <v>4792</v>
      </c>
    </row>
    <row r="1027" spans="1:10">
      <c r="A1027" t="s">
        <v>4793</v>
      </c>
      <c r="B1027" t="s">
        <v>4793</v>
      </c>
      <c r="C1027" t="s">
        <v>1017</v>
      </c>
      <c r="D1027">
        <v>10</v>
      </c>
      <c r="E1027" t="s">
        <v>31</v>
      </c>
      <c r="F1027" t="s">
        <v>63</v>
      </c>
      <c r="G1027" s="23">
        <v>44537</v>
      </c>
      <c r="H1027" t="s">
        <v>4794</v>
      </c>
      <c r="I1027" t="s">
        <v>4795</v>
      </c>
      <c r="J1027" t="s">
        <v>4796</v>
      </c>
    </row>
    <row r="1028" spans="1:10">
      <c r="A1028" t="s">
        <v>4797</v>
      </c>
      <c r="B1028" t="s">
        <v>4797</v>
      </c>
      <c r="C1028" t="s">
        <v>1017</v>
      </c>
      <c r="D1028">
        <v>17</v>
      </c>
      <c r="E1028" t="s">
        <v>29</v>
      </c>
      <c r="F1028" t="s">
        <v>63</v>
      </c>
      <c r="G1028" s="23">
        <v>45020</v>
      </c>
      <c r="H1028" t="s">
        <v>4798</v>
      </c>
      <c r="I1028" t="s">
        <v>4799</v>
      </c>
      <c r="J1028" t="s">
        <v>4800</v>
      </c>
    </row>
    <row r="1029" spans="1:10">
      <c r="A1029" t="s">
        <v>4801</v>
      </c>
      <c r="B1029" t="s">
        <v>4801</v>
      </c>
      <c r="C1029" t="s">
        <v>1017</v>
      </c>
      <c r="D1029">
        <v>9</v>
      </c>
      <c r="E1029" t="s">
        <v>29</v>
      </c>
      <c r="F1029" t="s">
        <v>63</v>
      </c>
      <c r="G1029" s="23">
        <v>44610</v>
      </c>
      <c r="H1029" t="s">
        <v>4802</v>
      </c>
      <c r="I1029" t="s">
        <v>4803</v>
      </c>
      <c r="J1029" t="s">
        <v>4804</v>
      </c>
    </row>
    <row r="1030" spans="1:10">
      <c r="A1030" t="s">
        <v>4805</v>
      </c>
      <c r="B1030" t="s">
        <v>4805</v>
      </c>
      <c r="C1030" t="s">
        <v>4806</v>
      </c>
      <c r="D1030">
        <v>16</v>
      </c>
      <c r="E1030" t="s">
        <v>29</v>
      </c>
      <c r="F1030" t="s">
        <v>63</v>
      </c>
      <c r="G1030" s="23">
        <v>44613</v>
      </c>
      <c r="H1030" t="s">
        <v>4807</v>
      </c>
      <c r="I1030" t="s">
        <v>4808</v>
      </c>
      <c r="J1030" t="s">
        <v>4809</v>
      </c>
    </row>
    <row r="1031" spans="1:10">
      <c r="A1031" t="s">
        <v>4810</v>
      </c>
      <c r="B1031" t="s">
        <v>4810</v>
      </c>
      <c r="C1031" t="s">
        <v>1017</v>
      </c>
      <c r="D1031">
        <v>10</v>
      </c>
      <c r="E1031" t="s">
        <v>29</v>
      </c>
      <c r="F1031" t="s">
        <v>63</v>
      </c>
      <c r="G1031" s="23">
        <v>44448</v>
      </c>
      <c r="H1031" t="s">
        <v>4811</v>
      </c>
      <c r="I1031" t="s">
        <v>4812</v>
      </c>
      <c r="J1031" t="s">
        <v>4813</v>
      </c>
    </row>
    <row r="1032" spans="1:10">
      <c r="A1032" t="s">
        <v>4814</v>
      </c>
      <c r="B1032" t="s">
        <v>4814</v>
      </c>
      <c r="C1032" t="s">
        <v>1017</v>
      </c>
      <c r="D1032">
        <v>9</v>
      </c>
      <c r="E1032" t="s">
        <v>29</v>
      </c>
      <c r="F1032" t="s">
        <v>63</v>
      </c>
      <c r="G1032" s="23">
        <v>44951</v>
      </c>
      <c r="H1032" t="s">
        <v>4815</v>
      </c>
      <c r="I1032" t="s">
        <v>4816</v>
      </c>
      <c r="J1032" t="s">
        <v>4817</v>
      </c>
    </row>
    <row r="1033" spans="1:10">
      <c r="A1033" t="s">
        <v>4818</v>
      </c>
      <c r="B1033" t="s">
        <v>4818</v>
      </c>
      <c r="C1033" t="s">
        <v>1017</v>
      </c>
      <c r="D1033">
        <v>9</v>
      </c>
      <c r="E1033" t="s">
        <v>29</v>
      </c>
      <c r="F1033" t="s">
        <v>63</v>
      </c>
      <c r="G1033" s="23">
        <v>43668</v>
      </c>
      <c r="H1033" t="s">
        <v>4819</v>
      </c>
      <c r="I1033" t="s">
        <v>4820</v>
      </c>
      <c r="J1033" t="s">
        <v>4821</v>
      </c>
    </row>
    <row r="1034" spans="1:10">
      <c r="A1034" t="s">
        <v>4822</v>
      </c>
      <c r="B1034" t="s">
        <v>4822</v>
      </c>
      <c r="C1034" t="s">
        <v>1017</v>
      </c>
      <c r="D1034">
        <v>9</v>
      </c>
      <c r="E1034" t="s">
        <v>29</v>
      </c>
      <c r="F1034" t="s">
        <v>63</v>
      </c>
      <c r="G1034" s="23">
        <v>44641</v>
      </c>
      <c r="H1034" t="s">
        <v>4823</v>
      </c>
      <c r="I1034" t="s">
        <v>4824</v>
      </c>
      <c r="J1034" t="s">
        <v>4825</v>
      </c>
    </row>
    <row r="1035" spans="1:10">
      <c r="A1035" t="s">
        <v>4826</v>
      </c>
      <c r="B1035" t="s">
        <v>4826</v>
      </c>
      <c r="C1035" t="s">
        <v>1017</v>
      </c>
      <c r="D1035">
        <v>14</v>
      </c>
      <c r="E1035" t="s">
        <v>31</v>
      </c>
      <c r="F1035" t="s">
        <v>63</v>
      </c>
      <c r="G1035" s="23">
        <v>45462</v>
      </c>
      <c r="H1035" t="s">
        <v>4827</v>
      </c>
      <c r="I1035" t="s">
        <v>4828</v>
      </c>
      <c r="J1035" t="s">
        <v>4829</v>
      </c>
    </row>
    <row r="1036" spans="1:10">
      <c r="A1036" t="s">
        <v>4830</v>
      </c>
      <c r="B1036" t="s">
        <v>4830</v>
      </c>
      <c r="C1036" t="s">
        <v>4831</v>
      </c>
      <c r="D1036">
        <v>7</v>
      </c>
      <c r="E1036" t="s">
        <v>29</v>
      </c>
      <c r="F1036" t="s">
        <v>63</v>
      </c>
      <c r="G1036" s="23">
        <v>42256</v>
      </c>
      <c r="H1036" t="s">
        <v>4832</v>
      </c>
      <c r="I1036" t="s">
        <v>4833</v>
      </c>
      <c r="J1036" t="s">
        <v>4834</v>
      </c>
    </row>
    <row r="1037" spans="1:10">
      <c r="A1037" t="s">
        <v>4835</v>
      </c>
      <c r="B1037" t="s">
        <v>4835</v>
      </c>
      <c r="C1037" t="s">
        <v>452</v>
      </c>
      <c r="D1037">
        <v>21</v>
      </c>
      <c r="E1037" t="s">
        <v>31</v>
      </c>
      <c r="F1037" t="s">
        <v>57</v>
      </c>
      <c r="G1037" s="23">
        <v>44390</v>
      </c>
      <c r="H1037" t="s">
        <v>4836</v>
      </c>
      <c r="I1037" t="s">
        <v>4837</v>
      </c>
      <c r="J1037" t="s">
        <v>4838</v>
      </c>
    </row>
    <row r="1038" spans="1:10">
      <c r="A1038" t="s">
        <v>4839</v>
      </c>
      <c r="B1038" t="s">
        <v>4839</v>
      </c>
      <c r="C1038" t="s">
        <v>4840</v>
      </c>
      <c r="D1038">
        <v>8</v>
      </c>
      <c r="E1038" t="s">
        <v>33</v>
      </c>
      <c r="F1038" t="s">
        <v>57</v>
      </c>
      <c r="G1038" s="23">
        <v>44010</v>
      </c>
      <c r="H1038" t="s">
        <v>4841</v>
      </c>
      <c r="I1038" t="s">
        <v>4842</v>
      </c>
      <c r="J1038" t="s">
        <v>4843</v>
      </c>
    </row>
    <row r="1039" spans="1:10">
      <c r="A1039" t="s">
        <v>4844</v>
      </c>
      <c r="B1039" t="s">
        <v>4844</v>
      </c>
      <c r="C1039" t="s">
        <v>287</v>
      </c>
      <c r="D1039">
        <v>17</v>
      </c>
      <c r="E1039" t="s">
        <v>27</v>
      </c>
      <c r="F1039" t="s">
        <v>63</v>
      </c>
      <c r="G1039" s="23">
        <v>42215</v>
      </c>
      <c r="H1039" t="s">
        <v>4845</v>
      </c>
      <c r="I1039" t="s">
        <v>4846</v>
      </c>
      <c r="J1039" t="s">
        <v>4847</v>
      </c>
    </row>
    <row r="1040" spans="1:10">
      <c r="A1040" t="s">
        <v>4848</v>
      </c>
      <c r="B1040" t="s">
        <v>4848</v>
      </c>
      <c r="C1040" t="s">
        <v>4849</v>
      </c>
      <c r="D1040">
        <v>7</v>
      </c>
      <c r="E1040" t="s">
        <v>29</v>
      </c>
      <c r="F1040" t="s">
        <v>63</v>
      </c>
      <c r="G1040" s="23">
        <v>42062</v>
      </c>
      <c r="H1040" t="s">
        <v>4850</v>
      </c>
      <c r="I1040" t="s">
        <v>4851</v>
      </c>
      <c r="J1040" t="s">
        <v>4852</v>
      </c>
    </row>
    <row r="1041" spans="1:10">
      <c r="A1041" t="s">
        <v>4853</v>
      </c>
      <c r="B1041" t="s">
        <v>4853</v>
      </c>
      <c r="C1041" t="s">
        <v>4854</v>
      </c>
      <c r="D1041">
        <v>7</v>
      </c>
      <c r="E1041" t="s">
        <v>29</v>
      </c>
      <c r="F1041" t="s">
        <v>63</v>
      </c>
      <c r="G1041" s="23">
        <v>44189</v>
      </c>
      <c r="H1041" t="s">
        <v>4855</v>
      </c>
      <c r="I1041" t="s">
        <v>4856</v>
      </c>
      <c r="J1041" t="s">
        <v>4857</v>
      </c>
    </row>
    <row r="1042" spans="1:10">
      <c r="A1042" t="s">
        <v>4858</v>
      </c>
      <c r="B1042" t="s">
        <v>4858</v>
      </c>
      <c r="C1042" t="s">
        <v>4859</v>
      </c>
      <c r="D1042">
        <v>21</v>
      </c>
      <c r="E1042" t="s">
        <v>29</v>
      </c>
      <c r="F1042" t="s">
        <v>63</v>
      </c>
      <c r="G1042" s="23">
        <v>42594</v>
      </c>
      <c r="H1042" t="s">
        <v>4860</v>
      </c>
      <c r="I1042" t="s">
        <v>4861</v>
      </c>
      <c r="J1042" t="s">
        <v>4862</v>
      </c>
    </row>
    <row r="1043" spans="1:10">
      <c r="A1043" t="s">
        <v>4863</v>
      </c>
      <c r="B1043" t="s">
        <v>4863</v>
      </c>
      <c r="C1043" t="s">
        <v>4864</v>
      </c>
      <c r="D1043">
        <v>34</v>
      </c>
      <c r="E1043" t="s">
        <v>31</v>
      </c>
      <c r="F1043" t="s">
        <v>63</v>
      </c>
      <c r="G1043" s="23">
        <v>44159</v>
      </c>
      <c r="H1043" t="s">
        <v>4865</v>
      </c>
      <c r="I1043" t="s">
        <v>4866</v>
      </c>
      <c r="J1043" t="s">
        <v>4867</v>
      </c>
    </row>
    <row r="1044" spans="1:10">
      <c r="A1044" t="s">
        <v>4868</v>
      </c>
      <c r="B1044" t="s">
        <v>4868</v>
      </c>
      <c r="C1044" t="s">
        <v>4869</v>
      </c>
      <c r="D1044">
        <v>6</v>
      </c>
      <c r="E1044" t="s">
        <v>27</v>
      </c>
      <c r="F1044" t="s">
        <v>63</v>
      </c>
      <c r="G1044" s="23">
        <v>42680</v>
      </c>
      <c r="H1044" t="s">
        <v>4870</v>
      </c>
      <c r="I1044" t="s">
        <v>4871</v>
      </c>
      <c r="J1044" t="s">
        <v>4872</v>
      </c>
    </row>
    <row r="1045" spans="1:10">
      <c r="A1045" t="s">
        <v>4873</v>
      </c>
      <c r="B1045" t="s">
        <v>4873</v>
      </c>
      <c r="C1045" t="s">
        <v>4182</v>
      </c>
      <c r="D1045">
        <v>80</v>
      </c>
      <c r="E1045" t="s">
        <v>29</v>
      </c>
      <c r="F1045" t="s">
        <v>63</v>
      </c>
      <c r="G1045" s="23">
        <v>41806</v>
      </c>
      <c r="H1045" t="s">
        <v>4874</v>
      </c>
      <c r="I1045" t="s">
        <v>4875</v>
      </c>
      <c r="J1045" t="s">
        <v>4876</v>
      </c>
    </row>
    <row r="1046" spans="1:10">
      <c r="A1046" t="s">
        <v>4877</v>
      </c>
      <c r="B1046" t="s">
        <v>4877</v>
      </c>
      <c r="C1046" t="s">
        <v>4878</v>
      </c>
      <c r="D1046">
        <v>35</v>
      </c>
      <c r="E1046" t="s">
        <v>29</v>
      </c>
      <c r="F1046" t="s">
        <v>63</v>
      </c>
      <c r="G1046" s="23">
        <v>42207</v>
      </c>
      <c r="H1046" t="s">
        <v>4879</v>
      </c>
      <c r="I1046" t="s">
        <v>4880</v>
      </c>
      <c r="J1046" t="s">
        <v>4881</v>
      </c>
    </row>
    <row r="1047" spans="1:10">
      <c r="A1047" t="s">
        <v>4882</v>
      </c>
      <c r="B1047" t="s">
        <v>4882</v>
      </c>
      <c r="C1047" t="s">
        <v>4859</v>
      </c>
      <c r="D1047">
        <v>18</v>
      </c>
      <c r="E1047" t="s">
        <v>31</v>
      </c>
      <c r="F1047" t="s">
        <v>63</v>
      </c>
      <c r="G1047" s="23">
        <v>42188</v>
      </c>
      <c r="H1047" t="s">
        <v>4883</v>
      </c>
      <c r="I1047" t="s">
        <v>4884</v>
      </c>
      <c r="J1047" t="s">
        <v>4885</v>
      </c>
    </row>
    <row r="1048" spans="1:10">
      <c r="A1048" t="s">
        <v>4886</v>
      </c>
      <c r="B1048" t="s">
        <v>4886</v>
      </c>
      <c r="C1048" t="s">
        <v>4887</v>
      </c>
      <c r="D1048">
        <v>60</v>
      </c>
      <c r="E1048" t="s">
        <v>33</v>
      </c>
      <c r="F1048" t="s">
        <v>63</v>
      </c>
      <c r="G1048" s="23">
        <v>44987</v>
      </c>
      <c r="H1048" t="s">
        <v>4888</v>
      </c>
      <c r="I1048" t="s">
        <v>4889</v>
      </c>
      <c r="J1048" t="s">
        <v>4890</v>
      </c>
    </row>
    <row r="1049" spans="1:10">
      <c r="A1049" t="s">
        <v>4891</v>
      </c>
      <c r="B1049" t="s">
        <v>4891</v>
      </c>
      <c r="C1049" t="s">
        <v>4892</v>
      </c>
      <c r="D1049">
        <v>3</v>
      </c>
      <c r="E1049" t="s">
        <v>29</v>
      </c>
      <c r="F1049" t="s">
        <v>63</v>
      </c>
      <c r="G1049" s="23">
        <v>42148</v>
      </c>
      <c r="H1049" t="s">
        <v>4893</v>
      </c>
      <c r="I1049" t="s">
        <v>4894</v>
      </c>
      <c r="J1049" t="s">
        <v>4895</v>
      </c>
    </row>
    <row r="1050" spans="1:10">
      <c r="A1050" t="s">
        <v>4896</v>
      </c>
      <c r="B1050" t="s">
        <v>4896</v>
      </c>
      <c r="C1050" t="s">
        <v>287</v>
      </c>
      <c r="D1050">
        <v>2</v>
      </c>
      <c r="E1050" t="s">
        <v>29</v>
      </c>
      <c r="F1050" t="s">
        <v>63</v>
      </c>
      <c r="G1050" s="23">
        <v>42003</v>
      </c>
      <c r="H1050" t="s">
        <v>4897</v>
      </c>
      <c r="I1050" t="s">
        <v>4898</v>
      </c>
      <c r="J1050" t="s">
        <v>4899</v>
      </c>
    </row>
    <row r="1051" spans="1:10">
      <c r="A1051" t="s">
        <v>4900</v>
      </c>
      <c r="B1051" t="s">
        <v>4900</v>
      </c>
      <c r="C1051" t="s">
        <v>504</v>
      </c>
      <c r="D1051">
        <v>9</v>
      </c>
      <c r="E1051" t="s">
        <v>27</v>
      </c>
      <c r="F1051" t="s">
        <v>63</v>
      </c>
      <c r="G1051" s="23">
        <v>41466</v>
      </c>
      <c r="H1051" t="s">
        <v>4901</v>
      </c>
      <c r="I1051" t="s">
        <v>4902</v>
      </c>
      <c r="J1051" t="s">
        <v>4903</v>
      </c>
    </row>
    <row r="1052" spans="1:10">
      <c r="A1052" t="s">
        <v>4904</v>
      </c>
      <c r="B1052" t="s">
        <v>4904</v>
      </c>
      <c r="C1052" t="s">
        <v>4905</v>
      </c>
      <c r="D1052">
        <v>16</v>
      </c>
      <c r="E1052" t="s">
        <v>29</v>
      </c>
      <c r="F1052" t="s">
        <v>63</v>
      </c>
      <c r="G1052" s="23">
        <v>42312</v>
      </c>
      <c r="H1052" t="s">
        <v>4906</v>
      </c>
      <c r="I1052" t="s">
        <v>4907</v>
      </c>
      <c r="J1052" t="s">
        <v>4908</v>
      </c>
    </row>
    <row r="1053" spans="1:10">
      <c r="A1053" t="s">
        <v>4909</v>
      </c>
      <c r="B1053" t="s">
        <v>4909</v>
      </c>
      <c r="C1053" t="s">
        <v>4910</v>
      </c>
      <c r="D1053">
        <v>10</v>
      </c>
      <c r="E1053" t="s">
        <v>29</v>
      </c>
      <c r="F1053" t="s">
        <v>63</v>
      </c>
      <c r="G1053" s="23">
        <v>45250</v>
      </c>
      <c r="H1053" t="s">
        <v>4911</v>
      </c>
      <c r="I1053" t="s">
        <v>4912</v>
      </c>
      <c r="J1053" t="s">
        <v>4913</v>
      </c>
    </row>
    <row r="1054" spans="1:10">
      <c r="A1054" t="s">
        <v>4914</v>
      </c>
      <c r="B1054" t="s">
        <v>4914</v>
      </c>
      <c r="C1054" t="s">
        <v>4915</v>
      </c>
      <c r="D1054">
        <v>5</v>
      </c>
      <c r="E1054" t="s">
        <v>27</v>
      </c>
      <c r="F1054" t="s">
        <v>63</v>
      </c>
      <c r="G1054" s="23">
        <v>42219</v>
      </c>
      <c r="H1054" t="s">
        <v>4916</v>
      </c>
      <c r="I1054" t="s">
        <v>4917</v>
      </c>
      <c r="J1054" t="s">
        <v>4918</v>
      </c>
    </row>
    <row r="1055" spans="1:10">
      <c r="A1055" t="s">
        <v>4919</v>
      </c>
      <c r="B1055" t="s">
        <v>4919</v>
      </c>
      <c r="C1055" t="s">
        <v>4920</v>
      </c>
      <c r="D1055">
        <v>88</v>
      </c>
      <c r="E1055" t="s">
        <v>33</v>
      </c>
      <c r="F1055" t="s">
        <v>63</v>
      </c>
      <c r="G1055" s="23">
        <v>42433</v>
      </c>
      <c r="H1055" t="s">
        <v>4921</v>
      </c>
      <c r="I1055" t="s">
        <v>4922</v>
      </c>
      <c r="J1055" t="s">
        <v>4923</v>
      </c>
    </row>
    <row r="1056" spans="1:10">
      <c r="A1056" t="s">
        <v>4924</v>
      </c>
      <c r="B1056" t="s">
        <v>4924</v>
      </c>
      <c r="C1056" t="s">
        <v>4925</v>
      </c>
      <c r="D1056">
        <v>85</v>
      </c>
      <c r="E1056" t="s">
        <v>31</v>
      </c>
      <c r="F1056" t="s">
        <v>63</v>
      </c>
      <c r="G1056" s="23">
        <v>41445</v>
      </c>
      <c r="H1056" t="s">
        <v>4926</v>
      </c>
      <c r="I1056" t="s">
        <v>4927</v>
      </c>
      <c r="J1056" t="s">
        <v>4928</v>
      </c>
    </row>
    <row r="1057" spans="1:10">
      <c r="A1057" t="s">
        <v>4929</v>
      </c>
      <c r="B1057" t="s">
        <v>4929</v>
      </c>
      <c r="C1057" t="s">
        <v>4930</v>
      </c>
      <c r="D1057">
        <v>8</v>
      </c>
      <c r="E1057" t="s">
        <v>27</v>
      </c>
      <c r="F1057" t="s">
        <v>63</v>
      </c>
      <c r="G1057" s="23">
        <v>42044</v>
      </c>
      <c r="H1057" t="s">
        <v>4931</v>
      </c>
      <c r="I1057" t="s">
        <v>4932</v>
      </c>
      <c r="J1057" t="s">
        <v>4933</v>
      </c>
    </row>
    <row r="1058" spans="1:10">
      <c r="A1058" t="s">
        <v>4934</v>
      </c>
      <c r="B1058" t="s">
        <v>4934</v>
      </c>
      <c r="C1058" t="s">
        <v>4567</v>
      </c>
      <c r="D1058">
        <v>5</v>
      </c>
      <c r="E1058" t="s">
        <v>29</v>
      </c>
      <c r="F1058" t="s">
        <v>63</v>
      </c>
      <c r="G1058" s="23">
        <v>42329</v>
      </c>
      <c r="H1058" t="s">
        <v>4935</v>
      </c>
      <c r="I1058" t="s">
        <v>4936</v>
      </c>
      <c r="J1058" t="s">
        <v>4937</v>
      </c>
    </row>
    <row r="1059" spans="1:10">
      <c r="A1059" t="s">
        <v>4938</v>
      </c>
      <c r="B1059" t="s">
        <v>4938</v>
      </c>
      <c r="C1059" t="s">
        <v>4939</v>
      </c>
      <c r="D1059">
        <v>15</v>
      </c>
      <c r="E1059" t="s">
        <v>31</v>
      </c>
      <c r="F1059" t="s">
        <v>63</v>
      </c>
      <c r="G1059" s="23">
        <v>41554</v>
      </c>
      <c r="H1059" t="s">
        <v>4940</v>
      </c>
      <c r="I1059" t="s">
        <v>4941</v>
      </c>
      <c r="J1059" t="s">
        <v>4942</v>
      </c>
    </row>
    <row r="1060" spans="1:10">
      <c r="A1060" t="s">
        <v>4943</v>
      </c>
      <c r="B1060" t="s">
        <v>4943</v>
      </c>
      <c r="C1060" t="s">
        <v>2401</v>
      </c>
      <c r="D1060">
        <v>105</v>
      </c>
      <c r="E1060" t="s">
        <v>29</v>
      </c>
      <c r="F1060" t="s">
        <v>63</v>
      </c>
      <c r="G1060" s="23">
        <v>42545</v>
      </c>
      <c r="H1060" t="s">
        <v>4944</v>
      </c>
      <c r="I1060" t="s">
        <v>4945</v>
      </c>
      <c r="J1060" t="s">
        <v>4946</v>
      </c>
    </row>
    <row r="1061" spans="1:10">
      <c r="A1061" t="s">
        <v>4947</v>
      </c>
      <c r="B1061" t="s">
        <v>4947</v>
      </c>
      <c r="C1061" t="s">
        <v>2401</v>
      </c>
      <c r="D1061">
        <v>15</v>
      </c>
      <c r="E1061" t="s">
        <v>33</v>
      </c>
      <c r="F1061" t="s">
        <v>63</v>
      </c>
      <c r="G1061" s="23">
        <v>43046</v>
      </c>
      <c r="H1061" t="s">
        <v>4948</v>
      </c>
      <c r="I1061" t="s">
        <v>4949</v>
      </c>
      <c r="J1061" t="s">
        <v>4950</v>
      </c>
    </row>
    <row r="1062" spans="1:10">
      <c r="A1062" t="s">
        <v>4951</v>
      </c>
      <c r="B1062" t="s">
        <v>4951</v>
      </c>
      <c r="C1062" t="s">
        <v>1784</v>
      </c>
      <c r="D1062">
        <v>4</v>
      </c>
      <c r="E1062" t="s">
        <v>34</v>
      </c>
      <c r="F1062" t="s">
        <v>571</v>
      </c>
      <c r="G1062" s="23">
        <v>42190</v>
      </c>
      <c r="H1062" t="s">
        <v>4952</v>
      </c>
      <c r="I1062" t="s">
        <v>4953</v>
      </c>
      <c r="J1062" t="s">
        <v>4954</v>
      </c>
    </row>
    <row r="1063" spans="1:10">
      <c r="A1063" t="s">
        <v>4955</v>
      </c>
      <c r="B1063" t="s">
        <v>4955</v>
      </c>
      <c r="C1063" t="s">
        <v>4638</v>
      </c>
      <c r="D1063">
        <v>11</v>
      </c>
      <c r="E1063" t="s">
        <v>31</v>
      </c>
      <c r="F1063" t="s">
        <v>63</v>
      </c>
      <c r="G1063" s="23">
        <v>43002</v>
      </c>
      <c r="H1063" t="s">
        <v>4956</v>
      </c>
      <c r="I1063" t="s">
        <v>4957</v>
      </c>
      <c r="J1063" t="s">
        <v>4958</v>
      </c>
    </row>
    <row r="1064" spans="1:10">
      <c r="A1064" t="s">
        <v>4959</v>
      </c>
      <c r="B1064" t="s">
        <v>4959</v>
      </c>
      <c r="C1064" t="s">
        <v>4960</v>
      </c>
      <c r="D1064">
        <v>13</v>
      </c>
      <c r="E1064" t="s">
        <v>29</v>
      </c>
      <c r="F1064" t="s">
        <v>63</v>
      </c>
      <c r="G1064" s="23">
        <v>42270</v>
      </c>
      <c r="H1064" t="s">
        <v>4961</v>
      </c>
      <c r="I1064" t="s">
        <v>4962</v>
      </c>
      <c r="J1064" t="s">
        <v>4963</v>
      </c>
    </row>
    <row r="1065" spans="1:10">
      <c r="A1065" t="s">
        <v>4964</v>
      </c>
      <c r="B1065" t="s">
        <v>4964</v>
      </c>
      <c r="C1065" t="s">
        <v>4965</v>
      </c>
      <c r="D1065">
        <v>1</v>
      </c>
      <c r="E1065" t="s">
        <v>34</v>
      </c>
      <c r="F1065" t="s">
        <v>57</v>
      </c>
      <c r="G1065" s="23">
        <v>44378</v>
      </c>
      <c r="H1065" t="s">
        <v>4966</v>
      </c>
      <c r="I1065" t="s">
        <v>4967</v>
      </c>
      <c r="J1065" t="s">
        <v>4968</v>
      </c>
    </row>
    <row r="1066" spans="1:10">
      <c r="A1066" t="s">
        <v>4969</v>
      </c>
      <c r="B1066" t="s">
        <v>4969</v>
      </c>
      <c r="C1066" t="s">
        <v>4965</v>
      </c>
      <c r="D1066">
        <v>1</v>
      </c>
      <c r="E1066" t="s">
        <v>35</v>
      </c>
      <c r="F1066" t="s">
        <v>57</v>
      </c>
      <c r="G1066" s="23">
        <v>44384</v>
      </c>
      <c r="H1066" t="s">
        <v>4970</v>
      </c>
      <c r="I1066" t="s">
        <v>4971</v>
      </c>
      <c r="J1066" t="s">
        <v>4972</v>
      </c>
    </row>
    <row r="1067" spans="1:10">
      <c r="A1067" t="s">
        <v>4973</v>
      </c>
      <c r="B1067" t="s">
        <v>4973</v>
      </c>
      <c r="C1067" t="s">
        <v>4974</v>
      </c>
      <c r="D1067">
        <v>20</v>
      </c>
      <c r="E1067" t="s">
        <v>29</v>
      </c>
      <c r="F1067" t="s">
        <v>63</v>
      </c>
      <c r="G1067" s="23">
        <v>42312</v>
      </c>
      <c r="H1067" t="s">
        <v>4975</v>
      </c>
      <c r="I1067" t="s">
        <v>4976</v>
      </c>
      <c r="J1067" t="s">
        <v>4977</v>
      </c>
    </row>
    <row r="1068" spans="1:10">
      <c r="A1068" t="s">
        <v>4978</v>
      </c>
      <c r="B1068" t="s">
        <v>4978</v>
      </c>
      <c r="C1068" t="s">
        <v>4979</v>
      </c>
      <c r="D1068">
        <v>6</v>
      </c>
      <c r="E1068" t="s">
        <v>27</v>
      </c>
      <c r="F1068" t="s">
        <v>63</v>
      </c>
      <c r="G1068" s="23">
        <v>42229</v>
      </c>
      <c r="H1068" t="s">
        <v>4980</v>
      </c>
      <c r="I1068" t="s">
        <v>4981</v>
      </c>
      <c r="J1068" t="s">
        <v>4982</v>
      </c>
    </row>
    <row r="1069" spans="1:10">
      <c r="A1069" t="s">
        <v>4983</v>
      </c>
      <c r="B1069" t="s">
        <v>4983</v>
      </c>
      <c r="C1069" t="s">
        <v>4984</v>
      </c>
      <c r="D1069">
        <v>19</v>
      </c>
      <c r="E1069" t="s">
        <v>29</v>
      </c>
      <c r="F1069" t="s">
        <v>63</v>
      </c>
      <c r="G1069" s="23">
        <v>43731</v>
      </c>
      <c r="H1069" t="s">
        <v>4985</v>
      </c>
      <c r="I1069" t="s">
        <v>4986</v>
      </c>
      <c r="J1069" t="s">
        <v>4987</v>
      </c>
    </row>
    <row r="1070" spans="1:10">
      <c r="A1070" t="s">
        <v>4988</v>
      </c>
      <c r="B1070" t="s">
        <v>4988</v>
      </c>
      <c r="C1070" t="s">
        <v>4989</v>
      </c>
      <c r="D1070">
        <v>74</v>
      </c>
      <c r="E1070" t="s">
        <v>31</v>
      </c>
      <c r="F1070" t="s">
        <v>63</v>
      </c>
      <c r="G1070" s="23">
        <v>42239</v>
      </c>
      <c r="H1070" t="s">
        <v>4990</v>
      </c>
      <c r="I1070" t="s">
        <v>4991</v>
      </c>
      <c r="J1070" t="s">
        <v>4992</v>
      </c>
    </row>
    <row r="1071" spans="1:10">
      <c r="A1071" t="s">
        <v>4993</v>
      </c>
      <c r="B1071" t="s">
        <v>4993</v>
      </c>
      <c r="C1071" t="s">
        <v>1784</v>
      </c>
      <c r="D1071">
        <v>15</v>
      </c>
      <c r="E1071" t="s">
        <v>33</v>
      </c>
      <c r="F1071" t="s">
        <v>571</v>
      </c>
      <c r="G1071" s="23">
        <v>45742</v>
      </c>
      <c r="H1071" t="s">
        <v>4994</v>
      </c>
      <c r="I1071" t="s">
        <v>4995</v>
      </c>
      <c r="J1071" t="s">
        <v>4996</v>
      </c>
    </row>
    <row r="1072" spans="1:10">
      <c r="A1072" t="s">
        <v>4997</v>
      </c>
      <c r="B1072" t="s">
        <v>4997</v>
      </c>
      <c r="C1072" t="s">
        <v>4998</v>
      </c>
      <c r="D1072">
        <v>1</v>
      </c>
      <c r="E1072" t="s">
        <v>31</v>
      </c>
      <c r="F1072" t="s">
        <v>63</v>
      </c>
      <c r="G1072" s="23">
        <v>42155</v>
      </c>
      <c r="H1072" t="s">
        <v>4999</v>
      </c>
      <c r="I1072" t="s">
        <v>5000</v>
      </c>
      <c r="J1072" t="s">
        <v>5001</v>
      </c>
    </row>
    <row r="1073" spans="1:10">
      <c r="A1073" t="s">
        <v>5002</v>
      </c>
      <c r="B1073" t="s">
        <v>5002</v>
      </c>
      <c r="C1073" t="s">
        <v>4347</v>
      </c>
      <c r="D1073">
        <v>87</v>
      </c>
      <c r="E1073" t="s">
        <v>29</v>
      </c>
      <c r="F1073" t="s">
        <v>63</v>
      </c>
      <c r="G1073" s="23">
        <v>42003</v>
      </c>
      <c r="H1073" t="s">
        <v>5003</v>
      </c>
      <c r="I1073" t="s">
        <v>5004</v>
      </c>
      <c r="J1073" t="s">
        <v>5005</v>
      </c>
    </row>
    <row r="1074" spans="1:10">
      <c r="A1074" t="s">
        <v>5006</v>
      </c>
      <c r="B1074" t="s">
        <v>5007</v>
      </c>
      <c r="C1074" t="s">
        <v>1765</v>
      </c>
      <c r="D1074">
        <v>21</v>
      </c>
      <c r="E1074" t="s">
        <v>29</v>
      </c>
      <c r="F1074" t="s">
        <v>63</v>
      </c>
      <c r="G1074" s="23">
        <v>42286</v>
      </c>
      <c r="H1074" t="s">
        <v>5008</v>
      </c>
      <c r="I1074" t="s">
        <v>5009</v>
      </c>
      <c r="J1074" t="s">
        <v>5010</v>
      </c>
    </row>
    <row r="1075" spans="1:10">
      <c r="A1075" t="s">
        <v>5011</v>
      </c>
      <c r="B1075" t="s">
        <v>5007</v>
      </c>
      <c r="C1075" t="s">
        <v>4638</v>
      </c>
      <c r="D1075">
        <v>17</v>
      </c>
      <c r="E1075" t="s">
        <v>33</v>
      </c>
      <c r="F1075" t="s">
        <v>63</v>
      </c>
      <c r="G1075" s="23">
        <v>45397</v>
      </c>
      <c r="H1075" t="s">
        <v>5012</v>
      </c>
      <c r="I1075" t="s">
        <v>5013</v>
      </c>
      <c r="J1075" t="s">
        <v>5014</v>
      </c>
    </row>
    <row r="1076" spans="1:10">
      <c r="A1076" t="s">
        <v>5015</v>
      </c>
      <c r="B1076" t="s">
        <v>5015</v>
      </c>
      <c r="C1076" t="s">
        <v>5016</v>
      </c>
      <c r="D1076">
        <v>5</v>
      </c>
      <c r="E1076" t="s">
        <v>31</v>
      </c>
      <c r="F1076" t="s">
        <v>571</v>
      </c>
      <c r="G1076" s="23">
        <v>45347</v>
      </c>
      <c r="H1076" t="s">
        <v>5017</v>
      </c>
      <c r="I1076" t="s">
        <v>5018</v>
      </c>
      <c r="J1076" t="s">
        <v>5019</v>
      </c>
    </row>
    <row r="1077" spans="1:10">
      <c r="A1077" t="s">
        <v>5020</v>
      </c>
      <c r="B1077" t="s">
        <v>5020</v>
      </c>
      <c r="C1077" t="s">
        <v>5021</v>
      </c>
      <c r="D1077">
        <v>7</v>
      </c>
      <c r="E1077" t="s">
        <v>29</v>
      </c>
      <c r="F1077" t="s">
        <v>63</v>
      </c>
      <c r="G1077" s="23">
        <v>41491</v>
      </c>
      <c r="H1077" t="s">
        <v>5022</v>
      </c>
      <c r="I1077" t="s">
        <v>5023</v>
      </c>
      <c r="J1077" t="s">
        <v>5024</v>
      </c>
    </row>
    <row r="1078" spans="1:10">
      <c r="A1078" t="s">
        <v>5025</v>
      </c>
      <c r="B1078" t="s">
        <v>5025</v>
      </c>
      <c r="C1078" t="s">
        <v>5026</v>
      </c>
      <c r="D1078">
        <v>8</v>
      </c>
      <c r="E1078" t="s">
        <v>29</v>
      </c>
      <c r="F1078" t="s">
        <v>63</v>
      </c>
      <c r="G1078" s="23">
        <v>42550</v>
      </c>
      <c r="H1078" t="s">
        <v>5027</v>
      </c>
      <c r="I1078" t="s">
        <v>5028</v>
      </c>
      <c r="J1078" t="s">
        <v>5029</v>
      </c>
    </row>
    <row r="1079" spans="1:10">
      <c r="A1079" t="s">
        <v>5030</v>
      </c>
      <c r="B1079" t="s">
        <v>5030</v>
      </c>
      <c r="C1079" t="s">
        <v>704</v>
      </c>
      <c r="D1079">
        <v>8</v>
      </c>
      <c r="E1079" t="s">
        <v>33</v>
      </c>
      <c r="F1079" t="s">
        <v>63</v>
      </c>
      <c r="G1079" s="23">
        <v>42315</v>
      </c>
      <c r="H1079" t="s">
        <v>5031</v>
      </c>
      <c r="I1079" t="s">
        <v>5032</v>
      </c>
      <c r="J1079" t="s">
        <v>5033</v>
      </c>
    </row>
    <row r="1080" spans="1:10">
      <c r="A1080" t="s">
        <v>5034</v>
      </c>
      <c r="B1080" t="s">
        <v>5034</v>
      </c>
      <c r="C1080" t="s">
        <v>827</v>
      </c>
      <c r="D1080">
        <v>40</v>
      </c>
      <c r="E1080" t="s">
        <v>29</v>
      </c>
      <c r="F1080" t="s">
        <v>63</v>
      </c>
      <c r="G1080" s="23">
        <v>44793</v>
      </c>
      <c r="H1080" t="s">
        <v>5035</v>
      </c>
      <c r="I1080" t="s">
        <v>5036</v>
      </c>
      <c r="J1080" t="s">
        <v>5037</v>
      </c>
    </row>
    <row r="1081" spans="1:10">
      <c r="A1081" t="s">
        <v>5038</v>
      </c>
      <c r="B1081" t="s">
        <v>5038</v>
      </c>
      <c r="C1081" t="s">
        <v>827</v>
      </c>
      <c r="D1081">
        <v>21</v>
      </c>
      <c r="E1081" t="s">
        <v>29</v>
      </c>
      <c r="F1081" t="s">
        <v>63</v>
      </c>
      <c r="G1081" s="23">
        <v>44574</v>
      </c>
      <c r="H1081" t="s">
        <v>5039</v>
      </c>
      <c r="I1081" t="s">
        <v>5040</v>
      </c>
      <c r="J1081" t="s">
        <v>5041</v>
      </c>
    </row>
    <row r="1082" spans="1:10">
      <c r="A1082" t="s">
        <v>5042</v>
      </c>
      <c r="B1082" t="s">
        <v>5042</v>
      </c>
      <c r="C1082" t="s">
        <v>827</v>
      </c>
      <c r="D1082">
        <v>7</v>
      </c>
      <c r="E1082" t="s">
        <v>29</v>
      </c>
      <c r="F1082" t="s">
        <v>63</v>
      </c>
      <c r="G1082" s="23">
        <v>44407</v>
      </c>
      <c r="H1082" t="s">
        <v>5043</v>
      </c>
      <c r="I1082" t="s">
        <v>5044</v>
      </c>
      <c r="J1082" t="s">
        <v>5045</v>
      </c>
    </row>
    <row r="1083" spans="1:10">
      <c r="A1083" t="s">
        <v>5046</v>
      </c>
      <c r="B1083" t="s">
        <v>5046</v>
      </c>
      <c r="C1083" t="s">
        <v>827</v>
      </c>
      <c r="D1083">
        <v>6</v>
      </c>
      <c r="E1083" t="s">
        <v>27</v>
      </c>
      <c r="F1083" t="s">
        <v>63</v>
      </c>
      <c r="G1083" s="23">
        <v>44434</v>
      </c>
      <c r="H1083" t="s">
        <v>5047</v>
      </c>
      <c r="I1083" t="s">
        <v>5048</v>
      </c>
      <c r="J1083" t="s">
        <v>5049</v>
      </c>
    </row>
    <row r="1084" spans="1:10">
      <c r="A1084" t="s">
        <v>5050</v>
      </c>
      <c r="B1084" t="s">
        <v>5050</v>
      </c>
      <c r="C1084" t="s">
        <v>5051</v>
      </c>
      <c r="D1084">
        <v>5</v>
      </c>
      <c r="E1084" t="s">
        <v>27</v>
      </c>
      <c r="F1084" t="s">
        <v>63</v>
      </c>
      <c r="G1084" s="23">
        <v>42255</v>
      </c>
      <c r="H1084" t="s">
        <v>5052</v>
      </c>
      <c r="I1084" t="s">
        <v>5053</v>
      </c>
      <c r="J1084" t="s">
        <v>5054</v>
      </c>
    </row>
    <row r="1085" spans="1:10">
      <c r="A1085" t="s">
        <v>5055</v>
      </c>
      <c r="B1085" t="s">
        <v>5055</v>
      </c>
      <c r="C1085" t="s">
        <v>4164</v>
      </c>
      <c r="D1085">
        <v>17</v>
      </c>
      <c r="E1085" t="s">
        <v>31</v>
      </c>
      <c r="F1085" t="s">
        <v>63</v>
      </c>
      <c r="G1085" s="23">
        <v>41572</v>
      </c>
      <c r="H1085" t="s">
        <v>5056</v>
      </c>
      <c r="I1085" t="s">
        <v>5057</v>
      </c>
      <c r="J1085" t="s">
        <v>5058</v>
      </c>
    </row>
    <row r="1086" spans="1:10">
      <c r="A1086" t="s">
        <v>5059</v>
      </c>
      <c r="B1086" t="s">
        <v>5059</v>
      </c>
      <c r="C1086" t="s">
        <v>5060</v>
      </c>
      <c r="D1086">
        <v>34</v>
      </c>
      <c r="E1086" t="s">
        <v>29</v>
      </c>
      <c r="F1086" t="s">
        <v>63</v>
      </c>
      <c r="G1086" s="23">
        <v>41814</v>
      </c>
      <c r="H1086" t="s">
        <v>5061</v>
      </c>
      <c r="I1086" t="s">
        <v>5062</v>
      </c>
      <c r="J1086" t="s">
        <v>5063</v>
      </c>
    </row>
    <row r="1087" spans="1:10">
      <c r="A1087" t="s">
        <v>5064</v>
      </c>
      <c r="B1087" t="s">
        <v>5064</v>
      </c>
      <c r="C1087" t="s">
        <v>5065</v>
      </c>
      <c r="D1087">
        <v>51</v>
      </c>
      <c r="E1087" t="s">
        <v>29</v>
      </c>
      <c r="F1087" t="s">
        <v>2433</v>
      </c>
      <c r="G1087" s="23">
        <v>41589</v>
      </c>
      <c r="H1087" t="s">
        <v>5066</v>
      </c>
      <c r="I1087" t="s">
        <v>5067</v>
      </c>
      <c r="J1087" t="s">
        <v>5068</v>
      </c>
    </row>
    <row r="1088" spans="1:10">
      <c r="A1088" t="s">
        <v>5069</v>
      </c>
      <c r="B1088" t="s">
        <v>5069</v>
      </c>
      <c r="C1088" t="s">
        <v>5065</v>
      </c>
      <c r="D1088">
        <v>37</v>
      </c>
      <c r="E1088" t="s">
        <v>29</v>
      </c>
      <c r="F1088" t="s">
        <v>2433</v>
      </c>
      <c r="G1088" s="23">
        <v>42925</v>
      </c>
      <c r="H1088" t="s">
        <v>5070</v>
      </c>
      <c r="I1088" t="s">
        <v>5071</v>
      </c>
      <c r="J1088" t="s">
        <v>5072</v>
      </c>
    </row>
    <row r="1089" spans="1:10">
      <c r="A1089" t="s">
        <v>5073</v>
      </c>
      <c r="B1089" t="s">
        <v>5073</v>
      </c>
      <c r="C1089" t="s">
        <v>4638</v>
      </c>
      <c r="D1089">
        <v>20</v>
      </c>
      <c r="E1089" t="s">
        <v>31</v>
      </c>
      <c r="F1089" t="s">
        <v>63</v>
      </c>
      <c r="G1089" s="23">
        <v>42658</v>
      </c>
      <c r="H1089" t="s">
        <v>5074</v>
      </c>
      <c r="I1089" t="s">
        <v>5075</v>
      </c>
      <c r="J1089" t="s">
        <v>5076</v>
      </c>
    </row>
    <row r="1090" spans="1:10">
      <c r="A1090" t="s">
        <v>5077</v>
      </c>
      <c r="B1090" t="s">
        <v>5077</v>
      </c>
      <c r="C1090" t="s">
        <v>5078</v>
      </c>
      <c r="D1090">
        <v>7</v>
      </c>
      <c r="E1090" t="s">
        <v>29</v>
      </c>
      <c r="F1090" t="s">
        <v>63</v>
      </c>
      <c r="G1090" s="23">
        <v>41543</v>
      </c>
      <c r="H1090" t="s">
        <v>5079</v>
      </c>
      <c r="I1090" t="s">
        <v>5080</v>
      </c>
      <c r="J1090" t="s">
        <v>5081</v>
      </c>
    </row>
    <row r="1091" spans="1:10">
      <c r="A1091" t="s">
        <v>5082</v>
      </c>
      <c r="B1091" t="s">
        <v>5082</v>
      </c>
      <c r="C1091" t="s">
        <v>5083</v>
      </c>
      <c r="D1091">
        <v>27</v>
      </c>
      <c r="E1091" t="s">
        <v>31</v>
      </c>
      <c r="F1091" t="s">
        <v>63</v>
      </c>
      <c r="G1091" s="23">
        <v>41457</v>
      </c>
      <c r="H1091" t="s">
        <v>5084</v>
      </c>
      <c r="I1091" t="s">
        <v>5085</v>
      </c>
      <c r="J1091" t="s">
        <v>5086</v>
      </c>
    </row>
    <row r="1092" spans="1:10">
      <c r="A1092" t="s">
        <v>5087</v>
      </c>
      <c r="B1092" t="s">
        <v>5087</v>
      </c>
      <c r="C1092" t="s">
        <v>5088</v>
      </c>
      <c r="D1092">
        <v>50</v>
      </c>
      <c r="E1092" t="s">
        <v>31</v>
      </c>
      <c r="F1092" t="s">
        <v>63</v>
      </c>
      <c r="G1092" s="23">
        <v>45554</v>
      </c>
      <c r="H1092" t="s">
        <v>5089</v>
      </c>
      <c r="I1092" t="s">
        <v>5090</v>
      </c>
      <c r="J1092" t="s">
        <v>5091</v>
      </c>
    </row>
    <row r="1093" spans="1:10">
      <c r="A1093" t="s">
        <v>5092</v>
      </c>
      <c r="B1093" t="s">
        <v>5092</v>
      </c>
      <c r="C1093" t="s">
        <v>130</v>
      </c>
      <c r="D1093">
        <v>25</v>
      </c>
      <c r="E1093" t="s">
        <v>31</v>
      </c>
      <c r="F1093" t="s">
        <v>63</v>
      </c>
      <c r="G1093" s="23">
        <v>42209</v>
      </c>
      <c r="H1093" t="s">
        <v>5093</v>
      </c>
      <c r="I1093" t="s">
        <v>5094</v>
      </c>
      <c r="J1093" t="s">
        <v>5095</v>
      </c>
    </row>
    <row r="1094" spans="1:10">
      <c r="A1094" t="s">
        <v>5096</v>
      </c>
      <c r="B1094" t="s">
        <v>5096</v>
      </c>
      <c r="C1094" t="s">
        <v>5097</v>
      </c>
      <c r="D1094">
        <v>98</v>
      </c>
      <c r="E1094" t="s">
        <v>29</v>
      </c>
      <c r="F1094" t="s">
        <v>63</v>
      </c>
      <c r="G1094" s="23">
        <v>46024</v>
      </c>
      <c r="H1094" t="s">
        <v>5098</v>
      </c>
      <c r="I1094" t="s">
        <v>5099</v>
      </c>
      <c r="J1094" t="s">
        <v>5100</v>
      </c>
    </row>
    <row r="1095" spans="1:10">
      <c r="A1095" t="s">
        <v>5101</v>
      </c>
      <c r="B1095" t="s">
        <v>5101</v>
      </c>
      <c r="C1095" t="s">
        <v>5097</v>
      </c>
      <c r="D1095">
        <v>98</v>
      </c>
      <c r="E1095" t="s">
        <v>29</v>
      </c>
      <c r="F1095" t="s">
        <v>63</v>
      </c>
      <c r="G1095" s="23">
        <v>45508</v>
      </c>
      <c r="H1095" t="s">
        <v>5102</v>
      </c>
      <c r="I1095" t="s">
        <v>5103</v>
      </c>
      <c r="J1095" t="s">
        <v>5104</v>
      </c>
    </row>
    <row r="1096" spans="1:10">
      <c r="A1096" t="s">
        <v>5105</v>
      </c>
      <c r="B1096" t="s">
        <v>5105</v>
      </c>
      <c r="C1096" t="s">
        <v>4227</v>
      </c>
      <c r="D1096">
        <v>49</v>
      </c>
      <c r="E1096" t="s">
        <v>31</v>
      </c>
      <c r="F1096" t="s">
        <v>63</v>
      </c>
      <c r="G1096" s="23">
        <v>42333</v>
      </c>
      <c r="H1096" t="s">
        <v>5106</v>
      </c>
      <c r="I1096" t="s">
        <v>5107</v>
      </c>
      <c r="J1096" t="s">
        <v>5108</v>
      </c>
    </row>
    <row r="1097" spans="1:10">
      <c r="A1097" t="s">
        <v>5109</v>
      </c>
      <c r="B1097" t="s">
        <v>5109</v>
      </c>
      <c r="C1097" t="s">
        <v>5110</v>
      </c>
      <c r="D1097">
        <v>7</v>
      </c>
      <c r="E1097" t="s">
        <v>33</v>
      </c>
      <c r="F1097" t="s">
        <v>571</v>
      </c>
      <c r="G1097" s="23">
        <v>41748</v>
      </c>
      <c r="H1097" t="s">
        <v>5111</v>
      </c>
      <c r="I1097" t="s">
        <v>5112</v>
      </c>
      <c r="J1097" t="s">
        <v>5113</v>
      </c>
    </row>
    <row r="1098" spans="1:10">
      <c r="A1098" t="s">
        <v>5114</v>
      </c>
      <c r="B1098" t="s">
        <v>5114</v>
      </c>
      <c r="C1098" t="s">
        <v>5115</v>
      </c>
      <c r="D1098">
        <v>1</v>
      </c>
      <c r="E1098" t="s">
        <v>33</v>
      </c>
      <c r="F1098" t="s">
        <v>63</v>
      </c>
      <c r="G1098" s="23">
        <v>43992</v>
      </c>
      <c r="H1098" t="s">
        <v>5116</v>
      </c>
      <c r="I1098" t="s">
        <v>5117</v>
      </c>
      <c r="J1098" t="s">
        <v>5118</v>
      </c>
    </row>
    <row r="1099" spans="1:10">
      <c r="A1099" t="s">
        <v>5119</v>
      </c>
      <c r="B1099" t="s">
        <v>5119</v>
      </c>
      <c r="C1099" t="s">
        <v>2240</v>
      </c>
      <c r="D1099">
        <v>10</v>
      </c>
      <c r="E1099" t="s">
        <v>29</v>
      </c>
      <c r="F1099" t="s">
        <v>63</v>
      </c>
      <c r="G1099" s="23">
        <v>41545</v>
      </c>
      <c r="H1099" t="s">
        <v>5120</v>
      </c>
      <c r="I1099" t="s">
        <v>5121</v>
      </c>
      <c r="J1099" t="s">
        <v>5122</v>
      </c>
    </row>
    <row r="1100" spans="1:10">
      <c r="A1100" t="s">
        <v>5123</v>
      </c>
      <c r="B1100" t="s">
        <v>5123</v>
      </c>
      <c r="C1100" t="s">
        <v>380</v>
      </c>
      <c r="D1100">
        <v>5</v>
      </c>
      <c r="E1100" t="s">
        <v>29</v>
      </c>
      <c r="F1100" t="s">
        <v>63</v>
      </c>
      <c r="G1100" s="23">
        <v>42215</v>
      </c>
      <c r="H1100" t="s">
        <v>5124</v>
      </c>
      <c r="I1100" t="s">
        <v>5125</v>
      </c>
      <c r="J1100" t="s">
        <v>5126</v>
      </c>
    </row>
    <row r="1101" spans="1:10">
      <c r="A1101" t="s">
        <v>5127</v>
      </c>
      <c r="B1101" t="s">
        <v>5127</v>
      </c>
      <c r="C1101" t="s">
        <v>243</v>
      </c>
      <c r="D1101">
        <v>10</v>
      </c>
      <c r="E1101" t="s">
        <v>31</v>
      </c>
      <c r="F1101" t="s">
        <v>63</v>
      </c>
      <c r="G1101" s="23">
        <v>44233</v>
      </c>
      <c r="H1101" t="s">
        <v>5128</v>
      </c>
      <c r="I1101" t="s">
        <v>5129</v>
      </c>
      <c r="J1101" t="s">
        <v>5130</v>
      </c>
    </row>
    <row r="1102" spans="1:10">
      <c r="A1102" t="s">
        <v>5131</v>
      </c>
      <c r="B1102" t="s">
        <v>5131</v>
      </c>
      <c r="C1102" t="s">
        <v>5132</v>
      </c>
      <c r="D1102">
        <v>11</v>
      </c>
      <c r="E1102" t="s">
        <v>27</v>
      </c>
      <c r="F1102" t="s">
        <v>63</v>
      </c>
      <c r="G1102" s="23">
        <v>42412</v>
      </c>
      <c r="H1102" t="s">
        <v>5133</v>
      </c>
      <c r="I1102" t="s">
        <v>5134</v>
      </c>
      <c r="J1102" t="s">
        <v>5135</v>
      </c>
    </row>
    <row r="1103" spans="1:10">
      <c r="A1103" t="s">
        <v>5136</v>
      </c>
      <c r="B1103" t="s">
        <v>5136</v>
      </c>
      <c r="C1103" t="s">
        <v>5137</v>
      </c>
      <c r="D1103">
        <v>7</v>
      </c>
      <c r="E1103" t="s">
        <v>29</v>
      </c>
      <c r="F1103" t="s">
        <v>63</v>
      </c>
      <c r="G1103" s="23">
        <v>42044</v>
      </c>
      <c r="H1103" t="s">
        <v>5138</v>
      </c>
      <c r="I1103" t="s">
        <v>5139</v>
      </c>
      <c r="J1103" t="s">
        <v>5140</v>
      </c>
    </row>
    <row r="1104" spans="1:10">
      <c r="A1104" t="s">
        <v>5141</v>
      </c>
      <c r="B1104" t="s">
        <v>5141</v>
      </c>
      <c r="C1104" t="s">
        <v>5142</v>
      </c>
      <c r="D1104">
        <v>4</v>
      </c>
      <c r="E1104" t="s">
        <v>31</v>
      </c>
      <c r="F1104" t="s">
        <v>63</v>
      </c>
      <c r="G1104" s="23">
        <v>43219</v>
      </c>
      <c r="H1104" t="s">
        <v>5143</v>
      </c>
      <c r="I1104" t="s">
        <v>5144</v>
      </c>
      <c r="J1104" t="s">
        <v>5145</v>
      </c>
    </row>
    <row r="1105" spans="1:10">
      <c r="A1105" t="s">
        <v>5146</v>
      </c>
      <c r="B1105" t="s">
        <v>5146</v>
      </c>
      <c r="C1105" t="s">
        <v>5147</v>
      </c>
      <c r="D1105">
        <v>21</v>
      </c>
      <c r="E1105" t="s">
        <v>31</v>
      </c>
      <c r="F1105" t="s">
        <v>63</v>
      </c>
      <c r="G1105" s="23">
        <v>43483</v>
      </c>
      <c r="H1105" t="s">
        <v>5148</v>
      </c>
      <c r="I1105" t="s">
        <v>5149</v>
      </c>
      <c r="J1105" t="s">
        <v>5150</v>
      </c>
    </row>
    <row r="1106" spans="1:10">
      <c r="A1106" t="s">
        <v>5151</v>
      </c>
      <c r="B1106" t="s">
        <v>5151</v>
      </c>
      <c r="C1106" t="s">
        <v>1996</v>
      </c>
      <c r="D1106">
        <v>48</v>
      </c>
      <c r="E1106" t="s">
        <v>29</v>
      </c>
      <c r="F1106" t="s">
        <v>63</v>
      </c>
      <c r="G1106" s="23">
        <v>42662</v>
      </c>
      <c r="H1106" t="s">
        <v>5152</v>
      </c>
      <c r="I1106" t="s">
        <v>5153</v>
      </c>
      <c r="J1106" t="s">
        <v>5154</v>
      </c>
    </row>
    <row r="1107" spans="1:10">
      <c r="A1107" t="s">
        <v>5155</v>
      </c>
      <c r="B1107" t="s">
        <v>5155</v>
      </c>
      <c r="C1107" t="s">
        <v>243</v>
      </c>
      <c r="D1107">
        <v>17</v>
      </c>
      <c r="E1107" t="s">
        <v>31</v>
      </c>
      <c r="F1107" t="s">
        <v>63</v>
      </c>
      <c r="G1107" s="23">
        <v>45103</v>
      </c>
      <c r="H1107" t="s">
        <v>5156</v>
      </c>
      <c r="I1107" t="s">
        <v>5157</v>
      </c>
      <c r="J1107" t="s">
        <v>5158</v>
      </c>
    </row>
    <row r="1108" spans="1:10">
      <c r="A1108" t="s">
        <v>5159</v>
      </c>
      <c r="B1108" t="s">
        <v>5159</v>
      </c>
      <c r="C1108" t="s">
        <v>5160</v>
      </c>
      <c r="D1108">
        <v>28</v>
      </c>
      <c r="E1108" t="s">
        <v>31</v>
      </c>
      <c r="F1108" t="s">
        <v>63</v>
      </c>
      <c r="G1108" s="23">
        <v>43683</v>
      </c>
      <c r="H1108" t="s">
        <v>5161</v>
      </c>
      <c r="I1108" t="s">
        <v>5162</v>
      </c>
      <c r="J1108" t="s">
        <v>5163</v>
      </c>
    </row>
    <row r="1109" spans="1:10">
      <c r="A1109" t="s">
        <v>5164</v>
      </c>
      <c r="B1109" t="s">
        <v>5164</v>
      </c>
      <c r="C1109" t="s">
        <v>694</v>
      </c>
      <c r="D1109">
        <v>7</v>
      </c>
      <c r="E1109" t="s">
        <v>31</v>
      </c>
      <c r="F1109" t="s">
        <v>63</v>
      </c>
      <c r="G1109" s="23">
        <v>42374</v>
      </c>
      <c r="H1109" t="s">
        <v>5165</v>
      </c>
      <c r="I1109" t="s">
        <v>5166</v>
      </c>
      <c r="J1109" t="s">
        <v>5167</v>
      </c>
    </row>
    <row r="1110" spans="1:10">
      <c r="A1110" t="s">
        <v>5168</v>
      </c>
      <c r="B1110" t="s">
        <v>5168</v>
      </c>
      <c r="C1110" t="s">
        <v>3137</v>
      </c>
      <c r="D1110">
        <v>12</v>
      </c>
      <c r="E1110" t="s">
        <v>34</v>
      </c>
      <c r="F1110" t="s">
        <v>57</v>
      </c>
      <c r="G1110" s="23">
        <v>44217</v>
      </c>
      <c r="H1110" t="s">
        <v>5169</v>
      </c>
      <c r="I1110" t="s">
        <v>5170</v>
      </c>
      <c r="J1110" t="s">
        <v>5171</v>
      </c>
    </row>
    <row r="1111" spans="1:10">
      <c r="A1111" t="s">
        <v>5172</v>
      </c>
      <c r="B1111" t="s">
        <v>5172</v>
      </c>
      <c r="C1111" t="s">
        <v>5173</v>
      </c>
      <c r="D1111">
        <v>17</v>
      </c>
      <c r="E1111" t="s">
        <v>29</v>
      </c>
      <c r="F1111" t="s">
        <v>63</v>
      </c>
      <c r="G1111" s="23">
        <v>41862</v>
      </c>
      <c r="H1111" t="s">
        <v>5174</v>
      </c>
      <c r="I1111" t="s">
        <v>5175</v>
      </c>
      <c r="J1111" t="s">
        <v>5176</v>
      </c>
    </row>
    <row r="1112" spans="1:10">
      <c r="A1112" t="s">
        <v>5177</v>
      </c>
      <c r="B1112" t="s">
        <v>5177</v>
      </c>
      <c r="C1112" t="s">
        <v>5178</v>
      </c>
      <c r="D1112">
        <v>87</v>
      </c>
      <c r="E1112" t="s">
        <v>29</v>
      </c>
      <c r="F1112" t="s">
        <v>63</v>
      </c>
      <c r="G1112" s="23">
        <v>43601</v>
      </c>
      <c r="H1112" t="s">
        <v>5179</v>
      </c>
      <c r="I1112" t="s">
        <v>5180</v>
      </c>
      <c r="J1112" t="s">
        <v>5181</v>
      </c>
    </row>
    <row r="1113" spans="1:10">
      <c r="A1113" t="s">
        <v>5182</v>
      </c>
      <c r="B1113" t="s">
        <v>5182</v>
      </c>
      <c r="C1113" t="s">
        <v>5178</v>
      </c>
      <c r="D1113">
        <v>88</v>
      </c>
      <c r="E1113" t="s">
        <v>31</v>
      </c>
      <c r="F1113" t="s">
        <v>63</v>
      </c>
      <c r="G1113" s="23">
        <v>42232</v>
      </c>
      <c r="H1113" t="s">
        <v>5183</v>
      </c>
      <c r="I1113" t="s">
        <v>5184</v>
      </c>
      <c r="J1113" t="s">
        <v>5185</v>
      </c>
    </row>
    <row r="1114" spans="1:10">
      <c r="A1114" t="s">
        <v>5186</v>
      </c>
      <c r="B1114" t="s">
        <v>5186</v>
      </c>
      <c r="C1114" t="s">
        <v>1945</v>
      </c>
      <c r="D1114">
        <v>31</v>
      </c>
      <c r="E1114" t="s">
        <v>29</v>
      </c>
      <c r="F1114" t="s">
        <v>63</v>
      </c>
      <c r="G1114" s="23">
        <v>45010</v>
      </c>
      <c r="H1114" t="s">
        <v>5187</v>
      </c>
      <c r="I1114" t="s">
        <v>5188</v>
      </c>
      <c r="J1114" t="s">
        <v>5189</v>
      </c>
    </row>
    <row r="1115" spans="1:10">
      <c r="A1115" t="s">
        <v>5190</v>
      </c>
      <c r="B1115" t="s">
        <v>5190</v>
      </c>
      <c r="C1115" t="s">
        <v>5191</v>
      </c>
      <c r="D1115">
        <v>96</v>
      </c>
      <c r="E1115" t="s">
        <v>29</v>
      </c>
      <c r="F1115" t="s">
        <v>63</v>
      </c>
      <c r="G1115" s="23">
        <v>41445</v>
      </c>
      <c r="H1115" t="s">
        <v>5192</v>
      </c>
      <c r="I1115" t="s">
        <v>5193</v>
      </c>
      <c r="J1115" t="s">
        <v>5194</v>
      </c>
    </row>
    <row r="1116" spans="1:10">
      <c r="A1116" t="s">
        <v>5195</v>
      </c>
      <c r="B1116" t="s">
        <v>5195</v>
      </c>
      <c r="C1116" t="s">
        <v>5191</v>
      </c>
      <c r="D1116">
        <v>59</v>
      </c>
      <c r="E1116" t="s">
        <v>29</v>
      </c>
      <c r="F1116" t="s">
        <v>63</v>
      </c>
      <c r="G1116" s="23">
        <v>43060</v>
      </c>
      <c r="H1116" t="s">
        <v>5196</v>
      </c>
      <c r="I1116" t="s">
        <v>5197</v>
      </c>
      <c r="J1116" t="s">
        <v>5198</v>
      </c>
    </row>
    <row r="1117" spans="1:10">
      <c r="A1117" t="s">
        <v>5199</v>
      </c>
      <c r="B1117" t="s">
        <v>5199</v>
      </c>
      <c r="C1117" t="s">
        <v>910</v>
      </c>
      <c r="D1117">
        <v>1</v>
      </c>
      <c r="E1117" t="s">
        <v>29</v>
      </c>
      <c r="F1117" t="s">
        <v>63</v>
      </c>
      <c r="G1117" s="23">
        <v>42283</v>
      </c>
      <c r="H1117" t="s">
        <v>5200</v>
      </c>
      <c r="I1117" t="s">
        <v>5201</v>
      </c>
      <c r="J1117" t="s">
        <v>5202</v>
      </c>
    </row>
    <row r="1118" spans="1:10">
      <c r="A1118" t="s">
        <v>5203</v>
      </c>
      <c r="B1118" t="s">
        <v>5203</v>
      </c>
      <c r="C1118" t="s">
        <v>5204</v>
      </c>
      <c r="D1118">
        <v>14</v>
      </c>
      <c r="E1118" t="s">
        <v>29</v>
      </c>
      <c r="F1118" t="s">
        <v>63</v>
      </c>
      <c r="G1118" s="23">
        <v>41492</v>
      </c>
      <c r="H1118" t="s">
        <v>5205</v>
      </c>
      <c r="I1118" t="s">
        <v>5206</v>
      </c>
      <c r="J1118" t="s">
        <v>5207</v>
      </c>
    </row>
    <row r="1119" spans="1:10">
      <c r="A1119" t="s">
        <v>5208</v>
      </c>
      <c r="B1119" t="s">
        <v>5208</v>
      </c>
      <c r="C1119" t="s">
        <v>5209</v>
      </c>
      <c r="D1119">
        <v>10</v>
      </c>
      <c r="E1119" t="s">
        <v>31</v>
      </c>
      <c r="F1119" t="s">
        <v>63</v>
      </c>
      <c r="G1119" s="23">
        <v>42308</v>
      </c>
      <c r="H1119" t="s">
        <v>5210</v>
      </c>
      <c r="I1119" t="s">
        <v>5211</v>
      </c>
      <c r="J1119" t="s">
        <v>5212</v>
      </c>
    </row>
    <row r="1120" spans="1:10">
      <c r="A1120" t="s">
        <v>5213</v>
      </c>
      <c r="B1120" t="s">
        <v>5213</v>
      </c>
      <c r="C1120" t="s">
        <v>5214</v>
      </c>
      <c r="D1120">
        <v>79</v>
      </c>
      <c r="E1120" t="s">
        <v>31</v>
      </c>
      <c r="F1120" t="s">
        <v>63</v>
      </c>
      <c r="G1120" s="23">
        <v>41604</v>
      </c>
      <c r="H1120" t="s">
        <v>5215</v>
      </c>
      <c r="I1120" t="s">
        <v>5216</v>
      </c>
      <c r="J1120" t="s">
        <v>5217</v>
      </c>
    </row>
    <row r="1121" spans="1:10">
      <c r="A1121" t="s">
        <v>5218</v>
      </c>
      <c r="B1121" t="s">
        <v>5218</v>
      </c>
      <c r="C1121" t="s">
        <v>5219</v>
      </c>
      <c r="D1121">
        <v>9</v>
      </c>
      <c r="E1121" t="s">
        <v>29</v>
      </c>
      <c r="F1121" t="s">
        <v>63</v>
      </c>
      <c r="G1121" s="23">
        <v>42267</v>
      </c>
      <c r="H1121" t="s">
        <v>5220</v>
      </c>
      <c r="I1121" t="s">
        <v>5221</v>
      </c>
      <c r="J1121" t="s">
        <v>5222</v>
      </c>
    </row>
    <row r="1122" spans="1:10">
      <c r="A1122" t="s">
        <v>5223</v>
      </c>
      <c r="B1122" t="s">
        <v>5223</v>
      </c>
      <c r="C1122" t="s">
        <v>4070</v>
      </c>
      <c r="D1122">
        <v>6</v>
      </c>
      <c r="E1122" t="s">
        <v>29</v>
      </c>
      <c r="F1122" t="s">
        <v>63</v>
      </c>
      <c r="G1122" s="23">
        <v>45275</v>
      </c>
      <c r="H1122" t="s">
        <v>5224</v>
      </c>
      <c r="I1122" t="s">
        <v>5225</v>
      </c>
      <c r="J1122" t="s">
        <v>5226</v>
      </c>
    </row>
    <row r="1123" spans="1:10">
      <c r="A1123" t="s">
        <v>5227</v>
      </c>
      <c r="B1123" t="s">
        <v>5227</v>
      </c>
      <c r="C1123" t="s">
        <v>4638</v>
      </c>
      <c r="D1123">
        <v>7</v>
      </c>
      <c r="E1123" t="s">
        <v>29</v>
      </c>
      <c r="F1123" t="s">
        <v>63</v>
      </c>
      <c r="G1123" s="23">
        <v>42345</v>
      </c>
      <c r="H1123" t="s">
        <v>5228</v>
      </c>
      <c r="I1123" t="s">
        <v>5229</v>
      </c>
      <c r="J1123" t="s">
        <v>5230</v>
      </c>
    </row>
    <row r="1124" spans="1:10">
      <c r="A1124" t="s">
        <v>5231</v>
      </c>
      <c r="B1124" t="s">
        <v>5231</v>
      </c>
      <c r="C1124" t="s">
        <v>4638</v>
      </c>
      <c r="D1124">
        <v>5</v>
      </c>
      <c r="E1124" t="s">
        <v>29</v>
      </c>
      <c r="F1124" t="s">
        <v>63</v>
      </c>
      <c r="G1124" s="23">
        <v>42356</v>
      </c>
      <c r="H1124" t="s">
        <v>5232</v>
      </c>
      <c r="I1124" t="s">
        <v>5233</v>
      </c>
      <c r="J1124" t="s">
        <v>5234</v>
      </c>
    </row>
    <row r="1125" spans="1:10">
      <c r="A1125" t="s">
        <v>5235</v>
      </c>
      <c r="B1125" t="s">
        <v>5235</v>
      </c>
      <c r="C1125" t="s">
        <v>4638</v>
      </c>
      <c r="D1125">
        <v>66</v>
      </c>
      <c r="E1125" t="s">
        <v>31</v>
      </c>
      <c r="F1125" t="s">
        <v>63</v>
      </c>
      <c r="G1125" s="23">
        <v>42730</v>
      </c>
      <c r="H1125" t="s">
        <v>5236</v>
      </c>
      <c r="I1125" t="s">
        <v>5237</v>
      </c>
      <c r="J1125" t="s">
        <v>5238</v>
      </c>
    </row>
    <row r="1126" spans="1:10">
      <c r="A1126" t="s">
        <v>5239</v>
      </c>
      <c r="B1126" t="s">
        <v>5239</v>
      </c>
      <c r="C1126" t="s">
        <v>5240</v>
      </c>
      <c r="D1126">
        <v>10</v>
      </c>
      <c r="E1126" t="s">
        <v>27</v>
      </c>
      <c r="F1126" t="s">
        <v>63</v>
      </c>
      <c r="G1126" s="23">
        <v>42242</v>
      </c>
      <c r="H1126" t="s">
        <v>5241</v>
      </c>
      <c r="I1126" t="s">
        <v>5242</v>
      </c>
      <c r="J1126" t="s">
        <v>5243</v>
      </c>
    </row>
    <row r="1127" spans="1:10">
      <c r="A1127" t="s">
        <v>5244</v>
      </c>
      <c r="B1127" t="s">
        <v>5244</v>
      </c>
      <c r="C1127" t="s">
        <v>5245</v>
      </c>
      <c r="D1127">
        <v>7</v>
      </c>
      <c r="E1127" t="s">
        <v>27</v>
      </c>
      <c r="F1127" t="s">
        <v>63</v>
      </c>
      <c r="G1127" s="23">
        <v>42248</v>
      </c>
      <c r="H1127" t="s">
        <v>5246</v>
      </c>
      <c r="I1127" t="s">
        <v>5247</v>
      </c>
      <c r="J1127" t="s">
        <v>5248</v>
      </c>
    </row>
    <row r="1128" spans="1:10">
      <c r="A1128" t="s">
        <v>5249</v>
      </c>
      <c r="B1128" t="s">
        <v>5249</v>
      </c>
      <c r="C1128" t="s">
        <v>1804</v>
      </c>
      <c r="D1128">
        <v>4</v>
      </c>
      <c r="E1128" t="s">
        <v>33</v>
      </c>
      <c r="F1128" t="s">
        <v>57</v>
      </c>
      <c r="G1128" s="23">
        <v>43433</v>
      </c>
      <c r="H1128" t="s">
        <v>5250</v>
      </c>
      <c r="I1128" t="s">
        <v>5251</v>
      </c>
      <c r="J1128" t="s">
        <v>5252</v>
      </c>
    </row>
    <row r="1129" spans="1:10">
      <c r="A1129" t="s">
        <v>5253</v>
      </c>
      <c r="B1129" t="s">
        <v>5253</v>
      </c>
      <c r="C1129" t="s">
        <v>5191</v>
      </c>
      <c r="D1129">
        <v>64</v>
      </c>
      <c r="E1129" t="s">
        <v>29</v>
      </c>
      <c r="F1129" t="s">
        <v>63</v>
      </c>
      <c r="G1129" s="23">
        <v>41598</v>
      </c>
      <c r="H1129" t="s">
        <v>5254</v>
      </c>
      <c r="I1129" t="s">
        <v>5255</v>
      </c>
      <c r="J1129" t="s">
        <v>5256</v>
      </c>
    </row>
    <row r="1130" spans="1:10">
      <c r="A1130" t="s">
        <v>5257</v>
      </c>
      <c r="B1130" t="s">
        <v>5257</v>
      </c>
      <c r="C1130" t="s">
        <v>5191</v>
      </c>
      <c r="D1130">
        <v>75</v>
      </c>
      <c r="E1130" t="s">
        <v>29</v>
      </c>
      <c r="F1130" t="s">
        <v>63</v>
      </c>
      <c r="G1130" s="23">
        <v>41600</v>
      </c>
      <c r="H1130" t="s">
        <v>5258</v>
      </c>
      <c r="I1130" t="s">
        <v>5259</v>
      </c>
      <c r="J1130" t="s">
        <v>5260</v>
      </c>
    </row>
    <row r="1131" spans="1:10">
      <c r="A1131" t="s">
        <v>5261</v>
      </c>
      <c r="B1131" t="s">
        <v>5261</v>
      </c>
      <c r="C1131" t="s">
        <v>4915</v>
      </c>
      <c r="D1131">
        <v>9</v>
      </c>
      <c r="E1131" t="s">
        <v>29</v>
      </c>
      <c r="F1131" t="s">
        <v>63</v>
      </c>
      <c r="G1131" s="23">
        <v>41545</v>
      </c>
      <c r="H1131" t="s">
        <v>5262</v>
      </c>
      <c r="I1131" t="s">
        <v>5263</v>
      </c>
      <c r="J1131" t="s">
        <v>5264</v>
      </c>
    </row>
    <row r="1132" spans="1:10">
      <c r="A1132" t="s">
        <v>5265</v>
      </c>
      <c r="B1132" t="s">
        <v>5265</v>
      </c>
      <c r="C1132" t="s">
        <v>5266</v>
      </c>
      <c r="D1132">
        <v>24</v>
      </c>
      <c r="E1132" t="s">
        <v>29</v>
      </c>
      <c r="F1132" t="s">
        <v>63</v>
      </c>
      <c r="G1132" s="23">
        <v>41856</v>
      </c>
      <c r="H1132" t="s">
        <v>5267</v>
      </c>
      <c r="I1132" t="s">
        <v>5268</v>
      </c>
      <c r="J1132" t="s">
        <v>5269</v>
      </c>
    </row>
    <row r="1133" spans="1:10">
      <c r="A1133" t="s">
        <v>5270</v>
      </c>
      <c r="B1133" t="s">
        <v>5270</v>
      </c>
      <c r="C1133" t="s">
        <v>5271</v>
      </c>
      <c r="D1133">
        <v>15</v>
      </c>
      <c r="E1133" t="s">
        <v>27</v>
      </c>
      <c r="F1133" t="s">
        <v>63</v>
      </c>
      <c r="G1133" s="23">
        <v>41560</v>
      </c>
      <c r="H1133" t="s">
        <v>5272</v>
      </c>
      <c r="I1133" t="s">
        <v>5273</v>
      </c>
      <c r="J1133" t="s">
        <v>5274</v>
      </c>
    </row>
    <row r="1134" spans="1:10">
      <c r="A1134" t="s">
        <v>5275</v>
      </c>
      <c r="B1134" t="s">
        <v>5275</v>
      </c>
      <c r="C1134" t="s">
        <v>5276</v>
      </c>
      <c r="D1134">
        <v>5</v>
      </c>
      <c r="E1134" t="s">
        <v>34</v>
      </c>
      <c r="F1134" t="s">
        <v>57</v>
      </c>
      <c r="G1134" s="23">
        <v>42458</v>
      </c>
      <c r="H1134" t="s">
        <v>5277</v>
      </c>
      <c r="I1134" t="s">
        <v>5278</v>
      </c>
      <c r="J1134" t="s">
        <v>5279</v>
      </c>
    </row>
    <row r="1135" spans="1:10">
      <c r="A1135" t="s">
        <v>5280</v>
      </c>
      <c r="B1135" t="s">
        <v>5280</v>
      </c>
      <c r="C1135" t="s">
        <v>130</v>
      </c>
      <c r="D1135">
        <v>53</v>
      </c>
      <c r="E1135" t="s">
        <v>31</v>
      </c>
      <c r="F1135" t="s">
        <v>63</v>
      </c>
      <c r="G1135" s="23">
        <v>43695</v>
      </c>
      <c r="H1135" t="s">
        <v>5281</v>
      </c>
      <c r="I1135" t="s">
        <v>5282</v>
      </c>
      <c r="J1135" t="s">
        <v>5283</v>
      </c>
    </row>
    <row r="1136" spans="1:10">
      <c r="A1136" t="s">
        <v>5284</v>
      </c>
      <c r="B1136" t="s">
        <v>5284</v>
      </c>
      <c r="C1136" t="s">
        <v>5285</v>
      </c>
      <c r="D1136">
        <v>4</v>
      </c>
      <c r="E1136" t="s">
        <v>29</v>
      </c>
      <c r="F1136" t="s">
        <v>63</v>
      </c>
      <c r="G1136" s="23">
        <v>42111</v>
      </c>
      <c r="H1136" t="s">
        <v>5286</v>
      </c>
      <c r="I1136" t="s">
        <v>5287</v>
      </c>
      <c r="J1136" t="s">
        <v>5288</v>
      </c>
    </row>
    <row r="1137" spans="1:10">
      <c r="A1137" t="s">
        <v>5289</v>
      </c>
      <c r="B1137" t="s">
        <v>5289</v>
      </c>
      <c r="C1137" t="s">
        <v>5290</v>
      </c>
      <c r="D1137">
        <v>5</v>
      </c>
      <c r="E1137" t="s">
        <v>29</v>
      </c>
      <c r="F1137" t="s">
        <v>63</v>
      </c>
      <c r="G1137" s="23">
        <v>42040</v>
      </c>
      <c r="H1137" t="s">
        <v>5291</v>
      </c>
      <c r="I1137" t="s">
        <v>5292</v>
      </c>
      <c r="J1137" t="s">
        <v>5293</v>
      </c>
    </row>
    <row r="1138" spans="1:10">
      <c r="A1138" t="s">
        <v>5294</v>
      </c>
      <c r="B1138" t="s">
        <v>5294</v>
      </c>
      <c r="C1138" t="s">
        <v>5295</v>
      </c>
      <c r="D1138">
        <v>4</v>
      </c>
      <c r="E1138" t="s">
        <v>29</v>
      </c>
      <c r="F1138" t="s">
        <v>63</v>
      </c>
      <c r="G1138" s="23">
        <v>42314</v>
      </c>
      <c r="H1138" t="s">
        <v>5296</v>
      </c>
      <c r="I1138" t="s">
        <v>5297</v>
      </c>
      <c r="J1138" t="s">
        <v>5298</v>
      </c>
    </row>
    <row r="1139" spans="1:10">
      <c r="A1139" t="s">
        <v>5299</v>
      </c>
      <c r="B1139" t="s">
        <v>5299</v>
      </c>
      <c r="C1139" t="s">
        <v>5300</v>
      </c>
      <c r="D1139">
        <v>23</v>
      </c>
      <c r="E1139" t="s">
        <v>27</v>
      </c>
      <c r="F1139" t="s">
        <v>63</v>
      </c>
      <c r="G1139" s="23">
        <v>42512</v>
      </c>
      <c r="H1139" t="s">
        <v>5301</v>
      </c>
      <c r="I1139" t="s">
        <v>5302</v>
      </c>
      <c r="J1139" t="s">
        <v>5303</v>
      </c>
    </row>
    <row r="1140" spans="1:10">
      <c r="A1140" t="s">
        <v>5304</v>
      </c>
      <c r="B1140" t="s">
        <v>5304</v>
      </c>
      <c r="C1140" t="s">
        <v>5204</v>
      </c>
      <c r="D1140">
        <v>8</v>
      </c>
      <c r="E1140" t="s">
        <v>29</v>
      </c>
      <c r="F1140" t="s">
        <v>63</v>
      </c>
      <c r="G1140" s="23">
        <v>42311</v>
      </c>
      <c r="H1140" t="s">
        <v>5305</v>
      </c>
      <c r="I1140" t="s">
        <v>5306</v>
      </c>
      <c r="J1140" t="s">
        <v>5307</v>
      </c>
    </row>
    <row r="1141" spans="1:10">
      <c r="A1141" t="s">
        <v>5308</v>
      </c>
      <c r="B1141" t="s">
        <v>5308</v>
      </c>
      <c r="C1141" t="s">
        <v>3143</v>
      </c>
      <c r="D1141">
        <v>35</v>
      </c>
      <c r="E1141" t="s">
        <v>31</v>
      </c>
      <c r="F1141" t="s">
        <v>57</v>
      </c>
      <c r="G1141" s="23">
        <v>43785</v>
      </c>
      <c r="H1141" t="s">
        <v>5309</v>
      </c>
      <c r="I1141" t="s">
        <v>5310</v>
      </c>
      <c r="J1141" t="s">
        <v>5311</v>
      </c>
    </row>
    <row r="1142" spans="1:10">
      <c r="A1142" t="s">
        <v>5312</v>
      </c>
      <c r="B1142" t="s">
        <v>5312</v>
      </c>
      <c r="C1142" t="s">
        <v>5313</v>
      </c>
      <c r="D1142">
        <v>21</v>
      </c>
      <c r="E1142" t="s">
        <v>29</v>
      </c>
      <c r="F1142" t="s">
        <v>63</v>
      </c>
      <c r="G1142" s="23">
        <v>43157</v>
      </c>
      <c r="H1142" t="s">
        <v>5314</v>
      </c>
      <c r="I1142" t="s">
        <v>5315</v>
      </c>
      <c r="J1142" t="s">
        <v>5316</v>
      </c>
    </row>
    <row r="1143" spans="1:10">
      <c r="A1143" t="s">
        <v>5317</v>
      </c>
      <c r="B1143" t="s">
        <v>5317</v>
      </c>
      <c r="C1143" t="s">
        <v>1464</v>
      </c>
      <c r="D1143">
        <v>5</v>
      </c>
      <c r="E1143" t="s">
        <v>31</v>
      </c>
      <c r="F1143" t="s">
        <v>57</v>
      </c>
      <c r="G1143" s="23">
        <v>45654</v>
      </c>
      <c r="H1143" t="s">
        <v>5318</v>
      </c>
      <c r="I1143" t="s">
        <v>5319</v>
      </c>
      <c r="J1143" t="s">
        <v>5320</v>
      </c>
    </row>
    <row r="1144" spans="1:10">
      <c r="A1144" t="s">
        <v>5321</v>
      </c>
      <c r="B1144" t="s">
        <v>5321</v>
      </c>
      <c r="C1144" t="s">
        <v>1464</v>
      </c>
      <c r="D1144">
        <v>5</v>
      </c>
      <c r="E1144" t="s">
        <v>31</v>
      </c>
      <c r="F1144" t="s">
        <v>57</v>
      </c>
      <c r="G1144" s="23">
        <v>45990</v>
      </c>
      <c r="H1144" t="s">
        <v>5322</v>
      </c>
      <c r="I1144" t="s">
        <v>5323</v>
      </c>
      <c r="J1144" t="s">
        <v>5324</v>
      </c>
    </row>
    <row r="1145" spans="1:10">
      <c r="A1145" t="s">
        <v>5325</v>
      </c>
      <c r="B1145" t="s">
        <v>5325</v>
      </c>
      <c r="C1145" t="s">
        <v>1464</v>
      </c>
      <c r="D1145">
        <v>10</v>
      </c>
      <c r="E1145" t="s">
        <v>31</v>
      </c>
      <c r="F1145" t="s">
        <v>57</v>
      </c>
      <c r="G1145" s="23">
        <v>45455</v>
      </c>
      <c r="H1145" t="s">
        <v>5326</v>
      </c>
      <c r="I1145" t="s">
        <v>5327</v>
      </c>
      <c r="J1145" t="s">
        <v>5328</v>
      </c>
    </row>
    <row r="1146" spans="1:10">
      <c r="A1146" t="s">
        <v>5329</v>
      </c>
      <c r="B1146" t="s">
        <v>5329</v>
      </c>
      <c r="C1146" t="s">
        <v>1464</v>
      </c>
      <c r="D1146">
        <v>16</v>
      </c>
      <c r="E1146" t="s">
        <v>31</v>
      </c>
      <c r="F1146" t="s">
        <v>57</v>
      </c>
      <c r="G1146" s="23">
        <v>45569</v>
      </c>
      <c r="H1146" t="s">
        <v>5330</v>
      </c>
      <c r="I1146" t="s">
        <v>5331</v>
      </c>
      <c r="J1146" t="s">
        <v>5332</v>
      </c>
    </row>
    <row r="1147" spans="1:10">
      <c r="A1147" t="s">
        <v>5333</v>
      </c>
      <c r="B1147" t="s">
        <v>5333</v>
      </c>
      <c r="C1147" t="s">
        <v>1464</v>
      </c>
      <c r="D1147">
        <v>13</v>
      </c>
      <c r="E1147" t="s">
        <v>31</v>
      </c>
      <c r="F1147" t="s">
        <v>57</v>
      </c>
      <c r="G1147" s="23">
        <v>45869</v>
      </c>
      <c r="H1147" t="s">
        <v>5334</v>
      </c>
      <c r="I1147" t="s">
        <v>5335</v>
      </c>
      <c r="J1147" t="s">
        <v>5336</v>
      </c>
    </row>
    <row r="1148" spans="1:10">
      <c r="A1148" t="s">
        <v>5337</v>
      </c>
      <c r="B1148" t="s">
        <v>5337</v>
      </c>
      <c r="C1148" t="s">
        <v>4227</v>
      </c>
      <c r="D1148">
        <v>22</v>
      </c>
      <c r="E1148" t="s">
        <v>29</v>
      </c>
      <c r="F1148" t="s">
        <v>63</v>
      </c>
      <c r="G1148" s="23">
        <v>42294</v>
      </c>
      <c r="H1148" t="s">
        <v>5338</v>
      </c>
      <c r="I1148" t="s">
        <v>5339</v>
      </c>
      <c r="J1148" t="s">
        <v>5340</v>
      </c>
    </row>
    <row r="1149" spans="1:10">
      <c r="A1149" t="s">
        <v>5341</v>
      </c>
      <c r="B1149" t="s">
        <v>5341</v>
      </c>
      <c r="C1149" t="s">
        <v>4137</v>
      </c>
      <c r="D1149">
        <v>80</v>
      </c>
      <c r="E1149" t="s">
        <v>33</v>
      </c>
      <c r="F1149" t="s">
        <v>63</v>
      </c>
      <c r="G1149" s="23">
        <v>42336</v>
      </c>
      <c r="H1149" t="s">
        <v>5342</v>
      </c>
      <c r="I1149" t="s">
        <v>5343</v>
      </c>
      <c r="J1149" t="s">
        <v>5344</v>
      </c>
    </row>
    <row r="1150" spans="1:10">
      <c r="A1150" t="s">
        <v>5345</v>
      </c>
      <c r="B1150" t="s">
        <v>5345</v>
      </c>
      <c r="C1150" t="s">
        <v>1804</v>
      </c>
      <c r="D1150">
        <v>6</v>
      </c>
      <c r="E1150" t="s">
        <v>33</v>
      </c>
      <c r="F1150" t="s">
        <v>63</v>
      </c>
      <c r="G1150" s="23">
        <v>44601</v>
      </c>
      <c r="H1150" t="s">
        <v>5346</v>
      </c>
      <c r="I1150" t="s">
        <v>5347</v>
      </c>
      <c r="J1150" t="s">
        <v>5348</v>
      </c>
    </row>
    <row r="1151" spans="1:10">
      <c r="A1151" t="s">
        <v>5349</v>
      </c>
      <c r="B1151" t="s">
        <v>5349</v>
      </c>
      <c r="C1151" t="s">
        <v>1804</v>
      </c>
      <c r="D1151">
        <v>8</v>
      </c>
      <c r="E1151" t="s">
        <v>33</v>
      </c>
      <c r="F1151" t="s">
        <v>63</v>
      </c>
      <c r="G1151" s="23">
        <v>44565</v>
      </c>
      <c r="H1151" t="s">
        <v>5350</v>
      </c>
      <c r="I1151" t="s">
        <v>5351</v>
      </c>
      <c r="J1151" t="s">
        <v>5352</v>
      </c>
    </row>
    <row r="1152" spans="1:10">
      <c r="A1152" t="s">
        <v>5353</v>
      </c>
      <c r="B1152" t="s">
        <v>5353</v>
      </c>
      <c r="C1152" t="s">
        <v>1804</v>
      </c>
      <c r="D1152">
        <v>8</v>
      </c>
      <c r="E1152" t="s">
        <v>34</v>
      </c>
      <c r="F1152" t="s">
        <v>57</v>
      </c>
      <c r="G1152" s="23">
        <v>45811</v>
      </c>
      <c r="H1152" t="s">
        <v>5354</v>
      </c>
      <c r="I1152" t="s">
        <v>5355</v>
      </c>
      <c r="J1152" t="s">
        <v>5356</v>
      </c>
    </row>
    <row r="1153" spans="1:10">
      <c r="A1153" t="s">
        <v>5357</v>
      </c>
      <c r="B1153" t="s">
        <v>5357</v>
      </c>
      <c r="C1153" t="s">
        <v>1804</v>
      </c>
      <c r="D1153">
        <v>5</v>
      </c>
      <c r="E1153" t="s">
        <v>33</v>
      </c>
      <c r="F1153" t="s">
        <v>63</v>
      </c>
      <c r="G1153" s="23">
        <v>44390</v>
      </c>
      <c r="H1153" t="s">
        <v>5358</v>
      </c>
      <c r="I1153" t="s">
        <v>5359</v>
      </c>
      <c r="J1153" t="s">
        <v>5360</v>
      </c>
    </row>
    <row r="1154" spans="1:10">
      <c r="A1154" t="s">
        <v>5361</v>
      </c>
      <c r="B1154" t="s">
        <v>5361</v>
      </c>
      <c r="C1154" t="s">
        <v>5362</v>
      </c>
      <c r="D1154">
        <v>35</v>
      </c>
      <c r="E1154" t="s">
        <v>29</v>
      </c>
      <c r="F1154" t="s">
        <v>63</v>
      </c>
      <c r="G1154" s="23">
        <v>44904</v>
      </c>
      <c r="H1154" t="s">
        <v>5363</v>
      </c>
      <c r="I1154" t="s">
        <v>5364</v>
      </c>
      <c r="J1154" t="s">
        <v>5365</v>
      </c>
    </row>
    <row r="1155" spans="1:10">
      <c r="A1155" t="s">
        <v>5366</v>
      </c>
      <c r="B1155" t="s">
        <v>5366</v>
      </c>
      <c r="C1155" t="s">
        <v>83</v>
      </c>
      <c r="D1155">
        <v>7</v>
      </c>
      <c r="E1155" t="s">
        <v>29</v>
      </c>
      <c r="F1155" t="s">
        <v>63</v>
      </c>
      <c r="G1155" s="23">
        <v>41644</v>
      </c>
      <c r="H1155" t="s">
        <v>5367</v>
      </c>
      <c r="I1155" t="s">
        <v>5368</v>
      </c>
      <c r="J1155" t="s">
        <v>5369</v>
      </c>
    </row>
    <row r="1156" spans="1:10">
      <c r="A1156" t="s">
        <v>5370</v>
      </c>
      <c r="B1156" t="s">
        <v>5370</v>
      </c>
      <c r="C1156" t="s">
        <v>641</v>
      </c>
      <c r="D1156">
        <v>16</v>
      </c>
      <c r="E1156" t="s">
        <v>35</v>
      </c>
      <c r="F1156" t="s">
        <v>57</v>
      </c>
      <c r="G1156" s="23">
        <v>44586</v>
      </c>
      <c r="H1156" t="s">
        <v>5371</v>
      </c>
      <c r="I1156" t="s">
        <v>5372</v>
      </c>
      <c r="J1156" t="s">
        <v>5373</v>
      </c>
    </row>
    <row r="1157" spans="1:10">
      <c r="A1157" t="s">
        <v>5374</v>
      </c>
      <c r="B1157" t="s">
        <v>5374</v>
      </c>
      <c r="C1157" t="s">
        <v>5375</v>
      </c>
      <c r="D1157">
        <v>62</v>
      </c>
      <c r="E1157" t="s">
        <v>35</v>
      </c>
      <c r="F1157" t="s">
        <v>57</v>
      </c>
      <c r="G1157" s="23">
        <v>45951</v>
      </c>
      <c r="H1157" t="s">
        <v>5376</v>
      </c>
      <c r="I1157" t="s">
        <v>5377</v>
      </c>
      <c r="J1157" t="s">
        <v>5378</v>
      </c>
    </row>
    <row r="1158" spans="1:10">
      <c r="A1158" t="s">
        <v>5379</v>
      </c>
      <c r="B1158" t="s">
        <v>5379</v>
      </c>
      <c r="C1158" t="s">
        <v>1848</v>
      </c>
      <c r="D1158">
        <v>15</v>
      </c>
      <c r="E1158" t="s">
        <v>34</v>
      </c>
      <c r="F1158" t="s">
        <v>57</v>
      </c>
      <c r="G1158" s="23">
        <v>45673</v>
      </c>
      <c r="H1158" t="s">
        <v>5380</v>
      </c>
      <c r="I1158" t="s">
        <v>5381</v>
      </c>
      <c r="J1158" t="s">
        <v>5382</v>
      </c>
    </row>
    <row r="1159" spans="1:10">
      <c r="A1159" t="s">
        <v>5383</v>
      </c>
      <c r="B1159" t="s">
        <v>5383</v>
      </c>
      <c r="C1159" t="s">
        <v>1848</v>
      </c>
      <c r="D1159">
        <v>15</v>
      </c>
      <c r="E1159" t="s">
        <v>35</v>
      </c>
      <c r="F1159" t="s">
        <v>57</v>
      </c>
      <c r="G1159" s="23">
        <v>45968</v>
      </c>
      <c r="H1159" t="s">
        <v>5384</v>
      </c>
      <c r="I1159" t="s">
        <v>5385</v>
      </c>
      <c r="J1159" t="s">
        <v>5386</v>
      </c>
    </row>
    <row r="1160" spans="1:10">
      <c r="A1160" t="s">
        <v>5387</v>
      </c>
      <c r="B1160" t="s">
        <v>5387</v>
      </c>
      <c r="C1160" t="s">
        <v>5388</v>
      </c>
      <c r="D1160">
        <v>46</v>
      </c>
      <c r="E1160" t="s">
        <v>29</v>
      </c>
      <c r="F1160" t="s">
        <v>63</v>
      </c>
      <c r="G1160" s="23">
        <v>41590</v>
      </c>
      <c r="H1160" t="s">
        <v>5389</v>
      </c>
      <c r="I1160" t="s">
        <v>5390</v>
      </c>
      <c r="J1160" t="s">
        <v>5391</v>
      </c>
    </row>
    <row r="1161" spans="1:10">
      <c r="A1161" t="s">
        <v>5392</v>
      </c>
      <c r="B1161" t="s">
        <v>5392</v>
      </c>
      <c r="C1161" t="s">
        <v>504</v>
      </c>
      <c r="D1161">
        <v>16</v>
      </c>
      <c r="E1161" t="s">
        <v>29</v>
      </c>
      <c r="F1161" t="s">
        <v>63</v>
      </c>
      <c r="G1161" s="23">
        <v>42209</v>
      </c>
      <c r="H1161" t="s">
        <v>5393</v>
      </c>
      <c r="I1161" t="s">
        <v>5394</v>
      </c>
      <c r="J1161" t="s">
        <v>5395</v>
      </c>
    </row>
    <row r="1162" spans="1:10">
      <c r="A1162" t="s">
        <v>5396</v>
      </c>
      <c r="B1162" t="s">
        <v>5396</v>
      </c>
      <c r="C1162" t="s">
        <v>5397</v>
      </c>
      <c r="D1162">
        <v>6</v>
      </c>
      <c r="E1162" t="s">
        <v>31</v>
      </c>
      <c r="F1162" t="s">
        <v>63</v>
      </c>
      <c r="G1162" s="23">
        <v>45377</v>
      </c>
      <c r="H1162" t="s">
        <v>5398</v>
      </c>
      <c r="I1162" t="s">
        <v>5399</v>
      </c>
      <c r="J1162" t="s">
        <v>5400</v>
      </c>
    </row>
    <row r="1163" spans="1:10">
      <c r="A1163" t="s">
        <v>5401</v>
      </c>
      <c r="B1163" t="s">
        <v>5401</v>
      </c>
      <c r="C1163" t="s">
        <v>5402</v>
      </c>
      <c r="D1163">
        <v>11</v>
      </c>
      <c r="E1163" t="s">
        <v>31</v>
      </c>
      <c r="F1163" t="s">
        <v>63</v>
      </c>
      <c r="G1163" s="23">
        <v>45022</v>
      </c>
      <c r="H1163" t="s">
        <v>5403</v>
      </c>
      <c r="I1163" t="s">
        <v>5404</v>
      </c>
      <c r="J1163" t="s">
        <v>5405</v>
      </c>
    </row>
    <row r="1164" spans="1:10">
      <c r="A1164" t="s">
        <v>5406</v>
      </c>
      <c r="B1164" t="s">
        <v>5406</v>
      </c>
      <c r="C1164" t="s">
        <v>5407</v>
      </c>
      <c r="D1164">
        <v>6</v>
      </c>
      <c r="E1164" t="s">
        <v>27</v>
      </c>
      <c r="F1164" t="s">
        <v>63</v>
      </c>
      <c r="G1164" s="23">
        <v>42252</v>
      </c>
      <c r="H1164" t="s">
        <v>5408</v>
      </c>
      <c r="I1164" t="s">
        <v>5409</v>
      </c>
      <c r="J1164" t="s">
        <v>5410</v>
      </c>
    </row>
    <row r="1165" spans="1:10">
      <c r="A1165" t="s">
        <v>5411</v>
      </c>
      <c r="B1165" t="s">
        <v>5411</v>
      </c>
      <c r="C1165" t="s">
        <v>5412</v>
      </c>
      <c r="D1165">
        <v>15</v>
      </c>
      <c r="E1165" t="s">
        <v>29</v>
      </c>
      <c r="F1165" t="s">
        <v>63</v>
      </c>
      <c r="G1165" s="23">
        <v>42213</v>
      </c>
      <c r="H1165" t="s">
        <v>5413</v>
      </c>
      <c r="I1165" t="s">
        <v>5414</v>
      </c>
      <c r="J1165" t="s">
        <v>5415</v>
      </c>
    </row>
    <row r="1166" spans="1:10">
      <c r="A1166" t="s">
        <v>5416</v>
      </c>
      <c r="B1166" t="s">
        <v>5416</v>
      </c>
      <c r="C1166" t="s">
        <v>5417</v>
      </c>
      <c r="D1166">
        <v>77</v>
      </c>
      <c r="E1166" t="s">
        <v>31</v>
      </c>
      <c r="F1166" t="s">
        <v>63</v>
      </c>
      <c r="G1166" s="23">
        <v>45438</v>
      </c>
      <c r="H1166" t="s">
        <v>5418</v>
      </c>
      <c r="I1166" t="s">
        <v>5419</v>
      </c>
      <c r="J1166" t="s">
        <v>5420</v>
      </c>
    </row>
    <row r="1167" spans="1:10">
      <c r="A1167" t="s">
        <v>5421</v>
      </c>
      <c r="B1167" t="s">
        <v>5421</v>
      </c>
      <c r="C1167" t="s">
        <v>5417</v>
      </c>
      <c r="D1167">
        <v>59</v>
      </c>
      <c r="E1167" t="s">
        <v>29</v>
      </c>
      <c r="F1167" t="s">
        <v>63</v>
      </c>
      <c r="G1167" s="23">
        <v>43281</v>
      </c>
      <c r="H1167" t="s">
        <v>5422</v>
      </c>
      <c r="I1167" t="s">
        <v>5423</v>
      </c>
      <c r="J1167" t="s">
        <v>5424</v>
      </c>
    </row>
    <row r="1168" spans="1:10">
      <c r="A1168" t="s">
        <v>5425</v>
      </c>
      <c r="B1168" t="s">
        <v>5426</v>
      </c>
      <c r="C1168" t="s">
        <v>5427</v>
      </c>
      <c r="D1168">
        <v>8</v>
      </c>
      <c r="E1168" t="s">
        <v>27</v>
      </c>
      <c r="F1168" t="s">
        <v>63</v>
      </c>
      <c r="G1168" s="23">
        <v>42221</v>
      </c>
      <c r="H1168" t="s">
        <v>5428</v>
      </c>
      <c r="I1168" t="s">
        <v>5429</v>
      </c>
      <c r="J1168" t="s">
        <v>5430</v>
      </c>
    </row>
    <row r="1169" spans="1:10">
      <c r="A1169" t="s">
        <v>5431</v>
      </c>
      <c r="B1169" t="s">
        <v>5426</v>
      </c>
      <c r="C1169" t="s">
        <v>2401</v>
      </c>
      <c r="D1169">
        <v>27</v>
      </c>
      <c r="E1169" t="s">
        <v>29</v>
      </c>
      <c r="F1169" t="s">
        <v>63</v>
      </c>
      <c r="G1169" s="23">
        <v>42237</v>
      </c>
      <c r="H1169" t="s">
        <v>5432</v>
      </c>
      <c r="I1169" t="s">
        <v>5433</v>
      </c>
      <c r="J1169" t="s">
        <v>5434</v>
      </c>
    </row>
    <row r="1170" spans="1:10">
      <c r="A1170" t="s">
        <v>5435</v>
      </c>
      <c r="B1170" t="s">
        <v>5435</v>
      </c>
      <c r="C1170" t="s">
        <v>2401</v>
      </c>
      <c r="D1170">
        <v>6</v>
      </c>
      <c r="E1170" t="s">
        <v>27</v>
      </c>
      <c r="F1170" t="s">
        <v>63</v>
      </c>
      <c r="G1170" s="23">
        <v>42587</v>
      </c>
      <c r="H1170" t="s">
        <v>5436</v>
      </c>
      <c r="I1170" t="s">
        <v>5437</v>
      </c>
      <c r="J1170" t="s">
        <v>5438</v>
      </c>
    </row>
    <row r="1171" spans="1:10">
      <c r="A1171" t="s">
        <v>5439</v>
      </c>
      <c r="B1171" t="s">
        <v>5439</v>
      </c>
      <c r="C1171" t="s">
        <v>5440</v>
      </c>
      <c r="D1171">
        <v>1</v>
      </c>
      <c r="E1171" t="s">
        <v>31</v>
      </c>
      <c r="F1171" t="s">
        <v>63</v>
      </c>
      <c r="G1171" s="23">
        <v>42005</v>
      </c>
      <c r="H1171" t="s">
        <v>5441</v>
      </c>
      <c r="I1171" t="s">
        <v>5442</v>
      </c>
      <c r="J1171" t="s">
        <v>5443</v>
      </c>
    </row>
    <row r="1172" spans="1:10">
      <c r="A1172" t="s">
        <v>5444</v>
      </c>
      <c r="B1172" t="s">
        <v>5444</v>
      </c>
      <c r="C1172" t="s">
        <v>278</v>
      </c>
      <c r="D1172">
        <v>17</v>
      </c>
      <c r="E1172" t="s">
        <v>33</v>
      </c>
      <c r="F1172" t="s">
        <v>57</v>
      </c>
      <c r="G1172" s="23">
        <v>45182</v>
      </c>
      <c r="H1172" t="s">
        <v>5445</v>
      </c>
      <c r="I1172" t="s">
        <v>5446</v>
      </c>
      <c r="J1172" t="s">
        <v>5447</v>
      </c>
    </row>
    <row r="1173" spans="1:10">
      <c r="A1173" t="s">
        <v>5448</v>
      </c>
      <c r="B1173" t="s">
        <v>5448</v>
      </c>
      <c r="C1173" t="s">
        <v>2359</v>
      </c>
      <c r="D1173">
        <v>19</v>
      </c>
      <c r="E1173" t="s">
        <v>34</v>
      </c>
      <c r="F1173" t="s">
        <v>57</v>
      </c>
      <c r="G1173" s="23">
        <v>45399</v>
      </c>
      <c r="H1173" t="s">
        <v>5449</v>
      </c>
      <c r="I1173" t="s">
        <v>5450</v>
      </c>
      <c r="J1173" t="s">
        <v>5451</v>
      </c>
    </row>
    <row r="1174" spans="1:10">
      <c r="A1174" t="s">
        <v>5452</v>
      </c>
      <c r="B1174" t="s">
        <v>5452</v>
      </c>
      <c r="C1174" t="s">
        <v>646</v>
      </c>
      <c r="D1174">
        <v>10</v>
      </c>
      <c r="E1174" t="s">
        <v>35</v>
      </c>
      <c r="F1174" t="s">
        <v>57</v>
      </c>
      <c r="G1174" s="23">
        <v>45022</v>
      </c>
      <c r="H1174" t="s">
        <v>5453</v>
      </c>
      <c r="I1174" t="s">
        <v>5454</v>
      </c>
      <c r="J1174" t="s">
        <v>5455</v>
      </c>
    </row>
    <row r="1175" spans="1:10">
      <c r="A1175" t="s">
        <v>5456</v>
      </c>
      <c r="B1175" t="s">
        <v>5456</v>
      </c>
      <c r="C1175" t="s">
        <v>1976</v>
      </c>
      <c r="D1175">
        <v>7</v>
      </c>
      <c r="E1175" t="s">
        <v>33</v>
      </c>
      <c r="F1175" t="s">
        <v>57</v>
      </c>
      <c r="G1175" s="23">
        <v>44502</v>
      </c>
      <c r="H1175" t="s">
        <v>5457</v>
      </c>
      <c r="I1175" t="s">
        <v>5458</v>
      </c>
      <c r="J1175" t="s">
        <v>5459</v>
      </c>
    </row>
    <row r="1176" spans="1:10">
      <c r="A1176" t="s">
        <v>5460</v>
      </c>
      <c r="B1176" t="s">
        <v>5460</v>
      </c>
      <c r="C1176" t="s">
        <v>5461</v>
      </c>
      <c r="D1176">
        <v>0</v>
      </c>
      <c r="E1176" t="s">
        <v>29</v>
      </c>
      <c r="F1176" t="s">
        <v>63</v>
      </c>
      <c r="G1176" s="23">
        <v>42113</v>
      </c>
      <c r="H1176" t="s">
        <v>5462</v>
      </c>
      <c r="I1176" t="s">
        <v>5463</v>
      </c>
      <c r="J1176" t="s">
        <v>5464</v>
      </c>
    </row>
    <row r="1177" spans="1:10">
      <c r="A1177" t="s">
        <v>5465</v>
      </c>
      <c r="B1177" t="s">
        <v>5465</v>
      </c>
      <c r="C1177" t="s">
        <v>5466</v>
      </c>
      <c r="D1177">
        <v>25</v>
      </c>
      <c r="E1177" t="s">
        <v>33</v>
      </c>
      <c r="F1177" t="s">
        <v>57</v>
      </c>
      <c r="G1177" s="23">
        <v>45350</v>
      </c>
      <c r="H1177" t="s">
        <v>5467</v>
      </c>
      <c r="I1177" t="s">
        <v>5468</v>
      </c>
      <c r="J1177" t="s">
        <v>5469</v>
      </c>
    </row>
    <row r="1178" spans="1:10">
      <c r="A1178" t="s">
        <v>5470</v>
      </c>
      <c r="B1178" t="s">
        <v>5470</v>
      </c>
      <c r="C1178" t="s">
        <v>5471</v>
      </c>
      <c r="D1178">
        <v>7</v>
      </c>
      <c r="E1178" t="s">
        <v>36</v>
      </c>
      <c r="F1178" t="s">
        <v>57</v>
      </c>
      <c r="G1178" s="23">
        <v>44148</v>
      </c>
      <c r="H1178" t="s">
        <v>5472</v>
      </c>
      <c r="I1178" t="s">
        <v>5473</v>
      </c>
      <c r="J1178" t="s">
        <v>5474</v>
      </c>
    </row>
    <row r="1179" spans="1:10">
      <c r="A1179" t="s">
        <v>5475</v>
      </c>
      <c r="B1179" t="s">
        <v>5475</v>
      </c>
      <c r="C1179" t="s">
        <v>2706</v>
      </c>
      <c r="D1179">
        <v>26</v>
      </c>
      <c r="E1179" t="s">
        <v>34</v>
      </c>
      <c r="F1179" t="s">
        <v>57</v>
      </c>
      <c r="G1179" s="23">
        <v>45436</v>
      </c>
      <c r="H1179" t="s">
        <v>5476</v>
      </c>
      <c r="I1179" t="s">
        <v>5477</v>
      </c>
      <c r="J1179" t="s">
        <v>5478</v>
      </c>
    </row>
    <row r="1180" spans="1:10">
      <c r="A1180" t="s">
        <v>5479</v>
      </c>
      <c r="B1180" t="s">
        <v>5479</v>
      </c>
      <c r="C1180" t="s">
        <v>5480</v>
      </c>
      <c r="D1180">
        <v>12</v>
      </c>
      <c r="E1180" t="s">
        <v>35</v>
      </c>
      <c r="F1180" t="s">
        <v>57</v>
      </c>
      <c r="G1180" s="23">
        <v>44373</v>
      </c>
      <c r="H1180" t="s">
        <v>5481</v>
      </c>
      <c r="I1180" t="s">
        <v>5482</v>
      </c>
      <c r="J1180" t="s">
        <v>5483</v>
      </c>
    </row>
    <row r="1181" spans="1:10">
      <c r="A1181" t="s">
        <v>5484</v>
      </c>
      <c r="B1181" t="s">
        <v>5484</v>
      </c>
      <c r="C1181" t="s">
        <v>2165</v>
      </c>
      <c r="D1181">
        <v>0</v>
      </c>
      <c r="E1181" t="s">
        <v>33</v>
      </c>
      <c r="F1181" t="s">
        <v>57</v>
      </c>
      <c r="G1181" s="23">
        <v>44370</v>
      </c>
      <c r="H1181" t="s">
        <v>5485</v>
      </c>
      <c r="I1181" t="s">
        <v>5486</v>
      </c>
      <c r="J1181" t="s">
        <v>5487</v>
      </c>
    </row>
    <row r="1182" spans="1:10">
      <c r="A1182" t="s">
        <v>5488</v>
      </c>
      <c r="B1182" t="s">
        <v>5488</v>
      </c>
      <c r="C1182" t="s">
        <v>3315</v>
      </c>
      <c r="D1182">
        <v>12</v>
      </c>
      <c r="E1182" t="s">
        <v>35</v>
      </c>
      <c r="F1182" t="s">
        <v>3138</v>
      </c>
      <c r="G1182" s="23">
        <v>44145</v>
      </c>
      <c r="H1182" t="s">
        <v>5489</v>
      </c>
      <c r="I1182" t="s">
        <v>5490</v>
      </c>
      <c r="J1182" t="s">
        <v>5491</v>
      </c>
    </row>
    <row r="1183" spans="1:10">
      <c r="A1183" t="s">
        <v>5492</v>
      </c>
      <c r="B1183" t="s">
        <v>5492</v>
      </c>
      <c r="C1183" t="s">
        <v>4217</v>
      </c>
      <c r="D1183">
        <v>8</v>
      </c>
      <c r="E1183" t="s">
        <v>29</v>
      </c>
      <c r="F1183" t="s">
        <v>63</v>
      </c>
      <c r="G1183" s="23">
        <v>44873</v>
      </c>
      <c r="H1183" t="s">
        <v>5493</v>
      </c>
      <c r="I1183" t="s">
        <v>5494</v>
      </c>
      <c r="J1183" t="s">
        <v>5495</v>
      </c>
    </row>
    <row r="1184" spans="1:10">
      <c r="A1184" t="s">
        <v>5496</v>
      </c>
      <c r="B1184" t="s">
        <v>5496</v>
      </c>
      <c r="C1184" t="s">
        <v>5497</v>
      </c>
      <c r="D1184">
        <v>4</v>
      </c>
      <c r="E1184" t="s">
        <v>31</v>
      </c>
      <c r="F1184" t="s">
        <v>57</v>
      </c>
      <c r="G1184" s="23">
        <v>44944</v>
      </c>
      <c r="H1184" t="s">
        <v>5498</v>
      </c>
      <c r="I1184" t="s">
        <v>5499</v>
      </c>
      <c r="J1184" t="s">
        <v>5500</v>
      </c>
    </row>
    <row r="1185" spans="1:10">
      <c r="A1185" t="s">
        <v>5501</v>
      </c>
      <c r="B1185" t="s">
        <v>5501</v>
      </c>
      <c r="C1185" t="s">
        <v>2245</v>
      </c>
      <c r="D1185">
        <v>13</v>
      </c>
      <c r="E1185" t="s">
        <v>33</v>
      </c>
      <c r="F1185" t="s">
        <v>63</v>
      </c>
      <c r="G1185" s="23">
        <v>44134</v>
      </c>
      <c r="H1185" t="s">
        <v>5502</v>
      </c>
      <c r="I1185" t="s">
        <v>5503</v>
      </c>
      <c r="J1185" t="s">
        <v>5504</v>
      </c>
    </row>
    <row r="1186" spans="1:10">
      <c r="A1186" t="s">
        <v>5505</v>
      </c>
      <c r="B1186" t="s">
        <v>5505</v>
      </c>
      <c r="C1186" t="s">
        <v>2030</v>
      </c>
      <c r="D1186">
        <v>6</v>
      </c>
      <c r="E1186" t="s">
        <v>33</v>
      </c>
      <c r="F1186" t="s">
        <v>63</v>
      </c>
      <c r="G1186" s="23">
        <v>45470</v>
      </c>
      <c r="H1186" t="s">
        <v>5506</v>
      </c>
      <c r="I1186" t="s">
        <v>5507</v>
      </c>
      <c r="J1186" t="s">
        <v>5508</v>
      </c>
    </row>
    <row r="1187" spans="1:10">
      <c r="A1187" t="s">
        <v>5509</v>
      </c>
      <c r="B1187" t="s">
        <v>5509</v>
      </c>
      <c r="C1187" t="s">
        <v>2483</v>
      </c>
      <c r="D1187">
        <v>1</v>
      </c>
      <c r="E1187" t="s">
        <v>33</v>
      </c>
      <c r="F1187" t="s">
        <v>89</v>
      </c>
      <c r="G1187" s="23">
        <v>42772</v>
      </c>
      <c r="H1187" t="s">
        <v>5510</v>
      </c>
      <c r="I1187" t="s">
        <v>5511</v>
      </c>
      <c r="J1187" t="s">
        <v>5512</v>
      </c>
    </row>
    <row r="1188" spans="1:10">
      <c r="A1188" t="s">
        <v>5513</v>
      </c>
      <c r="B1188" t="s">
        <v>5513</v>
      </c>
      <c r="C1188" t="s">
        <v>1996</v>
      </c>
      <c r="D1188">
        <v>13</v>
      </c>
      <c r="E1188" t="s">
        <v>29</v>
      </c>
      <c r="F1188" t="s">
        <v>63</v>
      </c>
      <c r="G1188" s="23">
        <v>42741</v>
      </c>
      <c r="H1188" t="s">
        <v>5514</v>
      </c>
      <c r="I1188" t="s">
        <v>5515</v>
      </c>
      <c r="J1188" t="s">
        <v>5516</v>
      </c>
    </row>
    <row r="1189" spans="1:10">
      <c r="A1189" t="s">
        <v>5517</v>
      </c>
      <c r="B1189" t="s">
        <v>5517</v>
      </c>
      <c r="C1189" t="s">
        <v>5518</v>
      </c>
      <c r="D1189">
        <v>18</v>
      </c>
      <c r="E1189" t="s">
        <v>33</v>
      </c>
      <c r="F1189" t="s">
        <v>57</v>
      </c>
      <c r="G1189" s="23">
        <v>44183</v>
      </c>
      <c r="H1189" t="s">
        <v>5519</v>
      </c>
      <c r="I1189" t="s">
        <v>5520</v>
      </c>
      <c r="J1189" t="s">
        <v>5521</v>
      </c>
    </row>
    <row r="1190" spans="1:10">
      <c r="A1190" t="s">
        <v>5522</v>
      </c>
      <c r="B1190" t="s">
        <v>5522</v>
      </c>
      <c r="C1190" t="s">
        <v>2573</v>
      </c>
      <c r="D1190">
        <v>10</v>
      </c>
      <c r="E1190" t="s">
        <v>35</v>
      </c>
      <c r="F1190" t="s">
        <v>57</v>
      </c>
      <c r="G1190" s="23">
        <v>45370</v>
      </c>
      <c r="H1190" t="s">
        <v>5523</v>
      </c>
      <c r="I1190" t="s">
        <v>5524</v>
      </c>
      <c r="J1190" t="s">
        <v>5525</v>
      </c>
    </row>
    <row r="1191" spans="1:10">
      <c r="A1191" t="s">
        <v>5526</v>
      </c>
      <c r="B1191" t="s">
        <v>5526</v>
      </c>
      <c r="C1191" t="s">
        <v>2465</v>
      </c>
      <c r="D1191">
        <v>15</v>
      </c>
      <c r="E1191" t="s">
        <v>33</v>
      </c>
      <c r="F1191" t="s">
        <v>57</v>
      </c>
      <c r="G1191" s="23">
        <v>44054</v>
      </c>
      <c r="H1191" t="s">
        <v>5527</v>
      </c>
      <c r="I1191" t="s">
        <v>5528</v>
      </c>
      <c r="J1191" t="s">
        <v>5529</v>
      </c>
    </row>
    <row r="1192" spans="1:10">
      <c r="A1192" t="s">
        <v>5530</v>
      </c>
      <c r="B1192" t="s">
        <v>5530</v>
      </c>
      <c r="C1192" t="s">
        <v>1932</v>
      </c>
      <c r="D1192">
        <v>3</v>
      </c>
      <c r="E1192" t="s">
        <v>35</v>
      </c>
      <c r="F1192" t="s">
        <v>57</v>
      </c>
      <c r="G1192" s="23">
        <v>45118</v>
      </c>
      <c r="H1192" t="s">
        <v>5531</v>
      </c>
      <c r="I1192" t="s">
        <v>5532</v>
      </c>
      <c r="J1192" t="s">
        <v>5533</v>
      </c>
    </row>
    <row r="1193" spans="1:10">
      <c r="A1193" t="s">
        <v>5534</v>
      </c>
      <c r="B1193" t="s">
        <v>5534</v>
      </c>
      <c r="C1193" t="s">
        <v>5471</v>
      </c>
      <c r="D1193">
        <v>1</v>
      </c>
      <c r="E1193" t="s">
        <v>36</v>
      </c>
      <c r="F1193" t="s">
        <v>57</v>
      </c>
      <c r="G1193" s="23">
        <v>44467</v>
      </c>
      <c r="H1193" t="s">
        <v>5535</v>
      </c>
      <c r="I1193" t="s">
        <v>5536</v>
      </c>
      <c r="J1193" t="s">
        <v>5537</v>
      </c>
    </row>
    <row r="1194" spans="1:10">
      <c r="A1194" t="s">
        <v>5538</v>
      </c>
      <c r="B1194" t="s">
        <v>5538</v>
      </c>
      <c r="C1194" t="s">
        <v>5539</v>
      </c>
      <c r="D1194">
        <v>5</v>
      </c>
      <c r="E1194" t="s">
        <v>31</v>
      </c>
      <c r="F1194" t="s">
        <v>115</v>
      </c>
      <c r="G1194" s="23">
        <v>43917</v>
      </c>
      <c r="H1194" t="s">
        <v>5540</v>
      </c>
      <c r="I1194" t="s">
        <v>5541</v>
      </c>
      <c r="J1194" t="s">
        <v>5542</v>
      </c>
    </row>
    <row r="1195" spans="1:10">
      <c r="A1195" t="s">
        <v>5543</v>
      </c>
      <c r="B1195" t="s">
        <v>5543</v>
      </c>
      <c r="C1195" t="s">
        <v>243</v>
      </c>
      <c r="D1195">
        <v>6</v>
      </c>
      <c r="E1195" t="s">
        <v>29</v>
      </c>
      <c r="F1195" t="s">
        <v>63</v>
      </c>
      <c r="G1195" s="23">
        <v>43432</v>
      </c>
      <c r="H1195" t="s">
        <v>5544</v>
      </c>
      <c r="I1195" t="s">
        <v>5545</v>
      </c>
      <c r="J1195" t="s">
        <v>5546</v>
      </c>
    </row>
    <row r="1196" spans="1:10">
      <c r="A1196" t="s">
        <v>5547</v>
      </c>
      <c r="B1196" t="s">
        <v>5547</v>
      </c>
      <c r="C1196" t="s">
        <v>243</v>
      </c>
      <c r="D1196">
        <v>12</v>
      </c>
      <c r="E1196" t="s">
        <v>29</v>
      </c>
      <c r="F1196" t="s">
        <v>63</v>
      </c>
      <c r="G1196" s="23">
        <v>43385</v>
      </c>
      <c r="H1196" t="s">
        <v>5548</v>
      </c>
      <c r="I1196" t="s">
        <v>5549</v>
      </c>
      <c r="J1196" t="s">
        <v>5550</v>
      </c>
    </row>
    <row r="1197" spans="1:10">
      <c r="A1197" t="s">
        <v>5551</v>
      </c>
      <c r="B1197" t="s">
        <v>5551</v>
      </c>
      <c r="C1197" t="s">
        <v>243</v>
      </c>
      <c r="D1197">
        <v>10</v>
      </c>
      <c r="E1197" t="s">
        <v>29</v>
      </c>
      <c r="F1197" t="s">
        <v>63</v>
      </c>
      <c r="G1197" s="23">
        <v>43474</v>
      </c>
      <c r="H1197" t="s">
        <v>5552</v>
      </c>
      <c r="I1197" t="s">
        <v>5553</v>
      </c>
      <c r="J1197" t="s">
        <v>5554</v>
      </c>
    </row>
    <row r="1198" spans="1:10">
      <c r="A1198" t="s">
        <v>5555</v>
      </c>
      <c r="B1198" t="s">
        <v>5555</v>
      </c>
      <c r="C1198" t="s">
        <v>243</v>
      </c>
      <c r="D1198">
        <v>11</v>
      </c>
      <c r="E1198" t="s">
        <v>29</v>
      </c>
      <c r="F1198" t="s">
        <v>63</v>
      </c>
      <c r="G1198" s="23">
        <v>43586</v>
      </c>
      <c r="H1198" t="s">
        <v>5556</v>
      </c>
      <c r="I1198" t="s">
        <v>5557</v>
      </c>
      <c r="J1198" t="s">
        <v>5558</v>
      </c>
    </row>
    <row r="1199" spans="1:10">
      <c r="A1199" t="s">
        <v>5559</v>
      </c>
      <c r="B1199" t="s">
        <v>5559</v>
      </c>
      <c r="C1199" t="s">
        <v>2011</v>
      </c>
      <c r="D1199">
        <v>20</v>
      </c>
      <c r="E1199" t="s">
        <v>35</v>
      </c>
      <c r="F1199" t="s">
        <v>57</v>
      </c>
      <c r="G1199" s="23">
        <v>44208</v>
      </c>
      <c r="H1199" t="s">
        <v>5560</v>
      </c>
      <c r="I1199" t="s">
        <v>5561</v>
      </c>
      <c r="J1199" t="s">
        <v>5562</v>
      </c>
    </row>
    <row r="1200" spans="1:10">
      <c r="A1200" t="s">
        <v>5563</v>
      </c>
      <c r="B1200" t="s">
        <v>5563</v>
      </c>
      <c r="C1200" t="s">
        <v>5564</v>
      </c>
      <c r="D1200">
        <v>40</v>
      </c>
      <c r="E1200" t="s">
        <v>29</v>
      </c>
      <c r="F1200" t="s">
        <v>2433</v>
      </c>
      <c r="G1200" s="23">
        <v>45537</v>
      </c>
      <c r="H1200" t="s">
        <v>5565</v>
      </c>
      <c r="I1200" t="s">
        <v>5566</v>
      </c>
      <c r="J1200" t="s">
        <v>5567</v>
      </c>
    </row>
    <row r="1201" spans="1:10">
      <c r="A1201" t="s">
        <v>5568</v>
      </c>
      <c r="B1201" t="s">
        <v>5568</v>
      </c>
      <c r="C1201" t="s">
        <v>5569</v>
      </c>
      <c r="D1201">
        <v>43</v>
      </c>
      <c r="E1201" t="s">
        <v>33</v>
      </c>
      <c r="F1201" t="s">
        <v>63</v>
      </c>
      <c r="G1201" s="23">
        <v>43217</v>
      </c>
      <c r="H1201" t="s">
        <v>5570</v>
      </c>
      <c r="I1201" t="s">
        <v>5571</v>
      </c>
      <c r="J1201" t="s">
        <v>5572</v>
      </c>
    </row>
    <row r="1202" spans="1:10">
      <c r="A1202" t="s">
        <v>5573</v>
      </c>
      <c r="B1202" t="s">
        <v>5573</v>
      </c>
      <c r="C1202" t="s">
        <v>5574</v>
      </c>
      <c r="D1202">
        <v>8</v>
      </c>
      <c r="E1202" t="s">
        <v>27</v>
      </c>
      <c r="F1202" t="s">
        <v>63</v>
      </c>
      <c r="G1202" s="23">
        <v>42232</v>
      </c>
      <c r="H1202" t="s">
        <v>5575</v>
      </c>
      <c r="I1202" t="s">
        <v>5576</v>
      </c>
      <c r="J1202" t="s">
        <v>5577</v>
      </c>
    </row>
    <row r="1203" spans="1:10">
      <c r="A1203" t="s">
        <v>5578</v>
      </c>
      <c r="B1203" t="s">
        <v>5578</v>
      </c>
      <c r="C1203" t="s">
        <v>2573</v>
      </c>
      <c r="D1203">
        <v>17</v>
      </c>
      <c r="E1203" t="s">
        <v>35</v>
      </c>
      <c r="F1203" t="s">
        <v>57</v>
      </c>
      <c r="G1203" s="23">
        <v>44173</v>
      </c>
      <c r="H1203" t="s">
        <v>5579</v>
      </c>
      <c r="I1203" t="s">
        <v>5580</v>
      </c>
      <c r="J1203" t="s">
        <v>5581</v>
      </c>
    </row>
    <row r="1204" spans="1:10">
      <c r="A1204" t="s">
        <v>5582</v>
      </c>
      <c r="B1204" t="s">
        <v>5582</v>
      </c>
      <c r="C1204" t="s">
        <v>1369</v>
      </c>
      <c r="D1204">
        <v>8</v>
      </c>
      <c r="E1204" t="s">
        <v>34</v>
      </c>
      <c r="F1204" t="s">
        <v>57</v>
      </c>
      <c r="G1204" s="23">
        <v>45800</v>
      </c>
      <c r="H1204" t="s">
        <v>5583</v>
      </c>
      <c r="I1204" t="s">
        <v>5584</v>
      </c>
      <c r="J1204" t="s">
        <v>5585</v>
      </c>
    </row>
    <row r="1205" spans="1:10">
      <c r="A1205" t="s">
        <v>5586</v>
      </c>
      <c r="B1205" t="s">
        <v>5586</v>
      </c>
      <c r="C1205" t="s">
        <v>5587</v>
      </c>
      <c r="D1205">
        <v>4</v>
      </c>
      <c r="E1205" t="s">
        <v>29</v>
      </c>
      <c r="F1205" t="s">
        <v>63</v>
      </c>
      <c r="G1205" s="23">
        <v>46202</v>
      </c>
      <c r="H1205" t="s">
        <v>5588</v>
      </c>
      <c r="I1205" t="s">
        <v>5589</v>
      </c>
      <c r="J1205" t="s">
        <v>5590</v>
      </c>
    </row>
    <row r="1206" spans="1:10">
      <c r="A1206" t="s">
        <v>5591</v>
      </c>
      <c r="B1206" t="s">
        <v>5591</v>
      </c>
      <c r="C1206" t="s">
        <v>5592</v>
      </c>
      <c r="D1206">
        <v>8</v>
      </c>
      <c r="E1206" t="s">
        <v>29</v>
      </c>
      <c r="F1206" t="s">
        <v>63</v>
      </c>
      <c r="G1206" s="23">
        <v>43796</v>
      </c>
      <c r="H1206" t="s">
        <v>5593</v>
      </c>
      <c r="I1206" t="s">
        <v>5594</v>
      </c>
      <c r="J1206" t="s">
        <v>5595</v>
      </c>
    </row>
    <row r="1207" spans="1:10">
      <c r="A1207" t="s">
        <v>5596</v>
      </c>
      <c r="B1207" t="s">
        <v>5596</v>
      </c>
      <c r="C1207" t="s">
        <v>370</v>
      </c>
      <c r="D1207">
        <v>6</v>
      </c>
      <c r="E1207" t="s">
        <v>33</v>
      </c>
      <c r="F1207" t="s">
        <v>57</v>
      </c>
      <c r="G1207" s="23">
        <v>44336</v>
      </c>
      <c r="H1207" t="s">
        <v>5597</v>
      </c>
      <c r="I1207" t="s">
        <v>5598</v>
      </c>
      <c r="J1207" t="s">
        <v>5599</v>
      </c>
    </row>
    <row r="1208" spans="1:10">
      <c r="A1208" t="s">
        <v>5600</v>
      </c>
      <c r="B1208" t="s">
        <v>5600</v>
      </c>
      <c r="C1208" t="s">
        <v>370</v>
      </c>
      <c r="D1208">
        <v>11</v>
      </c>
      <c r="E1208" t="s">
        <v>34</v>
      </c>
      <c r="F1208" t="s">
        <v>57</v>
      </c>
      <c r="G1208" s="23">
        <v>43875</v>
      </c>
      <c r="H1208" t="s">
        <v>5601</v>
      </c>
      <c r="I1208" t="s">
        <v>5602</v>
      </c>
      <c r="J1208" t="s">
        <v>5603</v>
      </c>
    </row>
    <row r="1209" spans="1:10">
      <c r="A1209" t="s">
        <v>5604</v>
      </c>
      <c r="B1209" t="s">
        <v>5604</v>
      </c>
      <c r="C1209" t="s">
        <v>1119</v>
      </c>
      <c r="D1209">
        <v>25</v>
      </c>
      <c r="E1209" t="s">
        <v>31</v>
      </c>
      <c r="F1209" t="s">
        <v>63</v>
      </c>
      <c r="G1209" s="23">
        <v>42926</v>
      </c>
      <c r="H1209" t="s">
        <v>5605</v>
      </c>
      <c r="I1209" t="s">
        <v>5606</v>
      </c>
      <c r="J1209" t="s">
        <v>5607</v>
      </c>
    </row>
    <row r="1210" spans="1:10">
      <c r="A1210" t="s">
        <v>5608</v>
      </c>
      <c r="B1210" t="s">
        <v>5608</v>
      </c>
      <c r="C1210" t="s">
        <v>1296</v>
      </c>
      <c r="D1210">
        <v>7</v>
      </c>
      <c r="E1210" t="s">
        <v>29</v>
      </c>
      <c r="F1210" t="s">
        <v>63</v>
      </c>
      <c r="G1210" s="23">
        <v>41781</v>
      </c>
      <c r="H1210" t="s">
        <v>5609</v>
      </c>
      <c r="I1210" t="s">
        <v>5610</v>
      </c>
      <c r="J1210" t="s">
        <v>5611</v>
      </c>
    </row>
    <row r="1211" spans="1:10">
      <c r="A1211" t="s">
        <v>5612</v>
      </c>
      <c r="B1211" t="s">
        <v>5612</v>
      </c>
      <c r="C1211" t="s">
        <v>130</v>
      </c>
      <c r="D1211">
        <v>66</v>
      </c>
      <c r="E1211" t="s">
        <v>31</v>
      </c>
      <c r="F1211" t="s">
        <v>63</v>
      </c>
      <c r="G1211" s="23">
        <v>44641</v>
      </c>
      <c r="H1211" t="s">
        <v>5613</v>
      </c>
      <c r="I1211" t="s">
        <v>5614</v>
      </c>
      <c r="J1211" t="s">
        <v>5615</v>
      </c>
    </row>
    <row r="1212" spans="1:10">
      <c r="A1212" t="s">
        <v>5616</v>
      </c>
      <c r="B1212" t="s">
        <v>5616</v>
      </c>
      <c r="C1212" t="s">
        <v>130</v>
      </c>
      <c r="D1212">
        <v>89</v>
      </c>
      <c r="E1212" t="s">
        <v>31</v>
      </c>
      <c r="F1212" t="s">
        <v>63</v>
      </c>
      <c r="G1212" s="23">
        <v>44771</v>
      </c>
      <c r="H1212" t="s">
        <v>5617</v>
      </c>
      <c r="I1212" t="s">
        <v>5618</v>
      </c>
      <c r="J1212" t="s">
        <v>5619</v>
      </c>
    </row>
    <row r="1213" spans="1:10">
      <c r="A1213" t="s">
        <v>5620</v>
      </c>
      <c r="B1213" t="s">
        <v>5620</v>
      </c>
      <c r="C1213" t="s">
        <v>5621</v>
      </c>
      <c r="D1213">
        <v>17</v>
      </c>
      <c r="E1213" t="s">
        <v>34</v>
      </c>
      <c r="F1213" t="s">
        <v>57</v>
      </c>
      <c r="G1213" s="23">
        <v>44158</v>
      </c>
      <c r="H1213" t="s">
        <v>5622</v>
      </c>
      <c r="I1213" t="s">
        <v>5623</v>
      </c>
      <c r="J1213" t="s">
        <v>5624</v>
      </c>
    </row>
    <row r="1214" spans="1:10">
      <c r="A1214" t="s">
        <v>5625</v>
      </c>
      <c r="B1214" t="s">
        <v>5625</v>
      </c>
      <c r="C1214" t="s">
        <v>5626</v>
      </c>
      <c r="D1214">
        <v>3</v>
      </c>
      <c r="E1214" t="s">
        <v>29</v>
      </c>
      <c r="F1214" t="s">
        <v>63</v>
      </c>
      <c r="G1214" s="23">
        <v>43669</v>
      </c>
      <c r="H1214" t="s">
        <v>5627</v>
      </c>
      <c r="I1214" t="s">
        <v>5628</v>
      </c>
      <c r="J1214" t="s">
        <v>5629</v>
      </c>
    </row>
    <row r="1215" spans="1:10">
      <c r="A1215" t="s">
        <v>5630</v>
      </c>
      <c r="B1215" t="s">
        <v>5630</v>
      </c>
      <c r="C1215" t="s">
        <v>5631</v>
      </c>
      <c r="D1215">
        <v>16</v>
      </c>
      <c r="E1215" t="s">
        <v>34</v>
      </c>
      <c r="F1215" t="s">
        <v>5632</v>
      </c>
      <c r="G1215" s="23">
        <v>45944</v>
      </c>
      <c r="H1215" t="s">
        <v>5633</v>
      </c>
      <c r="I1215" t="s">
        <v>5634</v>
      </c>
      <c r="J1215" t="s">
        <v>5635</v>
      </c>
    </row>
    <row r="1216" spans="1:10">
      <c r="A1216" t="s">
        <v>5636</v>
      </c>
      <c r="B1216" t="s">
        <v>5636</v>
      </c>
      <c r="C1216" t="s">
        <v>3716</v>
      </c>
      <c r="D1216">
        <v>8</v>
      </c>
      <c r="E1216" t="s">
        <v>35</v>
      </c>
      <c r="F1216" t="s">
        <v>57</v>
      </c>
      <c r="G1216" s="23">
        <v>45033</v>
      </c>
      <c r="H1216" t="s">
        <v>5637</v>
      </c>
      <c r="I1216" t="s">
        <v>5638</v>
      </c>
      <c r="J1216" t="s">
        <v>5639</v>
      </c>
    </row>
    <row r="1217" spans="1:10">
      <c r="A1217" t="s">
        <v>5640</v>
      </c>
      <c r="B1217" t="s">
        <v>5640</v>
      </c>
      <c r="C1217" t="s">
        <v>5641</v>
      </c>
      <c r="D1217">
        <v>69</v>
      </c>
      <c r="E1217" t="s">
        <v>36</v>
      </c>
      <c r="F1217" t="s">
        <v>57</v>
      </c>
      <c r="G1217" s="23">
        <v>45818</v>
      </c>
      <c r="H1217" t="s">
        <v>5642</v>
      </c>
      <c r="I1217" t="s">
        <v>5643</v>
      </c>
      <c r="J1217" t="s">
        <v>5644</v>
      </c>
    </row>
    <row r="1218" spans="1:10">
      <c r="A1218" t="s">
        <v>5645</v>
      </c>
      <c r="B1218" t="s">
        <v>5645</v>
      </c>
      <c r="C1218" t="s">
        <v>5646</v>
      </c>
      <c r="D1218">
        <v>1</v>
      </c>
      <c r="E1218" t="s">
        <v>29</v>
      </c>
      <c r="F1218" t="s">
        <v>63</v>
      </c>
      <c r="G1218" s="23">
        <v>44163</v>
      </c>
      <c r="H1218" t="s">
        <v>5647</v>
      </c>
      <c r="I1218" t="s">
        <v>5648</v>
      </c>
      <c r="J1218" t="s">
        <v>5649</v>
      </c>
    </row>
    <row r="1219" spans="1:10">
      <c r="A1219" t="s">
        <v>5650</v>
      </c>
      <c r="B1219" t="s">
        <v>5650</v>
      </c>
      <c r="C1219" t="s">
        <v>5651</v>
      </c>
      <c r="D1219">
        <v>38</v>
      </c>
      <c r="E1219" t="s">
        <v>31</v>
      </c>
      <c r="F1219" t="s">
        <v>5652</v>
      </c>
      <c r="G1219" s="23">
        <v>42374</v>
      </c>
      <c r="H1219" t="s">
        <v>5653</v>
      </c>
      <c r="I1219" t="s">
        <v>5654</v>
      </c>
      <c r="J1219" t="s">
        <v>5655</v>
      </c>
    </row>
    <row r="1220" spans="1:10">
      <c r="A1220" t="s">
        <v>5656</v>
      </c>
      <c r="B1220" t="s">
        <v>5656</v>
      </c>
      <c r="C1220" t="s">
        <v>5657</v>
      </c>
      <c r="D1220">
        <v>57</v>
      </c>
      <c r="E1220" t="s">
        <v>33</v>
      </c>
      <c r="F1220" t="s">
        <v>5652</v>
      </c>
      <c r="G1220" s="23">
        <v>42751</v>
      </c>
      <c r="H1220" t="s">
        <v>5658</v>
      </c>
      <c r="I1220" t="s">
        <v>5659</v>
      </c>
      <c r="J1220" t="s">
        <v>5660</v>
      </c>
    </row>
    <row r="1221" spans="1:10">
      <c r="A1221" t="s">
        <v>5661</v>
      </c>
      <c r="B1221" t="s">
        <v>5661</v>
      </c>
      <c r="C1221" t="s">
        <v>5651</v>
      </c>
      <c r="D1221">
        <v>64</v>
      </c>
      <c r="E1221" t="s">
        <v>33</v>
      </c>
      <c r="F1221" t="s">
        <v>5652</v>
      </c>
      <c r="G1221" s="23">
        <v>42750</v>
      </c>
      <c r="H1221" t="s">
        <v>5662</v>
      </c>
      <c r="I1221" t="s">
        <v>5663</v>
      </c>
      <c r="J1221" t="s">
        <v>5664</v>
      </c>
    </row>
    <row r="1222" spans="1:10">
      <c r="A1222" t="s">
        <v>5665</v>
      </c>
      <c r="B1222" t="s">
        <v>5665</v>
      </c>
      <c r="C1222" t="s">
        <v>1389</v>
      </c>
      <c r="D1222">
        <v>10</v>
      </c>
      <c r="E1222" t="s">
        <v>33</v>
      </c>
      <c r="F1222" t="s">
        <v>57</v>
      </c>
      <c r="G1222" s="23">
        <v>45596</v>
      </c>
      <c r="H1222" t="s">
        <v>5666</v>
      </c>
      <c r="I1222" t="s">
        <v>5667</v>
      </c>
      <c r="J1222" t="s">
        <v>5668</v>
      </c>
    </row>
    <row r="1223" spans="1:10">
      <c r="A1223" t="s">
        <v>5669</v>
      </c>
      <c r="B1223" t="s">
        <v>5669</v>
      </c>
      <c r="C1223" t="s">
        <v>945</v>
      </c>
      <c r="D1223">
        <v>24</v>
      </c>
      <c r="E1223" t="s">
        <v>33</v>
      </c>
      <c r="F1223" t="s">
        <v>63</v>
      </c>
      <c r="G1223" s="23">
        <v>45697</v>
      </c>
      <c r="H1223" t="s">
        <v>5670</v>
      </c>
      <c r="I1223" t="s">
        <v>5671</v>
      </c>
      <c r="J1223" t="s">
        <v>5672</v>
      </c>
    </row>
    <row r="1224" spans="1:10">
      <c r="A1224" t="s">
        <v>5673</v>
      </c>
      <c r="B1224" t="s">
        <v>5673</v>
      </c>
      <c r="C1224" t="s">
        <v>253</v>
      </c>
      <c r="D1224">
        <v>17</v>
      </c>
      <c r="E1224" t="s">
        <v>34</v>
      </c>
      <c r="F1224" t="s">
        <v>57</v>
      </c>
      <c r="G1224" s="23">
        <v>44629</v>
      </c>
      <c r="H1224" t="s">
        <v>5674</v>
      </c>
      <c r="I1224" t="s">
        <v>5675</v>
      </c>
      <c r="J1224" t="s">
        <v>5676</v>
      </c>
    </row>
    <row r="1225" spans="1:10">
      <c r="A1225" t="s">
        <v>5677</v>
      </c>
      <c r="B1225" t="s">
        <v>5677</v>
      </c>
      <c r="C1225" t="s">
        <v>5678</v>
      </c>
      <c r="D1225">
        <v>13</v>
      </c>
      <c r="E1225" t="s">
        <v>33</v>
      </c>
      <c r="F1225" t="s">
        <v>57</v>
      </c>
      <c r="G1225" s="23">
        <v>45218</v>
      </c>
      <c r="H1225" t="s">
        <v>5679</v>
      </c>
      <c r="I1225" t="s">
        <v>5680</v>
      </c>
      <c r="J1225" t="s">
        <v>5681</v>
      </c>
    </row>
    <row r="1226" spans="1:10">
      <c r="A1226" t="s">
        <v>5682</v>
      </c>
      <c r="B1226" t="s">
        <v>5682</v>
      </c>
      <c r="C1226" t="s">
        <v>5683</v>
      </c>
      <c r="D1226">
        <v>25</v>
      </c>
      <c r="E1226" t="s">
        <v>29</v>
      </c>
      <c r="F1226" t="s">
        <v>63</v>
      </c>
      <c r="G1226" s="23">
        <v>42347</v>
      </c>
      <c r="H1226" t="s">
        <v>5684</v>
      </c>
      <c r="I1226" t="s">
        <v>5685</v>
      </c>
      <c r="J1226" t="s">
        <v>5686</v>
      </c>
    </row>
    <row r="1227" spans="1:10">
      <c r="A1227" t="s">
        <v>5687</v>
      </c>
      <c r="B1227" t="s">
        <v>5687</v>
      </c>
      <c r="C1227" t="s">
        <v>5688</v>
      </c>
      <c r="D1227">
        <v>4</v>
      </c>
      <c r="E1227" t="s">
        <v>27</v>
      </c>
      <c r="F1227" t="s">
        <v>63</v>
      </c>
      <c r="G1227" s="23">
        <v>42257</v>
      </c>
      <c r="H1227" t="s">
        <v>5689</v>
      </c>
      <c r="I1227" t="s">
        <v>5690</v>
      </c>
      <c r="J1227" t="s">
        <v>5691</v>
      </c>
    </row>
    <row r="1228" spans="1:10">
      <c r="A1228" t="s">
        <v>5692</v>
      </c>
      <c r="B1228" t="s">
        <v>5692</v>
      </c>
      <c r="C1228" t="s">
        <v>104</v>
      </c>
      <c r="D1228">
        <v>1</v>
      </c>
      <c r="E1228" t="s">
        <v>34</v>
      </c>
      <c r="F1228" t="s">
        <v>115</v>
      </c>
      <c r="G1228" s="23">
        <v>45527</v>
      </c>
      <c r="H1228" t="s">
        <v>5693</v>
      </c>
      <c r="I1228" t="s">
        <v>5694</v>
      </c>
      <c r="J1228" t="s">
        <v>5695</v>
      </c>
    </row>
    <row r="1229" spans="1:10">
      <c r="A1229" t="s">
        <v>5696</v>
      </c>
      <c r="B1229" t="s">
        <v>5696</v>
      </c>
      <c r="C1229" t="s">
        <v>5697</v>
      </c>
      <c r="D1229">
        <v>11</v>
      </c>
      <c r="E1229" t="s">
        <v>34</v>
      </c>
      <c r="F1229" t="s">
        <v>57</v>
      </c>
      <c r="G1229" s="23">
        <v>44972</v>
      </c>
      <c r="H1229" t="s">
        <v>5698</v>
      </c>
      <c r="I1229" t="s">
        <v>5699</v>
      </c>
      <c r="J1229" t="s">
        <v>5700</v>
      </c>
    </row>
    <row r="1230" spans="1:10">
      <c r="A1230" t="s">
        <v>5701</v>
      </c>
      <c r="B1230" t="s">
        <v>5701</v>
      </c>
      <c r="C1230" t="s">
        <v>2782</v>
      </c>
      <c r="D1230">
        <v>8</v>
      </c>
      <c r="E1230" t="s">
        <v>29</v>
      </c>
      <c r="F1230" t="s">
        <v>63</v>
      </c>
      <c r="G1230" s="23">
        <v>45291</v>
      </c>
      <c r="H1230" t="s">
        <v>5702</v>
      </c>
      <c r="I1230" t="s">
        <v>5703</v>
      </c>
      <c r="J1230" t="s">
        <v>5704</v>
      </c>
    </row>
    <row r="1231" spans="1:10">
      <c r="A1231" t="s">
        <v>5705</v>
      </c>
      <c r="B1231" t="s">
        <v>5705</v>
      </c>
      <c r="C1231" t="s">
        <v>5706</v>
      </c>
      <c r="D1231">
        <v>15</v>
      </c>
      <c r="E1231" t="s">
        <v>33</v>
      </c>
      <c r="F1231" t="s">
        <v>63</v>
      </c>
      <c r="G1231" s="23">
        <v>43521</v>
      </c>
      <c r="H1231" t="s">
        <v>5707</v>
      </c>
      <c r="I1231" t="s">
        <v>5708</v>
      </c>
      <c r="J1231" t="s">
        <v>5709</v>
      </c>
    </row>
    <row r="1232" spans="1:10">
      <c r="A1232" t="s">
        <v>5710</v>
      </c>
      <c r="B1232" t="s">
        <v>5710</v>
      </c>
      <c r="C1232" t="s">
        <v>5711</v>
      </c>
      <c r="D1232">
        <v>15</v>
      </c>
      <c r="E1232" t="s">
        <v>29</v>
      </c>
      <c r="F1232" t="s">
        <v>63</v>
      </c>
      <c r="G1232" s="23">
        <v>41480</v>
      </c>
      <c r="H1232" t="s">
        <v>5712</v>
      </c>
      <c r="I1232" t="s">
        <v>5713</v>
      </c>
      <c r="J1232" t="s">
        <v>5714</v>
      </c>
    </row>
    <row r="1233" spans="1:10">
      <c r="A1233" t="s">
        <v>5715</v>
      </c>
      <c r="B1233" t="s">
        <v>5715</v>
      </c>
      <c r="C1233" t="s">
        <v>842</v>
      </c>
      <c r="D1233">
        <v>34</v>
      </c>
      <c r="E1233" t="s">
        <v>34</v>
      </c>
      <c r="F1233" t="s">
        <v>57</v>
      </c>
      <c r="G1233" s="23">
        <v>46137</v>
      </c>
      <c r="H1233" t="s">
        <v>5716</v>
      </c>
      <c r="I1233" t="s">
        <v>5717</v>
      </c>
      <c r="J1233" t="s">
        <v>5718</v>
      </c>
    </row>
    <row r="1234" spans="1:10">
      <c r="A1234" t="s">
        <v>5719</v>
      </c>
      <c r="B1234" t="s">
        <v>5719</v>
      </c>
      <c r="C1234" t="s">
        <v>370</v>
      </c>
      <c r="D1234">
        <v>6</v>
      </c>
      <c r="E1234" t="s">
        <v>34</v>
      </c>
      <c r="F1234" t="s">
        <v>57</v>
      </c>
      <c r="G1234" s="23">
        <v>44745</v>
      </c>
      <c r="H1234" t="s">
        <v>5720</v>
      </c>
      <c r="I1234" t="s">
        <v>5721</v>
      </c>
      <c r="J1234" t="s">
        <v>5722</v>
      </c>
    </row>
    <row r="1235" spans="1:10">
      <c r="A1235" t="s">
        <v>5723</v>
      </c>
      <c r="B1235" t="s">
        <v>5723</v>
      </c>
      <c r="C1235" t="s">
        <v>370</v>
      </c>
      <c r="D1235">
        <v>5</v>
      </c>
      <c r="E1235" t="s">
        <v>31</v>
      </c>
      <c r="F1235" t="s">
        <v>57</v>
      </c>
      <c r="G1235" s="23">
        <v>44772</v>
      </c>
      <c r="H1235" t="s">
        <v>5724</v>
      </c>
      <c r="I1235" t="s">
        <v>5725</v>
      </c>
      <c r="J1235" t="s">
        <v>5726</v>
      </c>
    </row>
    <row r="1236" spans="1:10">
      <c r="A1236" t="s">
        <v>5727</v>
      </c>
      <c r="B1236" t="s">
        <v>5727</v>
      </c>
      <c r="C1236" t="s">
        <v>370</v>
      </c>
      <c r="D1236">
        <v>1</v>
      </c>
      <c r="E1236" t="s">
        <v>33</v>
      </c>
      <c r="F1236" t="s">
        <v>57</v>
      </c>
      <c r="G1236" s="23">
        <v>44937</v>
      </c>
      <c r="H1236" t="s">
        <v>5728</v>
      </c>
      <c r="I1236" t="s">
        <v>5729</v>
      </c>
      <c r="J1236" t="s">
        <v>5730</v>
      </c>
    </row>
    <row r="1237" spans="1:10">
      <c r="A1237" t="s">
        <v>5731</v>
      </c>
      <c r="B1237" t="s">
        <v>5731</v>
      </c>
      <c r="C1237" t="s">
        <v>5732</v>
      </c>
      <c r="D1237">
        <v>7</v>
      </c>
      <c r="E1237" t="s">
        <v>34</v>
      </c>
      <c r="F1237" t="s">
        <v>57</v>
      </c>
      <c r="G1237" s="23">
        <v>44930</v>
      </c>
      <c r="H1237" t="s">
        <v>5733</v>
      </c>
      <c r="I1237" t="s">
        <v>5734</v>
      </c>
      <c r="J1237" t="s">
        <v>5735</v>
      </c>
    </row>
    <row r="1238" spans="1:10">
      <c r="A1238" t="s">
        <v>5736</v>
      </c>
      <c r="B1238" t="s">
        <v>5736</v>
      </c>
      <c r="C1238" t="s">
        <v>5737</v>
      </c>
      <c r="D1238">
        <v>116</v>
      </c>
      <c r="E1238" t="s">
        <v>34</v>
      </c>
      <c r="F1238" t="s">
        <v>63</v>
      </c>
      <c r="G1238" s="23">
        <v>45337</v>
      </c>
      <c r="H1238" t="s">
        <v>5738</v>
      </c>
      <c r="I1238" t="s">
        <v>5739</v>
      </c>
      <c r="J1238" t="s">
        <v>5740</v>
      </c>
    </row>
    <row r="1239" spans="1:10">
      <c r="A1239" t="s">
        <v>5741</v>
      </c>
      <c r="B1239" t="s">
        <v>5741</v>
      </c>
      <c r="C1239" t="s">
        <v>180</v>
      </c>
      <c r="D1239">
        <v>12</v>
      </c>
      <c r="E1239" t="s">
        <v>34</v>
      </c>
      <c r="F1239" t="s">
        <v>57</v>
      </c>
      <c r="G1239" s="23">
        <v>45042</v>
      </c>
      <c r="H1239" t="s">
        <v>5742</v>
      </c>
      <c r="I1239" t="s">
        <v>5743</v>
      </c>
      <c r="J1239" t="s">
        <v>5744</v>
      </c>
    </row>
    <row r="1240" spans="1:10">
      <c r="A1240" t="s">
        <v>5745</v>
      </c>
      <c r="B1240" t="s">
        <v>5745</v>
      </c>
      <c r="C1240" t="s">
        <v>278</v>
      </c>
      <c r="D1240">
        <v>16</v>
      </c>
      <c r="E1240" t="s">
        <v>31</v>
      </c>
      <c r="F1240" t="s">
        <v>57</v>
      </c>
      <c r="G1240" s="23">
        <v>45648</v>
      </c>
      <c r="H1240" t="s">
        <v>5746</v>
      </c>
      <c r="I1240" t="s">
        <v>5747</v>
      </c>
      <c r="J1240" t="s">
        <v>5748</v>
      </c>
    </row>
    <row r="1241" spans="1:10">
      <c r="A1241" t="s">
        <v>5749</v>
      </c>
      <c r="B1241" t="s">
        <v>5749</v>
      </c>
      <c r="C1241" t="s">
        <v>5750</v>
      </c>
      <c r="D1241">
        <v>8</v>
      </c>
      <c r="E1241" t="s">
        <v>29</v>
      </c>
      <c r="F1241" t="s">
        <v>63</v>
      </c>
      <c r="G1241" s="23">
        <v>42225</v>
      </c>
      <c r="H1241" t="s">
        <v>5751</v>
      </c>
      <c r="I1241" t="s">
        <v>5752</v>
      </c>
      <c r="J1241" t="s">
        <v>5753</v>
      </c>
    </row>
    <row r="1242" spans="1:10">
      <c r="A1242" t="s">
        <v>5754</v>
      </c>
      <c r="B1242" t="s">
        <v>5754</v>
      </c>
      <c r="C1242" t="s">
        <v>5755</v>
      </c>
      <c r="D1242">
        <v>16</v>
      </c>
      <c r="E1242" t="s">
        <v>34</v>
      </c>
      <c r="F1242" t="s">
        <v>57</v>
      </c>
      <c r="G1242" s="23">
        <v>44665</v>
      </c>
      <c r="H1242" t="s">
        <v>5756</v>
      </c>
      <c r="I1242" t="s">
        <v>5757</v>
      </c>
      <c r="J1242" t="s">
        <v>5758</v>
      </c>
    </row>
    <row r="1243" spans="1:10">
      <c r="A1243" t="s">
        <v>5759</v>
      </c>
      <c r="B1243" t="s">
        <v>5759</v>
      </c>
      <c r="C1243" t="s">
        <v>5760</v>
      </c>
      <c r="D1243">
        <v>6</v>
      </c>
      <c r="E1243" t="s">
        <v>27</v>
      </c>
      <c r="F1243" t="s">
        <v>63</v>
      </c>
      <c r="G1243" s="23">
        <v>42316</v>
      </c>
      <c r="H1243" t="s">
        <v>5761</v>
      </c>
      <c r="I1243" t="s">
        <v>5762</v>
      </c>
      <c r="J1243" t="s">
        <v>5763</v>
      </c>
    </row>
    <row r="1244" spans="1:10">
      <c r="A1244" t="s">
        <v>5764</v>
      </c>
      <c r="B1244" t="s">
        <v>5764</v>
      </c>
      <c r="C1244" t="s">
        <v>5765</v>
      </c>
      <c r="D1244">
        <v>8</v>
      </c>
      <c r="E1244" t="s">
        <v>29</v>
      </c>
      <c r="F1244" t="s">
        <v>63</v>
      </c>
      <c r="G1244" s="23">
        <v>42825</v>
      </c>
      <c r="H1244" t="s">
        <v>5766</v>
      </c>
      <c r="I1244" t="s">
        <v>5767</v>
      </c>
      <c r="J1244" t="s">
        <v>5768</v>
      </c>
    </row>
    <row r="1245" spans="1:10">
      <c r="A1245" t="s">
        <v>5769</v>
      </c>
      <c r="B1245" t="s">
        <v>5769</v>
      </c>
      <c r="C1245" t="s">
        <v>5770</v>
      </c>
      <c r="D1245">
        <v>94</v>
      </c>
      <c r="E1245" t="s">
        <v>33</v>
      </c>
      <c r="F1245" t="s">
        <v>63</v>
      </c>
      <c r="G1245" s="23">
        <v>42840</v>
      </c>
      <c r="H1245" t="s">
        <v>5771</v>
      </c>
      <c r="I1245" t="s">
        <v>5772</v>
      </c>
      <c r="J1245" t="s">
        <v>5773</v>
      </c>
    </row>
    <row r="1246" spans="1:10">
      <c r="A1246" t="s">
        <v>5774</v>
      </c>
      <c r="B1246" t="s">
        <v>5774</v>
      </c>
      <c r="C1246" t="s">
        <v>452</v>
      </c>
      <c r="D1246">
        <v>1</v>
      </c>
      <c r="E1246" t="s">
        <v>33</v>
      </c>
      <c r="F1246" t="s">
        <v>57</v>
      </c>
      <c r="G1246" s="23">
        <v>44992</v>
      </c>
      <c r="H1246" t="s">
        <v>5775</v>
      </c>
      <c r="I1246" t="s">
        <v>5776</v>
      </c>
      <c r="J1246" t="s">
        <v>5777</v>
      </c>
    </row>
    <row r="1247" spans="1:10">
      <c r="A1247" t="s">
        <v>5778</v>
      </c>
      <c r="B1247" t="s">
        <v>5778</v>
      </c>
      <c r="C1247" t="s">
        <v>452</v>
      </c>
      <c r="D1247">
        <v>2</v>
      </c>
      <c r="E1247" t="s">
        <v>33</v>
      </c>
      <c r="F1247" t="s">
        <v>57</v>
      </c>
      <c r="G1247" s="23">
        <v>45001</v>
      </c>
      <c r="H1247" t="s">
        <v>5779</v>
      </c>
      <c r="I1247" t="s">
        <v>5780</v>
      </c>
      <c r="J1247" t="s">
        <v>5781</v>
      </c>
    </row>
    <row r="1248" spans="1:10">
      <c r="A1248" t="s">
        <v>5782</v>
      </c>
      <c r="B1248" t="s">
        <v>5782</v>
      </c>
      <c r="C1248" t="s">
        <v>452</v>
      </c>
      <c r="D1248">
        <v>2</v>
      </c>
      <c r="E1248" t="s">
        <v>33</v>
      </c>
      <c r="F1248" t="s">
        <v>57</v>
      </c>
      <c r="G1248" s="23">
        <v>45014</v>
      </c>
      <c r="H1248" t="s">
        <v>5783</v>
      </c>
      <c r="I1248" t="s">
        <v>5784</v>
      </c>
      <c r="J1248" t="s">
        <v>5785</v>
      </c>
    </row>
    <row r="1249" spans="1:10">
      <c r="A1249" t="s">
        <v>5786</v>
      </c>
      <c r="B1249" t="s">
        <v>5786</v>
      </c>
      <c r="C1249" t="s">
        <v>452</v>
      </c>
      <c r="D1249">
        <v>2</v>
      </c>
      <c r="E1249" t="s">
        <v>33</v>
      </c>
      <c r="F1249" t="s">
        <v>57</v>
      </c>
      <c r="G1249" s="23">
        <v>45035</v>
      </c>
      <c r="H1249" t="s">
        <v>5787</v>
      </c>
      <c r="I1249" t="s">
        <v>5788</v>
      </c>
      <c r="J1249" t="s">
        <v>5789</v>
      </c>
    </row>
    <row r="1250" spans="1:10">
      <c r="A1250" t="s">
        <v>5790</v>
      </c>
      <c r="B1250" t="s">
        <v>5790</v>
      </c>
      <c r="C1250" t="s">
        <v>452</v>
      </c>
      <c r="D1250">
        <v>3</v>
      </c>
      <c r="E1250" t="s">
        <v>33</v>
      </c>
      <c r="F1250" t="s">
        <v>57</v>
      </c>
      <c r="G1250" s="23">
        <v>45205</v>
      </c>
      <c r="H1250" t="s">
        <v>5791</v>
      </c>
      <c r="I1250" t="s">
        <v>5792</v>
      </c>
      <c r="J1250" t="s">
        <v>5793</v>
      </c>
    </row>
    <row r="1251" spans="1:10">
      <c r="A1251" t="s">
        <v>5794</v>
      </c>
      <c r="B1251" t="s">
        <v>5794</v>
      </c>
      <c r="C1251" t="s">
        <v>5795</v>
      </c>
      <c r="D1251">
        <v>32</v>
      </c>
      <c r="E1251" t="s">
        <v>29</v>
      </c>
      <c r="F1251" t="s">
        <v>63</v>
      </c>
      <c r="G1251" s="23">
        <v>42226</v>
      </c>
      <c r="H1251" t="s">
        <v>5796</v>
      </c>
      <c r="I1251" t="s">
        <v>5797</v>
      </c>
      <c r="J1251" t="s">
        <v>5798</v>
      </c>
    </row>
    <row r="1252" spans="1:10">
      <c r="A1252" t="s">
        <v>5799</v>
      </c>
      <c r="B1252" t="s">
        <v>5799</v>
      </c>
      <c r="C1252" t="s">
        <v>1017</v>
      </c>
      <c r="D1252">
        <v>9</v>
      </c>
      <c r="E1252" t="s">
        <v>31</v>
      </c>
      <c r="F1252" t="s">
        <v>63</v>
      </c>
      <c r="G1252" s="23">
        <v>43894</v>
      </c>
      <c r="H1252" t="s">
        <v>5800</v>
      </c>
      <c r="I1252" t="s">
        <v>5801</v>
      </c>
      <c r="J1252" t="s">
        <v>5802</v>
      </c>
    </row>
    <row r="1253" spans="1:10">
      <c r="A1253" t="s">
        <v>5803</v>
      </c>
      <c r="B1253" t="s">
        <v>5803</v>
      </c>
      <c r="C1253" t="s">
        <v>945</v>
      </c>
      <c r="D1253">
        <v>14</v>
      </c>
      <c r="E1253" t="s">
        <v>34</v>
      </c>
      <c r="F1253" t="s">
        <v>57</v>
      </c>
      <c r="G1253" s="23">
        <v>45267</v>
      </c>
      <c r="H1253" t="s">
        <v>5804</v>
      </c>
      <c r="I1253" t="s">
        <v>5805</v>
      </c>
      <c r="J1253" t="s">
        <v>5806</v>
      </c>
    </row>
    <row r="1254" spans="1:10">
      <c r="A1254" t="s">
        <v>5807</v>
      </c>
      <c r="B1254" t="s">
        <v>5807</v>
      </c>
      <c r="C1254" t="s">
        <v>3346</v>
      </c>
      <c r="D1254">
        <v>24</v>
      </c>
      <c r="E1254" t="s">
        <v>34</v>
      </c>
      <c r="F1254" t="s">
        <v>57</v>
      </c>
      <c r="G1254" s="23">
        <v>43537</v>
      </c>
      <c r="H1254" t="s">
        <v>5808</v>
      </c>
      <c r="I1254" t="s">
        <v>5809</v>
      </c>
      <c r="J1254" t="s">
        <v>5810</v>
      </c>
    </row>
    <row r="1255" spans="1:10">
      <c r="A1255" t="s">
        <v>5811</v>
      </c>
      <c r="B1255" t="s">
        <v>5811</v>
      </c>
      <c r="C1255" t="s">
        <v>5812</v>
      </c>
      <c r="D1255">
        <v>9</v>
      </c>
      <c r="E1255" t="s">
        <v>27</v>
      </c>
      <c r="F1255" t="s">
        <v>63</v>
      </c>
      <c r="G1255" s="23">
        <v>42057</v>
      </c>
      <c r="H1255" t="s">
        <v>5813</v>
      </c>
      <c r="I1255" t="s">
        <v>5814</v>
      </c>
      <c r="J1255" t="s">
        <v>5815</v>
      </c>
    </row>
    <row r="1256" spans="1:10">
      <c r="A1256" t="s">
        <v>5816</v>
      </c>
      <c r="B1256" t="s">
        <v>5816</v>
      </c>
      <c r="C1256" t="s">
        <v>5817</v>
      </c>
      <c r="D1256">
        <v>21</v>
      </c>
      <c r="E1256" t="s">
        <v>29</v>
      </c>
      <c r="F1256" t="s">
        <v>63</v>
      </c>
      <c r="G1256" s="23">
        <v>43051</v>
      </c>
      <c r="H1256" t="s">
        <v>5818</v>
      </c>
      <c r="I1256" t="s">
        <v>5819</v>
      </c>
      <c r="J1256" t="s">
        <v>5820</v>
      </c>
    </row>
    <row r="1257" spans="1:10">
      <c r="A1257" t="s">
        <v>5821</v>
      </c>
      <c r="B1257" t="s">
        <v>5821</v>
      </c>
      <c r="C1257" t="s">
        <v>5822</v>
      </c>
      <c r="D1257">
        <v>6</v>
      </c>
      <c r="E1257" t="s">
        <v>27</v>
      </c>
      <c r="F1257" t="s">
        <v>63</v>
      </c>
      <c r="G1257" s="23">
        <v>42104</v>
      </c>
      <c r="H1257" t="s">
        <v>5823</v>
      </c>
      <c r="I1257" t="s">
        <v>5824</v>
      </c>
      <c r="J1257" t="s">
        <v>5825</v>
      </c>
    </row>
    <row r="1258" spans="1:10">
      <c r="A1258" t="s">
        <v>5826</v>
      </c>
      <c r="B1258" t="s">
        <v>5826</v>
      </c>
      <c r="C1258" t="s">
        <v>5827</v>
      </c>
      <c r="D1258">
        <v>17</v>
      </c>
      <c r="E1258" t="s">
        <v>27</v>
      </c>
      <c r="F1258" t="s">
        <v>63</v>
      </c>
      <c r="G1258" s="23">
        <v>42252</v>
      </c>
      <c r="H1258" t="s">
        <v>5828</v>
      </c>
      <c r="I1258" t="s">
        <v>5829</v>
      </c>
      <c r="J1258" t="s">
        <v>5830</v>
      </c>
    </row>
    <row r="1259" spans="1:10">
      <c r="A1259" t="s">
        <v>5831</v>
      </c>
      <c r="B1259" t="s">
        <v>5831</v>
      </c>
      <c r="C1259" t="s">
        <v>1017</v>
      </c>
      <c r="D1259">
        <v>11</v>
      </c>
      <c r="E1259" t="s">
        <v>31</v>
      </c>
      <c r="F1259" t="s">
        <v>63</v>
      </c>
      <c r="G1259" s="23">
        <v>43701</v>
      </c>
      <c r="H1259" t="s">
        <v>5832</v>
      </c>
      <c r="I1259" t="s">
        <v>5833</v>
      </c>
      <c r="J1259" t="s">
        <v>5834</v>
      </c>
    </row>
    <row r="1260" spans="1:10">
      <c r="A1260" t="s">
        <v>5835</v>
      </c>
      <c r="B1260" t="s">
        <v>5835</v>
      </c>
      <c r="C1260" t="s">
        <v>4169</v>
      </c>
      <c r="D1260">
        <v>11</v>
      </c>
      <c r="E1260" t="s">
        <v>34</v>
      </c>
      <c r="F1260" t="s">
        <v>57</v>
      </c>
      <c r="G1260" s="23">
        <v>43679</v>
      </c>
      <c r="H1260" t="s">
        <v>5836</v>
      </c>
      <c r="I1260" t="s">
        <v>5837</v>
      </c>
      <c r="J1260" t="s">
        <v>5838</v>
      </c>
    </row>
    <row r="1261" spans="1:10">
      <c r="A1261" t="s">
        <v>5839</v>
      </c>
      <c r="B1261" t="s">
        <v>5839</v>
      </c>
      <c r="C1261" t="s">
        <v>5840</v>
      </c>
      <c r="D1261">
        <v>112</v>
      </c>
      <c r="E1261" t="s">
        <v>31</v>
      </c>
      <c r="F1261" t="s">
        <v>63</v>
      </c>
      <c r="G1261" s="23">
        <v>42610</v>
      </c>
      <c r="H1261" t="s">
        <v>5841</v>
      </c>
      <c r="I1261" t="s">
        <v>5842</v>
      </c>
      <c r="J1261" t="s">
        <v>5843</v>
      </c>
    </row>
    <row r="1262" spans="1:10">
      <c r="A1262" t="s">
        <v>5844</v>
      </c>
      <c r="B1262" t="s">
        <v>5844</v>
      </c>
      <c r="C1262" t="s">
        <v>5840</v>
      </c>
      <c r="D1262">
        <v>112</v>
      </c>
      <c r="E1262" t="s">
        <v>31</v>
      </c>
      <c r="F1262" t="s">
        <v>63</v>
      </c>
      <c r="G1262" s="23">
        <v>45184</v>
      </c>
      <c r="H1262" t="s">
        <v>5845</v>
      </c>
      <c r="I1262" t="s">
        <v>5846</v>
      </c>
      <c r="J1262" t="s">
        <v>5847</v>
      </c>
    </row>
    <row r="1263" spans="1:10">
      <c r="A1263" t="s">
        <v>5848</v>
      </c>
      <c r="B1263" t="s">
        <v>5848</v>
      </c>
      <c r="C1263" t="s">
        <v>5840</v>
      </c>
      <c r="D1263">
        <v>119</v>
      </c>
      <c r="E1263" t="s">
        <v>33</v>
      </c>
      <c r="F1263" t="s">
        <v>63</v>
      </c>
      <c r="G1263" s="23">
        <v>43809</v>
      </c>
      <c r="H1263" t="s">
        <v>5849</v>
      </c>
      <c r="I1263" t="s">
        <v>5850</v>
      </c>
      <c r="J1263" t="s">
        <v>5851</v>
      </c>
    </row>
    <row r="1264" spans="1:10">
      <c r="A1264" t="s">
        <v>5852</v>
      </c>
      <c r="B1264" t="s">
        <v>5852</v>
      </c>
      <c r="C1264" t="s">
        <v>1402</v>
      </c>
      <c r="D1264">
        <v>100</v>
      </c>
      <c r="E1264" t="s">
        <v>29</v>
      </c>
      <c r="F1264" t="s">
        <v>63</v>
      </c>
      <c r="G1264" s="23">
        <v>45487</v>
      </c>
      <c r="H1264" t="s">
        <v>5853</v>
      </c>
      <c r="I1264" t="s">
        <v>5854</v>
      </c>
      <c r="J1264" t="s">
        <v>5855</v>
      </c>
    </row>
    <row r="1265" spans="1:10">
      <c r="A1265" t="s">
        <v>5856</v>
      </c>
      <c r="B1265" t="s">
        <v>5856</v>
      </c>
      <c r="C1265" t="s">
        <v>5857</v>
      </c>
      <c r="D1265">
        <v>15</v>
      </c>
      <c r="E1265" t="s">
        <v>29</v>
      </c>
      <c r="F1265" t="s">
        <v>63</v>
      </c>
      <c r="G1265" s="23">
        <v>45020</v>
      </c>
      <c r="H1265" t="s">
        <v>5858</v>
      </c>
      <c r="I1265" t="s">
        <v>5859</v>
      </c>
      <c r="J1265" t="s">
        <v>5860</v>
      </c>
    </row>
    <row r="1266" spans="1:10">
      <c r="A1266" t="s">
        <v>5861</v>
      </c>
      <c r="B1266" t="s">
        <v>5861</v>
      </c>
      <c r="C1266" t="s">
        <v>5862</v>
      </c>
      <c r="D1266">
        <v>17</v>
      </c>
      <c r="E1266" t="s">
        <v>29</v>
      </c>
      <c r="F1266" t="s">
        <v>63</v>
      </c>
      <c r="G1266" s="23">
        <v>41556</v>
      </c>
      <c r="H1266" t="s">
        <v>5863</v>
      </c>
      <c r="I1266" t="s">
        <v>5864</v>
      </c>
      <c r="J1266" t="s">
        <v>5865</v>
      </c>
    </row>
    <row r="1267" spans="1:10">
      <c r="A1267" t="s">
        <v>5866</v>
      </c>
      <c r="B1267" t="s">
        <v>5866</v>
      </c>
      <c r="C1267" t="s">
        <v>5867</v>
      </c>
      <c r="D1267">
        <v>8</v>
      </c>
      <c r="E1267" t="s">
        <v>29</v>
      </c>
      <c r="F1267" t="s">
        <v>63</v>
      </c>
      <c r="G1267" s="23">
        <v>43320</v>
      </c>
      <c r="H1267" t="s">
        <v>5868</v>
      </c>
      <c r="I1267" t="s">
        <v>5869</v>
      </c>
      <c r="J1267" t="s">
        <v>5870</v>
      </c>
    </row>
    <row r="1268" spans="1:10">
      <c r="A1268" t="s">
        <v>5871</v>
      </c>
      <c r="B1268" t="s">
        <v>5871</v>
      </c>
      <c r="C1268" t="s">
        <v>547</v>
      </c>
      <c r="D1268">
        <v>11</v>
      </c>
      <c r="E1268" t="s">
        <v>31</v>
      </c>
      <c r="F1268" t="s">
        <v>63</v>
      </c>
      <c r="G1268" s="23">
        <v>42555</v>
      </c>
      <c r="H1268" t="s">
        <v>5872</v>
      </c>
      <c r="I1268" t="s">
        <v>5873</v>
      </c>
      <c r="J1268" t="s">
        <v>5874</v>
      </c>
    </row>
    <row r="1269" spans="1:10">
      <c r="A1269" t="s">
        <v>5875</v>
      </c>
      <c r="B1269" t="s">
        <v>5875</v>
      </c>
      <c r="C1269" t="s">
        <v>5876</v>
      </c>
      <c r="D1269">
        <v>1</v>
      </c>
      <c r="E1269" t="s">
        <v>31</v>
      </c>
      <c r="F1269" t="s">
        <v>63</v>
      </c>
      <c r="G1269" s="23">
        <v>43841</v>
      </c>
      <c r="H1269" t="s">
        <v>5877</v>
      </c>
      <c r="I1269" t="s">
        <v>5878</v>
      </c>
      <c r="J1269" t="s">
        <v>5879</v>
      </c>
    </row>
    <row r="1270" spans="1:10">
      <c r="A1270" t="s">
        <v>5880</v>
      </c>
      <c r="B1270" t="s">
        <v>5880</v>
      </c>
      <c r="C1270" t="s">
        <v>743</v>
      </c>
      <c r="D1270">
        <v>11</v>
      </c>
      <c r="E1270" t="s">
        <v>33</v>
      </c>
      <c r="F1270" t="s">
        <v>57</v>
      </c>
      <c r="G1270" s="23">
        <v>44573</v>
      </c>
      <c r="H1270" t="s">
        <v>5881</v>
      </c>
      <c r="I1270" t="s">
        <v>5882</v>
      </c>
      <c r="J1270" t="s">
        <v>5883</v>
      </c>
    </row>
    <row r="1271" spans="1:10">
      <c r="A1271" t="s">
        <v>5884</v>
      </c>
      <c r="B1271" t="s">
        <v>5884</v>
      </c>
      <c r="C1271" t="s">
        <v>5885</v>
      </c>
      <c r="D1271">
        <v>7</v>
      </c>
      <c r="E1271" t="s">
        <v>29</v>
      </c>
      <c r="F1271" t="s">
        <v>63</v>
      </c>
      <c r="G1271" s="23">
        <v>44754</v>
      </c>
      <c r="H1271" t="s">
        <v>5886</v>
      </c>
      <c r="I1271" t="s">
        <v>5887</v>
      </c>
      <c r="J1271" t="s">
        <v>5888</v>
      </c>
    </row>
    <row r="1272" spans="1:10">
      <c r="A1272" t="s">
        <v>5889</v>
      </c>
      <c r="B1272" t="s">
        <v>5889</v>
      </c>
      <c r="C1272" t="s">
        <v>5885</v>
      </c>
      <c r="D1272">
        <v>6</v>
      </c>
      <c r="E1272" t="s">
        <v>29</v>
      </c>
      <c r="F1272" t="s">
        <v>63</v>
      </c>
      <c r="G1272" s="23">
        <v>44573</v>
      </c>
      <c r="H1272" t="s">
        <v>5890</v>
      </c>
      <c r="I1272" t="s">
        <v>5891</v>
      </c>
      <c r="J1272" t="s">
        <v>5892</v>
      </c>
    </row>
    <row r="1273" spans="1:10">
      <c r="A1273" t="s">
        <v>5893</v>
      </c>
      <c r="B1273" t="s">
        <v>5893</v>
      </c>
      <c r="C1273" t="s">
        <v>5894</v>
      </c>
      <c r="D1273">
        <v>6</v>
      </c>
      <c r="E1273" t="s">
        <v>31</v>
      </c>
      <c r="F1273" t="s">
        <v>57</v>
      </c>
      <c r="G1273" s="23">
        <v>45975</v>
      </c>
      <c r="H1273" t="s">
        <v>5895</v>
      </c>
      <c r="I1273" t="s">
        <v>5896</v>
      </c>
      <c r="J1273" t="s">
        <v>5897</v>
      </c>
    </row>
    <row r="1274" spans="1:10">
      <c r="A1274" t="s">
        <v>5898</v>
      </c>
      <c r="B1274" t="s">
        <v>5898</v>
      </c>
      <c r="C1274" t="s">
        <v>5894</v>
      </c>
      <c r="D1274">
        <v>10</v>
      </c>
      <c r="E1274" t="s">
        <v>34</v>
      </c>
      <c r="F1274" t="s">
        <v>57</v>
      </c>
      <c r="G1274" s="23">
        <v>45761</v>
      </c>
      <c r="H1274" t="s">
        <v>5899</v>
      </c>
      <c r="I1274" t="s">
        <v>5900</v>
      </c>
      <c r="J1274" t="s">
        <v>5901</v>
      </c>
    </row>
    <row r="1275" spans="1:10">
      <c r="A1275" t="s">
        <v>5902</v>
      </c>
      <c r="B1275" t="s">
        <v>5902</v>
      </c>
      <c r="C1275" t="s">
        <v>452</v>
      </c>
      <c r="D1275">
        <v>0</v>
      </c>
      <c r="E1275" t="s">
        <v>31</v>
      </c>
      <c r="F1275" t="s">
        <v>57</v>
      </c>
      <c r="G1275" s="23">
        <v>44331</v>
      </c>
      <c r="H1275" t="s">
        <v>5903</v>
      </c>
      <c r="I1275" t="s">
        <v>5904</v>
      </c>
      <c r="J1275" t="s">
        <v>5905</v>
      </c>
    </row>
    <row r="1276" spans="1:10">
      <c r="A1276" t="s">
        <v>5906</v>
      </c>
      <c r="B1276" t="s">
        <v>5906</v>
      </c>
      <c r="C1276" t="s">
        <v>452</v>
      </c>
      <c r="D1276">
        <v>1</v>
      </c>
      <c r="E1276" t="s">
        <v>33</v>
      </c>
      <c r="F1276" t="s">
        <v>57</v>
      </c>
      <c r="G1276" s="23">
        <v>45491</v>
      </c>
      <c r="H1276" t="s">
        <v>5907</v>
      </c>
      <c r="I1276" t="s">
        <v>5908</v>
      </c>
      <c r="J1276" t="s">
        <v>5909</v>
      </c>
    </row>
    <row r="1277" spans="1:10">
      <c r="A1277" t="s">
        <v>5910</v>
      </c>
      <c r="B1277" t="s">
        <v>5910</v>
      </c>
      <c r="C1277" t="s">
        <v>452</v>
      </c>
      <c r="D1277">
        <v>0</v>
      </c>
      <c r="E1277" t="s">
        <v>31</v>
      </c>
      <c r="F1277" t="s">
        <v>57</v>
      </c>
      <c r="G1277" s="23">
        <v>44398</v>
      </c>
      <c r="H1277" t="s">
        <v>5911</v>
      </c>
      <c r="I1277" t="s">
        <v>5912</v>
      </c>
      <c r="J1277" t="s">
        <v>5913</v>
      </c>
    </row>
    <row r="1278" spans="1:10">
      <c r="A1278" t="s">
        <v>5914</v>
      </c>
      <c r="B1278" t="s">
        <v>5914</v>
      </c>
      <c r="C1278" t="s">
        <v>452</v>
      </c>
      <c r="D1278">
        <v>0</v>
      </c>
      <c r="E1278" t="s">
        <v>31</v>
      </c>
      <c r="F1278" t="s">
        <v>57</v>
      </c>
      <c r="G1278" s="23">
        <v>44398</v>
      </c>
      <c r="H1278" t="s">
        <v>5915</v>
      </c>
      <c r="I1278" t="s">
        <v>5916</v>
      </c>
      <c r="J1278" t="s">
        <v>5917</v>
      </c>
    </row>
    <row r="1279" spans="1:10">
      <c r="A1279" t="s">
        <v>5918</v>
      </c>
      <c r="B1279" t="s">
        <v>5918</v>
      </c>
      <c r="C1279" t="s">
        <v>452</v>
      </c>
      <c r="D1279">
        <v>0</v>
      </c>
      <c r="E1279" t="s">
        <v>31</v>
      </c>
      <c r="F1279" t="s">
        <v>57</v>
      </c>
      <c r="G1279" s="23">
        <v>44398</v>
      </c>
      <c r="H1279" t="s">
        <v>5919</v>
      </c>
      <c r="I1279" t="s">
        <v>5920</v>
      </c>
      <c r="J1279" t="s">
        <v>5921</v>
      </c>
    </row>
    <row r="1280" spans="1:10">
      <c r="A1280" t="s">
        <v>5922</v>
      </c>
      <c r="B1280" t="s">
        <v>5922</v>
      </c>
      <c r="C1280" t="s">
        <v>452</v>
      </c>
      <c r="D1280">
        <v>0</v>
      </c>
      <c r="E1280" t="s">
        <v>31</v>
      </c>
      <c r="F1280" t="s">
        <v>57</v>
      </c>
      <c r="G1280" s="23">
        <v>44398</v>
      </c>
      <c r="H1280" t="s">
        <v>5923</v>
      </c>
      <c r="I1280" t="s">
        <v>5924</v>
      </c>
      <c r="J1280" t="s">
        <v>5925</v>
      </c>
    </row>
    <row r="1281" spans="1:10">
      <c r="A1281" t="s">
        <v>5926</v>
      </c>
      <c r="B1281" t="s">
        <v>5926</v>
      </c>
      <c r="C1281" t="s">
        <v>452</v>
      </c>
      <c r="D1281">
        <v>1</v>
      </c>
      <c r="E1281" t="s">
        <v>33</v>
      </c>
      <c r="F1281" t="s">
        <v>57</v>
      </c>
      <c r="G1281" s="23">
        <v>45458</v>
      </c>
      <c r="H1281" t="s">
        <v>5927</v>
      </c>
      <c r="I1281" t="s">
        <v>5928</v>
      </c>
      <c r="J1281" t="s">
        <v>5929</v>
      </c>
    </row>
    <row r="1282" spans="1:10">
      <c r="A1282" t="s">
        <v>5930</v>
      </c>
      <c r="B1282" t="s">
        <v>5930</v>
      </c>
      <c r="C1282" t="s">
        <v>452</v>
      </c>
      <c r="D1282">
        <v>1</v>
      </c>
      <c r="E1282" t="s">
        <v>33</v>
      </c>
      <c r="F1282" t="s">
        <v>57</v>
      </c>
      <c r="G1282" s="23">
        <v>45641</v>
      </c>
      <c r="H1282" t="s">
        <v>5931</v>
      </c>
      <c r="I1282" t="s">
        <v>5932</v>
      </c>
      <c r="J1282" t="s">
        <v>5933</v>
      </c>
    </row>
    <row r="1283" spans="1:10">
      <c r="A1283" t="s">
        <v>5934</v>
      </c>
      <c r="B1283" t="s">
        <v>5934</v>
      </c>
      <c r="C1283" t="s">
        <v>452</v>
      </c>
      <c r="D1283">
        <v>0</v>
      </c>
      <c r="E1283" t="s">
        <v>31</v>
      </c>
      <c r="F1283" t="s">
        <v>57</v>
      </c>
      <c r="G1283" s="23">
        <v>44396</v>
      </c>
      <c r="H1283" t="s">
        <v>5935</v>
      </c>
      <c r="I1283" t="s">
        <v>5936</v>
      </c>
      <c r="J1283" t="s">
        <v>5937</v>
      </c>
    </row>
    <row r="1284" spans="1:10">
      <c r="A1284" t="s">
        <v>5938</v>
      </c>
      <c r="B1284" t="s">
        <v>5938</v>
      </c>
      <c r="C1284" t="s">
        <v>452</v>
      </c>
      <c r="D1284">
        <v>0</v>
      </c>
      <c r="E1284" t="s">
        <v>31</v>
      </c>
      <c r="F1284" t="s">
        <v>57</v>
      </c>
      <c r="G1284" s="23">
        <v>44396</v>
      </c>
      <c r="H1284" t="s">
        <v>5939</v>
      </c>
      <c r="I1284" t="s">
        <v>5940</v>
      </c>
      <c r="J1284" t="s">
        <v>5941</v>
      </c>
    </row>
    <row r="1285" spans="1:10">
      <c r="A1285" t="s">
        <v>5942</v>
      </c>
      <c r="B1285" t="s">
        <v>5942</v>
      </c>
      <c r="C1285" t="s">
        <v>452</v>
      </c>
      <c r="D1285">
        <v>0</v>
      </c>
      <c r="E1285" t="s">
        <v>31</v>
      </c>
      <c r="F1285" t="s">
        <v>57</v>
      </c>
      <c r="G1285" s="23">
        <v>44398</v>
      </c>
      <c r="H1285" t="s">
        <v>5943</v>
      </c>
      <c r="I1285" t="s">
        <v>5944</v>
      </c>
      <c r="J1285" t="s">
        <v>5945</v>
      </c>
    </row>
    <row r="1286" spans="1:10">
      <c r="A1286" t="s">
        <v>5946</v>
      </c>
      <c r="B1286" t="s">
        <v>5946</v>
      </c>
      <c r="C1286" t="s">
        <v>452</v>
      </c>
      <c r="D1286">
        <v>0</v>
      </c>
      <c r="E1286" t="s">
        <v>31</v>
      </c>
      <c r="F1286" t="s">
        <v>57</v>
      </c>
      <c r="G1286" s="23">
        <v>44398</v>
      </c>
      <c r="H1286" t="s">
        <v>5947</v>
      </c>
      <c r="I1286" t="s">
        <v>5948</v>
      </c>
      <c r="J1286" t="s">
        <v>5949</v>
      </c>
    </row>
    <row r="1287" spans="1:10">
      <c r="A1287" t="s">
        <v>5950</v>
      </c>
      <c r="B1287" t="s">
        <v>5950</v>
      </c>
      <c r="C1287" t="s">
        <v>452</v>
      </c>
      <c r="D1287">
        <v>0</v>
      </c>
      <c r="E1287" t="s">
        <v>31</v>
      </c>
      <c r="F1287" t="s">
        <v>57</v>
      </c>
      <c r="G1287" s="23">
        <v>44398</v>
      </c>
      <c r="H1287" t="s">
        <v>5951</v>
      </c>
      <c r="I1287" t="s">
        <v>5952</v>
      </c>
      <c r="J1287" t="s">
        <v>5953</v>
      </c>
    </row>
    <row r="1288" spans="1:10">
      <c r="A1288" t="s">
        <v>5954</v>
      </c>
      <c r="B1288" t="s">
        <v>5954</v>
      </c>
      <c r="C1288" t="s">
        <v>2215</v>
      </c>
      <c r="D1288">
        <v>16</v>
      </c>
      <c r="E1288" t="s">
        <v>34</v>
      </c>
      <c r="F1288" t="s">
        <v>57</v>
      </c>
      <c r="G1288" s="23">
        <v>44712</v>
      </c>
      <c r="H1288" t="s">
        <v>5955</v>
      </c>
      <c r="I1288" t="s">
        <v>5956</v>
      </c>
      <c r="J1288" t="s">
        <v>5957</v>
      </c>
    </row>
    <row r="1289" spans="1:10">
      <c r="A1289" t="s">
        <v>5958</v>
      </c>
      <c r="B1289" t="s">
        <v>5958</v>
      </c>
      <c r="C1289" t="s">
        <v>253</v>
      </c>
      <c r="D1289">
        <v>16</v>
      </c>
      <c r="E1289" t="s">
        <v>33</v>
      </c>
      <c r="F1289" t="s">
        <v>57</v>
      </c>
      <c r="G1289" s="23">
        <v>43386</v>
      </c>
      <c r="H1289" t="s">
        <v>5959</v>
      </c>
      <c r="I1289" t="s">
        <v>5960</v>
      </c>
      <c r="J1289" t="s">
        <v>5961</v>
      </c>
    </row>
    <row r="1290" spans="1:10">
      <c r="A1290" t="s">
        <v>5962</v>
      </c>
      <c r="B1290" t="s">
        <v>5962</v>
      </c>
      <c r="C1290" t="s">
        <v>253</v>
      </c>
      <c r="D1290">
        <v>20</v>
      </c>
      <c r="E1290" t="s">
        <v>34</v>
      </c>
      <c r="F1290" t="s">
        <v>57</v>
      </c>
      <c r="G1290" s="23">
        <v>43680</v>
      </c>
      <c r="H1290" t="s">
        <v>5963</v>
      </c>
      <c r="I1290" t="s">
        <v>5964</v>
      </c>
      <c r="J1290" t="s">
        <v>5965</v>
      </c>
    </row>
    <row r="1291" spans="1:10">
      <c r="A1291" t="s">
        <v>5966</v>
      </c>
      <c r="B1291" t="s">
        <v>5966</v>
      </c>
      <c r="C1291" t="s">
        <v>253</v>
      </c>
      <c r="D1291">
        <v>12</v>
      </c>
      <c r="E1291" t="s">
        <v>34</v>
      </c>
      <c r="F1291" t="s">
        <v>57</v>
      </c>
      <c r="G1291" s="23">
        <v>43963</v>
      </c>
      <c r="H1291" t="s">
        <v>5967</v>
      </c>
      <c r="I1291" t="s">
        <v>5968</v>
      </c>
      <c r="J1291" t="s">
        <v>5969</v>
      </c>
    </row>
    <row r="1292" spans="1:10">
      <c r="A1292" t="s">
        <v>5970</v>
      </c>
      <c r="B1292" t="s">
        <v>5970</v>
      </c>
      <c r="C1292" t="s">
        <v>5971</v>
      </c>
      <c r="D1292">
        <v>14</v>
      </c>
      <c r="E1292" t="s">
        <v>33</v>
      </c>
      <c r="F1292" t="s">
        <v>63</v>
      </c>
      <c r="G1292" s="23">
        <v>46029</v>
      </c>
      <c r="H1292" t="s">
        <v>5972</v>
      </c>
      <c r="I1292" t="s">
        <v>5973</v>
      </c>
      <c r="J1292" t="s">
        <v>5974</v>
      </c>
    </row>
    <row r="1293" spans="1:10">
      <c r="A1293" t="s">
        <v>5975</v>
      </c>
      <c r="B1293" t="s">
        <v>5975</v>
      </c>
      <c r="C1293" t="s">
        <v>452</v>
      </c>
      <c r="D1293">
        <v>27</v>
      </c>
      <c r="E1293" t="s">
        <v>31</v>
      </c>
      <c r="F1293" t="s">
        <v>57</v>
      </c>
      <c r="G1293" s="23">
        <v>44405</v>
      </c>
      <c r="H1293" t="s">
        <v>5976</v>
      </c>
      <c r="I1293" t="s">
        <v>5977</v>
      </c>
      <c r="J1293" t="s">
        <v>5978</v>
      </c>
    </row>
    <row r="1294" spans="1:10">
      <c r="A1294" t="s">
        <v>5979</v>
      </c>
      <c r="B1294" t="s">
        <v>5979</v>
      </c>
      <c r="C1294" t="s">
        <v>452</v>
      </c>
      <c r="D1294">
        <v>19</v>
      </c>
      <c r="E1294" t="s">
        <v>34</v>
      </c>
      <c r="F1294" t="s">
        <v>57</v>
      </c>
      <c r="G1294" s="23">
        <v>45305</v>
      </c>
      <c r="H1294" t="s">
        <v>5980</v>
      </c>
      <c r="I1294" t="s">
        <v>5981</v>
      </c>
      <c r="J1294" t="s">
        <v>5982</v>
      </c>
    </row>
    <row r="1295" spans="1:10">
      <c r="A1295" t="s">
        <v>5983</v>
      </c>
      <c r="B1295" t="s">
        <v>5983</v>
      </c>
      <c r="C1295" t="s">
        <v>865</v>
      </c>
      <c r="D1295">
        <v>20</v>
      </c>
      <c r="E1295" t="s">
        <v>34</v>
      </c>
      <c r="F1295" t="s">
        <v>57</v>
      </c>
      <c r="G1295" s="23">
        <v>46212</v>
      </c>
      <c r="H1295" t="s">
        <v>5984</v>
      </c>
      <c r="I1295" t="s">
        <v>5985</v>
      </c>
      <c r="J1295" t="s">
        <v>5986</v>
      </c>
    </row>
    <row r="1296" spans="1:10">
      <c r="A1296" t="s">
        <v>5987</v>
      </c>
      <c r="B1296" t="s">
        <v>5987</v>
      </c>
      <c r="C1296" t="s">
        <v>5988</v>
      </c>
      <c r="D1296">
        <v>17</v>
      </c>
      <c r="E1296" t="s">
        <v>34</v>
      </c>
      <c r="F1296" t="s">
        <v>57</v>
      </c>
      <c r="G1296" s="23">
        <v>44445</v>
      </c>
      <c r="H1296" t="s">
        <v>5989</v>
      </c>
      <c r="I1296" t="s">
        <v>5990</v>
      </c>
      <c r="J1296" t="s">
        <v>5991</v>
      </c>
    </row>
    <row r="1297" spans="1:10">
      <c r="A1297" t="s">
        <v>5992</v>
      </c>
      <c r="B1297" t="s">
        <v>5992</v>
      </c>
      <c r="C1297" t="s">
        <v>5993</v>
      </c>
      <c r="D1297">
        <v>1</v>
      </c>
      <c r="E1297" t="s">
        <v>33</v>
      </c>
      <c r="F1297" t="s">
        <v>57</v>
      </c>
      <c r="G1297" s="23">
        <v>44263</v>
      </c>
      <c r="H1297" t="s">
        <v>5994</v>
      </c>
      <c r="I1297" t="s">
        <v>5995</v>
      </c>
      <c r="J1297" t="s">
        <v>5996</v>
      </c>
    </row>
    <row r="1298" spans="1:10">
      <c r="A1298" t="s">
        <v>5997</v>
      </c>
      <c r="B1298" t="s">
        <v>5997</v>
      </c>
      <c r="C1298" t="s">
        <v>5998</v>
      </c>
      <c r="D1298">
        <v>12</v>
      </c>
      <c r="E1298" t="s">
        <v>34</v>
      </c>
      <c r="F1298" t="s">
        <v>57</v>
      </c>
      <c r="G1298" s="23">
        <v>44840</v>
      </c>
      <c r="H1298" t="s">
        <v>5999</v>
      </c>
      <c r="I1298" t="s">
        <v>6000</v>
      </c>
      <c r="J1298" t="s">
        <v>6001</v>
      </c>
    </row>
    <row r="1299" spans="1:10">
      <c r="A1299" t="s">
        <v>6002</v>
      </c>
      <c r="B1299" t="s">
        <v>6002</v>
      </c>
      <c r="C1299" t="s">
        <v>704</v>
      </c>
      <c r="D1299">
        <v>9</v>
      </c>
      <c r="E1299" t="s">
        <v>33</v>
      </c>
      <c r="F1299" t="s">
        <v>115</v>
      </c>
      <c r="G1299" s="23">
        <v>44586</v>
      </c>
      <c r="H1299" t="s">
        <v>6003</v>
      </c>
      <c r="I1299" t="s">
        <v>6004</v>
      </c>
      <c r="J1299" t="s">
        <v>6005</v>
      </c>
    </row>
    <row r="1300" spans="1:10">
      <c r="A1300" t="s">
        <v>6006</v>
      </c>
      <c r="B1300" t="s">
        <v>6006</v>
      </c>
      <c r="C1300" t="s">
        <v>2269</v>
      </c>
      <c r="D1300">
        <v>4</v>
      </c>
      <c r="E1300" t="s">
        <v>35</v>
      </c>
      <c r="F1300" t="s">
        <v>6007</v>
      </c>
      <c r="G1300" s="23">
        <v>45799</v>
      </c>
      <c r="H1300" t="s">
        <v>6008</v>
      </c>
      <c r="I1300" t="s">
        <v>6009</v>
      </c>
      <c r="J1300" t="s">
        <v>6010</v>
      </c>
    </row>
    <row r="1301" spans="1:10">
      <c r="A1301" t="s">
        <v>6011</v>
      </c>
      <c r="B1301" t="s">
        <v>6011</v>
      </c>
      <c r="C1301" t="s">
        <v>6012</v>
      </c>
      <c r="D1301">
        <v>5</v>
      </c>
      <c r="E1301" t="s">
        <v>34</v>
      </c>
      <c r="F1301" t="s">
        <v>57</v>
      </c>
      <c r="G1301" s="23">
        <v>45003</v>
      </c>
      <c r="H1301" t="s">
        <v>6013</v>
      </c>
      <c r="I1301" t="s">
        <v>6014</v>
      </c>
      <c r="J1301" t="s">
        <v>6015</v>
      </c>
    </row>
    <row r="1302" spans="1:10">
      <c r="A1302" t="s">
        <v>6016</v>
      </c>
      <c r="B1302" t="s">
        <v>6016</v>
      </c>
      <c r="C1302" t="s">
        <v>870</v>
      </c>
      <c r="D1302">
        <v>1</v>
      </c>
      <c r="E1302" t="s">
        <v>36</v>
      </c>
      <c r="F1302" t="s">
        <v>89</v>
      </c>
      <c r="G1302" s="23">
        <v>45403</v>
      </c>
      <c r="H1302" t="s">
        <v>6017</v>
      </c>
      <c r="I1302" t="s">
        <v>6018</v>
      </c>
      <c r="J1302" t="s">
        <v>6019</v>
      </c>
    </row>
    <row r="1303" spans="1:10">
      <c r="A1303" t="s">
        <v>6020</v>
      </c>
      <c r="B1303" t="s">
        <v>6020</v>
      </c>
      <c r="C1303" t="s">
        <v>6021</v>
      </c>
      <c r="D1303">
        <v>119</v>
      </c>
      <c r="E1303" t="s">
        <v>34</v>
      </c>
      <c r="F1303" t="s">
        <v>63</v>
      </c>
      <c r="G1303" s="23">
        <v>45433</v>
      </c>
      <c r="H1303" t="s">
        <v>6022</v>
      </c>
      <c r="I1303" t="s">
        <v>6023</v>
      </c>
      <c r="J1303" t="s">
        <v>6024</v>
      </c>
    </row>
    <row r="1304" spans="1:10">
      <c r="A1304" t="s">
        <v>6025</v>
      </c>
      <c r="B1304" t="s">
        <v>6025</v>
      </c>
      <c r="C1304" t="s">
        <v>1097</v>
      </c>
      <c r="D1304">
        <v>20</v>
      </c>
      <c r="E1304" t="s">
        <v>31</v>
      </c>
      <c r="F1304" t="s">
        <v>63</v>
      </c>
      <c r="G1304" s="23">
        <v>43136</v>
      </c>
      <c r="H1304" t="s">
        <v>6026</v>
      </c>
      <c r="I1304" t="s">
        <v>6027</v>
      </c>
      <c r="J1304" t="s">
        <v>6028</v>
      </c>
    </row>
    <row r="1305" spans="1:10">
      <c r="A1305" t="s">
        <v>6029</v>
      </c>
      <c r="B1305" t="s">
        <v>6029</v>
      </c>
      <c r="C1305" t="s">
        <v>2142</v>
      </c>
      <c r="D1305">
        <v>0</v>
      </c>
      <c r="E1305" t="s">
        <v>35</v>
      </c>
      <c r="F1305" t="s">
        <v>57</v>
      </c>
      <c r="G1305" s="23">
        <v>43774</v>
      </c>
      <c r="H1305" t="s">
        <v>6030</v>
      </c>
      <c r="I1305" t="s">
        <v>6031</v>
      </c>
      <c r="J1305" t="s">
        <v>6032</v>
      </c>
    </row>
    <row r="1306" spans="1:10">
      <c r="A1306" t="s">
        <v>6033</v>
      </c>
      <c r="B1306" t="s">
        <v>6033</v>
      </c>
      <c r="C1306" t="s">
        <v>2493</v>
      </c>
      <c r="D1306">
        <v>22</v>
      </c>
      <c r="E1306" t="s">
        <v>33</v>
      </c>
      <c r="F1306" t="s">
        <v>63</v>
      </c>
      <c r="G1306" s="23">
        <v>43114</v>
      </c>
      <c r="H1306" t="s">
        <v>6034</v>
      </c>
      <c r="I1306" t="s">
        <v>6035</v>
      </c>
      <c r="J1306" t="s">
        <v>6036</v>
      </c>
    </row>
    <row r="1307" spans="1:10">
      <c r="A1307" t="s">
        <v>6037</v>
      </c>
      <c r="B1307" t="s">
        <v>6037</v>
      </c>
      <c r="C1307" t="s">
        <v>6038</v>
      </c>
      <c r="D1307">
        <v>19</v>
      </c>
      <c r="E1307" t="s">
        <v>31</v>
      </c>
      <c r="F1307" t="s">
        <v>63</v>
      </c>
      <c r="G1307" s="23">
        <v>44266</v>
      </c>
      <c r="H1307" t="s">
        <v>6039</v>
      </c>
      <c r="I1307" t="s">
        <v>6040</v>
      </c>
      <c r="J1307" t="s">
        <v>6041</v>
      </c>
    </row>
    <row r="1308" spans="1:10">
      <c r="A1308" t="s">
        <v>6042</v>
      </c>
      <c r="B1308" t="s">
        <v>6042</v>
      </c>
      <c r="C1308" t="s">
        <v>4638</v>
      </c>
      <c r="D1308">
        <v>32</v>
      </c>
      <c r="E1308" t="s">
        <v>31</v>
      </c>
      <c r="F1308" t="s">
        <v>63</v>
      </c>
      <c r="G1308" s="23">
        <v>42699</v>
      </c>
      <c r="H1308" t="s">
        <v>6043</v>
      </c>
      <c r="I1308" t="s">
        <v>6044</v>
      </c>
      <c r="J1308" t="s">
        <v>6045</v>
      </c>
    </row>
    <row r="1309" spans="1:10">
      <c r="A1309" t="s">
        <v>6046</v>
      </c>
      <c r="B1309" t="s">
        <v>6046</v>
      </c>
      <c r="C1309" t="s">
        <v>4638</v>
      </c>
      <c r="D1309">
        <v>5</v>
      </c>
      <c r="E1309" t="s">
        <v>31</v>
      </c>
      <c r="F1309" t="s">
        <v>63</v>
      </c>
      <c r="G1309" s="23">
        <v>42709</v>
      </c>
      <c r="H1309" t="s">
        <v>6047</v>
      </c>
      <c r="I1309" t="s">
        <v>6048</v>
      </c>
      <c r="J1309" t="s">
        <v>6049</v>
      </c>
    </row>
    <row r="1310" spans="1:10">
      <c r="A1310" t="s">
        <v>6050</v>
      </c>
      <c r="B1310" t="s">
        <v>6050</v>
      </c>
      <c r="C1310" t="s">
        <v>233</v>
      </c>
      <c r="D1310">
        <v>12</v>
      </c>
      <c r="E1310" t="s">
        <v>31</v>
      </c>
      <c r="F1310" t="s">
        <v>63</v>
      </c>
      <c r="G1310" s="23">
        <v>44843</v>
      </c>
      <c r="H1310" t="s">
        <v>6051</v>
      </c>
      <c r="I1310" t="s">
        <v>6052</v>
      </c>
      <c r="J1310" t="s">
        <v>6053</v>
      </c>
    </row>
    <row r="1311" spans="1:10">
      <c r="A1311" t="s">
        <v>6054</v>
      </c>
      <c r="B1311" t="s">
        <v>6054</v>
      </c>
      <c r="C1311" t="s">
        <v>6055</v>
      </c>
      <c r="D1311">
        <v>22</v>
      </c>
      <c r="E1311" t="s">
        <v>33</v>
      </c>
      <c r="F1311" t="s">
        <v>57</v>
      </c>
      <c r="G1311" s="23">
        <v>45399</v>
      </c>
      <c r="H1311" t="s">
        <v>6056</v>
      </c>
      <c r="I1311" t="s">
        <v>6057</v>
      </c>
      <c r="J1311" t="s">
        <v>6058</v>
      </c>
    </row>
    <row r="1312" spans="1:10">
      <c r="A1312" t="s">
        <v>6059</v>
      </c>
      <c r="B1312" t="s">
        <v>6059</v>
      </c>
      <c r="C1312" t="s">
        <v>4619</v>
      </c>
      <c r="D1312">
        <v>39</v>
      </c>
      <c r="E1312" t="s">
        <v>33</v>
      </c>
      <c r="F1312" t="s">
        <v>63</v>
      </c>
      <c r="G1312" s="23">
        <v>42671</v>
      </c>
      <c r="H1312" t="s">
        <v>6060</v>
      </c>
      <c r="I1312" t="s">
        <v>6061</v>
      </c>
      <c r="J1312" t="s">
        <v>6062</v>
      </c>
    </row>
    <row r="1313" spans="1:10">
      <c r="A1313" t="s">
        <v>6063</v>
      </c>
      <c r="B1313" t="s">
        <v>6063</v>
      </c>
      <c r="C1313" t="s">
        <v>6064</v>
      </c>
      <c r="D1313">
        <v>28</v>
      </c>
      <c r="E1313" t="s">
        <v>34</v>
      </c>
      <c r="F1313" t="s">
        <v>57</v>
      </c>
      <c r="G1313" s="23">
        <v>44425</v>
      </c>
      <c r="H1313" t="s">
        <v>6065</v>
      </c>
      <c r="I1313" t="s">
        <v>6066</v>
      </c>
      <c r="J1313" t="s">
        <v>6067</v>
      </c>
    </row>
    <row r="1314" spans="1:10">
      <c r="A1314" t="s">
        <v>6068</v>
      </c>
      <c r="B1314" t="s">
        <v>6068</v>
      </c>
      <c r="C1314" t="s">
        <v>6064</v>
      </c>
      <c r="D1314">
        <v>28</v>
      </c>
      <c r="E1314" t="s">
        <v>34</v>
      </c>
      <c r="F1314" t="s">
        <v>57</v>
      </c>
      <c r="G1314" s="23">
        <v>44964</v>
      </c>
      <c r="H1314" t="s">
        <v>6069</v>
      </c>
      <c r="I1314" t="s">
        <v>6070</v>
      </c>
      <c r="J1314" t="s">
        <v>6071</v>
      </c>
    </row>
    <row r="1315" spans="1:10">
      <c r="A1315" t="s">
        <v>6072</v>
      </c>
      <c r="B1315" t="s">
        <v>6072</v>
      </c>
      <c r="C1315" t="s">
        <v>6073</v>
      </c>
      <c r="D1315">
        <v>15</v>
      </c>
      <c r="E1315" t="s">
        <v>34</v>
      </c>
      <c r="F1315" t="s">
        <v>57</v>
      </c>
      <c r="G1315" s="23">
        <v>46173</v>
      </c>
      <c r="H1315" t="s">
        <v>6074</v>
      </c>
      <c r="I1315" t="s">
        <v>6075</v>
      </c>
      <c r="J1315" t="s">
        <v>6076</v>
      </c>
    </row>
    <row r="1316" spans="1:10">
      <c r="A1316" t="s">
        <v>6077</v>
      </c>
      <c r="B1316" t="s">
        <v>6077</v>
      </c>
      <c r="C1316" t="s">
        <v>1306</v>
      </c>
      <c r="D1316">
        <v>26</v>
      </c>
      <c r="E1316" t="s">
        <v>33</v>
      </c>
      <c r="F1316" t="s">
        <v>115</v>
      </c>
      <c r="G1316" s="23">
        <v>44595</v>
      </c>
      <c r="H1316" t="s">
        <v>6078</v>
      </c>
      <c r="I1316" t="s">
        <v>6079</v>
      </c>
      <c r="J1316" t="s">
        <v>6080</v>
      </c>
    </row>
    <row r="1317" spans="1:10">
      <c r="A1317" t="s">
        <v>6081</v>
      </c>
      <c r="B1317" t="s">
        <v>6081</v>
      </c>
      <c r="C1317" t="s">
        <v>723</v>
      </c>
      <c r="D1317">
        <v>14</v>
      </c>
      <c r="E1317" t="s">
        <v>34</v>
      </c>
      <c r="F1317" t="s">
        <v>57</v>
      </c>
      <c r="G1317" s="23">
        <v>46017</v>
      </c>
      <c r="H1317" t="s">
        <v>6082</v>
      </c>
      <c r="I1317" t="s">
        <v>6083</v>
      </c>
      <c r="J1317" t="s">
        <v>6084</v>
      </c>
    </row>
    <row r="1318" spans="1:10">
      <c r="A1318" t="s">
        <v>6085</v>
      </c>
      <c r="B1318" t="s">
        <v>6085</v>
      </c>
      <c r="C1318" t="s">
        <v>6086</v>
      </c>
      <c r="D1318">
        <v>7</v>
      </c>
      <c r="E1318" t="s">
        <v>31</v>
      </c>
      <c r="F1318" t="s">
        <v>57</v>
      </c>
      <c r="G1318" s="23">
        <v>45317</v>
      </c>
      <c r="H1318" t="s">
        <v>6087</v>
      </c>
      <c r="I1318" t="s">
        <v>6088</v>
      </c>
      <c r="J1318" t="s">
        <v>6089</v>
      </c>
    </row>
    <row r="1319" spans="1:10">
      <c r="A1319" t="s">
        <v>6090</v>
      </c>
      <c r="B1319" t="s">
        <v>6090</v>
      </c>
      <c r="C1319" t="s">
        <v>6091</v>
      </c>
      <c r="D1319">
        <v>6</v>
      </c>
      <c r="E1319" t="s">
        <v>27</v>
      </c>
      <c r="F1319" t="s">
        <v>63</v>
      </c>
      <c r="G1319" s="23">
        <v>41461</v>
      </c>
      <c r="H1319" t="s">
        <v>6092</v>
      </c>
      <c r="I1319" t="s">
        <v>6093</v>
      </c>
      <c r="J1319" t="s">
        <v>6094</v>
      </c>
    </row>
    <row r="1320" spans="1:10">
      <c r="A1320" t="s">
        <v>6095</v>
      </c>
      <c r="B1320" t="s">
        <v>6095</v>
      </c>
      <c r="C1320" t="s">
        <v>6096</v>
      </c>
      <c r="D1320">
        <v>28</v>
      </c>
      <c r="E1320" t="s">
        <v>35</v>
      </c>
      <c r="F1320" t="s">
        <v>57</v>
      </c>
      <c r="G1320" s="23">
        <v>45202</v>
      </c>
      <c r="H1320" t="s">
        <v>6097</v>
      </c>
      <c r="I1320" t="s">
        <v>6098</v>
      </c>
      <c r="J1320" t="s">
        <v>6099</v>
      </c>
    </row>
    <row r="1321" spans="1:10">
      <c r="A1321" t="s">
        <v>6100</v>
      </c>
      <c r="B1321" t="s">
        <v>6100</v>
      </c>
      <c r="C1321" t="s">
        <v>6101</v>
      </c>
      <c r="D1321">
        <v>26</v>
      </c>
      <c r="E1321" t="s">
        <v>35</v>
      </c>
      <c r="F1321" t="s">
        <v>57</v>
      </c>
      <c r="G1321" s="23">
        <v>45654</v>
      </c>
      <c r="H1321" t="s">
        <v>6102</v>
      </c>
      <c r="I1321" t="s">
        <v>6103</v>
      </c>
      <c r="J1321" t="s">
        <v>6104</v>
      </c>
    </row>
    <row r="1322" spans="1:10">
      <c r="A1322" t="s">
        <v>6105</v>
      </c>
      <c r="B1322" t="s">
        <v>6105</v>
      </c>
      <c r="C1322" t="s">
        <v>3028</v>
      </c>
      <c r="D1322">
        <v>6</v>
      </c>
      <c r="E1322" t="s">
        <v>31</v>
      </c>
      <c r="F1322" t="s">
        <v>57</v>
      </c>
      <c r="G1322" s="23">
        <v>44426</v>
      </c>
      <c r="H1322" t="s">
        <v>6106</v>
      </c>
      <c r="I1322" t="s">
        <v>6107</v>
      </c>
      <c r="J1322" t="s">
        <v>6108</v>
      </c>
    </row>
    <row r="1323" spans="1:10">
      <c r="A1323" t="s">
        <v>6109</v>
      </c>
      <c r="B1323" t="s">
        <v>6109</v>
      </c>
      <c r="C1323" t="s">
        <v>6110</v>
      </c>
      <c r="D1323">
        <v>7</v>
      </c>
      <c r="E1323" t="s">
        <v>31</v>
      </c>
      <c r="F1323" t="s">
        <v>63</v>
      </c>
      <c r="G1323" s="23">
        <v>44025</v>
      </c>
      <c r="H1323" t="s">
        <v>6111</v>
      </c>
      <c r="I1323" t="s">
        <v>6112</v>
      </c>
      <c r="J1323" t="s">
        <v>6113</v>
      </c>
    </row>
    <row r="1324" spans="1:10">
      <c r="A1324" t="s">
        <v>6114</v>
      </c>
      <c r="B1324" t="s">
        <v>6114</v>
      </c>
      <c r="C1324" t="s">
        <v>3865</v>
      </c>
      <c r="D1324">
        <v>3</v>
      </c>
      <c r="E1324" t="s">
        <v>35</v>
      </c>
      <c r="F1324" t="s">
        <v>57</v>
      </c>
      <c r="G1324" s="23">
        <v>44673</v>
      </c>
      <c r="H1324" t="s">
        <v>6115</v>
      </c>
      <c r="I1324" t="s">
        <v>6116</v>
      </c>
      <c r="J1324" t="s">
        <v>6117</v>
      </c>
    </row>
    <row r="1325" spans="1:10">
      <c r="A1325" t="s">
        <v>6118</v>
      </c>
      <c r="B1325" t="s">
        <v>6118</v>
      </c>
      <c r="C1325" t="s">
        <v>6119</v>
      </c>
      <c r="D1325">
        <v>15</v>
      </c>
      <c r="E1325" t="s">
        <v>33</v>
      </c>
      <c r="F1325" t="s">
        <v>57</v>
      </c>
      <c r="G1325" s="23">
        <v>45424</v>
      </c>
      <c r="H1325" t="s">
        <v>6120</v>
      </c>
      <c r="I1325" t="s">
        <v>6121</v>
      </c>
      <c r="J1325" t="s">
        <v>6122</v>
      </c>
    </row>
    <row r="1326" spans="1:10">
      <c r="A1326" t="s">
        <v>6123</v>
      </c>
      <c r="B1326" t="s">
        <v>6123</v>
      </c>
      <c r="C1326" t="s">
        <v>1870</v>
      </c>
      <c r="D1326">
        <v>16</v>
      </c>
      <c r="E1326" t="s">
        <v>35</v>
      </c>
      <c r="F1326" t="s">
        <v>57</v>
      </c>
      <c r="G1326" s="23">
        <v>45740</v>
      </c>
      <c r="H1326" t="s">
        <v>6124</v>
      </c>
      <c r="I1326" t="s">
        <v>6125</v>
      </c>
      <c r="J1326" t="s">
        <v>6126</v>
      </c>
    </row>
    <row r="1327" spans="1:10">
      <c r="A1327" t="s">
        <v>6127</v>
      </c>
      <c r="B1327" t="s">
        <v>6127</v>
      </c>
      <c r="C1327" t="s">
        <v>2081</v>
      </c>
      <c r="D1327">
        <v>6</v>
      </c>
      <c r="E1327" t="s">
        <v>33</v>
      </c>
      <c r="F1327" t="s">
        <v>57</v>
      </c>
      <c r="G1327" s="23">
        <v>45468</v>
      </c>
      <c r="H1327" t="s">
        <v>6128</v>
      </c>
      <c r="I1327" t="s">
        <v>6129</v>
      </c>
      <c r="J1327" t="s">
        <v>6130</v>
      </c>
    </row>
    <row r="1328" spans="1:10">
      <c r="A1328" t="s">
        <v>6131</v>
      </c>
      <c r="B1328" t="s">
        <v>6131</v>
      </c>
      <c r="C1328" t="s">
        <v>6132</v>
      </c>
      <c r="D1328">
        <v>8</v>
      </c>
      <c r="E1328" t="s">
        <v>35</v>
      </c>
      <c r="F1328" t="s">
        <v>57</v>
      </c>
      <c r="G1328" s="23">
        <v>46117</v>
      </c>
      <c r="H1328" t="s">
        <v>6133</v>
      </c>
      <c r="I1328" t="s">
        <v>6134</v>
      </c>
      <c r="J1328" t="s">
        <v>6135</v>
      </c>
    </row>
    <row r="1329" spans="1:10">
      <c r="A1329" t="s">
        <v>6136</v>
      </c>
      <c r="B1329" t="s">
        <v>6136</v>
      </c>
      <c r="C1329" t="s">
        <v>6137</v>
      </c>
      <c r="D1329">
        <v>14</v>
      </c>
      <c r="E1329" t="s">
        <v>33</v>
      </c>
      <c r="F1329" t="s">
        <v>57</v>
      </c>
      <c r="G1329" s="23">
        <v>45336</v>
      </c>
      <c r="H1329" t="s">
        <v>6138</v>
      </c>
      <c r="I1329" t="s">
        <v>6139</v>
      </c>
      <c r="J1329" t="s">
        <v>6140</v>
      </c>
    </row>
    <row r="1330" spans="1:10">
      <c r="A1330" t="s">
        <v>6141</v>
      </c>
      <c r="B1330" t="s">
        <v>6141</v>
      </c>
      <c r="C1330" t="s">
        <v>1575</v>
      </c>
      <c r="D1330">
        <v>14</v>
      </c>
      <c r="E1330" t="s">
        <v>33</v>
      </c>
      <c r="F1330" t="s">
        <v>57</v>
      </c>
      <c r="G1330" s="23">
        <v>45885</v>
      </c>
      <c r="H1330" t="s">
        <v>6142</v>
      </c>
      <c r="I1330" t="s">
        <v>6143</v>
      </c>
      <c r="J1330" t="s">
        <v>6144</v>
      </c>
    </row>
    <row r="1331" spans="1:10">
      <c r="A1331" t="s">
        <v>6145</v>
      </c>
      <c r="B1331" t="s">
        <v>6145</v>
      </c>
      <c r="C1331" t="s">
        <v>6146</v>
      </c>
      <c r="D1331">
        <v>10</v>
      </c>
      <c r="E1331" t="s">
        <v>34</v>
      </c>
      <c r="F1331" t="s">
        <v>63</v>
      </c>
      <c r="G1331" s="23">
        <v>45687</v>
      </c>
      <c r="H1331" t="s">
        <v>6147</v>
      </c>
      <c r="I1331" t="s">
        <v>6148</v>
      </c>
      <c r="J1331" t="s">
        <v>6149</v>
      </c>
    </row>
    <row r="1332" spans="1:10">
      <c r="A1332" t="s">
        <v>6150</v>
      </c>
      <c r="B1332" t="s">
        <v>6150</v>
      </c>
      <c r="C1332" t="s">
        <v>6151</v>
      </c>
      <c r="D1332">
        <v>1</v>
      </c>
      <c r="E1332" t="s">
        <v>31</v>
      </c>
      <c r="F1332" t="s">
        <v>57</v>
      </c>
      <c r="G1332" s="23">
        <v>43021</v>
      </c>
      <c r="H1332" t="s">
        <v>6152</v>
      </c>
      <c r="I1332" t="s">
        <v>6153</v>
      </c>
      <c r="J1332" t="s">
        <v>6154</v>
      </c>
    </row>
    <row r="1333" spans="1:10">
      <c r="A1333" t="s">
        <v>6155</v>
      </c>
      <c r="B1333" t="s">
        <v>6155</v>
      </c>
      <c r="C1333" t="s">
        <v>2152</v>
      </c>
      <c r="D1333">
        <v>46</v>
      </c>
      <c r="E1333" t="s">
        <v>31</v>
      </c>
      <c r="F1333" t="s">
        <v>63</v>
      </c>
      <c r="G1333" s="23">
        <v>45649</v>
      </c>
      <c r="H1333" t="s">
        <v>6156</v>
      </c>
      <c r="I1333" t="s">
        <v>6157</v>
      </c>
      <c r="J1333" t="s">
        <v>6158</v>
      </c>
    </row>
    <row r="1334" spans="1:10">
      <c r="A1334" t="s">
        <v>6159</v>
      </c>
      <c r="B1334" t="s">
        <v>6159</v>
      </c>
      <c r="C1334" t="s">
        <v>2152</v>
      </c>
      <c r="D1334">
        <v>92</v>
      </c>
      <c r="E1334" t="s">
        <v>31</v>
      </c>
      <c r="F1334" t="s">
        <v>63</v>
      </c>
      <c r="G1334" s="23">
        <v>45417</v>
      </c>
      <c r="H1334" t="s">
        <v>6160</v>
      </c>
      <c r="I1334" t="s">
        <v>6161</v>
      </c>
      <c r="J1334" t="s">
        <v>6162</v>
      </c>
    </row>
    <row r="1335" spans="1:10">
      <c r="A1335" t="s">
        <v>6163</v>
      </c>
      <c r="B1335" t="s">
        <v>6163</v>
      </c>
      <c r="C1335" t="s">
        <v>2879</v>
      </c>
      <c r="D1335">
        <v>1</v>
      </c>
      <c r="E1335" t="s">
        <v>31</v>
      </c>
      <c r="F1335" t="s">
        <v>63</v>
      </c>
      <c r="G1335" s="23">
        <v>45146</v>
      </c>
      <c r="H1335" t="s">
        <v>6164</v>
      </c>
      <c r="I1335" t="s">
        <v>6165</v>
      </c>
      <c r="J1335" t="s">
        <v>6166</v>
      </c>
    </row>
    <row r="1336" spans="1:10">
      <c r="A1336" t="s">
        <v>6167</v>
      </c>
      <c r="B1336" t="s">
        <v>6167</v>
      </c>
      <c r="C1336" t="s">
        <v>6168</v>
      </c>
      <c r="D1336">
        <v>18</v>
      </c>
      <c r="E1336" t="s">
        <v>27</v>
      </c>
      <c r="F1336" t="s">
        <v>63</v>
      </c>
      <c r="G1336" s="23">
        <v>42381</v>
      </c>
      <c r="H1336" t="s">
        <v>6169</v>
      </c>
      <c r="I1336" t="s">
        <v>6170</v>
      </c>
      <c r="J1336" t="s">
        <v>6171</v>
      </c>
    </row>
    <row r="1337" spans="1:10">
      <c r="A1337" t="s">
        <v>6172</v>
      </c>
      <c r="B1337" t="s">
        <v>6172</v>
      </c>
      <c r="C1337" t="s">
        <v>6173</v>
      </c>
      <c r="D1337">
        <v>82</v>
      </c>
      <c r="E1337" t="s">
        <v>35</v>
      </c>
      <c r="F1337" t="s">
        <v>115</v>
      </c>
      <c r="G1337" s="23">
        <v>45403</v>
      </c>
      <c r="H1337" t="s">
        <v>6174</v>
      </c>
      <c r="I1337" t="s">
        <v>6175</v>
      </c>
      <c r="J1337" t="s">
        <v>6176</v>
      </c>
    </row>
    <row r="1338" spans="1:10">
      <c r="A1338" t="s">
        <v>6177</v>
      </c>
      <c r="B1338" t="s">
        <v>6177</v>
      </c>
      <c r="C1338" t="s">
        <v>6178</v>
      </c>
      <c r="D1338">
        <v>4</v>
      </c>
      <c r="E1338" t="s">
        <v>35</v>
      </c>
      <c r="F1338" t="s">
        <v>57</v>
      </c>
      <c r="G1338" s="23">
        <v>43426</v>
      </c>
      <c r="H1338" t="s">
        <v>6179</v>
      </c>
      <c r="I1338" t="s">
        <v>6180</v>
      </c>
      <c r="J1338" t="s">
        <v>6181</v>
      </c>
    </row>
    <row r="1339" spans="1:10">
      <c r="A1339" t="s">
        <v>6182</v>
      </c>
      <c r="B1339" t="s">
        <v>6182</v>
      </c>
      <c r="C1339" t="s">
        <v>494</v>
      </c>
      <c r="D1339">
        <v>5</v>
      </c>
      <c r="E1339" t="s">
        <v>29</v>
      </c>
      <c r="F1339" t="s">
        <v>57</v>
      </c>
      <c r="G1339" s="23">
        <v>45060</v>
      </c>
      <c r="H1339" t="s">
        <v>6183</v>
      </c>
      <c r="I1339" t="s">
        <v>6184</v>
      </c>
      <c r="J1339" t="s">
        <v>6185</v>
      </c>
    </row>
    <row r="1340" spans="1:10">
      <c r="A1340" t="s">
        <v>6186</v>
      </c>
      <c r="B1340" t="s">
        <v>6186</v>
      </c>
      <c r="C1340" t="s">
        <v>5641</v>
      </c>
      <c r="D1340">
        <v>8</v>
      </c>
      <c r="E1340" t="s">
        <v>36</v>
      </c>
      <c r="F1340" t="s">
        <v>57</v>
      </c>
      <c r="G1340" s="23">
        <v>44466</v>
      </c>
      <c r="H1340" t="s">
        <v>6187</v>
      </c>
      <c r="I1340" t="s">
        <v>6188</v>
      </c>
      <c r="J1340" t="s">
        <v>6189</v>
      </c>
    </row>
    <row r="1341" spans="1:10">
      <c r="A1341" t="s">
        <v>6190</v>
      </c>
      <c r="B1341" t="s">
        <v>6190</v>
      </c>
      <c r="C1341" t="s">
        <v>2979</v>
      </c>
      <c r="D1341">
        <v>7</v>
      </c>
      <c r="E1341" t="s">
        <v>33</v>
      </c>
      <c r="F1341" t="s">
        <v>57</v>
      </c>
      <c r="G1341" s="23">
        <v>45779</v>
      </c>
      <c r="H1341" t="s">
        <v>6191</v>
      </c>
      <c r="I1341" t="s">
        <v>6192</v>
      </c>
      <c r="J1341" t="s">
        <v>6193</v>
      </c>
    </row>
    <row r="1342" spans="1:10">
      <c r="A1342" t="s">
        <v>6194</v>
      </c>
      <c r="B1342" t="s">
        <v>6194</v>
      </c>
      <c r="C1342" t="s">
        <v>6195</v>
      </c>
      <c r="D1342">
        <v>7</v>
      </c>
      <c r="E1342" t="s">
        <v>35</v>
      </c>
      <c r="F1342" t="s">
        <v>57</v>
      </c>
      <c r="G1342" s="23">
        <v>45135</v>
      </c>
      <c r="H1342" t="s">
        <v>6196</v>
      </c>
      <c r="I1342" t="s">
        <v>6197</v>
      </c>
      <c r="J1342" t="s">
        <v>6198</v>
      </c>
    </row>
    <row r="1343" spans="1:10">
      <c r="A1343" t="s">
        <v>6199</v>
      </c>
      <c r="B1343" t="s">
        <v>6199</v>
      </c>
      <c r="C1343" t="s">
        <v>1575</v>
      </c>
      <c r="D1343">
        <v>25</v>
      </c>
      <c r="E1343" t="s">
        <v>33</v>
      </c>
      <c r="F1343" t="s">
        <v>57</v>
      </c>
      <c r="G1343" s="23">
        <v>44400</v>
      </c>
      <c r="H1343" t="s">
        <v>6200</v>
      </c>
      <c r="I1343" t="s">
        <v>6201</v>
      </c>
      <c r="J1343" t="s">
        <v>6202</v>
      </c>
    </row>
    <row r="1344" spans="1:10">
      <c r="A1344" t="s">
        <v>6203</v>
      </c>
      <c r="B1344" t="s">
        <v>6203</v>
      </c>
      <c r="C1344" t="s">
        <v>6204</v>
      </c>
      <c r="D1344">
        <v>15</v>
      </c>
      <c r="E1344" t="s">
        <v>33</v>
      </c>
      <c r="F1344" t="s">
        <v>57</v>
      </c>
      <c r="G1344" s="23">
        <v>44417</v>
      </c>
      <c r="H1344" t="s">
        <v>6205</v>
      </c>
      <c r="I1344" t="s">
        <v>6206</v>
      </c>
      <c r="J1344" t="s">
        <v>6207</v>
      </c>
    </row>
    <row r="1345" spans="1:10">
      <c r="A1345" t="s">
        <v>6208</v>
      </c>
      <c r="B1345" t="s">
        <v>6208</v>
      </c>
      <c r="C1345" t="s">
        <v>199</v>
      </c>
      <c r="D1345">
        <v>4</v>
      </c>
      <c r="E1345" t="s">
        <v>34</v>
      </c>
      <c r="F1345" t="s">
        <v>57</v>
      </c>
      <c r="G1345" s="23">
        <v>44972</v>
      </c>
      <c r="H1345" t="s">
        <v>6209</v>
      </c>
      <c r="I1345" t="s">
        <v>6210</v>
      </c>
      <c r="J1345" t="s">
        <v>6211</v>
      </c>
    </row>
    <row r="1346" spans="1:10">
      <c r="A1346" t="s">
        <v>6212</v>
      </c>
      <c r="B1346" t="s">
        <v>6212</v>
      </c>
      <c r="C1346" t="s">
        <v>6213</v>
      </c>
      <c r="D1346">
        <v>12</v>
      </c>
      <c r="E1346" t="s">
        <v>29</v>
      </c>
      <c r="F1346" t="s">
        <v>63</v>
      </c>
      <c r="G1346" s="23">
        <v>42314</v>
      </c>
      <c r="H1346" t="s">
        <v>6214</v>
      </c>
      <c r="I1346" t="s">
        <v>6215</v>
      </c>
      <c r="J1346" t="s">
        <v>6216</v>
      </c>
    </row>
    <row r="1347" spans="1:10">
      <c r="A1347" t="s">
        <v>6217</v>
      </c>
      <c r="B1347" t="s">
        <v>6217</v>
      </c>
      <c r="C1347" t="s">
        <v>704</v>
      </c>
      <c r="D1347">
        <v>1</v>
      </c>
      <c r="E1347" t="s">
        <v>29</v>
      </c>
      <c r="F1347" t="s">
        <v>6218</v>
      </c>
      <c r="G1347" s="23">
        <v>45512</v>
      </c>
      <c r="H1347" t="s">
        <v>6219</v>
      </c>
      <c r="I1347" t="s">
        <v>6220</v>
      </c>
      <c r="J1347" t="s">
        <v>6221</v>
      </c>
    </row>
    <row r="1348" spans="1:10">
      <c r="A1348" t="s">
        <v>6222</v>
      </c>
      <c r="B1348" t="s">
        <v>6222</v>
      </c>
      <c r="C1348" t="s">
        <v>6223</v>
      </c>
      <c r="D1348">
        <v>16</v>
      </c>
      <c r="E1348" t="s">
        <v>34</v>
      </c>
      <c r="F1348" t="s">
        <v>57</v>
      </c>
      <c r="G1348" s="23">
        <v>45035</v>
      </c>
      <c r="H1348" t="s">
        <v>6224</v>
      </c>
      <c r="I1348" t="s">
        <v>6225</v>
      </c>
      <c r="J1348" t="s">
        <v>6226</v>
      </c>
    </row>
    <row r="1349" spans="1:10">
      <c r="A1349" t="s">
        <v>6227</v>
      </c>
      <c r="B1349" t="s">
        <v>6227</v>
      </c>
      <c r="C1349" t="s">
        <v>6228</v>
      </c>
      <c r="D1349">
        <v>29</v>
      </c>
      <c r="E1349" t="s">
        <v>34</v>
      </c>
      <c r="F1349" t="s">
        <v>57</v>
      </c>
      <c r="G1349" s="23">
        <v>46206</v>
      </c>
      <c r="H1349" t="s">
        <v>6229</v>
      </c>
      <c r="I1349" t="s">
        <v>6230</v>
      </c>
      <c r="J1349" t="s">
        <v>6231</v>
      </c>
    </row>
    <row r="1350" spans="1:10">
      <c r="A1350" t="s">
        <v>6232</v>
      </c>
      <c r="B1350" t="s">
        <v>6232</v>
      </c>
      <c r="C1350" t="s">
        <v>704</v>
      </c>
      <c r="D1350">
        <v>5</v>
      </c>
      <c r="E1350" t="s">
        <v>29</v>
      </c>
      <c r="F1350" t="s">
        <v>63</v>
      </c>
      <c r="G1350" s="23">
        <v>41856</v>
      </c>
      <c r="H1350" t="s">
        <v>6233</v>
      </c>
      <c r="I1350" t="s">
        <v>6234</v>
      </c>
      <c r="J1350" t="s">
        <v>6235</v>
      </c>
    </row>
    <row r="1351" spans="1:10">
      <c r="A1351" t="s">
        <v>6236</v>
      </c>
      <c r="B1351" t="s">
        <v>6236</v>
      </c>
      <c r="C1351" t="s">
        <v>5876</v>
      </c>
      <c r="D1351">
        <v>41</v>
      </c>
      <c r="E1351" t="s">
        <v>31</v>
      </c>
      <c r="F1351" t="s">
        <v>63</v>
      </c>
      <c r="G1351" s="23">
        <v>44863</v>
      </c>
      <c r="H1351" t="s">
        <v>6237</v>
      </c>
      <c r="I1351" t="s">
        <v>6238</v>
      </c>
      <c r="J1351" t="s">
        <v>6239</v>
      </c>
    </row>
    <row r="1352" spans="1:10">
      <c r="A1352" t="s">
        <v>6240</v>
      </c>
      <c r="B1352" t="s">
        <v>6240</v>
      </c>
      <c r="C1352" t="s">
        <v>590</v>
      </c>
      <c r="D1352">
        <v>11</v>
      </c>
      <c r="E1352" t="s">
        <v>33</v>
      </c>
      <c r="F1352" t="s">
        <v>57</v>
      </c>
      <c r="G1352" s="23">
        <v>44708</v>
      </c>
      <c r="H1352" t="s">
        <v>6241</v>
      </c>
      <c r="I1352" t="s">
        <v>6242</v>
      </c>
      <c r="J1352" t="s">
        <v>6243</v>
      </c>
    </row>
    <row r="1353" spans="1:10">
      <c r="A1353" t="s">
        <v>6244</v>
      </c>
      <c r="B1353" t="s">
        <v>6244</v>
      </c>
      <c r="C1353" t="s">
        <v>6245</v>
      </c>
      <c r="D1353">
        <v>7</v>
      </c>
      <c r="E1353" t="s">
        <v>35</v>
      </c>
      <c r="F1353" t="s">
        <v>57</v>
      </c>
      <c r="G1353" s="23">
        <v>45699</v>
      </c>
      <c r="H1353" t="s">
        <v>6246</v>
      </c>
      <c r="I1353" t="s">
        <v>6247</v>
      </c>
      <c r="J1353" t="s">
        <v>6248</v>
      </c>
    </row>
    <row r="1354" spans="1:10">
      <c r="A1354" t="s">
        <v>6249</v>
      </c>
      <c r="B1354" t="s">
        <v>6249</v>
      </c>
      <c r="C1354" t="s">
        <v>1570</v>
      </c>
      <c r="D1354">
        <v>2</v>
      </c>
      <c r="E1354" t="s">
        <v>35</v>
      </c>
      <c r="F1354" t="s">
        <v>57</v>
      </c>
      <c r="G1354" s="23">
        <v>45740</v>
      </c>
      <c r="H1354" t="s">
        <v>6250</v>
      </c>
      <c r="I1354" t="s">
        <v>6251</v>
      </c>
      <c r="J1354" t="s">
        <v>6252</v>
      </c>
    </row>
    <row r="1355" spans="1:10">
      <c r="A1355" t="s">
        <v>6253</v>
      </c>
      <c r="B1355" t="s">
        <v>6253</v>
      </c>
      <c r="C1355" t="s">
        <v>6254</v>
      </c>
      <c r="D1355">
        <v>14</v>
      </c>
      <c r="E1355" t="s">
        <v>34</v>
      </c>
      <c r="F1355" t="s">
        <v>57</v>
      </c>
      <c r="G1355" s="23">
        <v>45709</v>
      </c>
      <c r="H1355" t="s">
        <v>6255</v>
      </c>
      <c r="I1355" t="s">
        <v>6256</v>
      </c>
      <c r="J1355" t="s">
        <v>6257</v>
      </c>
    </row>
    <row r="1356" spans="1:10">
      <c r="A1356" t="s">
        <v>6258</v>
      </c>
      <c r="B1356" t="s">
        <v>6258</v>
      </c>
      <c r="C1356" t="s">
        <v>6259</v>
      </c>
      <c r="D1356">
        <v>20</v>
      </c>
      <c r="E1356" t="s">
        <v>29</v>
      </c>
      <c r="F1356" t="s">
        <v>63</v>
      </c>
      <c r="G1356" s="23">
        <v>42044</v>
      </c>
      <c r="H1356" t="s">
        <v>6260</v>
      </c>
      <c r="I1356" t="s">
        <v>6261</v>
      </c>
      <c r="J1356" t="s">
        <v>6262</v>
      </c>
    </row>
    <row r="1357" spans="1:10">
      <c r="A1357" t="s">
        <v>6263</v>
      </c>
      <c r="B1357" t="s">
        <v>6263</v>
      </c>
      <c r="C1357" t="s">
        <v>6259</v>
      </c>
      <c r="D1357">
        <v>42</v>
      </c>
      <c r="E1357" t="s">
        <v>31</v>
      </c>
      <c r="F1357" t="s">
        <v>63</v>
      </c>
      <c r="G1357" s="23">
        <v>42224</v>
      </c>
      <c r="H1357" t="s">
        <v>6264</v>
      </c>
      <c r="I1357" t="s">
        <v>6265</v>
      </c>
      <c r="J1357" t="s">
        <v>6266</v>
      </c>
    </row>
    <row r="1358" spans="1:10">
      <c r="A1358" t="s">
        <v>6267</v>
      </c>
      <c r="B1358" t="s">
        <v>6267</v>
      </c>
      <c r="C1358" t="s">
        <v>6268</v>
      </c>
      <c r="D1358">
        <v>1</v>
      </c>
      <c r="E1358" t="s">
        <v>33</v>
      </c>
      <c r="F1358" t="s">
        <v>571</v>
      </c>
      <c r="G1358" s="23">
        <v>42560</v>
      </c>
      <c r="H1358" t="s">
        <v>6269</v>
      </c>
      <c r="I1358" t="s">
        <v>6270</v>
      </c>
      <c r="J1358" t="s">
        <v>6271</v>
      </c>
    </row>
    <row r="1359" spans="1:10">
      <c r="A1359" t="s">
        <v>6272</v>
      </c>
      <c r="B1359" t="s">
        <v>6272</v>
      </c>
      <c r="C1359" t="s">
        <v>3373</v>
      </c>
      <c r="D1359">
        <v>40</v>
      </c>
      <c r="E1359" t="s">
        <v>34</v>
      </c>
      <c r="F1359" t="s">
        <v>57</v>
      </c>
      <c r="G1359" s="23">
        <v>43630</v>
      </c>
      <c r="H1359" t="s">
        <v>6273</v>
      </c>
      <c r="I1359" t="s">
        <v>6274</v>
      </c>
      <c r="J1359" t="s">
        <v>6275</v>
      </c>
    </row>
    <row r="1360" spans="1:10">
      <c r="A1360" t="s">
        <v>6276</v>
      </c>
      <c r="B1360" t="s">
        <v>6276</v>
      </c>
      <c r="C1360" t="s">
        <v>6277</v>
      </c>
      <c r="D1360">
        <v>58</v>
      </c>
      <c r="E1360" t="s">
        <v>29</v>
      </c>
      <c r="F1360" t="s">
        <v>63</v>
      </c>
      <c r="G1360" s="23">
        <v>43882</v>
      </c>
      <c r="H1360" t="s">
        <v>6278</v>
      </c>
      <c r="I1360" t="s">
        <v>6279</v>
      </c>
      <c r="J1360" t="s">
        <v>6280</v>
      </c>
    </row>
    <row r="1361" spans="1:10">
      <c r="A1361" t="s">
        <v>6281</v>
      </c>
      <c r="B1361" t="s">
        <v>6281</v>
      </c>
      <c r="C1361" t="s">
        <v>6277</v>
      </c>
      <c r="D1361">
        <v>66</v>
      </c>
      <c r="E1361" t="s">
        <v>29</v>
      </c>
      <c r="F1361" t="s">
        <v>63</v>
      </c>
      <c r="G1361" s="23">
        <v>44435</v>
      </c>
      <c r="H1361" t="s">
        <v>6282</v>
      </c>
      <c r="I1361" t="s">
        <v>6283</v>
      </c>
      <c r="J1361" t="s">
        <v>6284</v>
      </c>
    </row>
    <row r="1362" spans="1:10">
      <c r="A1362" t="s">
        <v>6285</v>
      </c>
      <c r="B1362" t="s">
        <v>6285</v>
      </c>
      <c r="C1362" t="s">
        <v>253</v>
      </c>
      <c r="D1362">
        <v>14</v>
      </c>
      <c r="E1362" t="s">
        <v>34</v>
      </c>
      <c r="F1362" t="s">
        <v>57</v>
      </c>
      <c r="G1362" s="23">
        <v>44409</v>
      </c>
      <c r="H1362" t="s">
        <v>6286</v>
      </c>
      <c r="I1362" t="s">
        <v>6287</v>
      </c>
      <c r="J1362" t="s">
        <v>6288</v>
      </c>
    </row>
    <row r="1363" spans="1:10">
      <c r="A1363" t="s">
        <v>6289</v>
      </c>
      <c r="B1363" t="s">
        <v>6289</v>
      </c>
      <c r="C1363" t="s">
        <v>6290</v>
      </c>
      <c r="D1363">
        <v>6</v>
      </c>
      <c r="E1363" t="s">
        <v>29</v>
      </c>
      <c r="F1363" t="s">
        <v>63</v>
      </c>
      <c r="G1363" s="23">
        <v>43109</v>
      </c>
      <c r="H1363" t="s">
        <v>6291</v>
      </c>
      <c r="I1363" t="s">
        <v>6292</v>
      </c>
      <c r="J1363" t="s">
        <v>6293</v>
      </c>
    </row>
    <row r="1364" spans="1:10">
      <c r="A1364" t="s">
        <v>6294</v>
      </c>
      <c r="B1364" t="s">
        <v>6294</v>
      </c>
      <c r="C1364" t="s">
        <v>6295</v>
      </c>
      <c r="D1364">
        <v>16</v>
      </c>
      <c r="E1364" t="s">
        <v>34</v>
      </c>
      <c r="F1364" t="s">
        <v>57</v>
      </c>
      <c r="G1364" s="23">
        <v>45158</v>
      </c>
      <c r="H1364" t="s">
        <v>6296</v>
      </c>
      <c r="I1364" t="s">
        <v>6297</v>
      </c>
      <c r="J1364" t="s">
        <v>6298</v>
      </c>
    </row>
    <row r="1365" spans="1:10">
      <c r="A1365" t="s">
        <v>6299</v>
      </c>
      <c r="B1365" t="s">
        <v>6299</v>
      </c>
      <c r="C1365" t="s">
        <v>3513</v>
      </c>
      <c r="D1365">
        <v>22</v>
      </c>
      <c r="E1365" t="s">
        <v>33</v>
      </c>
      <c r="F1365" t="s">
        <v>63</v>
      </c>
      <c r="G1365" s="23">
        <v>45898</v>
      </c>
      <c r="H1365" t="s">
        <v>6300</v>
      </c>
      <c r="I1365" t="s">
        <v>6301</v>
      </c>
      <c r="J1365" t="s">
        <v>6302</v>
      </c>
    </row>
    <row r="1366" spans="1:10">
      <c r="A1366" t="s">
        <v>6303</v>
      </c>
      <c r="B1366" t="s">
        <v>6303</v>
      </c>
      <c r="C1366" t="s">
        <v>2109</v>
      </c>
      <c r="D1366">
        <v>5</v>
      </c>
      <c r="E1366" t="s">
        <v>31</v>
      </c>
      <c r="F1366" t="s">
        <v>6304</v>
      </c>
      <c r="G1366" s="23">
        <v>46092</v>
      </c>
      <c r="H1366" t="s">
        <v>6305</v>
      </c>
      <c r="I1366" t="s">
        <v>6306</v>
      </c>
      <c r="J1366" t="s">
        <v>6307</v>
      </c>
    </row>
    <row r="1367" spans="1:10">
      <c r="A1367" t="s">
        <v>6308</v>
      </c>
      <c r="B1367" t="s">
        <v>6308</v>
      </c>
      <c r="C1367" t="s">
        <v>6119</v>
      </c>
      <c r="D1367">
        <v>18</v>
      </c>
      <c r="E1367" t="s">
        <v>34</v>
      </c>
      <c r="F1367" t="s">
        <v>57</v>
      </c>
      <c r="G1367" s="23">
        <v>46136</v>
      </c>
      <c r="H1367" t="s">
        <v>6309</v>
      </c>
      <c r="I1367" t="s">
        <v>6310</v>
      </c>
      <c r="J1367" t="s">
        <v>6311</v>
      </c>
    </row>
    <row r="1368" spans="1:10">
      <c r="A1368" t="s">
        <v>6312</v>
      </c>
      <c r="B1368" t="s">
        <v>6312</v>
      </c>
      <c r="C1368" t="s">
        <v>5876</v>
      </c>
      <c r="D1368">
        <v>12</v>
      </c>
      <c r="E1368" t="s">
        <v>29</v>
      </c>
      <c r="F1368" t="s">
        <v>63</v>
      </c>
      <c r="G1368" s="23">
        <v>43372</v>
      </c>
      <c r="H1368" t="s">
        <v>6313</v>
      </c>
      <c r="I1368" t="s">
        <v>6314</v>
      </c>
      <c r="J1368" t="s">
        <v>6315</v>
      </c>
    </row>
    <row r="1369" spans="1:10">
      <c r="A1369" t="s">
        <v>6316</v>
      </c>
      <c r="B1369" t="s">
        <v>6316</v>
      </c>
      <c r="C1369" t="s">
        <v>6317</v>
      </c>
      <c r="D1369">
        <v>7</v>
      </c>
      <c r="E1369" t="s">
        <v>29</v>
      </c>
      <c r="F1369" t="s">
        <v>63</v>
      </c>
      <c r="G1369" s="23">
        <v>42255</v>
      </c>
      <c r="H1369" t="s">
        <v>6318</v>
      </c>
      <c r="I1369" t="s">
        <v>6319</v>
      </c>
      <c r="J1369" t="s">
        <v>6320</v>
      </c>
    </row>
    <row r="1370" spans="1:10">
      <c r="A1370" t="s">
        <v>6321</v>
      </c>
      <c r="B1370" t="s">
        <v>6321</v>
      </c>
      <c r="C1370" t="s">
        <v>4310</v>
      </c>
      <c r="D1370">
        <v>77</v>
      </c>
      <c r="E1370" t="s">
        <v>31</v>
      </c>
      <c r="F1370" t="s">
        <v>63</v>
      </c>
      <c r="G1370" s="23">
        <v>42764</v>
      </c>
      <c r="H1370" t="s">
        <v>6322</v>
      </c>
      <c r="I1370" t="s">
        <v>6323</v>
      </c>
      <c r="J1370" t="s">
        <v>6324</v>
      </c>
    </row>
    <row r="1371" spans="1:10">
      <c r="A1371" t="s">
        <v>6325</v>
      </c>
      <c r="B1371" t="s">
        <v>6325</v>
      </c>
      <c r="C1371" t="s">
        <v>6326</v>
      </c>
      <c r="D1371">
        <v>12</v>
      </c>
      <c r="E1371" t="s">
        <v>29</v>
      </c>
      <c r="F1371" t="s">
        <v>63</v>
      </c>
      <c r="G1371" s="23">
        <v>42309</v>
      </c>
      <c r="H1371" t="s">
        <v>6327</v>
      </c>
      <c r="I1371" t="s">
        <v>6328</v>
      </c>
      <c r="J1371" t="s">
        <v>6329</v>
      </c>
    </row>
    <row r="1372" spans="1:10">
      <c r="A1372" t="s">
        <v>6330</v>
      </c>
      <c r="B1372" t="s">
        <v>6330</v>
      </c>
      <c r="C1372" t="s">
        <v>6331</v>
      </c>
      <c r="D1372">
        <v>29</v>
      </c>
      <c r="E1372" t="s">
        <v>34</v>
      </c>
      <c r="F1372" t="s">
        <v>57</v>
      </c>
      <c r="G1372" s="23">
        <v>44054</v>
      </c>
      <c r="H1372" t="s">
        <v>6332</v>
      </c>
      <c r="I1372" t="s">
        <v>6333</v>
      </c>
      <c r="J1372" t="s">
        <v>6334</v>
      </c>
    </row>
    <row r="1373" spans="1:10">
      <c r="A1373" t="s">
        <v>6335</v>
      </c>
      <c r="B1373" t="s">
        <v>6335</v>
      </c>
      <c r="C1373" t="s">
        <v>6331</v>
      </c>
      <c r="D1373">
        <v>44</v>
      </c>
      <c r="E1373" t="s">
        <v>34</v>
      </c>
      <c r="F1373" t="s">
        <v>57</v>
      </c>
      <c r="G1373" s="23">
        <v>45857</v>
      </c>
      <c r="H1373" t="s">
        <v>6336</v>
      </c>
      <c r="I1373" t="s">
        <v>6337</v>
      </c>
      <c r="J1373" t="s">
        <v>6338</v>
      </c>
    </row>
    <row r="1374" spans="1:10">
      <c r="A1374" t="s">
        <v>6339</v>
      </c>
      <c r="B1374" t="s">
        <v>6339</v>
      </c>
      <c r="C1374" t="s">
        <v>6340</v>
      </c>
      <c r="D1374">
        <v>36</v>
      </c>
      <c r="E1374" t="s">
        <v>35</v>
      </c>
      <c r="F1374" t="s">
        <v>57</v>
      </c>
      <c r="G1374" s="23">
        <v>45664</v>
      </c>
      <c r="H1374" t="s">
        <v>6341</v>
      </c>
      <c r="I1374" t="s">
        <v>6342</v>
      </c>
      <c r="J1374" t="s">
        <v>6343</v>
      </c>
    </row>
    <row r="1375" spans="1:10">
      <c r="A1375" t="s">
        <v>6344</v>
      </c>
      <c r="B1375" t="s">
        <v>6344</v>
      </c>
      <c r="C1375" t="s">
        <v>4590</v>
      </c>
      <c r="D1375">
        <v>8</v>
      </c>
      <c r="E1375" t="s">
        <v>35</v>
      </c>
      <c r="F1375" t="s">
        <v>571</v>
      </c>
      <c r="G1375" s="23">
        <v>44561</v>
      </c>
      <c r="H1375" t="s">
        <v>6345</v>
      </c>
      <c r="I1375" t="s">
        <v>6346</v>
      </c>
      <c r="J1375" t="s">
        <v>6347</v>
      </c>
    </row>
    <row r="1376" spans="1:10">
      <c r="A1376" t="s">
        <v>6348</v>
      </c>
      <c r="B1376" t="s">
        <v>6348</v>
      </c>
      <c r="C1376" t="s">
        <v>2382</v>
      </c>
      <c r="D1376">
        <v>12</v>
      </c>
      <c r="E1376" t="s">
        <v>34</v>
      </c>
      <c r="F1376" t="s">
        <v>57</v>
      </c>
      <c r="G1376" s="23">
        <v>43493</v>
      </c>
      <c r="H1376" t="s">
        <v>6349</v>
      </c>
      <c r="I1376" t="s">
        <v>6350</v>
      </c>
      <c r="J1376" t="s">
        <v>6351</v>
      </c>
    </row>
    <row r="1377" spans="1:10">
      <c r="A1377" t="s">
        <v>6352</v>
      </c>
      <c r="B1377" t="s">
        <v>6352</v>
      </c>
      <c r="C1377" t="s">
        <v>6353</v>
      </c>
      <c r="D1377">
        <v>1</v>
      </c>
      <c r="E1377" t="s">
        <v>27</v>
      </c>
      <c r="F1377" t="s">
        <v>63</v>
      </c>
      <c r="G1377" s="23">
        <v>41814</v>
      </c>
      <c r="H1377" t="s">
        <v>6354</v>
      </c>
      <c r="I1377" t="s">
        <v>6355</v>
      </c>
      <c r="J1377" t="s">
        <v>6356</v>
      </c>
    </row>
    <row r="1378" spans="1:10">
      <c r="A1378" t="s">
        <v>6357</v>
      </c>
      <c r="B1378" t="s">
        <v>6357</v>
      </c>
      <c r="C1378" t="s">
        <v>547</v>
      </c>
      <c r="D1378">
        <v>11</v>
      </c>
      <c r="E1378" t="s">
        <v>29</v>
      </c>
      <c r="F1378" t="s">
        <v>63</v>
      </c>
      <c r="G1378" s="23">
        <v>42728</v>
      </c>
      <c r="H1378" t="s">
        <v>6358</v>
      </c>
      <c r="I1378" t="s">
        <v>6359</v>
      </c>
      <c r="J1378" t="s">
        <v>6360</v>
      </c>
    </row>
    <row r="1379" spans="1:10">
      <c r="A1379" t="s">
        <v>6361</v>
      </c>
      <c r="B1379" t="s">
        <v>6361</v>
      </c>
      <c r="C1379" t="s">
        <v>6362</v>
      </c>
      <c r="D1379">
        <v>19</v>
      </c>
      <c r="E1379" t="s">
        <v>29</v>
      </c>
      <c r="F1379" t="s">
        <v>63</v>
      </c>
      <c r="G1379" s="23">
        <v>42855</v>
      </c>
      <c r="H1379" t="s">
        <v>6363</v>
      </c>
      <c r="I1379" t="s">
        <v>6364</v>
      </c>
      <c r="J1379" t="s">
        <v>6365</v>
      </c>
    </row>
    <row r="1380" spans="1:10">
      <c r="A1380" t="s">
        <v>6366</v>
      </c>
      <c r="B1380" t="s">
        <v>6366</v>
      </c>
      <c r="C1380" t="s">
        <v>56</v>
      </c>
      <c r="D1380">
        <v>14</v>
      </c>
      <c r="E1380" t="s">
        <v>34</v>
      </c>
      <c r="F1380" t="s">
        <v>57</v>
      </c>
      <c r="G1380" s="23">
        <v>44991</v>
      </c>
      <c r="H1380" t="s">
        <v>6367</v>
      </c>
      <c r="I1380" t="s">
        <v>6368</v>
      </c>
      <c r="J1380" t="s">
        <v>6369</v>
      </c>
    </row>
    <row r="1381" spans="1:10">
      <c r="A1381" t="s">
        <v>6370</v>
      </c>
      <c r="B1381" t="s">
        <v>6370</v>
      </c>
      <c r="C1381" t="s">
        <v>56</v>
      </c>
      <c r="D1381">
        <v>25</v>
      </c>
      <c r="E1381" t="s">
        <v>34</v>
      </c>
      <c r="F1381" t="s">
        <v>57</v>
      </c>
      <c r="G1381" s="23">
        <v>46143</v>
      </c>
      <c r="H1381" t="s">
        <v>6371</v>
      </c>
      <c r="I1381" t="s">
        <v>6372</v>
      </c>
      <c r="J1381" t="s">
        <v>6373</v>
      </c>
    </row>
    <row r="1382" spans="1:10">
      <c r="A1382" t="s">
        <v>6374</v>
      </c>
      <c r="B1382" t="s">
        <v>6374</v>
      </c>
      <c r="C1382" t="s">
        <v>6375</v>
      </c>
      <c r="D1382">
        <v>4</v>
      </c>
      <c r="E1382" t="s">
        <v>31</v>
      </c>
      <c r="F1382" t="s">
        <v>57</v>
      </c>
      <c r="G1382" s="23">
        <v>45690</v>
      </c>
      <c r="H1382" t="s">
        <v>6376</v>
      </c>
      <c r="I1382" t="s">
        <v>6377</v>
      </c>
      <c r="J1382" t="s">
        <v>6378</v>
      </c>
    </row>
    <row r="1383" spans="1:10">
      <c r="A1383" t="s">
        <v>6379</v>
      </c>
      <c r="B1383" t="s">
        <v>6379</v>
      </c>
      <c r="C1383" t="s">
        <v>6295</v>
      </c>
      <c r="D1383">
        <v>8</v>
      </c>
      <c r="E1383" t="s">
        <v>34</v>
      </c>
      <c r="F1383" t="s">
        <v>57</v>
      </c>
      <c r="G1383" s="23">
        <v>45998</v>
      </c>
      <c r="H1383" t="s">
        <v>6380</v>
      </c>
      <c r="I1383" t="s">
        <v>6381</v>
      </c>
      <c r="J1383" t="s">
        <v>6382</v>
      </c>
    </row>
    <row r="1384" spans="1:10">
      <c r="A1384" t="s">
        <v>6383</v>
      </c>
      <c r="B1384" t="s">
        <v>6383</v>
      </c>
      <c r="C1384" t="s">
        <v>1996</v>
      </c>
      <c r="D1384">
        <v>21</v>
      </c>
      <c r="E1384" t="s">
        <v>31</v>
      </c>
      <c r="F1384" t="s">
        <v>63</v>
      </c>
      <c r="G1384" s="23">
        <v>42784</v>
      </c>
      <c r="H1384" t="s">
        <v>6384</v>
      </c>
      <c r="I1384" t="s">
        <v>6385</v>
      </c>
      <c r="J1384" t="s">
        <v>6386</v>
      </c>
    </row>
    <row r="1385" spans="1:10">
      <c r="A1385" t="s">
        <v>6387</v>
      </c>
      <c r="B1385" t="s">
        <v>6387</v>
      </c>
      <c r="C1385" t="s">
        <v>6388</v>
      </c>
      <c r="D1385">
        <v>10</v>
      </c>
      <c r="E1385" t="s">
        <v>31</v>
      </c>
      <c r="F1385" t="s">
        <v>63</v>
      </c>
      <c r="G1385" s="23">
        <v>44766</v>
      </c>
      <c r="H1385" t="s">
        <v>6389</v>
      </c>
      <c r="I1385" t="s">
        <v>6390</v>
      </c>
      <c r="J1385" t="s">
        <v>6391</v>
      </c>
    </row>
    <row r="1386" spans="1:10">
      <c r="A1386" t="s">
        <v>6392</v>
      </c>
      <c r="B1386" t="s">
        <v>6392</v>
      </c>
      <c r="C1386" t="s">
        <v>1932</v>
      </c>
      <c r="D1386">
        <v>1</v>
      </c>
      <c r="E1386" t="s">
        <v>34</v>
      </c>
      <c r="F1386" t="s">
        <v>89</v>
      </c>
      <c r="G1386" s="23">
        <v>44912</v>
      </c>
      <c r="H1386" t="s">
        <v>6393</v>
      </c>
      <c r="I1386" t="s">
        <v>6394</v>
      </c>
      <c r="J1386" t="s">
        <v>6395</v>
      </c>
    </row>
    <row r="1387" spans="1:10">
      <c r="A1387" t="s">
        <v>6396</v>
      </c>
      <c r="B1387" t="s">
        <v>6396</v>
      </c>
      <c r="C1387" t="s">
        <v>6397</v>
      </c>
      <c r="D1387">
        <v>1</v>
      </c>
      <c r="E1387" t="s">
        <v>36</v>
      </c>
      <c r="F1387" t="s">
        <v>89</v>
      </c>
      <c r="G1387" s="23">
        <v>43458</v>
      </c>
      <c r="H1387" t="s">
        <v>6398</v>
      </c>
      <c r="I1387" t="s">
        <v>6399</v>
      </c>
      <c r="J1387" t="s">
        <v>6400</v>
      </c>
    </row>
    <row r="1388" spans="1:10">
      <c r="A1388" t="s">
        <v>6401</v>
      </c>
      <c r="B1388" t="s">
        <v>6401</v>
      </c>
      <c r="C1388" t="s">
        <v>6402</v>
      </c>
      <c r="D1388">
        <v>1</v>
      </c>
      <c r="E1388" t="s">
        <v>34</v>
      </c>
      <c r="F1388" t="s">
        <v>89</v>
      </c>
      <c r="G1388" s="23">
        <v>46211</v>
      </c>
      <c r="H1388" t="s">
        <v>6403</v>
      </c>
      <c r="I1388" t="s">
        <v>6404</v>
      </c>
      <c r="J1388" t="s">
        <v>6405</v>
      </c>
    </row>
    <row r="1389" spans="1:10">
      <c r="A1389" t="s">
        <v>6406</v>
      </c>
      <c r="B1389" t="s">
        <v>6406</v>
      </c>
      <c r="C1389" t="s">
        <v>6407</v>
      </c>
      <c r="D1389">
        <v>1</v>
      </c>
      <c r="E1389" t="s">
        <v>35</v>
      </c>
      <c r="F1389" t="s">
        <v>89</v>
      </c>
      <c r="G1389" s="23">
        <v>43155</v>
      </c>
      <c r="H1389" t="s">
        <v>6408</v>
      </c>
      <c r="I1389" t="s">
        <v>6409</v>
      </c>
      <c r="J1389" t="s">
        <v>6410</v>
      </c>
    </row>
    <row r="1390" spans="1:10">
      <c r="A1390" t="s">
        <v>6411</v>
      </c>
      <c r="B1390" t="s">
        <v>6411</v>
      </c>
      <c r="C1390" t="s">
        <v>6407</v>
      </c>
      <c r="D1390">
        <v>1</v>
      </c>
      <c r="E1390" t="s">
        <v>36</v>
      </c>
      <c r="F1390" t="s">
        <v>89</v>
      </c>
      <c r="G1390" s="23">
        <v>43109</v>
      </c>
      <c r="H1390" t="s">
        <v>6412</v>
      </c>
      <c r="I1390" t="s">
        <v>6413</v>
      </c>
      <c r="J1390" t="s">
        <v>6414</v>
      </c>
    </row>
    <row r="1391" spans="1:10">
      <c r="A1391" t="s">
        <v>6415</v>
      </c>
      <c r="B1391" t="s">
        <v>6415</v>
      </c>
      <c r="C1391" t="s">
        <v>930</v>
      </c>
      <c r="D1391">
        <v>6</v>
      </c>
      <c r="E1391" t="s">
        <v>34</v>
      </c>
      <c r="F1391" t="s">
        <v>57</v>
      </c>
      <c r="G1391" s="23">
        <v>45222</v>
      </c>
      <c r="H1391" t="s">
        <v>6416</v>
      </c>
      <c r="I1391" t="s">
        <v>6417</v>
      </c>
      <c r="J1391" t="s">
        <v>6418</v>
      </c>
    </row>
    <row r="1392" spans="1:10">
      <c r="A1392" t="s">
        <v>6419</v>
      </c>
      <c r="B1392" t="s">
        <v>6419</v>
      </c>
      <c r="C1392" t="s">
        <v>3884</v>
      </c>
      <c r="D1392">
        <v>9</v>
      </c>
      <c r="E1392" t="s">
        <v>34</v>
      </c>
      <c r="F1392" t="s">
        <v>57</v>
      </c>
      <c r="G1392" s="23">
        <v>45420</v>
      </c>
      <c r="H1392" t="s">
        <v>6420</v>
      </c>
      <c r="I1392" t="s">
        <v>6421</v>
      </c>
      <c r="J1392" t="s">
        <v>6422</v>
      </c>
    </row>
    <row r="1393" spans="1:10">
      <c r="A1393" t="s">
        <v>6423</v>
      </c>
      <c r="B1393" t="s">
        <v>6423</v>
      </c>
      <c r="C1393" t="s">
        <v>5621</v>
      </c>
      <c r="D1393">
        <v>24</v>
      </c>
      <c r="E1393" t="s">
        <v>34</v>
      </c>
      <c r="F1393" t="s">
        <v>57</v>
      </c>
      <c r="G1393" s="23">
        <v>45089</v>
      </c>
      <c r="H1393" t="s">
        <v>6424</v>
      </c>
      <c r="I1393" t="s">
        <v>6425</v>
      </c>
      <c r="J1393" t="s">
        <v>6426</v>
      </c>
    </row>
    <row r="1394" spans="1:10">
      <c r="A1394" t="s">
        <v>6427</v>
      </c>
      <c r="B1394" t="s">
        <v>6427</v>
      </c>
      <c r="C1394" t="s">
        <v>253</v>
      </c>
      <c r="D1394">
        <v>9</v>
      </c>
      <c r="E1394" t="s">
        <v>34</v>
      </c>
      <c r="F1394" t="s">
        <v>57</v>
      </c>
      <c r="G1394" s="23">
        <v>44901</v>
      </c>
      <c r="H1394" t="s">
        <v>6428</v>
      </c>
      <c r="I1394" t="s">
        <v>6429</v>
      </c>
      <c r="J1394" t="s">
        <v>6430</v>
      </c>
    </row>
    <row r="1395" spans="1:10">
      <c r="A1395" t="s">
        <v>6431</v>
      </c>
      <c r="B1395" t="s">
        <v>6431</v>
      </c>
      <c r="C1395" t="s">
        <v>3262</v>
      </c>
      <c r="D1395">
        <v>32</v>
      </c>
      <c r="E1395" t="s">
        <v>29</v>
      </c>
      <c r="F1395" t="s">
        <v>63</v>
      </c>
      <c r="G1395" s="23">
        <v>45232</v>
      </c>
      <c r="H1395" t="s">
        <v>6432</v>
      </c>
      <c r="I1395" t="s">
        <v>6433</v>
      </c>
      <c r="J1395" t="s">
        <v>6434</v>
      </c>
    </row>
    <row r="1396" spans="1:10">
      <c r="A1396" t="s">
        <v>6435</v>
      </c>
      <c r="B1396" t="s">
        <v>6435</v>
      </c>
      <c r="C1396" t="s">
        <v>590</v>
      </c>
      <c r="D1396">
        <v>6</v>
      </c>
      <c r="E1396" t="s">
        <v>29</v>
      </c>
      <c r="F1396" t="s">
        <v>57</v>
      </c>
      <c r="G1396" s="23">
        <v>46066</v>
      </c>
      <c r="H1396" t="s">
        <v>6436</v>
      </c>
      <c r="I1396" t="s">
        <v>6437</v>
      </c>
      <c r="J1396" t="s">
        <v>6438</v>
      </c>
    </row>
    <row r="1397" spans="1:10">
      <c r="A1397" t="s">
        <v>6439</v>
      </c>
      <c r="B1397" t="s">
        <v>6439</v>
      </c>
      <c r="C1397" t="s">
        <v>590</v>
      </c>
      <c r="D1397">
        <v>8</v>
      </c>
      <c r="E1397" t="s">
        <v>29</v>
      </c>
      <c r="F1397" t="s">
        <v>57</v>
      </c>
      <c r="G1397" s="23">
        <v>46126</v>
      </c>
      <c r="H1397" t="s">
        <v>6440</v>
      </c>
      <c r="I1397" t="s">
        <v>6441</v>
      </c>
      <c r="J1397" t="s">
        <v>6442</v>
      </c>
    </row>
    <row r="1398" spans="1:10">
      <c r="A1398" t="s">
        <v>6443</v>
      </c>
      <c r="B1398" t="s">
        <v>6443</v>
      </c>
      <c r="C1398" t="s">
        <v>1478</v>
      </c>
      <c r="D1398">
        <v>17</v>
      </c>
      <c r="E1398" t="s">
        <v>34</v>
      </c>
      <c r="F1398" t="s">
        <v>57</v>
      </c>
      <c r="G1398" s="23">
        <v>46196</v>
      </c>
      <c r="H1398" t="s">
        <v>6444</v>
      </c>
      <c r="I1398" t="s">
        <v>6445</v>
      </c>
      <c r="J1398" t="s">
        <v>6446</v>
      </c>
    </row>
    <row r="1399" spans="1:10">
      <c r="A1399" t="s">
        <v>6447</v>
      </c>
      <c r="B1399" t="s">
        <v>6447</v>
      </c>
      <c r="C1399" t="s">
        <v>6448</v>
      </c>
      <c r="D1399">
        <v>8</v>
      </c>
      <c r="E1399" t="s">
        <v>33</v>
      </c>
      <c r="F1399" t="s">
        <v>63</v>
      </c>
      <c r="G1399" s="23">
        <v>44068</v>
      </c>
      <c r="H1399" t="s">
        <v>6449</v>
      </c>
      <c r="I1399" t="s">
        <v>6450</v>
      </c>
      <c r="J1399" t="s">
        <v>6451</v>
      </c>
    </row>
    <row r="1400" spans="1:10">
      <c r="A1400" t="s">
        <v>6452</v>
      </c>
      <c r="B1400" t="s">
        <v>6452</v>
      </c>
      <c r="C1400" t="s">
        <v>6453</v>
      </c>
      <c r="D1400">
        <v>12</v>
      </c>
      <c r="E1400" t="s">
        <v>27</v>
      </c>
      <c r="F1400" t="s">
        <v>63</v>
      </c>
      <c r="G1400" s="23">
        <v>42742</v>
      </c>
      <c r="H1400" t="s">
        <v>6454</v>
      </c>
      <c r="I1400" t="s">
        <v>6455</v>
      </c>
      <c r="J1400" t="s">
        <v>6456</v>
      </c>
    </row>
    <row r="1401" spans="1:10">
      <c r="A1401" t="s">
        <v>6457</v>
      </c>
      <c r="B1401" t="s">
        <v>6457</v>
      </c>
      <c r="C1401" t="s">
        <v>6458</v>
      </c>
      <c r="D1401">
        <v>12</v>
      </c>
      <c r="E1401" t="s">
        <v>33</v>
      </c>
      <c r="F1401" t="s">
        <v>57</v>
      </c>
      <c r="G1401" s="23">
        <v>46219</v>
      </c>
      <c r="H1401" t="s">
        <v>6459</v>
      </c>
      <c r="I1401" t="s">
        <v>6460</v>
      </c>
      <c r="J1401" t="s">
        <v>6461</v>
      </c>
    </row>
    <row r="1402" spans="1:10">
      <c r="A1402" t="s">
        <v>6462</v>
      </c>
      <c r="B1402" t="s">
        <v>6462</v>
      </c>
      <c r="C1402" t="s">
        <v>6463</v>
      </c>
      <c r="D1402">
        <v>3</v>
      </c>
      <c r="E1402" t="s">
        <v>31</v>
      </c>
      <c r="F1402" t="s">
        <v>115</v>
      </c>
      <c r="G1402" s="23">
        <v>45699</v>
      </c>
      <c r="H1402" t="s">
        <v>6464</v>
      </c>
      <c r="I1402" t="s">
        <v>6465</v>
      </c>
      <c r="J1402" t="s">
        <v>6466</v>
      </c>
    </row>
    <row r="1403" spans="1:10">
      <c r="A1403" t="s">
        <v>6467</v>
      </c>
      <c r="B1403" t="s">
        <v>6467</v>
      </c>
      <c r="C1403" t="s">
        <v>408</v>
      </c>
      <c r="D1403">
        <v>7</v>
      </c>
      <c r="E1403" t="s">
        <v>27</v>
      </c>
      <c r="F1403" t="s">
        <v>63</v>
      </c>
      <c r="G1403" s="23">
        <v>41464</v>
      </c>
      <c r="H1403" t="s">
        <v>6468</v>
      </c>
      <c r="I1403" t="s">
        <v>6469</v>
      </c>
      <c r="J1403" t="s">
        <v>6470</v>
      </c>
    </row>
    <row r="1404" spans="1:10">
      <c r="A1404" t="s">
        <v>6471</v>
      </c>
      <c r="B1404" t="s">
        <v>6471</v>
      </c>
      <c r="C1404" t="s">
        <v>5711</v>
      </c>
      <c r="D1404">
        <v>50</v>
      </c>
      <c r="E1404" t="s">
        <v>29</v>
      </c>
      <c r="F1404" t="s">
        <v>63</v>
      </c>
      <c r="G1404" s="23">
        <v>42286</v>
      </c>
      <c r="H1404" t="s">
        <v>6472</v>
      </c>
      <c r="I1404" t="s">
        <v>6473</v>
      </c>
      <c r="J1404" t="s">
        <v>6474</v>
      </c>
    </row>
    <row r="1405" spans="1:10">
      <c r="A1405" t="s">
        <v>6475</v>
      </c>
      <c r="B1405" t="s">
        <v>6475</v>
      </c>
      <c r="C1405" t="s">
        <v>6476</v>
      </c>
      <c r="D1405">
        <v>24</v>
      </c>
      <c r="E1405" t="s">
        <v>33</v>
      </c>
      <c r="F1405" t="s">
        <v>115</v>
      </c>
      <c r="G1405" s="23">
        <v>44423</v>
      </c>
      <c r="H1405" t="s">
        <v>6477</v>
      </c>
      <c r="I1405" t="s">
        <v>6478</v>
      </c>
      <c r="J1405" t="s">
        <v>6479</v>
      </c>
    </row>
    <row r="1406" spans="1:10">
      <c r="A1406" t="s">
        <v>6480</v>
      </c>
      <c r="B1406" t="s">
        <v>6480</v>
      </c>
      <c r="C1406" t="s">
        <v>6481</v>
      </c>
      <c r="D1406">
        <v>75</v>
      </c>
      <c r="E1406" t="s">
        <v>36</v>
      </c>
      <c r="F1406" t="s">
        <v>57</v>
      </c>
      <c r="G1406" s="23">
        <v>45474</v>
      </c>
      <c r="H1406" t="s">
        <v>6482</v>
      </c>
      <c r="I1406" t="s">
        <v>6483</v>
      </c>
      <c r="J1406" t="s">
        <v>6484</v>
      </c>
    </row>
    <row r="1407" spans="1:10">
      <c r="A1407" t="s">
        <v>6485</v>
      </c>
      <c r="B1407" t="s">
        <v>6485</v>
      </c>
      <c r="C1407" t="s">
        <v>6486</v>
      </c>
      <c r="D1407">
        <v>1</v>
      </c>
      <c r="E1407" t="s">
        <v>35</v>
      </c>
      <c r="F1407" t="s">
        <v>57</v>
      </c>
      <c r="G1407" s="23">
        <v>45500</v>
      </c>
      <c r="H1407" t="s">
        <v>6487</v>
      </c>
      <c r="I1407" t="s">
        <v>6488</v>
      </c>
      <c r="J1407" t="s">
        <v>6489</v>
      </c>
    </row>
    <row r="1408" spans="1:10">
      <c r="A1408" t="s">
        <v>6490</v>
      </c>
      <c r="B1408" t="s">
        <v>6490</v>
      </c>
      <c r="C1408" t="s">
        <v>1069</v>
      </c>
      <c r="D1408">
        <v>5</v>
      </c>
      <c r="E1408" t="s">
        <v>33</v>
      </c>
      <c r="F1408" t="s">
        <v>57</v>
      </c>
      <c r="G1408" s="23">
        <v>44628</v>
      </c>
      <c r="H1408" t="s">
        <v>6491</v>
      </c>
      <c r="I1408" t="s">
        <v>6492</v>
      </c>
      <c r="J1408" t="s">
        <v>6493</v>
      </c>
    </row>
    <row r="1409" spans="1:10">
      <c r="A1409" t="s">
        <v>6494</v>
      </c>
      <c r="B1409" t="s">
        <v>6494</v>
      </c>
      <c r="C1409" t="s">
        <v>1069</v>
      </c>
      <c r="D1409">
        <v>10</v>
      </c>
      <c r="E1409" t="s">
        <v>33</v>
      </c>
      <c r="F1409" t="s">
        <v>57</v>
      </c>
      <c r="G1409" s="23">
        <v>44677</v>
      </c>
      <c r="H1409" t="s">
        <v>6495</v>
      </c>
      <c r="I1409" t="s">
        <v>6496</v>
      </c>
      <c r="J1409" t="s">
        <v>6497</v>
      </c>
    </row>
    <row r="1410" spans="1:10">
      <c r="A1410" t="s">
        <v>6498</v>
      </c>
      <c r="B1410" t="s">
        <v>6498</v>
      </c>
      <c r="C1410" t="s">
        <v>1379</v>
      </c>
      <c r="D1410">
        <v>9</v>
      </c>
      <c r="E1410" t="s">
        <v>33</v>
      </c>
      <c r="F1410" t="s">
        <v>57</v>
      </c>
      <c r="G1410" s="23">
        <v>45673</v>
      </c>
      <c r="H1410" t="s">
        <v>6499</v>
      </c>
      <c r="I1410" t="s">
        <v>6500</v>
      </c>
      <c r="J1410" t="s">
        <v>6501</v>
      </c>
    </row>
    <row r="1411" spans="1:10">
      <c r="A1411" t="s">
        <v>6502</v>
      </c>
      <c r="B1411" t="s">
        <v>6502</v>
      </c>
      <c r="C1411" t="s">
        <v>2119</v>
      </c>
      <c r="D1411">
        <v>30</v>
      </c>
      <c r="E1411" t="s">
        <v>31</v>
      </c>
      <c r="F1411" t="s">
        <v>63</v>
      </c>
      <c r="G1411" s="23">
        <v>45153</v>
      </c>
      <c r="H1411" t="s">
        <v>6503</v>
      </c>
      <c r="I1411" t="s">
        <v>6504</v>
      </c>
      <c r="J1411" t="s">
        <v>6505</v>
      </c>
    </row>
    <row r="1412" spans="1:10">
      <c r="A1412" t="s">
        <v>6506</v>
      </c>
      <c r="B1412" t="s">
        <v>6506</v>
      </c>
      <c r="C1412" t="s">
        <v>4710</v>
      </c>
      <c r="D1412">
        <v>12</v>
      </c>
      <c r="E1412" t="s">
        <v>31</v>
      </c>
      <c r="F1412" t="s">
        <v>63</v>
      </c>
      <c r="G1412" s="23">
        <v>44173</v>
      </c>
      <c r="H1412" t="s">
        <v>6507</v>
      </c>
      <c r="I1412" t="s">
        <v>6508</v>
      </c>
      <c r="J1412" t="s">
        <v>6509</v>
      </c>
    </row>
    <row r="1413" spans="1:10">
      <c r="A1413" t="s">
        <v>6510</v>
      </c>
      <c r="B1413" t="s">
        <v>6510</v>
      </c>
      <c r="C1413" t="s">
        <v>6511</v>
      </c>
      <c r="D1413">
        <v>2</v>
      </c>
      <c r="E1413" t="s">
        <v>31</v>
      </c>
      <c r="F1413" t="s">
        <v>57</v>
      </c>
      <c r="G1413" s="23">
        <v>45397</v>
      </c>
      <c r="H1413" t="s">
        <v>6512</v>
      </c>
      <c r="I1413" t="s">
        <v>6513</v>
      </c>
      <c r="J1413" t="s">
        <v>6514</v>
      </c>
    </row>
    <row r="1414" spans="1:10">
      <c r="A1414" t="s">
        <v>6515</v>
      </c>
      <c r="B1414" t="s">
        <v>6515</v>
      </c>
      <c r="C1414" t="s">
        <v>6516</v>
      </c>
      <c r="D1414">
        <v>15</v>
      </c>
      <c r="E1414" t="s">
        <v>29</v>
      </c>
      <c r="F1414" t="s">
        <v>63</v>
      </c>
      <c r="G1414" s="23">
        <v>42288</v>
      </c>
      <c r="H1414" t="s">
        <v>6517</v>
      </c>
      <c r="I1414" t="s">
        <v>6518</v>
      </c>
      <c r="J1414" t="s">
        <v>6519</v>
      </c>
    </row>
    <row r="1415" spans="1:10">
      <c r="A1415" t="s">
        <v>6520</v>
      </c>
      <c r="B1415" t="s">
        <v>6520</v>
      </c>
      <c r="C1415" t="s">
        <v>88</v>
      </c>
      <c r="D1415">
        <v>1</v>
      </c>
      <c r="E1415" t="s">
        <v>36</v>
      </c>
      <c r="F1415" t="s">
        <v>89</v>
      </c>
      <c r="G1415" s="23">
        <v>42839</v>
      </c>
      <c r="H1415" t="s">
        <v>6521</v>
      </c>
      <c r="I1415" t="s">
        <v>6522</v>
      </c>
      <c r="J1415" t="s">
        <v>6523</v>
      </c>
    </row>
    <row r="1416" spans="1:10">
      <c r="A1416" t="s">
        <v>6524</v>
      </c>
      <c r="B1416" t="s">
        <v>6524</v>
      </c>
      <c r="C1416" t="s">
        <v>930</v>
      </c>
      <c r="D1416">
        <v>3</v>
      </c>
      <c r="E1416" t="s">
        <v>35</v>
      </c>
      <c r="F1416" t="s">
        <v>57</v>
      </c>
      <c r="G1416" s="23">
        <v>43892</v>
      </c>
      <c r="H1416" t="s">
        <v>6525</v>
      </c>
      <c r="I1416" t="s">
        <v>6526</v>
      </c>
      <c r="J1416" t="s">
        <v>6527</v>
      </c>
    </row>
    <row r="1417" spans="1:10">
      <c r="A1417" t="s">
        <v>6528</v>
      </c>
      <c r="B1417" t="s">
        <v>6528</v>
      </c>
      <c r="C1417" t="s">
        <v>930</v>
      </c>
      <c r="D1417">
        <v>7</v>
      </c>
      <c r="E1417" t="s">
        <v>35</v>
      </c>
      <c r="F1417" t="s">
        <v>57</v>
      </c>
      <c r="G1417" s="23">
        <v>46137</v>
      </c>
      <c r="H1417" t="s">
        <v>6529</v>
      </c>
      <c r="I1417" t="s">
        <v>6530</v>
      </c>
      <c r="J1417" t="s">
        <v>6531</v>
      </c>
    </row>
    <row r="1418" spans="1:10">
      <c r="A1418" t="s">
        <v>6532</v>
      </c>
      <c r="B1418" t="s">
        <v>6532</v>
      </c>
      <c r="C1418" t="s">
        <v>6533</v>
      </c>
      <c r="D1418">
        <v>9</v>
      </c>
      <c r="E1418" t="s">
        <v>33</v>
      </c>
      <c r="F1418" t="s">
        <v>57</v>
      </c>
      <c r="G1418" s="23">
        <v>45334</v>
      </c>
      <c r="H1418" t="s">
        <v>6534</v>
      </c>
      <c r="I1418" t="s">
        <v>6535</v>
      </c>
      <c r="J1418" t="s">
        <v>6536</v>
      </c>
    </row>
    <row r="1419" spans="1:10">
      <c r="A1419" t="s">
        <v>6537</v>
      </c>
      <c r="B1419" t="s">
        <v>6537</v>
      </c>
      <c r="C1419" t="s">
        <v>6538</v>
      </c>
      <c r="D1419">
        <v>44</v>
      </c>
      <c r="E1419" t="s">
        <v>27</v>
      </c>
      <c r="F1419" t="s">
        <v>63</v>
      </c>
      <c r="G1419" s="23">
        <v>42275</v>
      </c>
      <c r="H1419" t="s">
        <v>6539</v>
      </c>
      <c r="I1419" t="s">
        <v>6540</v>
      </c>
      <c r="J1419" t="s">
        <v>6541</v>
      </c>
    </row>
    <row r="1420" spans="1:10">
      <c r="A1420" t="s">
        <v>6542</v>
      </c>
      <c r="B1420" t="s">
        <v>6542</v>
      </c>
      <c r="C1420" t="s">
        <v>2340</v>
      </c>
      <c r="D1420">
        <v>18</v>
      </c>
      <c r="E1420" t="s">
        <v>35</v>
      </c>
      <c r="F1420" t="s">
        <v>57</v>
      </c>
      <c r="G1420" s="23">
        <v>44870</v>
      </c>
      <c r="H1420" t="s">
        <v>6543</v>
      </c>
      <c r="I1420" t="s">
        <v>6544</v>
      </c>
      <c r="J1420" t="s">
        <v>6545</v>
      </c>
    </row>
    <row r="1421" spans="1:10">
      <c r="A1421" t="s">
        <v>6546</v>
      </c>
      <c r="B1421" t="s">
        <v>6546</v>
      </c>
      <c r="C1421" t="s">
        <v>6547</v>
      </c>
      <c r="D1421">
        <v>14</v>
      </c>
      <c r="E1421" t="s">
        <v>33</v>
      </c>
      <c r="F1421" t="s">
        <v>57</v>
      </c>
      <c r="G1421" s="23">
        <v>43274</v>
      </c>
      <c r="H1421" t="s">
        <v>6548</v>
      </c>
      <c r="I1421" t="s">
        <v>6549</v>
      </c>
      <c r="J1421" t="s">
        <v>6550</v>
      </c>
    </row>
    <row r="1422" spans="1:10">
      <c r="A1422" t="s">
        <v>6551</v>
      </c>
      <c r="B1422" t="s">
        <v>6551</v>
      </c>
      <c r="C1422" t="s">
        <v>718</v>
      </c>
      <c r="D1422">
        <v>1</v>
      </c>
      <c r="E1422" t="s">
        <v>35</v>
      </c>
      <c r="F1422" t="s">
        <v>57</v>
      </c>
      <c r="G1422" s="23">
        <v>43775</v>
      </c>
      <c r="H1422" t="s">
        <v>6552</v>
      </c>
      <c r="I1422" t="s">
        <v>6553</v>
      </c>
      <c r="J1422" t="s">
        <v>6554</v>
      </c>
    </row>
    <row r="1423" spans="1:10">
      <c r="A1423" t="s">
        <v>6555</v>
      </c>
      <c r="B1423" t="s">
        <v>6555</v>
      </c>
      <c r="C1423" t="s">
        <v>2260</v>
      </c>
      <c r="D1423">
        <v>8</v>
      </c>
      <c r="E1423" t="s">
        <v>29</v>
      </c>
      <c r="F1423" t="s">
        <v>63</v>
      </c>
      <c r="G1423" s="23">
        <v>44509</v>
      </c>
      <c r="H1423" t="s">
        <v>6556</v>
      </c>
      <c r="I1423" t="s">
        <v>6557</v>
      </c>
      <c r="J1423" t="s">
        <v>6558</v>
      </c>
    </row>
    <row r="1424" spans="1:10">
      <c r="A1424" t="s">
        <v>6559</v>
      </c>
      <c r="B1424" t="s">
        <v>6559</v>
      </c>
      <c r="C1424" t="s">
        <v>6560</v>
      </c>
      <c r="D1424">
        <v>16</v>
      </c>
      <c r="E1424" t="s">
        <v>29</v>
      </c>
      <c r="F1424" t="s">
        <v>63</v>
      </c>
      <c r="G1424" s="23">
        <v>43464</v>
      </c>
      <c r="H1424" t="s">
        <v>6561</v>
      </c>
      <c r="I1424" t="s">
        <v>6562</v>
      </c>
      <c r="J1424" t="s">
        <v>6563</v>
      </c>
    </row>
    <row r="1425" spans="1:10">
      <c r="A1425" t="s">
        <v>6564</v>
      </c>
      <c r="B1425" t="s">
        <v>6564</v>
      </c>
      <c r="C1425" t="s">
        <v>6560</v>
      </c>
      <c r="D1425">
        <v>39</v>
      </c>
      <c r="E1425" t="s">
        <v>31</v>
      </c>
      <c r="F1425" t="s">
        <v>63</v>
      </c>
      <c r="G1425" s="23">
        <v>43308</v>
      </c>
      <c r="H1425" t="s">
        <v>6565</v>
      </c>
      <c r="I1425" t="s">
        <v>6566</v>
      </c>
      <c r="J1425" t="s">
        <v>6567</v>
      </c>
    </row>
    <row r="1426" spans="1:10">
      <c r="A1426" t="s">
        <v>6568</v>
      </c>
      <c r="B1426" t="s">
        <v>6568</v>
      </c>
      <c r="C1426" t="s">
        <v>6569</v>
      </c>
      <c r="D1426">
        <v>5</v>
      </c>
      <c r="E1426" t="s">
        <v>29</v>
      </c>
      <c r="F1426" t="s">
        <v>63</v>
      </c>
      <c r="G1426" s="23">
        <v>43081</v>
      </c>
      <c r="H1426" t="s">
        <v>6570</v>
      </c>
      <c r="I1426" t="s">
        <v>6571</v>
      </c>
      <c r="J1426" t="s">
        <v>6572</v>
      </c>
    </row>
    <row r="1427" spans="1:10">
      <c r="A1427" t="s">
        <v>6573</v>
      </c>
      <c r="B1427" t="s">
        <v>6573</v>
      </c>
      <c r="C1427" t="s">
        <v>6574</v>
      </c>
      <c r="D1427">
        <v>10</v>
      </c>
      <c r="E1427" t="s">
        <v>29</v>
      </c>
      <c r="F1427" t="s">
        <v>63</v>
      </c>
      <c r="G1427" s="23">
        <v>44446</v>
      </c>
      <c r="H1427" t="s">
        <v>6575</v>
      </c>
      <c r="I1427" t="s">
        <v>6576</v>
      </c>
      <c r="J1427" t="s">
        <v>6577</v>
      </c>
    </row>
    <row r="1428" spans="1:10">
      <c r="A1428" t="s">
        <v>6578</v>
      </c>
      <c r="B1428" t="s">
        <v>6578</v>
      </c>
      <c r="C1428" t="s">
        <v>6579</v>
      </c>
      <c r="D1428">
        <v>17</v>
      </c>
      <c r="E1428" t="s">
        <v>31</v>
      </c>
      <c r="F1428" t="s">
        <v>63</v>
      </c>
      <c r="G1428" s="23">
        <v>45731</v>
      </c>
      <c r="H1428" t="s">
        <v>6580</v>
      </c>
      <c r="I1428" t="s">
        <v>6581</v>
      </c>
      <c r="J1428" t="s">
        <v>6582</v>
      </c>
    </row>
    <row r="1429" spans="1:10">
      <c r="A1429" t="s">
        <v>6583</v>
      </c>
      <c r="B1429" t="s">
        <v>6583</v>
      </c>
      <c r="C1429" t="s">
        <v>494</v>
      </c>
      <c r="D1429">
        <v>0</v>
      </c>
      <c r="E1429" t="s">
        <v>35</v>
      </c>
      <c r="F1429" t="s">
        <v>57</v>
      </c>
      <c r="G1429" s="23">
        <v>45307</v>
      </c>
      <c r="H1429" t="s">
        <v>6584</v>
      </c>
      <c r="I1429" t="s">
        <v>6585</v>
      </c>
      <c r="J1429" t="s">
        <v>6586</v>
      </c>
    </row>
    <row r="1430" spans="1:10">
      <c r="A1430" t="s">
        <v>6587</v>
      </c>
      <c r="B1430" t="s">
        <v>6587</v>
      </c>
      <c r="C1430" t="s">
        <v>3769</v>
      </c>
      <c r="D1430">
        <v>1</v>
      </c>
      <c r="E1430" t="s">
        <v>34</v>
      </c>
      <c r="F1430" t="s">
        <v>57</v>
      </c>
      <c r="G1430" s="23">
        <v>43404</v>
      </c>
      <c r="H1430" t="s">
        <v>6588</v>
      </c>
      <c r="I1430" t="s">
        <v>6589</v>
      </c>
      <c r="J1430" t="s">
        <v>6590</v>
      </c>
    </row>
    <row r="1431" spans="1:10">
      <c r="A1431" t="s">
        <v>6591</v>
      </c>
      <c r="B1431" t="s">
        <v>6591</v>
      </c>
      <c r="C1431" t="s">
        <v>1784</v>
      </c>
      <c r="D1431">
        <v>2</v>
      </c>
      <c r="E1431" t="s">
        <v>33</v>
      </c>
      <c r="F1431" t="s">
        <v>571</v>
      </c>
      <c r="G1431" s="23">
        <v>42199</v>
      </c>
      <c r="H1431" t="s">
        <v>6592</v>
      </c>
      <c r="I1431" t="s">
        <v>6593</v>
      </c>
      <c r="J1431" t="s">
        <v>6594</v>
      </c>
    </row>
    <row r="1432" spans="1:10">
      <c r="A1432" t="s">
        <v>6595</v>
      </c>
      <c r="B1432" t="s">
        <v>6595</v>
      </c>
      <c r="C1432" t="s">
        <v>1784</v>
      </c>
      <c r="D1432">
        <v>1</v>
      </c>
      <c r="E1432" t="s">
        <v>33</v>
      </c>
      <c r="F1432" t="s">
        <v>571</v>
      </c>
      <c r="G1432" s="23">
        <v>45158</v>
      </c>
      <c r="H1432" t="s">
        <v>6596</v>
      </c>
      <c r="I1432" t="s">
        <v>6597</v>
      </c>
      <c r="J1432" t="s">
        <v>6598</v>
      </c>
    </row>
    <row r="1433" spans="1:10">
      <c r="A1433" t="s">
        <v>6599</v>
      </c>
      <c r="B1433" t="s">
        <v>6599</v>
      </c>
      <c r="C1433" t="s">
        <v>109</v>
      </c>
      <c r="D1433">
        <v>21</v>
      </c>
      <c r="E1433" t="s">
        <v>34</v>
      </c>
      <c r="F1433" t="s">
        <v>57</v>
      </c>
      <c r="G1433" s="23">
        <v>44462</v>
      </c>
      <c r="H1433" t="s">
        <v>6600</v>
      </c>
      <c r="I1433" t="s">
        <v>6601</v>
      </c>
      <c r="J1433" t="s">
        <v>6602</v>
      </c>
    </row>
    <row r="1434" spans="1:10">
      <c r="A1434" t="s">
        <v>6603</v>
      </c>
      <c r="B1434" t="s">
        <v>6603</v>
      </c>
      <c r="C1434" t="s">
        <v>6604</v>
      </c>
      <c r="D1434">
        <v>18</v>
      </c>
      <c r="E1434" t="s">
        <v>33</v>
      </c>
      <c r="F1434" t="s">
        <v>57</v>
      </c>
      <c r="G1434" s="23">
        <v>44168</v>
      </c>
      <c r="H1434" t="s">
        <v>6605</v>
      </c>
      <c r="I1434" t="s">
        <v>6606</v>
      </c>
      <c r="J1434" t="s">
        <v>6607</v>
      </c>
    </row>
    <row r="1435" spans="1:10">
      <c r="A1435" t="s">
        <v>6608</v>
      </c>
      <c r="B1435" t="s">
        <v>6608</v>
      </c>
      <c r="C1435" t="s">
        <v>452</v>
      </c>
      <c r="D1435">
        <v>6</v>
      </c>
      <c r="E1435" t="s">
        <v>31</v>
      </c>
      <c r="F1435" t="s">
        <v>57</v>
      </c>
      <c r="G1435" s="23">
        <v>44868</v>
      </c>
      <c r="H1435" t="s">
        <v>6609</v>
      </c>
      <c r="I1435" t="s">
        <v>6610</v>
      </c>
      <c r="J1435" t="s">
        <v>6611</v>
      </c>
    </row>
    <row r="1436" spans="1:10">
      <c r="A1436" t="s">
        <v>6612</v>
      </c>
      <c r="B1436" t="s">
        <v>6612</v>
      </c>
      <c r="C1436" t="s">
        <v>6613</v>
      </c>
      <c r="D1436">
        <v>4</v>
      </c>
      <c r="E1436" t="s">
        <v>33</v>
      </c>
      <c r="F1436" t="s">
        <v>57</v>
      </c>
      <c r="G1436" s="23">
        <v>44196</v>
      </c>
      <c r="H1436" t="s">
        <v>6614</v>
      </c>
      <c r="I1436" t="s">
        <v>6615</v>
      </c>
      <c r="J1436" t="s">
        <v>6616</v>
      </c>
    </row>
    <row r="1437" spans="1:10">
      <c r="A1437" t="s">
        <v>6617</v>
      </c>
      <c r="B1437" t="s">
        <v>6617</v>
      </c>
      <c r="C1437" t="s">
        <v>6618</v>
      </c>
      <c r="D1437">
        <v>23</v>
      </c>
      <c r="E1437" t="s">
        <v>31</v>
      </c>
      <c r="F1437" t="s">
        <v>63</v>
      </c>
      <c r="G1437" s="23">
        <v>42227</v>
      </c>
      <c r="H1437" t="s">
        <v>6619</v>
      </c>
      <c r="I1437" t="s">
        <v>6620</v>
      </c>
      <c r="J1437" t="s">
        <v>6621</v>
      </c>
    </row>
    <row r="1438" spans="1:10">
      <c r="A1438" t="s">
        <v>6622</v>
      </c>
      <c r="B1438" t="s">
        <v>6622</v>
      </c>
      <c r="C1438" t="s">
        <v>6623</v>
      </c>
      <c r="D1438">
        <v>32</v>
      </c>
      <c r="E1438" t="s">
        <v>31</v>
      </c>
      <c r="F1438" t="s">
        <v>63</v>
      </c>
      <c r="G1438" s="23">
        <v>41530</v>
      </c>
      <c r="H1438" t="s">
        <v>6624</v>
      </c>
      <c r="I1438" t="s">
        <v>6625</v>
      </c>
      <c r="J1438" t="s">
        <v>6626</v>
      </c>
    </row>
    <row r="1439" spans="1:10">
      <c r="A1439" t="s">
        <v>6627</v>
      </c>
      <c r="B1439" t="s">
        <v>6627</v>
      </c>
      <c r="C1439" t="s">
        <v>6628</v>
      </c>
      <c r="D1439">
        <v>32</v>
      </c>
      <c r="E1439" t="s">
        <v>31</v>
      </c>
      <c r="F1439" t="s">
        <v>63</v>
      </c>
      <c r="G1439" s="23">
        <v>45138</v>
      </c>
      <c r="H1439" t="s">
        <v>6629</v>
      </c>
      <c r="I1439" t="s">
        <v>6630</v>
      </c>
      <c r="J1439" t="s">
        <v>6631</v>
      </c>
    </row>
    <row r="1440" spans="1:10">
      <c r="A1440" t="s">
        <v>6632</v>
      </c>
      <c r="B1440" t="s">
        <v>6632</v>
      </c>
      <c r="C1440" t="s">
        <v>6633</v>
      </c>
      <c r="D1440">
        <v>4</v>
      </c>
      <c r="E1440" t="s">
        <v>29</v>
      </c>
      <c r="F1440" t="s">
        <v>63</v>
      </c>
      <c r="G1440" s="23">
        <v>42276</v>
      </c>
      <c r="H1440" t="s">
        <v>6634</v>
      </c>
      <c r="I1440" t="s">
        <v>6635</v>
      </c>
      <c r="J1440" t="s">
        <v>6636</v>
      </c>
    </row>
    <row r="1441" spans="1:10">
      <c r="A1441" t="s">
        <v>6637</v>
      </c>
      <c r="B1441" t="s">
        <v>6637</v>
      </c>
      <c r="C1441" t="s">
        <v>6638</v>
      </c>
      <c r="D1441">
        <v>14</v>
      </c>
      <c r="E1441" t="s">
        <v>33</v>
      </c>
      <c r="F1441" t="s">
        <v>57</v>
      </c>
      <c r="G1441" s="23">
        <v>43214</v>
      </c>
      <c r="H1441" t="s">
        <v>6639</v>
      </c>
      <c r="I1441" t="s">
        <v>6640</v>
      </c>
      <c r="J1441" t="s">
        <v>6641</v>
      </c>
    </row>
    <row r="1442" spans="1:10">
      <c r="A1442" t="s">
        <v>6642</v>
      </c>
      <c r="B1442" t="s">
        <v>6642</v>
      </c>
      <c r="C1442" t="s">
        <v>6638</v>
      </c>
      <c r="D1442">
        <v>22</v>
      </c>
      <c r="E1442" t="s">
        <v>31</v>
      </c>
      <c r="F1442" t="s">
        <v>57</v>
      </c>
      <c r="G1442" s="23">
        <v>43532</v>
      </c>
      <c r="H1442" t="s">
        <v>6643</v>
      </c>
      <c r="I1442" t="s">
        <v>6644</v>
      </c>
      <c r="J1442" t="s">
        <v>6645</v>
      </c>
    </row>
    <row r="1443" spans="1:10">
      <c r="A1443" t="s">
        <v>6646</v>
      </c>
      <c r="B1443" t="s">
        <v>6646</v>
      </c>
      <c r="C1443" t="s">
        <v>6638</v>
      </c>
      <c r="D1443">
        <v>9</v>
      </c>
      <c r="E1443" t="s">
        <v>33</v>
      </c>
      <c r="F1443" t="s">
        <v>57</v>
      </c>
      <c r="G1443" s="23">
        <v>44599</v>
      </c>
      <c r="H1443" t="s">
        <v>6647</v>
      </c>
      <c r="I1443" t="s">
        <v>6648</v>
      </c>
      <c r="J1443" t="s">
        <v>6649</v>
      </c>
    </row>
    <row r="1444" spans="1:10">
      <c r="A1444" t="s">
        <v>6650</v>
      </c>
      <c r="B1444" t="s">
        <v>6650</v>
      </c>
      <c r="C1444" t="s">
        <v>6651</v>
      </c>
      <c r="D1444">
        <v>20</v>
      </c>
      <c r="E1444" t="s">
        <v>29</v>
      </c>
      <c r="F1444" t="s">
        <v>63</v>
      </c>
      <c r="G1444" s="23">
        <v>45379</v>
      </c>
      <c r="H1444" t="s">
        <v>6652</v>
      </c>
      <c r="I1444" t="s">
        <v>6653</v>
      </c>
      <c r="J1444" t="s">
        <v>6654</v>
      </c>
    </row>
    <row r="1445" spans="1:10">
      <c r="A1445" t="s">
        <v>6655</v>
      </c>
      <c r="B1445" t="s">
        <v>6655</v>
      </c>
      <c r="C1445" t="s">
        <v>6656</v>
      </c>
      <c r="D1445">
        <v>50</v>
      </c>
      <c r="E1445" t="s">
        <v>33</v>
      </c>
      <c r="F1445" t="s">
        <v>63</v>
      </c>
      <c r="G1445" s="23">
        <v>44334</v>
      </c>
      <c r="H1445" t="s">
        <v>6657</v>
      </c>
      <c r="I1445" t="s">
        <v>6658</v>
      </c>
      <c r="J1445" t="s">
        <v>6659</v>
      </c>
    </row>
    <row r="1446" spans="1:10">
      <c r="A1446" t="s">
        <v>6660</v>
      </c>
      <c r="B1446" t="s">
        <v>6660</v>
      </c>
      <c r="C1446" t="s">
        <v>452</v>
      </c>
      <c r="D1446">
        <v>0</v>
      </c>
      <c r="E1446" t="s">
        <v>33</v>
      </c>
      <c r="F1446" t="s">
        <v>57</v>
      </c>
      <c r="G1446" s="23">
        <v>44894</v>
      </c>
      <c r="H1446" t="s">
        <v>6661</v>
      </c>
      <c r="I1446" t="s">
        <v>6662</v>
      </c>
      <c r="J1446" t="s">
        <v>6663</v>
      </c>
    </row>
    <row r="1447" spans="1:10">
      <c r="A1447" t="s">
        <v>6664</v>
      </c>
      <c r="B1447" t="s">
        <v>6664</v>
      </c>
      <c r="C1447" t="s">
        <v>6665</v>
      </c>
      <c r="D1447">
        <v>13</v>
      </c>
      <c r="E1447" t="s">
        <v>29</v>
      </c>
      <c r="F1447" t="s">
        <v>63</v>
      </c>
      <c r="G1447" s="23">
        <v>42293</v>
      </c>
      <c r="H1447" t="s">
        <v>6666</v>
      </c>
      <c r="I1447" t="s">
        <v>6667</v>
      </c>
      <c r="J1447" t="s">
        <v>6668</v>
      </c>
    </row>
    <row r="1448" spans="1:10">
      <c r="A1448" t="s">
        <v>6669</v>
      </c>
      <c r="B1448" t="s">
        <v>6669</v>
      </c>
      <c r="C1448" t="s">
        <v>6670</v>
      </c>
      <c r="D1448">
        <v>85</v>
      </c>
      <c r="E1448" t="s">
        <v>36</v>
      </c>
      <c r="F1448" t="s">
        <v>115</v>
      </c>
      <c r="G1448" s="23">
        <v>44722</v>
      </c>
      <c r="H1448" t="s">
        <v>6671</v>
      </c>
      <c r="I1448" t="s">
        <v>6672</v>
      </c>
      <c r="J1448" t="s">
        <v>6673</v>
      </c>
    </row>
    <row r="1449" spans="1:10">
      <c r="A1449" t="s">
        <v>6674</v>
      </c>
      <c r="B1449" t="s">
        <v>6674</v>
      </c>
      <c r="C1449" t="s">
        <v>5750</v>
      </c>
      <c r="D1449">
        <v>8</v>
      </c>
      <c r="E1449" t="s">
        <v>29</v>
      </c>
      <c r="F1449" t="s">
        <v>63</v>
      </c>
      <c r="G1449" s="23">
        <v>42104</v>
      </c>
      <c r="H1449" t="s">
        <v>6675</v>
      </c>
      <c r="I1449" t="s">
        <v>6676</v>
      </c>
      <c r="J1449" t="s">
        <v>6677</v>
      </c>
    </row>
    <row r="1450" spans="1:10">
      <c r="A1450" t="s">
        <v>6678</v>
      </c>
      <c r="B1450" t="s">
        <v>6678</v>
      </c>
      <c r="C1450" t="s">
        <v>6679</v>
      </c>
      <c r="D1450">
        <v>5</v>
      </c>
      <c r="E1450" t="s">
        <v>35</v>
      </c>
      <c r="F1450" t="s">
        <v>63</v>
      </c>
      <c r="G1450" s="23">
        <v>45450</v>
      </c>
      <c r="H1450" t="s">
        <v>6680</v>
      </c>
      <c r="I1450" t="s">
        <v>6681</v>
      </c>
      <c r="J1450" t="s">
        <v>6682</v>
      </c>
    </row>
    <row r="1451" spans="1:10">
      <c r="A1451" t="s">
        <v>6683</v>
      </c>
      <c r="B1451" t="s">
        <v>6683</v>
      </c>
      <c r="C1451" t="s">
        <v>5894</v>
      </c>
      <c r="D1451">
        <v>12</v>
      </c>
      <c r="E1451" t="s">
        <v>35</v>
      </c>
      <c r="F1451" t="s">
        <v>57</v>
      </c>
      <c r="G1451" s="23">
        <v>45219</v>
      </c>
      <c r="H1451" t="s">
        <v>6684</v>
      </c>
      <c r="I1451" t="s">
        <v>6685</v>
      </c>
      <c r="J1451" t="s">
        <v>6686</v>
      </c>
    </row>
    <row r="1452" spans="1:10">
      <c r="A1452" t="s">
        <v>6687</v>
      </c>
      <c r="B1452" t="s">
        <v>6687</v>
      </c>
      <c r="C1452" t="s">
        <v>6688</v>
      </c>
      <c r="D1452">
        <v>10</v>
      </c>
      <c r="E1452" t="s">
        <v>34</v>
      </c>
      <c r="F1452" t="s">
        <v>57</v>
      </c>
      <c r="G1452" s="23">
        <v>45092</v>
      </c>
      <c r="H1452" t="s">
        <v>6689</v>
      </c>
      <c r="I1452" t="s">
        <v>6690</v>
      </c>
      <c r="J1452" t="s">
        <v>6691</v>
      </c>
    </row>
    <row r="1453" spans="1:10">
      <c r="A1453" t="s">
        <v>6692</v>
      </c>
      <c r="B1453" t="s">
        <v>6692</v>
      </c>
      <c r="C1453" t="s">
        <v>6693</v>
      </c>
      <c r="D1453">
        <v>14</v>
      </c>
      <c r="E1453" t="s">
        <v>36</v>
      </c>
      <c r="F1453" t="s">
        <v>115</v>
      </c>
      <c r="G1453" s="23">
        <v>46099</v>
      </c>
      <c r="H1453" t="s">
        <v>6694</v>
      </c>
      <c r="I1453" t="s">
        <v>6695</v>
      </c>
      <c r="J1453" t="s">
        <v>6696</v>
      </c>
    </row>
    <row r="1454" spans="1:10">
      <c r="A1454" t="s">
        <v>6697</v>
      </c>
      <c r="B1454" t="s">
        <v>6697</v>
      </c>
      <c r="C1454" t="s">
        <v>1958</v>
      </c>
      <c r="D1454">
        <v>7</v>
      </c>
      <c r="E1454" t="s">
        <v>35</v>
      </c>
      <c r="F1454" t="s">
        <v>57</v>
      </c>
      <c r="G1454" s="23">
        <v>45279</v>
      </c>
      <c r="H1454" t="s">
        <v>6698</v>
      </c>
      <c r="I1454" t="s">
        <v>6699</v>
      </c>
      <c r="J1454" t="s">
        <v>6700</v>
      </c>
    </row>
    <row r="1455" spans="1:10">
      <c r="A1455" t="s">
        <v>6701</v>
      </c>
      <c r="B1455" t="s">
        <v>6701</v>
      </c>
      <c r="C1455" t="s">
        <v>2521</v>
      </c>
      <c r="D1455">
        <v>29</v>
      </c>
      <c r="E1455" t="s">
        <v>34</v>
      </c>
      <c r="F1455" t="s">
        <v>57</v>
      </c>
      <c r="G1455" s="23">
        <v>45348</v>
      </c>
      <c r="H1455" t="s">
        <v>6702</v>
      </c>
      <c r="I1455" t="s">
        <v>6703</v>
      </c>
      <c r="J1455" t="s">
        <v>6704</v>
      </c>
    </row>
    <row r="1456" spans="1:10">
      <c r="A1456" t="s">
        <v>6705</v>
      </c>
      <c r="B1456" t="s">
        <v>6705</v>
      </c>
      <c r="C1456" t="s">
        <v>2521</v>
      </c>
      <c r="D1456">
        <v>20</v>
      </c>
      <c r="E1456" t="s">
        <v>34</v>
      </c>
      <c r="F1456" t="s">
        <v>57</v>
      </c>
      <c r="G1456" s="23">
        <v>45007</v>
      </c>
      <c r="H1456" t="s">
        <v>6706</v>
      </c>
      <c r="I1456" t="s">
        <v>6707</v>
      </c>
      <c r="J1456" t="s">
        <v>6708</v>
      </c>
    </row>
    <row r="1457" spans="1:10">
      <c r="A1457" t="s">
        <v>6709</v>
      </c>
      <c r="B1457" t="s">
        <v>6709</v>
      </c>
      <c r="C1457" t="s">
        <v>2521</v>
      </c>
      <c r="D1457">
        <v>17</v>
      </c>
      <c r="E1457" t="s">
        <v>34</v>
      </c>
      <c r="F1457" t="s">
        <v>57</v>
      </c>
      <c r="G1457" s="23">
        <v>45152</v>
      </c>
      <c r="H1457" t="s">
        <v>6710</v>
      </c>
      <c r="I1457" t="s">
        <v>6711</v>
      </c>
      <c r="J1457" t="s">
        <v>6712</v>
      </c>
    </row>
    <row r="1458" spans="1:10">
      <c r="A1458" t="s">
        <v>6713</v>
      </c>
      <c r="B1458" t="s">
        <v>6713</v>
      </c>
      <c r="C1458" t="s">
        <v>6714</v>
      </c>
      <c r="D1458">
        <v>4</v>
      </c>
      <c r="E1458" t="s">
        <v>29</v>
      </c>
      <c r="F1458" t="s">
        <v>63</v>
      </c>
      <c r="G1458" s="23">
        <v>42333</v>
      </c>
      <c r="H1458" t="s">
        <v>6715</v>
      </c>
      <c r="I1458" t="s">
        <v>6716</v>
      </c>
      <c r="J1458" t="s">
        <v>6717</v>
      </c>
    </row>
    <row r="1459" spans="1:10">
      <c r="A1459" t="s">
        <v>6718</v>
      </c>
      <c r="B1459" t="s">
        <v>6718</v>
      </c>
      <c r="C1459" t="s">
        <v>4515</v>
      </c>
      <c r="D1459">
        <v>1</v>
      </c>
      <c r="E1459" t="s">
        <v>31</v>
      </c>
      <c r="F1459" t="s">
        <v>63</v>
      </c>
      <c r="G1459" s="23">
        <v>45291</v>
      </c>
      <c r="H1459" t="s">
        <v>6719</v>
      </c>
      <c r="I1459" t="s">
        <v>6720</v>
      </c>
      <c r="J1459" t="s">
        <v>6721</v>
      </c>
    </row>
    <row r="1460" spans="1:10">
      <c r="A1460" t="s">
        <v>6722</v>
      </c>
      <c r="B1460" t="s">
        <v>6722</v>
      </c>
      <c r="C1460" t="s">
        <v>6723</v>
      </c>
      <c r="D1460">
        <v>1</v>
      </c>
      <c r="E1460" t="s">
        <v>31</v>
      </c>
      <c r="F1460" t="s">
        <v>63</v>
      </c>
      <c r="G1460" s="23">
        <v>42057</v>
      </c>
      <c r="H1460" t="s">
        <v>6724</v>
      </c>
      <c r="I1460" t="s">
        <v>6725</v>
      </c>
      <c r="J1460" t="s">
        <v>6726</v>
      </c>
    </row>
    <row r="1461" spans="1:10">
      <c r="A1461" t="s">
        <v>6727</v>
      </c>
      <c r="B1461" t="s">
        <v>6727</v>
      </c>
      <c r="C1461" t="s">
        <v>427</v>
      </c>
      <c r="D1461">
        <v>1</v>
      </c>
      <c r="E1461" t="s">
        <v>35</v>
      </c>
      <c r="F1461" t="s">
        <v>57</v>
      </c>
      <c r="G1461" s="23">
        <v>44317</v>
      </c>
      <c r="H1461" t="s">
        <v>6728</v>
      </c>
      <c r="I1461" t="s">
        <v>6729</v>
      </c>
      <c r="J1461" t="s">
        <v>6730</v>
      </c>
    </row>
    <row r="1462" spans="1:10">
      <c r="A1462" t="s">
        <v>6731</v>
      </c>
      <c r="B1462" t="s">
        <v>6731</v>
      </c>
      <c r="C1462" t="s">
        <v>6732</v>
      </c>
      <c r="D1462">
        <v>12</v>
      </c>
      <c r="E1462" t="s">
        <v>34</v>
      </c>
      <c r="F1462" t="s">
        <v>57</v>
      </c>
      <c r="G1462" s="23">
        <v>45532</v>
      </c>
      <c r="H1462" t="s">
        <v>6733</v>
      </c>
      <c r="I1462" t="s">
        <v>6734</v>
      </c>
      <c r="J1462" t="s">
        <v>6735</v>
      </c>
    </row>
    <row r="1463" spans="1:10">
      <c r="A1463" t="s">
        <v>6736</v>
      </c>
      <c r="B1463" t="s">
        <v>6736</v>
      </c>
      <c r="C1463" t="s">
        <v>3289</v>
      </c>
      <c r="D1463">
        <v>10</v>
      </c>
      <c r="E1463" t="s">
        <v>29</v>
      </c>
      <c r="F1463" t="s">
        <v>63</v>
      </c>
      <c r="G1463" s="23">
        <v>42010</v>
      </c>
      <c r="H1463" t="s">
        <v>6737</v>
      </c>
      <c r="I1463" t="s">
        <v>6738</v>
      </c>
      <c r="J1463" t="s">
        <v>6739</v>
      </c>
    </row>
    <row r="1464" spans="1:10">
      <c r="A1464" t="s">
        <v>6740</v>
      </c>
      <c r="B1464" t="s">
        <v>6740</v>
      </c>
      <c r="C1464" t="s">
        <v>2359</v>
      </c>
      <c r="D1464">
        <v>11</v>
      </c>
      <c r="E1464" t="s">
        <v>34</v>
      </c>
      <c r="F1464" t="s">
        <v>57</v>
      </c>
      <c r="G1464" s="23">
        <v>45993</v>
      </c>
      <c r="H1464" t="s">
        <v>6741</v>
      </c>
      <c r="I1464" t="s">
        <v>6742</v>
      </c>
      <c r="J1464" t="s">
        <v>6743</v>
      </c>
    </row>
    <row r="1465" spans="1:10">
      <c r="A1465" t="s">
        <v>6744</v>
      </c>
      <c r="B1465" t="s">
        <v>6744</v>
      </c>
      <c r="C1465" t="s">
        <v>6745</v>
      </c>
      <c r="D1465">
        <v>80</v>
      </c>
      <c r="E1465" t="s">
        <v>29</v>
      </c>
      <c r="F1465" t="s">
        <v>63</v>
      </c>
      <c r="G1465" s="23">
        <v>42217</v>
      </c>
      <c r="H1465" t="s">
        <v>6746</v>
      </c>
      <c r="I1465" t="s">
        <v>6747</v>
      </c>
      <c r="J1465" t="s">
        <v>6748</v>
      </c>
    </row>
    <row r="1466" spans="1:10">
      <c r="A1466" t="s">
        <v>6749</v>
      </c>
      <c r="B1466" t="s">
        <v>6749</v>
      </c>
      <c r="C1466" t="s">
        <v>6750</v>
      </c>
      <c r="D1466">
        <v>5</v>
      </c>
      <c r="E1466" t="s">
        <v>27</v>
      </c>
      <c r="F1466" t="s">
        <v>63</v>
      </c>
      <c r="G1466" s="23">
        <v>42280</v>
      </c>
      <c r="H1466" t="s">
        <v>6751</v>
      </c>
      <c r="I1466" t="s">
        <v>6752</v>
      </c>
      <c r="J1466" t="s">
        <v>6753</v>
      </c>
    </row>
    <row r="1467" spans="1:10">
      <c r="A1467" t="s">
        <v>6754</v>
      </c>
      <c r="B1467" t="s">
        <v>6754</v>
      </c>
      <c r="C1467" t="s">
        <v>6755</v>
      </c>
      <c r="D1467">
        <v>32</v>
      </c>
      <c r="E1467" t="s">
        <v>27</v>
      </c>
      <c r="F1467" t="s">
        <v>63</v>
      </c>
      <c r="G1467" s="23">
        <v>42384</v>
      </c>
      <c r="H1467" t="s">
        <v>6756</v>
      </c>
      <c r="I1467" t="s">
        <v>6757</v>
      </c>
      <c r="J1467" t="s">
        <v>6758</v>
      </c>
    </row>
    <row r="1468" spans="1:10">
      <c r="A1468" t="s">
        <v>6759</v>
      </c>
      <c r="B1468" t="s">
        <v>6759</v>
      </c>
      <c r="C1468" t="s">
        <v>6760</v>
      </c>
      <c r="D1468">
        <v>10</v>
      </c>
      <c r="E1468" t="s">
        <v>33</v>
      </c>
      <c r="F1468" t="s">
        <v>57</v>
      </c>
      <c r="G1468" s="23">
        <v>45572</v>
      </c>
      <c r="H1468" t="s">
        <v>6761</v>
      </c>
      <c r="I1468" t="s">
        <v>6762</v>
      </c>
      <c r="J1468" t="s">
        <v>6763</v>
      </c>
    </row>
    <row r="1469" spans="1:10">
      <c r="A1469" t="s">
        <v>6764</v>
      </c>
      <c r="B1469" t="s">
        <v>6764</v>
      </c>
      <c r="C1469" t="s">
        <v>494</v>
      </c>
      <c r="D1469">
        <v>0</v>
      </c>
      <c r="E1469" t="s">
        <v>34</v>
      </c>
      <c r="F1469" t="s">
        <v>57</v>
      </c>
      <c r="G1469" s="23">
        <v>45198</v>
      </c>
      <c r="H1469" t="s">
        <v>6765</v>
      </c>
      <c r="I1469" t="s">
        <v>6766</v>
      </c>
      <c r="J1469" t="s">
        <v>6767</v>
      </c>
    </row>
    <row r="1470" spans="1:10">
      <c r="A1470" t="s">
        <v>6768</v>
      </c>
      <c r="B1470" t="s">
        <v>6768</v>
      </c>
      <c r="C1470" t="s">
        <v>1686</v>
      </c>
      <c r="D1470">
        <v>5</v>
      </c>
      <c r="E1470" t="s">
        <v>27</v>
      </c>
      <c r="F1470" t="s">
        <v>63</v>
      </c>
      <c r="G1470" s="23">
        <v>42565</v>
      </c>
      <c r="H1470" t="s">
        <v>6769</v>
      </c>
      <c r="I1470" t="s">
        <v>6770</v>
      </c>
      <c r="J1470" t="s">
        <v>6771</v>
      </c>
    </row>
    <row r="1471" spans="1:10">
      <c r="A1471" t="s">
        <v>6772</v>
      </c>
      <c r="B1471" t="s">
        <v>6772</v>
      </c>
      <c r="C1471" t="s">
        <v>4619</v>
      </c>
      <c r="D1471">
        <v>28</v>
      </c>
      <c r="E1471" t="s">
        <v>31</v>
      </c>
      <c r="F1471" t="s">
        <v>63</v>
      </c>
      <c r="G1471" s="23">
        <v>42614</v>
      </c>
      <c r="H1471" t="s">
        <v>6773</v>
      </c>
      <c r="I1471" t="s">
        <v>6774</v>
      </c>
      <c r="J1471" t="s">
        <v>6775</v>
      </c>
    </row>
    <row r="1472" spans="1:10">
      <c r="A1472" t="s">
        <v>6776</v>
      </c>
      <c r="B1472" t="s">
        <v>6776</v>
      </c>
      <c r="C1472" t="s">
        <v>68</v>
      </c>
      <c r="D1472">
        <v>33</v>
      </c>
      <c r="E1472" t="s">
        <v>31</v>
      </c>
      <c r="F1472" t="s">
        <v>63</v>
      </c>
      <c r="G1472" s="23">
        <v>43896</v>
      </c>
      <c r="H1472" t="s">
        <v>6777</v>
      </c>
      <c r="I1472" t="s">
        <v>6778</v>
      </c>
      <c r="J1472" t="s">
        <v>6779</v>
      </c>
    </row>
    <row r="1473" spans="1:10">
      <c r="A1473" t="s">
        <v>6780</v>
      </c>
      <c r="B1473" t="s">
        <v>6780</v>
      </c>
      <c r="C1473" t="s">
        <v>5427</v>
      </c>
      <c r="D1473">
        <v>9</v>
      </c>
      <c r="E1473" t="s">
        <v>27</v>
      </c>
      <c r="F1473" t="s">
        <v>63</v>
      </c>
      <c r="G1473" s="23">
        <v>41501</v>
      </c>
      <c r="H1473" t="s">
        <v>6781</v>
      </c>
      <c r="I1473" t="s">
        <v>6782</v>
      </c>
      <c r="J1473" t="s">
        <v>6783</v>
      </c>
    </row>
    <row r="1474" spans="1:10">
      <c r="A1474" t="s">
        <v>6784</v>
      </c>
      <c r="B1474" t="s">
        <v>6784</v>
      </c>
      <c r="C1474" t="s">
        <v>6785</v>
      </c>
      <c r="D1474">
        <v>4</v>
      </c>
      <c r="E1474" t="s">
        <v>33</v>
      </c>
      <c r="F1474" t="s">
        <v>63</v>
      </c>
      <c r="G1474" s="23">
        <v>45702</v>
      </c>
      <c r="H1474" t="s">
        <v>6786</v>
      </c>
      <c r="I1474" t="s">
        <v>6787</v>
      </c>
      <c r="J1474" t="s">
        <v>6788</v>
      </c>
    </row>
    <row r="1475" spans="1:10">
      <c r="A1475" t="s">
        <v>6789</v>
      </c>
      <c r="B1475" t="s">
        <v>6789</v>
      </c>
      <c r="C1475" t="s">
        <v>6790</v>
      </c>
      <c r="D1475">
        <v>2</v>
      </c>
      <c r="E1475" t="s">
        <v>29</v>
      </c>
      <c r="F1475" t="s">
        <v>2433</v>
      </c>
      <c r="G1475" s="23">
        <v>46005</v>
      </c>
      <c r="H1475" t="s">
        <v>6791</v>
      </c>
      <c r="I1475" t="s">
        <v>6792</v>
      </c>
      <c r="J1475" t="s">
        <v>6793</v>
      </c>
    </row>
    <row r="1476" spans="1:10">
      <c r="A1476" t="s">
        <v>6794</v>
      </c>
      <c r="B1476" t="s">
        <v>6794</v>
      </c>
      <c r="C1476" t="s">
        <v>6795</v>
      </c>
      <c r="D1476">
        <v>32</v>
      </c>
      <c r="E1476" t="s">
        <v>35</v>
      </c>
      <c r="F1476" t="s">
        <v>57</v>
      </c>
      <c r="G1476" s="23">
        <v>44226</v>
      </c>
      <c r="H1476" t="s">
        <v>6796</v>
      </c>
      <c r="I1476" t="s">
        <v>6797</v>
      </c>
      <c r="J1476" t="s">
        <v>6798</v>
      </c>
    </row>
    <row r="1477" spans="1:10">
      <c r="A1477" t="s">
        <v>6799</v>
      </c>
      <c r="B1477" t="s">
        <v>6799</v>
      </c>
      <c r="C1477" t="s">
        <v>665</v>
      </c>
      <c r="D1477">
        <v>12</v>
      </c>
      <c r="E1477" t="s">
        <v>35</v>
      </c>
      <c r="F1477" t="s">
        <v>57</v>
      </c>
      <c r="G1477" s="23">
        <v>44859</v>
      </c>
      <c r="H1477" t="s">
        <v>6800</v>
      </c>
      <c r="I1477" t="s">
        <v>6801</v>
      </c>
      <c r="J1477" t="s">
        <v>6802</v>
      </c>
    </row>
    <row r="1478" spans="1:10">
      <c r="A1478" t="s">
        <v>6803</v>
      </c>
      <c r="B1478" t="s">
        <v>6803</v>
      </c>
      <c r="C1478" t="s">
        <v>2620</v>
      </c>
      <c r="D1478">
        <v>2</v>
      </c>
      <c r="E1478" t="s">
        <v>31</v>
      </c>
      <c r="F1478" t="s">
        <v>571</v>
      </c>
      <c r="G1478" s="23">
        <v>44802</v>
      </c>
      <c r="H1478" t="s">
        <v>6804</v>
      </c>
      <c r="I1478" t="s">
        <v>6805</v>
      </c>
      <c r="J1478" t="s">
        <v>6806</v>
      </c>
    </row>
    <row r="1479" spans="1:10">
      <c r="A1479" t="s">
        <v>6807</v>
      </c>
      <c r="B1479" t="s">
        <v>6807</v>
      </c>
      <c r="C1479" t="s">
        <v>6808</v>
      </c>
      <c r="D1479">
        <v>53</v>
      </c>
      <c r="E1479" t="s">
        <v>31</v>
      </c>
      <c r="F1479" t="s">
        <v>63</v>
      </c>
      <c r="G1479" s="23">
        <v>41870</v>
      </c>
      <c r="H1479" t="s">
        <v>6809</v>
      </c>
      <c r="I1479" t="s">
        <v>6810</v>
      </c>
      <c r="J1479" t="s">
        <v>6811</v>
      </c>
    </row>
    <row r="1480" spans="1:10">
      <c r="A1480" t="s">
        <v>6812</v>
      </c>
      <c r="B1480" t="s">
        <v>6812</v>
      </c>
      <c r="C1480" t="s">
        <v>6813</v>
      </c>
      <c r="D1480">
        <v>18</v>
      </c>
      <c r="E1480" t="s">
        <v>33</v>
      </c>
      <c r="F1480" t="s">
        <v>57</v>
      </c>
      <c r="G1480" s="23">
        <v>43921</v>
      </c>
      <c r="H1480" t="s">
        <v>6814</v>
      </c>
      <c r="I1480" t="s">
        <v>6815</v>
      </c>
      <c r="J1480" t="s">
        <v>6816</v>
      </c>
    </row>
    <row r="1481" spans="1:10">
      <c r="A1481" t="s">
        <v>6817</v>
      </c>
      <c r="B1481" t="s">
        <v>6817</v>
      </c>
      <c r="C1481" t="s">
        <v>1608</v>
      </c>
      <c r="D1481">
        <v>5</v>
      </c>
      <c r="E1481" t="s">
        <v>31</v>
      </c>
      <c r="F1481" t="s">
        <v>57</v>
      </c>
      <c r="G1481" s="23">
        <v>44821</v>
      </c>
      <c r="H1481" t="s">
        <v>6818</v>
      </c>
      <c r="I1481" t="s">
        <v>6819</v>
      </c>
      <c r="J1481" t="s">
        <v>6820</v>
      </c>
    </row>
    <row r="1482" spans="1:10">
      <c r="A1482" t="s">
        <v>6821</v>
      </c>
      <c r="B1482" t="s">
        <v>6821</v>
      </c>
      <c r="C1482" t="s">
        <v>6822</v>
      </c>
      <c r="D1482">
        <v>84</v>
      </c>
      <c r="E1482" t="s">
        <v>29</v>
      </c>
      <c r="F1482" t="s">
        <v>63</v>
      </c>
      <c r="G1482" s="23">
        <v>42221</v>
      </c>
      <c r="H1482" t="s">
        <v>6823</v>
      </c>
      <c r="I1482" t="s">
        <v>6824</v>
      </c>
      <c r="J1482" t="s">
        <v>6825</v>
      </c>
    </row>
    <row r="1483" spans="1:10">
      <c r="A1483" t="s">
        <v>6826</v>
      </c>
      <c r="B1483" t="s">
        <v>6826</v>
      </c>
      <c r="C1483" t="s">
        <v>6822</v>
      </c>
      <c r="D1483">
        <v>84</v>
      </c>
      <c r="E1483" t="s">
        <v>29</v>
      </c>
      <c r="F1483" t="s">
        <v>63</v>
      </c>
      <c r="G1483" s="23">
        <v>42221</v>
      </c>
      <c r="H1483" t="s">
        <v>6827</v>
      </c>
      <c r="I1483" t="s">
        <v>6828</v>
      </c>
      <c r="J1483" t="s">
        <v>6829</v>
      </c>
    </row>
    <row r="1484" spans="1:10">
      <c r="A1484" t="s">
        <v>6830</v>
      </c>
      <c r="B1484" t="s">
        <v>6830</v>
      </c>
      <c r="C1484" t="s">
        <v>6831</v>
      </c>
      <c r="D1484">
        <v>14</v>
      </c>
      <c r="E1484" t="s">
        <v>31</v>
      </c>
      <c r="F1484" t="s">
        <v>57</v>
      </c>
      <c r="G1484" s="23">
        <v>43629</v>
      </c>
      <c r="H1484" t="s">
        <v>6832</v>
      </c>
      <c r="I1484" t="s">
        <v>6833</v>
      </c>
      <c r="J1484" t="s">
        <v>6834</v>
      </c>
    </row>
    <row r="1485" spans="1:10">
      <c r="A1485" t="s">
        <v>6835</v>
      </c>
      <c r="B1485" t="s">
        <v>6835</v>
      </c>
      <c r="C1485" t="s">
        <v>6836</v>
      </c>
      <c r="D1485">
        <v>15</v>
      </c>
      <c r="E1485" t="s">
        <v>34</v>
      </c>
      <c r="F1485" t="s">
        <v>57</v>
      </c>
      <c r="G1485" s="23">
        <v>44369</v>
      </c>
      <c r="H1485" t="s">
        <v>6837</v>
      </c>
      <c r="I1485" t="s">
        <v>6838</v>
      </c>
      <c r="J1485" t="s">
        <v>6839</v>
      </c>
    </row>
    <row r="1486" spans="1:10">
      <c r="A1486" t="s">
        <v>6840</v>
      </c>
      <c r="B1486" t="s">
        <v>6840</v>
      </c>
      <c r="C1486" t="s">
        <v>1069</v>
      </c>
      <c r="D1486">
        <v>14</v>
      </c>
      <c r="E1486" t="s">
        <v>34</v>
      </c>
      <c r="F1486" t="s">
        <v>57</v>
      </c>
      <c r="G1486" s="23">
        <v>45079</v>
      </c>
      <c r="H1486" t="s">
        <v>6841</v>
      </c>
      <c r="I1486" t="s">
        <v>6842</v>
      </c>
      <c r="J1486" t="s">
        <v>6843</v>
      </c>
    </row>
    <row r="1487" spans="1:10">
      <c r="A1487" t="s">
        <v>6844</v>
      </c>
      <c r="B1487" t="s">
        <v>6844</v>
      </c>
      <c r="C1487" t="s">
        <v>2879</v>
      </c>
      <c r="D1487">
        <v>14</v>
      </c>
      <c r="E1487" t="s">
        <v>33</v>
      </c>
      <c r="F1487" t="s">
        <v>57</v>
      </c>
      <c r="G1487" s="23">
        <v>45343</v>
      </c>
      <c r="H1487" t="s">
        <v>6845</v>
      </c>
      <c r="I1487" t="s">
        <v>6846</v>
      </c>
      <c r="J1487" t="s">
        <v>6847</v>
      </c>
    </row>
    <row r="1488" spans="1:10">
      <c r="A1488" t="s">
        <v>6848</v>
      </c>
      <c r="B1488" t="s">
        <v>6848</v>
      </c>
      <c r="C1488" t="s">
        <v>2290</v>
      </c>
      <c r="D1488">
        <v>13</v>
      </c>
      <c r="E1488" t="s">
        <v>34</v>
      </c>
      <c r="F1488" t="s">
        <v>57</v>
      </c>
      <c r="G1488" s="23">
        <v>46213</v>
      </c>
      <c r="H1488" t="s">
        <v>6849</v>
      </c>
      <c r="I1488" t="s">
        <v>6850</v>
      </c>
      <c r="J1488" t="s">
        <v>6851</v>
      </c>
    </row>
    <row r="1489" spans="1:10">
      <c r="A1489" t="s">
        <v>6852</v>
      </c>
      <c r="B1489" t="s">
        <v>6852</v>
      </c>
      <c r="C1489" t="s">
        <v>6853</v>
      </c>
      <c r="D1489">
        <v>15</v>
      </c>
      <c r="E1489" t="s">
        <v>34</v>
      </c>
      <c r="F1489" t="s">
        <v>57</v>
      </c>
      <c r="G1489" s="23">
        <v>43573</v>
      </c>
      <c r="H1489" t="s">
        <v>6854</v>
      </c>
      <c r="I1489" t="s">
        <v>6855</v>
      </c>
      <c r="J1489" t="s">
        <v>6856</v>
      </c>
    </row>
    <row r="1490" spans="1:10">
      <c r="A1490" t="s">
        <v>6857</v>
      </c>
      <c r="B1490" t="s">
        <v>6857</v>
      </c>
      <c r="C1490" t="s">
        <v>6853</v>
      </c>
      <c r="D1490">
        <v>13</v>
      </c>
      <c r="E1490" t="s">
        <v>34</v>
      </c>
      <c r="F1490" t="s">
        <v>57</v>
      </c>
      <c r="G1490" s="23">
        <v>43573</v>
      </c>
      <c r="H1490" t="s">
        <v>6858</v>
      </c>
      <c r="I1490" t="s">
        <v>6859</v>
      </c>
      <c r="J1490" t="s">
        <v>6860</v>
      </c>
    </row>
    <row r="1491" spans="1:10">
      <c r="A1491" t="s">
        <v>6861</v>
      </c>
      <c r="B1491" t="s">
        <v>6861</v>
      </c>
      <c r="C1491" t="s">
        <v>6853</v>
      </c>
      <c r="D1491">
        <v>13</v>
      </c>
      <c r="E1491" t="s">
        <v>34</v>
      </c>
      <c r="F1491" t="s">
        <v>57</v>
      </c>
      <c r="G1491" s="23">
        <v>43703</v>
      </c>
      <c r="H1491" t="s">
        <v>6862</v>
      </c>
      <c r="I1491" t="s">
        <v>6863</v>
      </c>
      <c r="J1491" t="s">
        <v>6864</v>
      </c>
    </row>
    <row r="1492" spans="1:10">
      <c r="A1492" t="s">
        <v>6865</v>
      </c>
      <c r="B1492" t="s">
        <v>6865</v>
      </c>
      <c r="C1492" t="s">
        <v>6853</v>
      </c>
      <c r="D1492">
        <v>12</v>
      </c>
      <c r="E1492" t="s">
        <v>34</v>
      </c>
      <c r="F1492" t="s">
        <v>57</v>
      </c>
      <c r="G1492" s="23">
        <v>43875</v>
      </c>
      <c r="H1492" t="s">
        <v>6866</v>
      </c>
      <c r="I1492" t="s">
        <v>6867</v>
      </c>
      <c r="J1492" t="s">
        <v>6868</v>
      </c>
    </row>
    <row r="1493" spans="1:10">
      <c r="A1493" t="s">
        <v>6869</v>
      </c>
      <c r="B1493" t="s">
        <v>6869</v>
      </c>
      <c r="C1493" t="s">
        <v>3356</v>
      </c>
      <c r="D1493">
        <v>23</v>
      </c>
      <c r="E1493" t="s">
        <v>34</v>
      </c>
      <c r="F1493" t="s">
        <v>57</v>
      </c>
      <c r="G1493" s="23">
        <v>44366</v>
      </c>
      <c r="H1493" t="s">
        <v>6870</v>
      </c>
      <c r="I1493" t="s">
        <v>6871</v>
      </c>
      <c r="J1493" t="s">
        <v>6872</v>
      </c>
    </row>
    <row r="1494" spans="1:10">
      <c r="A1494" t="s">
        <v>6873</v>
      </c>
      <c r="B1494" t="s">
        <v>6873</v>
      </c>
      <c r="C1494" t="s">
        <v>1464</v>
      </c>
      <c r="D1494">
        <v>1</v>
      </c>
      <c r="E1494" t="s">
        <v>31</v>
      </c>
      <c r="F1494" t="s">
        <v>57</v>
      </c>
      <c r="G1494" s="23">
        <v>46060</v>
      </c>
      <c r="H1494" t="s">
        <v>6874</v>
      </c>
      <c r="I1494" t="s">
        <v>6875</v>
      </c>
      <c r="J1494" t="s">
        <v>6876</v>
      </c>
    </row>
    <row r="1495" spans="1:10">
      <c r="A1495" t="s">
        <v>6877</v>
      </c>
      <c r="B1495" t="s">
        <v>6877</v>
      </c>
      <c r="C1495" t="s">
        <v>930</v>
      </c>
      <c r="D1495">
        <v>1</v>
      </c>
      <c r="E1495" t="s">
        <v>34</v>
      </c>
      <c r="F1495" t="s">
        <v>57</v>
      </c>
      <c r="G1495" s="23">
        <v>45216</v>
      </c>
      <c r="H1495" t="s">
        <v>6878</v>
      </c>
      <c r="I1495" t="s">
        <v>6879</v>
      </c>
      <c r="J1495" t="s">
        <v>6880</v>
      </c>
    </row>
    <row r="1496" spans="1:10">
      <c r="A1496" t="s">
        <v>6881</v>
      </c>
      <c r="B1496" t="s">
        <v>6881</v>
      </c>
      <c r="C1496" t="s">
        <v>6882</v>
      </c>
      <c r="D1496">
        <v>44</v>
      </c>
      <c r="E1496" t="s">
        <v>31</v>
      </c>
      <c r="F1496" t="s">
        <v>63</v>
      </c>
      <c r="G1496" s="23">
        <v>46146</v>
      </c>
      <c r="H1496" t="s">
        <v>6883</v>
      </c>
      <c r="I1496" t="s">
        <v>6884</v>
      </c>
      <c r="J1496" t="s">
        <v>6885</v>
      </c>
    </row>
    <row r="1497" spans="1:10">
      <c r="A1497" t="s">
        <v>6886</v>
      </c>
      <c r="B1497" t="s">
        <v>6886</v>
      </c>
      <c r="C1497" t="s">
        <v>3280</v>
      </c>
      <c r="D1497">
        <v>5</v>
      </c>
      <c r="E1497" t="s">
        <v>31</v>
      </c>
      <c r="F1497" t="s">
        <v>57</v>
      </c>
      <c r="G1497" s="23">
        <v>45214</v>
      </c>
      <c r="H1497" t="s">
        <v>6887</v>
      </c>
      <c r="I1497" t="s">
        <v>6888</v>
      </c>
      <c r="J1497" t="s">
        <v>6889</v>
      </c>
    </row>
    <row r="1498" spans="1:10">
      <c r="A1498" t="s">
        <v>6890</v>
      </c>
      <c r="B1498" t="s">
        <v>6890</v>
      </c>
      <c r="C1498" t="s">
        <v>3575</v>
      </c>
      <c r="D1498">
        <v>18</v>
      </c>
      <c r="E1498" t="s">
        <v>29</v>
      </c>
      <c r="F1498" t="s">
        <v>63</v>
      </c>
      <c r="G1498" s="23">
        <v>42284</v>
      </c>
      <c r="H1498" t="s">
        <v>6891</v>
      </c>
      <c r="I1498" t="s">
        <v>6892</v>
      </c>
      <c r="J1498" t="s">
        <v>6893</v>
      </c>
    </row>
    <row r="1499" spans="1:10">
      <c r="A1499" t="s">
        <v>6894</v>
      </c>
      <c r="B1499" t="s">
        <v>6894</v>
      </c>
      <c r="C1499" t="s">
        <v>6895</v>
      </c>
      <c r="D1499">
        <v>5</v>
      </c>
      <c r="E1499" t="s">
        <v>29</v>
      </c>
      <c r="F1499" t="s">
        <v>63</v>
      </c>
      <c r="G1499" s="23">
        <v>42057</v>
      </c>
      <c r="H1499" t="s">
        <v>6896</v>
      </c>
      <c r="I1499" t="s">
        <v>6897</v>
      </c>
      <c r="J1499" t="s">
        <v>6898</v>
      </c>
    </row>
    <row r="1500" spans="1:10">
      <c r="A1500" t="s">
        <v>6899</v>
      </c>
      <c r="B1500" t="s">
        <v>6899</v>
      </c>
      <c r="C1500" t="s">
        <v>1932</v>
      </c>
      <c r="D1500">
        <v>1</v>
      </c>
      <c r="E1500" t="s">
        <v>35</v>
      </c>
      <c r="F1500" t="s">
        <v>57</v>
      </c>
      <c r="G1500" s="23">
        <v>44683</v>
      </c>
      <c r="H1500" t="s">
        <v>6900</v>
      </c>
      <c r="I1500" t="s">
        <v>6901</v>
      </c>
      <c r="J1500" t="s">
        <v>6902</v>
      </c>
    </row>
    <row r="1501" spans="1:10">
      <c r="A1501" t="s">
        <v>6903</v>
      </c>
      <c r="B1501" t="s">
        <v>6903</v>
      </c>
      <c r="C1501" t="s">
        <v>1932</v>
      </c>
      <c r="D1501">
        <v>0</v>
      </c>
      <c r="E1501" t="s">
        <v>35</v>
      </c>
      <c r="F1501" t="s">
        <v>57</v>
      </c>
      <c r="G1501" s="23">
        <v>44736</v>
      </c>
      <c r="H1501" t="s">
        <v>6904</v>
      </c>
      <c r="I1501" t="s">
        <v>6905</v>
      </c>
      <c r="J1501" t="s">
        <v>6906</v>
      </c>
    </row>
    <row r="1502" spans="1:10">
      <c r="A1502" t="s">
        <v>6907</v>
      </c>
      <c r="B1502" t="s">
        <v>6907</v>
      </c>
      <c r="C1502" t="s">
        <v>1932</v>
      </c>
      <c r="D1502">
        <v>1</v>
      </c>
      <c r="E1502" t="s">
        <v>35</v>
      </c>
      <c r="F1502" t="s">
        <v>57</v>
      </c>
      <c r="G1502" s="23">
        <v>44739</v>
      </c>
      <c r="H1502" t="s">
        <v>6908</v>
      </c>
      <c r="I1502" t="s">
        <v>6909</v>
      </c>
      <c r="J1502" t="s">
        <v>6910</v>
      </c>
    </row>
    <row r="1503" spans="1:10">
      <c r="A1503" t="s">
        <v>6911</v>
      </c>
      <c r="B1503" t="s">
        <v>6911</v>
      </c>
      <c r="C1503" t="s">
        <v>243</v>
      </c>
      <c r="D1503">
        <v>10</v>
      </c>
      <c r="E1503" t="s">
        <v>31</v>
      </c>
      <c r="F1503" t="s">
        <v>63</v>
      </c>
      <c r="G1503" s="23">
        <v>46101</v>
      </c>
      <c r="H1503" t="s">
        <v>6912</v>
      </c>
      <c r="I1503" t="s">
        <v>6913</v>
      </c>
      <c r="J1503" t="s">
        <v>6914</v>
      </c>
    </row>
    <row r="1504" spans="1:10">
      <c r="A1504" t="s">
        <v>6915</v>
      </c>
      <c r="B1504" t="s">
        <v>6915</v>
      </c>
      <c r="C1504" t="s">
        <v>6916</v>
      </c>
      <c r="D1504">
        <v>5</v>
      </c>
      <c r="E1504" t="s">
        <v>36</v>
      </c>
      <c r="F1504" t="s">
        <v>63</v>
      </c>
      <c r="G1504" s="23">
        <v>46074</v>
      </c>
      <c r="H1504" t="s">
        <v>6917</v>
      </c>
      <c r="I1504" t="s">
        <v>6918</v>
      </c>
      <c r="J1504" t="s">
        <v>6919</v>
      </c>
    </row>
    <row r="1505" spans="1:10">
      <c r="A1505" t="s">
        <v>6920</v>
      </c>
      <c r="B1505" t="s">
        <v>6920</v>
      </c>
      <c r="C1505" t="s">
        <v>6921</v>
      </c>
      <c r="D1505">
        <v>11</v>
      </c>
      <c r="E1505" t="s">
        <v>34</v>
      </c>
      <c r="F1505" t="s">
        <v>57</v>
      </c>
      <c r="G1505" s="23">
        <v>44384</v>
      </c>
      <c r="H1505" t="s">
        <v>6922</v>
      </c>
      <c r="I1505" t="s">
        <v>6923</v>
      </c>
      <c r="J1505" t="s">
        <v>6924</v>
      </c>
    </row>
    <row r="1506" spans="1:10">
      <c r="A1506" t="s">
        <v>6925</v>
      </c>
      <c r="B1506" t="s">
        <v>6925</v>
      </c>
      <c r="C1506" t="s">
        <v>6921</v>
      </c>
      <c r="D1506">
        <v>14</v>
      </c>
      <c r="E1506" t="s">
        <v>34</v>
      </c>
      <c r="F1506" t="s">
        <v>57</v>
      </c>
      <c r="G1506" s="23">
        <v>45026</v>
      </c>
      <c r="H1506" t="s">
        <v>6926</v>
      </c>
      <c r="I1506" t="s">
        <v>6927</v>
      </c>
      <c r="J1506" t="s">
        <v>6928</v>
      </c>
    </row>
    <row r="1507" spans="1:10">
      <c r="A1507" t="s">
        <v>6929</v>
      </c>
      <c r="B1507" t="s">
        <v>6929</v>
      </c>
      <c r="C1507" t="s">
        <v>641</v>
      </c>
      <c r="D1507">
        <v>14</v>
      </c>
      <c r="E1507" t="s">
        <v>35</v>
      </c>
      <c r="F1507" t="s">
        <v>57</v>
      </c>
      <c r="G1507" s="23">
        <v>44515</v>
      </c>
      <c r="H1507" t="s">
        <v>6930</v>
      </c>
      <c r="I1507" t="s">
        <v>6931</v>
      </c>
      <c r="J1507" t="s">
        <v>6932</v>
      </c>
    </row>
    <row r="1508" spans="1:10">
      <c r="A1508" t="s">
        <v>6933</v>
      </c>
      <c r="B1508" t="s">
        <v>6933</v>
      </c>
      <c r="C1508" t="s">
        <v>6934</v>
      </c>
      <c r="D1508">
        <v>118</v>
      </c>
      <c r="E1508" t="s">
        <v>31</v>
      </c>
      <c r="F1508" t="s">
        <v>63</v>
      </c>
      <c r="G1508" s="23">
        <v>45416</v>
      </c>
      <c r="H1508" t="s">
        <v>6935</v>
      </c>
      <c r="I1508" t="s">
        <v>6936</v>
      </c>
      <c r="J1508" t="s">
        <v>6937</v>
      </c>
    </row>
    <row r="1509" spans="1:10">
      <c r="A1509" t="s">
        <v>6938</v>
      </c>
      <c r="B1509" t="s">
        <v>6938</v>
      </c>
      <c r="C1509" t="s">
        <v>494</v>
      </c>
      <c r="D1509">
        <v>1</v>
      </c>
      <c r="E1509" t="s">
        <v>36</v>
      </c>
      <c r="F1509" t="s">
        <v>57</v>
      </c>
      <c r="G1509" s="23">
        <v>45483</v>
      </c>
      <c r="H1509" t="s">
        <v>6939</v>
      </c>
      <c r="I1509" t="s">
        <v>6940</v>
      </c>
      <c r="J1509" t="s">
        <v>6941</v>
      </c>
    </row>
    <row r="1510" spans="1:10">
      <c r="A1510" t="s">
        <v>6942</v>
      </c>
      <c r="B1510" t="s">
        <v>6942</v>
      </c>
      <c r="C1510" t="s">
        <v>6943</v>
      </c>
      <c r="D1510">
        <v>20</v>
      </c>
      <c r="E1510" t="s">
        <v>34</v>
      </c>
      <c r="F1510" t="s">
        <v>57</v>
      </c>
      <c r="G1510" s="23">
        <v>46141</v>
      </c>
      <c r="H1510" t="s">
        <v>6944</v>
      </c>
      <c r="I1510" t="s">
        <v>6945</v>
      </c>
      <c r="J1510" t="s">
        <v>6946</v>
      </c>
    </row>
    <row r="1511" spans="1:10">
      <c r="A1511" t="s">
        <v>6947</v>
      </c>
      <c r="B1511" t="s">
        <v>6947</v>
      </c>
      <c r="C1511" t="s">
        <v>6948</v>
      </c>
      <c r="D1511">
        <v>22</v>
      </c>
      <c r="E1511" t="s">
        <v>35</v>
      </c>
      <c r="F1511" t="s">
        <v>57</v>
      </c>
      <c r="G1511" s="23">
        <v>43210</v>
      </c>
      <c r="H1511" t="s">
        <v>6949</v>
      </c>
      <c r="I1511" t="s">
        <v>6950</v>
      </c>
      <c r="J1511" t="s">
        <v>6951</v>
      </c>
    </row>
    <row r="1512" spans="1:10">
      <c r="A1512" t="s">
        <v>6952</v>
      </c>
      <c r="B1512" t="s">
        <v>6952</v>
      </c>
      <c r="C1512" t="s">
        <v>4552</v>
      </c>
      <c r="D1512">
        <v>92</v>
      </c>
      <c r="E1512" t="s">
        <v>31</v>
      </c>
      <c r="F1512" t="s">
        <v>63</v>
      </c>
      <c r="G1512" s="23">
        <v>44062</v>
      </c>
      <c r="H1512" t="s">
        <v>6953</v>
      </c>
      <c r="I1512" t="s">
        <v>6954</v>
      </c>
      <c r="J1512" t="s">
        <v>6955</v>
      </c>
    </row>
    <row r="1513" spans="1:10">
      <c r="A1513" t="s">
        <v>6956</v>
      </c>
      <c r="B1513" t="s">
        <v>6956</v>
      </c>
      <c r="C1513" t="s">
        <v>78</v>
      </c>
      <c r="D1513">
        <v>22</v>
      </c>
      <c r="E1513" t="s">
        <v>34</v>
      </c>
      <c r="F1513" t="s">
        <v>57</v>
      </c>
      <c r="G1513" s="23">
        <v>43884</v>
      </c>
      <c r="H1513" t="s">
        <v>6957</v>
      </c>
      <c r="I1513" t="s">
        <v>6958</v>
      </c>
      <c r="J1513" t="s">
        <v>6959</v>
      </c>
    </row>
    <row r="1514" spans="1:10">
      <c r="A1514" t="s">
        <v>6960</v>
      </c>
      <c r="B1514" t="s">
        <v>6960</v>
      </c>
      <c r="C1514" t="s">
        <v>1464</v>
      </c>
      <c r="D1514">
        <v>4</v>
      </c>
      <c r="E1514" t="s">
        <v>33</v>
      </c>
      <c r="F1514" t="s">
        <v>57</v>
      </c>
      <c r="G1514" s="23">
        <v>45679</v>
      </c>
      <c r="H1514" t="s">
        <v>6961</v>
      </c>
      <c r="I1514" t="s">
        <v>6962</v>
      </c>
      <c r="J1514" t="s">
        <v>6963</v>
      </c>
    </row>
    <row r="1515" spans="1:10">
      <c r="A1515" t="s">
        <v>6964</v>
      </c>
      <c r="B1515" t="s">
        <v>6964</v>
      </c>
      <c r="C1515" t="s">
        <v>1464</v>
      </c>
      <c r="D1515">
        <v>4</v>
      </c>
      <c r="E1515" t="s">
        <v>34</v>
      </c>
      <c r="F1515" t="s">
        <v>57</v>
      </c>
      <c r="G1515" s="23">
        <v>45754</v>
      </c>
      <c r="H1515" t="s">
        <v>6965</v>
      </c>
      <c r="I1515" t="s">
        <v>6966</v>
      </c>
      <c r="J1515" t="s">
        <v>6967</v>
      </c>
    </row>
    <row r="1516" spans="1:10">
      <c r="A1516" t="s">
        <v>6968</v>
      </c>
      <c r="B1516" t="s">
        <v>6968</v>
      </c>
      <c r="C1516" t="s">
        <v>6969</v>
      </c>
      <c r="D1516">
        <v>15</v>
      </c>
      <c r="E1516" t="s">
        <v>33</v>
      </c>
      <c r="F1516" t="s">
        <v>57</v>
      </c>
      <c r="G1516" s="23">
        <v>45335</v>
      </c>
      <c r="H1516" t="s">
        <v>6970</v>
      </c>
      <c r="I1516" t="s">
        <v>6971</v>
      </c>
      <c r="J1516" t="s">
        <v>6972</v>
      </c>
    </row>
    <row r="1517" spans="1:10">
      <c r="A1517" t="s">
        <v>6973</v>
      </c>
      <c r="B1517" t="s">
        <v>6973</v>
      </c>
      <c r="C1517" t="s">
        <v>6969</v>
      </c>
      <c r="D1517">
        <v>21</v>
      </c>
      <c r="E1517" t="s">
        <v>34</v>
      </c>
      <c r="F1517" t="s">
        <v>57</v>
      </c>
      <c r="G1517" s="23">
        <v>46081</v>
      </c>
      <c r="H1517" t="s">
        <v>6974</v>
      </c>
      <c r="I1517" t="s">
        <v>6975</v>
      </c>
      <c r="J1517" t="s">
        <v>6976</v>
      </c>
    </row>
    <row r="1518" spans="1:10">
      <c r="A1518" t="s">
        <v>6977</v>
      </c>
      <c r="B1518" t="s">
        <v>6977</v>
      </c>
      <c r="C1518" t="s">
        <v>3751</v>
      </c>
      <c r="D1518">
        <v>30</v>
      </c>
      <c r="E1518" t="s">
        <v>34</v>
      </c>
      <c r="F1518" t="s">
        <v>57</v>
      </c>
      <c r="G1518" s="23">
        <v>44260</v>
      </c>
      <c r="H1518" t="s">
        <v>6978</v>
      </c>
      <c r="I1518" t="s">
        <v>6979</v>
      </c>
      <c r="J1518" t="s">
        <v>6980</v>
      </c>
    </row>
    <row r="1519" spans="1:10">
      <c r="A1519" t="s">
        <v>6981</v>
      </c>
      <c r="B1519" t="s">
        <v>6981</v>
      </c>
      <c r="C1519" t="s">
        <v>6982</v>
      </c>
      <c r="D1519">
        <v>13</v>
      </c>
      <c r="E1519" t="s">
        <v>33</v>
      </c>
      <c r="F1519" t="s">
        <v>57</v>
      </c>
      <c r="G1519" s="23">
        <v>45114</v>
      </c>
      <c r="H1519" t="s">
        <v>6983</v>
      </c>
      <c r="I1519" t="s">
        <v>6984</v>
      </c>
      <c r="J1519" t="s">
        <v>6985</v>
      </c>
    </row>
    <row r="1520" spans="1:10">
      <c r="A1520" t="s">
        <v>6986</v>
      </c>
      <c r="B1520" t="s">
        <v>6986</v>
      </c>
      <c r="C1520" t="s">
        <v>78</v>
      </c>
      <c r="D1520">
        <v>13</v>
      </c>
      <c r="E1520" t="s">
        <v>34</v>
      </c>
      <c r="F1520" t="s">
        <v>57</v>
      </c>
      <c r="G1520" s="23">
        <v>44108</v>
      </c>
      <c r="H1520" t="s">
        <v>6987</v>
      </c>
      <c r="I1520" t="s">
        <v>6988</v>
      </c>
      <c r="J1520" t="s">
        <v>6989</v>
      </c>
    </row>
    <row r="1521" spans="1:10">
      <c r="A1521" t="s">
        <v>6990</v>
      </c>
      <c r="B1521" t="s">
        <v>6990</v>
      </c>
      <c r="C1521" t="s">
        <v>78</v>
      </c>
      <c r="D1521">
        <v>16</v>
      </c>
      <c r="E1521" t="s">
        <v>35</v>
      </c>
      <c r="F1521" t="s">
        <v>57</v>
      </c>
      <c r="G1521" s="23">
        <v>44749</v>
      </c>
      <c r="H1521" t="s">
        <v>6991</v>
      </c>
      <c r="I1521" t="s">
        <v>6992</v>
      </c>
      <c r="J1521" t="s">
        <v>6993</v>
      </c>
    </row>
    <row r="1522" spans="1:10">
      <c r="A1522" t="s">
        <v>6994</v>
      </c>
      <c r="B1522" t="s">
        <v>6994</v>
      </c>
      <c r="C1522" t="s">
        <v>6110</v>
      </c>
      <c r="D1522">
        <v>10</v>
      </c>
      <c r="E1522" t="s">
        <v>33</v>
      </c>
      <c r="F1522" t="s">
        <v>115</v>
      </c>
      <c r="G1522" s="23">
        <v>44585</v>
      </c>
      <c r="H1522" t="s">
        <v>6995</v>
      </c>
      <c r="I1522" t="s">
        <v>6996</v>
      </c>
      <c r="J1522" t="s">
        <v>6997</v>
      </c>
    </row>
    <row r="1523" spans="1:10">
      <c r="A1523" t="s">
        <v>6998</v>
      </c>
      <c r="B1523" t="s">
        <v>6998</v>
      </c>
      <c r="C1523" t="s">
        <v>3893</v>
      </c>
      <c r="D1523">
        <v>32</v>
      </c>
      <c r="E1523" t="s">
        <v>31</v>
      </c>
      <c r="F1523" t="s">
        <v>63</v>
      </c>
      <c r="G1523" s="23">
        <v>45655</v>
      </c>
      <c r="H1523" t="s">
        <v>6999</v>
      </c>
      <c r="I1523" t="s">
        <v>7000</v>
      </c>
      <c r="J1523" t="s">
        <v>7001</v>
      </c>
    </row>
    <row r="1524" spans="1:10">
      <c r="A1524" t="s">
        <v>7002</v>
      </c>
      <c r="B1524" t="s">
        <v>7002</v>
      </c>
      <c r="C1524" t="s">
        <v>4046</v>
      </c>
      <c r="D1524">
        <v>7</v>
      </c>
      <c r="E1524" t="s">
        <v>27</v>
      </c>
      <c r="F1524" t="s">
        <v>63</v>
      </c>
      <c r="G1524" s="23">
        <v>42246</v>
      </c>
      <c r="H1524" t="s">
        <v>7003</v>
      </c>
      <c r="I1524" t="s">
        <v>7004</v>
      </c>
      <c r="J1524" t="s">
        <v>7005</v>
      </c>
    </row>
    <row r="1525" spans="1:10">
      <c r="A1525" t="s">
        <v>7006</v>
      </c>
      <c r="B1525" t="s">
        <v>7006</v>
      </c>
      <c r="C1525" t="s">
        <v>253</v>
      </c>
      <c r="D1525">
        <v>19</v>
      </c>
      <c r="E1525" t="s">
        <v>34</v>
      </c>
      <c r="F1525" t="s">
        <v>57</v>
      </c>
      <c r="G1525" s="23">
        <v>45389</v>
      </c>
      <c r="H1525" t="s">
        <v>7007</v>
      </c>
      <c r="I1525" t="s">
        <v>7008</v>
      </c>
      <c r="J1525" t="s">
        <v>7009</v>
      </c>
    </row>
    <row r="1526" spans="1:10">
      <c r="A1526" t="s">
        <v>7010</v>
      </c>
      <c r="B1526" t="s">
        <v>7010</v>
      </c>
      <c r="C1526" t="s">
        <v>7011</v>
      </c>
      <c r="D1526">
        <v>0</v>
      </c>
      <c r="E1526" t="s">
        <v>33</v>
      </c>
      <c r="F1526" t="s">
        <v>57</v>
      </c>
      <c r="G1526" s="23">
        <v>43641</v>
      </c>
      <c r="H1526" t="s">
        <v>7012</v>
      </c>
      <c r="I1526" t="s">
        <v>7013</v>
      </c>
      <c r="J1526" t="s">
        <v>7014</v>
      </c>
    </row>
    <row r="1527" spans="1:10">
      <c r="A1527" t="s">
        <v>7015</v>
      </c>
      <c r="B1527" t="s">
        <v>7015</v>
      </c>
      <c r="C1527" t="s">
        <v>109</v>
      </c>
      <c r="D1527">
        <v>15</v>
      </c>
      <c r="E1527" t="s">
        <v>29</v>
      </c>
      <c r="F1527" t="s">
        <v>2433</v>
      </c>
      <c r="G1527" s="23">
        <v>45049</v>
      </c>
      <c r="H1527" t="s">
        <v>7016</v>
      </c>
      <c r="I1527" t="s">
        <v>7017</v>
      </c>
      <c r="J1527" t="s">
        <v>7018</v>
      </c>
    </row>
    <row r="1528" spans="1:10">
      <c r="A1528" t="s">
        <v>7019</v>
      </c>
      <c r="B1528" t="s">
        <v>7019</v>
      </c>
      <c r="C1528" t="s">
        <v>7020</v>
      </c>
      <c r="D1528">
        <v>24</v>
      </c>
      <c r="E1528" t="s">
        <v>35</v>
      </c>
      <c r="F1528" t="s">
        <v>57</v>
      </c>
      <c r="G1528" s="23">
        <v>44592</v>
      </c>
      <c r="H1528" t="s">
        <v>7021</v>
      </c>
      <c r="I1528" t="s">
        <v>7022</v>
      </c>
      <c r="J1528" t="s">
        <v>7023</v>
      </c>
    </row>
    <row r="1529" spans="1:10">
      <c r="A1529" t="s">
        <v>7024</v>
      </c>
      <c r="B1529" t="s">
        <v>7024</v>
      </c>
      <c r="C1529" t="s">
        <v>7025</v>
      </c>
      <c r="D1529">
        <v>27</v>
      </c>
      <c r="E1529" t="s">
        <v>31</v>
      </c>
      <c r="F1529" t="s">
        <v>63</v>
      </c>
      <c r="G1529" s="23">
        <v>41580</v>
      </c>
      <c r="H1529" t="s">
        <v>7026</v>
      </c>
      <c r="I1529" t="s">
        <v>7027</v>
      </c>
      <c r="J1529" t="s">
        <v>7028</v>
      </c>
    </row>
    <row r="1530" spans="1:10">
      <c r="A1530" t="s">
        <v>7029</v>
      </c>
      <c r="B1530" t="s">
        <v>7029</v>
      </c>
      <c r="C1530" t="s">
        <v>2309</v>
      </c>
      <c r="D1530">
        <v>14</v>
      </c>
      <c r="E1530" t="s">
        <v>33</v>
      </c>
      <c r="F1530" t="s">
        <v>57</v>
      </c>
      <c r="G1530" s="23">
        <v>45634</v>
      </c>
      <c r="H1530" t="s">
        <v>7030</v>
      </c>
      <c r="I1530" t="s">
        <v>7031</v>
      </c>
      <c r="J1530" t="s">
        <v>7032</v>
      </c>
    </row>
    <row r="1531" spans="1:10">
      <c r="A1531" t="s">
        <v>7033</v>
      </c>
      <c r="B1531" t="s">
        <v>7033</v>
      </c>
      <c r="C1531" t="s">
        <v>7034</v>
      </c>
      <c r="D1531">
        <v>10</v>
      </c>
      <c r="E1531" t="s">
        <v>29</v>
      </c>
      <c r="F1531" t="s">
        <v>63</v>
      </c>
      <c r="G1531" s="23">
        <v>41451</v>
      </c>
      <c r="H1531" t="s">
        <v>7035</v>
      </c>
      <c r="I1531" t="s">
        <v>7036</v>
      </c>
      <c r="J1531" t="s">
        <v>7037</v>
      </c>
    </row>
    <row r="1532" spans="1:10">
      <c r="A1532" t="s">
        <v>7038</v>
      </c>
      <c r="B1532" t="s">
        <v>7038</v>
      </c>
      <c r="C1532" t="s">
        <v>547</v>
      </c>
      <c r="D1532">
        <v>9</v>
      </c>
      <c r="E1532" t="s">
        <v>31</v>
      </c>
      <c r="F1532" t="s">
        <v>63</v>
      </c>
      <c r="G1532" s="23">
        <v>45352</v>
      </c>
      <c r="H1532" t="s">
        <v>7039</v>
      </c>
      <c r="I1532" t="s">
        <v>7040</v>
      </c>
      <c r="J1532" t="s">
        <v>7041</v>
      </c>
    </row>
    <row r="1533" spans="1:10">
      <c r="A1533" t="s">
        <v>7042</v>
      </c>
      <c r="B1533" t="s">
        <v>7042</v>
      </c>
      <c r="C1533" t="s">
        <v>1389</v>
      </c>
      <c r="D1533">
        <v>17</v>
      </c>
      <c r="E1533" t="s">
        <v>33</v>
      </c>
      <c r="F1533" t="s">
        <v>57</v>
      </c>
      <c r="G1533" s="23">
        <v>45938</v>
      </c>
      <c r="H1533" t="s">
        <v>7043</v>
      </c>
      <c r="I1533" t="s">
        <v>7044</v>
      </c>
      <c r="J1533" t="s">
        <v>7045</v>
      </c>
    </row>
    <row r="1534" spans="1:10">
      <c r="A1534" t="s">
        <v>7046</v>
      </c>
      <c r="B1534" t="s">
        <v>7046</v>
      </c>
      <c r="C1534" t="s">
        <v>7047</v>
      </c>
      <c r="D1534">
        <v>5</v>
      </c>
      <c r="E1534" t="s">
        <v>34</v>
      </c>
      <c r="F1534" t="s">
        <v>57</v>
      </c>
      <c r="G1534" s="23">
        <v>44565</v>
      </c>
      <c r="H1534" t="s">
        <v>7048</v>
      </c>
      <c r="I1534" t="s">
        <v>7049</v>
      </c>
      <c r="J1534" t="s">
        <v>7050</v>
      </c>
    </row>
    <row r="1535" spans="1:10">
      <c r="A1535" t="s">
        <v>7051</v>
      </c>
      <c r="B1535" t="s">
        <v>7051</v>
      </c>
      <c r="C1535" t="s">
        <v>3188</v>
      </c>
      <c r="D1535">
        <v>1</v>
      </c>
      <c r="E1535" t="s">
        <v>35</v>
      </c>
      <c r="F1535" t="s">
        <v>57</v>
      </c>
      <c r="G1535" s="23">
        <v>44412</v>
      </c>
      <c r="H1535" t="s">
        <v>7052</v>
      </c>
      <c r="I1535" t="s">
        <v>7053</v>
      </c>
      <c r="J1535" t="s">
        <v>7054</v>
      </c>
    </row>
    <row r="1536" spans="1:10">
      <c r="A1536" t="s">
        <v>7055</v>
      </c>
      <c r="B1536" t="s">
        <v>7055</v>
      </c>
      <c r="C1536" t="s">
        <v>3188</v>
      </c>
      <c r="D1536">
        <v>1</v>
      </c>
      <c r="E1536" t="s">
        <v>34</v>
      </c>
      <c r="F1536" t="s">
        <v>57</v>
      </c>
      <c r="G1536" s="23">
        <v>44853</v>
      </c>
      <c r="H1536" t="s">
        <v>7056</v>
      </c>
      <c r="I1536" t="s">
        <v>7057</v>
      </c>
      <c r="J1536" t="s">
        <v>7058</v>
      </c>
    </row>
    <row r="1537" spans="1:10">
      <c r="A1537" t="s">
        <v>7059</v>
      </c>
      <c r="B1537" t="s">
        <v>7059</v>
      </c>
      <c r="C1537" t="s">
        <v>165</v>
      </c>
      <c r="D1537">
        <v>5</v>
      </c>
      <c r="E1537" t="s">
        <v>34</v>
      </c>
      <c r="F1537" t="s">
        <v>57</v>
      </c>
      <c r="G1537" s="23">
        <v>44557</v>
      </c>
      <c r="H1537" t="s">
        <v>7060</v>
      </c>
      <c r="I1537" t="s">
        <v>7061</v>
      </c>
      <c r="J1537" t="s">
        <v>7062</v>
      </c>
    </row>
    <row r="1538" spans="1:10">
      <c r="A1538" t="s">
        <v>7063</v>
      </c>
      <c r="B1538" t="s">
        <v>7063</v>
      </c>
      <c r="C1538" t="s">
        <v>641</v>
      </c>
      <c r="D1538">
        <v>0</v>
      </c>
      <c r="E1538" t="s">
        <v>35</v>
      </c>
      <c r="F1538" t="s">
        <v>63</v>
      </c>
      <c r="G1538" s="23">
        <v>45182</v>
      </c>
      <c r="H1538" t="s">
        <v>7064</v>
      </c>
      <c r="I1538" t="s">
        <v>7065</v>
      </c>
      <c r="J1538" t="s">
        <v>7066</v>
      </c>
    </row>
    <row r="1539" spans="1:10">
      <c r="A1539" t="s">
        <v>7067</v>
      </c>
      <c r="B1539" t="s">
        <v>7067</v>
      </c>
      <c r="C1539" t="s">
        <v>1932</v>
      </c>
      <c r="D1539">
        <v>8</v>
      </c>
      <c r="E1539" t="s">
        <v>35</v>
      </c>
      <c r="F1539" t="s">
        <v>57</v>
      </c>
      <c r="G1539" s="23">
        <v>44613</v>
      </c>
      <c r="H1539" t="s">
        <v>7068</v>
      </c>
      <c r="I1539" t="s">
        <v>7069</v>
      </c>
      <c r="J1539" t="s">
        <v>7070</v>
      </c>
    </row>
    <row r="1540" spans="1:10">
      <c r="A1540" t="s">
        <v>7071</v>
      </c>
      <c r="B1540" t="s">
        <v>7071</v>
      </c>
      <c r="C1540" t="s">
        <v>1570</v>
      </c>
      <c r="D1540">
        <v>8</v>
      </c>
      <c r="E1540" t="s">
        <v>34</v>
      </c>
      <c r="F1540" t="s">
        <v>57</v>
      </c>
      <c r="G1540" s="23">
        <v>44216</v>
      </c>
      <c r="H1540" t="s">
        <v>7072</v>
      </c>
      <c r="I1540" t="s">
        <v>7073</v>
      </c>
      <c r="J1540" t="s">
        <v>7074</v>
      </c>
    </row>
    <row r="1541" spans="1:10">
      <c r="A1541" t="s">
        <v>7075</v>
      </c>
      <c r="B1541" t="s">
        <v>7075</v>
      </c>
      <c r="C1541" t="s">
        <v>7076</v>
      </c>
      <c r="D1541">
        <v>1</v>
      </c>
      <c r="E1541" t="s">
        <v>33</v>
      </c>
      <c r="F1541" t="s">
        <v>57</v>
      </c>
      <c r="G1541" s="23">
        <v>46004</v>
      </c>
      <c r="H1541" t="s">
        <v>7077</v>
      </c>
      <c r="I1541" t="s">
        <v>7078</v>
      </c>
      <c r="J1541" t="s">
        <v>7079</v>
      </c>
    </row>
    <row r="1542" spans="1:10">
      <c r="A1542" t="s">
        <v>7080</v>
      </c>
      <c r="B1542" t="s">
        <v>7080</v>
      </c>
      <c r="C1542" t="s">
        <v>2250</v>
      </c>
      <c r="D1542">
        <v>15</v>
      </c>
      <c r="E1542" t="s">
        <v>35</v>
      </c>
      <c r="F1542" t="s">
        <v>57</v>
      </c>
      <c r="G1542" s="23">
        <v>46157</v>
      </c>
      <c r="H1542" t="s">
        <v>7081</v>
      </c>
      <c r="I1542" t="s">
        <v>7082</v>
      </c>
      <c r="J1542" t="s">
        <v>7083</v>
      </c>
    </row>
    <row r="1543" spans="1:10">
      <c r="A1543" t="s">
        <v>7084</v>
      </c>
      <c r="B1543" t="s">
        <v>7084</v>
      </c>
      <c r="C1543" t="s">
        <v>2354</v>
      </c>
      <c r="D1543">
        <v>1</v>
      </c>
      <c r="E1543" t="s">
        <v>34</v>
      </c>
      <c r="F1543" t="s">
        <v>57</v>
      </c>
      <c r="G1543" s="23">
        <v>44198</v>
      </c>
      <c r="H1543" t="s">
        <v>7085</v>
      </c>
      <c r="I1543" t="s">
        <v>7086</v>
      </c>
      <c r="J1543" t="s">
        <v>7087</v>
      </c>
    </row>
    <row r="1544" spans="1:10">
      <c r="A1544" t="s">
        <v>7088</v>
      </c>
      <c r="B1544" t="s">
        <v>7088</v>
      </c>
      <c r="C1544" t="s">
        <v>7089</v>
      </c>
      <c r="D1544">
        <v>6</v>
      </c>
      <c r="E1544" t="s">
        <v>35</v>
      </c>
      <c r="F1544" t="s">
        <v>57</v>
      </c>
      <c r="G1544" s="23">
        <v>45492</v>
      </c>
      <c r="H1544" t="s">
        <v>7090</v>
      </c>
      <c r="I1544" t="s">
        <v>7091</v>
      </c>
      <c r="J1544" t="s">
        <v>7092</v>
      </c>
    </row>
    <row r="1545" spans="1:10">
      <c r="A1545" t="s">
        <v>7093</v>
      </c>
      <c r="B1545" t="s">
        <v>7093</v>
      </c>
      <c r="C1545" t="s">
        <v>7094</v>
      </c>
      <c r="D1545">
        <v>4</v>
      </c>
      <c r="E1545" t="s">
        <v>34</v>
      </c>
      <c r="F1545" t="s">
        <v>57</v>
      </c>
      <c r="G1545" s="23">
        <v>46041</v>
      </c>
      <c r="H1545" t="s">
        <v>7095</v>
      </c>
      <c r="I1545" t="s">
        <v>7096</v>
      </c>
      <c r="J1545" t="s">
        <v>7097</v>
      </c>
    </row>
    <row r="1546" spans="1:10">
      <c r="A1546" t="s">
        <v>7098</v>
      </c>
      <c r="B1546" t="s">
        <v>7098</v>
      </c>
      <c r="C1546" t="s">
        <v>7099</v>
      </c>
      <c r="D1546">
        <v>12</v>
      </c>
      <c r="E1546" t="s">
        <v>34</v>
      </c>
      <c r="F1546" t="s">
        <v>57</v>
      </c>
      <c r="G1546" s="23">
        <v>44096</v>
      </c>
      <c r="H1546" t="s">
        <v>7100</v>
      </c>
      <c r="I1546" t="s">
        <v>7101</v>
      </c>
      <c r="J1546" t="s">
        <v>7102</v>
      </c>
    </row>
    <row r="1547" spans="1:10">
      <c r="A1547" t="s">
        <v>7103</v>
      </c>
      <c r="B1547" t="s">
        <v>7103</v>
      </c>
      <c r="C1547" t="s">
        <v>7099</v>
      </c>
      <c r="D1547">
        <v>7</v>
      </c>
      <c r="E1547" t="s">
        <v>34</v>
      </c>
      <c r="F1547" t="s">
        <v>57</v>
      </c>
      <c r="G1547" s="23">
        <v>43486</v>
      </c>
      <c r="H1547" t="s">
        <v>7104</v>
      </c>
      <c r="I1547" t="s">
        <v>7105</v>
      </c>
      <c r="J1547" t="s">
        <v>7106</v>
      </c>
    </row>
    <row r="1548" spans="1:10">
      <c r="A1548" t="s">
        <v>7107</v>
      </c>
      <c r="B1548" t="s">
        <v>7107</v>
      </c>
      <c r="C1548" t="s">
        <v>3580</v>
      </c>
      <c r="D1548">
        <v>14</v>
      </c>
      <c r="E1548" t="s">
        <v>34</v>
      </c>
      <c r="F1548" t="s">
        <v>57</v>
      </c>
      <c r="G1548" s="23">
        <v>46180</v>
      </c>
      <c r="H1548" t="s">
        <v>7108</v>
      </c>
      <c r="I1548" t="s">
        <v>7109</v>
      </c>
      <c r="J1548" t="s">
        <v>7110</v>
      </c>
    </row>
    <row r="1549" spans="1:10">
      <c r="A1549" t="s">
        <v>7111</v>
      </c>
      <c r="B1549" t="s">
        <v>7111</v>
      </c>
      <c r="C1549" t="s">
        <v>7112</v>
      </c>
      <c r="D1549">
        <v>10</v>
      </c>
      <c r="E1549" t="s">
        <v>34</v>
      </c>
      <c r="F1549" t="s">
        <v>57</v>
      </c>
      <c r="G1549" s="23">
        <v>45977</v>
      </c>
      <c r="H1549" t="s">
        <v>7113</v>
      </c>
      <c r="I1549" t="s">
        <v>7114</v>
      </c>
      <c r="J1549" t="s">
        <v>7115</v>
      </c>
    </row>
    <row r="1550" spans="1:10">
      <c r="A1550" t="s">
        <v>7116</v>
      </c>
      <c r="B1550" t="s">
        <v>7116</v>
      </c>
      <c r="C1550" t="s">
        <v>1976</v>
      </c>
      <c r="D1550">
        <v>7</v>
      </c>
      <c r="E1550" t="s">
        <v>34</v>
      </c>
      <c r="F1550" t="s">
        <v>57</v>
      </c>
      <c r="G1550" s="23">
        <v>44317</v>
      </c>
      <c r="H1550" t="s">
        <v>7117</v>
      </c>
      <c r="I1550" t="s">
        <v>7118</v>
      </c>
      <c r="J1550" t="s">
        <v>7119</v>
      </c>
    </row>
    <row r="1551" spans="1:10">
      <c r="A1551" t="s">
        <v>7120</v>
      </c>
      <c r="B1551" t="s">
        <v>7120</v>
      </c>
      <c r="C1551" t="s">
        <v>1464</v>
      </c>
      <c r="D1551">
        <v>11</v>
      </c>
      <c r="E1551" t="s">
        <v>33</v>
      </c>
      <c r="F1551" t="s">
        <v>57</v>
      </c>
      <c r="G1551" s="23">
        <v>45935</v>
      </c>
      <c r="H1551" t="s">
        <v>7121</v>
      </c>
      <c r="I1551" t="s">
        <v>7122</v>
      </c>
      <c r="J1551" t="s">
        <v>7123</v>
      </c>
    </row>
    <row r="1552" spans="1:10">
      <c r="A1552" t="s">
        <v>7124</v>
      </c>
      <c r="B1552" t="s">
        <v>7124</v>
      </c>
      <c r="C1552" t="s">
        <v>1151</v>
      </c>
      <c r="D1552">
        <v>12</v>
      </c>
      <c r="E1552" t="s">
        <v>34</v>
      </c>
      <c r="F1552" t="s">
        <v>57</v>
      </c>
      <c r="G1552" s="23">
        <v>45516</v>
      </c>
      <c r="H1552" t="s">
        <v>7125</v>
      </c>
      <c r="I1552" t="s">
        <v>7126</v>
      </c>
      <c r="J1552" t="s">
        <v>7127</v>
      </c>
    </row>
    <row r="1553" spans="1:10">
      <c r="A1553" t="s">
        <v>7128</v>
      </c>
      <c r="B1553" t="s">
        <v>7128</v>
      </c>
      <c r="C1553" t="s">
        <v>7129</v>
      </c>
      <c r="D1553">
        <v>10</v>
      </c>
      <c r="E1553" t="s">
        <v>33</v>
      </c>
      <c r="F1553" t="s">
        <v>57</v>
      </c>
      <c r="G1553" s="23">
        <v>44900</v>
      </c>
      <c r="H1553" t="s">
        <v>7130</v>
      </c>
      <c r="I1553" t="s">
        <v>7131</v>
      </c>
      <c r="J1553" t="s">
        <v>7132</v>
      </c>
    </row>
    <row r="1554" spans="1:10">
      <c r="A1554" t="s">
        <v>7133</v>
      </c>
      <c r="B1554" t="s">
        <v>7133</v>
      </c>
      <c r="C1554" t="s">
        <v>2133</v>
      </c>
      <c r="D1554">
        <v>8</v>
      </c>
      <c r="E1554" t="s">
        <v>34</v>
      </c>
      <c r="F1554" t="s">
        <v>57</v>
      </c>
      <c r="G1554" s="23">
        <v>45079</v>
      </c>
      <c r="H1554" t="s">
        <v>7134</v>
      </c>
      <c r="I1554" t="s">
        <v>7135</v>
      </c>
      <c r="J1554" t="s">
        <v>7136</v>
      </c>
    </row>
    <row r="1555" spans="1:10">
      <c r="A1555" t="s">
        <v>7137</v>
      </c>
      <c r="B1555" t="s">
        <v>7137</v>
      </c>
      <c r="C1555" t="s">
        <v>370</v>
      </c>
      <c r="D1555">
        <v>8</v>
      </c>
      <c r="E1555" t="s">
        <v>33</v>
      </c>
      <c r="F1555" t="s">
        <v>57</v>
      </c>
      <c r="G1555" s="23">
        <v>44185</v>
      </c>
      <c r="H1555" t="s">
        <v>7138</v>
      </c>
      <c r="I1555" t="s">
        <v>7139</v>
      </c>
      <c r="J1555" t="s">
        <v>7140</v>
      </c>
    </row>
    <row r="1556" spans="1:10">
      <c r="A1556" t="s">
        <v>7141</v>
      </c>
      <c r="B1556" t="s">
        <v>7141</v>
      </c>
      <c r="C1556" t="s">
        <v>1464</v>
      </c>
      <c r="D1556">
        <v>10</v>
      </c>
      <c r="E1556" t="s">
        <v>31</v>
      </c>
      <c r="F1556" t="s">
        <v>57</v>
      </c>
      <c r="G1556" s="23">
        <v>45436</v>
      </c>
      <c r="H1556" t="s">
        <v>7142</v>
      </c>
      <c r="I1556" t="s">
        <v>7143</v>
      </c>
      <c r="J1556" t="s">
        <v>7144</v>
      </c>
    </row>
    <row r="1557" spans="1:10">
      <c r="A1557" t="s">
        <v>7145</v>
      </c>
      <c r="B1557" t="s">
        <v>7145</v>
      </c>
      <c r="C1557" t="s">
        <v>1464</v>
      </c>
      <c r="D1557">
        <v>10</v>
      </c>
      <c r="E1557" t="s">
        <v>33</v>
      </c>
      <c r="F1557" t="s">
        <v>57</v>
      </c>
      <c r="G1557" s="23">
        <v>45429</v>
      </c>
      <c r="H1557" t="s">
        <v>7146</v>
      </c>
      <c r="I1557" t="s">
        <v>7147</v>
      </c>
      <c r="J1557" t="s">
        <v>7148</v>
      </c>
    </row>
    <row r="1558" spans="1:10">
      <c r="A1558" t="s">
        <v>7149</v>
      </c>
      <c r="B1558" t="s">
        <v>7149</v>
      </c>
      <c r="C1558" t="s">
        <v>7076</v>
      </c>
      <c r="D1558">
        <v>9</v>
      </c>
      <c r="E1558" t="s">
        <v>36</v>
      </c>
      <c r="F1558" t="s">
        <v>57</v>
      </c>
      <c r="G1558" s="23">
        <v>46083</v>
      </c>
      <c r="H1558" t="s">
        <v>7150</v>
      </c>
      <c r="I1558" t="s">
        <v>7151</v>
      </c>
      <c r="J1558" t="s">
        <v>7152</v>
      </c>
    </row>
    <row r="1559" spans="1:10">
      <c r="A1559" t="s">
        <v>7153</v>
      </c>
      <c r="B1559" t="s">
        <v>7153</v>
      </c>
      <c r="C1559" t="s">
        <v>7154</v>
      </c>
      <c r="D1559">
        <v>9</v>
      </c>
      <c r="E1559" t="s">
        <v>33</v>
      </c>
      <c r="F1559" t="s">
        <v>57</v>
      </c>
      <c r="G1559" s="23">
        <v>44991</v>
      </c>
      <c r="H1559" t="s">
        <v>7155</v>
      </c>
      <c r="I1559" t="s">
        <v>7156</v>
      </c>
      <c r="J1559" t="s">
        <v>7157</v>
      </c>
    </row>
    <row r="1560" spans="1:10">
      <c r="A1560" t="s">
        <v>7158</v>
      </c>
      <c r="B1560" t="s">
        <v>7158</v>
      </c>
      <c r="C1560" t="s">
        <v>7159</v>
      </c>
      <c r="D1560">
        <v>9</v>
      </c>
      <c r="E1560" t="s">
        <v>34</v>
      </c>
      <c r="F1560" t="s">
        <v>57</v>
      </c>
      <c r="G1560" s="23">
        <v>45698</v>
      </c>
      <c r="H1560" t="s">
        <v>7160</v>
      </c>
      <c r="I1560" t="s">
        <v>7161</v>
      </c>
      <c r="J1560" t="s">
        <v>7162</v>
      </c>
    </row>
    <row r="1561" spans="1:10">
      <c r="A1561" t="s">
        <v>7163</v>
      </c>
      <c r="B1561" t="s">
        <v>7163</v>
      </c>
      <c r="C1561" t="s">
        <v>7164</v>
      </c>
      <c r="D1561">
        <v>9</v>
      </c>
      <c r="E1561" t="s">
        <v>34</v>
      </c>
      <c r="F1561" t="s">
        <v>57</v>
      </c>
      <c r="G1561" s="23">
        <v>44931</v>
      </c>
      <c r="H1561" t="s">
        <v>7165</v>
      </c>
      <c r="I1561" t="s">
        <v>7166</v>
      </c>
      <c r="J1561" t="s">
        <v>7167</v>
      </c>
    </row>
    <row r="1562" spans="1:10">
      <c r="A1562" t="s">
        <v>7168</v>
      </c>
      <c r="B1562" t="s">
        <v>7168</v>
      </c>
      <c r="C1562" t="s">
        <v>7169</v>
      </c>
      <c r="D1562">
        <v>12</v>
      </c>
      <c r="E1562" t="s">
        <v>34</v>
      </c>
      <c r="F1562" t="s">
        <v>57</v>
      </c>
      <c r="G1562" s="23">
        <v>45749</v>
      </c>
      <c r="H1562" t="s">
        <v>7170</v>
      </c>
      <c r="I1562" t="s">
        <v>7171</v>
      </c>
      <c r="J1562" t="s">
        <v>7172</v>
      </c>
    </row>
    <row r="1563" spans="1:10">
      <c r="A1563" t="s">
        <v>7173</v>
      </c>
      <c r="B1563" t="s">
        <v>7173</v>
      </c>
      <c r="C1563" t="s">
        <v>7174</v>
      </c>
      <c r="D1563">
        <v>24</v>
      </c>
      <c r="E1563" t="s">
        <v>29</v>
      </c>
      <c r="F1563" t="s">
        <v>63</v>
      </c>
      <c r="G1563" s="23">
        <v>41629</v>
      </c>
      <c r="H1563" t="s">
        <v>7175</v>
      </c>
      <c r="I1563" t="s">
        <v>7176</v>
      </c>
      <c r="J1563" t="s">
        <v>7177</v>
      </c>
    </row>
    <row r="1564" spans="1:10">
      <c r="A1564" t="s">
        <v>7178</v>
      </c>
      <c r="B1564" t="s">
        <v>7178</v>
      </c>
      <c r="C1564" t="s">
        <v>812</v>
      </c>
      <c r="D1564">
        <v>10</v>
      </c>
      <c r="E1564" t="s">
        <v>34</v>
      </c>
      <c r="F1564" t="s">
        <v>57</v>
      </c>
      <c r="G1564" s="23">
        <v>45484</v>
      </c>
      <c r="H1564" t="s">
        <v>7179</v>
      </c>
      <c r="I1564" t="s">
        <v>7180</v>
      </c>
      <c r="J1564" t="s">
        <v>7181</v>
      </c>
    </row>
    <row r="1565" spans="1:10">
      <c r="A1565" t="s">
        <v>7182</v>
      </c>
      <c r="B1565" t="s">
        <v>7182</v>
      </c>
      <c r="C1565" t="s">
        <v>2979</v>
      </c>
      <c r="D1565">
        <v>7</v>
      </c>
      <c r="E1565" t="s">
        <v>31</v>
      </c>
      <c r="F1565" t="s">
        <v>57</v>
      </c>
      <c r="G1565" s="23">
        <v>44409</v>
      </c>
      <c r="H1565" t="s">
        <v>7183</v>
      </c>
      <c r="I1565" t="s">
        <v>7184</v>
      </c>
      <c r="J1565" t="s">
        <v>7185</v>
      </c>
    </row>
    <row r="1566" spans="1:10">
      <c r="A1566" t="s">
        <v>7186</v>
      </c>
      <c r="B1566" t="s">
        <v>7186</v>
      </c>
      <c r="C1566" t="s">
        <v>670</v>
      </c>
      <c r="D1566">
        <v>19</v>
      </c>
      <c r="E1566" t="s">
        <v>35</v>
      </c>
      <c r="F1566" t="s">
        <v>57</v>
      </c>
      <c r="G1566" s="23">
        <v>44933</v>
      </c>
      <c r="H1566" t="s">
        <v>7187</v>
      </c>
      <c r="I1566" t="s">
        <v>7188</v>
      </c>
      <c r="J1566" t="s">
        <v>7189</v>
      </c>
    </row>
    <row r="1567" spans="1:10">
      <c r="A1567" t="s">
        <v>7190</v>
      </c>
      <c r="B1567" t="s">
        <v>7190</v>
      </c>
      <c r="C1567" t="s">
        <v>1473</v>
      </c>
      <c r="D1567">
        <v>11</v>
      </c>
      <c r="E1567" t="s">
        <v>33</v>
      </c>
      <c r="F1567" t="s">
        <v>57</v>
      </c>
      <c r="G1567" s="23">
        <v>44502</v>
      </c>
      <c r="H1567" t="s">
        <v>7191</v>
      </c>
      <c r="I1567" t="s">
        <v>7192</v>
      </c>
      <c r="J1567" t="s">
        <v>7193</v>
      </c>
    </row>
    <row r="1568" spans="1:10">
      <c r="A1568" t="s">
        <v>7194</v>
      </c>
      <c r="B1568" t="s">
        <v>7194</v>
      </c>
      <c r="C1568" t="s">
        <v>447</v>
      </c>
      <c r="D1568">
        <v>5</v>
      </c>
      <c r="E1568" t="s">
        <v>35</v>
      </c>
      <c r="F1568" t="s">
        <v>57</v>
      </c>
      <c r="G1568" s="23">
        <v>45240</v>
      </c>
      <c r="H1568" t="s">
        <v>7195</v>
      </c>
      <c r="I1568" t="s">
        <v>7196</v>
      </c>
      <c r="J1568" t="s">
        <v>7197</v>
      </c>
    </row>
    <row r="1569" spans="1:10">
      <c r="A1569" t="s">
        <v>7198</v>
      </c>
      <c r="B1569" t="s">
        <v>7198</v>
      </c>
      <c r="C1569" t="s">
        <v>7199</v>
      </c>
      <c r="D1569">
        <v>7</v>
      </c>
      <c r="E1569" t="s">
        <v>27</v>
      </c>
      <c r="F1569" t="s">
        <v>63</v>
      </c>
      <c r="G1569" s="23">
        <v>43305</v>
      </c>
      <c r="H1569" t="s">
        <v>7200</v>
      </c>
      <c r="I1569" t="s">
        <v>7201</v>
      </c>
      <c r="J1569" t="s">
        <v>7202</v>
      </c>
    </row>
    <row r="1570" spans="1:10">
      <c r="A1570" t="s">
        <v>7203</v>
      </c>
      <c r="B1570" t="s">
        <v>7203</v>
      </c>
      <c r="C1570" t="s">
        <v>2072</v>
      </c>
      <c r="D1570">
        <v>30</v>
      </c>
      <c r="E1570" t="s">
        <v>33</v>
      </c>
      <c r="F1570" t="s">
        <v>63</v>
      </c>
      <c r="G1570" s="23">
        <v>45929</v>
      </c>
      <c r="H1570" t="s">
        <v>7204</v>
      </c>
      <c r="I1570" t="s">
        <v>7205</v>
      </c>
      <c r="J1570" t="s">
        <v>7206</v>
      </c>
    </row>
    <row r="1571" spans="1:10">
      <c r="A1571" t="s">
        <v>7207</v>
      </c>
      <c r="B1571" t="s">
        <v>7207</v>
      </c>
      <c r="C1571" t="s">
        <v>7208</v>
      </c>
      <c r="D1571">
        <v>5</v>
      </c>
      <c r="E1571" t="s">
        <v>29</v>
      </c>
      <c r="F1571" t="s">
        <v>63</v>
      </c>
      <c r="G1571" s="23">
        <v>41527</v>
      </c>
      <c r="H1571" t="s">
        <v>7209</v>
      </c>
      <c r="I1571" t="s">
        <v>7210</v>
      </c>
      <c r="J1571" t="s">
        <v>7211</v>
      </c>
    </row>
    <row r="1572" spans="1:10">
      <c r="A1572" t="s">
        <v>7212</v>
      </c>
      <c r="B1572" t="s">
        <v>7212</v>
      </c>
      <c r="C1572" t="s">
        <v>7213</v>
      </c>
      <c r="D1572">
        <v>6</v>
      </c>
      <c r="E1572" t="s">
        <v>29</v>
      </c>
      <c r="F1572" t="s">
        <v>63</v>
      </c>
      <c r="G1572" s="23">
        <v>42329</v>
      </c>
      <c r="H1572" t="s">
        <v>7214</v>
      </c>
      <c r="I1572" t="s">
        <v>7215</v>
      </c>
      <c r="J1572" t="s">
        <v>7216</v>
      </c>
    </row>
    <row r="1573" spans="1:10">
      <c r="A1573" t="s">
        <v>7217</v>
      </c>
      <c r="B1573" t="s">
        <v>7217</v>
      </c>
      <c r="C1573" t="s">
        <v>7218</v>
      </c>
      <c r="D1573">
        <v>8</v>
      </c>
      <c r="E1573" t="s">
        <v>34</v>
      </c>
      <c r="F1573" t="s">
        <v>57</v>
      </c>
      <c r="G1573" s="23">
        <v>44211</v>
      </c>
      <c r="H1573" t="s">
        <v>7219</v>
      </c>
      <c r="I1573" t="s">
        <v>7220</v>
      </c>
      <c r="J1573" t="s">
        <v>7221</v>
      </c>
    </row>
    <row r="1574" spans="1:10">
      <c r="A1574" t="s">
        <v>7222</v>
      </c>
      <c r="B1574" t="s">
        <v>7222</v>
      </c>
      <c r="C1574" t="s">
        <v>7218</v>
      </c>
      <c r="D1574">
        <v>20</v>
      </c>
      <c r="E1574" t="s">
        <v>34</v>
      </c>
      <c r="F1574" t="s">
        <v>57</v>
      </c>
      <c r="G1574" s="23">
        <v>44593</v>
      </c>
      <c r="H1574" t="s">
        <v>7223</v>
      </c>
      <c r="I1574" t="s">
        <v>7224</v>
      </c>
      <c r="J1574" t="s">
        <v>7225</v>
      </c>
    </row>
    <row r="1575" spans="1:10">
      <c r="A1575" t="s">
        <v>7226</v>
      </c>
      <c r="B1575" t="s">
        <v>7226</v>
      </c>
      <c r="C1575" t="s">
        <v>3555</v>
      </c>
      <c r="D1575">
        <v>35</v>
      </c>
      <c r="E1575" t="s">
        <v>29</v>
      </c>
      <c r="F1575" t="s">
        <v>63</v>
      </c>
      <c r="G1575" s="23">
        <v>41609</v>
      </c>
      <c r="H1575" t="s">
        <v>7227</v>
      </c>
      <c r="I1575" t="s">
        <v>7228</v>
      </c>
      <c r="J1575" t="s">
        <v>7229</v>
      </c>
    </row>
    <row r="1576" spans="1:10">
      <c r="A1576" t="s">
        <v>7230</v>
      </c>
      <c r="B1576" t="s">
        <v>7230</v>
      </c>
      <c r="C1576" t="s">
        <v>3555</v>
      </c>
      <c r="D1576">
        <v>46</v>
      </c>
      <c r="E1576" t="s">
        <v>31</v>
      </c>
      <c r="F1576" t="s">
        <v>63</v>
      </c>
      <c r="G1576" s="23">
        <v>44862</v>
      </c>
      <c r="H1576" t="s">
        <v>7231</v>
      </c>
      <c r="I1576" t="s">
        <v>7232</v>
      </c>
      <c r="J1576" t="s">
        <v>7233</v>
      </c>
    </row>
    <row r="1577" spans="1:10">
      <c r="A1577" t="s">
        <v>7234</v>
      </c>
      <c r="B1577" t="s">
        <v>7234</v>
      </c>
      <c r="C1577" t="s">
        <v>3555</v>
      </c>
      <c r="D1577">
        <v>68</v>
      </c>
      <c r="E1577" t="s">
        <v>31</v>
      </c>
      <c r="F1577" t="s">
        <v>63</v>
      </c>
      <c r="G1577" s="23">
        <v>44236</v>
      </c>
      <c r="H1577" t="s">
        <v>7235</v>
      </c>
      <c r="I1577" t="s">
        <v>7236</v>
      </c>
      <c r="J1577" t="s">
        <v>7237</v>
      </c>
    </row>
    <row r="1578" spans="1:10">
      <c r="A1578" t="s">
        <v>7238</v>
      </c>
      <c r="B1578" t="s">
        <v>7238</v>
      </c>
      <c r="C1578" t="s">
        <v>7239</v>
      </c>
      <c r="D1578">
        <v>17</v>
      </c>
      <c r="E1578" t="s">
        <v>34</v>
      </c>
      <c r="F1578" t="s">
        <v>57</v>
      </c>
      <c r="G1578" s="23">
        <v>44643</v>
      </c>
      <c r="H1578" t="s">
        <v>7240</v>
      </c>
      <c r="I1578" t="s">
        <v>7241</v>
      </c>
      <c r="J1578" t="s">
        <v>7242</v>
      </c>
    </row>
    <row r="1579" spans="1:10">
      <c r="A1579" t="s">
        <v>7243</v>
      </c>
      <c r="B1579" t="s">
        <v>7243</v>
      </c>
      <c r="C1579" t="s">
        <v>646</v>
      </c>
      <c r="D1579">
        <v>6</v>
      </c>
      <c r="E1579" t="s">
        <v>34</v>
      </c>
      <c r="F1579" t="s">
        <v>57</v>
      </c>
      <c r="G1579" s="23">
        <v>45597</v>
      </c>
      <c r="H1579" t="s">
        <v>7244</v>
      </c>
      <c r="I1579" t="s">
        <v>7245</v>
      </c>
      <c r="J1579" t="s">
        <v>7246</v>
      </c>
    </row>
    <row r="1580" spans="1:10">
      <c r="A1580" t="s">
        <v>7247</v>
      </c>
      <c r="B1580" t="s">
        <v>7247</v>
      </c>
      <c r="C1580" t="s">
        <v>2359</v>
      </c>
      <c r="D1580">
        <v>20</v>
      </c>
      <c r="E1580" t="s">
        <v>34</v>
      </c>
      <c r="F1580" t="s">
        <v>57</v>
      </c>
      <c r="G1580" s="23">
        <v>44354</v>
      </c>
      <c r="H1580" t="s">
        <v>7248</v>
      </c>
      <c r="I1580" t="s">
        <v>7249</v>
      </c>
      <c r="J1580" t="s">
        <v>7250</v>
      </c>
    </row>
    <row r="1581" spans="1:10">
      <c r="A1581" t="s">
        <v>7251</v>
      </c>
      <c r="B1581" t="s">
        <v>7251</v>
      </c>
      <c r="C1581" t="s">
        <v>3473</v>
      </c>
      <c r="D1581">
        <v>7</v>
      </c>
      <c r="E1581" t="s">
        <v>29</v>
      </c>
      <c r="F1581" t="s">
        <v>63</v>
      </c>
      <c r="G1581" s="23">
        <v>44782</v>
      </c>
      <c r="H1581" t="s">
        <v>7252</v>
      </c>
      <c r="I1581" t="s">
        <v>7253</v>
      </c>
      <c r="J1581" t="s">
        <v>7254</v>
      </c>
    </row>
    <row r="1582" spans="1:10">
      <c r="A1582" t="s">
        <v>7255</v>
      </c>
      <c r="B1582" t="s">
        <v>7255</v>
      </c>
      <c r="C1582" t="s">
        <v>7256</v>
      </c>
      <c r="D1582">
        <v>26</v>
      </c>
      <c r="E1582" t="s">
        <v>35</v>
      </c>
      <c r="F1582" t="s">
        <v>57</v>
      </c>
      <c r="G1582" s="23">
        <v>45613</v>
      </c>
      <c r="H1582" t="s">
        <v>7257</v>
      </c>
      <c r="I1582" t="s">
        <v>7258</v>
      </c>
      <c r="J1582" t="s">
        <v>7259</v>
      </c>
    </row>
    <row r="1583" spans="1:10">
      <c r="A1583" t="s">
        <v>7260</v>
      </c>
      <c r="B1583" t="s">
        <v>7260</v>
      </c>
      <c r="C1583" t="s">
        <v>3716</v>
      </c>
      <c r="D1583">
        <v>11</v>
      </c>
      <c r="E1583" t="s">
        <v>35</v>
      </c>
      <c r="F1583" t="s">
        <v>57</v>
      </c>
      <c r="G1583" s="23">
        <v>45449</v>
      </c>
      <c r="H1583" t="s">
        <v>7261</v>
      </c>
      <c r="I1583" t="s">
        <v>7262</v>
      </c>
      <c r="J1583" t="s">
        <v>7263</v>
      </c>
    </row>
    <row r="1584" spans="1:10">
      <c r="A1584" t="s">
        <v>7264</v>
      </c>
      <c r="B1584" t="s">
        <v>7264</v>
      </c>
      <c r="C1584" t="s">
        <v>4665</v>
      </c>
      <c r="D1584">
        <v>11</v>
      </c>
      <c r="E1584" t="s">
        <v>33</v>
      </c>
      <c r="F1584" t="s">
        <v>63</v>
      </c>
      <c r="G1584" s="23">
        <v>46072</v>
      </c>
      <c r="H1584" t="s">
        <v>7265</v>
      </c>
      <c r="I1584" t="s">
        <v>7266</v>
      </c>
      <c r="J1584" t="s">
        <v>7267</v>
      </c>
    </row>
    <row r="1585" spans="1:10">
      <c r="A1585" t="s">
        <v>7268</v>
      </c>
      <c r="B1585" t="s">
        <v>7268</v>
      </c>
      <c r="C1585" t="s">
        <v>1369</v>
      </c>
      <c r="D1585">
        <v>11</v>
      </c>
      <c r="E1585" t="s">
        <v>31</v>
      </c>
      <c r="F1585" t="s">
        <v>57</v>
      </c>
      <c r="G1585" s="23">
        <v>46215</v>
      </c>
      <c r="H1585" t="s">
        <v>7269</v>
      </c>
      <c r="I1585" t="s">
        <v>7270</v>
      </c>
      <c r="J1585" t="s">
        <v>7271</v>
      </c>
    </row>
    <row r="1586" spans="1:10">
      <c r="A1586" t="s">
        <v>7272</v>
      </c>
      <c r="B1586" t="s">
        <v>7272</v>
      </c>
      <c r="C1586" t="s">
        <v>3592</v>
      </c>
      <c r="D1586">
        <v>1</v>
      </c>
      <c r="E1586" t="s">
        <v>34</v>
      </c>
      <c r="F1586" t="s">
        <v>57</v>
      </c>
      <c r="G1586" s="23">
        <v>44146</v>
      </c>
      <c r="H1586" t="s">
        <v>7273</v>
      </c>
      <c r="I1586" t="s">
        <v>7274</v>
      </c>
      <c r="J1586" t="s">
        <v>7275</v>
      </c>
    </row>
    <row r="1587" spans="1:10">
      <c r="A1587" t="s">
        <v>7276</v>
      </c>
      <c r="B1587" t="s">
        <v>7276</v>
      </c>
      <c r="C1587" t="s">
        <v>6670</v>
      </c>
      <c r="D1587">
        <v>0</v>
      </c>
      <c r="E1587" t="s">
        <v>31</v>
      </c>
      <c r="F1587" t="s">
        <v>63</v>
      </c>
      <c r="G1587" s="23">
        <v>45146</v>
      </c>
      <c r="H1587" t="s">
        <v>7277</v>
      </c>
      <c r="I1587" t="s">
        <v>7278</v>
      </c>
      <c r="J1587" t="s">
        <v>7279</v>
      </c>
    </row>
    <row r="1588" spans="1:10">
      <c r="A1588" t="s">
        <v>7280</v>
      </c>
      <c r="B1588" t="s">
        <v>7280</v>
      </c>
      <c r="C1588" t="s">
        <v>7281</v>
      </c>
      <c r="D1588">
        <v>1</v>
      </c>
      <c r="E1588" t="s">
        <v>34</v>
      </c>
      <c r="F1588" t="s">
        <v>57</v>
      </c>
      <c r="G1588" s="23">
        <v>44474</v>
      </c>
      <c r="H1588" t="s">
        <v>7282</v>
      </c>
      <c r="I1588" t="s">
        <v>7283</v>
      </c>
      <c r="J1588" t="s">
        <v>7284</v>
      </c>
    </row>
    <row r="1589" spans="1:10">
      <c r="A1589" t="s">
        <v>7285</v>
      </c>
      <c r="B1589" t="s">
        <v>7285</v>
      </c>
      <c r="C1589" t="s">
        <v>1932</v>
      </c>
      <c r="D1589">
        <v>9</v>
      </c>
      <c r="E1589" t="s">
        <v>31</v>
      </c>
      <c r="F1589" t="s">
        <v>571</v>
      </c>
      <c r="G1589" s="23">
        <v>44854</v>
      </c>
      <c r="H1589" t="s">
        <v>7286</v>
      </c>
      <c r="I1589" t="s">
        <v>7287</v>
      </c>
      <c r="J1589" t="s">
        <v>7288</v>
      </c>
    </row>
    <row r="1590" spans="1:10">
      <c r="A1590" t="s">
        <v>7289</v>
      </c>
      <c r="B1590" t="s">
        <v>7289</v>
      </c>
      <c r="C1590" t="s">
        <v>7290</v>
      </c>
      <c r="D1590">
        <v>622</v>
      </c>
      <c r="E1590" t="s">
        <v>33</v>
      </c>
      <c r="F1590" t="s">
        <v>63</v>
      </c>
      <c r="G1590" s="23">
        <v>45328</v>
      </c>
      <c r="H1590" t="s">
        <v>7291</v>
      </c>
      <c r="I1590" t="s">
        <v>7292</v>
      </c>
      <c r="J1590" t="s">
        <v>7293</v>
      </c>
    </row>
    <row r="1591" spans="1:10">
      <c r="A1591" t="s">
        <v>7294</v>
      </c>
      <c r="B1591" t="s">
        <v>7294</v>
      </c>
      <c r="C1591" t="s">
        <v>7295</v>
      </c>
      <c r="D1591">
        <v>9</v>
      </c>
      <c r="E1591" t="s">
        <v>33</v>
      </c>
      <c r="F1591" t="s">
        <v>57</v>
      </c>
      <c r="G1591" s="23">
        <v>45353</v>
      </c>
      <c r="H1591" t="s">
        <v>7296</v>
      </c>
      <c r="I1591" t="s">
        <v>7297</v>
      </c>
      <c r="J1591" t="s">
        <v>7298</v>
      </c>
    </row>
    <row r="1592" spans="1:10">
      <c r="A1592" t="s">
        <v>7299</v>
      </c>
      <c r="B1592" t="s">
        <v>7299</v>
      </c>
      <c r="C1592" t="s">
        <v>4080</v>
      </c>
      <c r="D1592">
        <v>15</v>
      </c>
      <c r="E1592" t="s">
        <v>33</v>
      </c>
      <c r="F1592" t="s">
        <v>57</v>
      </c>
      <c r="G1592" s="23">
        <v>44511</v>
      </c>
      <c r="H1592" t="s">
        <v>7300</v>
      </c>
      <c r="I1592" t="s">
        <v>7301</v>
      </c>
      <c r="J1592" t="s">
        <v>7302</v>
      </c>
    </row>
    <row r="1593" spans="1:10">
      <c r="A1593" t="s">
        <v>7303</v>
      </c>
      <c r="B1593" t="s">
        <v>7303</v>
      </c>
      <c r="C1593" t="s">
        <v>7304</v>
      </c>
      <c r="D1593">
        <v>6</v>
      </c>
      <c r="E1593" t="s">
        <v>34</v>
      </c>
      <c r="F1593" t="s">
        <v>57</v>
      </c>
      <c r="G1593" s="23">
        <v>45159</v>
      </c>
      <c r="H1593" t="s">
        <v>7305</v>
      </c>
      <c r="I1593" t="s">
        <v>7306</v>
      </c>
      <c r="J1593" t="s">
        <v>7307</v>
      </c>
    </row>
    <row r="1594" spans="1:10">
      <c r="A1594" t="s">
        <v>7308</v>
      </c>
      <c r="B1594" t="s">
        <v>7308</v>
      </c>
      <c r="C1594" t="s">
        <v>4665</v>
      </c>
      <c r="D1594">
        <v>9</v>
      </c>
      <c r="E1594" t="s">
        <v>33</v>
      </c>
      <c r="F1594" t="s">
        <v>63</v>
      </c>
      <c r="G1594" s="23">
        <v>43835</v>
      </c>
      <c r="H1594" t="s">
        <v>7309</v>
      </c>
      <c r="I1594" t="s">
        <v>7310</v>
      </c>
      <c r="J1594" t="s">
        <v>7311</v>
      </c>
    </row>
    <row r="1595" spans="1:10">
      <c r="A1595" t="s">
        <v>7312</v>
      </c>
      <c r="B1595" t="s">
        <v>7312</v>
      </c>
      <c r="C1595" t="s">
        <v>3054</v>
      </c>
      <c r="D1595">
        <v>13</v>
      </c>
      <c r="E1595" t="s">
        <v>33</v>
      </c>
      <c r="F1595" t="s">
        <v>57</v>
      </c>
      <c r="G1595" s="23">
        <v>44445</v>
      </c>
      <c r="H1595" t="s">
        <v>7313</v>
      </c>
      <c r="I1595" t="s">
        <v>7314</v>
      </c>
      <c r="J1595" t="s">
        <v>7315</v>
      </c>
    </row>
    <row r="1596" spans="1:10">
      <c r="A1596" t="s">
        <v>7316</v>
      </c>
      <c r="B1596" t="s">
        <v>7316</v>
      </c>
      <c r="C1596" t="s">
        <v>1434</v>
      </c>
      <c r="D1596">
        <v>7</v>
      </c>
      <c r="E1596" t="s">
        <v>31</v>
      </c>
      <c r="F1596" t="s">
        <v>115</v>
      </c>
      <c r="G1596" s="23">
        <v>46212</v>
      </c>
      <c r="H1596" t="s">
        <v>7317</v>
      </c>
      <c r="I1596" t="s">
        <v>7318</v>
      </c>
      <c r="J1596" t="s">
        <v>7319</v>
      </c>
    </row>
    <row r="1597" spans="1:10">
      <c r="A1597" t="s">
        <v>7320</v>
      </c>
      <c r="B1597" t="s">
        <v>7320</v>
      </c>
      <c r="C1597" t="s">
        <v>1434</v>
      </c>
      <c r="D1597">
        <v>28</v>
      </c>
      <c r="E1597" t="s">
        <v>31</v>
      </c>
      <c r="F1597" t="s">
        <v>57</v>
      </c>
      <c r="G1597" s="23">
        <v>46219</v>
      </c>
      <c r="H1597" t="s">
        <v>7321</v>
      </c>
      <c r="I1597" t="s">
        <v>7322</v>
      </c>
      <c r="J1597" t="s">
        <v>7323</v>
      </c>
    </row>
    <row r="1598" spans="1:10">
      <c r="A1598" t="s">
        <v>7324</v>
      </c>
      <c r="B1598" t="s">
        <v>7324</v>
      </c>
      <c r="C1598" t="s">
        <v>1434</v>
      </c>
      <c r="D1598">
        <v>28</v>
      </c>
      <c r="E1598" t="s">
        <v>33</v>
      </c>
      <c r="F1598" t="s">
        <v>57</v>
      </c>
      <c r="G1598" s="23">
        <v>45374</v>
      </c>
      <c r="H1598" t="s">
        <v>7325</v>
      </c>
      <c r="I1598" t="s">
        <v>7326</v>
      </c>
      <c r="J1598" t="s">
        <v>7327</v>
      </c>
    </row>
    <row r="1599" spans="1:10">
      <c r="A1599" t="s">
        <v>7328</v>
      </c>
      <c r="B1599" t="s">
        <v>7328</v>
      </c>
      <c r="C1599" t="s">
        <v>1745</v>
      </c>
      <c r="D1599">
        <v>7</v>
      </c>
      <c r="E1599" t="s">
        <v>34</v>
      </c>
      <c r="F1599" t="s">
        <v>57</v>
      </c>
      <c r="G1599" s="23">
        <v>44585</v>
      </c>
      <c r="H1599" t="s">
        <v>7329</v>
      </c>
      <c r="I1599" t="s">
        <v>7330</v>
      </c>
      <c r="J1599" t="s">
        <v>7331</v>
      </c>
    </row>
    <row r="1600" spans="1:10">
      <c r="A1600" t="s">
        <v>7332</v>
      </c>
      <c r="B1600" t="s">
        <v>7332</v>
      </c>
      <c r="C1600" t="s">
        <v>4182</v>
      </c>
      <c r="D1600">
        <v>42</v>
      </c>
      <c r="E1600" t="s">
        <v>29</v>
      </c>
      <c r="F1600" t="s">
        <v>63</v>
      </c>
      <c r="G1600" s="23">
        <v>42213</v>
      </c>
      <c r="H1600" t="s">
        <v>7333</v>
      </c>
      <c r="I1600" t="s">
        <v>7334</v>
      </c>
      <c r="J1600" t="s">
        <v>7335</v>
      </c>
    </row>
    <row r="1601" spans="1:10">
      <c r="A1601" t="s">
        <v>7336</v>
      </c>
      <c r="B1601" t="s">
        <v>7336</v>
      </c>
      <c r="C1601" t="s">
        <v>5362</v>
      </c>
      <c r="D1601">
        <v>4</v>
      </c>
      <c r="E1601" t="s">
        <v>27</v>
      </c>
      <c r="F1601" t="s">
        <v>63</v>
      </c>
      <c r="G1601" s="23">
        <v>42279</v>
      </c>
      <c r="H1601" t="s">
        <v>7337</v>
      </c>
      <c r="I1601" t="s">
        <v>7338</v>
      </c>
      <c r="J1601" t="s">
        <v>7339</v>
      </c>
    </row>
    <row r="1602" spans="1:10">
      <c r="A1602" t="s">
        <v>7340</v>
      </c>
      <c r="B1602" t="s">
        <v>7340</v>
      </c>
      <c r="C1602" t="s">
        <v>4920</v>
      </c>
      <c r="D1602">
        <v>15</v>
      </c>
      <c r="E1602" t="s">
        <v>29</v>
      </c>
      <c r="F1602" t="s">
        <v>63</v>
      </c>
      <c r="G1602" s="23">
        <v>44303</v>
      </c>
      <c r="H1602" t="s">
        <v>7341</v>
      </c>
      <c r="I1602" t="s">
        <v>7342</v>
      </c>
      <c r="J1602" t="s">
        <v>7343</v>
      </c>
    </row>
    <row r="1603" spans="1:10">
      <c r="A1603" t="s">
        <v>7344</v>
      </c>
      <c r="B1603" t="s">
        <v>7344</v>
      </c>
      <c r="C1603" t="s">
        <v>7345</v>
      </c>
      <c r="D1603">
        <v>20</v>
      </c>
      <c r="E1603" t="s">
        <v>27</v>
      </c>
      <c r="F1603" t="s">
        <v>63</v>
      </c>
      <c r="G1603" s="23">
        <v>44907</v>
      </c>
      <c r="H1603" t="s">
        <v>7346</v>
      </c>
      <c r="I1603" t="s">
        <v>7347</v>
      </c>
      <c r="J1603" t="s">
        <v>7348</v>
      </c>
    </row>
    <row r="1604" spans="1:10">
      <c r="A1604" t="s">
        <v>7349</v>
      </c>
      <c r="B1604" t="s">
        <v>7349</v>
      </c>
      <c r="C1604" t="s">
        <v>1714</v>
      </c>
      <c r="D1604">
        <v>118</v>
      </c>
      <c r="E1604" t="s">
        <v>31</v>
      </c>
      <c r="F1604" t="s">
        <v>63</v>
      </c>
      <c r="G1604" s="23">
        <v>46023</v>
      </c>
      <c r="H1604" t="s">
        <v>7350</v>
      </c>
      <c r="I1604" t="s">
        <v>7351</v>
      </c>
      <c r="J1604" t="s">
        <v>7352</v>
      </c>
    </row>
    <row r="1605" spans="1:10">
      <c r="A1605" t="s">
        <v>7353</v>
      </c>
      <c r="B1605" t="s">
        <v>7353</v>
      </c>
      <c r="C1605" t="s">
        <v>514</v>
      </c>
      <c r="D1605">
        <v>14</v>
      </c>
      <c r="E1605" t="s">
        <v>29</v>
      </c>
      <c r="F1605" t="s">
        <v>63</v>
      </c>
      <c r="G1605" s="23">
        <v>43429</v>
      </c>
      <c r="H1605" t="s">
        <v>7354</v>
      </c>
      <c r="I1605" t="s">
        <v>7355</v>
      </c>
      <c r="J1605" t="s">
        <v>7356</v>
      </c>
    </row>
    <row r="1606" spans="1:10">
      <c r="A1606" t="s">
        <v>7357</v>
      </c>
      <c r="B1606" t="s">
        <v>7357</v>
      </c>
      <c r="C1606" t="s">
        <v>7358</v>
      </c>
      <c r="D1606">
        <v>12</v>
      </c>
      <c r="E1606" t="s">
        <v>27</v>
      </c>
      <c r="F1606" t="s">
        <v>63</v>
      </c>
      <c r="G1606" s="23">
        <v>41959</v>
      </c>
      <c r="H1606" t="s">
        <v>7359</v>
      </c>
      <c r="I1606" t="s">
        <v>7360</v>
      </c>
      <c r="J1606" t="s">
        <v>7361</v>
      </c>
    </row>
    <row r="1607" spans="1:10">
      <c r="A1607" t="s">
        <v>7362</v>
      </c>
      <c r="B1607" t="s">
        <v>7362</v>
      </c>
      <c r="C1607" t="s">
        <v>7363</v>
      </c>
      <c r="D1607">
        <v>21</v>
      </c>
      <c r="E1607" t="s">
        <v>29</v>
      </c>
      <c r="F1607" t="s">
        <v>63</v>
      </c>
      <c r="G1607" s="23">
        <v>42185</v>
      </c>
      <c r="H1607" t="s">
        <v>7364</v>
      </c>
      <c r="I1607" t="s">
        <v>7365</v>
      </c>
      <c r="J1607" t="s">
        <v>7366</v>
      </c>
    </row>
    <row r="1608" spans="1:10">
      <c r="A1608" t="s">
        <v>7367</v>
      </c>
      <c r="B1608" t="s">
        <v>7367</v>
      </c>
      <c r="C1608" t="s">
        <v>5857</v>
      </c>
      <c r="D1608">
        <v>64</v>
      </c>
      <c r="E1608" t="s">
        <v>31</v>
      </c>
      <c r="F1608" t="s">
        <v>63</v>
      </c>
      <c r="G1608" s="23">
        <v>44775</v>
      </c>
      <c r="H1608" t="s">
        <v>7368</v>
      </c>
      <c r="I1608" t="s">
        <v>7369</v>
      </c>
      <c r="J1608" t="s">
        <v>7370</v>
      </c>
    </row>
    <row r="1609" spans="1:10">
      <c r="A1609" t="s">
        <v>7371</v>
      </c>
      <c r="B1609" t="s">
        <v>7371</v>
      </c>
      <c r="C1609" t="s">
        <v>7372</v>
      </c>
      <c r="D1609">
        <v>20</v>
      </c>
      <c r="E1609" t="s">
        <v>33</v>
      </c>
      <c r="F1609" t="s">
        <v>63</v>
      </c>
      <c r="G1609" s="23">
        <v>42195</v>
      </c>
      <c r="H1609" t="s">
        <v>7373</v>
      </c>
      <c r="I1609" t="s">
        <v>7374</v>
      </c>
      <c r="J1609" t="s">
        <v>7375</v>
      </c>
    </row>
    <row r="1610" spans="1:10">
      <c r="A1610" t="s">
        <v>7376</v>
      </c>
      <c r="B1610" t="s">
        <v>7376</v>
      </c>
      <c r="C1610" t="s">
        <v>1714</v>
      </c>
      <c r="D1610">
        <v>98</v>
      </c>
      <c r="E1610" t="s">
        <v>31</v>
      </c>
      <c r="F1610" t="s">
        <v>63</v>
      </c>
      <c r="G1610" s="23">
        <v>44606</v>
      </c>
      <c r="H1610" t="s">
        <v>7377</v>
      </c>
      <c r="I1610" t="s">
        <v>7378</v>
      </c>
      <c r="J1610" t="s">
        <v>7379</v>
      </c>
    </row>
    <row r="1611" spans="1:10">
      <c r="A1611" t="s">
        <v>7380</v>
      </c>
      <c r="B1611" t="s">
        <v>7380</v>
      </c>
      <c r="C1611" t="s">
        <v>6670</v>
      </c>
      <c r="D1611">
        <v>96</v>
      </c>
      <c r="E1611" t="s">
        <v>29</v>
      </c>
      <c r="F1611" t="s">
        <v>63</v>
      </c>
      <c r="G1611" s="23">
        <v>44522</v>
      </c>
      <c r="H1611" t="s">
        <v>7381</v>
      </c>
      <c r="I1611" t="s">
        <v>7382</v>
      </c>
      <c r="J1611" t="s">
        <v>7383</v>
      </c>
    </row>
    <row r="1612" spans="1:10">
      <c r="A1612" t="s">
        <v>7384</v>
      </c>
      <c r="B1612" t="s">
        <v>7384</v>
      </c>
      <c r="C1612" t="s">
        <v>7385</v>
      </c>
      <c r="D1612">
        <v>55</v>
      </c>
      <c r="E1612" t="s">
        <v>31</v>
      </c>
      <c r="F1612" t="s">
        <v>63</v>
      </c>
      <c r="G1612" s="23">
        <v>42213</v>
      </c>
      <c r="H1612" t="s">
        <v>7386</v>
      </c>
      <c r="I1612" t="s">
        <v>7387</v>
      </c>
      <c r="J1612" t="s">
        <v>7388</v>
      </c>
    </row>
    <row r="1613" spans="1:10">
      <c r="A1613" t="s">
        <v>7389</v>
      </c>
      <c r="B1613" t="s">
        <v>7389</v>
      </c>
      <c r="C1613" t="s">
        <v>7385</v>
      </c>
      <c r="D1613">
        <v>73</v>
      </c>
      <c r="E1613" t="s">
        <v>29</v>
      </c>
      <c r="F1613" t="s">
        <v>63</v>
      </c>
      <c r="G1613" s="23">
        <v>41465</v>
      </c>
      <c r="H1613" t="s">
        <v>7390</v>
      </c>
      <c r="I1613" t="s">
        <v>7391</v>
      </c>
      <c r="J1613" t="s">
        <v>7392</v>
      </c>
    </row>
    <row r="1614" spans="1:10">
      <c r="A1614" t="s">
        <v>7393</v>
      </c>
      <c r="B1614" t="s">
        <v>7393</v>
      </c>
      <c r="C1614" t="s">
        <v>7394</v>
      </c>
      <c r="D1614">
        <v>48</v>
      </c>
      <c r="E1614" t="s">
        <v>29</v>
      </c>
      <c r="F1614" t="s">
        <v>63</v>
      </c>
      <c r="G1614" s="23">
        <v>42211</v>
      </c>
      <c r="H1614" t="s">
        <v>7395</v>
      </c>
      <c r="I1614" t="s">
        <v>7396</v>
      </c>
      <c r="J1614" t="s">
        <v>7397</v>
      </c>
    </row>
    <row r="1615" spans="1:10">
      <c r="A1615" t="s">
        <v>7398</v>
      </c>
      <c r="B1615" t="s">
        <v>7398</v>
      </c>
      <c r="C1615" t="s">
        <v>2269</v>
      </c>
      <c r="D1615">
        <v>12</v>
      </c>
      <c r="E1615" t="s">
        <v>34</v>
      </c>
      <c r="F1615" t="s">
        <v>571</v>
      </c>
      <c r="G1615" s="23">
        <v>43567</v>
      </c>
      <c r="H1615" t="s">
        <v>7399</v>
      </c>
      <c r="I1615" t="s">
        <v>7400</v>
      </c>
      <c r="J1615" t="s">
        <v>7401</v>
      </c>
    </row>
    <row r="1616" spans="1:10">
      <c r="A1616" t="s">
        <v>7402</v>
      </c>
      <c r="B1616" t="s">
        <v>7402</v>
      </c>
      <c r="C1616" t="s">
        <v>2269</v>
      </c>
      <c r="D1616">
        <v>3</v>
      </c>
      <c r="E1616" t="s">
        <v>34</v>
      </c>
      <c r="F1616" t="s">
        <v>571</v>
      </c>
      <c r="G1616" s="23">
        <v>43948</v>
      </c>
      <c r="H1616" t="s">
        <v>7403</v>
      </c>
      <c r="I1616" t="s">
        <v>7404</v>
      </c>
      <c r="J1616" t="s">
        <v>7405</v>
      </c>
    </row>
    <row r="1617" spans="1:10">
      <c r="A1617" t="s">
        <v>7406</v>
      </c>
      <c r="B1617" t="s">
        <v>7406</v>
      </c>
      <c r="C1617" t="s">
        <v>4182</v>
      </c>
      <c r="D1617">
        <v>16</v>
      </c>
      <c r="E1617" t="s">
        <v>31</v>
      </c>
      <c r="F1617" t="s">
        <v>63</v>
      </c>
      <c r="G1617" s="23">
        <v>42283</v>
      </c>
      <c r="H1617" t="s">
        <v>7407</v>
      </c>
      <c r="I1617" t="s">
        <v>7408</v>
      </c>
      <c r="J1617" t="s">
        <v>7409</v>
      </c>
    </row>
    <row r="1618" spans="1:10">
      <c r="A1618" t="s">
        <v>7410</v>
      </c>
      <c r="B1618" t="s">
        <v>7410</v>
      </c>
      <c r="C1618" t="s">
        <v>1714</v>
      </c>
      <c r="D1618">
        <v>112</v>
      </c>
      <c r="E1618" t="s">
        <v>31</v>
      </c>
      <c r="F1618" t="s">
        <v>63</v>
      </c>
      <c r="G1618" s="23">
        <v>44464</v>
      </c>
      <c r="H1618" t="s">
        <v>7411</v>
      </c>
      <c r="I1618" t="s">
        <v>7412</v>
      </c>
      <c r="J1618" t="s">
        <v>7413</v>
      </c>
    </row>
    <row r="1619" spans="1:10">
      <c r="A1619" t="s">
        <v>7414</v>
      </c>
      <c r="B1619" t="s">
        <v>7414</v>
      </c>
      <c r="C1619" t="s">
        <v>7415</v>
      </c>
      <c r="D1619">
        <v>22</v>
      </c>
      <c r="E1619" t="s">
        <v>29</v>
      </c>
      <c r="F1619" t="s">
        <v>63</v>
      </c>
      <c r="G1619" s="23">
        <v>42311</v>
      </c>
      <c r="H1619" t="s">
        <v>7416</v>
      </c>
      <c r="I1619" t="s">
        <v>7417</v>
      </c>
      <c r="J1619" t="s">
        <v>7418</v>
      </c>
    </row>
    <row r="1620" spans="1:10">
      <c r="A1620" t="s">
        <v>7419</v>
      </c>
      <c r="B1620" t="s">
        <v>7419</v>
      </c>
      <c r="C1620" t="s">
        <v>1714</v>
      </c>
      <c r="D1620">
        <v>116</v>
      </c>
      <c r="E1620" t="s">
        <v>31</v>
      </c>
      <c r="F1620" t="s">
        <v>63</v>
      </c>
      <c r="G1620" s="23">
        <v>44752</v>
      </c>
      <c r="H1620" t="s">
        <v>7420</v>
      </c>
      <c r="I1620" t="s">
        <v>7421</v>
      </c>
      <c r="J1620" t="s">
        <v>7422</v>
      </c>
    </row>
    <row r="1621" spans="1:10">
      <c r="A1621" t="s">
        <v>7423</v>
      </c>
      <c r="B1621" t="s">
        <v>7423</v>
      </c>
      <c r="C1621" t="s">
        <v>1714</v>
      </c>
      <c r="D1621">
        <v>116</v>
      </c>
      <c r="E1621" t="s">
        <v>31</v>
      </c>
      <c r="F1621" t="s">
        <v>63</v>
      </c>
      <c r="G1621" s="23">
        <v>44777</v>
      </c>
      <c r="H1621" t="s">
        <v>7424</v>
      </c>
      <c r="I1621" t="s">
        <v>7425</v>
      </c>
      <c r="J1621" t="s">
        <v>7426</v>
      </c>
    </row>
    <row r="1622" spans="1:10">
      <c r="A1622" t="s">
        <v>7427</v>
      </c>
      <c r="B1622" t="s">
        <v>7427</v>
      </c>
      <c r="C1622" t="s">
        <v>1714</v>
      </c>
      <c r="D1622">
        <v>120</v>
      </c>
      <c r="E1622" t="s">
        <v>31</v>
      </c>
      <c r="F1622" t="s">
        <v>63</v>
      </c>
      <c r="G1622" s="23">
        <v>45267</v>
      </c>
      <c r="H1622" t="s">
        <v>7428</v>
      </c>
      <c r="I1622" t="s">
        <v>7429</v>
      </c>
      <c r="J1622" t="s">
        <v>7430</v>
      </c>
    </row>
    <row r="1623" spans="1:10">
      <c r="A1623" t="s">
        <v>7431</v>
      </c>
      <c r="B1623" t="s">
        <v>7431</v>
      </c>
      <c r="C1623" t="s">
        <v>7432</v>
      </c>
      <c r="D1623">
        <v>11</v>
      </c>
      <c r="E1623" t="s">
        <v>31</v>
      </c>
      <c r="F1623" t="s">
        <v>63</v>
      </c>
      <c r="G1623" s="23">
        <v>43959</v>
      </c>
      <c r="H1623" t="s">
        <v>7433</v>
      </c>
      <c r="I1623" t="s">
        <v>7434</v>
      </c>
      <c r="J1623" t="s">
        <v>7435</v>
      </c>
    </row>
    <row r="1624" spans="1:10">
      <c r="A1624" t="s">
        <v>7436</v>
      </c>
      <c r="B1624" t="s">
        <v>7436</v>
      </c>
      <c r="C1624" t="s">
        <v>7437</v>
      </c>
      <c r="D1624">
        <v>96</v>
      </c>
      <c r="E1624" t="s">
        <v>29</v>
      </c>
      <c r="F1624" t="s">
        <v>63</v>
      </c>
      <c r="G1624" s="23">
        <v>42902</v>
      </c>
      <c r="H1624" t="s">
        <v>7438</v>
      </c>
      <c r="I1624" t="s">
        <v>7439</v>
      </c>
      <c r="J1624" t="s">
        <v>7440</v>
      </c>
    </row>
    <row r="1625" spans="1:10">
      <c r="A1625" t="s">
        <v>7441</v>
      </c>
      <c r="B1625" t="s">
        <v>7441</v>
      </c>
      <c r="C1625" t="s">
        <v>6882</v>
      </c>
      <c r="D1625">
        <v>92</v>
      </c>
      <c r="E1625" t="s">
        <v>29</v>
      </c>
      <c r="F1625" t="s">
        <v>63</v>
      </c>
      <c r="G1625" s="23">
        <v>44864</v>
      </c>
      <c r="H1625" t="s">
        <v>7442</v>
      </c>
      <c r="I1625" t="s">
        <v>7443</v>
      </c>
      <c r="J1625" t="s">
        <v>7444</v>
      </c>
    </row>
    <row r="1626" spans="1:10">
      <c r="A1626" t="s">
        <v>7445</v>
      </c>
      <c r="B1626" t="s">
        <v>7445</v>
      </c>
      <c r="C1626" t="s">
        <v>7446</v>
      </c>
      <c r="D1626">
        <v>96</v>
      </c>
      <c r="E1626" t="s">
        <v>29</v>
      </c>
      <c r="F1626" t="s">
        <v>63</v>
      </c>
      <c r="G1626" s="23">
        <v>44871</v>
      </c>
      <c r="H1626" t="s">
        <v>7447</v>
      </c>
      <c r="I1626" t="s">
        <v>7448</v>
      </c>
      <c r="J1626" t="s">
        <v>7449</v>
      </c>
    </row>
    <row r="1627" spans="1:10">
      <c r="A1627" t="s">
        <v>7450</v>
      </c>
      <c r="B1627" t="s">
        <v>7450</v>
      </c>
      <c r="C1627" t="s">
        <v>7446</v>
      </c>
      <c r="D1627">
        <v>76</v>
      </c>
      <c r="E1627" t="s">
        <v>27</v>
      </c>
      <c r="F1627" t="s">
        <v>63</v>
      </c>
      <c r="G1627" s="23">
        <v>45061</v>
      </c>
      <c r="H1627" t="s">
        <v>7451</v>
      </c>
      <c r="I1627" t="s">
        <v>7452</v>
      </c>
      <c r="J1627" t="s">
        <v>7453</v>
      </c>
    </row>
    <row r="1628" spans="1:10">
      <c r="A1628" t="s">
        <v>7454</v>
      </c>
      <c r="B1628" t="s">
        <v>7454</v>
      </c>
      <c r="C1628" t="s">
        <v>7455</v>
      </c>
      <c r="D1628">
        <v>19</v>
      </c>
      <c r="E1628" t="s">
        <v>29</v>
      </c>
      <c r="F1628" t="s">
        <v>63</v>
      </c>
      <c r="G1628" s="23">
        <v>44880</v>
      </c>
      <c r="H1628" t="s">
        <v>7456</v>
      </c>
      <c r="I1628" t="s">
        <v>7457</v>
      </c>
      <c r="J1628" t="s">
        <v>7458</v>
      </c>
    </row>
    <row r="1629" spans="1:10">
      <c r="A1629" t="s">
        <v>7459</v>
      </c>
      <c r="B1629" t="s">
        <v>7459</v>
      </c>
      <c r="C1629" t="s">
        <v>7460</v>
      </c>
      <c r="D1629">
        <v>5</v>
      </c>
      <c r="E1629" t="s">
        <v>31</v>
      </c>
      <c r="F1629" t="s">
        <v>63</v>
      </c>
      <c r="G1629" s="23">
        <v>43219</v>
      </c>
      <c r="H1629" t="s">
        <v>7461</v>
      </c>
      <c r="I1629" t="s">
        <v>7462</v>
      </c>
      <c r="J1629" t="s">
        <v>7463</v>
      </c>
    </row>
    <row r="1630" spans="1:10">
      <c r="A1630" t="s">
        <v>7464</v>
      </c>
      <c r="B1630" t="s">
        <v>7464</v>
      </c>
      <c r="C1630" t="s">
        <v>7465</v>
      </c>
      <c r="D1630">
        <v>5</v>
      </c>
      <c r="E1630" t="s">
        <v>27</v>
      </c>
      <c r="F1630" t="s">
        <v>63</v>
      </c>
      <c r="G1630" s="23">
        <v>42298</v>
      </c>
      <c r="H1630" t="s">
        <v>7466</v>
      </c>
      <c r="I1630" t="s">
        <v>7467</v>
      </c>
      <c r="J1630" t="s">
        <v>7468</v>
      </c>
    </row>
    <row r="1631" spans="1:10">
      <c r="A1631" t="s">
        <v>7469</v>
      </c>
      <c r="B1631" t="s">
        <v>7469</v>
      </c>
      <c r="C1631" t="s">
        <v>1129</v>
      </c>
      <c r="D1631">
        <v>45</v>
      </c>
      <c r="E1631" t="s">
        <v>29</v>
      </c>
      <c r="F1631" t="s">
        <v>63</v>
      </c>
      <c r="G1631" s="23">
        <v>44190</v>
      </c>
      <c r="H1631" t="s">
        <v>7470</v>
      </c>
      <c r="I1631" t="s">
        <v>7471</v>
      </c>
      <c r="J1631" t="s">
        <v>7472</v>
      </c>
    </row>
    <row r="1632" spans="1:10">
      <c r="A1632" t="s">
        <v>7473</v>
      </c>
      <c r="B1632" t="s">
        <v>7473</v>
      </c>
      <c r="C1632" t="s">
        <v>7474</v>
      </c>
      <c r="D1632">
        <v>124</v>
      </c>
      <c r="E1632" t="s">
        <v>34</v>
      </c>
      <c r="F1632" t="s">
        <v>63</v>
      </c>
      <c r="G1632" s="23">
        <v>44300</v>
      </c>
      <c r="H1632" t="s">
        <v>7475</v>
      </c>
      <c r="I1632" t="s">
        <v>7476</v>
      </c>
      <c r="J1632" t="s">
        <v>7477</v>
      </c>
    </row>
    <row r="1633" spans="1:10">
      <c r="A1633" t="s">
        <v>7478</v>
      </c>
      <c r="B1633" t="s">
        <v>7478</v>
      </c>
      <c r="C1633" t="s">
        <v>6882</v>
      </c>
      <c r="D1633">
        <v>31</v>
      </c>
      <c r="E1633" t="s">
        <v>31</v>
      </c>
      <c r="F1633" t="s">
        <v>63</v>
      </c>
      <c r="G1633" s="23">
        <v>46032</v>
      </c>
      <c r="H1633" t="s">
        <v>7479</v>
      </c>
      <c r="I1633" t="s">
        <v>7480</v>
      </c>
      <c r="J1633" t="s">
        <v>7481</v>
      </c>
    </row>
    <row r="1634" spans="1:10">
      <c r="A1634" t="s">
        <v>7482</v>
      </c>
      <c r="B1634" t="s">
        <v>7482</v>
      </c>
      <c r="C1634" t="s">
        <v>7483</v>
      </c>
      <c r="D1634">
        <v>17</v>
      </c>
      <c r="E1634" t="s">
        <v>27</v>
      </c>
      <c r="F1634" t="s">
        <v>63</v>
      </c>
      <c r="G1634" s="23">
        <v>42294</v>
      </c>
      <c r="H1634" t="s">
        <v>7484</v>
      </c>
      <c r="I1634" t="s">
        <v>7485</v>
      </c>
      <c r="J1634" t="s">
        <v>7486</v>
      </c>
    </row>
    <row r="1635" spans="1:10">
      <c r="A1635" t="s">
        <v>7487</v>
      </c>
      <c r="B1635" t="s">
        <v>7487</v>
      </c>
      <c r="C1635" t="s">
        <v>5592</v>
      </c>
      <c r="D1635">
        <v>40</v>
      </c>
      <c r="E1635" t="s">
        <v>27</v>
      </c>
      <c r="F1635" t="s">
        <v>63</v>
      </c>
      <c r="G1635" s="23">
        <v>41870</v>
      </c>
      <c r="H1635" t="s">
        <v>7488</v>
      </c>
      <c r="I1635" t="s">
        <v>7489</v>
      </c>
      <c r="J1635" t="s">
        <v>7490</v>
      </c>
    </row>
    <row r="1636" spans="1:10">
      <c r="A1636" t="s">
        <v>7491</v>
      </c>
      <c r="B1636" t="s">
        <v>7491</v>
      </c>
      <c r="C1636" t="s">
        <v>7492</v>
      </c>
      <c r="D1636">
        <v>44</v>
      </c>
      <c r="E1636" t="s">
        <v>29</v>
      </c>
      <c r="F1636" t="s">
        <v>63</v>
      </c>
      <c r="G1636" s="23">
        <v>45684</v>
      </c>
      <c r="H1636" t="s">
        <v>7493</v>
      </c>
      <c r="I1636" t="s">
        <v>7494</v>
      </c>
      <c r="J1636" t="s">
        <v>7495</v>
      </c>
    </row>
    <row r="1637" spans="1:10">
      <c r="A1637" t="s">
        <v>7496</v>
      </c>
      <c r="B1637" t="s">
        <v>7496</v>
      </c>
      <c r="C1637" t="s">
        <v>7497</v>
      </c>
      <c r="D1637">
        <v>12</v>
      </c>
      <c r="E1637" t="s">
        <v>29</v>
      </c>
      <c r="F1637" t="s">
        <v>63</v>
      </c>
      <c r="G1637" s="23">
        <v>42043</v>
      </c>
      <c r="H1637" t="s">
        <v>7498</v>
      </c>
      <c r="I1637" t="s">
        <v>7499</v>
      </c>
      <c r="J1637" t="s">
        <v>7500</v>
      </c>
    </row>
    <row r="1638" spans="1:10">
      <c r="A1638" t="s">
        <v>7501</v>
      </c>
      <c r="B1638" t="s">
        <v>7501</v>
      </c>
      <c r="C1638" t="s">
        <v>7502</v>
      </c>
      <c r="D1638">
        <v>10</v>
      </c>
      <c r="E1638" t="s">
        <v>31</v>
      </c>
      <c r="F1638" t="s">
        <v>63</v>
      </c>
      <c r="G1638" s="23">
        <v>42639</v>
      </c>
      <c r="H1638" t="s">
        <v>7503</v>
      </c>
      <c r="I1638" t="s">
        <v>7504</v>
      </c>
      <c r="J1638" t="s">
        <v>7505</v>
      </c>
    </row>
    <row r="1639" spans="1:10">
      <c r="A1639" t="s">
        <v>7506</v>
      </c>
      <c r="B1639" t="s">
        <v>7506</v>
      </c>
      <c r="C1639" t="s">
        <v>7507</v>
      </c>
      <c r="D1639">
        <v>20</v>
      </c>
      <c r="E1639" t="s">
        <v>31</v>
      </c>
      <c r="F1639" t="s">
        <v>63</v>
      </c>
      <c r="G1639" s="23">
        <v>44118</v>
      </c>
      <c r="H1639" t="s">
        <v>7508</v>
      </c>
      <c r="I1639" t="s">
        <v>7509</v>
      </c>
      <c r="J1639" t="s">
        <v>7510</v>
      </c>
    </row>
    <row r="1640" spans="1:10">
      <c r="A1640" t="s">
        <v>7511</v>
      </c>
      <c r="B1640" t="s">
        <v>7511</v>
      </c>
      <c r="C1640" t="s">
        <v>7512</v>
      </c>
      <c r="D1640">
        <v>6</v>
      </c>
      <c r="E1640" t="s">
        <v>29</v>
      </c>
      <c r="F1640" t="s">
        <v>63</v>
      </c>
      <c r="G1640" s="23">
        <v>41543</v>
      </c>
      <c r="H1640" t="s">
        <v>7513</v>
      </c>
      <c r="I1640" t="s">
        <v>7514</v>
      </c>
      <c r="J1640" t="s">
        <v>7515</v>
      </c>
    </row>
    <row r="1641" spans="1:10">
      <c r="A1641" t="s">
        <v>7516</v>
      </c>
      <c r="B1641" t="s">
        <v>7516</v>
      </c>
      <c r="C1641" t="s">
        <v>1651</v>
      </c>
      <c r="D1641">
        <v>12</v>
      </c>
      <c r="E1641" t="s">
        <v>33</v>
      </c>
      <c r="F1641" t="s">
        <v>57</v>
      </c>
      <c r="G1641" s="23">
        <v>44005</v>
      </c>
      <c r="H1641" t="s">
        <v>7517</v>
      </c>
      <c r="I1641" t="s">
        <v>7518</v>
      </c>
      <c r="J1641" t="s">
        <v>7519</v>
      </c>
    </row>
    <row r="1642" spans="1:10">
      <c r="A1642" t="s">
        <v>7520</v>
      </c>
      <c r="B1642" t="s">
        <v>7520</v>
      </c>
      <c r="C1642" t="s">
        <v>895</v>
      </c>
      <c r="D1642">
        <v>1</v>
      </c>
      <c r="E1642" t="s">
        <v>31</v>
      </c>
      <c r="F1642" t="s">
        <v>63</v>
      </c>
      <c r="G1642" s="23">
        <v>42972</v>
      </c>
      <c r="H1642" t="s">
        <v>7521</v>
      </c>
      <c r="I1642" t="s">
        <v>7522</v>
      </c>
      <c r="J1642" t="s">
        <v>7523</v>
      </c>
    </row>
    <row r="1643" spans="1:10">
      <c r="A1643" t="s">
        <v>7524</v>
      </c>
      <c r="B1643" t="s">
        <v>7524</v>
      </c>
      <c r="C1643" t="s">
        <v>7525</v>
      </c>
      <c r="D1643">
        <v>5</v>
      </c>
      <c r="E1643" t="s">
        <v>33</v>
      </c>
      <c r="F1643" t="s">
        <v>57</v>
      </c>
      <c r="G1643" s="23">
        <v>43856</v>
      </c>
      <c r="H1643" t="s">
        <v>7526</v>
      </c>
      <c r="I1643" t="s">
        <v>7527</v>
      </c>
      <c r="J1643" t="s">
        <v>7528</v>
      </c>
    </row>
    <row r="1644" spans="1:10">
      <c r="A1644" t="s">
        <v>7529</v>
      </c>
      <c r="B1644" t="s">
        <v>7529</v>
      </c>
      <c r="C1644" t="s">
        <v>7530</v>
      </c>
      <c r="D1644">
        <v>47</v>
      </c>
      <c r="E1644" t="s">
        <v>31</v>
      </c>
      <c r="F1644" t="s">
        <v>63</v>
      </c>
      <c r="G1644" s="23">
        <v>44585</v>
      </c>
      <c r="H1644" t="s">
        <v>7531</v>
      </c>
      <c r="I1644" t="s">
        <v>7532</v>
      </c>
      <c r="J1644" t="s">
        <v>7533</v>
      </c>
    </row>
    <row r="1645" spans="1:10">
      <c r="A1645" t="s">
        <v>7534</v>
      </c>
      <c r="B1645" t="s">
        <v>7534</v>
      </c>
      <c r="C1645" t="s">
        <v>7530</v>
      </c>
      <c r="D1645">
        <v>69</v>
      </c>
      <c r="E1645" t="s">
        <v>33</v>
      </c>
      <c r="F1645" t="s">
        <v>63</v>
      </c>
      <c r="G1645" s="23">
        <v>41691</v>
      </c>
      <c r="H1645" t="s">
        <v>7535</v>
      </c>
      <c r="I1645" t="s">
        <v>7536</v>
      </c>
      <c r="J1645" t="s">
        <v>7537</v>
      </c>
    </row>
    <row r="1646" spans="1:10">
      <c r="A1646" t="s">
        <v>7538</v>
      </c>
      <c r="B1646" t="s">
        <v>7538</v>
      </c>
      <c r="C1646" t="s">
        <v>7539</v>
      </c>
      <c r="D1646">
        <v>9</v>
      </c>
      <c r="E1646" t="s">
        <v>34</v>
      </c>
      <c r="F1646" t="s">
        <v>57</v>
      </c>
      <c r="G1646" s="23">
        <v>46073</v>
      </c>
      <c r="H1646" t="s">
        <v>7540</v>
      </c>
      <c r="I1646" t="s">
        <v>7541</v>
      </c>
      <c r="J1646" t="s">
        <v>7542</v>
      </c>
    </row>
    <row r="1647" spans="1:10">
      <c r="A1647" t="s">
        <v>7543</v>
      </c>
      <c r="B1647" t="s">
        <v>7543</v>
      </c>
      <c r="C1647" t="s">
        <v>945</v>
      </c>
      <c r="D1647">
        <v>8</v>
      </c>
      <c r="E1647" t="s">
        <v>34</v>
      </c>
      <c r="F1647" t="s">
        <v>57</v>
      </c>
      <c r="G1647" s="23">
        <v>45428</v>
      </c>
      <c r="H1647" t="s">
        <v>7544</v>
      </c>
      <c r="I1647" t="s">
        <v>7545</v>
      </c>
      <c r="J1647" t="s">
        <v>7546</v>
      </c>
    </row>
    <row r="1648" spans="1:10">
      <c r="A1648" t="s">
        <v>7547</v>
      </c>
      <c r="B1648" t="s">
        <v>7547</v>
      </c>
      <c r="C1648" t="s">
        <v>945</v>
      </c>
      <c r="D1648">
        <v>21</v>
      </c>
      <c r="E1648" t="s">
        <v>34</v>
      </c>
      <c r="F1648" t="s">
        <v>57</v>
      </c>
      <c r="G1648" s="23">
        <v>46197</v>
      </c>
      <c r="H1648" t="s">
        <v>7548</v>
      </c>
      <c r="I1648" t="s">
        <v>7549</v>
      </c>
      <c r="J1648" t="s">
        <v>7550</v>
      </c>
    </row>
    <row r="1649" spans="1:10">
      <c r="A1649" t="s">
        <v>7551</v>
      </c>
      <c r="B1649" t="s">
        <v>7551</v>
      </c>
      <c r="C1649" t="s">
        <v>945</v>
      </c>
      <c r="D1649">
        <v>22</v>
      </c>
      <c r="E1649" t="s">
        <v>34</v>
      </c>
      <c r="F1649" t="s">
        <v>57</v>
      </c>
      <c r="G1649" s="23">
        <v>45437</v>
      </c>
      <c r="H1649" t="s">
        <v>7552</v>
      </c>
      <c r="I1649" t="s">
        <v>7553</v>
      </c>
      <c r="J1649" t="s">
        <v>7554</v>
      </c>
    </row>
    <row r="1650" spans="1:10">
      <c r="A1650" t="s">
        <v>7555</v>
      </c>
      <c r="B1650" t="s">
        <v>7555</v>
      </c>
      <c r="C1650" t="s">
        <v>945</v>
      </c>
      <c r="D1650">
        <v>19</v>
      </c>
      <c r="E1650" t="s">
        <v>34</v>
      </c>
      <c r="F1650" t="s">
        <v>57</v>
      </c>
      <c r="G1650" s="23">
        <v>45702</v>
      </c>
      <c r="H1650" t="s">
        <v>7556</v>
      </c>
      <c r="I1650" t="s">
        <v>7557</v>
      </c>
      <c r="J1650" t="s">
        <v>7558</v>
      </c>
    </row>
    <row r="1651" spans="1:10">
      <c r="A1651" t="s">
        <v>7559</v>
      </c>
      <c r="B1651" t="s">
        <v>7559</v>
      </c>
      <c r="C1651" t="s">
        <v>7560</v>
      </c>
      <c r="D1651">
        <v>13</v>
      </c>
      <c r="E1651" t="s">
        <v>31</v>
      </c>
      <c r="F1651" t="s">
        <v>57</v>
      </c>
      <c r="G1651" s="23">
        <v>44503</v>
      </c>
      <c r="H1651" t="s">
        <v>7561</v>
      </c>
      <c r="I1651" t="s">
        <v>7562</v>
      </c>
      <c r="J1651" t="s">
        <v>7563</v>
      </c>
    </row>
    <row r="1652" spans="1:10">
      <c r="A1652" t="s">
        <v>7564</v>
      </c>
      <c r="B1652" t="s">
        <v>7564</v>
      </c>
      <c r="C1652" t="s">
        <v>7565</v>
      </c>
      <c r="D1652">
        <v>15</v>
      </c>
      <c r="E1652" t="s">
        <v>34</v>
      </c>
      <c r="F1652" t="s">
        <v>57</v>
      </c>
      <c r="G1652" s="23">
        <v>44369</v>
      </c>
      <c r="H1652" t="s">
        <v>7566</v>
      </c>
      <c r="I1652" t="s">
        <v>7567</v>
      </c>
      <c r="J1652" t="s">
        <v>7568</v>
      </c>
    </row>
    <row r="1653" spans="1:10">
      <c r="A1653" t="s">
        <v>7569</v>
      </c>
      <c r="B1653" t="s">
        <v>7569</v>
      </c>
      <c r="C1653" t="s">
        <v>7570</v>
      </c>
      <c r="D1653">
        <v>19</v>
      </c>
      <c r="E1653" t="s">
        <v>36</v>
      </c>
      <c r="F1653" t="s">
        <v>57</v>
      </c>
      <c r="G1653" s="23">
        <v>44863</v>
      </c>
      <c r="H1653" t="s">
        <v>7571</v>
      </c>
      <c r="I1653" t="s">
        <v>7572</v>
      </c>
      <c r="J1653" t="s">
        <v>7573</v>
      </c>
    </row>
    <row r="1654" spans="1:10">
      <c r="A1654" t="s">
        <v>7574</v>
      </c>
      <c r="B1654" t="s">
        <v>7574</v>
      </c>
      <c r="C1654" t="s">
        <v>2142</v>
      </c>
      <c r="D1654">
        <v>9</v>
      </c>
      <c r="E1654" t="s">
        <v>35</v>
      </c>
      <c r="F1654" t="s">
        <v>57</v>
      </c>
      <c r="G1654" s="23">
        <v>44822</v>
      </c>
      <c r="H1654" t="s">
        <v>7575</v>
      </c>
      <c r="I1654" t="s">
        <v>7576</v>
      </c>
      <c r="J1654" t="s">
        <v>7577</v>
      </c>
    </row>
    <row r="1655" spans="1:10">
      <c r="A1655" t="s">
        <v>7578</v>
      </c>
      <c r="B1655" t="s">
        <v>7578</v>
      </c>
      <c r="C1655" t="s">
        <v>427</v>
      </c>
      <c r="D1655">
        <v>14</v>
      </c>
      <c r="E1655" t="s">
        <v>33</v>
      </c>
      <c r="F1655" t="s">
        <v>57</v>
      </c>
      <c r="G1655" s="23">
        <v>43839</v>
      </c>
      <c r="H1655" t="s">
        <v>7579</v>
      </c>
      <c r="I1655" t="s">
        <v>7580</v>
      </c>
      <c r="J1655" t="s">
        <v>7581</v>
      </c>
    </row>
    <row r="1656" spans="1:10">
      <c r="A1656" t="s">
        <v>7582</v>
      </c>
      <c r="B1656" t="s">
        <v>7582</v>
      </c>
      <c r="C1656" t="s">
        <v>6096</v>
      </c>
      <c r="D1656">
        <v>1</v>
      </c>
      <c r="E1656" t="s">
        <v>34</v>
      </c>
      <c r="F1656" t="s">
        <v>3138</v>
      </c>
      <c r="G1656" s="23">
        <v>44599</v>
      </c>
      <c r="H1656" t="s">
        <v>7583</v>
      </c>
      <c r="I1656" t="s">
        <v>7584</v>
      </c>
      <c r="J1656" t="s">
        <v>7585</v>
      </c>
    </row>
    <row r="1657" spans="1:10">
      <c r="A1657" t="s">
        <v>7586</v>
      </c>
      <c r="B1657" t="s">
        <v>7586</v>
      </c>
      <c r="C1657" t="s">
        <v>7587</v>
      </c>
      <c r="D1657">
        <v>6</v>
      </c>
      <c r="E1657" t="s">
        <v>33</v>
      </c>
      <c r="F1657" t="s">
        <v>57</v>
      </c>
      <c r="G1657" s="23">
        <v>46004</v>
      </c>
      <c r="H1657" t="s">
        <v>7588</v>
      </c>
      <c r="I1657" t="s">
        <v>7589</v>
      </c>
      <c r="J1657" t="s">
        <v>7590</v>
      </c>
    </row>
    <row r="1658" spans="1:10">
      <c r="A1658" t="s">
        <v>7591</v>
      </c>
      <c r="B1658" t="s">
        <v>7591</v>
      </c>
      <c r="C1658" t="s">
        <v>355</v>
      </c>
      <c r="D1658">
        <v>60</v>
      </c>
      <c r="E1658" t="s">
        <v>31</v>
      </c>
      <c r="F1658" t="s">
        <v>63</v>
      </c>
      <c r="G1658" s="23">
        <v>45470</v>
      </c>
      <c r="H1658" t="s">
        <v>7592</v>
      </c>
      <c r="I1658" t="s">
        <v>7593</v>
      </c>
      <c r="J1658" t="s">
        <v>7594</v>
      </c>
    </row>
    <row r="1659" spans="1:10">
      <c r="A1659" t="s">
        <v>7595</v>
      </c>
      <c r="B1659" t="s">
        <v>7595</v>
      </c>
      <c r="C1659" t="s">
        <v>7596</v>
      </c>
      <c r="D1659">
        <v>5</v>
      </c>
      <c r="E1659" t="s">
        <v>36</v>
      </c>
      <c r="F1659" t="s">
        <v>57</v>
      </c>
      <c r="G1659" s="23">
        <v>46063</v>
      </c>
      <c r="H1659" t="s">
        <v>7597</v>
      </c>
      <c r="I1659" t="s">
        <v>7598</v>
      </c>
      <c r="J1659" t="s">
        <v>7599</v>
      </c>
    </row>
    <row r="1660" spans="1:10">
      <c r="A1660" t="s">
        <v>7600</v>
      </c>
      <c r="B1660" t="s">
        <v>7600</v>
      </c>
      <c r="C1660" t="s">
        <v>1379</v>
      </c>
      <c r="D1660">
        <v>5</v>
      </c>
      <c r="E1660" t="s">
        <v>33</v>
      </c>
      <c r="F1660" t="s">
        <v>57</v>
      </c>
      <c r="G1660" s="23">
        <v>46023</v>
      </c>
      <c r="H1660" t="s">
        <v>7601</v>
      </c>
      <c r="I1660" t="s">
        <v>7602</v>
      </c>
      <c r="J1660" t="s">
        <v>7603</v>
      </c>
    </row>
    <row r="1661" spans="1:10">
      <c r="A1661" t="s">
        <v>7604</v>
      </c>
      <c r="B1661" t="s">
        <v>7604</v>
      </c>
      <c r="C1661" t="s">
        <v>4070</v>
      </c>
      <c r="D1661">
        <v>8</v>
      </c>
      <c r="E1661" t="s">
        <v>29</v>
      </c>
      <c r="F1661" t="s">
        <v>63</v>
      </c>
      <c r="G1661" s="23">
        <v>42207</v>
      </c>
      <c r="H1661" t="s">
        <v>7605</v>
      </c>
      <c r="I1661" t="s">
        <v>7606</v>
      </c>
      <c r="J1661" t="s">
        <v>7607</v>
      </c>
    </row>
    <row r="1662" spans="1:10">
      <c r="A1662" t="s">
        <v>7608</v>
      </c>
      <c r="B1662" t="s">
        <v>7608</v>
      </c>
      <c r="C1662" t="s">
        <v>5276</v>
      </c>
      <c r="D1662">
        <v>5</v>
      </c>
      <c r="E1662" t="s">
        <v>31</v>
      </c>
      <c r="F1662" t="s">
        <v>571</v>
      </c>
      <c r="G1662" s="23">
        <v>41824</v>
      </c>
      <c r="H1662" t="s">
        <v>7609</v>
      </c>
      <c r="I1662" t="s">
        <v>7610</v>
      </c>
      <c r="J1662" t="s">
        <v>7611</v>
      </c>
    </row>
    <row r="1663" spans="1:10">
      <c r="A1663" t="s">
        <v>7612</v>
      </c>
      <c r="B1663" t="s">
        <v>7612</v>
      </c>
      <c r="C1663" t="s">
        <v>6732</v>
      </c>
      <c r="D1663">
        <v>1</v>
      </c>
      <c r="E1663" t="s">
        <v>34</v>
      </c>
      <c r="F1663" t="s">
        <v>57</v>
      </c>
      <c r="G1663" s="23">
        <v>44264</v>
      </c>
      <c r="H1663" t="s">
        <v>7613</v>
      </c>
      <c r="I1663" t="s">
        <v>7614</v>
      </c>
      <c r="J1663" t="s">
        <v>7615</v>
      </c>
    </row>
    <row r="1664" spans="1:10">
      <c r="A1664" t="s">
        <v>7616</v>
      </c>
      <c r="B1664" t="s">
        <v>7616</v>
      </c>
      <c r="C1664" t="s">
        <v>685</v>
      </c>
      <c r="D1664">
        <v>8</v>
      </c>
      <c r="E1664" t="s">
        <v>31</v>
      </c>
      <c r="F1664" t="s">
        <v>63</v>
      </c>
      <c r="G1664" s="23">
        <v>44763</v>
      </c>
      <c r="H1664" t="s">
        <v>7617</v>
      </c>
      <c r="I1664" t="s">
        <v>7618</v>
      </c>
      <c r="J1664" t="s">
        <v>7619</v>
      </c>
    </row>
    <row r="1665" spans="1:10">
      <c r="A1665" t="s">
        <v>7620</v>
      </c>
      <c r="B1665" t="s">
        <v>7620</v>
      </c>
      <c r="C1665" t="s">
        <v>685</v>
      </c>
      <c r="D1665">
        <v>24</v>
      </c>
      <c r="E1665" t="s">
        <v>31</v>
      </c>
      <c r="F1665" t="s">
        <v>63</v>
      </c>
      <c r="G1665" s="23">
        <v>45893</v>
      </c>
      <c r="H1665" t="s">
        <v>7621</v>
      </c>
      <c r="I1665" t="s">
        <v>7622</v>
      </c>
      <c r="J1665" t="s">
        <v>7623</v>
      </c>
    </row>
    <row r="1666" spans="1:10">
      <c r="A1666" t="s">
        <v>7624</v>
      </c>
      <c r="B1666" t="s">
        <v>7624</v>
      </c>
      <c r="C1666" t="s">
        <v>7625</v>
      </c>
      <c r="D1666">
        <v>8</v>
      </c>
      <c r="E1666" t="s">
        <v>29</v>
      </c>
      <c r="F1666" t="s">
        <v>63</v>
      </c>
      <c r="G1666" s="23">
        <v>41545</v>
      </c>
      <c r="H1666" t="s">
        <v>7626</v>
      </c>
      <c r="I1666" t="s">
        <v>7627</v>
      </c>
      <c r="J1666" t="s">
        <v>7628</v>
      </c>
    </row>
    <row r="1667" spans="1:10">
      <c r="A1667" t="s">
        <v>7629</v>
      </c>
      <c r="B1667" t="s">
        <v>7629</v>
      </c>
      <c r="C1667" t="s">
        <v>7625</v>
      </c>
      <c r="D1667">
        <v>12</v>
      </c>
      <c r="E1667" t="s">
        <v>31</v>
      </c>
      <c r="F1667" t="s">
        <v>63</v>
      </c>
      <c r="G1667" s="23">
        <v>42699</v>
      </c>
      <c r="H1667" t="s">
        <v>7630</v>
      </c>
      <c r="I1667" t="s">
        <v>7631</v>
      </c>
      <c r="J1667" t="s">
        <v>7632</v>
      </c>
    </row>
    <row r="1668" spans="1:10">
      <c r="A1668" t="s">
        <v>7633</v>
      </c>
      <c r="B1668" t="s">
        <v>7633</v>
      </c>
      <c r="C1668" t="s">
        <v>1306</v>
      </c>
      <c r="D1668">
        <v>69</v>
      </c>
      <c r="E1668" t="s">
        <v>34</v>
      </c>
      <c r="F1668" t="s">
        <v>115</v>
      </c>
      <c r="G1668" s="23">
        <v>45512</v>
      </c>
      <c r="H1668" t="s">
        <v>7634</v>
      </c>
      <c r="I1668" t="s">
        <v>7635</v>
      </c>
      <c r="J1668" t="s">
        <v>7636</v>
      </c>
    </row>
    <row r="1669" spans="1:10">
      <c r="A1669" t="s">
        <v>7637</v>
      </c>
      <c r="B1669" t="s">
        <v>7637</v>
      </c>
      <c r="C1669" t="s">
        <v>7638</v>
      </c>
      <c r="D1669">
        <v>4</v>
      </c>
      <c r="E1669" t="s">
        <v>31</v>
      </c>
      <c r="F1669" t="s">
        <v>63</v>
      </c>
      <c r="G1669" s="23">
        <v>45527</v>
      </c>
      <c r="H1669" t="s">
        <v>7639</v>
      </c>
      <c r="I1669" t="s">
        <v>7640</v>
      </c>
      <c r="J1669" t="s">
        <v>7641</v>
      </c>
    </row>
    <row r="1670" spans="1:10">
      <c r="A1670" t="s">
        <v>7642</v>
      </c>
      <c r="B1670" t="s">
        <v>7642</v>
      </c>
      <c r="C1670" t="s">
        <v>233</v>
      </c>
      <c r="D1670">
        <v>12</v>
      </c>
      <c r="E1670" t="s">
        <v>33</v>
      </c>
      <c r="F1670" t="s">
        <v>63</v>
      </c>
      <c r="G1670" s="23">
        <v>45349</v>
      </c>
      <c r="H1670" t="s">
        <v>7643</v>
      </c>
      <c r="I1670" t="s">
        <v>7644</v>
      </c>
      <c r="J1670" t="s">
        <v>7645</v>
      </c>
    </row>
    <row r="1671" spans="1:10">
      <c r="A1671" t="s">
        <v>7646</v>
      </c>
      <c r="B1671" t="s">
        <v>7646</v>
      </c>
      <c r="C1671" t="s">
        <v>1824</v>
      </c>
      <c r="D1671">
        <v>96</v>
      </c>
      <c r="E1671" t="s">
        <v>33</v>
      </c>
      <c r="F1671" t="s">
        <v>115</v>
      </c>
      <c r="G1671" s="23">
        <v>45401</v>
      </c>
      <c r="H1671" t="s">
        <v>7647</v>
      </c>
      <c r="I1671" t="s">
        <v>7648</v>
      </c>
      <c r="J1671" t="s">
        <v>7649</v>
      </c>
    </row>
    <row r="1672" spans="1:10">
      <c r="A1672" t="s">
        <v>7650</v>
      </c>
      <c r="B1672" t="s">
        <v>7650</v>
      </c>
      <c r="C1672" t="s">
        <v>4365</v>
      </c>
      <c r="D1672">
        <v>9</v>
      </c>
      <c r="E1672" t="s">
        <v>34</v>
      </c>
      <c r="F1672" t="s">
        <v>57</v>
      </c>
      <c r="G1672" s="23">
        <v>43922</v>
      </c>
      <c r="H1672" t="s">
        <v>7651</v>
      </c>
      <c r="I1672" t="s">
        <v>7652</v>
      </c>
      <c r="J1672" t="s">
        <v>7653</v>
      </c>
    </row>
    <row r="1673" spans="1:10">
      <c r="A1673" t="s">
        <v>7654</v>
      </c>
      <c r="B1673" t="s">
        <v>7654</v>
      </c>
      <c r="C1673" t="s">
        <v>3137</v>
      </c>
      <c r="D1673">
        <v>6</v>
      </c>
      <c r="E1673" t="s">
        <v>34</v>
      </c>
      <c r="F1673" t="s">
        <v>57</v>
      </c>
      <c r="G1673" s="23">
        <v>45565</v>
      </c>
      <c r="H1673" t="s">
        <v>7655</v>
      </c>
      <c r="I1673" t="s">
        <v>7656</v>
      </c>
      <c r="J1673" t="s">
        <v>7657</v>
      </c>
    </row>
    <row r="1674" spans="1:10">
      <c r="A1674" t="s">
        <v>7658</v>
      </c>
      <c r="B1674" t="s">
        <v>7658</v>
      </c>
      <c r="C1674" t="s">
        <v>2531</v>
      </c>
      <c r="D1674">
        <v>14</v>
      </c>
      <c r="E1674" t="s">
        <v>35</v>
      </c>
      <c r="F1674" t="s">
        <v>57</v>
      </c>
      <c r="G1674" s="23">
        <v>44476</v>
      </c>
      <c r="H1674" t="s">
        <v>7659</v>
      </c>
      <c r="I1674" t="s">
        <v>7660</v>
      </c>
      <c r="J1674" t="s">
        <v>7661</v>
      </c>
    </row>
    <row r="1675" spans="1:10">
      <c r="A1675" t="s">
        <v>7662</v>
      </c>
      <c r="B1675" t="s">
        <v>7662</v>
      </c>
      <c r="C1675" t="s">
        <v>452</v>
      </c>
      <c r="D1675">
        <v>1</v>
      </c>
      <c r="E1675" t="s">
        <v>33</v>
      </c>
      <c r="F1675" t="s">
        <v>57</v>
      </c>
      <c r="G1675" s="23">
        <v>45722</v>
      </c>
      <c r="H1675" t="s">
        <v>7663</v>
      </c>
      <c r="I1675" t="s">
        <v>7664</v>
      </c>
      <c r="J1675" t="s">
        <v>7665</v>
      </c>
    </row>
    <row r="1676" spans="1:10">
      <c r="A1676" t="s">
        <v>7666</v>
      </c>
      <c r="B1676" t="s">
        <v>7666</v>
      </c>
      <c r="C1676" t="s">
        <v>7667</v>
      </c>
      <c r="D1676">
        <v>8</v>
      </c>
      <c r="E1676" t="s">
        <v>31</v>
      </c>
      <c r="F1676" t="s">
        <v>63</v>
      </c>
      <c r="G1676" s="23">
        <v>46025</v>
      </c>
      <c r="H1676" t="s">
        <v>7668</v>
      </c>
      <c r="I1676" t="s">
        <v>7669</v>
      </c>
      <c r="J1676" t="s">
        <v>7670</v>
      </c>
    </row>
    <row r="1677" spans="1:10">
      <c r="A1677" t="s">
        <v>7671</v>
      </c>
      <c r="B1677" t="s">
        <v>7671</v>
      </c>
      <c r="C1677" t="s">
        <v>2526</v>
      </c>
      <c r="D1677">
        <v>10</v>
      </c>
      <c r="E1677" t="s">
        <v>35</v>
      </c>
      <c r="F1677" t="s">
        <v>57</v>
      </c>
      <c r="G1677" s="23">
        <v>44067</v>
      </c>
      <c r="H1677" t="s">
        <v>7672</v>
      </c>
      <c r="I1677" t="s">
        <v>7673</v>
      </c>
      <c r="J1677" t="s">
        <v>7674</v>
      </c>
    </row>
    <row r="1678" spans="1:10">
      <c r="A1678" t="s">
        <v>7675</v>
      </c>
      <c r="B1678" t="s">
        <v>7675</v>
      </c>
      <c r="C1678" t="s">
        <v>7676</v>
      </c>
      <c r="D1678">
        <v>4</v>
      </c>
      <c r="E1678" t="s">
        <v>29</v>
      </c>
      <c r="F1678" t="s">
        <v>63</v>
      </c>
      <c r="G1678" s="23">
        <v>44012</v>
      </c>
      <c r="H1678" t="s">
        <v>7677</v>
      </c>
      <c r="I1678" t="s">
        <v>7678</v>
      </c>
      <c r="J1678" t="s">
        <v>7679</v>
      </c>
    </row>
    <row r="1679" spans="1:10">
      <c r="A1679" t="s">
        <v>7680</v>
      </c>
      <c r="B1679" t="s">
        <v>7680</v>
      </c>
      <c r="C1679" t="s">
        <v>3760</v>
      </c>
      <c r="D1679">
        <v>4</v>
      </c>
      <c r="E1679" t="s">
        <v>33</v>
      </c>
      <c r="F1679" t="s">
        <v>57</v>
      </c>
      <c r="G1679" s="23">
        <v>44326</v>
      </c>
      <c r="H1679" t="s">
        <v>7681</v>
      </c>
      <c r="I1679" t="s">
        <v>7682</v>
      </c>
      <c r="J1679" t="s">
        <v>7683</v>
      </c>
    </row>
    <row r="1680" spans="1:10">
      <c r="A1680" t="s">
        <v>7684</v>
      </c>
      <c r="B1680" t="s">
        <v>7684</v>
      </c>
      <c r="C1680" t="s">
        <v>1464</v>
      </c>
      <c r="D1680">
        <v>5</v>
      </c>
      <c r="E1680" t="s">
        <v>31</v>
      </c>
      <c r="F1680" t="s">
        <v>57</v>
      </c>
      <c r="G1680" s="23">
        <v>45895</v>
      </c>
      <c r="H1680" t="s">
        <v>7685</v>
      </c>
      <c r="I1680" t="s">
        <v>7686</v>
      </c>
      <c r="J1680" t="s">
        <v>7687</v>
      </c>
    </row>
    <row r="1681" spans="1:10">
      <c r="A1681" t="s">
        <v>7688</v>
      </c>
      <c r="B1681" t="s">
        <v>7688</v>
      </c>
      <c r="C1681" t="s">
        <v>1464</v>
      </c>
      <c r="D1681">
        <v>10</v>
      </c>
      <c r="E1681" t="s">
        <v>31</v>
      </c>
      <c r="F1681" t="s">
        <v>57</v>
      </c>
      <c r="G1681" s="23">
        <v>46179</v>
      </c>
      <c r="H1681" t="s">
        <v>7689</v>
      </c>
      <c r="I1681" t="s">
        <v>7690</v>
      </c>
      <c r="J1681" t="s">
        <v>7691</v>
      </c>
    </row>
    <row r="1682" spans="1:10">
      <c r="A1682" t="s">
        <v>7692</v>
      </c>
      <c r="B1682" t="s">
        <v>7692</v>
      </c>
      <c r="C1682" t="s">
        <v>7693</v>
      </c>
      <c r="D1682">
        <v>22</v>
      </c>
      <c r="E1682" t="s">
        <v>34</v>
      </c>
      <c r="F1682" t="s">
        <v>57</v>
      </c>
      <c r="G1682" s="23">
        <v>46032</v>
      </c>
      <c r="H1682" t="s">
        <v>7694</v>
      </c>
      <c r="I1682" t="s">
        <v>7695</v>
      </c>
      <c r="J1682" t="s">
        <v>7696</v>
      </c>
    </row>
    <row r="1683" spans="1:10">
      <c r="A1683" t="s">
        <v>7697</v>
      </c>
      <c r="B1683" t="s">
        <v>7697</v>
      </c>
      <c r="C1683" t="s">
        <v>4724</v>
      </c>
      <c r="D1683">
        <v>7</v>
      </c>
      <c r="E1683" t="s">
        <v>27</v>
      </c>
      <c r="F1683" t="s">
        <v>63</v>
      </c>
      <c r="G1683" s="23">
        <v>44749</v>
      </c>
      <c r="H1683" t="s">
        <v>7698</v>
      </c>
      <c r="I1683" t="s">
        <v>7699</v>
      </c>
      <c r="J1683" t="s">
        <v>7700</v>
      </c>
    </row>
    <row r="1684" spans="1:10">
      <c r="A1684" t="s">
        <v>7701</v>
      </c>
      <c r="B1684" t="s">
        <v>7701</v>
      </c>
      <c r="C1684" t="s">
        <v>7702</v>
      </c>
      <c r="D1684">
        <v>8</v>
      </c>
      <c r="E1684" t="s">
        <v>29</v>
      </c>
      <c r="F1684" t="s">
        <v>63</v>
      </c>
      <c r="G1684" s="23">
        <v>45010</v>
      </c>
      <c r="H1684" t="s">
        <v>7703</v>
      </c>
      <c r="I1684" t="s">
        <v>7704</v>
      </c>
      <c r="J1684" t="s">
        <v>7705</v>
      </c>
    </row>
    <row r="1685" spans="1:10">
      <c r="A1685" t="s">
        <v>7706</v>
      </c>
      <c r="B1685" t="s">
        <v>7706</v>
      </c>
      <c r="C1685" t="s">
        <v>3893</v>
      </c>
      <c r="D1685">
        <v>23</v>
      </c>
      <c r="E1685" t="s">
        <v>29</v>
      </c>
      <c r="F1685" t="s">
        <v>63</v>
      </c>
      <c r="G1685" s="23">
        <v>45224</v>
      </c>
      <c r="H1685" t="s">
        <v>7707</v>
      </c>
      <c r="I1685" t="s">
        <v>7708</v>
      </c>
      <c r="J1685" t="s">
        <v>7709</v>
      </c>
    </row>
    <row r="1686" spans="1:10">
      <c r="A1686" t="s">
        <v>7710</v>
      </c>
      <c r="B1686" t="s">
        <v>7710</v>
      </c>
      <c r="C1686" t="s">
        <v>7711</v>
      </c>
      <c r="D1686">
        <v>19</v>
      </c>
      <c r="E1686" t="s">
        <v>33</v>
      </c>
      <c r="F1686" t="s">
        <v>63</v>
      </c>
      <c r="G1686" s="23">
        <v>43140</v>
      </c>
      <c r="H1686" t="s">
        <v>7712</v>
      </c>
      <c r="I1686" t="s">
        <v>7713</v>
      </c>
      <c r="J1686" t="s">
        <v>7714</v>
      </c>
    </row>
    <row r="1687" spans="1:10">
      <c r="A1687" t="s">
        <v>7715</v>
      </c>
      <c r="B1687" t="s">
        <v>7715</v>
      </c>
      <c r="C1687" t="s">
        <v>2763</v>
      </c>
      <c r="D1687">
        <v>0</v>
      </c>
      <c r="E1687" t="s">
        <v>34</v>
      </c>
      <c r="F1687" t="s">
        <v>57</v>
      </c>
      <c r="G1687" s="23">
        <v>45054</v>
      </c>
      <c r="H1687" t="s">
        <v>7716</v>
      </c>
      <c r="I1687" t="s">
        <v>7717</v>
      </c>
      <c r="J1687" t="s">
        <v>7718</v>
      </c>
    </row>
    <row r="1688" spans="1:10">
      <c r="A1688" t="s">
        <v>7719</v>
      </c>
      <c r="B1688" t="s">
        <v>7719</v>
      </c>
      <c r="C1688" t="s">
        <v>2142</v>
      </c>
      <c r="D1688">
        <v>17</v>
      </c>
      <c r="E1688" t="s">
        <v>35</v>
      </c>
      <c r="F1688" t="s">
        <v>57</v>
      </c>
      <c r="G1688" s="23">
        <v>44362</v>
      </c>
      <c r="H1688" t="s">
        <v>7720</v>
      </c>
      <c r="I1688" t="s">
        <v>7721</v>
      </c>
      <c r="J1688" t="s">
        <v>7722</v>
      </c>
    </row>
    <row r="1689" spans="1:10">
      <c r="A1689" t="s">
        <v>7723</v>
      </c>
      <c r="B1689" t="s">
        <v>7723</v>
      </c>
      <c r="C1689" t="s">
        <v>528</v>
      </c>
      <c r="D1689">
        <v>37</v>
      </c>
      <c r="E1689" t="s">
        <v>31</v>
      </c>
      <c r="F1689" t="s">
        <v>63</v>
      </c>
      <c r="G1689" s="23">
        <v>42342</v>
      </c>
      <c r="H1689" t="s">
        <v>7724</v>
      </c>
      <c r="I1689" t="s">
        <v>7725</v>
      </c>
      <c r="J1689" t="s">
        <v>7726</v>
      </c>
    </row>
    <row r="1690" spans="1:10">
      <c r="A1690" t="s">
        <v>7727</v>
      </c>
      <c r="B1690" t="s">
        <v>7727</v>
      </c>
      <c r="C1690" t="s">
        <v>7728</v>
      </c>
      <c r="D1690">
        <v>6</v>
      </c>
      <c r="E1690" t="s">
        <v>34</v>
      </c>
      <c r="F1690" t="s">
        <v>57</v>
      </c>
      <c r="G1690" s="23">
        <v>45984</v>
      </c>
      <c r="H1690" t="s">
        <v>7729</v>
      </c>
      <c r="I1690" t="s">
        <v>7730</v>
      </c>
      <c r="J1690" t="s">
        <v>7731</v>
      </c>
    </row>
    <row r="1691" spans="1:10">
      <c r="A1691" t="s">
        <v>7732</v>
      </c>
      <c r="B1691" t="s">
        <v>7732</v>
      </c>
      <c r="C1691" t="s">
        <v>6277</v>
      </c>
      <c r="D1691">
        <v>16</v>
      </c>
      <c r="E1691" t="s">
        <v>29</v>
      </c>
      <c r="F1691" t="s">
        <v>63</v>
      </c>
      <c r="G1691" s="23">
        <v>41445</v>
      </c>
      <c r="H1691" t="s">
        <v>7733</v>
      </c>
      <c r="I1691" t="s">
        <v>7734</v>
      </c>
      <c r="J1691" t="s">
        <v>7735</v>
      </c>
    </row>
    <row r="1692" spans="1:10">
      <c r="A1692" t="s">
        <v>7736</v>
      </c>
      <c r="B1692" t="s">
        <v>7736</v>
      </c>
      <c r="C1692" t="s">
        <v>7737</v>
      </c>
      <c r="D1692">
        <v>6</v>
      </c>
      <c r="E1692" t="s">
        <v>29</v>
      </c>
      <c r="F1692" t="s">
        <v>63</v>
      </c>
      <c r="G1692" s="23">
        <v>42056</v>
      </c>
      <c r="H1692" t="s">
        <v>7738</v>
      </c>
      <c r="I1692" t="s">
        <v>7739</v>
      </c>
      <c r="J1692" t="s">
        <v>7740</v>
      </c>
    </row>
    <row r="1693" spans="1:10">
      <c r="A1693" t="s">
        <v>7741</v>
      </c>
      <c r="B1693" t="s">
        <v>7741</v>
      </c>
      <c r="C1693" t="s">
        <v>641</v>
      </c>
      <c r="D1693">
        <v>3</v>
      </c>
      <c r="E1693" t="s">
        <v>35</v>
      </c>
      <c r="F1693" t="s">
        <v>57</v>
      </c>
      <c r="G1693" s="23">
        <v>44515</v>
      </c>
      <c r="H1693" t="s">
        <v>7742</v>
      </c>
      <c r="I1693" t="s">
        <v>7743</v>
      </c>
      <c r="J1693" t="s">
        <v>7744</v>
      </c>
    </row>
    <row r="1694" spans="1:10">
      <c r="A1694" t="s">
        <v>7745</v>
      </c>
      <c r="B1694" t="s">
        <v>7745</v>
      </c>
      <c r="C1694" t="s">
        <v>3356</v>
      </c>
      <c r="D1694">
        <v>11</v>
      </c>
      <c r="E1694" t="s">
        <v>34</v>
      </c>
      <c r="F1694" t="s">
        <v>57</v>
      </c>
      <c r="G1694" s="23">
        <v>44312</v>
      </c>
      <c r="H1694" t="s">
        <v>7746</v>
      </c>
      <c r="I1694" t="s">
        <v>7747</v>
      </c>
      <c r="J1694" t="s">
        <v>7748</v>
      </c>
    </row>
    <row r="1695" spans="1:10">
      <c r="A1695" t="s">
        <v>7749</v>
      </c>
      <c r="B1695" t="s">
        <v>7749</v>
      </c>
      <c r="C1695" t="s">
        <v>3356</v>
      </c>
      <c r="D1695">
        <v>11</v>
      </c>
      <c r="E1695" t="s">
        <v>34</v>
      </c>
      <c r="F1695" t="s">
        <v>57</v>
      </c>
      <c r="G1695" s="23">
        <v>44374</v>
      </c>
      <c r="H1695" t="s">
        <v>7750</v>
      </c>
      <c r="I1695" t="s">
        <v>7751</v>
      </c>
      <c r="J1695" t="s">
        <v>7752</v>
      </c>
    </row>
    <row r="1696" spans="1:10">
      <c r="A1696" t="s">
        <v>7753</v>
      </c>
      <c r="B1696" t="s">
        <v>7753</v>
      </c>
      <c r="C1696" t="s">
        <v>1556</v>
      </c>
      <c r="D1696">
        <v>1</v>
      </c>
      <c r="E1696" t="s">
        <v>36</v>
      </c>
      <c r="F1696" t="s">
        <v>57</v>
      </c>
      <c r="G1696" s="23">
        <v>44481</v>
      </c>
      <c r="H1696" t="s">
        <v>7754</v>
      </c>
      <c r="I1696" t="s">
        <v>7755</v>
      </c>
      <c r="J1696" t="s">
        <v>7756</v>
      </c>
    </row>
    <row r="1697" spans="1:10">
      <c r="A1697" t="s">
        <v>7757</v>
      </c>
      <c r="B1697" t="s">
        <v>7757</v>
      </c>
      <c r="C1697" t="s">
        <v>7525</v>
      </c>
      <c r="D1697">
        <v>27</v>
      </c>
      <c r="E1697" t="s">
        <v>33</v>
      </c>
      <c r="F1697" t="s">
        <v>57</v>
      </c>
      <c r="G1697" s="23">
        <v>43606</v>
      </c>
      <c r="H1697" t="s">
        <v>7758</v>
      </c>
      <c r="I1697" t="s">
        <v>7759</v>
      </c>
      <c r="J1697" t="s">
        <v>7760</v>
      </c>
    </row>
    <row r="1698" spans="1:10">
      <c r="A1698" t="s">
        <v>7761</v>
      </c>
      <c r="B1698" t="s">
        <v>7761</v>
      </c>
      <c r="C1698" t="s">
        <v>900</v>
      </c>
      <c r="D1698">
        <v>14</v>
      </c>
      <c r="E1698" t="s">
        <v>35</v>
      </c>
      <c r="F1698" t="s">
        <v>57</v>
      </c>
      <c r="G1698" s="23">
        <v>45268</v>
      </c>
      <c r="H1698" t="s">
        <v>7762</v>
      </c>
      <c r="I1698" t="s">
        <v>7763</v>
      </c>
      <c r="J1698" t="s">
        <v>7764</v>
      </c>
    </row>
    <row r="1699" spans="1:10">
      <c r="A1699" t="s">
        <v>7765</v>
      </c>
      <c r="B1699" t="s">
        <v>7765</v>
      </c>
      <c r="C1699" t="s">
        <v>1804</v>
      </c>
      <c r="D1699">
        <v>5</v>
      </c>
      <c r="E1699" t="s">
        <v>29</v>
      </c>
      <c r="F1699" t="s">
        <v>63</v>
      </c>
      <c r="G1699" s="23">
        <v>42616</v>
      </c>
      <c r="H1699" t="s">
        <v>7766</v>
      </c>
      <c r="I1699" t="s">
        <v>7767</v>
      </c>
      <c r="J1699" t="s">
        <v>7768</v>
      </c>
    </row>
    <row r="1700" spans="1:10">
      <c r="A1700" t="s">
        <v>7769</v>
      </c>
      <c r="B1700" t="s">
        <v>7769</v>
      </c>
      <c r="C1700" t="s">
        <v>7770</v>
      </c>
      <c r="D1700">
        <v>7</v>
      </c>
      <c r="E1700" t="s">
        <v>27</v>
      </c>
      <c r="F1700" t="s">
        <v>63</v>
      </c>
      <c r="G1700" s="23">
        <v>41447</v>
      </c>
      <c r="H1700" t="s">
        <v>7771</v>
      </c>
      <c r="I1700" t="s">
        <v>7772</v>
      </c>
      <c r="J1700" t="s">
        <v>7773</v>
      </c>
    </row>
    <row r="1701" spans="1:10">
      <c r="A1701" t="s">
        <v>7774</v>
      </c>
      <c r="B1701" t="s">
        <v>7774</v>
      </c>
      <c r="C1701" t="s">
        <v>5971</v>
      </c>
      <c r="D1701">
        <v>35</v>
      </c>
      <c r="E1701" t="s">
        <v>27</v>
      </c>
      <c r="F1701" t="s">
        <v>63</v>
      </c>
      <c r="G1701" s="23">
        <v>41585</v>
      </c>
      <c r="H1701" t="s">
        <v>7775</v>
      </c>
      <c r="I1701" t="s">
        <v>7776</v>
      </c>
      <c r="J1701" t="s">
        <v>7777</v>
      </c>
    </row>
    <row r="1702" spans="1:10">
      <c r="A1702" t="s">
        <v>7778</v>
      </c>
      <c r="B1702" t="s">
        <v>7778</v>
      </c>
      <c r="C1702" t="s">
        <v>5971</v>
      </c>
      <c r="D1702">
        <v>87</v>
      </c>
      <c r="E1702" t="s">
        <v>31</v>
      </c>
      <c r="F1702" t="s">
        <v>63</v>
      </c>
      <c r="G1702" s="23">
        <v>42316</v>
      </c>
      <c r="H1702" t="s">
        <v>7779</v>
      </c>
      <c r="I1702" t="s">
        <v>7780</v>
      </c>
      <c r="J1702" t="s">
        <v>7781</v>
      </c>
    </row>
    <row r="1703" spans="1:10">
      <c r="A1703" t="s">
        <v>7782</v>
      </c>
      <c r="B1703" t="s">
        <v>7782</v>
      </c>
      <c r="C1703" t="s">
        <v>5375</v>
      </c>
      <c r="D1703">
        <v>69</v>
      </c>
      <c r="E1703" t="s">
        <v>35</v>
      </c>
      <c r="F1703" t="s">
        <v>57</v>
      </c>
      <c r="G1703" s="23">
        <v>44939</v>
      </c>
      <c r="H1703" t="s">
        <v>7783</v>
      </c>
      <c r="I1703" t="s">
        <v>7784</v>
      </c>
      <c r="J1703" t="s">
        <v>7785</v>
      </c>
    </row>
    <row r="1704" spans="1:10">
      <c r="A1704" t="s">
        <v>7786</v>
      </c>
      <c r="B1704" t="s">
        <v>7786</v>
      </c>
      <c r="C1704" t="s">
        <v>7787</v>
      </c>
      <c r="D1704">
        <v>9</v>
      </c>
      <c r="E1704" t="s">
        <v>31</v>
      </c>
      <c r="F1704" t="s">
        <v>63</v>
      </c>
      <c r="G1704" s="23">
        <v>44167</v>
      </c>
      <c r="H1704" t="s">
        <v>7788</v>
      </c>
      <c r="I1704" t="s">
        <v>7789</v>
      </c>
      <c r="J1704" t="s">
        <v>7790</v>
      </c>
    </row>
    <row r="1705" spans="1:10">
      <c r="A1705" t="s">
        <v>7791</v>
      </c>
      <c r="B1705" t="s">
        <v>7791</v>
      </c>
      <c r="C1705" t="s">
        <v>7596</v>
      </c>
      <c r="D1705">
        <v>7</v>
      </c>
      <c r="E1705" t="s">
        <v>36</v>
      </c>
      <c r="F1705" t="s">
        <v>57</v>
      </c>
      <c r="G1705" s="23">
        <v>45377</v>
      </c>
      <c r="H1705" t="s">
        <v>7792</v>
      </c>
      <c r="I1705" t="s">
        <v>7793</v>
      </c>
      <c r="J1705" t="s">
        <v>7794</v>
      </c>
    </row>
    <row r="1706" spans="1:10">
      <c r="A1706" t="s">
        <v>7795</v>
      </c>
      <c r="B1706" t="s">
        <v>7795</v>
      </c>
      <c r="C1706" t="s">
        <v>7796</v>
      </c>
      <c r="D1706">
        <v>7</v>
      </c>
      <c r="E1706" t="s">
        <v>29</v>
      </c>
      <c r="F1706" t="s">
        <v>63</v>
      </c>
      <c r="G1706" s="23">
        <v>46170</v>
      </c>
      <c r="H1706" t="s">
        <v>7797</v>
      </c>
      <c r="I1706" t="s">
        <v>7798</v>
      </c>
      <c r="J1706" t="s">
        <v>7799</v>
      </c>
    </row>
    <row r="1707" spans="1:10">
      <c r="A1707" t="s">
        <v>7800</v>
      </c>
      <c r="B1707" t="s">
        <v>7800</v>
      </c>
      <c r="C1707" t="s">
        <v>7801</v>
      </c>
      <c r="D1707">
        <v>6</v>
      </c>
      <c r="E1707" t="s">
        <v>27</v>
      </c>
      <c r="F1707" t="s">
        <v>63</v>
      </c>
      <c r="G1707" s="23">
        <v>43575</v>
      </c>
      <c r="H1707" t="s">
        <v>7802</v>
      </c>
      <c r="I1707" t="s">
        <v>7803</v>
      </c>
      <c r="J1707" t="s">
        <v>7804</v>
      </c>
    </row>
    <row r="1708" spans="1:10">
      <c r="A1708" t="s">
        <v>7805</v>
      </c>
      <c r="B1708" t="s">
        <v>7805</v>
      </c>
      <c r="C1708" t="s">
        <v>7806</v>
      </c>
      <c r="D1708">
        <v>8</v>
      </c>
      <c r="E1708" t="s">
        <v>29</v>
      </c>
      <c r="F1708" t="s">
        <v>63</v>
      </c>
      <c r="G1708" s="23">
        <v>42267</v>
      </c>
      <c r="H1708" t="s">
        <v>7807</v>
      </c>
      <c r="I1708" t="s">
        <v>7808</v>
      </c>
      <c r="J1708" t="s">
        <v>7809</v>
      </c>
    </row>
    <row r="1709" spans="1:10">
      <c r="A1709" t="s">
        <v>7810</v>
      </c>
      <c r="B1709" t="s">
        <v>7810</v>
      </c>
      <c r="C1709" t="s">
        <v>427</v>
      </c>
      <c r="D1709">
        <v>36</v>
      </c>
      <c r="E1709" t="s">
        <v>34</v>
      </c>
      <c r="F1709" t="s">
        <v>57</v>
      </c>
      <c r="G1709" s="23">
        <v>44517</v>
      </c>
      <c r="H1709" t="s">
        <v>7811</v>
      </c>
      <c r="I1709" t="s">
        <v>7812</v>
      </c>
      <c r="J1709" t="s">
        <v>7813</v>
      </c>
    </row>
    <row r="1710" spans="1:10">
      <c r="A1710" t="s">
        <v>7814</v>
      </c>
      <c r="B1710" t="s">
        <v>7814</v>
      </c>
      <c r="C1710" t="s">
        <v>7815</v>
      </c>
      <c r="D1710">
        <v>6</v>
      </c>
      <c r="E1710" t="s">
        <v>33</v>
      </c>
      <c r="F1710" t="s">
        <v>115</v>
      </c>
      <c r="G1710" s="23">
        <v>45374</v>
      </c>
      <c r="H1710" t="s">
        <v>7816</v>
      </c>
      <c r="I1710" t="s">
        <v>7817</v>
      </c>
      <c r="J1710" t="s">
        <v>7818</v>
      </c>
    </row>
    <row r="1711" spans="1:10">
      <c r="A1711" t="s">
        <v>7819</v>
      </c>
      <c r="B1711" t="s">
        <v>7819</v>
      </c>
      <c r="C1711" t="s">
        <v>7820</v>
      </c>
      <c r="D1711">
        <v>20</v>
      </c>
      <c r="E1711" t="s">
        <v>35</v>
      </c>
      <c r="F1711" t="s">
        <v>57</v>
      </c>
      <c r="G1711" s="23">
        <v>46094</v>
      </c>
      <c r="H1711" t="s">
        <v>7821</v>
      </c>
      <c r="I1711" t="s">
        <v>7822</v>
      </c>
      <c r="J1711" t="s">
        <v>7823</v>
      </c>
    </row>
    <row r="1712" spans="1:10">
      <c r="A1712" t="s">
        <v>7824</v>
      </c>
      <c r="B1712" t="s">
        <v>7824</v>
      </c>
      <c r="C1712" t="s">
        <v>7825</v>
      </c>
      <c r="D1712">
        <v>10</v>
      </c>
      <c r="E1712" t="s">
        <v>31</v>
      </c>
      <c r="F1712" t="s">
        <v>57</v>
      </c>
      <c r="G1712" s="23">
        <v>43921</v>
      </c>
      <c r="H1712" t="s">
        <v>7826</v>
      </c>
      <c r="I1712" t="s">
        <v>7827</v>
      </c>
      <c r="J1712" t="s">
        <v>7828</v>
      </c>
    </row>
    <row r="1713" spans="1:10">
      <c r="A1713" t="s">
        <v>7829</v>
      </c>
      <c r="B1713" t="s">
        <v>7829</v>
      </c>
      <c r="C1713" t="s">
        <v>7830</v>
      </c>
      <c r="D1713">
        <v>15</v>
      </c>
      <c r="E1713" t="s">
        <v>33</v>
      </c>
      <c r="F1713" t="s">
        <v>57</v>
      </c>
      <c r="G1713" s="23">
        <v>44242</v>
      </c>
      <c r="H1713" t="s">
        <v>7831</v>
      </c>
      <c r="I1713" t="s">
        <v>7832</v>
      </c>
      <c r="J1713" t="s">
        <v>7833</v>
      </c>
    </row>
    <row r="1714" spans="1:10">
      <c r="A1714" t="s">
        <v>7834</v>
      </c>
      <c r="B1714" t="s">
        <v>7834</v>
      </c>
      <c r="C1714" t="s">
        <v>7830</v>
      </c>
      <c r="D1714">
        <v>14</v>
      </c>
      <c r="E1714" t="s">
        <v>33</v>
      </c>
      <c r="F1714" t="s">
        <v>57</v>
      </c>
      <c r="G1714" s="23">
        <v>44145</v>
      </c>
      <c r="H1714" t="s">
        <v>7835</v>
      </c>
      <c r="I1714" t="s">
        <v>7836</v>
      </c>
      <c r="J1714" t="s">
        <v>7837</v>
      </c>
    </row>
    <row r="1715" spans="1:10">
      <c r="A1715" t="s">
        <v>7838</v>
      </c>
      <c r="B1715" t="s">
        <v>7838</v>
      </c>
      <c r="C1715" t="s">
        <v>7830</v>
      </c>
      <c r="D1715">
        <v>24</v>
      </c>
      <c r="E1715" t="s">
        <v>33</v>
      </c>
      <c r="F1715" t="s">
        <v>57</v>
      </c>
      <c r="G1715" s="23">
        <v>44669</v>
      </c>
      <c r="H1715" t="s">
        <v>7839</v>
      </c>
      <c r="I1715" t="s">
        <v>7840</v>
      </c>
      <c r="J1715" t="s">
        <v>7841</v>
      </c>
    </row>
    <row r="1716" spans="1:10">
      <c r="A1716" t="s">
        <v>7842</v>
      </c>
      <c r="B1716" t="s">
        <v>7842</v>
      </c>
      <c r="C1716" t="s">
        <v>7843</v>
      </c>
      <c r="D1716">
        <v>30</v>
      </c>
      <c r="E1716" t="s">
        <v>31</v>
      </c>
      <c r="F1716" t="s">
        <v>115</v>
      </c>
      <c r="G1716" s="23">
        <v>44650</v>
      </c>
      <c r="H1716" t="s">
        <v>7844</v>
      </c>
      <c r="I1716" t="s">
        <v>7845</v>
      </c>
      <c r="J1716" t="s">
        <v>7846</v>
      </c>
    </row>
    <row r="1717" spans="1:10">
      <c r="A1717" t="s">
        <v>7847</v>
      </c>
      <c r="B1717" t="s">
        <v>7847</v>
      </c>
      <c r="C1717" t="s">
        <v>7848</v>
      </c>
      <c r="D1717">
        <v>11</v>
      </c>
      <c r="E1717" t="s">
        <v>29</v>
      </c>
      <c r="F1717" t="s">
        <v>63</v>
      </c>
      <c r="G1717" s="23">
        <v>42215</v>
      </c>
      <c r="H1717" t="s">
        <v>7849</v>
      </c>
      <c r="I1717" t="s">
        <v>7850</v>
      </c>
      <c r="J1717" t="s">
        <v>7851</v>
      </c>
    </row>
    <row r="1718" spans="1:10">
      <c r="A1718" t="s">
        <v>7852</v>
      </c>
      <c r="B1718" t="s">
        <v>7852</v>
      </c>
      <c r="C1718" t="s">
        <v>7853</v>
      </c>
      <c r="D1718">
        <v>18</v>
      </c>
      <c r="E1718" t="s">
        <v>34</v>
      </c>
      <c r="F1718" t="s">
        <v>57</v>
      </c>
      <c r="G1718" s="23">
        <v>45547</v>
      </c>
      <c r="H1718" t="s">
        <v>7854</v>
      </c>
      <c r="I1718" t="s">
        <v>7855</v>
      </c>
      <c r="J1718" t="s">
        <v>7856</v>
      </c>
    </row>
    <row r="1719" spans="1:10">
      <c r="A1719" t="s">
        <v>7857</v>
      </c>
      <c r="B1719" t="s">
        <v>7857</v>
      </c>
      <c r="C1719" t="s">
        <v>7858</v>
      </c>
      <c r="D1719">
        <v>8</v>
      </c>
      <c r="E1719" t="s">
        <v>33</v>
      </c>
      <c r="F1719" t="s">
        <v>57</v>
      </c>
      <c r="G1719" s="23">
        <v>45202</v>
      </c>
      <c r="H1719" t="s">
        <v>7859</v>
      </c>
      <c r="I1719" t="s">
        <v>7860</v>
      </c>
      <c r="J1719" t="s">
        <v>7861</v>
      </c>
    </row>
    <row r="1720" spans="1:10">
      <c r="A1720" t="s">
        <v>7862</v>
      </c>
      <c r="B1720" t="s">
        <v>7862</v>
      </c>
      <c r="C1720" t="s">
        <v>2573</v>
      </c>
      <c r="D1720">
        <v>16</v>
      </c>
      <c r="E1720" t="s">
        <v>35</v>
      </c>
      <c r="F1720" t="s">
        <v>57</v>
      </c>
      <c r="G1720" s="23">
        <v>44804</v>
      </c>
      <c r="H1720" t="s">
        <v>7863</v>
      </c>
      <c r="I1720" t="s">
        <v>7864</v>
      </c>
      <c r="J1720" t="s">
        <v>7865</v>
      </c>
    </row>
    <row r="1721" spans="1:10">
      <c r="A1721" t="s">
        <v>7866</v>
      </c>
      <c r="B1721" t="s">
        <v>7866</v>
      </c>
      <c r="C1721" t="s">
        <v>3247</v>
      </c>
      <c r="D1721">
        <v>15</v>
      </c>
      <c r="E1721" t="s">
        <v>33</v>
      </c>
      <c r="F1721" t="s">
        <v>57</v>
      </c>
      <c r="G1721" s="23">
        <v>45455</v>
      </c>
      <c r="H1721" t="s">
        <v>7867</v>
      </c>
      <c r="I1721" t="s">
        <v>7868</v>
      </c>
      <c r="J1721" t="s">
        <v>7869</v>
      </c>
    </row>
    <row r="1722" spans="1:10">
      <c r="A1722" t="s">
        <v>7870</v>
      </c>
      <c r="B1722" t="s">
        <v>7870</v>
      </c>
      <c r="C1722" t="s">
        <v>7530</v>
      </c>
      <c r="D1722">
        <v>30</v>
      </c>
      <c r="E1722" t="s">
        <v>35</v>
      </c>
      <c r="F1722" t="s">
        <v>57</v>
      </c>
      <c r="G1722" s="23">
        <v>43303</v>
      </c>
      <c r="H1722" t="s">
        <v>7871</v>
      </c>
      <c r="I1722" t="s">
        <v>7872</v>
      </c>
      <c r="J1722" t="s">
        <v>7873</v>
      </c>
    </row>
    <row r="1723" spans="1:10">
      <c r="A1723" t="s">
        <v>7874</v>
      </c>
      <c r="B1723" t="s">
        <v>7874</v>
      </c>
      <c r="C1723" t="s">
        <v>7875</v>
      </c>
      <c r="D1723">
        <v>113</v>
      </c>
      <c r="E1723" t="s">
        <v>33</v>
      </c>
      <c r="F1723" t="s">
        <v>63</v>
      </c>
      <c r="G1723" s="23">
        <v>42320</v>
      </c>
      <c r="H1723" t="s">
        <v>7876</v>
      </c>
      <c r="I1723" t="s">
        <v>7877</v>
      </c>
      <c r="J1723" t="s">
        <v>7878</v>
      </c>
    </row>
    <row r="1724" spans="1:10">
      <c r="A1724" t="s">
        <v>7879</v>
      </c>
      <c r="B1724" t="s">
        <v>7879</v>
      </c>
      <c r="C1724" t="s">
        <v>7880</v>
      </c>
      <c r="D1724">
        <v>22</v>
      </c>
      <c r="E1724" t="s">
        <v>34</v>
      </c>
      <c r="F1724" t="s">
        <v>57</v>
      </c>
      <c r="G1724" s="23">
        <v>44672</v>
      </c>
      <c r="H1724" t="s">
        <v>7881</v>
      </c>
      <c r="I1724" t="s">
        <v>7882</v>
      </c>
      <c r="J1724" t="s">
        <v>7883</v>
      </c>
    </row>
    <row r="1725" spans="1:10">
      <c r="A1725" t="s">
        <v>7884</v>
      </c>
      <c r="B1725" t="s">
        <v>7884</v>
      </c>
      <c r="C1725" t="s">
        <v>3769</v>
      </c>
      <c r="D1725">
        <v>25</v>
      </c>
      <c r="E1725" t="s">
        <v>34</v>
      </c>
      <c r="F1725" t="s">
        <v>57</v>
      </c>
      <c r="G1725" s="23">
        <v>43499</v>
      </c>
      <c r="H1725" t="s">
        <v>7885</v>
      </c>
      <c r="I1725" t="s">
        <v>7886</v>
      </c>
      <c r="J1725" t="s">
        <v>7887</v>
      </c>
    </row>
    <row r="1726" spans="1:10">
      <c r="A1726" t="s">
        <v>7888</v>
      </c>
      <c r="B1726" t="s">
        <v>7888</v>
      </c>
      <c r="C1726" t="s">
        <v>7889</v>
      </c>
      <c r="D1726">
        <v>13</v>
      </c>
      <c r="E1726" t="s">
        <v>33</v>
      </c>
      <c r="F1726" t="s">
        <v>57</v>
      </c>
      <c r="G1726" s="23">
        <v>44163</v>
      </c>
      <c r="H1726" t="s">
        <v>7890</v>
      </c>
      <c r="I1726" t="s">
        <v>7891</v>
      </c>
      <c r="J1726" t="s">
        <v>7892</v>
      </c>
    </row>
    <row r="1727" spans="1:10">
      <c r="A1727" t="s">
        <v>7893</v>
      </c>
      <c r="B1727" t="s">
        <v>7893</v>
      </c>
      <c r="C1727" t="s">
        <v>7894</v>
      </c>
      <c r="D1727">
        <v>9</v>
      </c>
      <c r="E1727" t="s">
        <v>29</v>
      </c>
      <c r="F1727" t="s">
        <v>63</v>
      </c>
      <c r="G1727" s="23">
        <v>42114</v>
      </c>
      <c r="H1727" t="s">
        <v>7895</v>
      </c>
      <c r="I1727" t="s">
        <v>7896</v>
      </c>
      <c r="J1727" t="s">
        <v>7897</v>
      </c>
    </row>
    <row r="1728" spans="1:10">
      <c r="A1728" t="s">
        <v>7898</v>
      </c>
      <c r="B1728" t="s">
        <v>7898</v>
      </c>
      <c r="C1728" t="s">
        <v>278</v>
      </c>
      <c r="D1728">
        <v>14</v>
      </c>
      <c r="E1728" t="s">
        <v>31</v>
      </c>
      <c r="F1728" t="s">
        <v>57</v>
      </c>
      <c r="G1728" s="23">
        <v>44247</v>
      </c>
      <c r="H1728" t="s">
        <v>7899</v>
      </c>
      <c r="I1728" t="s">
        <v>7900</v>
      </c>
      <c r="J1728" t="s">
        <v>7901</v>
      </c>
    </row>
    <row r="1729" spans="1:10">
      <c r="A1729" t="s">
        <v>7902</v>
      </c>
      <c r="B1729" t="s">
        <v>7902</v>
      </c>
      <c r="C1729" t="s">
        <v>278</v>
      </c>
      <c r="D1729">
        <v>24</v>
      </c>
      <c r="E1729" t="s">
        <v>31</v>
      </c>
      <c r="F1729" t="s">
        <v>57</v>
      </c>
      <c r="G1729" s="23">
        <v>44372</v>
      </c>
      <c r="H1729" t="s">
        <v>7903</v>
      </c>
      <c r="I1729" t="s">
        <v>7904</v>
      </c>
      <c r="J1729" t="s">
        <v>7905</v>
      </c>
    </row>
    <row r="1730" spans="1:10">
      <c r="A1730" t="s">
        <v>7906</v>
      </c>
      <c r="B1730" t="s">
        <v>7906</v>
      </c>
      <c r="C1730" t="s">
        <v>278</v>
      </c>
      <c r="D1730">
        <v>29</v>
      </c>
      <c r="E1730" t="s">
        <v>31</v>
      </c>
      <c r="F1730" t="s">
        <v>57</v>
      </c>
      <c r="G1730" s="23">
        <v>44601</v>
      </c>
      <c r="H1730" t="s">
        <v>7907</v>
      </c>
      <c r="I1730" t="s">
        <v>7908</v>
      </c>
      <c r="J1730" t="s">
        <v>7909</v>
      </c>
    </row>
    <row r="1731" spans="1:10">
      <c r="A1731" t="s">
        <v>7910</v>
      </c>
      <c r="B1731" t="s">
        <v>7910</v>
      </c>
      <c r="C1731" t="s">
        <v>2062</v>
      </c>
      <c r="D1731">
        <v>19</v>
      </c>
      <c r="E1731" t="s">
        <v>33</v>
      </c>
      <c r="F1731" t="s">
        <v>63</v>
      </c>
      <c r="G1731" s="23">
        <v>43798</v>
      </c>
      <c r="H1731" t="s">
        <v>7911</v>
      </c>
      <c r="I1731" t="s">
        <v>7912</v>
      </c>
      <c r="J1731" t="s">
        <v>7913</v>
      </c>
    </row>
    <row r="1732" spans="1:10">
      <c r="A1732" t="s">
        <v>7914</v>
      </c>
      <c r="B1732" t="s">
        <v>7914</v>
      </c>
      <c r="C1732" t="s">
        <v>5651</v>
      </c>
      <c r="D1732">
        <v>1</v>
      </c>
      <c r="E1732" t="s">
        <v>31</v>
      </c>
      <c r="F1732" t="s">
        <v>571</v>
      </c>
      <c r="G1732" s="23">
        <v>42583</v>
      </c>
      <c r="H1732" t="s">
        <v>7915</v>
      </c>
      <c r="I1732" t="s">
        <v>7916</v>
      </c>
      <c r="J1732" t="s">
        <v>7917</v>
      </c>
    </row>
    <row r="1733" spans="1:10">
      <c r="A1733" t="s">
        <v>7918</v>
      </c>
      <c r="B1733" t="s">
        <v>7918</v>
      </c>
      <c r="C1733" t="s">
        <v>5651</v>
      </c>
      <c r="D1733">
        <v>3</v>
      </c>
      <c r="E1733" t="s">
        <v>31</v>
      </c>
      <c r="F1733" t="s">
        <v>571</v>
      </c>
      <c r="G1733" s="23">
        <v>43350</v>
      </c>
      <c r="H1733" t="s">
        <v>7919</v>
      </c>
      <c r="I1733" t="s">
        <v>7920</v>
      </c>
      <c r="J1733" t="s">
        <v>7921</v>
      </c>
    </row>
    <row r="1734" spans="1:10">
      <c r="A1734" t="s">
        <v>7922</v>
      </c>
      <c r="B1734" t="s">
        <v>7922</v>
      </c>
      <c r="C1734" t="s">
        <v>7923</v>
      </c>
      <c r="D1734">
        <v>24</v>
      </c>
      <c r="E1734" t="s">
        <v>34</v>
      </c>
      <c r="F1734" t="s">
        <v>57</v>
      </c>
      <c r="G1734" s="23">
        <v>43466</v>
      </c>
      <c r="H1734" t="s">
        <v>7924</v>
      </c>
      <c r="I1734" t="s">
        <v>7925</v>
      </c>
      <c r="J1734" t="s">
        <v>7926</v>
      </c>
    </row>
    <row r="1735" spans="1:10">
      <c r="A1735" t="s">
        <v>7927</v>
      </c>
      <c r="B1735" t="s">
        <v>7927</v>
      </c>
      <c r="C1735" t="s">
        <v>3395</v>
      </c>
      <c r="D1735">
        <v>8</v>
      </c>
      <c r="E1735" t="s">
        <v>33</v>
      </c>
      <c r="F1735" t="s">
        <v>57</v>
      </c>
      <c r="G1735" s="23">
        <v>45725</v>
      </c>
      <c r="H1735" t="s">
        <v>7928</v>
      </c>
      <c r="I1735" t="s">
        <v>7929</v>
      </c>
      <c r="J1735" t="s">
        <v>7930</v>
      </c>
    </row>
    <row r="1736" spans="1:10">
      <c r="A1736" t="s">
        <v>7931</v>
      </c>
      <c r="B1736" t="s">
        <v>7931</v>
      </c>
      <c r="C1736" t="s">
        <v>3395</v>
      </c>
      <c r="D1736">
        <v>11</v>
      </c>
      <c r="E1736" t="s">
        <v>33</v>
      </c>
      <c r="F1736" t="s">
        <v>57</v>
      </c>
      <c r="G1736" s="23">
        <v>45750</v>
      </c>
      <c r="H1736" t="s">
        <v>7932</v>
      </c>
      <c r="I1736" t="s">
        <v>7933</v>
      </c>
      <c r="J1736" t="s">
        <v>7934</v>
      </c>
    </row>
    <row r="1737" spans="1:10">
      <c r="A1737" t="s">
        <v>7935</v>
      </c>
      <c r="B1737" t="s">
        <v>7935</v>
      </c>
      <c r="C1737" t="s">
        <v>3395</v>
      </c>
      <c r="D1737">
        <v>15</v>
      </c>
      <c r="E1737" t="s">
        <v>34</v>
      </c>
      <c r="F1737" t="s">
        <v>57</v>
      </c>
      <c r="G1737" s="23">
        <v>45814</v>
      </c>
      <c r="H1737" t="s">
        <v>7936</v>
      </c>
      <c r="I1737" t="s">
        <v>7937</v>
      </c>
      <c r="J1737" t="s">
        <v>7938</v>
      </c>
    </row>
    <row r="1738" spans="1:10">
      <c r="A1738" t="s">
        <v>7939</v>
      </c>
      <c r="B1738" t="s">
        <v>7939</v>
      </c>
      <c r="C1738" t="s">
        <v>7940</v>
      </c>
      <c r="D1738">
        <v>0</v>
      </c>
      <c r="E1738" t="s">
        <v>27</v>
      </c>
      <c r="F1738" t="s">
        <v>63</v>
      </c>
      <c r="G1738" s="23">
        <v>42222</v>
      </c>
      <c r="H1738" t="s">
        <v>7941</v>
      </c>
      <c r="I1738" t="s">
        <v>7942</v>
      </c>
      <c r="J1738" t="s">
        <v>7943</v>
      </c>
    </row>
    <row r="1739" spans="1:10">
      <c r="A1739" t="s">
        <v>7944</v>
      </c>
      <c r="B1739" t="s">
        <v>7944</v>
      </c>
      <c r="C1739" t="s">
        <v>7945</v>
      </c>
      <c r="D1739">
        <v>8</v>
      </c>
      <c r="E1739" t="s">
        <v>27</v>
      </c>
      <c r="F1739" t="s">
        <v>63</v>
      </c>
      <c r="G1739" s="23">
        <v>42338</v>
      </c>
      <c r="H1739" t="s">
        <v>7946</v>
      </c>
      <c r="I1739" t="s">
        <v>7947</v>
      </c>
      <c r="J1739" t="s">
        <v>7948</v>
      </c>
    </row>
    <row r="1740" spans="1:10">
      <c r="A1740" t="s">
        <v>7949</v>
      </c>
      <c r="B1740" t="s">
        <v>7949</v>
      </c>
      <c r="C1740" t="s">
        <v>370</v>
      </c>
      <c r="D1740">
        <v>14</v>
      </c>
      <c r="E1740" t="s">
        <v>33</v>
      </c>
      <c r="F1740" t="s">
        <v>57</v>
      </c>
      <c r="G1740" s="23">
        <v>43881</v>
      </c>
      <c r="H1740" t="s">
        <v>7950</v>
      </c>
      <c r="I1740" t="s">
        <v>7951</v>
      </c>
      <c r="J1740" t="s">
        <v>7952</v>
      </c>
    </row>
    <row r="1741" spans="1:10">
      <c r="A1741" t="s">
        <v>7953</v>
      </c>
      <c r="B1741" t="s">
        <v>7953</v>
      </c>
      <c r="C1741" t="s">
        <v>7954</v>
      </c>
      <c r="D1741">
        <v>16</v>
      </c>
      <c r="E1741" t="s">
        <v>34</v>
      </c>
      <c r="F1741" t="s">
        <v>57</v>
      </c>
      <c r="G1741" s="23">
        <v>45473</v>
      </c>
      <c r="H1741" t="s">
        <v>7955</v>
      </c>
      <c r="I1741" t="s">
        <v>7956</v>
      </c>
      <c r="J1741" t="s">
        <v>7957</v>
      </c>
    </row>
    <row r="1742" spans="1:10">
      <c r="A1742" t="s">
        <v>7958</v>
      </c>
      <c r="B1742" t="s">
        <v>7958</v>
      </c>
      <c r="C1742" t="s">
        <v>7959</v>
      </c>
      <c r="D1742">
        <v>21</v>
      </c>
      <c r="E1742" t="s">
        <v>29</v>
      </c>
      <c r="F1742" t="s">
        <v>63</v>
      </c>
      <c r="G1742" s="23">
        <v>45948</v>
      </c>
      <c r="H1742" t="s">
        <v>7960</v>
      </c>
      <c r="I1742" t="s">
        <v>7961</v>
      </c>
      <c r="J1742" t="s">
        <v>7962</v>
      </c>
    </row>
    <row r="1743" spans="1:10">
      <c r="A1743" t="s">
        <v>7963</v>
      </c>
      <c r="B1743" t="s">
        <v>7963</v>
      </c>
      <c r="C1743" t="s">
        <v>1389</v>
      </c>
      <c r="D1743">
        <v>19</v>
      </c>
      <c r="E1743" t="s">
        <v>33</v>
      </c>
      <c r="F1743" t="s">
        <v>57</v>
      </c>
      <c r="G1743" s="23">
        <v>45182</v>
      </c>
      <c r="H1743" t="s">
        <v>7964</v>
      </c>
      <c r="I1743" t="s">
        <v>7965</v>
      </c>
      <c r="J1743" t="s">
        <v>7966</v>
      </c>
    </row>
    <row r="1744" spans="1:10">
      <c r="A1744" t="s">
        <v>7967</v>
      </c>
      <c r="B1744" t="s">
        <v>7967</v>
      </c>
      <c r="C1744" t="s">
        <v>7968</v>
      </c>
      <c r="D1744">
        <v>17</v>
      </c>
      <c r="E1744" t="s">
        <v>29</v>
      </c>
      <c r="F1744" t="s">
        <v>63</v>
      </c>
      <c r="G1744" s="23">
        <v>43181</v>
      </c>
      <c r="H1744" t="s">
        <v>7969</v>
      </c>
      <c r="I1744" t="s">
        <v>7970</v>
      </c>
      <c r="J1744" t="s">
        <v>7971</v>
      </c>
    </row>
    <row r="1745" spans="1:10">
      <c r="A1745" t="s">
        <v>7972</v>
      </c>
      <c r="B1745" t="s">
        <v>7972</v>
      </c>
      <c r="C1745" t="s">
        <v>1575</v>
      </c>
      <c r="D1745">
        <v>17</v>
      </c>
      <c r="E1745" t="s">
        <v>34</v>
      </c>
      <c r="F1745" t="s">
        <v>57</v>
      </c>
      <c r="G1745" s="23">
        <v>44263</v>
      </c>
      <c r="H1745" t="s">
        <v>7973</v>
      </c>
      <c r="I1745" t="s">
        <v>7974</v>
      </c>
      <c r="J1745" t="s">
        <v>7975</v>
      </c>
    </row>
    <row r="1746" spans="1:10">
      <c r="A1746" t="s">
        <v>7976</v>
      </c>
      <c r="B1746" t="s">
        <v>7976</v>
      </c>
      <c r="C1746" t="s">
        <v>7977</v>
      </c>
      <c r="D1746">
        <v>28</v>
      </c>
      <c r="E1746" t="s">
        <v>31</v>
      </c>
      <c r="F1746" t="s">
        <v>63</v>
      </c>
      <c r="G1746" s="23">
        <v>44850</v>
      </c>
      <c r="H1746" t="s">
        <v>7978</v>
      </c>
      <c r="I1746" t="s">
        <v>7979</v>
      </c>
      <c r="J1746" t="s">
        <v>7980</v>
      </c>
    </row>
    <row r="1747" spans="1:10">
      <c r="A1747" t="s">
        <v>7981</v>
      </c>
      <c r="B1747" t="s">
        <v>7981</v>
      </c>
      <c r="C1747" t="s">
        <v>7982</v>
      </c>
      <c r="D1747">
        <v>6</v>
      </c>
      <c r="E1747" t="s">
        <v>31</v>
      </c>
      <c r="F1747" t="s">
        <v>63</v>
      </c>
      <c r="G1747" s="23">
        <v>42047</v>
      </c>
      <c r="H1747" t="s">
        <v>7983</v>
      </c>
      <c r="I1747" t="s">
        <v>7984</v>
      </c>
      <c r="J1747" t="s">
        <v>7985</v>
      </c>
    </row>
    <row r="1748" spans="1:10">
      <c r="A1748" t="s">
        <v>7986</v>
      </c>
      <c r="B1748" t="s">
        <v>7986</v>
      </c>
      <c r="C1748" t="s">
        <v>7987</v>
      </c>
      <c r="D1748">
        <v>9</v>
      </c>
      <c r="E1748" t="s">
        <v>29</v>
      </c>
      <c r="F1748" t="s">
        <v>63</v>
      </c>
      <c r="G1748" s="23">
        <v>42223</v>
      </c>
      <c r="H1748" t="s">
        <v>7988</v>
      </c>
      <c r="I1748" t="s">
        <v>7989</v>
      </c>
      <c r="J1748" t="s">
        <v>7990</v>
      </c>
    </row>
    <row r="1749" spans="1:10">
      <c r="A1749" t="s">
        <v>7991</v>
      </c>
      <c r="B1749" t="s">
        <v>7991</v>
      </c>
      <c r="C1749" t="s">
        <v>7992</v>
      </c>
      <c r="D1749">
        <v>120</v>
      </c>
      <c r="E1749" t="s">
        <v>33</v>
      </c>
      <c r="F1749" t="s">
        <v>63</v>
      </c>
      <c r="G1749" s="23">
        <v>42213</v>
      </c>
      <c r="H1749" t="s">
        <v>7993</v>
      </c>
      <c r="I1749" t="s">
        <v>7994</v>
      </c>
      <c r="J1749" t="s">
        <v>7995</v>
      </c>
    </row>
    <row r="1750" spans="1:10">
      <c r="A1750" t="s">
        <v>7996</v>
      </c>
      <c r="B1750" t="s">
        <v>7996</v>
      </c>
      <c r="C1750" t="s">
        <v>7997</v>
      </c>
      <c r="D1750">
        <v>17</v>
      </c>
      <c r="E1750" t="s">
        <v>34</v>
      </c>
      <c r="F1750" t="s">
        <v>57</v>
      </c>
      <c r="G1750" s="23">
        <v>43388</v>
      </c>
      <c r="H1750" t="s">
        <v>7998</v>
      </c>
      <c r="I1750" t="s">
        <v>7999</v>
      </c>
      <c r="J1750" t="s">
        <v>8000</v>
      </c>
    </row>
    <row r="1751" spans="1:10">
      <c r="A1751" t="s">
        <v>8001</v>
      </c>
      <c r="B1751" t="s">
        <v>8001</v>
      </c>
      <c r="C1751" t="s">
        <v>7825</v>
      </c>
      <c r="D1751">
        <v>21</v>
      </c>
      <c r="E1751" t="s">
        <v>31</v>
      </c>
      <c r="F1751" t="s">
        <v>57</v>
      </c>
      <c r="G1751" s="23">
        <v>44584</v>
      </c>
      <c r="H1751" t="s">
        <v>8002</v>
      </c>
      <c r="I1751" t="s">
        <v>8003</v>
      </c>
      <c r="J1751" t="s">
        <v>8004</v>
      </c>
    </row>
    <row r="1752" spans="1:10">
      <c r="A1752" t="s">
        <v>8005</v>
      </c>
      <c r="B1752" t="s">
        <v>8005</v>
      </c>
      <c r="C1752" t="s">
        <v>718</v>
      </c>
      <c r="D1752">
        <v>32</v>
      </c>
      <c r="E1752" t="s">
        <v>33</v>
      </c>
      <c r="F1752" t="s">
        <v>57</v>
      </c>
      <c r="G1752" s="23">
        <v>43349</v>
      </c>
      <c r="H1752" t="s">
        <v>8006</v>
      </c>
      <c r="I1752" t="s">
        <v>8007</v>
      </c>
      <c r="J1752" t="s">
        <v>8008</v>
      </c>
    </row>
    <row r="1753" spans="1:10">
      <c r="A1753" t="s">
        <v>8009</v>
      </c>
      <c r="B1753" t="s">
        <v>8009</v>
      </c>
      <c r="C1753" t="s">
        <v>3373</v>
      </c>
      <c r="D1753">
        <v>19</v>
      </c>
      <c r="E1753" t="s">
        <v>35</v>
      </c>
      <c r="F1753" t="s">
        <v>57</v>
      </c>
      <c r="G1753" s="23">
        <v>45927</v>
      </c>
      <c r="H1753" t="s">
        <v>8010</v>
      </c>
      <c r="I1753" t="s">
        <v>8011</v>
      </c>
      <c r="J1753" t="s">
        <v>8012</v>
      </c>
    </row>
    <row r="1754" spans="1:10">
      <c r="A1754" t="s">
        <v>8013</v>
      </c>
      <c r="B1754" t="s">
        <v>8013</v>
      </c>
      <c r="C1754" t="s">
        <v>3373</v>
      </c>
      <c r="D1754">
        <v>21</v>
      </c>
      <c r="E1754" t="s">
        <v>35</v>
      </c>
      <c r="F1754" t="s">
        <v>57</v>
      </c>
      <c r="G1754" s="23">
        <v>45969</v>
      </c>
      <c r="H1754" t="s">
        <v>8014</v>
      </c>
      <c r="I1754" t="s">
        <v>8015</v>
      </c>
      <c r="J1754" t="s">
        <v>8016</v>
      </c>
    </row>
    <row r="1755" spans="1:10">
      <c r="A1755" t="s">
        <v>8017</v>
      </c>
      <c r="B1755" t="s">
        <v>8017</v>
      </c>
      <c r="C1755" t="s">
        <v>3373</v>
      </c>
      <c r="D1755">
        <v>28</v>
      </c>
      <c r="E1755" t="s">
        <v>36</v>
      </c>
      <c r="F1755" t="s">
        <v>57</v>
      </c>
      <c r="G1755" s="23">
        <v>46005</v>
      </c>
      <c r="H1755" t="s">
        <v>8018</v>
      </c>
      <c r="I1755" t="s">
        <v>8019</v>
      </c>
      <c r="J1755" t="s">
        <v>8020</v>
      </c>
    </row>
    <row r="1756" spans="1:10">
      <c r="A1756" t="s">
        <v>8021</v>
      </c>
      <c r="B1756" t="s">
        <v>8021</v>
      </c>
      <c r="C1756" t="s">
        <v>8022</v>
      </c>
      <c r="D1756">
        <v>12</v>
      </c>
      <c r="E1756" t="s">
        <v>33</v>
      </c>
      <c r="F1756" t="s">
        <v>57</v>
      </c>
      <c r="G1756" s="23">
        <v>43994</v>
      </c>
      <c r="H1756" t="s">
        <v>8023</v>
      </c>
      <c r="I1756" t="s">
        <v>8024</v>
      </c>
      <c r="J1756" t="s">
        <v>8025</v>
      </c>
    </row>
    <row r="1757" spans="1:10">
      <c r="A1757" t="s">
        <v>8026</v>
      </c>
      <c r="B1757" t="s">
        <v>8026</v>
      </c>
      <c r="C1757" t="s">
        <v>8027</v>
      </c>
      <c r="D1757">
        <v>10</v>
      </c>
      <c r="E1757" t="s">
        <v>31</v>
      </c>
      <c r="F1757" t="s">
        <v>63</v>
      </c>
      <c r="G1757" s="23">
        <v>46066</v>
      </c>
      <c r="H1757" t="s">
        <v>8028</v>
      </c>
      <c r="I1757" t="s">
        <v>8029</v>
      </c>
      <c r="J1757" t="s">
        <v>8030</v>
      </c>
    </row>
    <row r="1758" spans="1:10">
      <c r="A1758" t="s">
        <v>8031</v>
      </c>
      <c r="B1758" t="s">
        <v>8031</v>
      </c>
      <c r="C1758" t="s">
        <v>8032</v>
      </c>
      <c r="D1758">
        <v>4</v>
      </c>
      <c r="E1758" t="s">
        <v>33</v>
      </c>
      <c r="F1758" t="s">
        <v>57</v>
      </c>
      <c r="G1758" s="23">
        <v>43290</v>
      </c>
      <c r="H1758" t="s">
        <v>8033</v>
      </c>
      <c r="I1758" t="s">
        <v>8034</v>
      </c>
      <c r="J1758" t="s">
        <v>8035</v>
      </c>
    </row>
    <row r="1759" spans="1:10">
      <c r="A1759" t="s">
        <v>8036</v>
      </c>
      <c r="B1759" t="s">
        <v>8036</v>
      </c>
      <c r="C1759" t="s">
        <v>1389</v>
      </c>
      <c r="D1759">
        <v>5</v>
      </c>
      <c r="E1759" t="s">
        <v>31</v>
      </c>
      <c r="F1759" t="s">
        <v>57</v>
      </c>
      <c r="G1759" s="23">
        <v>45704</v>
      </c>
      <c r="H1759" t="s">
        <v>8037</v>
      </c>
      <c r="I1759" t="s">
        <v>8038</v>
      </c>
      <c r="J1759" t="s">
        <v>8039</v>
      </c>
    </row>
    <row r="1760" spans="1:10">
      <c r="A1760" t="s">
        <v>8040</v>
      </c>
      <c r="B1760" t="s">
        <v>8040</v>
      </c>
      <c r="C1760" t="s">
        <v>8041</v>
      </c>
      <c r="D1760">
        <v>35</v>
      </c>
      <c r="E1760" t="s">
        <v>31</v>
      </c>
      <c r="F1760" t="s">
        <v>63</v>
      </c>
      <c r="G1760" s="23">
        <v>44044</v>
      </c>
      <c r="H1760" t="s">
        <v>8042</v>
      </c>
      <c r="I1760" t="s">
        <v>8043</v>
      </c>
      <c r="J1760" t="s">
        <v>8044</v>
      </c>
    </row>
    <row r="1761" spans="1:10">
      <c r="A1761" t="s">
        <v>8045</v>
      </c>
      <c r="B1761" t="s">
        <v>8045</v>
      </c>
      <c r="C1761" t="s">
        <v>6085</v>
      </c>
      <c r="D1761">
        <v>24</v>
      </c>
      <c r="E1761" t="s">
        <v>29</v>
      </c>
      <c r="F1761" t="s">
        <v>63</v>
      </c>
      <c r="G1761" s="23">
        <v>41572</v>
      </c>
      <c r="H1761" t="s">
        <v>8046</v>
      </c>
      <c r="I1761" t="s">
        <v>8047</v>
      </c>
      <c r="J1761" t="s">
        <v>8048</v>
      </c>
    </row>
    <row r="1762" spans="1:10">
      <c r="A1762" t="s">
        <v>8049</v>
      </c>
      <c r="B1762" t="s">
        <v>8049</v>
      </c>
      <c r="C1762" t="s">
        <v>8050</v>
      </c>
      <c r="D1762">
        <v>20</v>
      </c>
      <c r="E1762" t="s">
        <v>29</v>
      </c>
      <c r="F1762" t="s">
        <v>63</v>
      </c>
      <c r="G1762" s="23">
        <v>42222</v>
      </c>
      <c r="H1762" t="s">
        <v>8051</v>
      </c>
      <c r="I1762" t="s">
        <v>8052</v>
      </c>
      <c r="J1762" t="s">
        <v>8053</v>
      </c>
    </row>
    <row r="1763" spans="1:10">
      <c r="A1763" t="s">
        <v>8054</v>
      </c>
      <c r="B1763" t="s">
        <v>8054</v>
      </c>
      <c r="C1763" t="s">
        <v>8055</v>
      </c>
      <c r="D1763">
        <v>13</v>
      </c>
      <c r="E1763" t="s">
        <v>31</v>
      </c>
      <c r="F1763" t="s">
        <v>63</v>
      </c>
      <c r="G1763" s="23">
        <v>42271</v>
      </c>
      <c r="H1763" t="s">
        <v>8056</v>
      </c>
      <c r="I1763" t="s">
        <v>8057</v>
      </c>
      <c r="J1763" t="s">
        <v>8058</v>
      </c>
    </row>
    <row r="1764" spans="1:10">
      <c r="A1764" t="s">
        <v>8059</v>
      </c>
      <c r="B1764" t="s">
        <v>8059</v>
      </c>
      <c r="C1764" t="s">
        <v>1731</v>
      </c>
      <c r="D1764">
        <v>15</v>
      </c>
      <c r="E1764" t="s">
        <v>35</v>
      </c>
      <c r="F1764" t="s">
        <v>57</v>
      </c>
      <c r="G1764" s="23">
        <v>43582</v>
      </c>
      <c r="H1764" t="s">
        <v>8060</v>
      </c>
      <c r="I1764" t="s">
        <v>8061</v>
      </c>
      <c r="J1764" t="s">
        <v>8062</v>
      </c>
    </row>
    <row r="1765" spans="1:10">
      <c r="A1765" t="s">
        <v>8063</v>
      </c>
      <c r="B1765" t="s">
        <v>8063</v>
      </c>
      <c r="C1765" t="s">
        <v>8064</v>
      </c>
      <c r="D1765">
        <v>3</v>
      </c>
      <c r="E1765" t="s">
        <v>31</v>
      </c>
      <c r="F1765" t="s">
        <v>57</v>
      </c>
      <c r="G1765" s="23">
        <v>44254</v>
      </c>
      <c r="H1765" t="s">
        <v>8065</v>
      </c>
      <c r="I1765" t="s">
        <v>8066</v>
      </c>
      <c r="J1765" t="s">
        <v>8067</v>
      </c>
    </row>
    <row r="1766" spans="1:10">
      <c r="A1766" t="s">
        <v>8068</v>
      </c>
      <c r="B1766" t="s">
        <v>8068</v>
      </c>
      <c r="C1766" t="s">
        <v>1819</v>
      </c>
      <c r="D1766">
        <v>22</v>
      </c>
      <c r="E1766" t="s">
        <v>29</v>
      </c>
      <c r="F1766" t="s">
        <v>63</v>
      </c>
      <c r="G1766" s="23">
        <v>42983</v>
      </c>
      <c r="H1766" t="s">
        <v>8069</v>
      </c>
      <c r="I1766" t="s">
        <v>8070</v>
      </c>
      <c r="J1766" t="s">
        <v>8071</v>
      </c>
    </row>
    <row r="1767" spans="1:10">
      <c r="A1767" t="s">
        <v>8072</v>
      </c>
      <c r="B1767" t="s">
        <v>8072</v>
      </c>
      <c r="C1767" t="s">
        <v>8073</v>
      </c>
      <c r="D1767">
        <v>1</v>
      </c>
      <c r="E1767" t="s">
        <v>29</v>
      </c>
      <c r="F1767" t="s">
        <v>63</v>
      </c>
      <c r="G1767" s="23">
        <v>46028</v>
      </c>
      <c r="H1767" t="s">
        <v>8074</v>
      </c>
      <c r="I1767" t="s">
        <v>8075</v>
      </c>
      <c r="J1767" t="s">
        <v>8076</v>
      </c>
    </row>
    <row r="1768" spans="1:10">
      <c r="A1768" t="s">
        <v>8077</v>
      </c>
      <c r="B1768" t="s">
        <v>8077</v>
      </c>
      <c r="C1768" t="s">
        <v>8078</v>
      </c>
      <c r="D1768">
        <v>20</v>
      </c>
      <c r="E1768" t="s">
        <v>34</v>
      </c>
      <c r="F1768" t="s">
        <v>57</v>
      </c>
      <c r="G1768" s="23">
        <v>44757</v>
      </c>
      <c r="H1768" t="s">
        <v>8079</v>
      </c>
      <c r="I1768" t="s">
        <v>8080</v>
      </c>
      <c r="J1768" t="s">
        <v>8081</v>
      </c>
    </row>
    <row r="1769" spans="1:10">
      <c r="A1769" t="s">
        <v>8082</v>
      </c>
      <c r="B1769" t="s">
        <v>8082</v>
      </c>
      <c r="C1769" t="s">
        <v>8078</v>
      </c>
      <c r="D1769">
        <v>23</v>
      </c>
      <c r="E1769" t="s">
        <v>34</v>
      </c>
      <c r="F1769" t="s">
        <v>57</v>
      </c>
      <c r="G1769" s="23">
        <v>46089</v>
      </c>
      <c r="H1769" t="s">
        <v>8083</v>
      </c>
      <c r="I1769" t="s">
        <v>8084</v>
      </c>
      <c r="J1769" t="s">
        <v>8085</v>
      </c>
    </row>
    <row r="1770" spans="1:10">
      <c r="A1770" t="s">
        <v>8086</v>
      </c>
      <c r="B1770" t="s">
        <v>8086</v>
      </c>
      <c r="C1770" t="s">
        <v>8087</v>
      </c>
      <c r="D1770">
        <v>22</v>
      </c>
      <c r="E1770" t="s">
        <v>34</v>
      </c>
      <c r="F1770" t="s">
        <v>57</v>
      </c>
      <c r="G1770" s="23">
        <v>43373</v>
      </c>
      <c r="H1770" t="s">
        <v>8088</v>
      </c>
      <c r="I1770" t="s">
        <v>8089</v>
      </c>
      <c r="J1770" t="s">
        <v>8090</v>
      </c>
    </row>
    <row r="1771" spans="1:10">
      <c r="A1771" t="s">
        <v>8091</v>
      </c>
      <c r="B1771" t="s">
        <v>8091</v>
      </c>
      <c r="C1771" t="s">
        <v>4032</v>
      </c>
      <c r="D1771">
        <v>27</v>
      </c>
      <c r="E1771" t="s">
        <v>34</v>
      </c>
      <c r="F1771" t="s">
        <v>57</v>
      </c>
      <c r="G1771" s="23">
        <v>44739</v>
      </c>
      <c r="H1771" t="s">
        <v>8092</v>
      </c>
      <c r="I1771" t="s">
        <v>8093</v>
      </c>
      <c r="J1771" t="s">
        <v>8094</v>
      </c>
    </row>
    <row r="1772" spans="1:10">
      <c r="A1772" t="s">
        <v>8095</v>
      </c>
      <c r="B1772" t="s">
        <v>8095</v>
      </c>
      <c r="C1772" t="s">
        <v>4032</v>
      </c>
      <c r="D1772">
        <v>9</v>
      </c>
      <c r="E1772" t="s">
        <v>33</v>
      </c>
      <c r="F1772" t="s">
        <v>57</v>
      </c>
      <c r="G1772" s="23">
        <v>45715</v>
      </c>
      <c r="H1772" t="s">
        <v>8096</v>
      </c>
      <c r="I1772" t="s">
        <v>8097</v>
      </c>
      <c r="J1772" t="s">
        <v>8098</v>
      </c>
    </row>
    <row r="1773" spans="1:10">
      <c r="A1773" t="s">
        <v>8099</v>
      </c>
      <c r="B1773" t="s">
        <v>8099</v>
      </c>
      <c r="C1773" t="s">
        <v>4032</v>
      </c>
      <c r="D1773">
        <v>7</v>
      </c>
      <c r="E1773" t="s">
        <v>34</v>
      </c>
      <c r="F1773" t="s">
        <v>57</v>
      </c>
      <c r="G1773" s="23">
        <v>45162</v>
      </c>
      <c r="H1773" t="s">
        <v>8100</v>
      </c>
      <c r="I1773" t="s">
        <v>8101</v>
      </c>
      <c r="J1773" t="s">
        <v>8102</v>
      </c>
    </row>
    <row r="1774" spans="1:10">
      <c r="A1774" t="s">
        <v>8103</v>
      </c>
      <c r="B1774" t="s">
        <v>8103</v>
      </c>
      <c r="C1774" t="s">
        <v>4032</v>
      </c>
      <c r="D1774">
        <v>18</v>
      </c>
      <c r="E1774" t="s">
        <v>33</v>
      </c>
      <c r="F1774" t="s">
        <v>57</v>
      </c>
      <c r="G1774" s="23">
        <v>45117</v>
      </c>
      <c r="H1774" t="s">
        <v>8104</v>
      </c>
      <c r="I1774" t="s">
        <v>8105</v>
      </c>
      <c r="J1774" t="s">
        <v>8106</v>
      </c>
    </row>
    <row r="1775" spans="1:10">
      <c r="A1775" t="s">
        <v>8107</v>
      </c>
      <c r="B1775" t="s">
        <v>8107</v>
      </c>
      <c r="C1775" t="s">
        <v>4032</v>
      </c>
      <c r="D1775">
        <v>18</v>
      </c>
      <c r="E1775" t="s">
        <v>34</v>
      </c>
      <c r="F1775" t="s">
        <v>57</v>
      </c>
      <c r="G1775" s="23">
        <v>45571</v>
      </c>
      <c r="H1775" t="s">
        <v>8108</v>
      </c>
      <c r="I1775" t="s">
        <v>8109</v>
      </c>
      <c r="J1775" t="s">
        <v>8110</v>
      </c>
    </row>
    <row r="1776" spans="1:10">
      <c r="A1776" t="s">
        <v>8111</v>
      </c>
      <c r="B1776" t="s">
        <v>8111</v>
      </c>
      <c r="C1776" t="s">
        <v>4032</v>
      </c>
      <c r="D1776">
        <v>13</v>
      </c>
      <c r="E1776" t="s">
        <v>34</v>
      </c>
      <c r="F1776" t="s">
        <v>57</v>
      </c>
      <c r="G1776" s="23">
        <v>44732</v>
      </c>
      <c r="H1776" t="s">
        <v>8112</v>
      </c>
      <c r="I1776" t="s">
        <v>8113</v>
      </c>
      <c r="J1776" t="s">
        <v>8114</v>
      </c>
    </row>
    <row r="1777" spans="1:10">
      <c r="A1777" t="s">
        <v>8115</v>
      </c>
      <c r="B1777" t="s">
        <v>8115</v>
      </c>
      <c r="C1777" t="s">
        <v>3373</v>
      </c>
      <c r="D1777">
        <v>22</v>
      </c>
      <c r="E1777" t="s">
        <v>34</v>
      </c>
      <c r="F1777" t="s">
        <v>3138</v>
      </c>
      <c r="G1777" s="23">
        <v>42237</v>
      </c>
      <c r="H1777" t="s">
        <v>8116</v>
      </c>
      <c r="I1777" t="s">
        <v>8117</v>
      </c>
      <c r="J1777" t="s">
        <v>8118</v>
      </c>
    </row>
    <row r="1778" spans="1:10">
      <c r="A1778" t="s">
        <v>8119</v>
      </c>
      <c r="B1778" t="s">
        <v>8119</v>
      </c>
      <c r="C1778" t="s">
        <v>3580</v>
      </c>
      <c r="D1778">
        <v>21</v>
      </c>
      <c r="E1778" t="s">
        <v>33</v>
      </c>
      <c r="F1778" t="s">
        <v>57</v>
      </c>
      <c r="G1778" s="23">
        <v>45152</v>
      </c>
      <c r="H1778" t="s">
        <v>8120</v>
      </c>
      <c r="I1778" t="s">
        <v>8121</v>
      </c>
      <c r="J1778" t="s">
        <v>8122</v>
      </c>
    </row>
    <row r="1779" spans="1:10">
      <c r="A1779" t="s">
        <v>8123</v>
      </c>
      <c r="B1779" t="s">
        <v>8123</v>
      </c>
      <c r="C1779" t="s">
        <v>8124</v>
      </c>
      <c r="D1779">
        <v>6</v>
      </c>
      <c r="E1779" t="s">
        <v>31</v>
      </c>
      <c r="F1779" t="s">
        <v>57</v>
      </c>
      <c r="G1779" s="23">
        <v>45334</v>
      </c>
      <c r="H1779" t="s">
        <v>8125</v>
      </c>
      <c r="I1779" t="s">
        <v>8126</v>
      </c>
      <c r="J1779" t="s">
        <v>8127</v>
      </c>
    </row>
    <row r="1780" spans="1:10">
      <c r="A1780" t="s">
        <v>8128</v>
      </c>
      <c r="B1780" t="s">
        <v>8128</v>
      </c>
      <c r="C1780" t="s">
        <v>8129</v>
      </c>
      <c r="D1780">
        <v>9</v>
      </c>
      <c r="E1780" t="s">
        <v>31</v>
      </c>
      <c r="F1780" t="s">
        <v>57</v>
      </c>
      <c r="G1780" s="23">
        <v>44553</v>
      </c>
      <c r="H1780" t="s">
        <v>8130</v>
      </c>
      <c r="I1780" t="s">
        <v>8131</v>
      </c>
      <c r="J1780" t="s">
        <v>8132</v>
      </c>
    </row>
    <row r="1781" spans="1:10">
      <c r="A1781" t="s">
        <v>8133</v>
      </c>
      <c r="B1781" t="s">
        <v>8133</v>
      </c>
      <c r="C1781" t="s">
        <v>6277</v>
      </c>
      <c r="D1781">
        <v>22</v>
      </c>
      <c r="E1781" t="s">
        <v>29</v>
      </c>
      <c r="F1781" t="s">
        <v>63</v>
      </c>
      <c r="G1781" s="23">
        <v>42213</v>
      </c>
      <c r="H1781" t="s">
        <v>8134</v>
      </c>
      <c r="I1781" t="s">
        <v>8135</v>
      </c>
      <c r="J1781" t="s">
        <v>8136</v>
      </c>
    </row>
    <row r="1782" spans="1:10">
      <c r="A1782" t="s">
        <v>8137</v>
      </c>
      <c r="B1782" t="s">
        <v>8137</v>
      </c>
      <c r="C1782" t="s">
        <v>3928</v>
      </c>
      <c r="D1782">
        <v>15</v>
      </c>
      <c r="E1782" t="s">
        <v>34</v>
      </c>
      <c r="F1782" t="s">
        <v>57</v>
      </c>
      <c r="G1782" s="23">
        <v>42812</v>
      </c>
      <c r="H1782" t="s">
        <v>8138</v>
      </c>
      <c r="I1782" t="s">
        <v>8139</v>
      </c>
      <c r="J1782" t="s">
        <v>8140</v>
      </c>
    </row>
    <row r="1783" spans="1:10">
      <c r="A1783" t="s">
        <v>8141</v>
      </c>
      <c r="B1783" t="s">
        <v>8141</v>
      </c>
      <c r="C1783" t="s">
        <v>4806</v>
      </c>
      <c r="D1783">
        <v>5</v>
      </c>
      <c r="E1783" t="s">
        <v>29</v>
      </c>
      <c r="F1783" t="s">
        <v>63</v>
      </c>
      <c r="G1783" s="23">
        <v>45109</v>
      </c>
      <c r="H1783" t="s">
        <v>8142</v>
      </c>
      <c r="I1783" t="s">
        <v>8143</v>
      </c>
      <c r="J1783" t="s">
        <v>8144</v>
      </c>
    </row>
    <row r="1784" spans="1:10">
      <c r="A1784" t="s">
        <v>8145</v>
      </c>
      <c r="B1784" t="s">
        <v>8145</v>
      </c>
      <c r="C1784" t="s">
        <v>8146</v>
      </c>
      <c r="D1784">
        <v>2</v>
      </c>
      <c r="E1784" t="s">
        <v>31</v>
      </c>
      <c r="F1784" t="s">
        <v>63</v>
      </c>
      <c r="G1784" s="23">
        <v>43980</v>
      </c>
      <c r="H1784" t="s">
        <v>8147</v>
      </c>
      <c r="I1784" t="s">
        <v>8148</v>
      </c>
      <c r="J1784" t="s">
        <v>8149</v>
      </c>
    </row>
    <row r="1785" spans="1:10">
      <c r="A1785" t="s">
        <v>8150</v>
      </c>
      <c r="B1785" t="s">
        <v>8150</v>
      </c>
      <c r="C1785" t="s">
        <v>8151</v>
      </c>
      <c r="D1785">
        <v>7</v>
      </c>
      <c r="E1785" t="s">
        <v>34</v>
      </c>
      <c r="F1785" t="s">
        <v>57</v>
      </c>
      <c r="G1785" s="23">
        <v>45908</v>
      </c>
      <c r="H1785" t="s">
        <v>8152</v>
      </c>
      <c r="I1785" t="s">
        <v>8153</v>
      </c>
      <c r="J1785" t="s">
        <v>8154</v>
      </c>
    </row>
    <row r="1786" spans="1:10">
      <c r="A1786" t="s">
        <v>8155</v>
      </c>
      <c r="B1786" t="s">
        <v>8155</v>
      </c>
      <c r="C1786" t="s">
        <v>8156</v>
      </c>
      <c r="D1786">
        <v>14</v>
      </c>
      <c r="E1786" t="s">
        <v>33</v>
      </c>
      <c r="F1786" t="s">
        <v>57</v>
      </c>
      <c r="G1786" s="23">
        <v>43213</v>
      </c>
      <c r="H1786" t="s">
        <v>8157</v>
      </c>
      <c r="I1786" t="s">
        <v>8158</v>
      </c>
      <c r="J1786" t="s">
        <v>8159</v>
      </c>
    </row>
    <row r="1787" spans="1:10">
      <c r="A1787" t="s">
        <v>8160</v>
      </c>
      <c r="B1787" t="s">
        <v>8160</v>
      </c>
      <c r="C1787" t="s">
        <v>8161</v>
      </c>
      <c r="D1787">
        <v>6</v>
      </c>
      <c r="E1787" t="s">
        <v>29</v>
      </c>
      <c r="F1787" t="s">
        <v>63</v>
      </c>
      <c r="G1787" s="23">
        <v>42292</v>
      </c>
      <c r="H1787" t="s">
        <v>8162</v>
      </c>
      <c r="I1787" t="s">
        <v>8163</v>
      </c>
      <c r="J1787" t="s">
        <v>8164</v>
      </c>
    </row>
    <row r="1788" spans="1:10">
      <c r="A1788" t="s">
        <v>8165</v>
      </c>
      <c r="B1788" t="s">
        <v>8165</v>
      </c>
      <c r="C1788" t="s">
        <v>3788</v>
      </c>
      <c r="D1788">
        <v>16</v>
      </c>
      <c r="E1788" t="s">
        <v>33</v>
      </c>
      <c r="F1788" t="s">
        <v>57</v>
      </c>
      <c r="G1788" s="23">
        <v>43193</v>
      </c>
      <c r="H1788" t="s">
        <v>8166</v>
      </c>
      <c r="I1788" t="s">
        <v>8167</v>
      </c>
      <c r="J1788" t="s">
        <v>8168</v>
      </c>
    </row>
    <row r="1789" spans="1:10">
      <c r="A1789" t="s">
        <v>8169</v>
      </c>
      <c r="B1789" t="s">
        <v>8169</v>
      </c>
      <c r="C1789" t="s">
        <v>3788</v>
      </c>
      <c r="D1789">
        <v>24</v>
      </c>
      <c r="E1789" t="s">
        <v>34</v>
      </c>
      <c r="F1789" t="s">
        <v>57</v>
      </c>
      <c r="G1789" s="23">
        <v>45276</v>
      </c>
      <c r="H1789" t="s">
        <v>8170</v>
      </c>
      <c r="I1789" t="s">
        <v>8171</v>
      </c>
      <c r="J1789" t="s">
        <v>8172</v>
      </c>
    </row>
    <row r="1790" spans="1:10">
      <c r="A1790" t="s">
        <v>8173</v>
      </c>
      <c r="B1790" t="s">
        <v>8173</v>
      </c>
      <c r="C1790" t="s">
        <v>2245</v>
      </c>
      <c r="D1790">
        <v>8</v>
      </c>
      <c r="E1790" t="s">
        <v>31</v>
      </c>
      <c r="F1790" t="s">
        <v>63</v>
      </c>
      <c r="G1790" s="23">
        <v>43534</v>
      </c>
      <c r="H1790" t="s">
        <v>8174</v>
      </c>
      <c r="I1790" t="s">
        <v>8175</v>
      </c>
      <c r="J1790" t="s">
        <v>8176</v>
      </c>
    </row>
    <row r="1791" spans="1:10">
      <c r="A1791" t="s">
        <v>8177</v>
      </c>
      <c r="B1791" t="s">
        <v>8177</v>
      </c>
      <c r="C1791" t="s">
        <v>2245</v>
      </c>
      <c r="D1791">
        <v>8</v>
      </c>
      <c r="E1791" t="s">
        <v>29</v>
      </c>
      <c r="F1791" t="s">
        <v>63</v>
      </c>
      <c r="G1791" s="23">
        <v>43604</v>
      </c>
      <c r="H1791" t="s">
        <v>8178</v>
      </c>
      <c r="I1791" t="s">
        <v>8179</v>
      </c>
      <c r="J1791" t="s">
        <v>8180</v>
      </c>
    </row>
    <row r="1792" spans="1:10">
      <c r="A1792" t="s">
        <v>8181</v>
      </c>
      <c r="B1792" t="s">
        <v>8181</v>
      </c>
      <c r="C1792" t="s">
        <v>2245</v>
      </c>
      <c r="D1792">
        <v>8</v>
      </c>
      <c r="E1792" t="s">
        <v>31</v>
      </c>
      <c r="F1792" t="s">
        <v>63</v>
      </c>
      <c r="G1792" s="23">
        <v>43784</v>
      </c>
      <c r="H1792" t="s">
        <v>8182</v>
      </c>
      <c r="I1792" t="s">
        <v>8183</v>
      </c>
      <c r="J1792" t="s">
        <v>8184</v>
      </c>
    </row>
    <row r="1793" spans="1:10">
      <c r="A1793" t="s">
        <v>8185</v>
      </c>
      <c r="B1793" t="s">
        <v>8185</v>
      </c>
      <c r="C1793" t="s">
        <v>880</v>
      </c>
      <c r="D1793">
        <v>6</v>
      </c>
      <c r="E1793" t="s">
        <v>35</v>
      </c>
      <c r="F1793" t="s">
        <v>57</v>
      </c>
      <c r="G1793" s="23">
        <v>45125</v>
      </c>
      <c r="H1793" t="s">
        <v>8186</v>
      </c>
      <c r="I1793" t="s">
        <v>8187</v>
      </c>
      <c r="J1793" t="s">
        <v>8188</v>
      </c>
    </row>
    <row r="1794" spans="1:10">
      <c r="A1794" t="s">
        <v>8189</v>
      </c>
      <c r="B1794" t="s">
        <v>8189</v>
      </c>
      <c r="C1794" t="s">
        <v>6137</v>
      </c>
      <c r="D1794">
        <v>12</v>
      </c>
      <c r="E1794" t="s">
        <v>33</v>
      </c>
      <c r="F1794" t="s">
        <v>57</v>
      </c>
      <c r="G1794" s="23">
        <v>44481</v>
      </c>
      <c r="H1794" t="s">
        <v>8190</v>
      </c>
      <c r="I1794" t="s">
        <v>8191</v>
      </c>
      <c r="J1794" t="s">
        <v>8192</v>
      </c>
    </row>
    <row r="1795" spans="1:10">
      <c r="A1795" t="s">
        <v>8193</v>
      </c>
      <c r="B1795" t="s">
        <v>8193</v>
      </c>
      <c r="C1795" t="s">
        <v>6137</v>
      </c>
      <c r="D1795">
        <v>15</v>
      </c>
      <c r="E1795" t="s">
        <v>33</v>
      </c>
      <c r="F1795" t="s">
        <v>57</v>
      </c>
      <c r="G1795" s="23">
        <v>44944</v>
      </c>
      <c r="H1795" t="s">
        <v>8194</v>
      </c>
      <c r="I1795" t="s">
        <v>8195</v>
      </c>
      <c r="J1795" t="s">
        <v>8196</v>
      </c>
    </row>
    <row r="1796" spans="1:10">
      <c r="A1796" t="s">
        <v>8197</v>
      </c>
      <c r="B1796" t="s">
        <v>8197</v>
      </c>
      <c r="C1796" t="s">
        <v>2447</v>
      </c>
      <c r="D1796">
        <v>14</v>
      </c>
      <c r="E1796" t="s">
        <v>34</v>
      </c>
      <c r="F1796" t="s">
        <v>57</v>
      </c>
      <c r="G1796" s="23">
        <v>45706</v>
      </c>
      <c r="H1796" t="s">
        <v>8198</v>
      </c>
      <c r="I1796" t="s">
        <v>8199</v>
      </c>
      <c r="J1796" t="s">
        <v>8200</v>
      </c>
    </row>
    <row r="1797" spans="1:10">
      <c r="A1797" t="s">
        <v>8201</v>
      </c>
      <c r="B1797" t="s">
        <v>8201</v>
      </c>
      <c r="C1797" t="s">
        <v>8202</v>
      </c>
      <c r="D1797">
        <v>6</v>
      </c>
      <c r="E1797" t="s">
        <v>27</v>
      </c>
      <c r="F1797" t="s">
        <v>63</v>
      </c>
      <c r="G1797" s="23">
        <v>42236</v>
      </c>
      <c r="H1797" t="s">
        <v>8203</v>
      </c>
      <c r="I1797" t="s">
        <v>8204</v>
      </c>
      <c r="J1797" t="s">
        <v>8205</v>
      </c>
    </row>
    <row r="1798" spans="1:10">
      <c r="A1798" t="s">
        <v>8206</v>
      </c>
      <c r="B1798" t="s">
        <v>8206</v>
      </c>
      <c r="C1798" t="s">
        <v>2309</v>
      </c>
      <c r="D1798">
        <v>10</v>
      </c>
      <c r="E1798" t="s">
        <v>33</v>
      </c>
      <c r="F1798" t="s">
        <v>57</v>
      </c>
      <c r="G1798" s="23">
        <v>45099</v>
      </c>
      <c r="H1798" t="s">
        <v>8207</v>
      </c>
      <c r="I1798" t="s">
        <v>8208</v>
      </c>
      <c r="J1798" t="s">
        <v>8209</v>
      </c>
    </row>
    <row r="1799" spans="1:10">
      <c r="A1799" t="s">
        <v>8210</v>
      </c>
      <c r="B1799" t="s">
        <v>8210</v>
      </c>
      <c r="C1799" t="s">
        <v>641</v>
      </c>
      <c r="D1799">
        <v>1</v>
      </c>
      <c r="E1799" t="s">
        <v>33</v>
      </c>
      <c r="F1799" t="s">
        <v>115</v>
      </c>
      <c r="G1799" s="23">
        <v>44062</v>
      </c>
      <c r="H1799" t="s">
        <v>8211</v>
      </c>
      <c r="I1799" t="s">
        <v>8212</v>
      </c>
      <c r="J1799" t="s">
        <v>8213</v>
      </c>
    </row>
    <row r="1800" spans="1:10">
      <c r="A1800" t="s">
        <v>8214</v>
      </c>
      <c r="B1800" t="s">
        <v>8214</v>
      </c>
      <c r="C1800" t="s">
        <v>1932</v>
      </c>
      <c r="D1800">
        <v>9</v>
      </c>
      <c r="E1800" t="s">
        <v>35</v>
      </c>
      <c r="F1800" t="s">
        <v>57</v>
      </c>
      <c r="G1800" s="23">
        <v>44580</v>
      </c>
      <c r="H1800" t="s">
        <v>8215</v>
      </c>
      <c r="I1800" t="s">
        <v>8216</v>
      </c>
      <c r="J1800" t="s">
        <v>8217</v>
      </c>
    </row>
    <row r="1801" spans="1:10">
      <c r="A1801" t="s">
        <v>8218</v>
      </c>
      <c r="B1801" t="s">
        <v>8218</v>
      </c>
      <c r="C1801" t="s">
        <v>8219</v>
      </c>
      <c r="D1801">
        <v>12</v>
      </c>
      <c r="E1801" t="s">
        <v>33</v>
      </c>
      <c r="F1801" t="s">
        <v>57</v>
      </c>
      <c r="G1801" s="23">
        <v>42729</v>
      </c>
      <c r="H1801" t="s">
        <v>8220</v>
      </c>
      <c r="I1801" t="s">
        <v>8221</v>
      </c>
      <c r="J1801" t="s">
        <v>8222</v>
      </c>
    </row>
    <row r="1802" spans="1:10">
      <c r="A1802" t="s">
        <v>8223</v>
      </c>
      <c r="B1802" t="s">
        <v>8223</v>
      </c>
      <c r="C1802" t="s">
        <v>8224</v>
      </c>
      <c r="D1802">
        <v>116</v>
      </c>
      <c r="E1802" t="s">
        <v>35</v>
      </c>
      <c r="F1802" t="s">
        <v>63</v>
      </c>
      <c r="G1802" s="23">
        <v>45114</v>
      </c>
      <c r="H1802" t="s">
        <v>8225</v>
      </c>
      <c r="I1802" t="s">
        <v>8226</v>
      </c>
      <c r="J1802" t="s">
        <v>8227</v>
      </c>
    </row>
    <row r="1803" spans="1:10">
      <c r="A1803" t="s">
        <v>8228</v>
      </c>
      <c r="B1803" t="s">
        <v>8228</v>
      </c>
      <c r="C1803" t="s">
        <v>8078</v>
      </c>
      <c r="D1803">
        <v>11</v>
      </c>
      <c r="E1803" t="s">
        <v>33</v>
      </c>
      <c r="F1803" t="s">
        <v>57</v>
      </c>
      <c r="G1803" s="23">
        <v>45995</v>
      </c>
      <c r="H1803" t="s">
        <v>8229</v>
      </c>
      <c r="I1803" t="s">
        <v>8230</v>
      </c>
      <c r="J1803" t="s">
        <v>8231</v>
      </c>
    </row>
    <row r="1804" spans="1:10">
      <c r="A1804" t="s">
        <v>8232</v>
      </c>
      <c r="B1804" t="s">
        <v>8232</v>
      </c>
      <c r="C1804" t="s">
        <v>8233</v>
      </c>
      <c r="D1804">
        <v>20</v>
      </c>
      <c r="E1804" t="s">
        <v>34</v>
      </c>
      <c r="F1804" t="s">
        <v>5632</v>
      </c>
      <c r="G1804" s="23">
        <v>46117</v>
      </c>
      <c r="H1804" t="s">
        <v>8234</v>
      </c>
      <c r="I1804" t="s">
        <v>8235</v>
      </c>
      <c r="J1804" t="s">
        <v>8236</v>
      </c>
    </row>
    <row r="1805" spans="1:10">
      <c r="A1805" t="s">
        <v>8237</v>
      </c>
      <c r="B1805" t="s">
        <v>8237</v>
      </c>
      <c r="C1805" t="s">
        <v>8238</v>
      </c>
      <c r="D1805">
        <v>23</v>
      </c>
      <c r="E1805" t="s">
        <v>33</v>
      </c>
      <c r="F1805" t="s">
        <v>57</v>
      </c>
      <c r="G1805" s="23">
        <v>45203</v>
      </c>
      <c r="H1805" t="s">
        <v>8239</v>
      </c>
      <c r="I1805" t="s">
        <v>8240</v>
      </c>
      <c r="J1805" t="s">
        <v>8241</v>
      </c>
    </row>
    <row r="1806" spans="1:10">
      <c r="A1806" t="s">
        <v>8242</v>
      </c>
      <c r="B1806" t="s">
        <v>8242</v>
      </c>
      <c r="C1806" t="s">
        <v>4255</v>
      </c>
      <c r="D1806">
        <v>12</v>
      </c>
      <c r="E1806" t="s">
        <v>31</v>
      </c>
      <c r="F1806" t="s">
        <v>57</v>
      </c>
      <c r="G1806" s="23">
        <v>44318</v>
      </c>
      <c r="H1806" t="s">
        <v>8243</v>
      </c>
      <c r="I1806" t="s">
        <v>8244</v>
      </c>
      <c r="J1806" t="s">
        <v>8245</v>
      </c>
    </row>
    <row r="1807" spans="1:10">
      <c r="A1807" t="s">
        <v>8246</v>
      </c>
      <c r="B1807" t="s">
        <v>8246</v>
      </c>
      <c r="C1807" t="s">
        <v>4255</v>
      </c>
      <c r="D1807">
        <v>21</v>
      </c>
      <c r="E1807" t="s">
        <v>33</v>
      </c>
      <c r="F1807" t="s">
        <v>57</v>
      </c>
      <c r="G1807" s="23">
        <v>44791</v>
      </c>
      <c r="H1807" t="s">
        <v>8247</v>
      </c>
      <c r="I1807" t="s">
        <v>8248</v>
      </c>
      <c r="J1807" t="s">
        <v>8249</v>
      </c>
    </row>
    <row r="1808" spans="1:10">
      <c r="A1808" t="s">
        <v>8250</v>
      </c>
      <c r="B1808" t="s">
        <v>8250</v>
      </c>
      <c r="C1808" t="s">
        <v>2979</v>
      </c>
      <c r="D1808">
        <v>8</v>
      </c>
      <c r="E1808" t="s">
        <v>34</v>
      </c>
      <c r="F1808" t="s">
        <v>57</v>
      </c>
      <c r="G1808" s="23">
        <v>45699</v>
      </c>
      <c r="H1808" t="s">
        <v>8251</v>
      </c>
      <c r="I1808" t="s">
        <v>8252</v>
      </c>
      <c r="J1808" t="s">
        <v>8253</v>
      </c>
    </row>
    <row r="1809" spans="1:10">
      <c r="A1809" t="s">
        <v>8254</v>
      </c>
      <c r="B1809" t="s">
        <v>8254</v>
      </c>
      <c r="C1809" t="s">
        <v>8255</v>
      </c>
      <c r="D1809">
        <v>31</v>
      </c>
      <c r="E1809" t="s">
        <v>33</v>
      </c>
      <c r="F1809" t="s">
        <v>63</v>
      </c>
      <c r="G1809" s="23">
        <v>45278</v>
      </c>
      <c r="H1809" t="s">
        <v>8256</v>
      </c>
      <c r="I1809" t="s">
        <v>8257</v>
      </c>
      <c r="J1809" t="s">
        <v>8258</v>
      </c>
    </row>
    <row r="1810" spans="1:10">
      <c r="A1810" t="s">
        <v>8259</v>
      </c>
      <c r="B1810" t="s">
        <v>8259</v>
      </c>
      <c r="C1810" t="s">
        <v>360</v>
      </c>
      <c r="D1810">
        <v>13</v>
      </c>
      <c r="E1810" t="s">
        <v>31</v>
      </c>
      <c r="F1810" t="s">
        <v>63</v>
      </c>
      <c r="G1810" s="23">
        <v>43692</v>
      </c>
      <c r="H1810" t="s">
        <v>8260</v>
      </c>
      <c r="I1810" t="s">
        <v>8261</v>
      </c>
      <c r="J1810" t="s">
        <v>8262</v>
      </c>
    </row>
    <row r="1811" spans="1:10">
      <c r="A1811" t="s">
        <v>8263</v>
      </c>
      <c r="B1811" t="s">
        <v>8263</v>
      </c>
      <c r="C1811" t="s">
        <v>360</v>
      </c>
      <c r="D1811">
        <v>12</v>
      </c>
      <c r="E1811" t="s">
        <v>31</v>
      </c>
      <c r="F1811" t="s">
        <v>63</v>
      </c>
      <c r="G1811" s="23">
        <v>44168</v>
      </c>
      <c r="H1811" t="s">
        <v>8264</v>
      </c>
      <c r="I1811" t="s">
        <v>8265</v>
      </c>
      <c r="J1811" t="s">
        <v>8266</v>
      </c>
    </row>
    <row r="1812" spans="1:10">
      <c r="A1812" t="s">
        <v>8267</v>
      </c>
      <c r="B1812" t="s">
        <v>8267</v>
      </c>
      <c r="C1812" t="s">
        <v>360</v>
      </c>
      <c r="D1812">
        <v>16</v>
      </c>
      <c r="E1812" t="s">
        <v>31</v>
      </c>
      <c r="F1812" t="s">
        <v>63</v>
      </c>
      <c r="G1812" s="23">
        <v>43301</v>
      </c>
      <c r="H1812" t="s">
        <v>8268</v>
      </c>
      <c r="I1812" t="s">
        <v>8269</v>
      </c>
      <c r="J1812" t="s">
        <v>8270</v>
      </c>
    </row>
    <row r="1813" spans="1:10">
      <c r="A1813" t="s">
        <v>8271</v>
      </c>
      <c r="B1813" t="s">
        <v>8271</v>
      </c>
      <c r="C1813" t="s">
        <v>8272</v>
      </c>
      <c r="D1813">
        <v>17</v>
      </c>
      <c r="E1813" t="s">
        <v>34</v>
      </c>
      <c r="F1813" t="s">
        <v>57</v>
      </c>
      <c r="G1813" s="23">
        <v>43600</v>
      </c>
      <c r="H1813" t="s">
        <v>8273</v>
      </c>
      <c r="I1813" t="s">
        <v>8274</v>
      </c>
      <c r="J1813" t="s">
        <v>8275</v>
      </c>
    </row>
    <row r="1814" spans="1:10">
      <c r="A1814" t="s">
        <v>8276</v>
      </c>
      <c r="B1814" t="s">
        <v>8276</v>
      </c>
      <c r="C1814" t="s">
        <v>8277</v>
      </c>
      <c r="D1814">
        <v>8</v>
      </c>
      <c r="E1814" t="s">
        <v>29</v>
      </c>
      <c r="F1814" t="s">
        <v>63</v>
      </c>
      <c r="G1814" s="23">
        <v>42258</v>
      </c>
      <c r="H1814" t="s">
        <v>8278</v>
      </c>
      <c r="I1814" t="s">
        <v>8279</v>
      </c>
      <c r="J1814" t="s">
        <v>8280</v>
      </c>
    </row>
    <row r="1815" spans="1:10">
      <c r="A1815" t="s">
        <v>8281</v>
      </c>
      <c r="B1815" t="s">
        <v>8281</v>
      </c>
      <c r="C1815" t="s">
        <v>2828</v>
      </c>
      <c r="D1815">
        <v>13</v>
      </c>
      <c r="E1815" t="s">
        <v>33</v>
      </c>
      <c r="F1815" t="s">
        <v>57</v>
      </c>
      <c r="G1815" s="23">
        <v>43077</v>
      </c>
      <c r="H1815" t="s">
        <v>8282</v>
      </c>
      <c r="I1815" t="s">
        <v>8283</v>
      </c>
      <c r="J1815" t="s">
        <v>8284</v>
      </c>
    </row>
    <row r="1816" spans="1:10">
      <c r="A1816" t="s">
        <v>8285</v>
      </c>
      <c r="B1816" t="s">
        <v>8285</v>
      </c>
      <c r="C1816" t="s">
        <v>1473</v>
      </c>
      <c r="D1816">
        <v>14</v>
      </c>
      <c r="E1816" t="s">
        <v>34</v>
      </c>
      <c r="F1816" t="s">
        <v>57</v>
      </c>
      <c r="G1816" s="23">
        <v>45078</v>
      </c>
      <c r="H1816" t="s">
        <v>8286</v>
      </c>
      <c r="I1816" t="s">
        <v>8287</v>
      </c>
      <c r="J1816" t="s">
        <v>8288</v>
      </c>
    </row>
    <row r="1817" spans="1:10">
      <c r="A1817" t="s">
        <v>8289</v>
      </c>
      <c r="B1817" t="s">
        <v>8289</v>
      </c>
      <c r="C1817" t="s">
        <v>8290</v>
      </c>
      <c r="D1817">
        <v>14</v>
      </c>
      <c r="E1817" t="s">
        <v>33</v>
      </c>
      <c r="F1817" t="s">
        <v>57</v>
      </c>
      <c r="G1817" s="23">
        <v>44503</v>
      </c>
      <c r="H1817" t="s">
        <v>8291</v>
      </c>
      <c r="I1817" t="s">
        <v>8292</v>
      </c>
      <c r="J1817" t="s">
        <v>8293</v>
      </c>
    </row>
    <row r="1818" spans="1:10">
      <c r="A1818" t="s">
        <v>8294</v>
      </c>
      <c r="B1818" t="s">
        <v>8294</v>
      </c>
      <c r="C1818" t="s">
        <v>6178</v>
      </c>
      <c r="D1818">
        <v>14</v>
      </c>
      <c r="E1818" t="s">
        <v>35</v>
      </c>
      <c r="F1818" t="s">
        <v>57</v>
      </c>
      <c r="G1818" s="23">
        <v>43107</v>
      </c>
      <c r="H1818" t="s">
        <v>8295</v>
      </c>
      <c r="I1818" t="s">
        <v>8296</v>
      </c>
      <c r="J1818" t="s">
        <v>8297</v>
      </c>
    </row>
    <row r="1819" spans="1:10">
      <c r="A1819" t="s">
        <v>8298</v>
      </c>
      <c r="B1819" t="s">
        <v>8298</v>
      </c>
      <c r="C1819" t="s">
        <v>2152</v>
      </c>
      <c r="D1819">
        <v>76</v>
      </c>
      <c r="E1819" t="s">
        <v>27</v>
      </c>
      <c r="F1819" t="s">
        <v>63</v>
      </c>
      <c r="G1819" s="23">
        <v>45822</v>
      </c>
      <c r="H1819" t="s">
        <v>8299</v>
      </c>
      <c r="I1819" t="s">
        <v>8300</v>
      </c>
      <c r="J1819" t="s">
        <v>8301</v>
      </c>
    </row>
    <row r="1820" spans="1:10">
      <c r="A1820" t="s">
        <v>8302</v>
      </c>
      <c r="B1820" t="s">
        <v>8302</v>
      </c>
      <c r="C1820" t="s">
        <v>56</v>
      </c>
      <c r="D1820">
        <v>24</v>
      </c>
      <c r="E1820" t="s">
        <v>34</v>
      </c>
      <c r="F1820" t="s">
        <v>57</v>
      </c>
      <c r="G1820" s="23">
        <v>44318</v>
      </c>
      <c r="H1820" t="s">
        <v>8303</v>
      </c>
      <c r="I1820" t="s">
        <v>8304</v>
      </c>
      <c r="J1820" t="s">
        <v>8305</v>
      </c>
    </row>
    <row r="1821" spans="1:10">
      <c r="A1821" t="s">
        <v>8306</v>
      </c>
      <c r="B1821" t="s">
        <v>8306</v>
      </c>
      <c r="C1821" t="s">
        <v>56</v>
      </c>
      <c r="D1821">
        <v>21</v>
      </c>
      <c r="E1821" t="s">
        <v>34</v>
      </c>
      <c r="F1821" t="s">
        <v>57</v>
      </c>
      <c r="G1821" s="23">
        <v>44343</v>
      </c>
      <c r="H1821" t="s">
        <v>8307</v>
      </c>
      <c r="I1821" t="s">
        <v>8308</v>
      </c>
      <c r="J1821" t="s">
        <v>8309</v>
      </c>
    </row>
    <row r="1822" spans="1:10">
      <c r="A1822" t="s">
        <v>8310</v>
      </c>
      <c r="B1822" t="s">
        <v>8310</v>
      </c>
      <c r="C1822" t="s">
        <v>56</v>
      </c>
      <c r="D1822">
        <v>35</v>
      </c>
      <c r="E1822" t="s">
        <v>34</v>
      </c>
      <c r="F1822" t="s">
        <v>57</v>
      </c>
      <c r="G1822" s="23">
        <v>45579</v>
      </c>
      <c r="H1822" t="s">
        <v>8311</v>
      </c>
      <c r="I1822" t="s">
        <v>8312</v>
      </c>
      <c r="J1822" t="s">
        <v>8313</v>
      </c>
    </row>
    <row r="1823" spans="1:10">
      <c r="A1823" t="s">
        <v>8314</v>
      </c>
      <c r="B1823" t="s">
        <v>8314</v>
      </c>
      <c r="C1823" t="s">
        <v>355</v>
      </c>
      <c r="D1823">
        <v>10</v>
      </c>
      <c r="E1823" t="s">
        <v>35</v>
      </c>
      <c r="F1823" t="s">
        <v>57</v>
      </c>
      <c r="G1823" s="23">
        <v>42438</v>
      </c>
      <c r="H1823" t="s">
        <v>8315</v>
      </c>
      <c r="I1823" t="s">
        <v>8316</v>
      </c>
      <c r="J1823" t="s">
        <v>8317</v>
      </c>
    </row>
    <row r="1824" spans="1:10">
      <c r="A1824" t="s">
        <v>8318</v>
      </c>
      <c r="B1824" t="s">
        <v>8318</v>
      </c>
      <c r="C1824" t="s">
        <v>2081</v>
      </c>
      <c r="D1824">
        <v>0</v>
      </c>
      <c r="E1824" t="s">
        <v>34</v>
      </c>
      <c r="F1824" t="s">
        <v>57</v>
      </c>
      <c r="G1824" s="23">
        <v>45869</v>
      </c>
      <c r="H1824" t="s">
        <v>8319</v>
      </c>
      <c r="I1824" t="s">
        <v>8320</v>
      </c>
      <c r="J1824" t="s">
        <v>8321</v>
      </c>
    </row>
    <row r="1825" spans="1:10">
      <c r="A1825" t="s">
        <v>8322</v>
      </c>
      <c r="B1825" t="s">
        <v>8322</v>
      </c>
      <c r="C1825" t="s">
        <v>8323</v>
      </c>
      <c r="D1825">
        <v>83</v>
      </c>
      <c r="E1825" t="s">
        <v>27</v>
      </c>
      <c r="F1825" t="s">
        <v>115</v>
      </c>
      <c r="G1825" s="23">
        <v>44906</v>
      </c>
      <c r="H1825" t="s">
        <v>8324</v>
      </c>
      <c r="I1825" t="s">
        <v>8325</v>
      </c>
      <c r="J1825" t="s">
        <v>8326</v>
      </c>
    </row>
    <row r="1826" spans="1:10">
      <c r="A1826" t="s">
        <v>8327</v>
      </c>
      <c r="B1826" t="s">
        <v>8327</v>
      </c>
      <c r="C1826" t="s">
        <v>8323</v>
      </c>
      <c r="D1826">
        <v>21</v>
      </c>
      <c r="E1826" t="s">
        <v>27</v>
      </c>
      <c r="F1826" t="s">
        <v>63</v>
      </c>
      <c r="G1826" s="23">
        <v>44599</v>
      </c>
      <c r="H1826" t="s">
        <v>8328</v>
      </c>
      <c r="I1826" t="s">
        <v>8329</v>
      </c>
      <c r="J1826" t="s">
        <v>8330</v>
      </c>
    </row>
    <row r="1827" spans="1:10">
      <c r="A1827" t="s">
        <v>8331</v>
      </c>
      <c r="B1827" t="s">
        <v>8331</v>
      </c>
      <c r="C1827" t="s">
        <v>8332</v>
      </c>
      <c r="D1827">
        <v>7</v>
      </c>
      <c r="E1827" t="s">
        <v>29</v>
      </c>
      <c r="F1827" t="s">
        <v>63</v>
      </c>
      <c r="G1827" s="23">
        <v>45145</v>
      </c>
      <c r="H1827" t="s">
        <v>8333</v>
      </c>
      <c r="I1827" t="s">
        <v>8334</v>
      </c>
      <c r="J1827" t="s">
        <v>8335</v>
      </c>
    </row>
    <row r="1828" spans="1:10">
      <c r="A1828" t="s">
        <v>8336</v>
      </c>
      <c r="B1828" t="s">
        <v>8336</v>
      </c>
      <c r="C1828" t="s">
        <v>2531</v>
      </c>
      <c r="D1828">
        <v>11</v>
      </c>
      <c r="E1828" t="s">
        <v>34</v>
      </c>
      <c r="F1828" t="s">
        <v>57</v>
      </c>
      <c r="G1828" s="23">
        <v>44692</v>
      </c>
      <c r="H1828" t="s">
        <v>8337</v>
      </c>
      <c r="I1828" t="s">
        <v>8338</v>
      </c>
      <c r="J1828" t="s">
        <v>8339</v>
      </c>
    </row>
    <row r="1829" spans="1:10">
      <c r="A1829" t="s">
        <v>8340</v>
      </c>
      <c r="B1829" t="s">
        <v>8340</v>
      </c>
      <c r="C1829" t="s">
        <v>2531</v>
      </c>
      <c r="D1829">
        <v>30</v>
      </c>
      <c r="E1829" t="s">
        <v>35</v>
      </c>
      <c r="F1829" t="s">
        <v>57</v>
      </c>
      <c r="G1829" s="23">
        <v>45020</v>
      </c>
      <c r="H1829" t="s">
        <v>8341</v>
      </c>
      <c r="I1829" t="s">
        <v>8342</v>
      </c>
      <c r="J1829" t="s">
        <v>8343</v>
      </c>
    </row>
    <row r="1830" spans="1:10">
      <c r="A1830" t="s">
        <v>8344</v>
      </c>
      <c r="B1830" t="s">
        <v>8344</v>
      </c>
      <c r="C1830" t="s">
        <v>1478</v>
      </c>
      <c r="D1830">
        <v>15</v>
      </c>
      <c r="E1830" t="s">
        <v>31</v>
      </c>
      <c r="F1830" t="s">
        <v>57</v>
      </c>
      <c r="G1830" s="23">
        <v>44238</v>
      </c>
      <c r="H1830" t="s">
        <v>8345</v>
      </c>
      <c r="I1830" t="s">
        <v>8346</v>
      </c>
      <c r="J1830" t="s">
        <v>8347</v>
      </c>
    </row>
    <row r="1831" spans="1:10">
      <c r="A1831" t="s">
        <v>8348</v>
      </c>
      <c r="B1831" t="s">
        <v>8348</v>
      </c>
      <c r="C1831" t="s">
        <v>1478</v>
      </c>
      <c r="D1831">
        <v>6</v>
      </c>
      <c r="E1831" t="s">
        <v>34</v>
      </c>
      <c r="F1831" t="s">
        <v>57</v>
      </c>
      <c r="G1831" s="23">
        <v>44992</v>
      </c>
      <c r="H1831" t="s">
        <v>8349</v>
      </c>
      <c r="I1831" t="s">
        <v>8350</v>
      </c>
      <c r="J1831" t="s">
        <v>8351</v>
      </c>
    </row>
    <row r="1832" spans="1:10">
      <c r="A1832" t="s">
        <v>8352</v>
      </c>
      <c r="B1832" t="s">
        <v>8352</v>
      </c>
      <c r="C1832" t="s">
        <v>1497</v>
      </c>
      <c r="D1832">
        <v>24</v>
      </c>
      <c r="E1832" t="s">
        <v>31</v>
      </c>
      <c r="F1832" t="s">
        <v>63</v>
      </c>
      <c r="G1832" s="23">
        <v>42890</v>
      </c>
      <c r="H1832" t="s">
        <v>8353</v>
      </c>
      <c r="I1832" t="s">
        <v>8354</v>
      </c>
      <c r="J1832" t="s">
        <v>8355</v>
      </c>
    </row>
    <row r="1833" spans="1:10">
      <c r="A1833" t="s">
        <v>8356</v>
      </c>
      <c r="B1833" t="s">
        <v>8356</v>
      </c>
      <c r="C1833" t="s">
        <v>5711</v>
      </c>
      <c r="D1833">
        <v>37</v>
      </c>
      <c r="E1833" t="s">
        <v>29</v>
      </c>
      <c r="F1833" t="s">
        <v>63</v>
      </c>
      <c r="G1833" s="23">
        <v>41599</v>
      </c>
      <c r="H1833" t="s">
        <v>8357</v>
      </c>
      <c r="I1833" t="s">
        <v>8358</v>
      </c>
      <c r="J1833" t="s">
        <v>8359</v>
      </c>
    </row>
    <row r="1834" spans="1:10">
      <c r="A1834" t="s">
        <v>8360</v>
      </c>
      <c r="B1834" t="s">
        <v>8360</v>
      </c>
      <c r="C1834" t="s">
        <v>504</v>
      </c>
      <c r="D1834">
        <v>108</v>
      </c>
      <c r="E1834" t="s">
        <v>29</v>
      </c>
      <c r="F1834" t="s">
        <v>63</v>
      </c>
      <c r="G1834" s="23">
        <v>43799</v>
      </c>
      <c r="H1834" t="s">
        <v>8361</v>
      </c>
      <c r="I1834" t="s">
        <v>8362</v>
      </c>
      <c r="J1834" t="s">
        <v>8363</v>
      </c>
    </row>
    <row r="1835" spans="1:10">
      <c r="A1835" t="s">
        <v>8364</v>
      </c>
      <c r="B1835" t="s">
        <v>8364</v>
      </c>
      <c r="C1835" t="s">
        <v>504</v>
      </c>
      <c r="D1835">
        <v>64</v>
      </c>
      <c r="E1835" t="s">
        <v>29</v>
      </c>
      <c r="F1835" t="s">
        <v>63</v>
      </c>
      <c r="G1835" s="23">
        <v>46066</v>
      </c>
      <c r="H1835" t="s">
        <v>8365</v>
      </c>
      <c r="I1835" t="s">
        <v>8366</v>
      </c>
      <c r="J1835" t="s">
        <v>8367</v>
      </c>
    </row>
    <row r="1836" spans="1:10">
      <c r="A1836" t="s">
        <v>8368</v>
      </c>
      <c r="B1836" t="s">
        <v>8368</v>
      </c>
      <c r="C1836" t="s">
        <v>8369</v>
      </c>
      <c r="D1836">
        <v>5</v>
      </c>
      <c r="E1836" t="s">
        <v>31</v>
      </c>
      <c r="F1836" t="s">
        <v>63</v>
      </c>
      <c r="G1836" s="23">
        <v>42062</v>
      </c>
      <c r="H1836" t="s">
        <v>8370</v>
      </c>
      <c r="I1836" t="s">
        <v>8371</v>
      </c>
      <c r="J1836" t="s">
        <v>8372</v>
      </c>
    </row>
    <row r="1837" spans="1:10">
      <c r="A1837" t="s">
        <v>8373</v>
      </c>
      <c r="B1837" t="s">
        <v>8373</v>
      </c>
      <c r="C1837" t="s">
        <v>8374</v>
      </c>
      <c r="D1837">
        <v>24</v>
      </c>
      <c r="E1837" t="s">
        <v>31</v>
      </c>
      <c r="F1837" t="s">
        <v>63</v>
      </c>
      <c r="G1837" s="23">
        <v>45285</v>
      </c>
      <c r="H1837" t="s">
        <v>8375</v>
      </c>
      <c r="I1837" t="s">
        <v>8376</v>
      </c>
      <c r="J1837" t="s">
        <v>8377</v>
      </c>
    </row>
    <row r="1838" spans="1:10">
      <c r="A1838" t="s">
        <v>8378</v>
      </c>
      <c r="B1838" t="s">
        <v>8378</v>
      </c>
      <c r="C1838" t="s">
        <v>8379</v>
      </c>
      <c r="D1838">
        <v>34</v>
      </c>
      <c r="E1838" t="s">
        <v>29</v>
      </c>
      <c r="F1838" t="s">
        <v>63</v>
      </c>
      <c r="G1838" s="23">
        <v>45897</v>
      </c>
      <c r="H1838" t="s">
        <v>8380</v>
      </c>
      <c r="I1838" t="s">
        <v>8381</v>
      </c>
      <c r="J1838" t="s">
        <v>8382</v>
      </c>
    </row>
    <row r="1839" spans="1:10">
      <c r="A1839" t="s">
        <v>8383</v>
      </c>
      <c r="B1839" t="s">
        <v>8383</v>
      </c>
      <c r="C1839" t="s">
        <v>8384</v>
      </c>
      <c r="D1839">
        <v>18</v>
      </c>
      <c r="E1839" t="s">
        <v>31</v>
      </c>
      <c r="F1839" t="s">
        <v>63</v>
      </c>
      <c r="G1839" s="23">
        <v>42130</v>
      </c>
      <c r="H1839" t="s">
        <v>8385</v>
      </c>
      <c r="I1839" t="s">
        <v>8386</v>
      </c>
      <c r="J1839" t="s">
        <v>8387</v>
      </c>
    </row>
    <row r="1840" spans="1:10">
      <c r="A1840" t="s">
        <v>8388</v>
      </c>
      <c r="B1840" t="s">
        <v>8388</v>
      </c>
      <c r="C1840" t="s">
        <v>8389</v>
      </c>
      <c r="D1840">
        <v>96</v>
      </c>
      <c r="E1840" t="s">
        <v>31</v>
      </c>
      <c r="F1840" t="s">
        <v>63</v>
      </c>
      <c r="G1840" s="23">
        <v>42337</v>
      </c>
      <c r="H1840" t="s">
        <v>8390</v>
      </c>
      <c r="I1840" t="s">
        <v>8391</v>
      </c>
      <c r="J1840" t="s">
        <v>8392</v>
      </c>
    </row>
    <row r="1841" spans="1:10">
      <c r="A1841" t="s">
        <v>8393</v>
      </c>
      <c r="B1841" t="s">
        <v>8393</v>
      </c>
      <c r="C1841" t="s">
        <v>8394</v>
      </c>
      <c r="D1841">
        <v>12</v>
      </c>
      <c r="E1841" t="s">
        <v>31</v>
      </c>
      <c r="F1841" t="s">
        <v>63</v>
      </c>
      <c r="G1841" s="23">
        <v>44571</v>
      </c>
      <c r="H1841" t="s">
        <v>8395</v>
      </c>
      <c r="I1841" t="s">
        <v>8396</v>
      </c>
      <c r="J1841" t="s">
        <v>8397</v>
      </c>
    </row>
    <row r="1842" spans="1:10">
      <c r="A1842" t="s">
        <v>8398</v>
      </c>
      <c r="B1842" t="s">
        <v>8398</v>
      </c>
      <c r="C1842" t="s">
        <v>8399</v>
      </c>
      <c r="D1842">
        <v>6</v>
      </c>
      <c r="E1842" t="s">
        <v>27</v>
      </c>
      <c r="F1842" t="s">
        <v>63</v>
      </c>
      <c r="G1842" s="23">
        <v>42334</v>
      </c>
      <c r="H1842" t="s">
        <v>8400</v>
      </c>
      <c r="I1842" t="s">
        <v>8401</v>
      </c>
      <c r="J1842" t="s">
        <v>8402</v>
      </c>
    </row>
    <row r="1843" spans="1:10">
      <c r="A1843" t="s">
        <v>8403</v>
      </c>
      <c r="B1843" t="s">
        <v>8403</v>
      </c>
      <c r="C1843" t="s">
        <v>8404</v>
      </c>
      <c r="D1843">
        <v>11</v>
      </c>
      <c r="E1843" t="s">
        <v>33</v>
      </c>
      <c r="F1843" t="s">
        <v>57</v>
      </c>
      <c r="G1843" s="23">
        <v>43305</v>
      </c>
      <c r="H1843" t="s">
        <v>8405</v>
      </c>
      <c r="I1843" t="s">
        <v>8406</v>
      </c>
      <c r="J1843" t="s">
        <v>8407</v>
      </c>
    </row>
    <row r="1844" spans="1:10">
      <c r="A1844" t="s">
        <v>8408</v>
      </c>
      <c r="B1844" t="s">
        <v>8408</v>
      </c>
      <c r="C1844" t="s">
        <v>1379</v>
      </c>
      <c r="D1844">
        <v>4</v>
      </c>
      <c r="E1844" t="s">
        <v>33</v>
      </c>
      <c r="F1844" t="s">
        <v>571</v>
      </c>
      <c r="G1844" s="23">
        <v>45811</v>
      </c>
      <c r="H1844" t="s">
        <v>8409</v>
      </c>
      <c r="I1844" t="s">
        <v>8410</v>
      </c>
      <c r="J1844" t="s">
        <v>8411</v>
      </c>
    </row>
    <row r="1845" spans="1:10">
      <c r="A1845" t="s">
        <v>8412</v>
      </c>
      <c r="B1845" t="s">
        <v>8412</v>
      </c>
      <c r="C1845" t="s">
        <v>1379</v>
      </c>
      <c r="D1845">
        <v>4</v>
      </c>
      <c r="E1845" t="s">
        <v>31</v>
      </c>
      <c r="F1845" t="s">
        <v>57</v>
      </c>
      <c r="G1845" s="23">
        <v>45942</v>
      </c>
      <c r="H1845" t="s">
        <v>8413</v>
      </c>
      <c r="I1845" t="s">
        <v>8414</v>
      </c>
      <c r="J1845" t="s">
        <v>8415</v>
      </c>
    </row>
    <row r="1846" spans="1:10">
      <c r="A1846" t="s">
        <v>8416</v>
      </c>
      <c r="B1846" t="s">
        <v>8416</v>
      </c>
      <c r="C1846" t="s">
        <v>8417</v>
      </c>
      <c r="D1846">
        <v>10</v>
      </c>
      <c r="E1846" t="s">
        <v>33</v>
      </c>
      <c r="F1846" t="s">
        <v>57</v>
      </c>
      <c r="G1846" s="23">
        <v>46185</v>
      </c>
      <c r="H1846" t="s">
        <v>8418</v>
      </c>
      <c r="I1846" t="s">
        <v>8419</v>
      </c>
      <c r="J1846" t="s">
        <v>8420</v>
      </c>
    </row>
    <row r="1847" spans="1:10">
      <c r="A1847" t="s">
        <v>8421</v>
      </c>
      <c r="B1847" t="s">
        <v>8421</v>
      </c>
      <c r="C1847" t="s">
        <v>8422</v>
      </c>
      <c r="D1847">
        <v>71</v>
      </c>
      <c r="E1847" t="s">
        <v>31</v>
      </c>
      <c r="F1847" t="s">
        <v>63</v>
      </c>
      <c r="G1847" s="23">
        <v>43140</v>
      </c>
      <c r="H1847" t="s">
        <v>8423</v>
      </c>
      <c r="I1847" t="s">
        <v>8424</v>
      </c>
      <c r="J1847" t="s">
        <v>8425</v>
      </c>
    </row>
    <row r="1848" spans="1:10">
      <c r="A1848" t="s">
        <v>8426</v>
      </c>
      <c r="B1848" t="s">
        <v>8426</v>
      </c>
      <c r="C1848" t="s">
        <v>8422</v>
      </c>
      <c r="D1848">
        <v>11</v>
      </c>
      <c r="E1848" t="s">
        <v>35</v>
      </c>
      <c r="F1848" t="s">
        <v>57</v>
      </c>
      <c r="G1848" s="23">
        <v>43112</v>
      </c>
      <c r="H1848" t="s">
        <v>8427</v>
      </c>
      <c r="I1848" t="s">
        <v>8428</v>
      </c>
      <c r="J1848" t="s">
        <v>8429</v>
      </c>
    </row>
    <row r="1849" spans="1:10">
      <c r="A1849" t="s">
        <v>8430</v>
      </c>
      <c r="B1849" t="s">
        <v>8430</v>
      </c>
      <c r="C1849" t="s">
        <v>8431</v>
      </c>
      <c r="D1849">
        <v>8</v>
      </c>
      <c r="E1849" t="s">
        <v>33</v>
      </c>
      <c r="F1849" t="s">
        <v>57</v>
      </c>
      <c r="G1849" s="23">
        <v>43849</v>
      </c>
      <c r="H1849" t="s">
        <v>8432</v>
      </c>
      <c r="I1849" t="s">
        <v>8433</v>
      </c>
      <c r="J1849" t="s">
        <v>8434</v>
      </c>
    </row>
    <row r="1850" spans="1:10">
      <c r="A1850" t="s">
        <v>8435</v>
      </c>
      <c r="B1850" t="s">
        <v>8435</v>
      </c>
      <c r="C1850" t="s">
        <v>8436</v>
      </c>
      <c r="D1850">
        <v>100</v>
      </c>
      <c r="E1850" t="s">
        <v>33</v>
      </c>
      <c r="F1850" t="s">
        <v>63</v>
      </c>
      <c r="G1850" s="23">
        <v>43877</v>
      </c>
      <c r="H1850" t="s">
        <v>8437</v>
      </c>
      <c r="I1850" t="s">
        <v>8438</v>
      </c>
      <c r="J1850" t="s">
        <v>8439</v>
      </c>
    </row>
    <row r="1851" spans="1:10">
      <c r="A1851" t="s">
        <v>8440</v>
      </c>
      <c r="B1851" t="s">
        <v>8440</v>
      </c>
      <c r="C1851" t="s">
        <v>8441</v>
      </c>
      <c r="D1851">
        <v>7</v>
      </c>
      <c r="E1851" t="s">
        <v>27</v>
      </c>
      <c r="F1851" t="s">
        <v>63</v>
      </c>
      <c r="G1851" s="23">
        <v>41493</v>
      </c>
      <c r="H1851" t="s">
        <v>8442</v>
      </c>
      <c r="I1851" t="s">
        <v>8443</v>
      </c>
      <c r="J1851" t="s">
        <v>8444</v>
      </c>
    </row>
    <row r="1852" spans="1:10">
      <c r="A1852" t="s">
        <v>8445</v>
      </c>
      <c r="B1852" t="s">
        <v>8445</v>
      </c>
      <c r="C1852" t="s">
        <v>8446</v>
      </c>
      <c r="D1852">
        <v>7</v>
      </c>
      <c r="E1852" t="s">
        <v>27</v>
      </c>
      <c r="F1852" t="s">
        <v>63</v>
      </c>
      <c r="G1852" s="23">
        <v>42293</v>
      </c>
      <c r="H1852" t="s">
        <v>8447</v>
      </c>
      <c r="I1852" t="s">
        <v>8448</v>
      </c>
      <c r="J1852" t="s">
        <v>8449</v>
      </c>
    </row>
    <row r="1853" spans="1:10">
      <c r="A1853" t="s">
        <v>8450</v>
      </c>
      <c r="B1853" t="s">
        <v>8450</v>
      </c>
      <c r="C1853" t="s">
        <v>8451</v>
      </c>
      <c r="D1853">
        <v>32</v>
      </c>
      <c r="E1853" t="s">
        <v>31</v>
      </c>
      <c r="F1853" t="s">
        <v>63</v>
      </c>
      <c r="G1853" s="23">
        <v>44474</v>
      </c>
      <c r="H1853" t="s">
        <v>8452</v>
      </c>
      <c r="I1853" t="s">
        <v>8453</v>
      </c>
      <c r="J1853" t="s">
        <v>8454</v>
      </c>
    </row>
    <row r="1854" spans="1:10">
      <c r="A1854" t="s">
        <v>8455</v>
      </c>
      <c r="B1854" t="s">
        <v>8455</v>
      </c>
      <c r="C1854" t="s">
        <v>8456</v>
      </c>
      <c r="D1854">
        <v>5</v>
      </c>
      <c r="E1854" t="s">
        <v>27</v>
      </c>
      <c r="F1854" t="s">
        <v>63</v>
      </c>
      <c r="G1854" s="23">
        <v>42302</v>
      </c>
      <c r="H1854" t="s">
        <v>8457</v>
      </c>
      <c r="I1854" t="s">
        <v>8458</v>
      </c>
      <c r="J1854" t="s">
        <v>8459</v>
      </c>
    </row>
    <row r="1855" spans="1:10">
      <c r="A1855" t="s">
        <v>8460</v>
      </c>
      <c r="B1855" t="s">
        <v>8460</v>
      </c>
      <c r="C1855" t="s">
        <v>8461</v>
      </c>
      <c r="D1855">
        <v>77</v>
      </c>
      <c r="E1855" t="s">
        <v>29</v>
      </c>
      <c r="F1855" t="s">
        <v>63</v>
      </c>
      <c r="G1855" s="23">
        <v>45789</v>
      </c>
      <c r="H1855" t="s">
        <v>8462</v>
      </c>
      <c r="I1855" t="s">
        <v>8463</v>
      </c>
      <c r="J1855" t="s">
        <v>8464</v>
      </c>
    </row>
    <row r="1856" spans="1:10">
      <c r="A1856" t="s">
        <v>8465</v>
      </c>
      <c r="B1856" t="s">
        <v>8465</v>
      </c>
      <c r="C1856" t="s">
        <v>8461</v>
      </c>
      <c r="D1856">
        <v>87</v>
      </c>
      <c r="E1856" t="s">
        <v>29</v>
      </c>
      <c r="F1856" t="s">
        <v>63</v>
      </c>
      <c r="G1856" s="23">
        <v>41654</v>
      </c>
      <c r="H1856" t="s">
        <v>8466</v>
      </c>
      <c r="I1856" t="s">
        <v>8467</v>
      </c>
      <c r="J1856" t="s">
        <v>8468</v>
      </c>
    </row>
    <row r="1857" spans="1:10">
      <c r="A1857" t="s">
        <v>8469</v>
      </c>
      <c r="B1857" t="s">
        <v>8469</v>
      </c>
      <c r="C1857" t="s">
        <v>8451</v>
      </c>
      <c r="D1857">
        <v>31</v>
      </c>
      <c r="E1857" t="s">
        <v>29</v>
      </c>
      <c r="F1857" t="s">
        <v>63</v>
      </c>
      <c r="G1857" s="23">
        <v>44041</v>
      </c>
      <c r="H1857" t="s">
        <v>8470</v>
      </c>
      <c r="I1857" t="s">
        <v>8471</v>
      </c>
      <c r="J1857" t="s">
        <v>8472</v>
      </c>
    </row>
    <row r="1858" spans="1:10">
      <c r="A1858" t="s">
        <v>8473</v>
      </c>
      <c r="B1858" t="s">
        <v>8473</v>
      </c>
      <c r="C1858" t="s">
        <v>8451</v>
      </c>
      <c r="D1858">
        <v>33</v>
      </c>
      <c r="E1858" t="s">
        <v>31</v>
      </c>
      <c r="F1858" t="s">
        <v>63</v>
      </c>
      <c r="G1858" s="23">
        <v>44068</v>
      </c>
      <c r="H1858" t="s">
        <v>8474</v>
      </c>
      <c r="I1858" t="s">
        <v>8475</v>
      </c>
      <c r="J1858" t="s">
        <v>8476</v>
      </c>
    </row>
    <row r="1859" spans="1:10">
      <c r="A1859" t="s">
        <v>8477</v>
      </c>
      <c r="B1859" t="s">
        <v>8477</v>
      </c>
      <c r="C1859" t="s">
        <v>8478</v>
      </c>
      <c r="D1859">
        <v>6</v>
      </c>
      <c r="E1859" t="s">
        <v>27</v>
      </c>
      <c r="F1859" t="s">
        <v>63</v>
      </c>
      <c r="G1859" s="23">
        <v>41531</v>
      </c>
      <c r="H1859" t="s">
        <v>8479</v>
      </c>
      <c r="I1859" t="s">
        <v>8480</v>
      </c>
      <c r="J1859" t="s">
        <v>8481</v>
      </c>
    </row>
    <row r="1860" spans="1:10">
      <c r="A1860" t="s">
        <v>8482</v>
      </c>
      <c r="B1860" t="s">
        <v>8482</v>
      </c>
      <c r="C1860" t="s">
        <v>5827</v>
      </c>
      <c r="D1860">
        <v>14</v>
      </c>
      <c r="E1860" t="s">
        <v>27</v>
      </c>
      <c r="F1860" t="s">
        <v>63</v>
      </c>
      <c r="G1860" s="23">
        <v>41648</v>
      </c>
      <c r="H1860" t="s">
        <v>8483</v>
      </c>
      <c r="I1860" t="s">
        <v>8484</v>
      </c>
      <c r="J1860" t="s">
        <v>8485</v>
      </c>
    </row>
    <row r="1861" spans="1:10">
      <c r="A1861" t="s">
        <v>8486</v>
      </c>
      <c r="B1861" t="s">
        <v>8487</v>
      </c>
      <c r="C1861" t="s">
        <v>8488</v>
      </c>
      <c r="D1861">
        <v>8</v>
      </c>
      <c r="E1861" t="s">
        <v>27</v>
      </c>
      <c r="F1861" t="s">
        <v>63</v>
      </c>
      <c r="G1861" s="23">
        <v>41544</v>
      </c>
      <c r="H1861" t="s">
        <v>8489</v>
      </c>
      <c r="I1861" t="s">
        <v>8490</v>
      </c>
      <c r="J1861" t="s">
        <v>8491</v>
      </c>
    </row>
    <row r="1862" spans="1:10">
      <c r="A1862" t="s">
        <v>8492</v>
      </c>
      <c r="B1862" t="s">
        <v>8487</v>
      </c>
      <c r="C1862" t="s">
        <v>8493</v>
      </c>
      <c r="D1862">
        <v>0</v>
      </c>
      <c r="E1862" t="s">
        <v>29</v>
      </c>
      <c r="F1862" t="s">
        <v>63</v>
      </c>
      <c r="G1862" s="23">
        <v>42310</v>
      </c>
      <c r="H1862" t="s">
        <v>8494</v>
      </c>
      <c r="I1862" t="s">
        <v>8495</v>
      </c>
      <c r="J1862" t="s">
        <v>8496</v>
      </c>
    </row>
    <row r="1863" spans="1:10">
      <c r="A1863" t="s">
        <v>8497</v>
      </c>
      <c r="B1863" t="s">
        <v>8497</v>
      </c>
      <c r="C1863" t="s">
        <v>8498</v>
      </c>
      <c r="D1863">
        <v>7</v>
      </c>
      <c r="E1863" t="s">
        <v>29</v>
      </c>
      <c r="F1863" t="s">
        <v>63</v>
      </c>
      <c r="G1863" s="23">
        <v>41666</v>
      </c>
      <c r="H1863" t="s">
        <v>8499</v>
      </c>
      <c r="I1863" t="s">
        <v>8500</v>
      </c>
      <c r="J1863" t="s">
        <v>8501</v>
      </c>
    </row>
    <row r="1864" spans="1:10">
      <c r="A1864" t="s">
        <v>8502</v>
      </c>
      <c r="B1864" t="s">
        <v>8502</v>
      </c>
      <c r="C1864" t="s">
        <v>3219</v>
      </c>
      <c r="D1864">
        <v>12</v>
      </c>
      <c r="E1864" t="s">
        <v>31</v>
      </c>
      <c r="F1864" t="s">
        <v>57</v>
      </c>
      <c r="G1864" s="23">
        <v>46212</v>
      </c>
      <c r="H1864" t="s">
        <v>8503</v>
      </c>
      <c r="I1864" t="s">
        <v>8504</v>
      </c>
      <c r="J1864" t="s">
        <v>8505</v>
      </c>
    </row>
    <row r="1865" spans="1:10">
      <c r="A1865" t="s">
        <v>8506</v>
      </c>
      <c r="B1865" t="s">
        <v>8506</v>
      </c>
      <c r="C1865" t="s">
        <v>8507</v>
      </c>
      <c r="D1865">
        <v>9</v>
      </c>
      <c r="E1865" t="s">
        <v>27</v>
      </c>
      <c r="F1865" t="s">
        <v>63</v>
      </c>
      <c r="G1865" s="23">
        <v>42279</v>
      </c>
      <c r="H1865" t="s">
        <v>8508</v>
      </c>
      <c r="I1865" t="s">
        <v>8509</v>
      </c>
      <c r="J1865" t="s">
        <v>8510</v>
      </c>
    </row>
    <row r="1866" spans="1:10">
      <c r="A1866" t="s">
        <v>8511</v>
      </c>
      <c r="B1866" t="s">
        <v>8511</v>
      </c>
      <c r="C1866" t="s">
        <v>8512</v>
      </c>
      <c r="D1866">
        <v>20</v>
      </c>
      <c r="E1866" t="s">
        <v>34</v>
      </c>
      <c r="F1866" t="s">
        <v>57</v>
      </c>
      <c r="G1866" s="23">
        <v>43631</v>
      </c>
      <c r="H1866" t="s">
        <v>8513</v>
      </c>
      <c r="I1866" t="s">
        <v>8514</v>
      </c>
      <c r="J1866" t="s">
        <v>8515</v>
      </c>
    </row>
    <row r="1867" spans="1:10">
      <c r="A1867" t="s">
        <v>8516</v>
      </c>
      <c r="B1867" t="s">
        <v>8516</v>
      </c>
      <c r="C1867" t="s">
        <v>2823</v>
      </c>
      <c r="D1867">
        <v>8</v>
      </c>
      <c r="E1867" t="s">
        <v>31</v>
      </c>
      <c r="F1867" t="s">
        <v>63</v>
      </c>
      <c r="G1867" s="23">
        <v>41541</v>
      </c>
      <c r="H1867" t="s">
        <v>8517</v>
      </c>
      <c r="I1867" t="s">
        <v>8518</v>
      </c>
      <c r="J1867" t="s">
        <v>8519</v>
      </c>
    </row>
    <row r="1868" spans="1:10">
      <c r="A1868" t="s">
        <v>8520</v>
      </c>
      <c r="B1868" t="s">
        <v>8520</v>
      </c>
      <c r="C1868" t="s">
        <v>8521</v>
      </c>
      <c r="D1868">
        <v>7</v>
      </c>
      <c r="E1868" t="s">
        <v>29</v>
      </c>
      <c r="F1868" t="s">
        <v>63</v>
      </c>
      <c r="G1868" s="23">
        <v>42297</v>
      </c>
      <c r="H1868" t="s">
        <v>8522</v>
      </c>
      <c r="I1868" t="s">
        <v>8523</v>
      </c>
      <c r="J1868" t="s">
        <v>8524</v>
      </c>
    </row>
    <row r="1869" spans="1:10">
      <c r="A1869" t="s">
        <v>8525</v>
      </c>
      <c r="B1869" t="s">
        <v>8525</v>
      </c>
      <c r="C1869" t="s">
        <v>4132</v>
      </c>
      <c r="D1869">
        <v>70</v>
      </c>
      <c r="E1869" t="s">
        <v>29</v>
      </c>
      <c r="F1869" t="s">
        <v>63</v>
      </c>
      <c r="G1869" s="23">
        <v>43910</v>
      </c>
      <c r="H1869" t="s">
        <v>8526</v>
      </c>
      <c r="I1869" t="s">
        <v>8527</v>
      </c>
      <c r="J1869" t="s">
        <v>8528</v>
      </c>
    </row>
    <row r="1870" spans="1:10">
      <c r="A1870" t="s">
        <v>8529</v>
      </c>
      <c r="B1870" t="s">
        <v>8529</v>
      </c>
      <c r="C1870" t="s">
        <v>4132</v>
      </c>
      <c r="D1870">
        <v>19</v>
      </c>
      <c r="E1870" t="s">
        <v>29</v>
      </c>
      <c r="F1870" t="s">
        <v>63</v>
      </c>
      <c r="G1870" s="23">
        <v>46074</v>
      </c>
      <c r="H1870" t="s">
        <v>8530</v>
      </c>
      <c r="I1870" t="s">
        <v>8531</v>
      </c>
      <c r="J1870" t="s">
        <v>8532</v>
      </c>
    </row>
    <row r="1871" spans="1:10">
      <c r="A1871" t="s">
        <v>8533</v>
      </c>
      <c r="B1871" t="s">
        <v>8533</v>
      </c>
      <c r="C1871" t="s">
        <v>8534</v>
      </c>
      <c r="D1871">
        <v>24</v>
      </c>
      <c r="E1871" t="s">
        <v>33</v>
      </c>
      <c r="F1871" t="s">
        <v>63</v>
      </c>
      <c r="G1871" s="23">
        <v>45192</v>
      </c>
      <c r="H1871" t="s">
        <v>8535</v>
      </c>
      <c r="I1871" t="s">
        <v>8536</v>
      </c>
      <c r="J1871" t="s">
        <v>8537</v>
      </c>
    </row>
    <row r="1872" spans="1:10">
      <c r="A1872" t="s">
        <v>8538</v>
      </c>
      <c r="B1872" t="s">
        <v>8538</v>
      </c>
      <c r="C1872" t="s">
        <v>1497</v>
      </c>
      <c r="D1872">
        <v>24</v>
      </c>
      <c r="E1872" t="s">
        <v>31</v>
      </c>
      <c r="F1872" t="s">
        <v>63</v>
      </c>
      <c r="G1872" s="23">
        <v>42847</v>
      </c>
      <c r="H1872" t="s">
        <v>8539</v>
      </c>
      <c r="I1872" t="s">
        <v>8540</v>
      </c>
      <c r="J1872" t="s">
        <v>8541</v>
      </c>
    </row>
    <row r="1873" spans="1:10">
      <c r="A1873" t="s">
        <v>8542</v>
      </c>
      <c r="B1873" t="s">
        <v>8542</v>
      </c>
      <c r="C1873" t="s">
        <v>8543</v>
      </c>
      <c r="D1873">
        <v>44</v>
      </c>
      <c r="E1873" t="s">
        <v>31</v>
      </c>
      <c r="F1873" t="s">
        <v>63</v>
      </c>
      <c r="G1873" s="23">
        <v>43861</v>
      </c>
      <c r="H1873" t="s">
        <v>8544</v>
      </c>
      <c r="I1873" t="s">
        <v>8545</v>
      </c>
      <c r="J1873" t="s">
        <v>8546</v>
      </c>
    </row>
    <row r="1874" spans="1:10">
      <c r="A1874" t="s">
        <v>8547</v>
      </c>
      <c r="B1874" t="s">
        <v>8547</v>
      </c>
      <c r="C1874" t="s">
        <v>3262</v>
      </c>
      <c r="D1874">
        <v>8</v>
      </c>
      <c r="E1874" t="s">
        <v>29</v>
      </c>
      <c r="F1874" t="s">
        <v>63</v>
      </c>
      <c r="G1874" s="23">
        <v>43155</v>
      </c>
      <c r="H1874" t="s">
        <v>8548</v>
      </c>
      <c r="I1874" t="s">
        <v>8549</v>
      </c>
      <c r="J1874" t="s">
        <v>8550</v>
      </c>
    </row>
    <row r="1875" spans="1:10">
      <c r="A1875" t="s">
        <v>8551</v>
      </c>
      <c r="B1875" t="s">
        <v>8551</v>
      </c>
      <c r="C1875" t="s">
        <v>3957</v>
      </c>
      <c r="D1875">
        <v>79</v>
      </c>
      <c r="E1875" t="s">
        <v>33</v>
      </c>
      <c r="F1875" t="s">
        <v>63</v>
      </c>
      <c r="G1875" s="23">
        <v>44213</v>
      </c>
      <c r="H1875" t="s">
        <v>8552</v>
      </c>
      <c r="I1875" t="s">
        <v>8553</v>
      </c>
      <c r="J1875" t="s">
        <v>8554</v>
      </c>
    </row>
    <row r="1876" spans="1:10">
      <c r="A1876" t="s">
        <v>8555</v>
      </c>
      <c r="B1876" t="s">
        <v>8555</v>
      </c>
      <c r="C1876" t="s">
        <v>8556</v>
      </c>
      <c r="D1876">
        <v>29</v>
      </c>
      <c r="E1876" t="s">
        <v>29</v>
      </c>
      <c r="F1876" t="s">
        <v>63</v>
      </c>
      <c r="G1876" s="23">
        <v>42213</v>
      </c>
      <c r="H1876" t="s">
        <v>8557</v>
      </c>
      <c r="I1876" t="s">
        <v>8558</v>
      </c>
      <c r="J1876" t="s">
        <v>8559</v>
      </c>
    </row>
    <row r="1877" spans="1:10">
      <c r="A1877" t="s">
        <v>8560</v>
      </c>
      <c r="B1877" t="s">
        <v>8560</v>
      </c>
      <c r="C1877" t="s">
        <v>8561</v>
      </c>
      <c r="D1877">
        <v>17</v>
      </c>
      <c r="E1877" t="s">
        <v>29</v>
      </c>
      <c r="F1877" t="s">
        <v>63</v>
      </c>
      <c r="G1877" s="23">
        <v>42223</v>
      </c>
      <c r="H1877" t="s">
        <v>8562</v>
      </c>
      <c r="I1877" t="s">
        <v>8563</v>
      </c>
      <c r="J1877" t="s">
        <v>8564</v>
      </c>
    </row>
    <row r="1878" spans="1:10">
      <c r="A1878" t="s">
        <v>8565</v>
      </c>
      <c r="B1878" t="s">
        <v>8565</v>
      </c>
      <c r="C1878" t="s">
        <v>7625</v>
      </c>
      <c r="D1878">
        <v>5</v>
      </c>
      <c r="E1878" t="s">
        <v>27</v>
      </c>
      <c r="F1878" t="s">
        <v>63</v>
      </c>
      <c r="G1878" s="23">
        <v>41528</v>
      </c>
      <c r="H1878" t="s">
        <v>8566</v>
      </c>
      <c r="I1878" t="s">
        <v>8567</v>
      </c>
      <c r="J1878" t="s">
        <v>8568</v>
      </c>
    </row>
    <row r="1879" spans="1:10">
      <c r="A1879" t="s">
        <v>8569</v>
      </c>
      <c r="B1879" t="s">
        <v>8569</v>
      </c>
      <c r="C1879" t="s">
        <v>8570</v>
      </c>
      <c r="D1879">
        <v>31</v>
      </c>
      <c r="E1879" t="s">
        <v>29</v>
      </c>
      <c r="F1879" t="s">
        <v>63</v>
      </c>
      <c r="G1879" s="23">
        <v>45333</v>
      </c>
      <c r="H1879" t="s">
        <v>8571</v>
      </c>
      <c r="I1879" t="s">
        <v>8572</v>
      </c>
      <c r="J1879" t="s">
        <v>8573</v>
      </c>
    </row>
    <row r="1880" spans="1:10">
      <c r="A1880" t="s">
        <v>8574</v>
      </c>
      <c r="B1880" t="s">
        <v>8574</v>
      </c>
      <c r="C1880" t="s">
        <v>8461</v>
      </c>
      <c r="D1880">
        <v>22</v>
      </c>
      <c r="E1880" t="s">
        <v>31</v>
      </c>
      <c r="F1880" t="s">
        <v>63</v>
      </c>
      <c r="G1880" s="23">
        <v>41571</v>
      </c>
      <c r="H1880" t="s">
        <v>8575</v>
      </c>
      <c r="I1880" t="s">
        <v>8576</v>
      </c>
      <c r="J1880" t="s">
        <v>8577</v>
      </c>
    </row>
    <row r="1881" spans="1:10">
      <c r="A1881" t="s">
        <v>8578</v>
      </c>
      <c r="B1881" t="s">
        <v>8578</v>
      </c>
      <c r="C1881" t="s">
        <v>8461</v>
      </c>
      <c r="D1881">
        <v>75</v>
      </c>
      <c r="E1881" t="s">
        <v>29</v>
      </c>
      <c r="F1881" t="s">
        <v>63</v>
      </c>
      <c r="G1881" s="23">
        <v>43271</v>
      </c>
      <c r="H1881" t="s">
        <v>8579</v>
      </c>
      <c r="I1881" t="s">
        <v>8580</v>
      </c>
      <c r="J1881" t="s">
        <v>8581</v>
      </c>
    </row>
    <row r="1882" spans="1:10">
      <c r="A1882" t="s">
        <v>8582</v>
      </c>
      <c r="B1882" t="s">
        <v>8582</v>
      </c>
      <c r="C1882" t="s">
        <v>8583</v>
      </c>
      <c r="D1882">
        <v>120</v>
      </c>
      <c r="E1882" t="s">
        <v>33</v>
      </c>
      <c r="F1882" t="s">
        <v>63</v>
      </c>
      <c r="G1882" s="23">
        <v>46168</v>
      </c>
      <c r="H1882" t="s">
        <v>8584</v>
      </c>
      <c r="I1882" t="s">
        <v>8585</v>
      </c>
      <c r="J1882" t="s">
        <v>8586</v>
      </c>
    </row>
    <row r="1883" spans="1:10">
      <c r="A1883" t="s">
        <v>8587</v>
      </c>
      <c r="B1883" t="s">
        <v>8587</v>
      </c>
      <c r="C1883" t="s">
        <v>8588</v>
      </c>
      <c r="D1883">
        <v>2</v>
      </c>
      <c r="E1883" t="s">
        <v>29</v>
      </c>
      <c r="F1883" t="s">
        <v>63</v>
      </c>
      <c r="G1883" s="23">
        <v>42209</v>
      </c>
      <c r="H1883" t="s">
        <v>8589</v>
      </c>
      <c r="I1883" t="s">
        <v>8590</v>
      </c>
      <c r="J1883" t="s">
        <v>8591</v>
      </c>
    </row>
    <row r="1884" spans="1:10">
      <c r="A1884" t="s">
        <v>8592</v>
      </c>
      <c r="B1884" t="s">
        <v>8592</v>
      </c>
      <c r="C1884" t="s">
        <v>3560</v>
      </c>
      <c r="D1884">
        <v>19</v>
      </c>
      <c r="E1884" t="s">
        <v>29</v>
      </c>
      <c r="F1884" t="s">
        <v>63</v>
      </c>
      <c r="G1884" s="23">
        <v>42221</v>
      </c>
      <c r="H1884" t="s">
        <v>8593</v>
      </c>
      <c r="I1884" t="s">
        <v>8594</v>
      </c>
      <c r="J1884" t="s">
        <v>8595</v>
      </c>
    </row>
    <row r="1885" spans="1:10">
      <c r="A1885" t="s">
        <v>8596</v>
      </c>
      <c r="B1885" t="s">
        <v>8596</v>
      </c>
      <c r="C1885" t="s">
        <v>1402</v>
      </c>
      <c r="D1885">
        <v>89</v>
      </c>
      <c r="E1885" t="s">
        <v>31</v>
      </c>
      <c r="F1885" t="s">
        <v>63</v>
      </c>
      <c r="G1885" s="23">
        <v>45364</v>
      </c>
      <c r="H1885" t="s">
        <v>8597</v>
      </c>
      <c r="I1885" t="s">
        <v>8598</v>
      </c>
      <c r="J1885" t="s">
        <v>8599</v>
      </c>
    </row>
    <row r="1886" spans="1:10">
      <c r="A1886" t="s">
        <v>8600</v>
      </c>
      <c r="B1886" t="s">
        <v>8600</v>
      </c>
      <c r="C1886" t="s">
        <v>8601</v>
      </c>
      <c r="D1886">
        <v>14</v>
      </c>
      <c r="E1886" t="s">
        <v>29</v>
      </c>
      <c r="F1886" t="s">
        <v>63</v>
      </c>
      <c r="G1886" s="23">
        <v>42222</v>
      </c>
      <c r="H1886" t="s">
        <v>8602</v>
      </c>
      <c r="I1886" t="s">
        <v>8603</v>
      </c>
      <c r="J1886" t="s">
        <v>8604</v>
      </c>
    </row>
    <row r="1887" spans="1:10">
      <c r="A1887" t="s">
        <v>8605</v>
      </c>
      <c r="B1887" t="s">
        <v>8605</v>
      </c>
      <c r="C1887" t="s">
        <v>8606</v>
      </c>
      <c r="D1887">
        <v>66</v>
      </c>
      <c r="E1887" t="s">
        <v>29</v>
      </c>
      <c r="F1887" t="s">
        <v>63</v>
      </c>
      <c r="G1887" s="23">
        <v>43338</v>
      </c>
      <c r="H1887" t="s">
        <v>8607</v>
      </c>
      <c r="I1887" t="s">
        <v>8608</v>
      </c>
      <c r="J1887" t="s">
        <v>8609</v>
      </c>
    </row>
    <row r="1888" spans="1:10">
      <c r="A1888" t="s">
        <v>8610</v>
      </c>
      <c r="B1888" t="s">
        <v>8610</v>
      </c>
      <c r="C1888" t="s">
        <v>8611</v>
      </c>
      <c r="D1888">
        <v>24</v>
      </c>
      <c r="E1888" t="s">
        <v>29</v>
      </c>
      <c r="F1888" t="s">
        <v>63</v>
      </c>
      <c r="G1888" s="23">
        <v>42220</v>
      </c>
      <c r="H1888" t="s">
        <v>8612</v>
      </c>
      <c r="I1888" t="s">
        <v>8613</v>
      </c>
      <c r="J1888" t="s">
        <v>8614</v>
      </c>
    </row>
    <row r="1889" spans="1:10">
      <c r="A1889" t="s">
        <v>8615</v>
      </c>
      <c r="B1889" t="s">
        <v>8615</v>
      </c>
      <c r="C1889" t="s">
        <v>6277</v>
      </c>
      <c r="D1889">
        <v>0</v>
      </c>
      <c r="E1889" t="s">
        <v>27</v>
      </c>
      <c r="F1889" t="s">
        <v>63</v>
      </c>
      <c r="G1889" s="23">
        <v>42213</v>
      </c>
      <c r="H1889" t="s">
        <v>8616</v>
      </c>
      <c r="I1889" t="s">
        <v>8617</v>
      </c>
      <c r="J1889" t="s">
        <v>8618</v>
      </c>
    </row>
    <row r="1890" spans="1:10">
      <c r="A1890" t="s">
        <v>8619</v>
      </c>
      <c r="B1890" t="s">
        <v>8619</v>
      </c>
      <c r="C1890" t="s">
        <v>8606</v>
      </c>
      <c r="D1890">
        <v>70</v>
      </c>
      <c r="E1890" t="s">
        <v>29</v>
      </c>
      <c r="F1890" t="s">
        <v>63</v>
      </c>
      <c r="G1890" s="23">
        <v>41818</v>
      </c>
      <c r="H1890" t="s">
        <v>8620</v>
      </c>
      <c r="I1890" t="s">
        <v>8621</v>
      </c>
      <c r="J1890" t="s">
        <v>8622</v>
      </c>
    </row>
    <row r="1891" spans="1:10">
      <c r="A1891" t="s">
        <v>8623</v>
      </c>
      <c r="B1891" t="s">
        <v>8623</v>
      </c>
      <c r="C1891" t="s">
        <v>3666</v>
      </c>
      <c r="D1891">
        <v>88</v>
      </c>
      <c r="E1891" t="s">
        <v>29</v>
      </c>
      <c r="F1891" t="s">
        <v>63</v>
      </c>
      <c r="G1891" s="23">
        <v>42218</v>
      </c>
      <c r="H1891" t="s">
        <v>8624</v>
      </c>
      <c r="I1891" t="s">
        <v>8625</v>
      </c>
      <c r="J1891" t="s">
        <v>8626</v>
      </c>
    </row>
    <row r="1892" spans="1:10">
      <c r="A1892" t="s">
        <v>8627</v>
      </c>
      <c r="B1892" t="s">
        <v>8627</v>
      </c>
      <c r="C1892" t="s">
        <v>8628</v>
      </c>
      <c r="D1892">
        <v>27</v>
      </c>
      <c r="E1892" t="s">
        <v>31</v>
      </c>
      <c r="F1892" t="s">
        <v>63</v>
      </c>
      <c r="G1892" s="23">
        <v>41690</v>
      </c>
      <c r="H1892" t="s">
        <v>8629</v>
      </c>
      <c r="I1892" t="s">
        <v>8630</v>
      </c>
      <c r="J1892" t="s">
        <v>8631</v>
      </c>
    </row>
    <row r="1893" spans="1:10">
      <c r="A1893" t="s">
        <v>8632</v>
      </c>
      <c r="B1893" t="s">
        <v>8632</v>
      </c>
      <c r="C1893" t="s">
        <v>5711</v>
      </c>
      <c r="D1893">
        <v>76</v>
      </c>
      <c r="E1893" t="s">
        <v>29</v>
      </c>
      <c r="F1893" t="s">
        <v>63</v>
      </c>
      <c r="G1893" s="23">
        <v>42280</v>
      </c>
      <c r="H1893" t="s">
        <v>8633</v>
      </c>
      <c r="I1893" t="s">
        <v>8634</v>
      </c>
      <c r="J1893" t="s">
        <v>8635</v>
      </c>
    </row>
    <row r="1894" spans="1:10">
      <c r="A1894" t="s">
        <v>8636</v>
      </c>
      <c r="B1894" t="s">
        <v>8636</v>
      </c>
      <c r="C1894" t="s">
        <v>8637</v>
      </c>
      <c r="D1894">
        <v>18</v>
      </c>
      <c r="E1894" t="s">
        <v>29</v>
      </c>
      <c r="F1894" t="s">
        <v>63</v>
      </c>
      <c r="G1894" s="23">
        <v>44739</v>
      </c>
      <c r="H1894" t="s">
        <v>8638</v>
      </c>
      <c r="I1894" t="s">
        <v>8639</v>
      </c>
      <c r="J1894" t="s">
        <v>8640</v>
      </c>
    </row>
    <row r="1895" spans="1:10">
      <c r="A1895" t="s">
        <v>8641</v>
      </c>
      <c r="B1895" t="s">
        <v>8641</v>
      </c>
      <c r="C1895" t="s">
        <v>504</v>
      </c>
      <c r="D1895">
        <v>85</v>
      </c>
      <c r="E1895" t="s">
        <v>27</v>
      </c>
      <c r="F1895" t="s">
        <v>63</v>
      </c>
      <c r="G1895" s="23">
        <v>42288</v>
      </c>
      <c r="H1895" t="s">
        <v>8642</v>
      </c>
      <c r="I1895" t="s">
        <v>8643</v>
      </c>
      <c r="J1895" t="s">
        <v>8644</v>
      </c>
    </row>
    <row r="1896" spans="1:10">
      <c r="A1896" t="s">
        <v>8645</v>
      </c>
      <c r="B1896" t="s">
        <v>8645</v>
      </c>
      <c r="C1896" t="s">
        <v>3162</v>
      </c>
      <c r="D1896">
        <v>10</v>
      </c>
      <c r="E1896" t="s">
        <v>29</v>
      </c>
      <c r="F1896" t="s">
        <v>63</v>
      </c>
      <c r="G1896" s="23">
        <v>44190</v>
      </c>
      <c r="H1896" t="s">
        <v>8646</v>
      </c>
      <c r="I1896" t="s">
        <v>8647</v>
      </c>
      <c r="J1896" t="s">
        <v>8648</v>
      </c>
    </row>
    <row r="1897" spans="1:10">
      <c r="A1897" t="s">
        <v>8649</v>
      </c>
      <c r="B1897" t="s">
        <v>8649</v>
      </c>
      <c r="C1897" t="s">
        <v>8606</v>
      </c>
      <c r="D1897">
        <v>8</v>
      </c>
      <c r="E1897" t="s">
        <v>27</v>
      </c>
      <c r="F1897" t="s">
        <v>63</v>
      </c>
      <c r="G1897" s="23">
        <v>41511</v>
      </c>
      <c r="H1897" t="s">
        <v>8650</v>
      </c>
      <c r="I1897" t="s">
        <v>8651</v>
      </c>
      <c r="J1897" t="s">
        <v>8652</v>
      </c>
    </row>
    <row r="1898" spans="1:10">
      <c r="A1898" t="s">
        <v>8653</v>
      </c>
      <c r="B1898" t="s">
        <v>8653</v>
      </c>
      <c r="C1898" t="s">
        <v>2057</v>
      </c>
      <c r="D1898">
        <v>1</v>
      </c>
      <c r="E1898" t="s">
        <v>27</v>
      </c>
      <c r="F1898" t="s">
        <v>63</v>
      </c>
      <c r="G1898" s="23">
        <v>42207</v>
      </c>
      <c r="H1898" t="s">
        <v>8654</v>
      </c>
      <c r="I1898" t="s">
        <v>8655</v>
      </c>
      <c r="J1898" t="s">
        <v>8656</v>
      </c>
    </row>
    <row r="1899" spans="1:10">
      <c r="A1899" t="s">
        <v>8657</v>
      </c>
      <c r="B1899" t="s">
        <v>8657</v>
      </c>
      <c r="C1899" t="s">
        <v>8658</v>
      </c>
      <c r="D1899">
        <v>42</v>
      </c>
      <c r="E1899" t="s">
        <v>29</v>
      </c>
      <c r="F1899" t="s">
        <v>63</v>
      </c>
      <c r="G1899" s="23">
        <v>42298</v>
      </c>
      <c r="H1899" t="s">
        <v>8659</v>
      </c>
      <c r="I1899" t="s">
        <v>8660</v>
      </c>
      <c r="J1899" t="s">
        <v>8661</v>
      </c>
    </row>
    <row r="1900" spans="1:10">
      <c r="A1900" t="s">
        <v>8662</v>
      </c>
      <c r="B1900" t="s">
        <v>8662</v>
      </c>
      <c r="C1900" t="s">
        <v>8663</v>
      </c>
      <c r="D1900">
        <v>36</v>
      </c>
      <c r="E1900" t="s">
        <v>33</v>
      </c>
      <c r="F1900" t="s">
        <v>63</v>
      </c>
      <c r="G1900" s="23">
        <v>44558</v>
      </c>
      <c r="H1900" t="s">
        <v>8664</v>
      </c>
      <c r="I1900" t="s">
        <v>8665</v>
      </c>
      <c r="J1900" t="s">
        <v>8666</v>
      </c>
    </row>
    <row r="1901" spans="1:10">
      <c r="A1901" t="s">
        <v>8667</v>
      </c>
      <c r="B1901" t="s">
        <v>8667</v>
      </c>
      <c r="C1901" t="s">
        <v>8668</v>
      </c>
      <c r="D1901">
        <v>61</v>
      </c>
      <c r="E1901" t="s">
        <v>29</v>
      </c>
      <c r="F1901" t="s">
        <v>63</v>
      </c>
      <c r="G1901" s="23">
        <v>44239</v>
      </c>
      <c r="H1901" t="s">
        <v>8669</v>
      </c>
      <c r="I1901" t="s">
        <v>8670</v>
      </c>
      <c r="J1901" t="s">
        <v>8671</v>
      </c>
    </row>
    <row r="1902" spans="1:10">
      <c r="A1902" t="s">
        <v>8672</v>
      </c>
      <c r="B1902" t="s">
        <v>8672</v>
      </c>
      <c r="C1902" t="s">
        <v>8673</v>
      </c>
      <c r="D1902">
        <v>14</v>
      </c>
      <c r="E1902" t="s">
        <v>31</v>
      </c>
      <c r="F1902" t="s">
        <v>63</v>
      </c>
      <c r="G1902" s="23">
        <v>42306</v>
      </c>
      <c r="H1902" t="s">
        <v>8674</v>
      </c>
      <c r="I1902" t="s">
        <v>8675</v>
      </c>
      <c r="J1902" t="s">
        <v>8676</v>
      </c>
    </row>
    <row r="1903" spans="1:10">
      <c r="A1903" t="s">
        <v>8677</v>
      </c>
      <c r="B1903" t="s">
        <v>8677</v>
      </c>
      <c r="C1903" t="s">
        <v>8461</v>
      </c>
      <c r="D1903">
        <v>120</v>
      </c>
      <c r="E1903" t="s">
        <v>29</v>
      </c>
      <c r="F1903" t="s">
        <v>63</v>
      </c>
      <c r="G1903" s="23">
        <v>41982</v>
      </c>
      <c r="H1903" t="s">
        <v>8678</v>
      </c>
      <c r="I1903" t="s">
        <v>8679</v>
      </c>
      <c r="J1903" t="s">
        <v>8680</v>
      </c>
    </row>
    <row r="1904" spans="1:10">
      <c r="A1904" t="s">
        <v>8681</v>
      </c>
      <c r="B1904" t="s">
        <v>8681</v>
      </c>
      <c r="C1904" t="s">
        <v>8461</v>
      </c>
      <c r="D1904">
        <v>58</v>
      </c>
      <c r="E1904" t="s">
        <v>29</v>
      </c>
      <c r="F1904" t="s">
        <v>63</v>
      </c>
      <c r="G1904" s="23">
        <v>42091</v>
      </c>
      <c r="H1904" t="s">
        <v>8682</v>
      </c>
      <c r="I1904" t="s">
        <v>8683</v>
      </c>
      <c r="J1904" t="s">
        <v>8684</v>
      </c>
    </row>
    <row r="1905" spans="1:10">
      <c r="A1905" t="s">
        <v>8685</v>
      </c>
      <c r="B1905" t="s">
        <v>8685</v>
      </c>
      <c r="C1905" t="s">
        <v>533</v>
      </c>
      <c r="D1905">
        <v>7</v>
      </c>
      <c r="E1905" t="s">
        <v>27</v>
      </c>
      <c r="F1905" t="s">
        <v>63</v>
      </c>
      <c r="G1905" s="23">
        <v>42279</v>
      </c>
      <c r="H1905" t="s">
        <v>8686</v>
      </c>
      <c r="I1905" t="s">
        <v>8687</v>
      </c>
      <c r="J1905" t="s">
        <v>8688</v>
      </c>
    </row>
    <row r="1906" spans="1:10">
      <c r="A1906" t="s">
        <v>8689</v>
      </c>
      <c r="B1906" t="s">
        <v>8689</v>
      </c>
      <c r="C1906" t="s">
        <v>4325</v>
      </c>
      <c r="D1906">
        <v>7</v>
      </c>
      <c r="E1906" t="s">
        <v>29</v>
      </c>
      <c r="F1906" t="s">
        <v>63</v>
      </c>
      <c r="G1906" s="23">
        <v>42062</v>
      </c>
      <c r="H1906" t="s">
        <v>8690</v>
      </c>
      <c r="I1906" t="s">
        <v>8691</v>
      </c>
      <c r="J1906" t="s">
        <v>8692</v>
      </c>
    </row>
    <row r="1907" spans="1:10">
      <c r="A1907" t="s">
        <v>8693</v>
      </c>
      <c r="B1907" t="s">
        <v>8693</v>
      </c>
      <c r="C1907" t="s">
        <v>3560</v>
      </c>
      <c r="D1907">
        <v>3</v>
      </c>
      <c r="E1907" t="s">
        <v>31</v>
      </c>
      <c r="F1907" t="s">
        <v>63</v>
      </c>
      <c r="G1907" s="23">
        <v>42323</v>
      </c>
      <c r="H1907" t="s">
        <v>8694</v>
      </c>
      <c r="I1907" t="s">
        <v>8695</v>
      </c>
      <c r="J1907" t="s">
        <v>8696</v>
      </c>
    </row>
    <row r="1908" spans="1:10">
      <c r="A1908" t="s">
        <v>8697</v>
      </c>
      <c r="B1908" t="s">
        <v>8697</v>
      </c>
      <c r="C1908" t="s">
        <v>8698</v>
      </c>
      <c r="D1908">
        <v>32</v>
      </c>
      <c r="E1908" t="s">
        <v>27</v>
      </c>
      <c r="F1908" t="s">
        <v>63</v>
      </c>
      <c r="G1908" s="23">
        <v>42288</v>
      </c>
      <c r="H1908" t="s">
        <v>8699</v>
      </c>
      <c r="I1908" t="s">
        <v>8700</v>
      </c>
      <c r="J1908" t="s">
        <v>8701</v>
      </c>
    </row>
    <row r="1909" spans="1:10">
      <c r="A1909" t="s">
        <v>8702</v>
      </c>
      <c r="B1909" t="s">
        <v>8702</v>
      </c>
      <c r="C1909" t="s">
        <v>7483</v>
      </c>
      <c r="D1909">
        <v>4</v>
      </c>
      <c r="E1909" t="s">
        <v>29</v>
      </c>
      <c r="F1909" t="s">
        <v>63</v>
      </c>
      <c r="G1909" s="23">
        <v>42345</v>
      </c>
      <c r="H1909" t="s">
        <v>8703</v>
      </c>
      <c r="I1909" t="s">
        <v>8704</v>
      </c>
      <c r="J1909" t="s">
        <v>8705</v>
      </c>
    </row>
    <row r="1910" spans="1:10">
      <c r="A1910" t="s">
        <v>8706</v>
      </c>
      <c r="B1910" t="s">
        <v>8706</v>
      </c>
      <c r="C1910" t="s">
        <v>5362</v>
      </c>
      <c r="D1910">
        <v>17</v>
      </c>
      <c r="E1910" t="s">
        <v>27</v>
      </c>
      <c r="F1910" t="s">
        <v>63</v>
      </c>
      <c r="G1910" s="23">
        <v>41551</v>
      </c>
      <c r="H1910" t="s">
        <v>8707</v>
      </c>
      <c r="I1910" t="s">
        <v>8708</v>
      </c>
      <c r="J1910" t="s">
        <v>8709</v>
      </c>
    </row>
    <row r="1911" spans="1:10">
      <c r="A1911" t="s">
        <v>8710</v>
      </c>
      <c r="B1911" t="s">
        <v>8710</v>
      </c>
      <c r="C1911" t="s">
        <v>8588</v>
      </c>
      <c r="D1911">
        <v>0</v>
      </c>
      <c r="E1911" t="s">
        <v>29</v>
      </c>
      <c r="F1911" t="s">
        <v>63</v>
      </c>
      <c r="G1911" s="23">
        <v>42222</v>
      </c>
      <c r="H1911" t="s">
        <v>8711</v>
      </c>
      <c r="I1911" t="s">
        <v>8712</v>
      </c>
      <c r="J1911" t="s">
        <v>8713</v>
      </c>
    </row>
    <row r="1912" spans="1:10">
      <c r="A1912" t="s">
        <v>8714</v>
      </c>
      <c r="B1912" t="s">
        <v>8714</v>
      </c>
      <c r="C1912" t="s">
        <v>504</v>
      </c>
      <c r="D1912">
        <v>47</v>
      </c>
      <c r="E1912" t="s">
        <v>29</v>
      </c>
      <c r="F1912" t="s">
        <v>63</v>
      </c>
      <c r="G1912" s="23">
        <v>42947</v>
      </c>
      <c r="H1912" t="s">
        <v>8715</v>
      </c>
      <c r="I1912" t="s">
        <v>8716</v>
      </c>
      <c r="J1912" t="s">
        <v>8717</v>
      </c>
    </row>
    <row r="1913" spans="1:10">
      <c r="A1913" t="s">
        <v>8718</v>
      </c>
      <c r="B1913" t="s">
        <v>8718</v>
      </c>
      <c r="C1913" t="s">
        <v>827</v>
      </c>
      <c r="D1913">
        <v>3</v>
      </c>
      <c r="E1913" t="s">
        <v>29</v>
      </c>
      <c r="F1913" t="s">
        <v>63</v>
      </c>
      <c r="G1913" s="23">
        <v>44652</v>
      </c>
      <c r="H1913" t="s">
        <v>8719</v>
      </c>
      <c r="I1913" t="s">
        <v>8720</v>
      </c>
      <c r="J1913" t="s">
        <v>8721</v>
      </c>
    </row>
    <row r="1914" spans="1:10">
      <c r="A1914" t="s">
        <v>8722</v>
      </c>
      <c r="B1914" t="s">
        <v>8722</v>
      </c>
      <c r="C1914" t="s">
        <v>504</v>
      </c>
      <c r="D1914">
        <v>32</v>
      </c>
      <c r="E1914" t="s">
        <v>29</v>
      </c>
      <c r="F1914" t="s">
        <v>63</v>
      </c>
      <c r="G1914" s="23">
        <v>44324</v>
      </c>
      <c r="H1914" t="s">
        <v>8723</v>
      </c>
      <c r="I1914" t="s">
        <v>8724</v>
      </c>
      <c r="J1914" t="s">
        <v>8725</v>
      </c>
    </row>
    <row r="1915" spans="1:10">
      <c r="A1915" t="s">
        <v>8726</v>
      </c>
      <c r="B1915" t="s">
        <v>8726</v>
      </c>
      <c r="C1915" t="s">
        <v>8727</v>
      </c>
      <c r="D1915">
        <v>9</v>
      </c>
      <c r="E1915" t="s">
        <v>29</v>
      </c>
      <c r="F1915" t="s">
        <v>63</v>
      </c>
      <c r="G1915" s="23">
        <v>42240</v>
      </c>
      <c r="H1915" t="s">
        <v>8728</v>
      </c>
      <c r="I1915" t="s">
        <v>8729</v>
      </c>
      <c r="J1915" t="s">
        <v>8730</v>
      </c>
    </row>
    <row r="1916" spans="1:10">
      <c r="A1916" t="s">
        <v>8731</v>
      </c>
      <c r="B1916" t="s">
        <v>8731</v>
      </c>
      <c r="C1916" t="s">
        <v>8732</v>
      </c>
      <c r="D1916">
        <v>34</v>
      </c>
      <c r="E1916" t="s">
        <v>31</v>
      </c>
      <c r="F1916" t="s">
        <v>63</v>
      </c>
      <c r="G1916" s="23">
        <v>44383</v>
      </c>
      <c r="H1916" t="s">
        <v>8733</v>
      </c>
      <c r="I1916" t="s">
        <v>8734</v>
      </c>
      <c r="J1916" t="s">
        <v>8735</v>
      </c>
    </row>
    <row r="1917" spans="1:10">
      <c r="A1917" t="s">
        <v>8736</v>
      </c>
      <c r="B1917" t="s">
        <v>8736</v>
      </c>
      <c r="C1917" t="s">
        <v>8737</v>
      </c>
      <c r="D1917">
        <v>7</v>
      </c>
      <c r="E1917" t="s">
        <v>29</v>
      </c>
      <c r="F1917" t="s">
        <v>63</v>
      </c>
      <c r="G1917" s="23">
        <v>43624</v>
      </c>
      <c r="H1917" t="s">
        <v>8738</v>
      </c>
      <c r="I1917" t="s">
        <v>8739</v>
      </c>
      <c r="J1917" t="s">
        <v>8740</v>
      </c>
    </row>
    <row r="1918" spans="1:10">
      <c r="A1918" t="s">
        <v>8741</v>
      </c>
      <c r="B1918" t="s">
        <v>8741</v>
      </c>
      <c r="C1918" t="s">
        <v>8742</v>
      </c>
      <c r="D1918">
        <v>9</v>
      </c>
      <c r="E1918" t="s">
        <v>29</v>
      </c>
      <c r="F1918" t="s">
        <v>63</v>
      </c>
      <c r="G1918" s="23">
        <v>42065</v>
      </c>
      <c r="H1918" t="s">
        <v>8743</v>
      </c>
      <c r="I1918" t="s">
        <v>8744</v>
      </c>
      <c r="J1918" t="s">
        <v>8745</v>
      </c>
    </row>
    <row r="1919" spans="1:10">
      <c r="A1919" t="s">
        <v>8746</v>
      </c>
      <c r="B1919" t="s">
        <v>8746</v>
      </c>
      <c r="C1919" t="s">
        <v>8747</v>
      </c>
      <c r="D1919">
        <v>46</v>
      </c>
      <c r="E1919" t="s">
        <v>29</v>
      </c>
      <c r="F1919" t="s">
        <v>63</v>
      </c>
      <c r="G1919" s="23">
        <v>42228</v>
      </c>
      <c r="H1919" t="s">
        <v>8748</v>
      </c>
      <c r="I1919" t="s">
        <v>8749</v>
      </c>
      <c r="J1919" t="s">
        <v>8750</v>
      </c>
    </row>
    <row r="1920" spans="1:10">
      <c r="A1920" t="s">
        <v>8751</v>
      </c>
      <c r="B1920" t="s">
        <v>8751</v>
      </c>
      <c r="C1920" t="s">
        <v>4347</v>
      </c>
      <c r="D1920">
        <v>6</v>
      </c>
      <c r="E1920" t="s">
        <v>27</v>
      </c>
      <c r="F1920" t="s">
        <v>63</v>
      </c>
      <c r="G1920" s="23">
        <v>42246</v>
      </c>
      <c r="H1920" t="s">
        <v>8752</v>
      </c>
      <c r="I1920" t="s">
        <v>8753</v>
      </c>
      <c r="J1920" t="s">
        <v>8754</v>
      </c>
    </row>
    <row r="1921" spans="1:10">
      <c r="A1921" t="s">
        <v>8755</v>
      </c>
      <c r="B1921" t="s">
        <v>8755</v>
      </c>
      <c r="C1921" t="s">
        <v>471</v>
      </c>
      <c r="D1921">
        <v>59</v>
      </c>
      <c r="E1921" t="s">
        <v>29</v>
      </c>
      <c r="F1921" t="s">
        <v>63</v>
      </c>
      <c r="G1921" s="23">
        <v>42726</v>
      </c>
      <c r="H1921" t="s">
        <v>8756</v>
      </c>
      <c r="I1921" t="s">
        <v>8757</v>
      </c>
      <c r="J1921" t="s">
        <v>8758</v>
      </c>
    </row>
    <row r="1922" spans="1:10">
      <c r="A1922" t="s">
        <v>8759</v>
      </c>
      <c r="B1922" t="s">
        <v>8759</v>
      </c>
      <c r="C1922" t="s">
        <v>4506</v>
      </c>
      <c r="D1922">
        <v>48</v>
      </c>
      <c r="E1922" t="s">
        <v>29</v>
      </c>
      <c r="F1922" t="s">
        <v>63</v>
      </c>
      <c r="G1922" s="23">
        <v>46015</v>
      </c>
      <c r="H1922" t="s">
        <v>8760</v>
      </c>
      <c r="I1922" t="s">
        <v>8761</v>
      </c>
      <c r="J1922" t="s">
        <v>8762</v>
      </c>
    </row>
    <row r="1923" spans="1:10">
      <c r="A1923" t="s">
        <v>8763</v>
      </c>
      <c r="B1923" t="s">
        <v>8763</v>
      </c>
      <c r="C1923" t="s">
        <v>8764</v>
      </c>
      <c r="D1923">
        <v>12</v>
      </c>
      <c r="E1923" t="s">
        <v>29</v>
      </c>
      <c r="F1923" t="s">
        <v>63</v>
      </c>
      <c r="G1923" s="23">
        <v>42873</v>
      </c>
      <c r="H1923" t="s">
        <v>8765</v>
      </c>
      <c r="I1923" t="s">
        <v>8766</v>
      </c>
      <c r="J1923" t="s">
        <v>8767</v>
      </c>
    </row>
    <row r="1924" spans="1:10">
      <c r="A1924" t="s">
        <v>8768</v>
      </c>
      <c r="B1924" t="s">
        <v>8768</v>
      </c>
      <c r="C1924" t="s">
        <v>8769</v>
      </c>
      <c r="D1924">
        <v>25</v>
      </c>
      <c r="E1924" t="s">
        <v>27</v>
      </c>
      <c r="F1924" t="s">
        <v>63</v>
      </c>
      <c r="G1924" s="23">
        <v>42293</v>
      </c>
      <c r="H1924" t="s">
        <v>8770</v>
      </c>
      <c r="I1924" t="s">
        <v>8771</v>
      </c>
      <c r="J1924" t="s">
        <v>8772</v>
      </c>
    </row>
    <row r="1925" spans="1:10">
      <c r="A1925" t="s">
        <v>8773</v>
      </c>
      <c r="B1925" t="s">
        <v>8773</v>
      </c>
      <c r="C1925" t="s">
        <v>8774</v>
      </c>
      <c r="D1925">
        <v>12</v>
      </c>
      <c r="E1925" t="s">
        <v>29</v>
      </c>
      <c r="F1925" t="s">
        <v>63</v>
      </c>
      <c r="G1925" s="23">
        <v>43726</v>
      </c>
      <c r="H1925" t="s">
        <v>8775</v>
      </c>
      <c r="I1925" t="s">
        <v>8776</v>
      </c>
      <c r="J1925" t="s">
        <v>8777</v>
      </c>
    </row>
    <row r="1926" spans="1:10">
      <c r="A1926" t="s">
        <v>8778</v>
      </c>
      <c r="B1926" t="s">
        <v>8778</v>
      </c>
      <c r="C1926" t="s">
        <v>8779</v>
      </c>
      <c r="D1926">
        <v>7</v>
      </c>
      <c r="E1926" t="s">
        <v>29</v>
      </c>
      <c r="F1926" t="s">
        <v>63</v>
      </c>
      <c r="G1926" s="23">
        <v>42421</v>
      </c>
      <c r="H1926" t="s">
        <v>8780</v>
      </c>
      <c r="I1926" t="s">
        <v>8781</v>
      </c>
      <c r="J1926" t="s">
        <v>8782</v>
      </c>
    </row>
    <row r="1927" spans="1:10">
      <c r="A1927" t="s">
        <v>8783</v>
      </c>
      <c r="B1927" t="s">
        <v>8783</v>
      </c>
      <c r="C1927" t="s">
        <v>5266</v>
      </c>
      <c r="D1927">
        <v>8</v>
      </c>
      <c r="E1927" t="s">
        <v>27</v>
      </c>
      <c r="F1927" t="s">
        <v>63</v>
      </c>
      <c r="G1927" s="23">
        <v>42314</v>
      </c>
      <c r="H1927" t="s">
        <v>8784</v>
      </c>
      <c r="I1927" t="s">
        <v>8785</v>
      </c>
      <c r="J1927" t="s">
        <v>8786</v>
      </c>
    </row>
    <row r="1928" spans="1:10">
      <c r="A1928" t="s">
        <v>8787</v>
      </c>
      <c r="B1928" t="s">
        <v>8787</v>
      </c>
      <c r="C1928" t="s">
        <v>8788</v>
      </c>
      <c r="D1928">
        <v>73</v>
      </c>
      <c r="E1928" t="s">
        <v>31</v>
      </c>
      <c r="F1928" t="s">
        <v>63</v>
      </c>
      <c r="G1928" s="23">
        <v>44950</v>
      </c>
      <c r="H1928" t="s">
        <v>8789</v>
      </c>
      <c r="I1928" t="s">
        <v>8790</v>
      </c>
      <c r="J1928" t="s">
        <v>8791</v>
      </c>
    </row>
    <row r="1929" spans="1:10">
      <c r="A1929" t="s">
        <v>8792</v>
      </c>
      <c r="B1929" t="s">
        <v>8792</v>
      </c>
      <c r="C1929" t="s">
        <v>8793</v>
      </c>
      <c r="D1929">
        <v>20</v>
      </c>
      <c r="E1929" t="s">
        <v>29</v>
      </c>
      <c r="F1929" t="s">
        <v>63</v>
      </c>
      <c r="G1929" s="23">
        <v>44384</v>
      </c>
      <c r="H1929" t="s">
        <v>8794</v>
      </c>
      <c r="I1929" t="s">
        <v>8795</v>
      </c>
      <c r="J1929" t="s">
        <v>8796</v>
      </c>
    </row>
    <row r="1930" spans="1:10">
      <c r="A1930" t="s">
        <v>8797</v>
      </c>
      <c r="B1930" t="s">
        <v>8797</v>
      </c>
      <c r="C1930" t="s">
        <v>8798</v>
      </c>
      <c r="D1930">
        <v>10</v>
      </c>
      <c r="E1930" t="s">
        <v>31</v>
      </c>
      <c r="F1930" t="s">
        <v>63</v>
      </c>
      <c r="G1930" s="23">
        <v>45135</v>
      </c>
      <c r="H1930" t="s">
        <v>8799</v>
      </c>
      <c r="I1930" t="s">
        <v>8800</v>
      </c>
      <c r="J1930" t="s">
        <v>8801</v>
      </c>
    </row>
    <row r="1931" spans="1:10">
      <c r="A1931" t="s">
        <v>8802</v>
      </c>
      <c r="B1931" t="s">
        <v>8802</v>
      </c>
      <c r="C1931" t="s">
        <v>8803</v>
      </c>
      <c r="D1931">
        <v>8</v>
      </c>
      <c r="E1931" t="s">
        <v>29</v>
      </c>
      <c r="F1931" t="s">
        <v>63</v>
      </c>
      <c r="G1931" s="23">
        <v>43558</v>
      </c>
      <c r="H1931" t="s">
        <v>8804</v>
      </c>
      <c r="I1931" t="s">
        <v>8805</v>
      </c>
      <c r="J1931" t="s">
        <v>8806</v>
      </c>
    </row>
    <row r="1932" spans="1:10">
      <c r="A1932" t="s">
        <v>8807</v>
      </c>
      <c r="B1932" t="s">
        <v>8807</v>
      </c>
      <c r="C1932" t="s">
        <v>3028</v>
      </c>
      <c r="D1932">
        <v>28</v>
      </c>
      <c r="E1932" t="s">
        <v>33</v>
      </c>
      <c r="F1932" t="s">
        <v>57</v>
      </c>
      <c r="G1932" s="23">
        <v>44740</v>
      </c>
      <c r="H1932" t="s">
        <v>8808</v>
      </c>
      <c r="I1932" t="s">
        <v>8809</v>
      </c>
      <c r="J1932" t="s">
        <v>8810</v>
      </c>
    </row>
    <row r="1933" spans="1:10">
      <c r="A1933" t="s">
        <v>8811</v>
      </c>
      <c r="B1933" t="s">
        <v>8811</v>
      </c>
      <c r="C1933" t="s">
        <v>5026</v>
      </c>
      <c r="D1933">
        <v>8</v>
      </c>
      <c r="E1933" t="s">
        <v>29</v>
      </c>
      <c r="F1933" t="s">
        <v>63</v>
      </c>
      <c r="G1933" s="23">
        <v>42846</v>
      </c>
      <c r="H1933" t="s">
        <v>8812</v>
      </c>
      <c r="I1933" t="s">
        <v>8813</v>
      </c>
      <c r="J1933" t="s">
        <v>8814</v>
      </c>
    </row>
    <row r="1934" spans="1:10">
      <c r="A1934" t="s">
        <v>8815</v>
      </c>
      <c r="B1934" t="s">
        <v>8815</v>
      </c>
      <c r="C1934" t="s">
        <v>8451</v>
      </c>
      <c r="D1934">
        <v>33</v>
      </c>
      <c r="E1934" t="s">
        <v>31</v>
      </c>
      <c r="F1934" t="s">
        <v>63</v>
      </c>
      <c r="G1934" s="23">
        <v>44466</v>
      </c>
      <c r="H1934" t="s">
        <v>8816</v>
      </c>
      <c r="I1934" t="s">
        <v>8817</v>
      </c>
      <c r="J1934" t="s">
        <v>8818</v>
      </c>
    </row>
    <row r="1935" spans="1:10">
      <c r="A1935" t="s">
        <v>8819</v>
      </c>
      <c r="B1935" t="s">
        <v>8819</v>
      </c>
      <c r="C1935" t="s">
        <v>8820</v>
      </c>
      <c r="D1935">
        <v>2</v>
      </c>
      <c r="E1935" t="s">
        <v>27</v>
      </c>
      <c r="F1935" t="s">
        <v>63</v>
      </c>
      <c r="G1935" s="23">
        <v>42037</v>
      </c>
      <c r="H1935" t="s">
        <v>8821</v>
      </c>
      <c r="I1935" t="s">
        <v>8822</v>
      </c>
      <c r="J1935" t="s">
        <v>8823</v>
      </c>
    </row>
    <row r="1936" spans="1:10">
      <c r="A1936" t="s">
        <v>8824</v>
      </c>
      <c r="B1936" t="s">
        <v>8824</v>
      </c>
      <c r="C1936" t="s">
        <v>8825</v>
      </c>
      <c r="D1936">
        <v>57</v>
      </c>
      <c r="E1936" t="s">
        <v>31</v>
      </c>
      <c r="F1936" t="s">
        <v>63</v>
      </c>
      <c r="G1936" s="23">
        <v>45215</v>
      </c>
      <c r="H1936" t="s">
        <v>8826</v>
      </c>
      <c r="I1936" t="s">
        <v>8827</v>
      </c>
      <c r="J1936" t="s">
        <v>8828</v>
      </c>
    </row>
    <row r="1937" spans="1:10">
      <c r="A1937" t="s">
        <v>8829</v>
      </c>
      <c r="B1937" t="s">
        <v>8829</v>
      </c>
      <c r="C1937" t="s">
        <v>8830</v>
      </c>
      <c r="D1937">
        <v>19</v>
      </c>
      <c r="E1937" t="s">
        <v>29</v>
      </c>
      <c r="F1937" t="s">
        <v>63</v>
      </c>
      <c r="G1937" s="23">
        <v>42282</v>
      </c>
      <c r="H1937" t="s">
        <v>8831</v>
      </c>
      <c r="I1937" t="s">
        <v>8832</v>
      </c>
      <c r="J1937" t="s">
        <v>8833</v>
      </c>
    </row>
    <row r="1938" spans="1:10">
      <c r="A1938" t="s">
        <v>8834</v>
      </c>
      <c r="B1938" t="s">
        <v>8834</v>
      </c>
      <c r="C1938" t="s">
        <v>4859</v>
      </c>
      <c r="D1938">
        <v>32</v>
      </c>
      <c r="E1938" t="s">
        <v>29</v>
      </c>
      <c r="F1938" t="s">
        <v>63</v>
      </c>
      <c r="G1938" s="23">
        <v>41814</v>
      </c>
      <c r="H1938" t="s">
        <v>8835</v>
      </c>
      <c r="I1938" t="s">
        <v>8836</v>
      </c>
      <c r="J1938" t="s">
        <v>8837</v>
      </c>
    </row>
    <row r="1939" spans="1:10">
      <c r="A1939" t="s">
        <v>8838</v>
      </c>
      <c r="B1939" t="s">
        <v>8838</v>
      </c>
      <c r="C1939" t="s">
        <v>4859</v>
      </c>
      <c r="D1939">
        <v>7</v>
      </c>
      <c r="E1939" t="s">
        <v>27</v>
      </c>
      <c r="F1939" t="s">
        <v>63</v>
      </c>
      <c r="G1939" s="23">
        <v>41819</v>
      </c>
      <c r="H1939" t="s">
        <v>8839</v>
      </c>
      <c r="I1939" t="s">
        <v>8840</v>
      </c>
      <c r="J1939" t="s">
        <v>8841</v>
      </c>
    </row>
    <row r="1940" spans="1:10">
      <c r="A1940" t="s">
        <v>8842</v>
      </c>
      <c r="B1940" t="s">
        <v>8842</v>
      </c>
      <c r="C1940" t="s">
        <v>2100</v>
      </c>
      <c r="D1940">
        <v>5</v>
      </c>
      <c r="E1940" t="s">
        <v>31</v>
      </c>
      <c r="F1940" t="s">
        <v>63</v>
      </c>
      <c r="G1940" s="23">
        <v>42160</v>
      </c>
      <c r="H1940" t="s">
        <v>8843</v>
      </c>
      <c r="I1940" t="s">
        <v>8844</v>
      </c>
      <c r="J1940" t="s">
        <v>8845</v>
      </c>
    </row>
    <row r="1941" spans="1:10">
      <c r="A1941" t="s">
        <v>8846</v>
      </c>
      <c r="B1941" t="s">
        <v>8846</v>
      </c>
      <c r="C1941" t="s">
        <v>8847</v>
      </c>
      <c r="D1941">
        <v>4</v>
      </c>
      <c r="E1941" t="s">
        <v>27</v>
      </c>
      <c r="F1941" t="s">
        <v>63</v>
      </c>
      <c r="G1941" s="23">
        <v>43123</v>
      </c>
      <c r="H1941" t="s">
        <v>8848</v>
      </c>
      <c r="I1941" t="s">
        <v>8849</v>
      </c>
      <c r="J1941" t="s">
        <v>8850</v>
      </c>
    </row>
    <row r="1942" spans="1:10">
      <c r="A1942" t="s">
        <v>8851</v>
      </c>
      <c r="B1942" t="s">
        <v>8851</v>
      </c>
      <c r="C1942" t="s">
        <v>8852</v>
      </c>
      <c r="D1942">
        <v>2</v>
      </c>
      <c r="E1942" t="s">
        <v>31</v>
      </c>
      <c r="F1942" t="s">
        <v>63</v>
      </c>
      <c r="G1942" s="23">
        <v>42044</v>
      </c>
      <c r="H1942" t="s">
        <v>8853</v>
      </c>
      <c r="I1942" t="s">
        <v>8854</v>
      </c>
      <c r="J1942" t="s">
        <v>8855</v>
      </c>
    </row>
    <row r="1943" spans="1:10">
      <c r="A1943" t="s">
        <v>8856</v>
      </c>
      <c r="B1943" t="s">
        <v>8856</v>
      </c>
      <c r="C1943" t="s">
        <v>8857</v>
      </c>
      <c r="D1943">
        <v>13</v>
      </c>
      <c r="E1943" t="s">
        <v>29</v>
      </c>
      <c r="F1943" t="s">
        <v>63</v>
      </c>
      <c r="G1943" s="23">
        <v>41559</v>
      </c>
      <c r="H1943" t="s">
        <v>8858</v>
      </c>
      <c r="I1943" t="s">
        <v>8859</v>
      </c>
      <c r="J1943" t="s">
        <v>8860</v>
      </c>
    </row>
    <row r="1944" spans="1:10">
      <c r="A1944" t="s">
        <v>8861</v>
      </c>
      <c r="B1944" t="s">
        <v>8861</v>
      </c>
      <c r="C1944" t="s">
        <v>2240</v>
      </c>
      <c r="D1944">
        <v>53</v>
      </c>
      <c r="E1944" t="s">
        <v>29</v>
      </c>
      <c r="F1944" t="s">
        <v>63</v>
      </c>
      <c r="G1944" s="23">
        <v>42308</v>
      </c>
      <c r="H1944" t="s">
        <v>8862</v>
      </c>
      <c r="I1944" t="s">
        <v>8863</v>
      </c>
      <c r="J1944" t="s">
        <v>8864</v>
      </c>
    </row>
    <row r="1945" spans="1:10">
      <c r="A1945" t="s">
        <v>8865</v>
      </c>
      <c r="B1945" t="s">
        <v>8865</v>
      </c>
      <c r="C1945" t="s">
        <v>8866</v>
      </c>
      <c r="D1945">
        <v>114</v>
      </c>
      <c r="E1945" t="s">
        <v>34</v>
      </c>
      <c r="F1945" t="s">
        <v>63</v>
      </c>
      <c r="G1945" s="23">
        <v>43690</v>
      </c>
      <c r="H1945" t="s">
        <v>8867</v>
      </c>
      <c r="I1945" t="s">
        <v>8868</v>
      </c>
      <c r="J1945" t="s">
        <v>8869</v>
      </c>
    </row>
    <row r="1946" spans="1:10">
      <c r="A1946" t="s">
        <v>8870</v>
      </c>
      <c r="B1946" t="s">
        <v>8870</v>
      </c>
      <c r="C1946" t="s">
        <v>8866</v>
      </c>
      <c r="D1946">
        <v>114</v>
      </c>
      <c r="E1946" t="s">
        <v>33</v>
      </c>
      <c r="F1946" t="s">
        <v>63</v>
      </c>
      <c r="G1946" s="23">
        <v>43575</v>
      </c>
      <c r="H1946" t="s">
        <v>8871</v>
      </c>
      <c r="I1946" t="s">
        <v>8872</v>
      </c>
      <c r="J1946" t="s">
        <v>8873</v>
      </c>
    </row>
    <row r="1947" spans="1:10">
      <c r="A1947" t="s">
        <v>8874</v>
      </c>
      <c r="B1947" t="s">
        <v>8874</v>
      </c>
      <c r="C1947" t="s">
        <v>8875</v>
      </c>
      <c r="D1947">
        <v>8</v>
      </c>
      <c r="E1947" t="s">
        <v>27</v>
      </c>
      <c r="F1947" t="s">
        <v>63</v>
      </c>
      <c r="G1947" s="23">
        <v>42066</v>
      </c>
      <c r="H1947" t="s">
        <v>8876</v>
      </c>
      <c r="I1947" t="s">
        <v>8877</v>
      </c>
      <c r="J1947" t="s">
        <v>8878</v>
      </c>
    </row>
    <row r="1948" spans="1:10">
      <c r="A1948" t="s">
        <v>8879</v>
      </c>
      <c r="B1948" t="s">
        <v>8879</v>
      </c>
      <c r="C1948" t="s">
        <v>8880</v>
      </c>
      <c r="D1948">
        <v>13</v>
      </c>
      <c r="E1948" t="s">
        <v>29</v>
      </c>
      <c r="F1948" t="s">
        <v>63</v>
      </c>
      <c r="G1948" s="23">
        <v>41895</v>
      </c>
      <c r="H1948" t="s">
        <v>8881</v>
      </c>
      <c r="I1948" t="s">
        <v>8882</v>
      </c>
      <c r="J1948" t="s">
        <v>8883</v>
      </c>
    </row>
    <row r="1949" spans="1:10">
      <c r="A1949" t="s">
        <v>8884</v>
      </c>
      <c r="B1949" t="s">
        <v>8884</v>
      </c>
      <c r="C1949" t="s">
        <v>5711</v>
      </c>
      <c r="D1949">
        <v>57</v>
      </c>
      <c r="E1949" t="s">
        <v>31</v>
      </c>
      <c r="F1949" t="s">
        <v>63</v>
      </c>
      <c r="G1949" s="23">
        <v>42607</v>
      </c>
      <c r="H1949" t="s">
        <v>8885</v>
      </c>
      <c r="I1949" t="s">
        <v>8886</v>
      </c>
      <c r="J1949" t="s">
        <v>8887</v>
      </c>
    </row>
    <row r="1950" spans="1:10">
      <c r="A1950" t="s">
        <v>8888</v>
      </c>
      <c r="B1950" t="s">
        <v>8888</v>
      </c>
      <c r="C1950" t="s">
        <v>504</v>
      </c>
      <c r="D1950">
        <v>70</v>
      </c>
      <c r="E1950" t="s">
        <v>29</v>
      </c>
      <c r="F1950" t="s">
        <v>63</v>
      </c>
      <c r="G1950" s="23">
        <v>42502</v>
      </c>
      <c r="H1950" t="s">
        <v>8889</v>
      </c>
      <c r="I1950" t="s">
        <v>8890</v>
      </c>
      <c r="J1950" t="s">
        <v>8891</v>
      </c>
    </row>
    <row r="1951" spans="1:10">
      <c r="A1951" t="s">
        <v>8892</v>
      </c>
      <c r="B1951" t="s">
        <v>8892</v>
      </c>
      <c r="C1951" t="s">
        <v>5711</v>
      </c>
      <c r="D1951">
        <v>28</v>
      </c>
      <c r="E1951" t="s">
        <v>29</v>
      </c>
      <c r="F1951" t="s">
        <v>63</v>
      </c>
      <c r="G1951" s="23">
        <v>42329</v>
      </c>
      <c r="H1951" t="s">
        <v>8893</v>
      </c>
      <c r="I1951" t="s">
        <v>8894</v>
      </c>
      <c r="J1951" t="s">
        <v>8895</v>
      </c>
    </row>
    <row r="1952" spans="1:10">
      <c r="A1952" t="s">
        <v>8896</v>
      </c>
      <c r="B1952" t="s">
        <v>8896</v>
      </c>
      <c r="C1952" t="s">
        <v>8897</v>
      </c>
      <c r="D1952">
        <v>3</v>
      </c>
      <c r="E1952" t="s">
        <v>27</v>
      </c>
      <c r="F1952" t="s">
        <v>63</v>
      </c>
      <c r="G1952" s="23">
        <v>42153</v>
      </c>
      <c r="H1952" t="s">
        <v>8898</v>
      </c>
      <c r="I1952" t="s">
        <v>8899</v>
      </c>
      <c r="J1952" t="s">
        <v>8900</v>
      </c>
    </row>
    <row r="1953" spans="1:10">
      <c r="A1953" t="s">
        <v>8901</v>
      </c>
      <c r="B1953" t="s">
        <v>8901</v>
      </c>
      <c r="C1953" t="s">
        <v>452</v>
      </c>
      <c r="D1953">
        <v>13</v>
      </c>
      <c r="E1953" t="s">
        <v>29</v>
      </c>
      <c r="F1953" t="s">
        <v>63</v>
      </c>
      <c r="G1953" s="23">
        <v>45497</v>
      </c>
      <c r="H1953" t="s">
        <v>8902</v>
      </c>
      <c r="I1953" t="s">
        <v>8903</v>
      </c>
      <c r="J1953" t="s">
        <v>8904</v>
      </c>
    </row>
    <row r="1954" spans="1:10">
      <c r="A1954" t="s">
        <v>8905</v>
      </c>
      <c r="B1954" t="s">
        <v>8905</v>
      </c>
      <c r="C1954" t="s">
        <v>8906</v>
      </c>
      <c r="D1954">
        <v>140</v>
      </c>
      <c r="E1954" t="s">
        <v>31</v>
      </c>
      <c r="F1954" t="s">
        <v>63</v>
      </c>
      <c r="G1954" s="23">
        <v>43247</v>
      </c>
      <c r="H1954" t="s">
        <v>8907</v>
      </c>
      <c r="I1954" t="s">
        <v>8908</v>
      </c>
      <c r="J1954" t="s">
        <v>8909</v>
      </c>
    </row>
    <row r="1955" spans="1:10">
      <c r="A1955" t="s">
        <v>8910</v>
      </c>
      <c r="B1955" t="s">
        <v>8910</v>
      </c>
      <c r="C1955" t="s">
        <v>8911</v>
      </c>
      <c r="D1955">
        <v>94</v>
      </c>
      <c r="E1955" t="s">
        <v>29</v>
      </c>
      <c r="F1955" t="s">
        <v>2433</v>
      </c>
      <c r="G1955" s="23">
        <v>43121</v>
      </c>
      <c r="H1955" t="s">
        <v>8912</v>
      </c>
      <c r="I1955" t="s">
        <v>8913</v>
      </c>
      <c r="J1955" t="s">
        <v>8914</v>
      </c>
    </row>
    <row r="1956" spans="1:10">
      <c r="A1956" t="s">
        <v>8915</v>
      </c>
      <c r="B1956" t="s">
        <v>8915</v>
      </c>
      <c r="C1956" t="s">
        <v>8916</v>
      </c>
      <c r="D1956">
        <v>16</v>
      </c>
      <c r="E1956" t="s">
        <v>29</v>
      </c>
      <c r="F1956" t="s">
        <v>63</v>
      </c>
      <c r="G1956" s="23">
        <v>42312</v>
      </c>
      <c r="H1956" t="s">
        <v>8917</v>
      </c>
      <c r="I1956" t="s">
        <v>8918</v>
      </c>
      <c r="J1956" t="s">
        <v>8919</v>
      </c>
    </row>
    <row r="1957" spans="1:10">
      <c r="A1957" t="s">
        <v>8920</v>
      </c>
      <c r="B1957" t="s">
        <v>8920</v>
      </c>
      <c r="C1957" t="s">
        <v>8921</v>
      </c>
      <c r="D1957">
        <v>10</v>
      </c>
      <c r="E1957" t="s">
        <v>33</v>
      </c>
      <c r="F1957" t="s">
        <v>63</v>
      </c>
      <c r="G1957" s="23">
        <v>42964</v>
      </c>
      <c r="H1957" t="s">
        <v>8922</v>
      </c>
      <c r="I1957" t="s">
        <v>8923</v>
      </c>
      <c r="J1957" t="s">
        <v>8924</v>
      </c>
    </row>
    <row r="1958" spans="1:10">
      <c r="A1958" t="s">
        <v>8925</v>
      </c>
      <c r="B1958" t="s">
        <v>8925</v>
      </c>
      <c r="C1958" t="s">
        <v>8926</v>
      </c>
      <c r="D1958">
        <v>21</v>
      </c>
      <c r="E1958" t="s">
        <v>34</v>
      </c>
      <c r="F1958" t="s">
        <v>115</v>
      </c>
      <c r="G1958" s="23">
        <v>46063</v>
      </c>
      <c r="H1958" t="s">
        <v>8927</v>
      </c>
      <c r="I1958" t="s">
        <v>8928</v>
      </c>
      <c r="J1958" t="s">
        <v>8929</v>
      </c>
    </row>
    <row r="1959" spans="1:10">
      <c r="A1959" t="s">
        <v>8930</v>
      </c>
      <c r="B1959" t="s">
        <v>8930</v>
      </c>
      <c r="C1959" t="s">
        <v>8931</v>
      </c>
      <c r="D1959">
        <v>9</v>
      </c>
      <c r="E1959" t="s">
        <v>29</v>
      </c>
      <c r="F1959" t="s">
        <v>63</v>
      </c>
      <c r="G1959" s="23">
        <v>46136</v>
      </c>
      <c r="H1959" t="s">
        <v>8932</v>
      </c>
      <c r="I1959" t="s">
        <v>8933</v>
      </c>
      <c r="J1959" t="s">
        <v>8934</v>
      </c>
    </row>
    <row r="1960" spans="1:10">
      <c r="A1960" t="s">
        <v>8935</v>
      </c>
      <c r="B1960" t="s">
        <v>8935</v>
      </c>
      <c r="C1960" t="s">
        <v>8936</v>
      </c>
      <c r="D1960">
        <v>4</v>
      </c>
      <c r="E1960" t="s">
        <v>27</v>
      </c>
      <c r="F1960" t="s">
        <v>63</v>
      </c>
      <c r="G1960" s="23">
        <v>42338</v>
      </c>
      <c r="H1960" t="s">
        <v>8937</v>
      </c>
      <c r="I1960" t="s">
        <v>8938</v>
      </c>
      <c r="J1960" t="s">
        <v>8939</v>
      </c>
    </row>
    <row r="1961" spans="1:10">
      <c r="A1961" t="s">
        <v>8940</v>
      </c>
      <c r="B1961" t="s">
        <v>8940</v>
      </c>
      <c r="C1961" t="s">
        <v>7530</v>
      </c>
      <c r="D1961">
        <v>36</v>
      </c>
      <c r="E1961" t="s">
        <v>29</v>
      </c>
      <c r="F1961" t="s">
        <v>63</v>
      </c>
      <c r="G1961" s="23">
        <v>42215</v>
      </c>
      <c r="H1961" t="s">
        <v>8941</v>
      </c>
      <c r="I1961" t="s">
        <v>8942</v>
      </c>
      <c r="J1961" t="s">
        <v>8943</v>
      </c>
    </row>
    <row r="1962" spans="1:10">
      <c r="A1962" t="s">
        <v>8944</v>
      </c>
      <c r="B1962" t="s">
        <v>8944</v>
      </c>
      <c r="C1962" t="s">
        <v>8945</v>
      </c>
      <c r="D1962">
        <v>20</v>
      </c>
      <c r="E1962" t="s">
        <v>29</v>
      </c>
      <c r="F1962" t="s">
        <v>63</v>
      </c>
      <c r="G1962" s="23">
        <v>41448</v>
      </c>
      <c r="H1962" t="s">
        <v>8946</v>
      </c>
      <c r="I1962" t="s">
        <v>8947</v>
      </c>
      <c r="J1962" t="s">
        <v>8948</v>
      </c>
    </row>
    <row r="1963" spans="1:10">
      <c r="A1963" t="s">
        <v>8949</v>
      </c>
      <c r="B1963" t="s">
        <v>8949</v>
      </c>
      <c r="C1963" t="s">
        <v>8950</v>
      </c>
      <c r="D1963">
        <v>100</v>
      </c>
      <c r="E1963" t="s">
        <v>31</v>
      </c>
      <c r="F1963" t="s">
        <v>63</v>
      </c>
      <c r="G1963" s="23">
        <v>41531</v>
      </c>
      <c r="H1963" t="s">
        <v>8951</v>
      </c>
      <c r="I1963" t="s">
        <v>8952</v>
      </c>
      <c r="J1963" t="s">
        <v>8953</v>
      </c>
    </row>
    <row r="1964" spans="1:10">
      <c r="A1964" t="s">
        <v>8954</v>
      </c>
      <c r="B1964" t="s">
        <v>8954</v>
      </c>
      <c r="C1964" t="s">
        <v>504</v>
      </c>
      <c r="D1964">
        <v>20</v>
      </c>
      <c r="E1964" t="s">
        <v>29</v>
      </c>
      <c r="F1964" t="s">
        <v>63</v>
      </c>
      <c r="G1964" s="23">
        <v>43961</v>
      </c>
      <c r="H1964" t="s">
        <v>8955</v>
      </c>
      <c r="I1964" t="s">
        <v>8956</v>
      </c>
      <c r="J1964" t="s">
        <v>8957</v>
      </c>
    </row>
    <row r="1965" spans="1:10">
      <c r="A1965" t="s">
        <v>8958</v>
      </c>
      <c r="B1965" t="s">
        <v>8958</v>
      </c>
      <c r="C1965" t="s">
        <v>8959</v>
      </c>
      <c r="D1965">
        <v>13</v>
      </c>
      <c r="E1965" t="s">
        <v>34</v>
      </c>
      <c r="F1965" t="s">
        <v>57</v>
      </c>
      <c r="G1965" s="23">
        <v>43260</v>
      </c>
      <c r="H1965" t="s">
        <v>8960</v>
      </c>
      <c r="I1965" t="s">
        <v>8961</v>
      </c>
      <c r="J1965" t="s">
        <v>8962</v>
      </c>
    </row>
    <row r="1966" spans="1:10">
      <c r="A1966" t="s">
        <v>8963</v>
      </c>
      <c r="B1966" t="s">
        <v>8963</v>
      </c>
      <c r="C1966" t="s">
        <v>4169</v>
      </c>
      <c r="D1966">
        <v>7</v>
      </c>
      <c r="E1966" t="s">
        <v>34</v>
      </c>
      <c r="F1966" t="s">
        <v>57</v>
      </c>
      <c r="G1966" s="23">
        <v>43017</v>
      </c>
      <c r="H1966" t="s">
        <v>8964</v>
      </c>
      <c r="I1966" t="s">
        <v>8965</v>
      </c>
      <c r="J1966" t="s">
        <v>8966</v>
      </c>
    </row>
    <row r="1967" spans="1:10">
      <c r="A1967" t="s">
        <v>8967</v>
      </c>
      <c r="B1967" t="s">
        <v>8967</v>
      </c>
      <c r="C1967" t="s">
        <v>8968</v>
      </c>
      <c r="D1967">
        <v>81</v>
      </c>
      <c r="E1967" t="s">
        <v>31</v>
      </c>
      <c r="F1967" t="s">
        <v>63</v>
      </c>
      <c r="G1967" s="23">
        <v>41531</v>
      </c>
      <c r="H1967" t="s">
        <v>8969</v>
      </c>
      <c r="I1967" t="s">
        <v>8970</v>
      </c>
      <c r="J1967" t="s">
        <v>8971</v>
      </c>
    </row>
    <row r="1968" spans="1:10">
      <c r="A1968" t="s">
        <v>8972</v>
      </c>
      <c r="B1968" t="s">
        <v>8972</v>
      </c>
      <c r="C1968" t="s">
        <v>8973</v>
      </c>
      <c r="D1968">
        <v>7</v>
      </c>
      <c r="E1968" t="s">
        <v>29</v>
      </c>
      <c r="F1968" t="s">
        <v>63</v>
      </c>
      <c r="G1968" s="23">
        <v>41517</v>
      </c>
      <c r="H1968" t="s">
        <v>8974</v>
      </c>
      <c r="I1968" t="s">
        <v>8975</v>
      </c>
      <c r="J1968" t="s">
        <v>8976</v>
      </c>
    </row>
    <row r="1969" spans="1:10">
      <c r="A1969" t="s">
        <v>8977</v>
      </c>
      <c r="B1969" t="s">
        <v>8977</v>
      </c>
      <c r="C1969" t="s">
        <v>6453</v>
      </c>
      <c r="D1969">
        <v>19</v>
      </c>
      <c r="E1969" t="s">
        <v>29</v>
      </c>
      <c r="F1969" t="s">
        <v>63</v>
      </c>
      <c r="G1969" s="23">
        <v>42166</v>
      </c>
      <c r="H1969" t="s">
        <v>8978</v>
      </c>
      <c r="I1969" t="s">
        <v>8979</v>
      </c>
      <c r="J1969" t="s">
        <v>8980</v>
      </c>
    </row>
    <row r="1970" spans="1:10">
      <c r="A1970" t="s">
        <v>8981</v>
      </c>
      <c r="B1970" t="s">
        <v>8981</v>
      </c>
      <c r="C1970" t="s">
        <v>8982</v>
      </c>
      <c r="D1970">
        <v>88</v>
      </c>
      <c r="E1970" t="s">
        <v>33</v>
      </c>
      <c r="F1970" t="s">
        <v>63</v>
      </c>
      <c r="G1970" s="23">
        <v>44208</v>
      </c>
      <c r="H1970" t="s">
        <v>8983</v>
      </c>
      <c r="I1970" t="s">
        <v>8984</v>
      </c>
      <c r="J1970" t="s">
        <v>8985</v>
      </c>
    </row>
    <row r="1971" spans="1:10">
      <c r="A1971" t="s">
        <v>8986</v>
      </c>
      <c r="B1971" t="s">
        <v>8986</v>
      </c>
      <c r="C1971" t="s">
        <v>5271</v>
      </c>
      <c r="D1971">
        <v>62</v>
      </c>
      <c r="E1971" t="s">
        <v>29</v>
      </c>
      <c r="F1971" t="s">
        <v>63</v>
      </c>
      <c r="G1971" s="23">
        <v>42304</v>
      </c>
      <c r="H1971" t="s">
        <v>8987</v>
      </c>
      <c r="I1971" t="s">
        <v>8988</v>
      </c>
      <c r="J1971" t="s">
        <v>8989</v>
      </c>
    </row>
    <row r="1972" spans="1:10">
      <c r="A1972" t="s">
        <v>8990</v>
      </c>
      <c r="B1972" t="s">
        <v>8990</v>
      </c>
      <c r="C1972" t="s">
        <v>8991</v>
      </c>
      <c r="D1972">
        <v>12</v>
      </c>
      <c r="E1972" t="s">
        <v>29</v>
      </c>
      <c r="F1972" t="s">
        <v>63</v>
      </c>
      <c r="G1972" s="23">
        <v>42065</v>
      </c>
      <c r="H1972" t="s">
        <v>8992</v>
      </c>
      <c r="I1972" t="s">
        <v>8993</v>
      </c>
      <c r="J1972" t="s">
        <v>8994</v>
      </c>
    </row>
    <row r="1973" spans="1:10">
      <c r="A1973" t="s">
        <v>8995</v>
      </c>
      <c r="B1973" t="s">
        <v>8995</v>
      </c>
      <c r="C1973" t="s">
        <v>8996</v>
      </c>
      <c r="D1973">
        <v>8</v>
      </c>
      <c r="E1973" t="s">
        <v>29</v>
      </c>
      <c r="F1973" t="s">
        <v>63</v>
      </c>
      <c r="G1973" s="23">
        <v>41517</v>
      </c>
      <c r="H1973" t="s">
        <v>8997</v>
      </c>
      <c r="I1973" t="s">
        <v>8998</v>
      </c>
      <c r="J1973" t="s">
        <v>8999</v>
      </c>
    </row>
    <row r="1974" spans="1:10">
      <c r="A1974" t="s">
        <v>9000</v>
      </c>
      <c r="B1974" t="s">
        <v>9000</v>
      </c>
      <c r="C1974" t="s">
        <v>9001</v>
      </c>
      <c r="D1974">
        <v>34</v>
      </c>
      <c r="E1974" t="s">
        <v>29</v>
      </c>
      <c r="F1974" t="s">
        <v>63</v>
      </c>
      <c r="G1974" s="23">
        <v>43281</v>
      </c>
      <c r="H1974" t="s">
        <v>9002</v>
      </c>
      <c r="I1974" t="s">
        <v>9003</v>
      </c>
      <c r="J1974" t="s">
        <v>9004</v>
      </c>
    </row>
    <row r="1975" spans="1:10">
      <c r="A1975" t="s">
        <v>9005</v>
      </c>
      <c r="B1975" t="s">
        <v>9005</v>
      </c>
      <c r="C1975" t="s">
        <v>9001</v>
      </c>
      <c r="D1975">
        <v>32</v>
      </c>
      <c r="E1975" t="s">
        <v>31</v>
      </c>
      <c r="F1975" t="s">
        <v>63</v>
      </c>
      <c r="G1975" s="23">
        <v>44242</v>
      </c>
      <c r="H1975" t="s">
        <v>9006</v>
      </c>
      <c r="I1975" t="s">
        <v>9007</v>
      </c>
      <c r="J1975" t="s">
        <v>9008</v>
      </c>
    </row>
    <row r="1976" spans="1:10">
      <c r="A1976" t="s">
        <v>9009</v>
      </c>
      <c r="B1976" t="s">
        <v>9009</v>
      </c>
      <c r="C1976" t="s">
        <v>4984</v>
      </c>
      <c r="D1976">
        <v>30</v>
      </c>
      <c r="E1976" t="s">
        <v>31</v>
      </c>
      <c r="F1976" t="s">
        <v>63</v>
      </c>
      <c r="G1976" s="23">
        <v>45206</v>
      </c>
      <c r="H1976" t="s">
        <v>9010</v>
      </c>
      <c r="I1976" t="s">
        <v>9011</v>
      </c>
      <c r="J1976" t="s">
        <v>9012</v>
      </c>
    </row>
    <row r="1977" spans="1:10">
      <c r="A1977" t="s">
        <v>9013</v>
      </c>
      <c r="B1977" t="s">
        <v>9013</v>
      </c>
      <c r="C1977" t="s">
        <v>504</v>
      </c>
      <c r="D1977">
        <v>96</v>
      </c>
      <c r="E1977" t="s">
        <v>27</v>
      </c>
      <c r="F1977" t="s">
        <v>63</v>
      </c>
      <c r="G1977" s="23">
        <v>42292</v>
      </c>
      <c r="H1977" t="s">
        <v>9014</v>
      </c>
      <c r="I1977" t="s">
        <v>9015</v>
      </c>
      <c r="J1977" t="s">
        <v>9016</v>
      </c>
    </row>
    <row r="1978" spans="1:10">
      <c r="A1978" t="s">
        <v>9017</v>
      </c>
      <c r="B1978" t="s">
        <v>9017</v>
      </c>
      <c r="C1978" t="s">
        <v>4719</v>
      </c>
      <c r="D1978">
        <v>1</v>
      </c>
      <c r="E1978" t="s">
        <v>35</v>
      </c>
      <c r="F1978" t="s">
        <v>57</v>
      </c>
      <c r="G1978" s="23">
        <v>45487</v>
      </c>
      <c r="H1978" t="s">
        <v>9018</v>
      </c>
      <c r="I1978" t="s">
        <v>9019</v>
      </c>
      <c r="J1978" t="s">
        <v>9020</v>
      </c>
    </row>
    <row r="1979" spans="1:10">
      <c r="A1979" t="s">
        <v>9021</v>
      </c>
      <c r="B1979" t="s">
        <v>9021</v>
      </c>
      <c r="C1979" t="s">
        <v>9022</v>
      </c>
      <c r="D1979">
        <v>20</v>
      </c>
      <c r="E1979" t="s">
        <v>29</v>
      </c>
      <c r="F1979" t="s">
        <v>63</v>
      </c>
      <c r="G1979" s="23">
        <v>45980</v>
      </c>
      <c r="H1979" t="s">
        <v>9023</v>
      </c>
      <c r="I1979" t="s">
        <v>9024</v>
      </c>
      <c r="J1979" t="s">
        <v>9025</v>
      </c>
    </row>
    <row r="1980" spans="1:10">
      <c r="A1980" t="s">
        <v>9026</v>
      </c>
      <c r="B1980" t="s">
        <v>9026</v>
      </c>
      <c r="C1980" t="s">
        <v>9027</v>
      </c>
      <c r="D1980">
        <v>8</v>
      </c>
      <c r="E1980" t="s">
        <v>29</v>
      </c>
      <c r="F1980" t="s">
        <v>63</v>
      </c>
      <c r="G1980" s="23">
        <v>42209</v>
      </c>
      <c r="H1980" t="s">
        <v>9028</v>
      </c>
      <c r="I1980" t="s">
        <v>9029</v>
      </c>
      <c r="J1980" t="s">
        <v>9030</v>
      </c>
    </row>
    <row r="1981" spans="1:10">
      <c r="A1981" t="s">
        <v>9031</v>
      </c>
      <c r="B1981" t="s">
        <v>9031</v>
      </c>
      <c r="C1981" t="s">
        <v>9032</v>
      </c>
      <c r="D1981">
        <v>6</v>
      </c>
      <c r="E1981" t="s">
        <v>27</v>
      </c>
      <c r="F1981" t="s">
        <v>63</v>
      </c>
      <c r="G1981" s="23">
        <v>41530</v>
      </c>
      <c r="H1981" t="s">
        <v>9033</v>
      </c>
      <c r="I1981" t="s">
        <v>9034</v>
      </c>
      <c r="J1981" t="s">
        <v>9035</v>
      </c>
    </row>
    <row r="1982" spans="1:10">
      <c r="A1982" t="s">
        <v>9036</v>
      </c>
      <c r="B1982" t="s">
        <v>9036</v>
      </c>
      <c r="C1982" t="s">
        <v>9037</v>
      </c>
      <c r="D1982">
        <v>75</v>
      </c>
      <c r="E1982" t="s">
        <v>29</v>
      </c>
      <c r="F1982" t="s">
        <v>63</v>
      </c>
      <c r="G1982" s="23">
        <v>44693</v>
      </c>
      <c r="H1982" t="s">
        <v>9038</v>
      </c>
      <c r="I1982" t="s">
        <v>9039</v>
      </c>
      <c r="J1982" t="s">
        <v>9040</v>
      </c>
    </row>
    <row r="1983" spans="1:10">
      <c r="A1983" t="s">
        <v>9041</v>
      </c>
      <c r="B1983" t="s">
        <v>9041</v>
      </c>
      <c r="C1983" t="s">
        <v>9042</v>
      </c>
      <c r="D1983">
        <v>17</v>
      </c>
      <c r="E1983" t="s">
        <v>27</v>
      </c>
      <c r="F1983" t="s">
        <v>63</v>
      </c>
      <c r="G1983" s="23">
        <v>42227</v>
      </c>
      <c r="H1983" t="s">
        <v>9043</v>
      </c>
      <c r="I1983" t="s">
        <v>9044</v>
      </c>
      <c r="J1983" t="s">
        <v>9045</v>
      </c>
    </row>
    <row r="1984" spans="1:10">
      <c r="A1984" t="s">
        <v>9046</v>
      </c>
      <c r="B1984" t="s">
        <v>9046</v>
      </c>
      <c r="C1984" t="s">
        <v>9047</v>
      </c>
      <c r="D1984">
        <v>17</v>
      </c>
      <c r="E1984" t="s">
        <v>29</v>
      </c>
      <c r="F1984" t="s">
        <v>63</v>
      </c>
      <c r="G1984" s="23">
        <v>41447</v>
      </c>
      <c r="H1984" t="s">
        <v>9048</v>
      </c>
      <c r="I1984" t="s">
        <v>9049</v>
      </c>
      <c r="J1984" t="s">
        <v>9050</v>
      </c>
    </row>
    <row r="1985" spans="1:10">
      <c r="A1985" t="s">
        <v>9051</v>
      </c>
      <c r="B1985" t="s">
        <v>9051</v>
      </c>
      <c r="C1985" t="s">
        <v>9052</v>
      </c>
      <c r="D1985">
        <v>7</v>
      </c>
      <c r="E1985" t="s">
        <v>29</v>
      </c>
      <c r="F1985" t="s">
        <v>63</v>
      </c>
      <c r="G1985" s="23">
        <v>43029</v>
      </c>
      <c r="H1985" t="s">
        <v>9053</v>
      </c>
      <c r="I1985" t="s">
        <v>9054</v>
      </c>
      <c r="J1985" t="s">
        <v>9055</v>
      </c>
    </row>
    <row r="1986" spans="1:10">
      <c r="A1986" t="s">
        <v>9056</v>
      </c>
      <c r="B1986" t="s">
        <v>9056</v>
      </c>
      <c r="C1986" t="s">
        <v>9057</v>
      </c>
      <c r="D1986">
        <v>3</v>
      </c>
      <c r="E1986" t="s">
        <v>31</v>
      </c>
      <c r="F1986" t="s">
        <v>63</v>
      </c>
      <c r="G1986" s="23">
        <v>42066</v>
      </c>
      <c r="H1986" t="s">
        <v>9058</v>
      </c>
      <c r="I1986" t="s">
        <v>9059</v>
      </c>
      <c r="J1986" t="s">
        <v>9060</v>
      </c>
    </row>
    <row r="1987" spans="1:10">
      <c r="A1987" t="s">
        <v>9061</v>
      </c>
      <c r="B1987" t="s">
        <v>9061</v>
      </c>
      <c r="C1987" t="s">
        <v>9062</v>
      </c>
      <c r="D1987">
        <v>9</v>
      </c>
      <c r="E1987" t="s">
        <v>27</v>
      </c>
      <c r="F1987" t="s">
        <v>63</v>
      </c>
      <c r="G1987" s="23">
        <v>44508</v>
      </c>
      <c r="H1987" t="s">
        <v>9063</v>
      </c>
      <c r="I1987" t="s">
        <v>9064</v>
      </c>
      <c r="J1987" t="s">
        <v>9065</v>
      </c>
    </row>
    <row r="1988" spans="1:10">
      <c r="A1988" t="s">
        <v>9066</v>
      </c>
      <c r="B1988" t="s">
        <v>9066</v>
      </c>
      <c r="C1988" t="s">
        <v>9067</v>
      </c>
      <c r="D1988">
        <v>4</v>
      </c>
      <c r="E1988" t="s">
        <v>29</v>
      </c>
      <c r="F1988" t="s">
        <v>63</v>
      </c>
      <c r="G1988" s="23">
        <v>41530</v>
      </c>
      <c r="H1988" t="s">
        <v>9068</v>
      </c>
      <c r="I1988" t="s">
        <v>9069</v>
      </c>
      <c r="J1988" t="s">
        <v>9070</v>
      </c>
    </row>
    <row r="1989" spans="1:10">
      <c r="A1989" t="s">
        <v>9071</v>
      </c>
      <c r="B1989" t="s">
        <v>9072</v>
      </c>
      <c r="C1989" t="s">
        <v>9073</v>
      </c>
      <c r="D1989">
        <v>80</v>
      </c>
      <c r="E1989" t="s">
        <v>29</v>
      </c>
      <c r="F1989" t="s">
        <v>63</v>
      </c>
      <c r="G1989" s="23">
        <v>42236</v>
      </c>
      <c r="H1989" t="s">
        <v>9074</v>
      </c>
      <c r="I1989" t="s">
        <v>9075</v>
      </c>
      <c r="J1989" t="s">
        <v>9076</v>
      </c>
    </row>
    <row r="1990" spans="1:10">
      <c r="A1990" t="s">
        <v>9077</v>
      </c>
      <c r="B1990" t="s">
        <v>9072</v>
      </c>
      <c r="C1990" t="s">
        <v>4984</v>
      </c>
      <c r="D1990">
        <v>30</v>
      </c>
      <c r="E1990" t="s">
        <v>29</v>
      </c>
      <c r="F1990" t="s">
        <v>63</v>
      </c>
      <c r="G1990" s="23">
        <v>44189</v>
      </c>
      <c r="H1990" t="s">
        <v>9078</v>
      </c>
      <c r="I1990" t="s">
        <v>9079</v>
      </c>
      <c r="J1990" t="s">
        <v>9080</v>
      </c>
    </row>
    <row r="1991" spans="1:10">
      <c r="A1991" t="s">
        <v>9081</v>
      </c>
      <c r="B1991" t="s">
        <v>9081</v>
      </c>
      <c r="C1991" t="s">
        <v>9082</v>
      </c>
      <c r="D1991">
        <v>62</v>
      </c>
      <c r="E1991" t="s">
        <v>27</v>
      </c>
      <c r="F1991" t="s">
        <v>63</v>
      </c>
      <c r="G1991" s="23">
        <v>42213</v>
      </c>
      <c r="H1991" t="s">
        <v>9083</v>
      </c>
      <c r="I1991" t="s">
        <v>9084</v>
      </c>
      <c r="J1991" t="s">
        <v>9085</v>
      </c>
    </row>
    <row r="1992" spans="1:10">
      <c r="A1992" t="s">
        <v>9086</v>
      </c>
      <c r="B1992" t="s">
        <v>9086</v>
      </c>
      <c r="C1992" t="s">
        <v>4984</v>
      </c>
      <c r="D1992">
        <v>40</v>
      </c>
      <c r="E1992" t="s">
        <v>29</v>
      </c>
      <c r="F1992" t="s">
        <v>63</v>
      </c>
      <c r="G1992" s="23">
        <v>44621</v>
      </c>
      <c r="H1992" t="s">
        <v>9087</v>
      </c>
      <c r="I1992" t="s">
        <v>9088</v>
      </c>
      <c r="J1992" t="s">
        <v>9089</v>
      </c>
    </row>
    <row r="1993" spans="1:10">
      <c r="A1993" t="s">
        <v>9090</v>
      </c>
      <c r="B1993" t="s">
        <v>9090</v>
      </c>
      <c r="C1993" t="s">
        <v>7530</v>
      </c>
      <c r="D1993">
        <v>19</v>
      </c>
      <c r="E1993" t="s">
        <v>29</v>
      </c>
      <c r="F1993" t="s">
        <v>63</v>
      </c>
      <c r="G1993" s="23">
        <v>41508</v>
      </c>
      <c r="H1993" t="s">
        <v>9091</v>
      </c>
      <c r="I1993" t="s">
        <v>9092</v>
      </c>
      <c r="J1993" t="s">
        <v>9093</v>
      </c>
    </row>
    <row r="1994" spans="1:10">
      <c r="A1994" t="s">
        <v>9094</v>
      </c>
      <c r="B1994" t="s">
        <v>9094</v>
      </c>
      <c r="C1994" t="s">
        <v>8798</v>
      </c>
      <c r="D1994">
        <v>5</v>
      </c>
      <c r="E1994" t="s">
        <v>29</v>
      </c>
      <c r="F1994" t="s">
        <v>63</v>
      </c>
      <c r="G1994" s="23">
        <v>43536</v>
      </c>
      <c r="H1994" t="s">
        <v>9095</v>
      </c>
      <c r="I1994" t="s">
        <v>9096</v>
      </c>
      <c r="J1994" t="s">
        <v>9097</v>
      </c>
    </row>
    <row r="1995" spans="1:10">
      <c r="A1995" t="s">
        <v>9098</v>
      </c>
      <c r="B1995" t="s">
        <v>9098</v>
      </c>
      <c r="C1995" t="s">
        <v>675</v>
      </c>
      <c r="D1995">
        <v>96</v>
      </c>
      <c r="E1995" t="s">
        <v>29</v>
      </c>
      <c r="F1995" t="s">
        <v>63</v>
      </c>
      <c r="G1995" s="23">
        <v>42841</v>
      </c>
      <c r="H1995" t="s">
        <v>9099</v>
      </c>
      <c r="I1995" t="s">
        <v>9100</v>
      </c>
      <c r="J1995" t="s">
        <v>9101</v>
      </c>
    </row>
    <row r="1996" spans="1:10">
      <c r="A1996" t="s">
        <v>9102</v>
      </c>
      <c r="B1996" t="s">
        <v>9102</v>
      </c>
      <c r="C1996" t="s">
        <v>9103</v>
      </c>
      <c r="D1996">
        <v>8</v>
      </c>
      <c r="E1996" t="s">
        <v>27</v>
      </c>
      <c r="F1996" t="s">
        <v>63</v>
      </c>
      <c r="G1996" s="23">
        <v>43031</v>
      </c>
      <c r="H1996" t="s">
        <v>9104</v>
      </c>
      <c r="I1996" t="s">
        <v>9105</v>
      </c>
      <c r="J1996" t="s">
        <v>9106</v>
      </c>
    </row>
    <row r="1997" spans="1:10">
      <c r="A1997" t="s">
        <v>9107</v>
      </c>
      <c r="B1997" t="s">
        <v>9107</v>
      </c>
      <c r="C1997" t="s">
        <v>9108</v>
      </c>
      <c r="D1997">
        <v>60</v>
      </c>
      <c r="E1997" t="s">
        <v>29</v>
      </c>
      <c r="F1997" t="s">
        <v>63</v>
      </c>
      <c r="G1997" s="23">
        <v>46221</v>
      </c>
      <c r="H1997" t="s">
        <v>9109</v>
      </c>
      <c r="I1997" t="s">
        <v>9110</v>
      </c>
      <c r="J1997" t="s">
        <v>9111</v>
      </c>
    </row>
    <row r="1998" spans="1:10">
      <c r="A1998" t="s">
        <v>9112</v>
      </c>
      <c r="B1998" t="s">
        <v>9112</v>
      </c>
      <c r="C1998" t="s">
        <v>5060</v>
      </c>
      <c r="D1998">
        <v>62</v>
      </c>
      <c r="E1998" t="s">
        <v>29</v>
      </c>
      <c r="F1998" t="s">
        <v>63</v>
      </c>
      <c r="G1998" s="23">
        <v>46191</v>
      </c>
      <c r="H1998" t="s">
        <v>9113</v>
      </c>
      <c r="I1998" t="s">
        <v>9114</v>
      </c>
      <c r="J1998" t="s">
        <v>9115</v>
      </c>
    </row>
    <row r="1999" spans="1:10">
      <c r="A1999" t="s">
        <v>9116</v>
      </c>
      <c r="B1999" t="s">
        <v>9116</v>
      </c>
      <c r="C1999" t="s">
        <v>9117</v>
      </c>
      <c r="D1999">
        <v>96</v>
      </c>
      <c r="E1999" t="s">
        <v>29</v>
      </c>
      <c r="F1999" t="s">
        <v>63</v>
      </c>
      <c r="G1999" s="23">
        <v>45132</v>
      </c>
      <c r="H1999" t="s">
        <v>9118</v>
      </c>
      <c r="I1999" t="s">
        <v>9119</v>
      </c>
      <c r="J1999" t="s">
        <v>9120</v>
      </c>
    </row>
    <row r="2000" spans="1:10">
      <c r="A2000" t="s">
        <v>9121</v>
      </c>
      <c r="B2000" t="s">
        <v>9121</v>
      </c>
      <c r="C2000" t="s">
        <v>728</v>
      </c>
      <c r="D2000">
        <v>53</v>
      </c>
      <c r="E2000" t="s">
        <v>31</v>
      </c>
      <c r="F2000" t="s">
        <v>63</v>
      </c>
      <c r="G2000" s="23">
        <v>44037</v>
      </c>
      <c r="H2000" t="s">
        <v>9122</v>
      </c>
      <c r="I2000" t="s">
        <v>9123</v>
      </c>
      <c r="J2000" t="s">
        <v>9124</v>
      </c>
    </row>
    <row r="2001" spans="1:10">
      <c r="A2001" t="s">
        <v>9125</v>
      </c>
      <c r="B2001" t="s">
        <v>9125</v>
      </c>
      <c r="C2001" t="s">
        <v>9126</v>
      </c>
      <c r="D2001">
        <v>33</v>
      </c>
      <c r="E2001" t="s">
        <v>27</v>
      </c>
      <c r="F2001" t="s">
        <v>63</v>
      </c>
      <c r="G2001" s="23">
        <v>42304</v>
      </c>
      <c r="H2001" t="s">
        <v>9127</v>
      </c>
      <c r="I2001" t="s">
        <v>9128</v>
      </c>
      <c r="J2001" t="s">
        <v>9129</v>
      </c>
    </row>
    <row r="2002" spans="1:10">
      <c r="A2002" t="s">
        <v>9130</v>
      </c>
      <c r="B2002" t="s">
        <v>9130</v>
      </c>
      <c r="C2002" t="s">
        <v>9131</v>
      </c>
      <c r="D2002">
        <v>6</v>
      </c>
      <c r="E2002" t="s">
        <v>27</v>
      </c>
      <c r="F2002" t="s">
        <v>63</v>
      </c>
      <c r="G2002" s="23">
        <v>42339</v>
      </c>
      <c r="H2002" t="s">
        <v>9132</v>
      </c>
      <c r="I2002" t="s">
        <v>9133</v>
      </c>
      <c r="J2002" t="s">
        <v>9134</v>
      </c>
    </row>
    <row r="2003" spans="1:10">
      <c r="A2003" t="s">
        <v>9135</v>
      </c>
      <c r="B2003" t="s">
        <v>9135</v>
      </c>
      <c r="C2003" t="s">
        <v>9136</v>
      </c>
      <c r="D2003">
        <v>20</v>
      </c>
      <c r="E2003" t="s">
        <v>27</v>
      </c>
      <c r="F2003" t="s">
        <v>63</v>
      </c>
      <c r="G2003" s="23">
        <v>42214</v>
      </c>
      <c r="H2003" t="s">
        <v>9137</v>
      </c>
      <c r="I2003" t="s">
        <v>9138</v>
      </c>
      <c r="J2003" t="s">
        <v>9139</v>
      </c>
    </row>
    <row r="2004" spans="1:10">
      <c r="A2004" t="s">
        <v>9140</v>
      </c>
      <c r="B2004" t="s">
        <v>9140</v>
      </c>
      <c r="C2004" t="s">
        <v>307</v>
      </c>
      <c r="D2004">
        <v>5</v>
      </c>
      <c r="E2004" t="s">
        <v>29</v>
      </c>
      <c r="F2004" t="s">
        <v>63</v>
      </c>
      <c r="G2004" s="23">
        <v>42277</v>
      </c>
      <c r="H2004" t="s">
        <v>9141</v>
      </c>
      <c r="I2004" t="s">
        <v>9142</v>
      </c>
      <c r="J2004" t="s">
        <v>9143</v>
      </c>
    </row>
    <row r="2005" spans="1:10">
      <c r="A2005" t="s">
        <v>9144</v>
      </c>
      <c r="B2005" t="s">
        <v>9144</v>
      </c>
      <c r="C2005" t="s">
        <v>9145</v>
      </c>
      <c r="D2005">
        <v>19</v>
      </c>
      <c r="E2005" t="s">
        <v>34</v>
      </c>
      <c r="F2005" t="s">
        <v>57</v>
      </c>
      <c r="G2005" s="23">
        <v>42818</v>
      </c>
      <c r="H2005" t="s">
        <v>9146</v>
      </c>
      <c r="I2005" t="s">
        <v>9147</v>
      </c>
      <c r="J2005" t="s">
        <v>9148</v>
      </c>
    </row>
    <row r="2006" spans="1:10">
      <c r="A2006" t="s">
        <v>9149</v>
      </c>
      <c r="B2006" t="s">
        <v>9149</v>
      </c>
      <c r="C2006" t="s">
        <v>9150</v>
      </c>
      <c r="D2006">
        <v>1</v>
      </c>
      <c r="E2006" t="s">
        <v>33</v>
      </c>
      <c r="F2006" t="s">
        <v>63</v>
      </c>
      <c r="G2006" s="23">
        <v>45667</v>
      </c>
      <c r="H2006" t="s">
        <v>9151</v>
      </c>
      <c r="I2006" t="s">
        <v>9152</v>
      </c>
      <c r="J2006" t="s">
        <v>9153</v>
      </c>
    </row>
    <row r="2007" spans="1:10">
      <c r="A2007" t="s">
        <v>9154</v>
      </c>
      <c r="B2007" t="s">
        <v>9154</v>
      </c>
      <c r="C2007" t="s">
        <v>1268</v>
      </c>
      <c r="D2007">
        <v>23</v>
      </c>
      <c r="E2007" t="s">
        <v>29</v>
      </c>
      <c r="F2007" t="s">
        <v>63</v>
      </c>
      <c r="G2007" s="23">
        <v>45377</v>
      </c>
      <c r="H2007" t="s">
        <v>9155</v>
      </c>
      <c r="I2007" t="s">
        <v>9156</v>
      </c>
      <c r="J2007" t="s">
        <v>9157</v>
      </c>
    </row>
    <row r="2008" spans="1:10">
      <c r="A2008" t="s">
        <v>9158</v>
      </c>
      <c r="B2008" t="s">
        <v>9158</v>
      </c>
      <c r="C2008" t="s">
        <v>9159</v>
      </c>
      <c r="D2008">
        <v>26</v>
      </c>
      <c r="E2008" t="s">
        <v>27</v>
      </c>
      <c r="F2008" t="s">
        <v>63</v>
      </c>
      <c r="G2008" s="23">
        <v>44186</v>
      </c>
      <c r="H2008" t="s">
        <v>9160</v>
      </c>
      <c r="I2008" t="s">
        <v>9161</v>
      </c>
      <c r="J2008" t="s">
        <v>9162</v>
      </c>
    </row>
    <row r="2009" spans="1:10">
      <c r="A2009" t="s">
        <v>9163</v>
      </c>
      <c r="B2009" t="s">
        <v>9163</v>
      </c>
      <c r="C2009" t="s">
        <v>9164</v>
      </c>
      <c r="D2009">
        <v>9</v>
      </c>
      <c r="E2009" t="s">
        <v>29</v>
      </c>
      <c r="F2009" t="s">
        <v>63</v>
      </c>
      <c r="G2009" s="23">
        <v>44940</v>
      </c>
      <c r="H2009" t="s">
        <v>9165</v>
      </c>
      <c r="I2009" t="s">
        <v>9166</v>
      </c>
      <c r="J2009" t="s">
        <v>9167</v>
      </c>
    </row>
    <row r="2010" spans="1:10">
      <c r="A2010" t="s">
        <v>9168</v>
      </c>
      <c r="B2010" t="s">
        <v>9168</v>
      </c>
      <c r="C2010" t="s">
        <v>9169</v>
      </c>
      <c r="D2010">
        <v>15</v>
      </c>
      <c r="E2010" t="s">
        <v>29</v>
      </c>
      <c r="F2010" t="s">
        <v>63</v>
      </c>
      <c r="G2010" s="23">
        <v>43560</v>
      </c>
      <c r="H2010" t="s">
        <v>9170</v>
      </c>
      <c r="I2010" t="s">
        <v>9171</v>
      </c>
      <c r="J2010" t="s">
        <v>9172</v>
      </c>
    </row>
    <row r="2011" spans="1:10">
      <c r="A2011" t="s">
        <v>9173</v>
      </c>
      <c r="B2011" t="s">
        <v>9173</v>
      </c>
      <c r="C2011" t="s">
        <v>9174</v>
      </c>
      <c r="D2011">
        <v>8</v>
      </c>
      <c r="E2011" t="s">
        <v>29</v>
      </c>
      <c r="F2011" t="s">
        <v>63</v>
      </c>
      <c r="G2011" s="23">
        <v>42322</v>
      </c>
      <c r="H2011" t="s">
        <v>9175</v>
      </c>
      <c r="I2011" t="s">
        <v>9176</v>
      </c>
      <c r="J2011" t="s">
        <v>9177</v>
      </c>
    </row>
    <row r="2012" spans="1:10">
      <c r="A2012" t="s">
        <v>9178</v>
      </c>
      <c r="B2012" t="s">
        <v>9178</v>
      </c>
      <c r="C2012" t="s">
        <v>9179</v>
      </c>
      <c r="D2012">
        <v>7</v>
      </c>
      <c r="E2012" t="s">
        <v>29</v>
      </c>
      <c r="F2012" t="s">
        <v>63</v>
      </c>
      <c r="G2012" s="23">
        <v>43038</v>
      </c>
      <c r="H2012" t="s">
        <v>9180</v>
      </c>
      <c r="I2012" t="s">
        <v>9181</v>
      </c>
      <c r="J2012" t="s">
        <v>9182</v>
      </c>
    </row>
    <row r="2013" spans="1:10">
      <c r="A2013" t="s">
        <v>9183</v>
      </c>
      <c r="B2013" t="s">
        <v>9183</v>
      </c>
      <c r="C2013" t="s">
        <v>9184</v>
      </c>
      <c r="D2013">
        <v>3</v>
      </c>
      <c r="E2013" t="s">
        <v>27</v>
      </c>
      <c r="F2013" t="s">
        <v>63</v>
      </c>
      <c r="G2013" s="23">
        <v>42781</v>
      </c>
      <c r="H2013" t="s">
        <v>9185</v>
      </c>
      <c r="I2013" t="s">
        <v>9186</v>
      </c>
      <c r="J2013" t="s">
        <v>9187</v>
      </c>
    </row>
    <row r="2014" spans="1:10">
      <c r="A2014" t="s">
        <v>9188</v>
      </c>
      <c r="B2014" t="s">
        <v>9188</v>
      </c>
      <c r="C2014" t="s">
        <v>9189</v>
      </c>
      <c r="D2014">
        <v>66</v>
      </c>
      <c r="E2014" t="s">
        <v>27</v>
      </c>
      <c r="F2014" t="s">
        <v>63</v>
      </c>
      <c r="G2014" s="23">
        <v>42210</v>
      </c>
      <c r="H2014" t="s">
        <v>9190</v>
      </c>
      <c r="I2014" t="s">
        <v>9191</v>
      </c>
      <c r="J2014" t="s">
        <v>9192</v>
      </c>
    </row>
    <row r="2015" spans="1:10">
      <c r="A2015" t="s">
        <v>9193</v>
      </c>
      <c r="B2015" t="s">
        <v>9193</v>
      </c>
      <c r="C2015" t="s">
        <v>9194</v>
      </c>
      <c r="D2015">
        <v>7</v>
      </c>
      <c r="E2015" t="s">
        <v>27</v>
      </c>
      <c r="F2015" t="s">
        <v>63</v>
      </c>
      <c r="G2015" s="23">
        <v>41451</v>
      </c>
      <c r="H2015" t="s">
        <v>9195</v>
      </c>
      <c r="I2015" t="s">
        <v>9196</v>
      </c>
      <c r="J2015" t="s">
        <v>9197</v>
      </c>
    </row>
    <row r="2016" spans="1:10">
      <c r="A2016" t="s">
        <v>9198</v>
      </c>
      <c r="B2016" t="s">
        <v>9198</v>
      </c>
      <c r="C2016" t="s">
        <v>9199</v>
      </c>
      <c r="D2016">
        <v>92</v>
      </c>
      <c r="E2016" t="s">
        <v>29</v>
      </c>
      <c r="F2016" t="s">
        <v>63</v>
      </c>
      <c r="G2016" s="23">
        <v>44347</v>
      </c>
      <c r="H2016" t="s">
        <v>9200</v>
      </c>
      <c r="I2016" t="s">
        <v>9201</v>
      </c>
      <c r="J2016" t="s">
        <v>9202</v>
      </c>
    </row>
    <row r="2017" spans="1:10">
      <c r="A2017" t="s">
        <v>9203</v>
      </c>
      <c r="B2017" t="s">
        <v>9203</v>
      </c>
      <c r="C2017" t="s">
        <v>9204</v>
      </c>
      <c r="D2017">
        <v>93</v>
      </c>
      <c r="E2017" t="s">
        <v>29</v>
      </c>
      <c r="F2017" t="s">
        <v>63</v>
      </c>
      <c r="G2017" s="23">
        <v>45760</v>
      </c>
      <c r="H2017" t="s">
        <v>9205</v>
      </c>
      <c r="I2017" t="s">
        <v>9206</v>
      </c>
      <c r="J2017" t="s">
        <v>9207</v>
      </c>
    </row>
    <row r="2018" spans="1:10">
      <c r="A2018" t="s">
        <v>9208</v>
      </c>
      <c r="B2018" t="s">
        <v>9208</v>
      </c>
      <c r="C2018" t="s">
        <v>1306</v>
      </c>
      <c r="D2018">
        <v>44</v>
      </c>
      <c r="E2018" t="s">
        <v>31</v>
      </c>
      <c r="F2018" t="s">
        <v>63</v>
      </c>
      <c r="G2018" s="23">
        <v>44520</v>
      </c>
      <c r="H2018" t="s">
        <v>9209</v>
      </c>
      <c r="I2018" t="s">
        <v>9210</v>
      </c>
      <c r="J2018" t="s">
        <v>9211</v>
      </c>
    </row>
    <row r="2019" spans="1:10">
      <c r="A2019" t="s">
        <v>9212</v>
      </c>
      <c r="B2019" t="s">
        <v>9212</v>
      </c>
      <c r="C2019" t="s">
        <v>1161</v>
      </c>
      <c r="D2019">
        <v>8</v>
      </c>
      <c r="E2019" t="s">
        <v>27</v>
      </c>
      <c r="F2019" t="s">
        <v>63</v>
      </c>
      <c r="G2019" s="23">
        <v>42308</v>
      </c>
      <c r="H2019" t="s">
        <v>9213</v>
      </c>
      <c r="I2019" t="s">
        <v>9214</v>
      </c>
      <c r="J2019" t="s">
        <v>9215</v>
      </c>
    </row>
    <row r="2020" spans="1:10">
      <c r="A2020" t="s">
        <v>9216</v>
      </c>
      <c r="B2020" t="s">
        <v>9216</v>
      </c>
      <c r="C2020" t="s">
        <v>9217</v>
      </c>
      <c r="D2020">
        <v>29</v>
      </c>
      <c r="E2020" t="s">
        <v>31</v>
      </c>
      <c r="F2020" t="s">
        <v>63</v>
      </c>
      <c r="G2020" s="23">
        <v>44675</v>
      </c>
      <c r="H2020" t="s">
        <v>9218</v>
      </c>
      <c r="I2020" t="s">
        <v>9219</v>
      </c>
      <c r="J2020" t="s">
        <v>9220</v>
      </c>
    </row>
    <row r="2021" spans="1:10">
      <c r="A2021" t="s">
        <v>9221</v>
      </c>
      <c r="B2021" t="s">
        <v>9221</v>
      </c>
      <c r="C2021" t="s">
        <v>9222</v>
      </c>
      <c r="D2021">
        <v>10</v>
      </c>
      <c r="E2021" t="s">
        <v>27</v>
      </c>
      <c r="F2021" t="s">
        <v>63</v>
      </c>
      <c r="G2021" s="23">
        <v>41542</v>
      </c>
      <c r="H2021" t="s">
        <v>9223</v>
      </c>
      <c r="I2021" t="s">
        <v>9224</v>
      </c>
      <c r="J2021" t="s">
        <v>9225</v>
      </c>
    </row>
    <row r="2022" spans="1:10">
      <c r="A2022" t="s">
        <v>9226</v>
      </c>
      <c r="B2022" t="s">
        <v>9226</v>
      </c>
      <c r="C2022" t="s">
        <v>9227</v>
      </c>
      <c r="D2022">
        <v>6</v>
      </c>
      <c r="E2022" t="s">
        <v>29</v>
      </c>
      <c r="F2022" t="s">
        <v>63</v>
      </c>
      <c r="G2022" s="23">
        <v>43637</v>
      </c>
      <c r="H2022" t="s">
        <v>9228</v>
      </c>
      <c r="I2022" t="s">
        <v>9229</v>
      </c>
      <c r="J2022" t="s">
        <v>9230</v>
      </c>
    </row>
    <row r="2023" spans="1:10">
      <c r="A2023" t="s">
        <v>9231</v>
      </c>
      <c r="B2023" t="s">
        <v>9231</v>
      </c>
      <c r="C2023" t="s">
        <v>9232</v>
      </c>
      <c r="D2023">
        <v>1</v>
      </c>
      <c r="E2023" t="s">
        <v>29</v>
      </c>
      <c r="F2023" t="s">
        <v>63</v>
      </c>
      <c r="G2023" s="23">
        <v>44886</v>
      </c>
      <c r="H2023" t="s">
        <v>9233</v>
      </c>
      <c r="I2023" t="s">
        <v>9234</v>
      </c>
      <c r="J2023" t="s">
        <v>9235</v>
      </c>
    </row>
    <row r="2024" spans="1:10">
      <c r="A2024" t="s">
        <v>9236</v>
      </c>
      <c r="B2024" t="s">
        <v>9236</v>
      </c>
      <c r="C2024" t="s">
        <v>2865</v>
      </c>
      <c r="D2024">
        <v>7</v>
      </c>
      <c r="E2024" t="s">
        <v>29</v>
      </c>
      <c r="F2024" t="s">
        <v>63</v>
      </c>
      <c r="G2024" s="23">
        <v>43028</v>
      </c>
      <c r="H2024" t="s">
        <v>9237</v>
      </c>
      <c r="I2024" t="s">
        <v>9238</v>
      </c>
      <c r="J2024" t="s">
        <v>9239</v>
      </c>
    </row>
    <row r="2025" spans="1:10">
      <c r="A2025" t="s">
        <v>9240</v>
      </c>
      <c r="B2025" t="s">
        <v>9240</v>
      </c>
      <c r="C2025" t="s">
        <v>9241</v>
      </c>
      <c r="D2025">
        <v>76</v>
      </c>
      <c r="E2025" t="s">
        <v>29</v>
      </c>
      <c r="F2025" t="s">
        <v>63</v>
      </c>
      <c r="G2025" s="23">
        <v>42330</v>
      </c>
      <c r="H2025" t="s">
        <v>9242</v>
      </c>
      <c r="I2025" t="s">
        <v>9243</v>
      </c>
      <c r="J2025" t="s">
        <v>9244</v>
      </c>
    </row>
    <row r="2026" spans="1:10">
      <c r="A2026" t="s">
        <v>9245</v>
      </c>
      <c r="B2026" t="s">
        <v>9245</v>
      </c>
      <c r="C2026" t="s">
        <v>9246</v>
      </c>
      <c r="D2026">
        <v>5</v>
      </c>
      <c r="E2026" t="s">
        <v>29</v>
      </c>
      <c r="F2026" t="s">
        <v>63</v>
      </c>
      <c r="G2026" s="23">
        <v>42843</v>
      </c>
      <c r="H2026" t="s">
        <v>9247</v>
      </c>
      <c r="I2026" t="s">
        <v>9248</v>
      </c>
      <c r="J2026" t="s">
        <v>9249</v>
      </c>
    </row>
    <row r="2027" spans="1:10">
      <c r="A2027" t="s">
        <v>9250</v>
      </c>
      <c r="B2027" t="s">
        <v>9250</v>
      </c>
      <c r="C2027" t="s">
        <v>9251</v>
      </c>
      <c r="D2027">
        <v>9</v>
      </c>
      <c r="E2027" t="s">
        <v>29</v>
      </c>
      <c r="F2027" t="s">
        <v>63</v>
      </c>
      <c r="G2027" s="23">
        <v>44043</v>
      </c>
      <c r="H2027" t="s">
        <v>9252</v>
      </c>
      <c r="I2027" t="s">
        <v>9253</v>
      </c>
      <c r="J2027" t="s">
        <v>9254</v>
      </c>
    </row>
    <row r="2028" spans="1:10">
      <c r="A2028" t="s">
        <v>9255</v>
      </c>
      <c r="B2028" t="s">
        <v>9255</v>
      </c>
      <c r="C2028" t="s">
        <v>9256</v>
      </c>
      <c r="D2028">
        <v>16</v>
      </c>
      <c r="E2028" t="s">
        <v>29</v>
      </c>
      <c r="F2028" t="s">
        <v>63</v>
      </c>
      <c r="G2028" s="23">
        <v>43991</v>
      </c>
      <c r="H2028" t="s">
        <v>9257</v>
      </c>
      <c r="I2028" t="s">
        <v>9258</v>
      </c>
      <c r="J2028" t="s">
        <v>9259</v>
      </c>
    </row>
    <row r="2029" spans="1:10">
      <c r="A2029" t="s">
        <v>9260</v>
      </c>
      <c r="B2029" t="s">
        <v>9260</v>
      </c>
      <c r="C2029" t="s">
        <v>471</v>
      </c>
      <c r="D2029">
        <v>7</v>
      </c>
      <c r="E2029" t="s">
        <v>29</v>
      </c>
      <c r="F2029" t="s">
        <v>63</v>
      </c>
      <c r="G2029" s="23">
        <v>42868</v>
      </c>
      <c r="H2029" t="s">
        <v>9261</v>
      </c>
      <c r="I2029" t="s">
        <v>9262</v>
      </c>
      <c r="J2029" t="s">
        <v>9263</v>
      </c>
    </row>
    <row r="2030" spans="1:10">
      <c r="A2030" t="s">
        <v>9264</v>
      </c>
      <c r="B2030" t="s">
        <v>9264</v>
      </c>
      <c r="C2030" t="s">
        <v>9265</v>
      </c>
      <c r="D2030">
        <v>17</v>
      </c>
      <c r="E2030" t="s">
        <v>27</v>
      </c>
      <c r="F2030" t="s">
        <v>63</v>
      </c>
      <c r="G2030" s="23">
        <v>41675</v>
      </c>
      <c r="H2030" t="s">
        <v>9266</v>
      </c>
      <c r="I2030" t="s">
        <v>9267</v>
      </c>
      <c r="J2030" t="s">
        <v>9268</v>
      </c>
    </row>
    <row r="2031" spans="1:10">
      <c r="A2031" t="s">
        <v>9269</v>
      </c>
      <c r="B2031" t="s">
        <v>9269</v>
      </c>
      <c r="C2031" t="s">
        <v>9270</v>
      </c>
      <c r="D2031">
        <v>36</v>
      </c>
      <c r="E2031" t="s">
        <v>31</v>
      </c>
      <c r="F2031" t="s">
        <v>63</v>
      </c>
      <c r="G2031" s="23">
        <v>44963</v>
      </c>
      <c r="H2031" t="s">
        <v>9271</v>
      </c>
      <c r="I2031" t="s">
        <v>9272</v>
      </c>
      <c r="J2031" t="s">
        <v>9273</v>
      </c>
    </row>
    <row r="2032" spans="1:10">
      <c r="A2032" t="s">
        <v>9274</v>
      </c>
      <c r="B2032" t="s">
        <v>9274</v>
      </c>
      <c r="C2032" t="s">
        <v>733</v>
      </c>
      <c r="D2032">
        <v>108</v>
      </c>
      <c r="E2032" t="s">
        <v>31</v>
      </c>
      <c r="F2032" t="s">
        <v>63</v>
      </c>
      <c r="G2032" s="23">
        <v>44765</v>
      </c>
      <c r="H2032" t="s">
        <v>9275</v>
      </c>
      <c r="I2032" t="s">
        <v>9276</v>
      </c>
      <c r="J2032" t="s">
        <v>9277</v>
      </c>
    </row>
    <row r="2033" spans="1:10">
      <c r="A2033" t="s">
        <v>9278</v>
      </c>
      <c r="B2033" t="s">
        <v>9278</v>
      </c>
      <c r="C2033" t="s">
        <v>704</v>
      </c>
      <c r="D2033">
        <v>12</v>
      </c>
      <c r="E2033" t="s">
        <v>33</v>
      </c>
      <c r="F2033" t="s">
        <v>63</v>
      </c>
      <c r="G2033" s="23">
        <v>44496</v>
      </c>
      <c r="H2033" t="s">
        <v>9279</v>
      </c>
      <c r="I2033" t="s">
        <v>9280</v>
      </c>
      <c r="J2033" t="s">
        <v>9281</v>
      </c>
    </row>
    <row r="2034" spans="1:10">
      <c r="A2034" t="s">
        <v>9282</v>
      </c>
      <c r="B2034" t="s">
        <v>9282</v>
      </c>
      <c r="C2034" t="s">
        <v>704</v>
      </c>
      <c r="D2034">
        <v>6</v>
      </c>
      <c r="E2034" t="s">
        <v>33</v>
      </c>
      <c r="F2034" t="s">
        <v>63</v>
      </c>
      <c r="G2034" s="23">
        <v>46222</v>
      </c>
      <c r="H2034" t="s">
        <v>9283</v>
      </c>
      <c r="I2034" t="s">
        <v>9284</v>
      </c>
      <c r="J2034" t="s">
        <v>9285</v>
      </c>
    </row>
    <row r="2035" spans="1:10">
      <c r="A2035" t="s">
        <v>9286</v>
      </c>
      <c r="B2035" t="s">
        <v>9286</v>
      </c>
      <c r="C2035" t="s">
        <v>9287</v>
      </c>
      <c r="D2035">
        <v>7</v>
      </c>
      <c r="E2035" t="s">
        <v>27</v>
      </c>
      <c r="F2035" t="s">
        <v>63</v>
      </c>
      <c r="G2035" s="23">
        <v>41830</v>
      </c>
      <c r="H2035" t="s">
        <v>9288</v>
      </c>
      <c r="I2035" t="s">
        <v>9289</v>
      </c>
      <c r="J2035" t="s">
        <v>9290</v>
      </c>
    </row>
    <row r="2036" spans="1:10">
      <c r="A2036" t="s">
        <v>9291</v>
      </c>
      <c r="B2036" t="s">
        <v>9291</v>
      </c>
      <c r="C2036" t="s">
        <v>9292</v>
      </c>
      <c r="D2036">
        <v>0</v>
      </c>
      <c r="E2036" t="s">
        <v>27</v>
      </c>
      <c r="F2036" t="s">
        <v>63</v>
      </c>
      <c r="G2036" s="23">
        <v>41466</v>
      </c>
      <c r="H2036" t="s">
        <v>9293</v>
      </c>
      <c r="I2036" t="s">
        <v>9294</v>
      </c>
      <c r="J2036" t="s">
        <v>9295</v>
      </c>
    </row>
    <row r="2037" spans="1:10">
      <c r="A2037" t="s">
        <v>9296</v>
      </c>
      <c r="B2037" t="s">
        <v>9296</v>
      </c>
      <c r="C2037" t="s">
        <v>9297</v>
      </c>
      <c r="D2037">
        <v>5</v>
      </c>
      <c r="E2037" t="s">
        <v>29</v>
      </c>
      <c r="F2037" t="s">
        <v>63</v>
      </c>
      <c r="G2037" s="23">
        <v>43918</v>
      </c>
      <c r="H2037" t="s">
        <v>9298</v>
      </c>
      <c r="I2037" t="s">
        <v>9299</v>
      </c>
      <c r="J2037" t="s">
        <v>9300</v>
      </c>
    </row>
    <row r="2038" spans="1:10">
      <c r="A2038" t="s">
        <v>9301</v>
      </c>
      <c r="B2038" t="s">
        <v>9301</v>
      </c>
      <c r="C2038" t="s">
        <v>1686</v>
      </c>
      <c r="D2038">
        <v>52</v>
      </c>
      <c r="E2038" t="s">
        <v>29</v>
      </c>
      <c r="F2038" t="s">
        <v>63</v>
      </c>
      <c r="G2038" s="23">
        <v>44271</v>
      </c>
      <c r="H2038" t="s">
        <v>9302</v>
      </c>
      <c r="I2038" t="s">
        <v>9303</v>
      </c>
      <c r="J2038" t="s">
        <v>9304</v>
      </c>
    </row>
    <row r="2039" spans="1:10">
      <c r="A2039" t="s">
        <v>9305</v>
      </c>
      <c r="B2039" t="s">
        <v>9305</v>
      </c>
      <c r="C2039" t="s">
        <v>9306</v>
      </c>
      <c r="D2039">
        <v>20</v>
      </c>
      <c r="E2039" t="s">
        <v>29</v>
      </c>
      <c r="F2039" t="s">
        <v>63</v>
      </c>
      <c r="G2039" s="23">
        <v>43595</v>
      </c>
      <c r="H2039" t="s">
        <v>9307</v>
      </c>
      <c r="I2039" t="s">
        <v>9308</v>
      </c>
      <c r="J2039" t="s">
        <v>9309</v>
      </c>
    </row>
    <row r="2040" spans="1:10">
      <c r="A2040" t="s">
        <v>9310</v>
      </c>
      <c r="B2040" t="s">
        <v>9310</v>
      </c>
      <c r="C2040" t="s">
        <v>2100</v>
      </c>
      <c r="D2040">
        <v>97</v>
      </c>
      <c r="E2040" t="s">
        <v>31</v>
      </c>
      <c r="F2040" t="s">
        <v>63</v>
      </c>
      <c r="G2040" s="23">
        <v>46205</v>
      </c>
      <c r="H2040" t="s">
        <v>9311</v>
      </c>
      <c r="I2040" t="s">
        <v>9312</v>
      </c>
      <c r="J2040" t="s">
        <v>9313</v>
      </c>
    </row>
    <row r="2041" spans="1:10">
      <c r="A2041" t="s">
        <v>9314</v>
      </c>
      <c r="B2041" t="s">
        <v>9314</v>
      </c>
      <c r="C2041" t="s">
        <v>8461</v>
      </c>
      <c r="D2041">
        <v>96</v>
      </c>
      <c r="E2041" t="s">
        <v>29</v>
      </c>
      <c r="F2041" t="s">
        <v>63</v>
      </c>
      <c r="G2041" s="23">
        <v>42225</v>
      </c>
      <c r="H2041" t="s">
        <v>9315</v>
      </c>
      <c r="I2041" t="s">
        <v>9316</v>
      </c>
      <c r="J2041" t="s">
        <v>9317</v>
      </c>
    </row>
    <row r="2042" spans="1:10">
      <c r="A2042" t="s">
        <v>9318</v>
      </c>
      <c r="B2042" t="s">
        <v>9318</v>
      </c>
      <c r="C2042" t="s">
        <v>8461</v>
      </c>
      <c r="D2042">
        <v>96</v>
      </c>
      <c r="E2042" t="s">
        <v>29</v>
      </c>
      <c r="F2042" t="s">
        <v>63</v>
      </c>
      <c r="G2042" s="23">
        <v>42241</v>
      </c>
      <c r="H2042" t="s">
        <v>9319</v>
      </c>
      <c r="I2042" t="s">
        <v>9320</v>
      </c>
      <c r="J2042" t="s">
        <v>9321</v>
      </c>
    </row>
    <row r="2043" spans="1:10">
      <c r="A2043" t="s">
        <v>9322</v>
      </c>
      <c r="B2043" t="s">
        <v>9322</v>
      </c>
      <c r="C2043" t="s">
        <v>8461</v>
      </c>
      <c r="D2043">
        <v>100</v>
      </c>
      <c r="E2043" t="s">
        <v>31</v>
      </c>
      <c r="F2043" t="s">
        <v>63</v>
      </c>
      <c r="G2043" s="23">
        <v>41691</v>
      </c>
      <c r="H2043" t="s">
        <v>9323</v>
      </c>
      <c r="I2043" t="s">
        <v>9324</v>
      </c>
      <c r="J2043" t="s">
        <v>9325</v>
      </c>
    </row>
    <row r="2044" spans="1:10">
      <c r="A2044" t="s">
        <v>9326</v>
      </c>
      <c r="B2044" t="s">
        <v>9326</v>
      </c>
      <c r="C2044" t="s">
        <v>8461</v>
      </c>
      <c r="D2044">
        <v>70</v>
      </c>
      <c r="E2044" t="s">
        <v>29</v>
      </c>
      <c r="F2044" t="s">
        <v>63</v>
      </c>
      <c r="G2044" s="23">
        <v>42251</v>
      </c>
      <c r="H2044" t="s">
        <v>9327</v>
      </c>
      <c r="I2044" t="s">
        <v>9328</v>
      </c>
      <c r="J2044" t="s">
        <v>9329</v>
      </c>
    </row>
    <row r="2045" spans="1:10">
      <c r="A2045" t="s">
        <v>9330</v>
      </c>
      <c r="B2045" t="s">
        <v>9330</v>
      </c>
      <c r="C2045" t="s">
        <v>8461</v>
      </c>
      <c r="D2045">
        <v>120</v>
      </c>
      <c r="E2045" t="s">
        <v>29</v>
      </c>
      <c r="F2045" t="s">
        <v>63</v>
      </c>
      <c r="G2045" s="23">
        <v>42296</v>
      </c>
      <c r="H2045" t="s">
        <v>9331</v>
      </c>
      <c r="I2045" t="s">
        <v>9332</v>
      </c>
      <c r="J2045" t="s">
        <v>9333</v>
      </c>
    </row>
    <row r="2046" spans="1:10">
      <c r="A2046" t="s">
        <v>9334</v>
      </c>
      <c r="B2046" t="s">
        <v>9334</v>
      </c>
      <c r="C2046" t="s">
        <v>8461</v>
      </c>
      <c r="D2046">
        <v>89</v>
      </c>
      <c r="E2046" t="s">
        <v>31</v>
      </c>
      <c r="F2046" t="s">
        <v>63</v>
      </c>
      <c r="G2046" s="23">
        <v>44605</v>
      </c>
      <c r="H2046" t="s">
        <v>9335</v>
      </c>
      <c r="I2046" t="s">
        <v>9336</v>
      </c>
      <c r="J2046" t="s">
        <v>9337</v>
      </c>
    </row>
    <row r="2047" spans="1:10">
      <c r="A2047" t="s">
        <v>9338</v>
      </c>
      <c r="B2047" t="s">
        <v>9338</v>
      </c>
      <c r="C2047" t="s">
        <v>9339</v>
      </c>
      <c r="D2047">
        <v>29</v>
      </c>
      <c r="E2047" t="s">
        <v>31</v>
      </c>
      <c r="F2047" t="s">
        <v>63</v>
      </c>
      <c r="G2047" s="23">
        <v>45926</v>
      </c>
      <c r="H2047" t="s">
        <v>9340</v>
      </c>
      <c r="I2047" t="s">
        <v>9341</v>
      </c>
      <c r="J2047" t="s">
        <v>9342</v>
      </c>
    </row>
    <row r="2048" spans="1:10">
      <c r="A2048" t="s">
        <v>9343</v>
      </c>
      <c r="B2048" t="s">
        <v>9343</v>
      </c>
      <c r="C2048" t="s">
        <v>9344</v>
      </c>
      <c r="D2048">
        <v>0</v>
      </c>
      <c r="E2048" t="s">
        <v>33</v>
      </c>
      <c r="F2048" t="s">
        <v>63</v>
      </c>
      <c r="G2048" s="23">
        <v>45386</v>
      </c>
      <c r="H2048" t="s">
        <v>9345</v>
      </c>
      <c r="I2048" t="s">
        <v>9346</v>
      </c>
      <c r="J2048" t="s">
        <v>9347</v>
      </c>
    </row>
    <row r="2049" spans="1:10">
      <c r="A2049" t="s">
        <v>9348</v>
      </c>
      <c r="B2049" t="s">
        <v>9348</v>
      </c>
      <c r="C2049" t="s">
        <v>9349</v>
      </c>
      <c r="D2049">
        <v>6</v>
      </c>
      <c r="E2049" t="s">
        <v>27</v>
      </c>
      <c r="F2049" t="s">
        <v>63</v>
      </c>
      <c r="G2049" s="23">
        <v>42315</v>
      </c>
      <c r="H2049" t="s">
        <v>9350</v>
      </c>
      <c r="I2049" t="s">
        <v>9351</v>
      </c>
      <c r="J2049" t="s">
        <v>9352</v>
      </c>
    </row>
    <row r="2050" spans="1:10">
      <c r="A2050" t="s">
        <v>9353</v>
      </c>
      <c r="B2050" t="s">
        <v>9353</v>
      </c>
      <c r="C2050" t="s">
        <v>5375</v>
      </c>
      <c r="D2050">
        <v>32</v>
      </c>
      <c r="E2050" t="s">
        <v>31</v>
      </c>
      <c r="F2050" t="s">
        <v>63</v>
      </c>
      <c r="G2050" s="23">
        <v>44189</v>
      </c>
      <c r="H2050" t="s">
        <v>9354</v>
      </c>
      <c r="I2050" t="s">
        <v>9355</v>
      </c>
      <c r="J2050" t="s">
        <v>9356</v>
      </c>
    </row>
    <row r="2051" spans="1:10">
      <c r="A2051" t="s">
        <v>9357</v>
      </c>
      <c r="B2051" t="s">
        <v>9357</v>
      </c>
      <c r="C2051" t="s">
        <v>9358</v>
      </c>
      <c r="D2051">
        <v>5</v>
      </c>
      <c r="E2051" t="s">
        <v>29</v>
      </c>
      <c r="F2051" t="s">
        <v>63</v>
      </c>
      <c r="G2051" s="23">
        <v>42425</v>
      </c>
      <c r="H2051" t="s">
        <v>9359</v>
      </c>
      <c r="I2051" t="s">
        <v>9360</v>
      </c>
      <c r="J2051" t="s">
        <v>9361</v>
      </c>
    </row>
    <row r="2052" spans="1:10">
      <c r="A2052" t="s">
        <v>9362</v>
      </c>
      <c r="B2052" t="s">
        <v>9362</v>
      </c>
      <c r="C2052" t="s">
        <v>9363</v>
      </c>
      <c r="D2052">
        <v>52</v>
      </c>
      <c r="E2052" t="s">
        <v>29</v>
      </c>
      <c r="F2052" t="s">
        <v>63</v>
      </c>
      <c r="G2052" s="23">
        <v>46102</v>
      </c>
      <c r="H2052" t="s">
        <v>9364</v>
      </c>
      <c r="I2052" t="s">
        <v>9365</v>
      </c>
      <c r="J2052" t="s">
        <v>9366</v>
      </c>
    </row>
    <row r="2053" spans="1:10">
      <c r="A2053" t="s">
        <v>9367</v>
      </c>
      <c r="B2053" t="s">
        <v>9367</v>
      </c>
      <c r="C2053" t="s">
        <v>9368</v>
      </c>
      <c r="D2053">
        <v>1</v>
      </c>
      <c r="E2053" t="s">
        <v>33</v>
      </c>
      <c r="F2053" t="s">
        <v>57</v>
      </c>
      <c r="G2053" s="23">
        <v>44302</v>
      </c>
      <c r="H2053" t="s">
        <v>9369</v>
      </c>
      <c r="I2053" t="s">
        <v>9370</v>
      </c>
      <c r="J2053" t="s">
        <v>9371</v>
      </c>
    </row>
    <row r="2054" spans="1:10">
      <c r="A2054" t="s">
        <v>9372</v>
      </c>
      <c r="B2054" t="s">
        <v>9372</v>
      </c>
      <c r="C2054" t="s">
        <v>9368</v>
      </c>
      <c r="D2054">
        <v>1</v>
      </c>
      <c r="E2054" t="s">
        <v>34</v>
      </c>
      <c r="F2054" t="s">
        <v>57</v>
      </c>
      <c r="G2054" s="23">
        <v>44378</v>
      </c>
      <c r="H2054" t="s">
        <v>9373</v>
      </c>
      <c r="I2054" t="s">
        <v>9374</v>
      </c>
      <c r="J2054" t="s">
        <v>9375</v>
      </c>
    </row>
    <row r="2055" spans="1:10">
      <c r="A2055" t="s">
        <v>9376</v>
      </c>
      <c r="B2055" t="s">
        <v>9376</v>
      </c>
      <c r="C2055" t="s">
        <v>7507</v>
      </c>
      <c r="D2055">
        <v>1</v>
      </c>
      <c r="E2055" t="s">
        <v>34</v>
      </c>
      <c r="F2055" t="s">
        <v>89</v>
      </c>
      <c r="G2055" s="23">
        <v>43459</v>
      </c>
      <c r="H2055" t="s">
        <v>9377</v>
      </c>
      <c r="I2055" t="s">
        <v>9378</v>
      </c>
      <c r="J2055" t="s">
        <v>9379</v>
      </c>
    </row>
    <row r="2056" spans="1:10">
      <c r="A2056" t="s">
        <v>9380</v>
      </c>
      <c r="B2056" t="s">
        <v>9380</v>
      </c>
      <c r="C2056" t="s">
        <v>9381</v>
      </c>
      <c r="D2056">
        <v>6</v>
      </c>
      <c r="E2056" t="s">
        <v>29</v>
      </c>
      <c r="F2056" t="s">
        <v>63</v>
      </c>
      <c r="G2056" s="23">
        <v>42217</v>
      </c>
      <c r="H2056" t="s">
        <v>9382</v>
      </c>
      <c r="I2056" t="s">
        <v>9383</v>
      </c>
      <c r="J2056" t="s">
        <v>9384</v>
      </c>
    </row>
    <row r="2057" spans="1:10">
      <c r="A2057" t="s">
        <v>9385</v>
      </c>
      <c r="B2057" t="s">
        <v>9385</v>
      </c>
      <c r="C2057" t="s">
        <v>738</v>
      </c>
      <c r="D2057">
        <v>13</v>
      </c>
      <c r="E2057" t="s">
        <v>29</v>
      </c>
      <c r="F2057" t="s">
        <v>63</v>
      </c>
      <c r="G2057" s="23">
        <v>42427</v>
      </c>
      <c r="H2057" t="s">
        <v>9386</v>
      </c>
      <c r="I2057" t="s">
        <v>9387</v>
      </c>
      <c r="J2057" t="s">
        <v>9388</v>
      </c>
    </row>
    <row r="2058" spans="1:10">
      <c r="A2058" t="s">
        <v>9389</v>
      </c>
      <c r="B2058" t="s">
        <v>9389</v>
      </c>
      <c r="C2058" t="s">
        <v>1306</v>
      </c>
      <c r="D2058">
        <v>90</v>
      </c>
      <c r="E2058" t="s">
        <v>33</v>
      </c>
      <c r="F2058" t="s">
        <v>63</v>
      </c>
      <c r="G2058" s="23">
        <v>45491</v>
      </c>
      <c r="H2058" t="s">
        <v>9390</v>
      </c>
      <c r="I2058" t="s">
        <v>9391</v>
      </c>
      <c r="J2058" t="s">
        <v>9392</v>
      </c>
    </row>
    <row r="2059" spans="1:10">
      <c r="A2059" t="s">
        <v>9393</v>
      </c>
      <c r="B2059" t="s">
        <v>9393</v>
      </c>
      <c r="C2059" t="s">
        <v>1306</v>
      </c>
      <c r="D2059">
        <v>111</v>
      </c>
      <c r="E2059" t="s">
        <v>34</v>
      </c>
      <c r="F2059" t="s">
        <v>63</v>
      </c>
      <c r="G2059" s="23">
        <v>45895</v>
      </c>
      <c r="H2059" t="s">
        <v>9394</v>
      </c>
      <c r="I2059" t="s">
        <v>9395</v>
      </c>
      <c r="J2059" t="s">
        <v>9396</v>
      </c>
    </row>
    <row r="2060" spans="1:10">
      <c r="A2060" t="s">
        <v>9397</v>
      </c>
      <c r="B2060" t="s">
        <v>9397</v>
      </c>
      <c r="C2060" t="s">
        <v>9398</v>
      </c>
      <c r="D2060">
        <v>8</v>
      </c>
      <c r="E2060" t="s">
        <v>29</v>
      </c>
      <c r="F2060" t="s">
        <v>63</v>
      </c>
      <c r="G2060" s="23">
        <v>44528</v>
      </c>
      <c r="H2060" t="s">
        <v>9399</v>
      </c>
      <c r="I2060" t="s">
        <v>9400</v>
      </c>
      <c r="J2060" t="s">
        <v>9401</v>
      </c>
    </row>
    <row r="2061" spans="1:10">
      <c r="A2061" t="s">
        <v>9402</v>
      </c>
      <c r="B2061" t="s">
        <v>9402</v>
      </c>
      <c r="C2061" t="s">
        <v>7358</v>
      </c>
      <c r="D2061">
        <v>5</v>
      </c>
      <c r="E2061" t="s">
        <v>27</v>
      </c>
      <c r="F2061" t="s">
        <v>63</v>
      </c>
      <c r="G2061" s="23">
        <v>42130</v>
      </c>
      <c r="H2061" t="s">
        <v>9403</v>
      </c>
      <c r="I2061" t="s">
        <v>9404</v>
      </c>
      <c r="J2061" t="s">
        <v>9405</v>
      </c>
    </row>
    <row r="2062" spans="1:10">
      <c r="A2062" t="s">
        <v>9406</v>
      </c>
      <c r="B2062" t="s">
        <v>9406</v>
      </c>
      <c r="C2062" t="s">
        <v>307</v>
      </c>
      <c r="D2062">
        <v>6</v>
      </c>
      <c r="E2062" t="s">
        <v>27</v>
      </c>
      <c r="F2062" t="s">
        <v>63</v>
      </c>
      <c r="G2062" s="23">
        <v>41542</v>
      </c>
      <c r="H2062" t="s">
        <v>9407</v>
      </c>
      <c r="I2062" t="s">
        <v>9408</v>
      </c>
      <c r="J2062" t="s">
        <v>9409</v>
      </c>
    </row>
    <row r="2063" spans="1:10">
      <c r="A2063" t="s">
        <v>9410</v>
      </c>
      <c r="B2063" t="s">
        <v>9410</v>
      </c>
      <c r="C2063" t="s">
        <v>9411</v>
      </c>
      <c r="D2063">
        <v>50</v>
      </c>
      <c r="E2063" t="s">
        <v>29</v>
      </c>
      <c r="F2063" t="s">
        <v>63</v>
      </c>
      <c r="G2063" s="23">
        <v>44071</v>
      </c>
      <c r="H2063" t="s">
        <v>9412</v>
      </c>
      <c r="I2063" t="s">
        <v>9413</v>
      </c>
      <c r="J2063" t="s">
        <v>9414</v>
      </c>
    </row>
    <row r="2064" spans="1:10">
      <c r="A2064" t="s">
        <v>9415</v>
      </c>
      <c r="B2064" t="s">
        <v>9415</v>
      </c>
      <c r="C2064" t="s">
        <v>9411</v>
      </c>
      <c r="D2064">
        <v>69</v>
      </c>
      <c r="E2064" t="s">
        <v>31</v>
      </c>
      <c r="F2064" t="s">
        <v>63</v>
      </c>
      <c r="G2064" s="23">
        <v>44418</v>
      </c>
      <c r="H2064" t="s">
        <v>9416</v>
      </c>
      <c r="I2064" t="s">
        <v>9417</v>
      </c>
      <c r="J2064" t="s">
        <v>9418</v>
      </c>
    </row>
    <row r="2065" spans="1:10">
      <c r="A2065" t="s">
        <v>9419</v>
      </c>
      <c r="B2065" t="s">
        <v>9419</v>
      </c>
      <c r="C2065" t="s">
        <v>9411</v>
      </c>
      <c r="D2065">
        <v>94</v>
      </c>
      <c r="E2065" t="s">
        <v>31</v>
      </c>
      <c r="F2065" t="s">
        <v>63</v>
      </c>
      <c r="G2065" s="23">
        <v>44505</v>
      </c>
      <c r="H2065" t="s">
        <v>9420</v>
      </c>
      <c r="I2065" t="s">
        <v>9421</v>
      </c>
      <c r="J2065" t="s">
        <v>9422</v>
      </c>
    </row>
    <row r="2066" spans="1:10">
      <c r="A2066" t="s">
        <v>9423</v>
      </c>
      <c r="B2066" t="s">
        <v>9423</v>
      </c>
      <c r="C2066" t="s">
        <v>243</v>
      </c>
      <c r="D2066">
        <v>34</v>
      </c>
      <c r="E2066" t="s">
        <v>31</v>
      </c>
      <c r="F2066" t="s">
        <v>63</v>
      </c>
      <c r="G2066" s="23">
        <v>45891</v>
      </c>
      <c r="H2066" t="s">
        <v>9424</v>
      </c>
      <c r="I2066" t="s">
        <v>9425</v>
      </c>
      <c r="J2066" t="s">
        <v>9426</v>
      </c>
    </row>
    <row r="2067" spans="1:10">
      <c r="A2067" t="s">
        <v>9427</v>
      </c>
      <c r="B2067" t="s">
        <v>9427</v>
      </c>
      <c r="C2067" t="s">
        <v>8498</v>
      </c>
      <c r="D2067">
        <v>7</v>
      </c>
      <c r="E2067" t="s">
        <v>31</v>
      </c>
      <c r="F2067" t="s">
        <v>63</v>
      </c>
      <c r="G2067" s="23">
        <v>41681</v>
      </c>
      <c r="H2067" t="s">
        <v>9428</v>
      </c>
      <c r="I2067" t="s">
        <v>9429</v>
      </c>
      <c r="J2067" t="s">
        <v>9430</v>
      </c>
    </row>
    <row r="2068" spans="1:10">
      <c r="A2068" t="s">
        <v>9431</v>
      </c>
      <c r="B2068" t="s">
        <v>9431</v>
      </c>
      <c r="C2068" t="s">
        <v>2483</v>
      </c>
      <c r="D2068">
        <v>10</v>
      </c>
      <c r="E2068" t="s">
        <v>29</v>
      </c>
      <c r="F2068" t="s">
        <v>63</v>
      </c>
      <c r="G2068" s="23">
        <v>43347</v>
      </c>
      <c r="H2068" t="s">
        <v>9432</v>
      </c>
      <c r="I2068" t="s">
        <v>9433</v>
      </c>
      <c r="J2068" t="s">
        <v>9434</v>
      </c>
    </row>
    <row r="2069" spans="1:10">
      <c r="A2069" t="s">
        <v>9435</v>
      </c>
      <c r="B2069" t="s">
        <v>9435</v>
      </c>
      <c r="C2069" t="s">
        <v>6168</v>
      </c>
      <c r="D2069">
        <v>5</v>
      </c>
      <c r="E2069" t="s">
        <v>29</v>
      </c>
      <c r="F2069" t="s">
        <v>63</v>
      </c>
      <c r="G2069" s="23">
        <v>42504</v>
      </c>
      <c r="H2069" t="s">
        <v>9436</v>
      </c>
      <c r="I2069" t="s">
        <v>9437</v>
      </c>
      <c r="J2069" t="s">
        <v>9438</v>
      </c>
    </row>
    <row r="2070" spans="1:10">
      <c r="A2070" t="s">
        <v>9439</v>
      </c>
      <c r="B2070" t="s">
        <v>9439</v>
      </c>
      <c r="C2070" t="s">
        <v>9440</v>
      </c>
      <c r="D2070">
        <v>8</v>
      </c>
      <c r="E2070" t="s">
        <v>29</v>
      </c>
      <c r="F2070" t="s">
        <v>63</v>
      </c>
      <c r="G2070" s="23">
        <v>41724</v>
      </c>
      <c r="H2070" t="s">
        <v>9441</v>
      </c>
      <c r="I2070" t="s">
        <v>9442</v>
      </c>
      <c r="J2070" t="s">
        <v>9443</v>
      </c>
    </row>
    <row r="2071" spans="1:10">
      <c r="A2071" t="s">
        <v>9444</v>
      </c>
      <c r="B2071" t="s">
        <v>9444</v>
      </c>
      <c r="C2071" t="s">
        <v>504</v>
      </c>
      <c r="D2071">
        <v>82</v>
      </c>
      <c r="E2071" t="s">
        <v>29</v>
      </c>
      <c r="F2071" t="s">
        <v>63</v>
      </c>
      <c r="G2071" s="23">
        <v>42195</v>
      </c>
      <c r="H2071" t="s">
        <v>9445</v>
      </c>
      <c r="I2071" t="s">
        <v>9446</v>
      </c>
      <c r="J2071" t="s">
        <v>9447</v>
      </c>
    </row>
    <row r="2072" spans="1:10">
      <c r="A2072" t="s">
        <v>9448</v>
      </c>
      <c r="B2072" t="s">
        <v>9448</v>
      </c>
      <c r="C2072" t="s">
        <v>504</v>
      </c>
      <c r="D2072">
        <v>102</v>
      </c>
      <c r="E2072" t="s">
        <v>29</v>
      </c>
      <c r="F2072" t="s">
        <v>63</v>
      </c>
      <c r="G2072" s="23">
        <v>45069</v>
      </c>
      <c r="H2072" t="s">
        <v>9449</v>
      </c>
      <c r="I2072" t="s">
        <v>9450</v>
      </c>
      <c r="J2072" t="s">
        <v>9451</v>
      </c>
    </row>
    <row r="2073" spans="1:10">
      <c r="A2073" t="s">
        <v>9452</v>
      </c>
      <c r="B2073" t="s">
        <v>9452</v>
      </c>
      <c r="C2073" t="s">
        <v>9453</v>
      </c>
      <c r="D2073">
        <v>7</v>
      </c>
      <c r="E2073" t="s">
        <v>27</v>
      </c>
      <c r="F2073" t="s">
        <v>63</v>
      </c>
      <c r="G2073" s="23">
        <v>42270</v>
      </c>
      <c r="H2073" t="s">
        <v>9454</v>
      </c>
      <c r="I2073" t="s">
        <v>9455</v>
      </c>
      <c r="J2073" t="s">
        <v>9456</v>
      </c>
    </row>
    <row r="2074" spans="1:10">
      <c r="A2074" t="s">
        <v>9457</v>
      </c>
      <c r="B2074" t="s">
        <v>9457</v>
      </c>
      <c r="C2074" t="s">
        <v>9458</v>
      </c>
      <c r="D2074">
        <v>11</v>
      </c>
      <c r="E2074" t="s">
        <v>29</v>
      </c>
      <c r="F2074" t="s">
        <v>63</v>
      </c>
      <c r="G2074" s="23">
        <v>41548</v>
      </c>
      <c r="H2074" t="s">
        <v>9459</v>
      </c>
      <c r="I2074" t="s">
        <v>9460</v>
      </c>
      <c r="J2074" t="s">
        <v>9461</v>
      </c>
    </row>
    <row r="2075" spans="1:10">
      <c r="A2075" t="s">
        <v>9462</v>
      </c>
      <c r="B2075" t="s">
        <v>9462</v>
      </c>
      <c r="C2075" t="s">
        <v>930</v>
      </c>
      <c r="D2075">
        <v>28</v>
      </c>
      <c r="E2075" t="s">
        <v>29</v>
      </c>
      <c r="F2075" t="s">
        <v>63</v>
      </c>
      <c r="G2075" s="23">
        <v>43823</v>
      </c>
      <c r="H2075" t="s">
        <v>9463</v>
      </c>
      <c r="I2075" t="s">
        <v>9464</v>
      </c>
      <c r="J2075" t="s">
        <v>9465</v>
      </c>
    </row>
    <row r="2076" spans="1:10">
      <c r="A2076" t="s">
        <v>9466</v>
      </c>
      <c r="B2076" t="s">
        <v>9466</v>
      </c>
      <c r="C2076" t="s">
        <v>9467</v>
      </c>
      <c r="D2076">
        <v>8</v>
      </c>
      <c r="E2076" t="s">
        <v>27</v>
      </c>
      <c r="F2076" t="s">
        <v>63</v>
      </c>
      <c r="G2076" s="23">
        <v>42257</v>
      </c>
      <c r="H2076" t="s">
        <v>9468</v>
      </c>
      <c r="I2076" t="s">
        <v>9469</v>
      </c>
      <c r="J2076" t="s">
        <v>9470</v>
      </c>
    </row>
    <row r="2077" spans="1:10">
      <c r="A2077" t="s">
        <v>9471</v>
      </c>
      <c r="B2077" t="s">
        <v>9471</v>
      </c>
      <c r="C2077" t="s">
        <v>4217</v>
      </c>
      <c r="D2077">
        <v>36</v>
      </c>
      <c r="E2077" t="s">
        <v>29</v>
      </c>
      <c r="F2077" t="s">
        <v>63</v>
      </c>
      <c r="G2077" s="23">
        <v>44768</v>
      </c>
      <c r="H2077" t="s">
        <v>9472</v>
      </c>
      <c r="I2077" t="s">
        <v>9473</v>
      </c>
      <c r="J2077" t="s">
        <v>9474</v>
      </c>
    </row>
    <row r="2078" spans="1:10">
      <c r="A2078" t="s">
        <v>9475</v>
      </c>
      <c r="B2078" t="s">
        <v>9475</v>
      </c>
      <c r="C2078" t="s">
        <v>9476</v>
      </c>
      <c r="D2078">
        <v>6</v>
      </c>
      <c r="E2078" t="s">
        <v>29</v>
      </c>
      <c r="F2078" t="s">
        <v>63</v>
      </c>
      <c r="G2078" s="23">
        <v>44819</v>
      </c>
      <c r="H2078" t="s">
        <v>9477</v>
      </c>
      <c r="I2078" t="s">
        <v>9478</v>
      </c>
      <c r="J2078" t="s">
        <v>9479</v>
      </c>
    </row>
    <row r="2079" spans="1:10">
      <c r="A2079" t="s">
        <v>9480</v>
      </c>
      <c r="B2079" t="s">
        <v>9480</v>
      </c>
      <c r="C2079" t="s">
        <v>9481</v>
      </c>
      <c r="D2079">
        <v>3</v>
      </c>
      <c r="E2079" t="s">
        <v>33</v>
      </c>
      <c r="F2079" t="s">
        <v>571</v>
      </c>
      <c r="G2079" s="23">
        <v>42298</v>
      </c>
      <c r="H2079" t="s">
        <v>9482</v>
      </c>
      <c r="I2079" t="s">
        <v>9483</v>
      </c>
      <c r="J2079" t="s">
        <v>9484</v>
      </c>
    </row>
    <row r="2080" spans="1:10">
      <c r="A2080" t="s">
        <v>9485</v>
      </c>
      <c r="B2080" t="s">
        <v>9485</v>
      </c>
      <c r="C2080" t="s">
        <v>9486</v>
      </c>
      <c r="D2080">
        <v>3</v>
      </c>
      <c r="E2080" t="s">
        <v>31</v>
      </c>
      <c r="F2080" t="s">
        <v>63</v>
      </c>
      <c r="G2080" s="23">
        <v>42398</v>
      </c>
      <c r="H2080" t="s">
        <v>9487</v>
      </c>
      <c r="I2080" t="s">
        <v>9488</v>
      </c>
      <c r="J2080" t="s">
        <v>9489</v>
      </c>
    </row>
    <row r="2081" spans="1:10">
      <c r="A2081" t="s">
        <v>9490</v>
      </c>
      <c r="B2081" t="s">
        <v>9490</v>
      </c>
      <c r="C2081" t="s">
        <v>1646</v>
      </c>
      <c r="D2081">
        <v>7</v>
      </c>
      <c r="E2081" t="s">
        <v>27</v>
      </c>
      <c r="F2081" t="s">
        <v>63</v>
      </c>
      <c r="G2081" s="23">
        <v>42279</v>
      </c>
      <c r="H2081" t="s">
        <v>9491</v>
      </c>
      <c r="I2081" t="s">
        <v>9492</v>
      </c>
      <c r="J2081" t="s">
        <v>9493</v>
      </c>
    </row>
    <row r="2082" spans="1:10">
      <c r="A2082" t="s">
        <v>9494</v>
      </c>
      <c r="B2082" t="s">
        <v>9494</v>
      </c>
      <c r="C2082" t="s">
        <v>5574</v>
      </c>
      <c r="D2082">
        <v>5</v>
      </c>
      <c r="E2082" t="s">
        <v>27</v>
      </c>
      <c r="F2082" t="s">
        <v>63</v>
      </c>
      <c r="G2082" s="23">
        <v>42223</v>
      </c>
      <c r="H2082" t="s">
        <v>9495</v>
      </c>
      <c r="I2082" t="s">
        <v>9496</v>
      </c>
      <c r="J2082" t="s">
        <v>9497</v>
      </c>
    </row>
    <row r="2083" spans="1:10">
      <c r="A2083" t="s">
        <v>9498</v>
      </c>
      <c r="B2083" t="s">
        <v>9498</v>
      </c>
      <c r="C2083" t="s">
        <v>9499</v>
      </c>
      <c r="D2083">
        <v>8</v>
      </c>
      <c r="E2083" t="s">
        <v>27</v>
      </c>
      <c r="F2083" t="s">
        <v>63</v>
      </c>
      <c r="G2083" s="23">
        <v>42066</v>
      </c>
      <c r="H2083" t="s">
        <v>9500</v>
      </c>
      <c r="I2083" t="s">
        <v>9501</v>
      </c>
      <c r="J2083" t="s">
        <v>9502</v>
      </c>
    </row>
    <row r="2084" spans="1:10">
      <c r="A2084" t="s">
        <v>9503</v>
      </c>
      <c r="B2084" t="s">
        <v>9503</v>
      </c>
      <c r="C2084" t="s">
        <v>9504</v>
      </c>
      <c r="D2084">
        <v>6</v>
      </c>
      <c r="E2084" t="s">
        <v>27</v>
      </c>
      <c r="F2084" t="s">
        <v>63</v>
      </c>
      <c r="G2084" s="23">
        <v>42066</v>
      </c>
      <c r="H2084" t="s">
        <v>9505</v>
      </c>
      <c r="I2084" t="s">
        <v>9506</v>
      </c>
      <c r="J2084" t="s">
        <v>9507</v>
      </c>
    </row>
    <row r="2085" spans="1:10">
      <c r="A2085" t="s">
        <v>9508</v>
      </c>
      <c r="B2085" t="s">
        <v>9508</v>
      </c>
      <c r="C2085" t="s">
        <v>7358</v>
      </c>
      <c r="D2085">
        <v>6</v>
      </c>
      <c r="E2085" t="s">
        <v>27</v>
      </c>
      <c r="F2085" t="s">
        <v>63</v>
      </c>
      <c r="G2085" s="23">
        <v>41744</v>
      </c>
      <c r="H2085" t="s">
        <v>9509</v>
      </c>
      <c r="I2085" t="s">
        <v>9510</v>
      </c>
      <c r="J2085" t="s">
        <v>9511</v>
      </c>
    </row>
    <row r="2086" spans="1:10">
      <c r="A2086" t="s">
        <v>9512</v>
      </c>
      <c r="B2086" t="s">
        <v>9512</v>
      </c>
      <c r="C2086" t="s">
        <v>504</v>
      </c>
      <c r="D2086">
        <v>43</v>
      </c>
      <c r="E2086" t="s">
        <v>29</v>
      </c>
      <c r="F2086" t="s">
        <v>63</v>
      </c>
      <c r="G2086" s="23">
        <v>45848</v>
      </c>
      <c r="H2086" t="s">
        <v>9513</v>
      </c>
      <c r="I2086" t="s">
        <v>9514</v>
      </c>
      <c r="J2086" t="s">
        <v>9515</v>
      </c>
    </row>
    <row r="2087" spans="1:10">
      <c r="A2087" t="s">
        <v>9516</v>
      </c>
      <c r="B2087" t="s">
        <v>9516</v>
      </c>
      <c r="C2087" t="s">
        <v>2979</v>
      </c>
      <c r="D2087">
        <v>7</v>
      </c>
      <c r="E2087" t="s">
        <v>27</v>
      </c>
      <c r="F2087" t="s">
        <v>63</v>
      </c>
      <c r="G2087" s="23">
        <v>42275</v>
      </c>
      <c r="H2087" t="s">
        <v>9517</v>
      </c>
      <c r="I2087" t="s">
        <v>9518</v>
      </c>
      <c r="J2087" t="s">
        <v>9519</v>
      </c>
    </row>
    <row r="2088" spans="1:10">
      <c r="A2088" t="s">
        <v>9520</v>
      </c>
      <c r="B2088" t="s">
        <v>9520</v>
      </c>
      <c r="C2088" t="s">
        <v>9521</v>
      </c>
      <c r="D2088">
        <v>6</v>
      </c>
      <c r="E2088" t="s">
        <v>29</v>
      </c>
      <c r="F2088" t="s">
        <v>63</v>
      </c>
      <c r="G2088" s="23">
        <v>41490</v>
      </c>
      <c r="H2088" t="s">
        <v>9522</v>
      </c>
      <c r="I2088" t="s">
        <v>9523</v>
      </c>
      <c r="J2088" t="s">
        <v>9524</v>
      </c>
    </row>
    <row r="2089" spans="1:10">
      <c r="A2089" t="s">
        <v>9525</v>
      </c>
      <c r="B2089" t="s">
        <v>9525</v>
      </c>
      <c r="C2089" t="s">
        <v>9411</v>
      </c>
      <c r="D2089">
        <v>29</v>
      </c>
      <c r="E2089" t="s">
        <v>31</v>
      </c>
      <c r="F2089" t="s">
        <v>63</v>
      </c>
      <c r="G2089" s="23">
        <v>44169</v>
      </c>
      <c r="H2089" t="s">
        <v>9526</v>
      </c>
      <c r="I2089" t="s">
        <v>9527</v>
      </c>
      <c r="J2089" t="s">
        <v>9528</v>
      </c>
    </row>
    <row r="2090" spans="1:10">
      <c r="A2090" t="s">
        <v>9529</v>
      </c>
      <c r="B2090" t="s">
        <v>9529</v>
      </c>
      <c r="C2090" t="s">
        <v>9530</v>
      </c>
      <c r="D2090">
        <v>59</v>
      </c>
      <c r="E2090" t="s">
        <v>29</v>
      </c>
      <c r="F2090" t="s">
        <v>63</v>
      </c>
      <c r="G2090" s="23">
        <v>41449</v>
      </c>
      <c r="H2090" t="s">
        <v>9531</v>
      </c>
      <c r="I2090" t="s">
        <v>9532</v>
      </c>
      <c r="J2090" t="s">
        <v>9533</v>
      </c>
    </row>
    <row r="2091" spans="1:10">
      <c r="A2091" t="s">
        <v>9534</v>
      </c>
      <c r="B2091" t="s">
        <v>9534</v>
      </c>
      <c r="C2091" t="s">
        <v>9535</v>
      </c>
      <c r="D2091">
        <v>92</v>
      </c>
      <c r="E2091" t="s">
        <v>29</v>
      </c>
      <c r="F2091" t="s">
        <v>63</v>
      </c>
      <c r="G2091" s="23">
        <v>44836</v>
      </c>
      <c r="H2091" t="s">
        <v>9536</v>
      </c>
      <c r="I2091" t="s">
        <v>9537</v>
      </c>
      <c r="J2091" t="s">
        <v>9538</v>
      </c>
    </row>
    <row r="2092" spans="1:10">
      <c r="A2092" t="s">
        <v>9539</v>
      </c>
      <c r="B2092" t="s">
        <v>9539</v>
      </c>
      <c r="C2092" t="s">
        <v>9535</v>
      </c>
      <c r="D2092">
        <v>29</v>
      </c>
      <c r="E2092" t="s">
        <v>29</v>
      </c>
      <c r="F2092" t="s">
        <v>63</v>
      </c>
      <c r="G2092" s="23">
        <v>44938</v>
      </c>
      <c r="H2092" t="s">
        <v>9540</v>
      </c>
      <c r="I2092" t="s">
        <v>9541</v>
      </c>
      <c r="J2092" t="s">
        <v>9542</v>
      </c>
    </row>
    <row r="2093" spans="1:10">
      <c r="A2093" t="s">
        <v>9543</v>
      </c>
      <c r="B2093" t="s">
        <v>9543</v>
      </c>
      <c r="C2093" t="s">
        <v>9544</v>
      </c>
      <c r="D2093">
        <v>5</v>
      </c>
      <c r="E2093" t="s">
        <v>27</v>
      </c>
      <c r="F2093" t="s">
        <v>63</v>
      </c>
      <c r="G2093" s="23">
        <v>44703</v>
      </c>
      <c r="H2093" t="s">
        <v>9545</v>
      </c>
      <c r="I2093" t="s">
        <v>9546</v>
      </c>
      <c r="J2093" t="s">
        <v>9547</v>
      </c>
    </row>
    <row r="2094" spans="1:10">
      <c r="A2094" t="s">
        <v>9548</v>
      </c>
      <c r="B2094" t="s">
        <v>9548</v>
      </c>
      <c r="C2094" t="s">
        <v>9549</v>
      </c>
      <c r="D2094">
        <v>28</v>
      </c>
      <c r="E2094" t="s">
        <v>29</v>
      </c>
      <c r="F2094" t="s">
        <v>63</v>
      </c>
      <c r="G2094" s="23">
        <v>41573</v>
      </c>
      <c r="H2094" t="s">
        <v>9550</v>
      </c>
      <c r="I2094" t="s">
        <v>9551</v>
      </c>
      <c r="J2094" t="s">
        <v>9552</v>
      </c>
    </row>
    <row r="2095" spans="1:10">
      <c r="A2095" t="s">
        <v>9553</v>
      </c>
      <c r="B2095" t="s">
        <v>9553</v>
      </c>
      <c r="C2095" t="s">
        <v>9554</v>
      </c>
      <c r="D2095">
        <v>5</v>
      </c>
      <c r="E2095" t="s">
        <v>29</v>
      </c>
      <c r="F2095" t="s">
        <v>63</v>
      </c>
      <c r="G2095" s="23">
        <v>43971</v>
      </c>
      <c r="H2095" t="s">
        <v>9555</v>
      </c>
      <c r="I2095" t="s">
        <v>9556</v>
      </c>
      <c r="J2095" t="s">
        <v>9557</v>
      </c>
    </row>
    <row r="2096" spans="1:10">
      <c r="A2096" t="s">
        <v>9558</v>
      </c>
      <c r="B2096" t="s">
        <v>9558</v>
      </c>
      <c r="C2096" t="s">
        <v>243</v>
      </c>
      <c r="D2096">
        <v>24</v>
      </c>
      <c r="E2096" t="s">
        <v>29</v>
      </c>
      <c r="F2096" t="s">
        <v>63</v>
      </c>
      <c r="G2096" s="23">
        <v>45704</v>
      </c>
      <c r="H2096" t="s">
        <v>9559</v>
      </c>
      <c r="I2096" t="s">
        <v>9560</v>
      </c>
      <c r="J2096" t="s">
        <v>9561</v>
      </c>
    </row>
    <row r="2097" spans="1:10">
      <c r="A2097" t="s">
        <v>9562</v>
      </c>
      <c r="B2097" t="s">
        <v>9562</v>
      </c>
      <c r="C2097" t="s">
        <v>9563</v>
      </c>
      <c r="D2097">
        <v>7</v>
      </c>
      <c r="E2097" t="s">
        <v>27</v>
      </c>
      <c r="F2097" t="s">
        <v>63</v>
      </c>
      <c r="G2097" s="23">
        <v>42073</v>
      </c>
      <c r="H2097" t="s">
        <v>9564</v>
      </c>
      <c r="I2097" t="s">
        <v>9565</v>
      </c>
      <c r="J2097" t="s">
        <v>9566</v>
      </c>
    </row>
    <row r="2098" spans="1:10">
      <c r="A2098" t="s">
        <v>9567</v>
      </c>
      <c r="B2098" t="s">
        <v>9567</v>
      </c>
      <c r="C2098" t="s">
        <v>1296</v>
      </c>
      <c r="D2098">
        <v>15</v>
      </c>
      <c r="E2098" t="s">
        <v>29</v>
      </c>
      <c r="F2098" t="s">
        <v>63</v>
      </c>
      <c r="G2098" s="23">
        <v>41885</v>
      </c>
      <c r="H2098" t="s">
        <v>9568</v>
      </c>
      <c r="I2098" t="s">
        <v>9569</v>
      </c>
      <c r="J2098" t="s">
        <v>9570</v>
      </c>
    </row>
    <row r="2099" spans="1:10">
      <c r="A2099" t="s">
        <v>9571</v>
      </c>
      <c r="B2099" t="s">
        <v>9571</v>
      </c>
      <c r="C2099" t="s">
        <v>9572</v>
      </c>
      <c r="D2099">
        <v>100</v>
      </c>
      <c r="E2099" t="s">
        <v>29</v>
      </c>
      <c r="F2099" t="s">
        <v>63</v>
      </c>
      <c r="G2099" s="23">
        <v>41603</v>
      </c>
      <c r="H2099" t="s">
        <v>9573</v>
      </c>
      <c r="I2099" t="s">
        <v>9574</v>
      </c>
      <c r="J2099" t="s">
        <v>9575</v>
      </c>
    </row>
    <row r="2100" spans="1:10">
      <c r="A2100" t="s">
        <v>9576</v>
      </c>
      <c r="B2100" t="s">
        <v>9576</v>
      </c>
      <c r="C2100" t="s">
        <v>9577</v>
      </c>
      <c r="D2100">
        <v>6</v>
      </c>
      <c r="E2100" t="s">
        <v>29</v>
      </c>
      <c r="F2100" t="s">
        <v>63</v>
      </c>
      <c r="G2100" s="23">
        <v>42100</v>
      </c>
      <c r="H2100" t="s">
        <v>9578</v>
      </c>
      <c r="I2100" t="s">
        <v>9579</v>
      </c>
      <c r="J2100" t="s">
        <v>9580</v>
      </c>
    </row>
    <row r="2101" spans="1:10">
      <c r="A2101" t="s">
        <v>9581</v>
      </c>
      <c r="B2101" t="s">
        <v>9581</v>
      </c>
      <c r="C2101" t="s">
        <v>5026</v>
      </c>
      <c r="D2101">
        <v>10</v>
      </c>
      <c r="E2101" t="s">
        <v>27</v>
      </c>
      <c r="F2101" t="s">
        <v>63</v>
      </c>
      <c r="G2101" s="23">
        <v>42270</v>
      </c>
      <c r="H2101" t="s">
        <v>9582</v>
      </c>
      <c r="I2101" t="s">
        <v>9583</v>
      </c>
      <c r="J2101" t="s">
        <v>9584</v>
      </c>
    </row>
    <row r="2102" spans="1:10">
      <c r="A2102" t="s">
        <v>9585</v>
      </c>
      <c r="B2102" t="s">
        <v>9585</v>
      </c>
      <c r="C2102" t="s">
        <v>1714</v>
      </c>
      <c r="D2102">
        <v>31</v>
      </c>
      <c r="E2102" t="s">
        <v>29</v>
      </c>
      <c r="F2102" t="s">
        <v>63</v>
      </c>
      <c r="G2102" s="23">
        <v>42222</v>
      </c>
      <c r="H2102" t="s">
        <v>9586</v>
      </c>
      <c r="I2102" t="s">
        <v>9587</v>
      </c>
      <c r="J2102" t="s">
        <v>9588</v>
      </c>
    </row>
    <row r="2103" spans="1:10">
      <c r="A2103" t="s">
        <v>9589</v>
      </c>
      <c r="B2103" t="s">
        <v>9589</v>
      </c>
      <c r="C2103" t="s">
        <v>9590</v>
      </c>
      <c r="D2103">
        <v>93</v>
      </c>
      <c r="E2103" t="s">
        <v>29</v>
      </c>
      <c r="F2103" t="s">
        <v>63</v>
      </c>
      <c r="G2103" s="23">
        <v>45005</v>
      </c>
      <c r="H2103" t="s">
        <v>9591</v>
      </c>
      <c r="I2103" t="s">
        <v>9592</v>
      </c>
      <c r="J2103" t="s">
        <v>9593</v>
      </c>
    </row>
    <row r="2104" spans="1:10">
      <c r="A2104" t="s">
        <v>9594</v>
      </c>
      <c r="B2104" t="s">
        <v>9594</v>
      </c>
      <c r="C2104" t="s">
        <v>9595</v>
      </c>
      <c r="D2104">
        <v>106</v>
      </c>
      <c r="E2104" t="s">
        <v>35</v>
      </c>
      <c r="F2104" t="s">
        <v>63</v>
      </c>
      <c r="G2104" s="23">
        <v>41711</v>
      </c>
      <c r="H2104" t="s">
        <v>9596</v>
      </c>
      <c r="I2104" t="s">
        <v>9597</v>
      </c>
      <c r="J2104" t="s">
        <v>9598</v>
      </c>
    </row>
    <row r="2105" spans="1:10">
      <c r="A2105" t="s">
        <v>9599</v>
      </c>
      <c r="B2105" t="s">
        <v>9599</v>
      </c>
      <c r="C2105" t="s">
        <v>243</v>
      </c>
      <c r="D2105">
        <v>70</v>
      </c>
      <c r="E2105" t="s">
        <v>31</v>
      </c>
      <c r="F2105" t="s">
        <v>63</v>
      </c>
      <c r="G2105" s="23">
        <v>46208</v>
      </c>
      <c r="H2105" t="s">
        <v>9600</v>
      </c>
      <c r="I2105" t="s">
        <v>9601</v>
      </c>
      <c r="J2105" t="s">
        <v>9602</v>
      </c>
    </row>
    <row r="2106" spans="1:10">
      <c r="A2106" t="s">
        <v>9603</v>
      </c>
      <c r="B2106" t="s">
        <v>9603</v>
      </c>
      <c r="C2106" t="s">
        <v>9604</v>
      </c>
      <c r="D2106">
        <v>6</v>
      </c>
      <c r="E2106" t="s">
        <v>29</v>
      </c>
      <c r="F2106" t="s">
        <v>63</v>
      </c>
      <c r="G2106" s="23">
        <v>42291</v>
      </c>
      <c r="H2106" t="s">
        <v>9605</v>
      </c>
      <c r="I2106" t="s">
        <v>9606</v>
      </c>
      <c r="J2106" t="s">
        <v>9607</v>
      </c>
    </row>
    <row r="2107" spans="1:10">
      <c r="A2107" t="s">
        <v>9608</v>
      </c>
      <c r="B2107" t="s">
        <v>9608</v>
      </c>
      <c r="C2107" t="s">
        <v>4182</v>
      </c>
      <c r="D2107">
        <v>90</v>
      </c>
      <c r="E2107" t="s">
        <v>29</v>
      </c>
      <c r="F2107" t="s">
        <v>63</v>
      </c>
      <c r="G2107" s="23">
        <v>42538</v>
      </c>
      <c r="H2107" t="s">
        <v>9609</v>
      </c>
      <c r="I2107" t="s">
        <v>9610</v>
      </c>
      <c r="J2107" t="s">
        <v>9611</v>
      </c>
    </row>
    <row r="2108" spans="1:10">
      <c r="A2108" t="s">
        <v>9612</v>
      </c>
      <c r="B2108" t="s">
        <v>9612</v>
      </c>
      <c r="C2108" t="s">
        <v>2100</v>
      </c>
      <c r="D2108">
        <v>7</v>
      </c>
      <c r="E2108" t="s">
        <v>29</v>
      </c>
      <c r="F2108" t="s">
        <v>63</v>
      </c>
      <c r="G2108" s="23">
        <v>42219</v>
      </c>
      <c r="H2108" t="s">
        <v>9613</v>
      </c>
      <c r="I2108" t="s">
        <v>9614</v>
      </c>
      <c r="J2108" t="s">
        <v>9615</v>
      </c>
    </row>
    <row r="2109" spans="1:10">
      <c r="A2109" t="s">
        <v>9616</v>
      </c>
      <c r="B2109" t="s">
        <v>9616</v>
      </c>
      <c r="C2109" t="s">
        <v>9617</v>
      </c>
      <c r="D2109">
        <v>8</v>
      </c>
      <c r="E2109" t="s">
        <v>29</v>
      </c>
      <c r="F2109" t="s">
        <v>63</v>
      </c>
      <c r="G2109" s="23">
        <v>43471</v>
      </c>
      <c r="H2109" t="s">
        <v>9618</v>
      </c>
      <c r="I2109" t="s">
        <v>9619</v>
      </c>
      <c r="J2109" t="s">
        <v>9620</v>
      </c>
    </row>
    <row r="2110" spans="1:10">
      <c r="A2110" t="s">
        <v>9621</v>
      </c>
      <c r="B2110" t="s">
        <v>9621</v>
      </c>
      <c r="C2110" t="s">
        <v>9622</v>
      </c>
      <c r="D2110">
        <v>26</v>
      </c>
      <c r="E2110" t="s">
        <v>29</v>
      </c>
      <c r="F2110" t="s">
        <v>63</v>
      </c>
      <c r="G2110" s="23">
        <v>42750</v>
      </c>
      <c r="H2110" t="s">
        <v>9623</v>
      </c>
      <c r="I2110" t="s">
        <v>9624</v>
      </c>
      <c r="J2110" t="s">
        <v>9625</v>
      </c>
    </row>
    <row r="2111" spans="1:10">
      <c r="A2111" t="s">
        <v>9626</v>
      </c>
      <c r="B2111" t="s">
        <v>9626</v>
      </c>
      <c r="C2111" t="s">
        <v>9627</v>
      </c>
      <c r="D2111">
        <v>7</v>
      </c>
      <c r="E2111" t="s">
        <v>31</v>
      </c>
      <c r="F2111" t="s">
        <v>63</v>
      </c>
      <c r="G2111" s="23">
        <v>42104</v>
      </c>
      <c r="H2111" t="s">
        <v>9628</v>
      </c>
      <c r="I2111" t="s">
        <v>9629</v>
      </c>
      <c r="J2111" t="s">
        <v>9630</v>
      </c>
    </row>
    <row r="2112" spans="1:10">
      <c r="A2112" t="s">
        <v>9631</v>
      </c>
      <c r="B2112" t="s">
        <v>9631</v>
      </c>
      <c r="C2112" t="s">
        <v>9632</v>
      </c>
      <c r="D2112">
        <v>9</v>
      </c>
      <c r="E2112" t="s">
        <v>31</v>
      </c>
      <c r="F2112" t="s">
        <v>63</v>
      </c>
      <c r="G2112" s="23">
        <v>42180</v>
      </c>
      <c r="H2112" t="s">
        <v>9633</v>
      </c>
      <c r="I2112" t="s">
        <v>9634</v>
      </c>
      <c r="J2112" t="s">
        <v>9635</v>
      </c>
    </row>
    <row r="2113" spans="1:10">
      <c r="A2113" t="s">
        <v>9636</v>
      </c>
      <c r="B2113" t="s">
        <v>9636</v>
      </c>
      <c r="C2113" t="s">
        <v>9637</v>
      </c>
      <c r="D2113">
        <v>86</v>
      </c>
      <c r="E2113" t="s">
        <v>31</v>
      </c>
      <c r="F2113" t="s">
        <v>63</v>
      </c>
      <c r="G2113" s="23">
        <v>44511</v>
      </c>
      <c r="H2113" t="s">
        <v>9638</v>
      </c>
      <c r="I2113" t="s">
        <v>9639</v>
      </c>
      <c r="J2113" t="s">
        <v>9640</v>
      </c>
    </row>
    <row r="2114" spans="1:10">
      <c r="A2114" t="s">
        <v>9641</v>
      </c>
      <c r="B2114" t="s">
        <v>9641</v>
      </c>
      <c r="C2114" t="s">
        <v>1296</v>
      </c>
      <c r="D2114">
        <v>22</v>
      </c>
      <c r="E2114" t="s">
        <v>29</v>
      </c>
      <c r="F2114" t="s">
        <v>63</v>
      </c>
      <c r="G2114" s="23">
        <v>41649</v>
      </c>
      <c r="H2114" t="s">
        <v>9642</v>
      </c>
      <c r="I2114" t="s">
        <v>9643</v>
      </c>
      <c r="J2114" t="s">
        <v>9644</v>
      </c>
    </row>
    <row r="2115" spans="1:10">
      <c r="A2115" t="s">
        <v>9645</v>
      </c>
      <c r="B2115" t="s">
        <v>9645</v>
      </c>
      <c r="C2115" t="s">
        <v>9646</v>
      </c>
      <c r="D2115">
        <v>58</v>
      </c>
      <c r="E2115" t="s">
        <v>31</v>
      </c>
      <c r="F2115" t="s">
        <v>63</v>
      </c>
      <c r="G2115" s="23">
        <v>42279</v>
      </c>
      <c r="H2115" t="s">
        <v>9647</v>
      </c>
      <c r="I2115" t="s">
        <v>9648</v>
      </c>
      <c r="J2115" t="s">
        <v>9649</v>
      </c>
    </row>
    <row r="2116" spans="1:10">
      <c r="A2116" t="s">
        <v>9650</v>
      </c>
      <c r="B2116" t="s">
        <v>9650</v>
      </c>
      <c r="C2116" t="s">
        <v>6353</v>
      </c>
      <c r="D2116">
        <v>21</v>
      </c>
      <c r="E2116" t="s">
        <v>27</v>
      </c>
      <c r="F2116" t="s">
        <v>63</v>
      </c>
      <c r="G2116" s="23">
        <v>42273</v>
      </c>
      <c r="H2116" t="s">
        <v>9651</v>
      </c>
      <c r="I2116" t="s">
        <v>9652</v>
      </c>
      <c r="J2116" t="s">
        <v>9653</v>
      </c>
    </row>
    <row r="2117" spans="1:10">
      <c r="A2117" t="s">
        <v>9654</v>
      </c>
      <c r="B2117" t="s">
        <v>9654</v>
      </c>
      <c r="C2117" t="s">
        <v>9655</v>
      </c>
      <c r="D2117">
        <v>6</v>
      </c>
      <c r="E2117" t="s">
        <v>27</v>
      </c>
      <c r="F2117" t="s">
        <v>63</v>
      </c>
      <c r="G2117" s="23">
        <v>42131</v>
      </c>
      <c r="H2117" t="s">
        <v>9656</v>
      </c>
      <c r="I2117" t="s">
        <v>9657</v>
      </c>
      <c r="J2117" t="s">
        <v>9658</v>
      </c>
    </row>
    <row r="2118" spans="1:10">
      <c r="A2118" t="s">
        <v>9659</v>
      </c>
      <c r="B2118" t="s">
        <v>9659</v>
      </c>
      <c r="C2118" t="s">
        <v>9660</v>
      </c>
      <c r="D2118">
        <v>4</v>
      </c>
      <c r="E2118" t="s">
        <v>27</v>
      </c>
      <c r="F2118" t="s">
        <v>63</v>
      </c>
      <c r="G2118" s="23">
        <v>42153</v>
      </c>
      <c r="H2118" t="s">
        <v>9661</v>
      </c>
      <c r="I2118" t="s">
        <v>9662</v>
      </c>
      <c r="J2118" t="s">
        <v>9663</v>
      </c>
    </row>
    <row r="2119" spans="1:10">
      <c r="A2119" t="s">
        <v>9664</v>
      </c>
      <c r="B2119" t="s">
        <v>9664</v>
      </c>
      <c r="C2119" t="s">
        <v>9665</v>
      </c>
      <c r="D2119">
        <v>28</v>
      </c>
      <c r="E2119" t="s">
        <v>29</v>
      </c>
      <c r="F2119" t="s">
        <v>63</v>
      </c>
      <c r="G2119" s="23">
        <v>42223</v>
      </c>
      <c r="H2119" t="s">
        <v>9666</v>
      </c>
      <c r="I2119" t="s">
        <v>9667</v>
      </c>
      <c r="J2119" t="s">
        <v>9668</v>
      </c>
    </row>
    <row r="2120" spans="1:10">
      <c r="A2120" t="s">
        <v>9669</v>
      </c>
      <c r="B2120" t="s">
        <v>9669</v>
      </c>
      <c r="C2120" t="s">
        <v>9665</v>
      </c>
      <c r="D2120">
        <v>66</v>
      </c>
      <c r="E2120" t="s">
        <v>29</v>
      </c>
      <c r="F2120" t="s">
        <v>63</v>
      </c>
      <c r="G2120" s="23">
        <v>41604</v>
      </c>
      <c r="H2120" t="s">
        <v>9670</v>
      </c>
      <c r="I2120" t="s">
        <v>9671</v>
      </c>
      <c r="J2120" t="s">
        <v>9672</v>
      </c>
    </row>
    <row r="2121" spans="1:10">
      <c r="A2121" t="s">
        <v>9673</v>
      </c>
      <c r="B2121" t="s">
        <v>9673</v>
      </c>
      <c r="C2121" t="s">
        <v>4537</v>
      </c>
      <c r="D2121">
        <v>6</v>
      </c>
      <c r="E2121" t="s">
        <v>27</v>
      </c>
      <c r="F2121" t="s">
        <v>63</v>
      </c>
      <c r="G2121" s="23">
        <v>43548</v>
      </c>
      <c r="H2121" t="s">
        <v>9674</v>
      </c>
      <c r="I2121" t="s">
        <v>9675</v>
      </c>
      <c r="J2121" t="s">
        <v>9676</v>
      </c>
    </row>
    <row r="2122" spans="1:10">
      <c r="A2122" t="s">
        <v>9677</v>
      </c>
      <c r="B2122" t="s">
        <v>9677</v>
      </c>
      <c r="C2122" t="s">
        <v>139</v>
      </c>
      <c r="D2122">
        <v>77</v>
      </c>
      <c r="E2122" t="s">
        <v>31</v>
      </c>
      <c r="F2122" t="s">
        <v>63</v>
      </c>
      <c r="G2122" s="23">
        <v>43646</v>
      </c>
      <c r="H2122" t="s">
        <v>9678</v>
      </c>
      <c r="I2122" t="s">
        <v>9679</v>
      </c>
      <c r="J2122" t="s">
        <v>9680</v>
      </c>
    </row>
    <row r="2123" spans="1:10">
      <c r="A2123" t="s">
        <v>9681</v>
      </c>
      <c r="B2123" t="s">
        <v>9681</v>
      </c>
      <c r="C2123" t="s">
        <v>139</v>
      </c>
      <c r="D2123">
        <v>20</v>
      </c>
      <c r="E2123" t="s">
        <v>35</v>
      </c>
      <c r="F2123" t="s">
        <v>57</v>
      </c>
      <c r="G2123" s="23">
        <v>43881</v>
      </c>
      <c r="H2123" t="s">
        <v>9682</v>
      </c>
      <c r="I2123" t="s">
        <v>9683</v>
      </c>
      <c r="J2123" t="s">
        <v>9684</v>
      </c>
    </row>
    <row r="2124" spans="1:10">
      <c r="A2124" t="s">
        <v>9685</v>
      </c>
      <c r="B2124" t="s">
        <v>9685</v>
      </c>
      <c r="C2124" t="s">
        <v>9686</v>
      </c>
      <c r="D2124">
        <v>7</v>
      </c>
      <c r="E2124" t="s">
        <v>27</v>
      </c>
      <c r="F2124" t="s">
        <v>63</v>
      </c>
      <c r="G2124" s="23">
        <v>41772</v>
      </c>
      <c r="H2124" t="s">
        <v>9687</v>
      </c>
      <c r="I2124" t="s">
        <v>9688</v>
      </c>
      <c r="J2124" t="s">
        <v>9689</v>
      </c>
    </row>
    <row r="2125" spans="1:10">
      <c r="A2125" t="s">
        <v>9690</v>
      </c>
      <c r="B2125" t="s">
        <v>9690</v>
      </c>
      <c r="C2125" t="s">
        <v>9691</v>
      </c>
      <c r="D2125">
        <v>30</v>
      </c>
      <c r="E2125" t="s">
        <v>29</v>
      </c>
      <c r="F2125" t="s">
        <v>63</v>
      </c>
      <c r="G2125" s="23">
        <v>46052</v>
      </c>
      <c r="H2125" t="s">
        <v>9692</v>
      </c>
      <c r="I2125" t="s">
        <v>9693</v>
      </c>
      <c r="J2125" t="s">
        <v>9694</v>
      </c>
    </row>
    <row r="2126" spans="1:10">
      <c r="A2126" t="s">
        <v>9695</v>
      </c>
      <c r="B2126" t="s">
        <v>9695</v>
      </c>
      <c r="C2126" t="s">
        <v>2493</v>
      </c>
      <c r="D2126">
        <v>6</v>
      </c>
      <c r="E2126" t="s">
        <v>33</v>
      </c>
      <c r="F2126" t="s">
        <v>571</v>
      </c>
      <c r="G2126" s="23">
        <v>41818</v>
      </c>
      <c r="H2126" t="s">
        <v>9696</v>
      </c>
      <c r="I2126" t="s">
        <v>9697</v>
      </c>
      <c r="J2126" t="s">
        <v>9698</v>
      </c>
    </row>
    <row r="2127" spans="1:10">
      <c r="A2127" t="s">
        <v>9699</v>
      </c>
      <c r="B2127" t="s">
        <v>9699</v>
      </c>
      <c r="C2127" t="s">
        <v>9700</v>
      </c>
      <c r="D2127">
        <v>10</v>
      </c>
      <c r="E2127" t="s">
        <v>27</v>
      </c>
      <c r="F2127" t="s">
        <v>63</v>
      </c>
      <c r="G2127" s="23">
        <v>41447</v>
      </c>
      <c r="H2127" t="s">
        <v>9701</v>
      </c>
      <c r="I2127" t="s">
        <v>9702</v>
      </c>
      <c r="J2127" t="s">
        <v>9703</v>
      </c>
    </row>
    <row r="2128" spans="1:10">
      <c r="A2128" t="s">
        <v>9704</v>
      </c>
      <c r="B2128" t="s">
        <v>9704</v>
      </c>
      <c r="C2128" t="s">
        <v>9705</v>
      </c>
      <c r="D2128">
        <v>11</v>
      </c>
      <c r="E2128" t="s">
        <v>27</v>
      </c>
      <c r="F2128" t="s">
        <v>63</v>
      </c>
      <c r="G2128" s="23">
        <v>44025</v>
      </c>
      <c r="H2128" t="s">
        <v>9706</v>
      </c>
      <c r="I2128" t="s">
        <v>9707</v>
      </c>
      <c r="J2128" t="s">
        <v>9708</v>
      </c>
    </row>
    <row r="2129" spans="1:10">
      <c r="A2129" t="s">
        <v>9709</v>
      </c>
      <c r="B2129" t="s">
        <v>9709</v>
      </c>
      <c r="C2129" t="s">
        <v>1119</v>
      </c>
      <c r="D2129">
        <v>9</v>
      </c>
      <c r="E2129" t="s">
        <v>29</v>
      </c>
      <c r="F2129" t="s">
        <v>63</v>
      </c>
      <c r="G2129" s="23">
        <v>41529</v>
      </c>
      <c r="H2129" t="s">
        <v>9710</v>
      </c>
      <c r="I2129" t="s">
        <v>9711</v>
      </c>
      <c r="J2129" t="s">
        <v>9712</v>
      </c>
    </row>
    <row r="2130" spans="1:10">
      <c r="A2130" t="s">
        <v>9713</v>
      </c>
      <c r="B2130" t="s">
        <v>9713</v>
      </c>
      <c r="C2130" t="s">
        <v>4041</v>
      </c>
      <c r="D2130">
        <v>10</v>
      </c>
      <c r="E2130" t="s">
        <v>27</v>
      </c>
      <c r="F2130" t="s">
        <v>63</v>
      </c>
      <c r="G2130" s="23">
        <v>41501</v>
      </c>
      <c r="H2130" t="s">
        <v>9714</v>
      </c>
      <c r="I2130" t="s">
        <v>9715</v>
      </c>
      <c r="J2130" t="s">
        <v>9716</v>
      </c>
    </row>
    <row r="2131" spans="1:10">
      <c r="A2131" t="s">
        <v>9717</v>
      </c>
      <c r="B2131" t="s">
        <v>9717</v>
      </c>
      <c r="C2131" t="s">
        <v>4041</v>
      </c>
      <c r="D2131">
        <v>25</v>
      </c>
      <c r="E2131" t="s">
        <v>29</v>
      </c>
      <c r="F2131" t="s">
        <v>63</v>
      </c>
      <c r="G2131" s="23">
        <v>42224</v>
      </c>
      <c r="H2131" t="s">
        <v>9718</v>
      </c>
      <c r="I2131" t="s">
        <v>9719</v>
      </c>
      <c r="J2131" t="s">
        <v>9720</v>
      </c>
    </row>
    <row r="2132" spans="1:10">
      <c r="A2132" t="s">
        <v>9721</v>
      </c>
      <c r="B2132" t="s">
        <v>9721</v>
      </c>
      <c r="C2132" t="s">
        <v>9722</v>
      </c>
      <c r="D2132">
        <v>25</v>
      </c>
      <c r="E2132" t="s">
        <v>31</v>
      </c>
      <c r="F2132" t="s">
        <v>63</v>
      </c>
      <c r="G2132" s="23">
        <v>46059</v>
      </c>
      <c r="H2132" t="s">
        <v>9723</v>
      </c>
      <c r="I2132" t="s">
        <v>9724</v>
      </c>
      <c r="J2132" t="s">
        <v>9725</v>
      </c>
    </row>
    <row r="2133" spans="1:10">
      <c r="A2133" t="s">
        <v>9726</v>
      </c>
      <c r="B2133" t="s">
        <v>9726</v>
      </c>
      <c r="C2133" t="s">
        <v>9727</v>
      </c>
      <c r="D2133">
        <v>7</v>
      </c>
      <c r="E2133" t="s">
        <v>29</v>
      </c>
      <c r="F2133" t="s">
        <v>63</v>
      </c>
      <c r="G2133" s="23">
        <v>42464</v>
      </c>
      <c r="H2133" t="s">
        <v>9728</v>
      </c>
      <c r="I2133" t="s">
        <v>9729</v>
      </c>
      <c r="J2133" t="s">
        <v>9730</v>
      </c>
    </row>
    <row r="2134" spans="1:10">
      <c r="A2134" t="s">
        <v>9731</v>
      </c>
      <c r="B2134" t="s">
        <v>9731</v>
      </c>
      <c r="C2134" t="s">
        <v>7460</v>
      </c>
      <c r="D2134">
        <v>30</v>
      </c>
      <c r="E2134" t="s">
        <v>31</v>
      </c>
      <c r="F2134" t="s">
        <v>63</v>
      </c>
      <c r="G2134" s="23">
        <v>42236</v>
      </c>
      <c r="H2134" t="s">
        <v>9732</v>
      </c>
      <c r="I2134" t="s">
        <v>9733</v>
      </c>
      <c r="J2134" t="s">
        <v>9734</v>
      </c>
    </row>
    <row r="2135" spans="1:10">
      <c r="A2135" t="s">
        <v>9735</v>
      </c>
      <c r="B2135" t="s">
        <v>9735</v>
      </c>
      <c r="C2135" t="s">
        <v>4041</v>
      </c>
      <c r="D2135">
        <v>12</v>
      </c>
      <c r="E2135" t="s">
        <v>29</v>
      </c>
      <c r="F2135" t="s">
        <v>63</v>
      </c>
      <c r="G2135" s="23">
        <v>42219</v>
      </c>
      <c r="H2135" t="s">
        <v>9736</v>
      </c>
      <c r="I2135" t="s">
        <v>9737</v>
      </c>
      <c r="J2135" t="s">
        <v>9738</v>
      </c>
    </row>
    <row r="2136" spans="1:10">
      <c r="A2136" t="s">
        <v>9739</v>
      </c>
      <c r="B2136" t="s">
        <v>9739</v>
      </c>
      <c r="C2136" t="s">
        <v>9740</v>
      </c>
      <c r="D2136">
        <v>6</v>
      </c>
      <c r="E2136" t="s">
        <v>27</v>
      </c>
      <c r="F2136" t="s">
        <v>63</v>
      </c>
      <c r="G2136" s="23">
        <v>42277</v>
      </c>
      <c r="H2136" t="s">
        <v>9741</v>
      </c>
      <c r="I2136" t="s">
        <v>9742</v>
      </c>
      <c r="J2136" t="s">
        <v>9743</v>
      </c>
    </row>
    <row r="2137" spans="1:10">
      <c r="A2137" t="s">
        <v>9744</v>
      </c>
      <c r="B2137" t="s">
        <v>9744</v>
      </c>
      <c r="C2137" t="s">
        <v>9745</v>
      </c>
      <c r="D2137">
        <v>23</v>
      </c>
      <c r="E2137" t="s">
        <v>29</v>
      </c>
      <c r="F2137" t="s">
        <v>63</v>
      </c>
      <c r="G2137" s="23">
        <v>41556</v>
      </c>
      <c r="H2137" t="s">
        <v>9746</v>
      </c>
      <c r="I2137" t="s">
        <v>9747</v>
      </c>
      <c r="J2137" t="s">
        <v>9748</v>
      </c>
    </row>
    <row r="2138" spans="1:10">
      <c r="A2138" t="s">
        <v>9749</v>
      </c>
      <c r="B2138" t="s">
        <v>9749</v>
      </c>
      <c r="C2138" t="s">
        <v>4465</v>
      </c>
      <c r="D2138">
        <v>1</v>
      </c>
      <c r="E2138" t="s">
        <v>27</v>
      </c>
      <c r="F2138" t="s">
        <v>63</v>
      </c>
      <c r="G2138" s="23">
        <v>42093</v>
      </c>
      <c r="H2138" t="s">
        <v>9750</v>
      </c>
      <c r="I2138" t="s">
        <v>9751</v>
      </c>
      <c r="J2138" t="s">
        <v>9752</v>
      </c>
    </row>
    <row r="2139" spans="1:10">
      <c r="A2139" t="s">
        <v>9753</v>
      </c>
      <c r="B2139" t="s">
        <v>9753</v>
      </c>
      <c r="C2139" t="s">
        <v>4915</v>
      </c>
      <c r="D2139">
        <v>32</v>
      </c>
      <c r="E2139" t="s">
        <v>29</v>
      </c>
      <c r="F2139" t="s">
        <v>63</v>
      </c>
      <c r="G2139" s="23">
        <v>43654</v>
      </c>
      <c r="H2139" t="s">
        <v>9754</v>
      </c>
      <c r="I2139" t="s">
        <v>9755</v>
      </c>
      <c r="J2139" t="s">
        <v>9756</v>
      </c>
    </row>
    <row r="2140" spans="1:10">
      <c r="A2140" t="s">
        <v>9757</v>
      </c>
      <c r="B2140" t="s">
        <v>9757</v>
      </c>
      <c r="C2140" t="s">
        <v>9217</v>
      </c>
      <c r="D2140">
        <v>15</v>
      </c>
      <c r="E2140" t="s">
        <v>29</v>
      </c>
      <c r="F2140" t="s">
        <v>63</v>
      </c>
      <c r="G2140" s="23">
        <v>42742</v>
      </c>
      <c r="H2140" t="s">
        <v>9758</v>
      </c>
      <c r="I2140" t="s">
        <v>9759</v>
      </c>
      <c r="J2140" t="s">
        <v>9760</v>
      </c>
    </row>
    <row r="2141" spans="1:10">
      <c r="A2141" t="s">
        <v>9761</v>
      </c>
      <c r="B2141" t="s">
        <v>9761</v>
      </c>
      <c r="C2141" t="s">
        <v>2901</v>
      </c>
      <c r="D2141">
        <v>40</v>
      </c>
      <c r="E2141" t="s">
        <v>29</v>
      </c>
      <c r="F2141" t="s">
        <v>63</v>
      </c>
      <c r="G2141" s="23">
        <v>42214</v>
      </c>
      <c r="H2141" t="s">
        <v>9762</v>
      </c>
      <c r="I2141" t="s">
        <v>9763</v>
      </c>
      <c r="J2141" t="s">
        <v>9764</v>
      </c>
    </row>
    <row r="2142" spans="1:10">
      <c r="A2142" t="s">
        <v>9765</v>
      </c>
      <c r="B2142" t="s">
        <v>9765</v>
      </c>
      <c r="C2142" t="s">
        <v>2901</v>
      </c>
      <c r="D2142">
        <v>58</v>
      </c>
      <c r="E2142" t="s">
        <v>31</v>
      </c>
      <c r="F2142" t="s">
        <v>63</v>
      </c>
      <c r="G2142" s="23">
        <v>42302</v>
      </c>
      <c r="H2142" t="s">
        <v>9766</v>
      </c>
      <c r="I2142" t="s">
        <v>9767</v>
      </c>
      <c r="J2142" t="s">
        <v>9768</v>
      </c>
    </row>
    <row r="2143" spans="1:10">
      <c r="A2143" t="s">
        <v>9769</v>
      </c>
      <c r="B2143" t="s">
        <v>9769</v>
      </c>
      <c r="C2143" t="s">
        <v>9770</v>
      </c>
      <c r="D2143">
        <v>4</v>
      </c>
      <c r="E2143" t="s">
        <v>27</v>
      </c>
      <c r="F2143" t="s">
        <v>63</v>
      </c>
      <c r="G2143" s="23">
        <v>42216</v>
      </c>
      <c r="H2143" t="s">
        <v>9771</v>
      </c>
      <c r="I2143" t="s">
        <v>9772</v>
      </c>
      <c r="J2143" t="s">
        <v>9773</v>
      </c>
    </row>
    <row r="2144" spans="1:10">
      <c r="A2144" t="s">
        <v>9774</v>
      </c>
      <c r="B2144" t="s">
        <v>9774</v>
      </c>
      <c r="C2144" t="s">
        <v>547</v>
      </c>
      <c r="D2144">
        <v>6</v>
      </c>
      <c r="E2144" t="s">
        <v>31</v>
      </c>
      <c r="F2144" t="s">
        <v>63</v>
      </c>
      <c r="G2144" s="23">
        <v>44208</v>
      </c>
      <c r="H2144" t="s">
        <v>9775</v>
      </c>
      <c r="I2144" t="s">
        <v>9776</v>
      </c>
      <c r="J2144" t="s">
        <v>9777</v>
      </c>
    </row>
    <row r="2145" spans="1:10">
      <c r="A2145" t="s">
        <v>9778</v>
      </c>
      <c r="B2145" t="s">
        <v>9778</v>
      </c>
      <c r="C2145" t="s">
        <v>504</v>
      </c>
      <c r="D2145">
        <v>12</v>
      </c>
      <c r="E2145" t="s">
        <v>29</v>
      </c>
      <c r="F2145" t="s">
        <v>63</v>
      </c>
      <c r="G2145" s="23">
        <v>41682</v>
      </c>
      <c r="H2145" t="s">
        <v>9779</v>
      </c>
      <c r="I2145" t="s">
        <v>9780</v>
      </c>
      <c r="J2145" t="s">
        <v>9781</v>
      </c>
    </row>
    <row r="2146" spans="1:10">
      <c r="A2146" t="s">
        <v>9782</v>
      </c>
      <c r="B2146" t="s">
        <v>9782</v>
      </c>
      <c r="C2146" t="s">
        <v>9783</v>
      </c>
      <c r="D2146">
        <v>31</v>
      </c>
      <c r="E2146" t="s">
        <v>29</v>
      </c>
      <c r="F2146" t="s">
        <v>63</v>
      </c>
      <c r="G2146" s="23">
        <v>43672</v>
      </c>
      <c r="H2146" t="s">
        <v>9784</v>
      </c>
      <c r="I2146" t="s">
        <v>9785</v>
      </c>
      <c r="J2146" t="s">
        <v>9786</v>
      </c>
    </row>
    <row r="2147" spans="1:10">
      <c r="A2147" t="s">
        <v>9787</v>
      </c>
      <c r="B2147" t="s">
        <v>9787</v>
      </c>
      <c r="C2147" t="s">
        <v>5750</v>
      </c>
      <c r="D2147">
        <v>6</v>
      </c>
      <c r="E2147" t="s">
        <v>29</v>
      </c>
      <c r="F2147" t="s">
        <v>63</v>
      </c>
      <c r="G2147" s="23">
        <v>42163</v>
      </c>
      <c r="H2147" t="s">
        <v>9788</v>
      </c>
      <c r="I2147" t="s">
        <v>9789</v>
      </c>
      <c r="J2147" t="s">
        <v>9790</v>
      </c>
    </row>
    <row r="2148" spans="1:10">
      <c r="A2148" t="s">
        <v>9791</v>
      </c>
      <c r="B2148" t="s">
        <v>9791</v>
      </c>
      <c r="C2148" t="s">
        <v>7208</v>
      </c>
      <c r="D2148">
        <v>5</v>
      </c>
      <c r="E2148" t="s">
        <v>29</v>
      </c>
      <c r="F2148" t="s">
        <v>63</v>
      </c>
      <c r="G2148" s="23">
        <v>44212</v>
      </c>
      <c r="H2148" t="s">
        <v>9792</v>
      </c>
      <c r="I2148" t="s">
        <v>9793</v>
      </c>
      <c r="J2148" t="s">
        <v>9794</v>
      </c>
    </row>
    <row r="2149" spans="1:10">
      <c r="A2149" t="s">
        <v>9795</v>
      </c>
      <c r="B2149" t="s">
        <v>9795</v>
      </c>
      <c r="C2149" t="s">
        <v>9796</v>
      </c>
      <c r="D2149">
        <v>5</v>
      </c>
      <c r="E2149" t="s">
        <v>27</v>
      </c>
      <c r="F2149" t="s">
        <v>63</v>
      </c>
      <c r="G2149" s="23">
        <v>42081</v>
      </c>
      <c r="H2149" t="s">
        <v>9797</v>
      </c>
      <c r="I2149" t="s">
        <v>9798</v>
      </c>
      <c r="J2149" t="s">
        <v>9799</v>
      </c>
    </row>
    <row r="2150" spans="1:10">
      <c r="A2150" t="s">
        <v>9800</v>
      </c>
      <c r="B2150" t="s">
        <v>9800</v>
      </c>
      <c r="C2150" t="s">
        <v>9801</v>
      </c>
      <c r="D2150">
        <v>46</v>
      </c>
      <c r="E2150" t="s">
        <v>29</v>
      </c>
      <c r="F2150" t="s">
        <v>63</v>
      </c>
      <c r="G2150" s="23">
        <v>41531</v>
      </c>
      <c r="H2150" t="s">
        <v>9802</v>
      </c>
      <c r="I2150" t="s">
        <v>9803</v>
      </c>
      <c r="J2150" t="s">
        <v>9804</v>
      </c>
    </row>
    <row r="2151" spans="1:10">
      <c r="A2151" t="s">
        <v>9805</v>
      </c>
      <c r="B2151" t="s">
        <v>9805</v>
      </c>
      <c r="C2151" t="s">
        <v>9806</v>
      </c>
      <c r="D2151">
        <v>1</v>
      </c>
      <c r="E2151" t="s">
        <v>29</v>
      </c>
      <c r="F2151" t="s">
        <v>63</v>
      </c>
      <c r="G2151" s="23">
        <v>42153</v>
      </c>
      <c r="H2151" t="s">
        <v>9807</v>
      </c>
      <c r="I2151" t="s">
        <v>9808</v>
      </c>
      <c r="J2151" t="s">
        <v>9809</v>
      </c>
    </row>
    <row r="2152" spans="1:10">
      <c r="A2152" t="s">
        <v>9810</v>
      </c>
      <c r="B2152" t="s">
        <v>9810</v>
      </c>
      <c r="C2152" t="s">
        <v>4041</v>
      </c>
      <c r="D2152">
        <v>16</v>
      </c>
      <c r="E2152" t="s">
        <v>27</v>
      </c>
      <c r="F2152" t="s">
        <v>63</v>
      </c>
      <c r="G2152" s="23">
        <v>42211</v>
      </c>
      <c r="H2152" t="s">
        <v>9811</v>
      </c>
      <c r="I2152" t="s">
        <v>9812</v>
      </c>
      <c r="J2152" t="s">
        <v>9813</v>
      </c>
    </row>
    <row r="2153" spans="1:10">
      <c r="A2153" t="s">
        <v>9814</v>
      </c>
      <c r="B2153" t="s">
        <v>9814</v>
      </c>
      <c r="C2153" t="s">
        <v>590</v>
      </c>
      <c r="D2153">
        <v>5</v>
      </c>
      <c r="E2153" t="s">
        <v>34</v>
      </c>
      <c r="F2153" t="s">
        <v>57</v>
      </c>
      <c r="G2153" s="23">
        <v>44307</v>
      </c>
      <c r="H2153" t="s">
        <v>9815</v>
      </c>
      <c r="I2153" t="s">
        <v>9816</v>
      </c>
      <c r="J2153" t="s">
        <v>9817</v>
      </c>
    </row>
    <row r="2154" spans="1:10">
      <c r="A2154" t="s">
        <v>9818</v>
      </c>
      <c r="B2154" t="s">
        <v>9818</v>
      </c>
      <c r="C2154" t="s">
        <v>8394</v>
      </c>
      <c r="D2154">
        <v>12</v>
      </c>
      <c r="E2154" t="s">
        <v>29</v>
      </c>
      <c r="F2154" t="s">
        <v>63</v>
      </c>
      <c r="G2154" s="23">
        <v>44090</v>
      </c>
      <c r="H2154" t="s">
        <v>9819</v>
      </c>
      <c r="I2154" t="s">
        <v>9820</v>
      </c>
      <c r="J2154" t="s">
        <v>9821</v>
      </c>
    </row>
    <row r="2155" spans="1:10">
      <c r="A2155" t="s">
        <v>9822</v>
      </c>
      <c r="B2155" t="s">
        <v>9822</v>
      </c>
      <c r="C2155" t="s">
        <v>9823</v>
      </c>
      <c r="D2155">
        <v>8</v>
      </c>
      <c r="E2155" t="s">
        <v>31</v>
      </c>
      <c r="F2155" t="s">
        <v>63</v>
      </c>
      <c r="G2155" s="23">
        <v>42113</v>
      </c>
      <c r="H2155" t="s">
        <v>9824</v>
      </c>
      <c r="I2155" t="s">
        <v>9825</v>
      </c>
      <c r="J2155" t="s">
        <v>9826</v>
      </c>
    </row>
    <row r="2156" spans="1:10">
      <c r="A2156" t="s">
        <v>9827</v>
      </c>
      <c r="B2156" t="s">
        <v>9827</v>
      </c>
      <c r="C2156" t="s">
        <v>5587</v>
      </c>
      <c r="D2156">
        <v>19</v>
      </c>
      <c r="E2156" t="s">
        <v>29</v>
      </c>
      <c r="F2156" t="s">
        <v>63</v>
      </c>
      <c r="G2156" s="23">
        <v>46218</v>
      </c>
      <c r="H2156" t="s">
        <v>9828</v>
      </c>
      <c r="I2156" t="s">
        <v>9829</v>
      </c>
      <c r="J2156" t="s">
        <v>9830</v>
      </c>
    </row>
    <row r="2157" spans="1:10">
      <c r="A2157" t="s">
        <v>9831</v>
      </c>
      <c r="B2157" t="s">
        <v>9831</v>
      </c>
      <c r="C2157" t="s">
        <v>3537</v>
      </c>
      <c r="D2157">
        <v>35</v>
      </c>
      <c r="E2157" t="s">
        <v>27</v>
      </c>
      <c r="F2157" t="s">
        <v>63</v>
      </c>
      <c r="G2157" s="23">
        <v>42219</v>
      </c>
      <c r="H2157" t="s">
        <v>9832</v>
      </c>
      <c r="I2157" t="s">
        <v>9833</v>
      </c>
      <c r="J2157" t="s">
        <v>9834</v>
      </c>
    </row>
    <row r="2158" spans="1:10">
      <c r="A2158" t="s">
        <v>9835</v>
      </c>
      <c r="B2158" t="s">
        <v>9835</v>
      </c>
      <c r="C2158" t="s">
        <v>2100</v>
      </c>
      <c r="D2158">
        <v>5</v>
      </c>
      <c r="E2158" t="s">
        <v>27</v>
      </c>
      <c r="F2158" t="s">
        <v>63</v>
      </c>
      <c r="G2158" s="23">
        <v>42252</v>
      </c>
      <c r="H2158" t="s">
        <v>9836</v>
      </c>
      <c r="I2158" t="s">
        <v>9837</v>
      </c>
      <c r="J2158" t="s">
        <v>9838</v>
      </c>
    </row>
    <row r="2159" spans="1:10">
      <c r="A2159" t="s">
        <v>9839</v>
      </c>
      <c r="B2159" t="s">
        <v>9839</v>
      </c>
      <c r="C2159" t="s">
        <v>9840</v>
      </c>
      <c r="D2159">
        <v>14</v>
      </c>
      <c r="E2159" t="s">
        <v>29</v>
      </c>
      <c r="F2159" t="s">
        <v>63</v>
      </c>
      <c r="G2159" s="23">
        <v>42207</v>
      </c>
      <c r="H2159" t="s">
        <v>9841</v>
      </c>
      <c r="I2159" t="s">
        <v>9842</v>
      </c>
      <c r="J2159" t="s">
        <v>9843</v>
      </c>
    </row>
    <row r="2160" spans="1:10">
      <c r="A2160" t="s">
        <v>9844</v>
      </c>
      <c r="B2160" t="s">
        <v>9844</v>
      </c>
      <c r="C2160" t="s">
        <v>9845</v>
      </c>
      <c r="D2160">
        <v>101</v>
      </c>
      <c r="E2160" t="s">
        <v>35</v>
      </c>
      <c r="F2160" t="s">
        <v>115</v>
      </c>
      <c r="G2160" s="23">
        <v>44934</v>
      </c>
      <c r="H2160" t="s">
        <v>9846</v>
      </c>
      <c r="I2160" t="s">
        <v>9847</v>
      </c>
      <c r="J2160" t="s">
        <v>9848</v>
      </c>
    </row>
    <row r="2161" spans="1:10">
      <c r="A2161" t="s">
        <v>9849</v>
      </c>
      <c r="B2161" t="s">
        <v>9849</v>
      </c>
      <c r="C2161" t="s">
        <v>9845</v>
      </c>
      <c r="D2161">
        <v>96</v>
      </c>
      <c r="E2161" t="s">
        <v>35</v>
      </c>
      <c r="F2161" t="s">
        <v>115</v>
      </c>
      <c r="G2161" s="23">
        <v>45627</v>
      </c>
      <c r="H2161" t="s">
        <v>9850</v>
      </c>
      <c r="I2161" t="s">
        <v>9851</v>
      </c>
      <c r="J2161" t="s">
        <v>9852</v>
      </c>
    </row>
    <row r="2162" spans="1:10">
      <c r="A2162" t="s">
        <v>9853</v>
      </c>
      <c r="B2162" t="s">
        <v>9853</v>
      </c>
      <c r="C2162" t="s">
        <v>7923</v>
      </c>
      <c r="D2162">
        <v>15</v>
      </c>
      <c r="E2162" t="s">
        <v>35</v>
      </c>
      <c r="F2162" t="s">
        <v>57</v>
      </c>
      <c r="G2162" s="23">
        <v>45559</v>
      </c>
      <c r="H2162" t="s">
        <v>9854</v>
      </c>
      <c r="I2162" t="s">
        <v>9855</v>
      </c>
      <c r="J2162" t="s">
        <v>9856</v>
      </c>
    </row>
    <row r="2163" spans="1:10">
      <c r="A2163" t="s">
        <v>9857</v>
      </c>
      <c r="B2163" t="s">
        <v>9857</v>
      </c>
      <c r="C2163" t="s">
        <v>9858</v>
      </c>
      <c r="D2163">
        <v>11</v>
      </c>
      <c r="E2163" t="s">
        <v>33</v>
      </c>
      <c r="F2163" t="s">
        <v>57</v>
      </c>
      <c r="G2163" s="23">
        <v>44033</v>
      </c>
      <c r="H2163" t="s">
        <v>9859</v>
      </c>
      <c r="I2163" t="s">
        <v>9860</v>
      </c>
      <c r="J2163" t="s">
        <v>9861</v>
      </c>
    </row>
    <row r="2164" spans="1:10">
      <c r="A2164" t="s">
        <v>9862</v>
      </c>
      <c r="B2164" t="s">
        <v>9862</v>
      </c>
      <c r="C2164" t="s">
        <v>9863</v>
      </c>
      <c r="D2164">
        <v>20</v>
      </c>
      <c r="E2164" t="s">
        <v>33</v>
      </c>
      <c r="F2164" t="s">
        <v>57</v>
      </c>
      <c r="G2164" s="23">
        <v>44108</v>
      </c>
      <c r="H2164" t="s">
        <v>9864</v>
      </c>
      <c r="I2164" t="s">
        <v>9865</v>
      </c>
      <c r="J2164" t="s">
        <v>9866</v>
      </c>
    </row>
    <row r="2165" spans="1:10">
      <c r="A2165" t="s">
        <v>9867</v>
      </c>
      <c r="B2165" t="s">
        <v>9867</v>
      </c>
      <c r="C2165" t="s">
        <v>9868</v>
      </c>
      <c r="D2165">
        <v>13</v>
      </c>
      <c r="E2165" t="s">
        <v>34</v>
      </c>
      <c r="F2165" t="s">
        <v>57</v>
      </c>
      <c r="G2165" s="23">
        <v>44168</v>
      </c>
      <c r="H2165" t="s">
        <v>9869</v>
      </c>
      <c r="I2165" t="s">
        <v>9870</v>
      </c>
      <c r="J2165" t="s">
        <v>9871</v>
      </c>
    </row>
    <row r="2166" spans="1:10">
      <c r="A2166" t="s">
        <v>9872</v>
      </c>
      <c r="B2166" t="s">
        <v>9872</v>
      </c>
      <c r="C2166" t="s">
        <v>9873</v>
      </c>
      <c r="D2166">
        <v>17</v>
      </c>
      <c r="E2166" t="s">
        <v>34</v>
      </c>
      <c r="F2166" t="s">
        <v>57</v>
      </c>
      <c r="G2166" s="23">
        <v>45854</v>
      </c>
      <c r="H2166" t="s">
        <v>9874</v>
      </c>
      <c r="I2166" t="s">
        <v>9875</v>
      </c>
      <c r="J2166" t="s">
        <v>9876</v>
      </c>
    </row>
    <row r="2167" spans="1:10">
      <c r="A2167" t="s">
        <v>9877</v>
      </c>
      <c r="B2167" t="s">
        <v>9877</v>
      </c>
      <c r="C2167" t="s">
        <v>9878</v>
      </c>
      <c r="D2167">
        <v>6</v>
      </c>
      <c r="E2167" t="s">
        <v>33</v>
      </c>
      <c r="F2167" t="s">
        <v>63</v>
      </c>
      <c r="G2167" s="23">
        <v>44203</v>
      </c>
      <c r="H2167" t="s">
        <v>9879</v>
      </c>
      <c r="I2167" t="s">
        <v>9880</v>
      </c>
      <c r="J2167" t="s">
        <v>9881</v>
      </c>
    </row>
    <row r="2168" spans="1:10">
      <c r="A2168" t="s">
        <v>9882</v>
      </c>
      <c r="B2168" t="s">
        <v>9882</v>
      </c>
      <c r="C2168" t="s">
        <v>4255</v>
      </c>
      <c r="D2168">
        <v>4</v>
      </c>
      <c r="E2168" t="s">
        <v>31</v>
      </c>
      <c r="F2168" t="s">
        <v>57</v>
      </c>
      <c r="G2168" s="23">
        <v>44358</v>
      </c>
      <c r="H2168" t="s">
        <v>9883</v>
      </c>
      <c r="I2168" t="s">
        <v>9884</v>
      </c>
      <c r="J2168" t="s">
        <v>9885</v>
      </c>
    </row>
    <row r="2169" spans="1:10">
      <c r="A2169" t="s">
        <v>9886</v>
      </c>
      <c r="B2169" t="s">
        <v>9886</v>
      </c>
      <c r="C2169" t="s">
        <v>9887</v>
      </c>
      <c r="D2169">
        <v>31</v>
      </c>
      <c r="E2169" t="s">
        <v>34</v>
      </c>
      <c r="F2169" t="s">
        <v>57</v>
      </c>
      <c r="G2169" s="23">
        <v>45362</v>
      </c>
      <c r="H2169" t="s">
        <v>9888</v>
      </c>
      <c r="I2169" t="s">
        <v>9889</v>
      </c>
      <c r="J2169" t="s">
        <v>9890</v>
      </c>
    </row>
    <row r="2170" spans="1:10">
      <c r="A2170" t="s">
        <v>9891</v>
      </c>
      <c r="B2170" t="s">
        <v>9891</v>
      </c>
      <c r="C2170" t="s">
        <v>9892</v>
      </c>
      <c r="D2170">
        <v>16</v>
      </c>
      <c r="E2170" t="s">
        <v>31</v>
      </c>
      <c r="F2170" t="s">
        <v>57</v>
      </c>
      <c r="G2170" s="23">
        <v>43977</v>
      </c>
      <c r="H2170" t="s">
        <v>9893</v>
      </c>
      <c r="I2170" t="s">
        <v>9894</v>
      </c>
      <c r="J2170" t="s">
        <v>9895</v>
      </c>
    </row>
    <row r="2171" spans="1:10">
      <c r="A2171" t="s">
        <v>9896</v>
      </c>
      <c r="B2171" t="s">
        <v>9896</v>
      </c>
      <c r="C2171" t="s">
        <v>9897</v>
      </c>
      <c r="D2171">
        <v>12</v>
      </c>
      <c r="E2171" t="s">
        <v>35</v>
      </c>
      <c r="F2171" t="s">
        <v>57</v>
      </c>
      <c r="G2171" s="23">
        <v>45396</v>
      </c>
      <c r="H2171" t="s">
        <v>9898</v>
      </c>
      <c r="I2171" t="s">
        <v>9899</v>
      </c>
      <c r="J2171" t="s">
        <v>9900</v>
      </c>
    </row>
    <row r="2172" spans="1:10">
      <c r="A2172" t="s">
        <v>9901</v>
      </c>
      <c r="B2172" t="s">
        <v>9901</v>
      </c>
      <c r="C2172" t="s">
        <v>9902</v>
      </c>
      <c r="D2172">
        <v>11</v>
      </c>
      <c r="E2172" t="s">
        <v>27</v>
      </c>
      <c r="F2172" t="s">
        <v>63</v>
      </c>
      <c r="G2172" s="23">
        <v>42242</v>
      </c>
      <c r="H2172" t="s">
        <v>9903</v>
      </c>
      <c r="I2172" t="s">
        <v>9904</v>
      </c>
      <c r="J2172" t="s">
        <v>9905</v>
      </c>
    </row>
    <row r="2173" spans="1:10">
      <c r="A2173" t="s">
        <v>9906</v>
      </c>
      <c r="B2173" t="s">
        <v>9906</v>
      </c>
      <c r="C2173" t="s">
        <v>7094</v>
      </c>
      <c r="D2173">
        <v>6</v>
      </c>
      <c r="E2173" t="s">
        <v>33</v>
      </c>
      <c r="F2173" t="s">
        <v>57</v>
      </c>
      <c r="G2173" s="23">
        <v>46010</v>
      </c>
      <c r="H2173" t="s">
        <v>9907</v>
      </c>
      <c r="I2173" t="s">
        <v>9908</v>
      </c>
      <c r="J2173" t="s">
        <v>9909</v>
      </c>
    </row>
    <row r="2174" spans="1:10">
      <c r="A2174" t="s">
        <v>9910</v>
      </c>
      <c r="B2174" t="s">
        <v>9910</v>
      </c>
      <c r="C2174" t="s">
        <v>7094</v>
      </c>
      <c r="D2174">
        <v>22</v>
      </c>
      <c r="E2174" t="s">
        <v>34</v>
      </c>
      <c r="F2174" t="s">
        <v>57</v>
      </c>
      <c r="G2174" s="23">
        <v>45951</v>
      </c>
      <c r="H2174" t="s">
        <v>9911</v>
      </c>
      <c r="I2174" t="s">
        <v>9912</v>
      </c>
      <c r="J2174" t="s">
        <v>9913</v>
      </c>
    </row>
    <row r="2175" spans="1:10">
      <c r="A2175" t="s">
        <v>9914</v>
      </c>
      <c r="B2175" t="s">
        <v>9914</v>
      </c>
      <c r="C2175" t="s">
        <v>7094</v>
      </c>
      <c r="D2175">
        <v>30</v>
      </c>
      <c r="E2175" t="s">
        <v>35</v>
      </c>
      <c r="F2175" t="s">
        <v>57</v>
      </c>
      <c r="G2175" s="23">
        <v>46000</v>
      </c>
      <c r="H2175" t="s">
        <v>9915</v>
      </c>
      <c r="I2175" t="s">
        <v>9916</v>
      </c>
      <c r="J2175" t="s">
        <v>9917</v>
      </c>
    </row>
    <row r="2176" spans="1:10">
      <c r="A2176" t="s">
        <v>9918</v>
      </c>
      <c r="B2176" t="s">
        <v>9918</v>
      </c>
      <c r="C2176" t="s">
        <v>9919</v>
      </c>
      <c r="D2176">
        <v>10</v>
      </c>
      <c r="E2176" t="s">
        <v>29</v>
      </c>
      <c r="F2176" t="s">
        <v>63</v>
      </c>
      <c r="G2176" s="23">
        <v>44205</v>
      </c>
      <c r="H2176" t="s">
        <v>9920</v>
      </c>
      <c r="I2176" t="s">
        <v>9921</v>
      </c>
      <c r="J2176" t="s">
        <v>9922</v>
      </c>
    </row>
    <row r="2177" spans="1:10">
      <c r="A2177" t="s">
        <v>9923</v>
      </c>
      <c r="B2177" t="s">
        <v>9923</v>
      </c>
      <c r="C2177" t="s">
        <v>9924</v>
      </c>
      <c r="D2177">
        <v>1</v>
      </c>
      <c r="E2177" t="s">
        <v>34</v>
      </c>
      <c r="F2177" t="s">
        <v>571</v>
      </c>
      <c r="G2177" s="23">
        <v>42599</v>
      </c>
      <c r="H2177" t="s">
        <v>9925</v>
      </c>
      <c r="I2177" t="s">
        <v>9926</v>
      </c>
      <c r="J2177" t="s">
        <v>9927</v>
      </c>
    </row>
    <row r="2178" spans="1:10">
      <c r="A2178" t="s">
        <v>9928</v>
      </c>
      <c r="B2178" t="s">
        <v>9928</v>
      </c>
      <c r="C2178" t="s">
        <v>1389</v>
      </c>
      <c r="D2178">
        <v>14</v>
      </c>
      <c r="E2178" t="s">
        <v>34</v>
      </c>
      <c r="F2178" t="s">
        <v>57</v>
      </c>
      <c r="G2178" s="23">
        <v>45762</v>
      </c>
      <c r="H2178" t="s">
        <v>9929</v>
      </c>
      <c r="I2178" t="s">
        <v>9930</v>
      </c>
      <c r="J2178" t="s">
        <v>9931</v>
      </c>
    </row>
    <row r="2179" spans="1:10">
      <c r="A2179" t="s">
        <v>9932</v>
      </c>
      <c r="B2179" t="s">
        <v>9932</v>
      </c>
      <c r="C2179" t="s">
        <v>9933</v>
      </c>
      <c r="D2179">
        <v>8</v>
      </c>
      <c r="E2179" t="s">
        <v>31</v>
      </c>
      <c r="F2179" t="s">
        <v>57</v>
      </c>
      <c r="G2179" s="23">
        <v>44748</v>
      </c>
      <c r="H2179" t="s">
        <v>9934</v>
      </c>
      <c r="I2179" t="s">
        <v>9935</v>
      </c>
      <c r="J2179" t="s">
        <v>9936</v>
      </c>
    </row>
    <row r="2180" spans="1:10">
      <c r="A2180" t="s">
        <v>9937</v>
      </c>
      <c r="B2180" t="s">
        <v>9937</v>
      </c>
      <c r="C2180" t="s">
        <v>9938</v>
      </c>
      <c r="D2180">
        <v>22</v>
      </c>
      <c r="E2180" t="s">
        <v>33</v>
      </c>
      <c r="F2180" t="s">
        <v>57</v>
      </c>
      <c r="G2180" s="23">
        <v>45752</v>
      </c>
      <c r="H2180" t="s">
        <v>9939</v>
      </c>
      <c r="I2180" t="s">
        <v>9940</v>
      </c>
      <c r="J2180" t="s">
        <v>9941</v>
      </c>
    </row>
    <row r="2181" spans="1:10">
      <c r="A2181" t="s">
        <v>9942</v>
      </c>
      <c r="B2181" t="s">
        <v>9942</v>
      </c>
      <c r="C2181" t="s">
        <v>9943</v>
      </c>
      <c r="D2181">
        <v>10</v>
      </c>
      <c r="E2181" t="s">
        <v>31</v>
      </c>
      <c r="F2181" t="s">
        <v>63</v>
      </c>
      <c r="G2181" s="23">
        <v>45532</v>
      </c>
      <c r="H2181" t="s">
        <v>9944</v>
      </c>
      <c r="I2181" t="s">
        <v>9945</v>
      </c>
      <c r="J2181" t="s">
        <v>9946</v>
      </c>
    </row>
    <row r="2182" spans="1:10">
      <c r="A2182" t="s">
        <v>9947</v>
      </c>
      <c r="B2182" t="s">
        <v>9947</v>
      </c>
      <c r="C2182" t="s">
        <v>9948</v>
      </c>
      <c r="D2182">
        <v>23</v>
      </c>
      <c r="E2182" t="s">
        <v>31</v>
      </c>
      <c r="F2182" t="s">
        <v>63</v>
      </c>
      <c r="G2182" s="23">
        <v>44545</v>
      </c>
      <c r="H2182" t="s">
        <v>9949</v>
      </c>
      <c r="I2182" t="s">
        <v>9950</v>
      </c>
      <c r="J2182" t="s">
        <v>9951</v>
      </c>
    </row>
    <row r="2183" spans="1:10">
      <c r="A2183" t="s">
        <v>9952</v>
      </c>
      <c r="B2183" t="s">
        <v>9952</v>
      </c>
      <c r="C2183" t="s">
        <v>9948</v>
      </c>
      <c r="D2183">
        <v>21</v>
      </c>
      <c r="E2183" t="s">
        <v>31</v>
      </c>
      <c r="F2183" t="s">
        <v>115</v>
      </c>
      <c r="G2183" s="23">
        <v>44739</v>
      </c>
      <c r="H2183" t="s">
        <v>9953</v>
      </c>
      <c r="I2183" t="s">
        <v>9954</v>
      </c>
      <c r="J2183" t="s">
        <v>9955</v>
      </c>
    </row>
    <row r="2184" spans="1:10">
      <c r="A2184" t="s">
        <v>9956</v>
      </c>
      <c r="B2184" t="s">
        <v>9956</v>
      </c>
      <c r="C2184" t="s">
        <v>9957</v>
      </c>
      <c r="D2184">
        <v>4</v>
      </c>
      <c r="E2184" t="s">
        <v>35</v>
      </c>
      <c r="F2184" t="s">
        <v>57</v>
      </c>
      <c r="G2184" s="23">
        <v>44768</v>
      </c>
      <c r="H2184" t="s">
        <v>9958</v>
      </c>
      <c r="I2184" t="s">
        <v>9959</v>
      </c>
      <c r="J2184" t="s">
        <v>9960</v>
      </c>
    </row>
    <row r="2185" spans="1:10">
      <c r="A2185" t="s">
        <v>9961</v>
      </c>
      <c r="B2185" t="s">
        <v>9961</v>
      </c>
      <c r="C2185" t="s">
        <v>9957</v>
      </c>
      <c r="D2185">
        <v>10</v>
      </c>
      <c r="E2185" t="s">
        <v>34</v>
      </c>
      <c r="F2185" t="s">
        <v>115</v>
      </c>
      <c r="G2185" s="23">
        <v>45142</v>
      </c>
      <c r="H2185" t="s">
        <v>9962</v>
      </c>
      <c r="I2185" t="s">
        <v>9963</v>
      </c>
      <c r="J2185" t="s">
        <v>9964</v>
      </c>
    </row>
    <row r="2186" spans="1:10">
      <c r="A2186" t="s">
        <v>9965</v>
      </c>
      <c r="B2186" t="s">
        <v>9965</v>
      </c>
      <c r="C2186" t="s">
        <v>2782</v>
      </c>
      <c r="D2186">
        <v>30</v>
      </c>
      <c r="E2186" t="s">
        <v>29</v>
      </c>
      <c r="F2186" t="s">
        <v>63</v>
      </c>
      <c r="G2186" s="23">
        <v>44007</v>
      </c>
      <c r="H2186" t="s">
        <v>9966</v>
      </c>
      <c r="I2186" t="s">
        <v>9967</v>
      </c>
      <c r="J2186" t="s">
        <v>9968</v>
      </c>
    </row>
    <row r="2187" spans="1:10">
      <c r="A2187" t="s">
        <v>9969</v>
      </c>
      <c r="B2187" t="s">
        <v>9969</v>
      </c>
      <c r="C2187" t="s">
        <v>2782</v>
      </c>
      <c r="D2187">
        <v>42</v>
      </c>
      <c r="E2187" t="s">
        <v>31</v>
      </c>
      <c r="F2187" t="s">
        <v>63</v>
      </c>
      <c r="G2187" s="23">
        <v>44375</v>
      </c>
      <c r="H2187" t="s">
        <v>9970</v>
      </c>
      <c r="I2187" t="s">
        <v>9971</v>
      </c>
      <c r="J2187" t="s">
        <v>9972</v>
      </c>
    </row>
    <row r="2188" spans="1:10">
      <c r="A2188" t="s">
        <v>9973</v>
      </c>
      <c r="B2188" t="s">
        <v>9973</v>
      </c>
      <c r="C2188" t="s">
        <v>2782</v>
      </c>
      <c r="D2188">
        <v>50</v>
      </c>
      <c r="E2188" t="s">
        <v>29</v>
      </c>
      <c r="F2188" t="s">
        <v>63</v>
      </c>
      <c r="G2188" s="23">
        <v>45876</v>
      </c>
      <c r="H2188" t="s">
        <v>9974</v>
      </c>
      <c r="I2188" t="s">
        <v>9975</v>
      </c>
      <c r="J2188" t="s">
        <v>9976</v>
      </c>
    </row>
    <row r="2189" spans="1:10">
      <c r="A2189" t="s">
        <v>9977</v>
      </c>
      <c r="B2189" t="s">
        <v>9977</v>
      </c>
      <c r="C2189" t="s">
        <v>9978</v>
      </c>
      <c r="D2189">
        <v>14</v>
      </c>
      <c r="E2189" t="s">
        <v>31</v>
      </c>
      <c r="F2189" t="s">
        <v>63</v>
      </c>
      <c r="G2189" s="23">
        <v>42219</v>
      </c>
      <c r="H2189" t="s">
        <v>9979</v>
      </c>
      <c r="I2189" t="s">
        <v>9980</v>
      </c>
      <c r="J2189" t="s">
        <v>9981</v>
      </c>
    </row>
    <row r="2190" spans="1:10">
      <c r="A2190" t="s">
        <v>9982</v>
      </c>
      <c r="B2190" t="s">
        <v>9982</v>
      </c>
      <c r="C2190" t="s">
        <v>1714</v>
      </c>
      <c r="D2190">
        <v>7</v>
      </c>
      <c r="E2190" t="s">
        <v>27</v>
      </c>
      <c r="F2190" t="s">
        <v>63</v>
      </c>
      <c r="G2190" s="23">
        <v>41856</v>
      </c>
      <c r="H2190" t="s">
        <v>9983</v>
      </c>
      <c r="I2190" t="s">
        <v>9984</v>
      </c>
      <c r="J2190" t="s">
        <v>9985</v>
      </c>
    </row>
    <row r="2191" spans="1:10">
      <c r="A2191" t="s">
        <v>9986</v>
      </c>
      <c r="B2191" t="s">
        <v>9986</v>
      </c>
      <c r="C2191" t="s">
        <v>1824</v>
      </c>
      <c r="D2191">
        <v>25</v>
      </c>
      <c r="E2191" t="s">
        <v>33</v>
      </c>
      <c r="F2191" t="s">
        <v>115</v>
      </c>
      <c r="G2191" s="23">
        <v>44595</v>
      </c>
      <c r="H2191" t="s">
        <v>9987</v>
      </c>
      <c r="I2191" t="s">
        <v>9988</v>
      </c>
      <c r="J2191" t="s">
        <v>9989</v>
      </c>
    </row>
    <row r="2192" spans="1:10">
      <c r="A2192" t="s">
        <v>9990</v>
      </c>
      <c r="B2192" t="s">
        <v>9990</v>
      </c>
      <c r="C2192" t="s">
        <v>3346</v>
      </c>
      <c r="D2192">
        <v>18</v>
      </c>
      <c r="E2192" t="s">
        <v>34</v>
      </c>
      <c r="F2192" t="s">
        <v>57</v>
      </c>
      <c r="G2192" s="23">
        <v>44095</v>
      </c>
      <c r="H2192" t="s">
        <v>9991</v>
      </c>
      <c r="I2192" t="s">
        <v>9992</v>
      </c>
      <c r="J2192" t="s">
        <v>9993</v>
      </c>
    </row>
    <row r="2193" spans="1:10">
      <c r="A2193" t="s">
        <v>9994</v>
      </c>
      <c r="B2193" t="s">
        <v>9994</v>
      </c>
      <c r="C2193" t="s">
        <v>3346</v>
      </c>
      <c r="D2193">
        <v>18</v>
      </c>
      <c r="E2193" t="s">
        <v>33</v>
      </c>
      <c r="F2193" t="s">
        <v>57</v>
      </c>
      <c r="G2193" s="23">
        <v>44113</v>
      </c>
      <c r="H2193" t="s">
        <v>9995</v>
      </c>
      <c r="I2193" t="s">
        <v>9996</v>
      </c>
      <c r="J2193" t="s">
        <v>9997</v>
      </c>
    </row>
    <row r="2194" spans="1:10">
      <c r="A2194" t="s">
        <v>9998</v>
      </c>
      <c r="B2194" t="s">
        <v>9998</v>
      </c>
      <c r="C2194" t="s">
        <v>9150</v>
      </c>
      <c r="D2194">
        <v>19</v>
      </c>
      <c r="E2194" t="s">
        <v>31</v>
      </c>
      <c r="F2194" t="s">
        <v>63</v>
      </c>
      <c r="G2194" s="23">
        <v>44514</v>
      </c>
      <c r="H2194" t="s">
        <v>9999</v>
      </c>
      <c r="I2194" t="s">
        <v>10000</v>
      </c>
      <c r="J2194" t="s">
        <v>10001</v>
      </c>
    </row>
    <row r="2195" spans="1:10">
      <c r="A2195" t="s">
        <v>10002</v>
      </c>
      <c r="B2195" t="s">
        <v>10002</v>
      </c>
      <c r="C2195" t="s">
        <v>10003</v>
      </c>
      <c r="D2195">
        <v>21</v>
      </c>
      <c r="E2195" t="s">
        <v>34</v>
      </c>
      <c r="F2195" t="s">
        <v>57</v>
      </c>
      <c r="G2195" s="23">
        <v>44650</v>
      </c>
      <c r="H2195" t="s">
        <v>10004</v>
      </c>
      <c r="I2195" t="s">
        <v>10005</v>
      </c>
      <c r="J2195" t="s">
        <v>10006</v>
      </c>
    </row>
    <row r="2196" spans="1:10">
      <c r="A2196" t="s">
        <v>10007</v>
      </c>
      <c r="B2196" t="s">
        <v>10007</v>
      </c>
      <c r="C2196" t="s">
        <v>5574</v>
      </c>
      <c r="D2196">
        <v>5</v>
      </c>
      <c r="E2196" t="s">
        <v>27</v>
      </c>
      <c r="F2196" t="s">
        <v>63</v>
      </c>
      <c r="G2196" s="23">
        <v>42221</v>
      </c>
      <c r="H2196" t="s">
        <v>10008</v>
      </c>
      <c r="I2196" t="s">
        <v>10009</v>
      </c>
      <c r="J2196" t="s">
        <v>10010</v>
      </c>
    </row>
    <row r="2197" spans="1:10">
      <c r="A2197" t="s">
        <v>10011</v>
      </c>
      <c r="B2197" t="s">
        <v>10011</v>
      </c>
      <c r="C2197" t="s">
        <v>10012</v>
      </c>
      <c r="D2197">
        <v>29</v>
      </c>
      <c r="E2197" t="s">
        <v>27</v>
      </c>
      <c r="F2197" t="s">
        <v>63</v>
      </c>
      <c r="G2197" s="23">
        <v>42277</v>
      </c>
      <c r="H2197" t="s">
        <v>10013</v>
      </c>
      <c r="I2197" t="s">
        <v>10014</v>
      </c>
      <c r="J2197" t="s">
        <v>10015</v>
      </c>
    </row>
    <row r="2198" spans="1:10">
      <c r="A2198" t="s">
        <v>10016</v>
      </c>
      <c r="B2198" t="s">
        <v>10016</v>
      </c>
      <c r="C2198" t="s">
        <v>1967</v>
      </c>
      <c r="D2198">
        <v>6</v>
      </c>
      <c r="E2198" t="s">
        <v>34</v>
      </c>
      <c r="F2198" t="s">
        <v>57</v>
      </c>
      <c r="G2198" s="23">
        <v>43928</v>
      </c>
      <c r="H2198" t="s">
        <v>10017</v>
      </c>
      <c r="I2198" t="s">
        <v>10018</v>
      </c>
      <c r="J2198" t="s">
        <v>10019</v>
      </c>
    </row>
    <row r="2199" spans="1:10">
      <c r="A2199" t="s">
        <v>10020</v>
      </c>
      <c r="B2199" t="s">
        <v>10020</v>
      </c>
      <c r="C2199" t="s">
        <v>278</v>
      </c>
      <c r="D2199">
        <v>0</v>
      </c>
      <c r="E2199" t="s">
        <v>35</v>
      </c>
      <c r="F2199" t="s">
        <v>57</v>
      </c>
      <c r="G2199" s="23">
        <v>45146</v>
      </c>
      <c r="H2199" t="s">
        <v>10021</v>
      </c>
      <c r="I2199" t="s">
        <v>10022</v>
      </c>
      <c r="J2199" t="s">
        <v>10023</v>
      </c>
    </row>
    <row r="2200" spans="1:10">
      <c r="A2200" t="s">
        <v>10024</v>
      </c>
      <c r="B2200" t="s">
        <v>10024</v>
      </c>
      <c r="C2200" t="s">
        <v>1369</v>
      </c>
      <c r="D2200">
        <v>14</v>
      </c>
      <c r="E2200" t="s">
        <v>34</v>
      </c>
      <c r="F2200" t="s">
        <v>57</v>
      </c>
      <c r="G2200" s="23">
        <v>46088</v>
      </c>
      <c r="H2200" t="s">
        <v>10025</v>
      </c>
      <c r="I2200" t="s">
        <v>10026</v>
      </c>
      <c r="J2200" t="s">
        <v>10027</v>
      </c>
    </row>
    <row r="2201" spans="1:10">
      <c r="A2201" t="s">
        <v>10028</v>
      </c>
      <c r="B2201" t="s">
        <v>10028</v>
      </c>
      <c r="C2201" t="s">
        <v>2081</v>
      </c>
      <c r="D2201">
        <v>23</v>
      </c>
      <c r="E2201" t="s">
        <v>34</v>
      </c>
      <c r="F2201" t="s">
        <v>57</v>
      </c>
      <c r="G2201" s="23">
        <v>45953</v>
      </c>
      <c r="H2201" t="s">
        <v>10029</v>
      </c>
      <c r="I2201" t="s">
        <v>10030</v>
      </c>
      <c r="J2201" t="s">
        <v>10031</v>
      </c>
    </row>
    <row r="2202" spans="1:10">
      <c r="A2202" t="s">
        <v>10032</v>
      </c>
      <c r="B2202" t="s">
        <v>10032</v>
      </c>
      <c r="C2202" t="s">
        <v>10033</v>
      </c>
      <c r="D2202">
        <v>12</v>
      </c>
      <c r="E2202" t="s">
        <v>35</v>
      </c>
      <c r="F2202" t="s">
        <v>57</v>
      </c>
      <c r="G2202" s="23">
        <v>42875</v>
      </c>
      <c r="H2202" t="s">
        <v>10034</v>
      </c>
      <c r="I2202" t="s">
        <v>10035</v>
      </c>
      <c r="J2202" t="s">
        <v>10036</v>
      </c>
    </row>
    <row r="2203" spans="1:10">
      <c r="A2203" t="s">
        <v>10037</v>
      </c>
      <c r="B2203" t="s">
        <v>10037</v>
      </c>
      <c r="C2203" t="s">
        <v>4010</v>
      </c>
      <c r="D2203">
        <v>4</v>
      </c>
      <c r="E2203" t="s">
        <v>27</v>
      </c>
      <c r="F2203" t="s">
        <v>63</v>
      </c>
      <c r="G2203" s="23">
        <v>42044</v>
      </c>
      <c r="H2203" t="s">
        <v>10038</v>
      </c>
      <c r="I2203" t="s">
        <v>10039</v>
      </c>
      <c r="J2203" t="s">
        <v>10040</v>
      </c>
    </row>
    <row r="2204" spans="1:10">
      <c r="A2204" t="s">
        <v>10041</v>
      </c>
      <c r="B2204" t="s">
        <v>10041</v>
      </c>
      <c r="C2204" t="s">
        <v>3395</v>
      </c>
      <c r="D2204">
        <v>9</v>
      </c>
      <c r="E2204" t="s">
        <v>34</v>
      </c>
      <c r="F2204" t="s">
        <v>57</v>
      </c>
      <c r="G2204" s="23">
        <v>45730</v>
      </c>
      <c r="H2204" t="s">
        <v>10042</v>
      </c>
      <c r="I2204" t="s">
        <v>10043</v>
      </c>
      <c r="J2204" t="s">
        <v>10044</v>
      </c>
    </row>
    <row r="2205" spans="1:10">
      <c r="A2205" t="s">
        <v>10045</v>
      </c>
      <c r="B2205" t="s">
        <v>10045</v>
      </c>
      <c r="C2205" t="s">
        <v>3395</v>
      </c>
      <c r="D2205">
        <v>7</v>
      </c>
      <c r="E2205" t="s">
        <v>35</v>
      </c>
      <c r="F2205" t="s">
        <v>57</v>
      </c>
      <c r="G2205" s="23">
        <v>45868</v>
      </c>
      <c r="H2205" t="s">
        <v>10046</v>
      </c>
      <c r="I2205" t="s">
        <v>10047</v>
      </c>
      <c r="J2205" t="s">
        <v>10048</v>
      </c>
    </row>
    <row r="2206" spans="1:10">
      <c r="A2206" t="s">
        <v>10049</v>
      </c>
      <c r="B2206" t="s">
        <v>10049</v>
      </c>
      <c r="C2206" t="s">
        <v>2133</v>
      </c>
      <c r="D2206">
        <v>35</v>
      </c>
      <c r="E2206" t="s">
        <v>33</v>
      </c>
      <c r="F2206" t="s">
        <v>63</v>
      </c>
      <c r="G2206" s="23">
        <v>44212</v>
      </c>
      <c r="H2206" t="s">
        <v>10050</v>
      </c>
      <c r="I2206" t="s">
        <v>10051</v>
      </c>
      <c r="J2206" t="s">
        <v>10052</v>
      </c>
    </row>
    <row r="2207" spans="1:10">
      <c r="A2207" t="s">
        <v>10053</v>
      </c>
      <c r="B2207" t="s">
        <v>10053</v>
      </c>
      <c r="C2207" t="s">
        <v>10054</v>
      </c>
      <c r="D2207">
        <v>13</v>
      </c>
      <c r="E2207" t="s">
        <v>31</v>
      </c>
      <c r="F2207" t="s">
        <v>57</v>
      </c>
      <c r="G2207" s="23">
        <v>43559</v>
      </c>
      <c r="H2207" t="s">
        <v>10055</v>
      </c>
      <c r="I2207" t="s">
        <v>10056</v>
      </c>
      <c r="J2207" t="s">
        <v>10057</v>
      </c>
    </row>
    <row r="2208" spans="1:10">
      <c r="A2208" t="s">
        <v>10058</v>
      </c>
      <c r="B2208" t="s">
        <v>10058</v>
      </c>
      <c r="C2208" t="s">
        <v>1745</v>
      </c>
      <c r="D2208">
        <v>16</v>
      </c>
      <c r="E2208" t="s">
        <v>34</v>
      </c>
      <c r="F2208" t="s">
        <v>57</v>
      </c>
      <c r="G2208" s="23">
        <v>44396</v>
      </c>
      <c r="H2208" t="s">
        <v>10059</v>
      </c>
      <c r="I2208" t="s">
        <v>10060</v>
      </c>
      <c r="J2208" t="s">
        <v>10061</v>
      </c>
    </row>
    <row r="2209" spans="1:10">
      <c r="A2209" t="s">
        <v>10062</v>
      </c>
      <c r="B2209" t="s">
        <v>10062</v>
      </c>
      <c r="C2209" t="s">
        <v>1789</v>
      </c>
      <c r="D2209">
        <v>60</v>
      </c>
      <c r="E2209" t="s">
        <v>33</v>
      </c>
      <c r="F2209" t="s">
        <v>63</v>
      </c>
      <c r="G2209" s="23">
        <v>41705</v>
      </c>
      <c r="H2209" t="s">
        <v>10063</v>
      </c>
      <c r="I2209" t="s">
        <v>10064</v>
      </c>
      <c r="J2209" t="s">
        <v>10065</v>
      </c>
    </row>
    <row r="2210" spans="1:10">
      <c r="A2210" t="s">
        <v>10066</v>
      </c>
      <c r="B2210" t="s">
        <v>10066</v>
      </c>
      <c r="C2210" t="s">
        <v>1789</v>
      </c>
      <c r="D2210">
        <v>78</v>
      </c>
      <c r="E2210" t="s">
        <v>31</v>
      </c>
      <c r="F2210" t="s">
        <v>63</v>
      </c>
      <c r="G2210" s="23">
        <v>41600</v>
      </c>
      <c r="H2210" t="s">
        <v>10067</v>
      </c>
      <c r="I2210" t="s">
        <v>10068</v>
      </c>
      <c r="J2210" t="s">
        <v>10069</v>
      </c>
    </row>
    <row r="2211" spans="1:10">
      <c r="A2211" t="s">
        <v>10070</v>
      </c>
      <c r="B2211" t="s">
        <v>10070</v>
      </c>
      <c r="C2211" t="s">
        <v>10071</v>
      </c>
      <c r="D2211">
        <v>9</v>
      </c>
      <c r="E2211" t="s">
        <v>33</v>
      </c>
      <c r="F2211" t="s">
        <v>57</v>
      </c>
      <c r="G2211" s="23">
        <v>43962</v>
      </c>
      <c r="H2211" t="s">
        <v>10072</v>
      </c>
      <c r="I2211" t="s">
        <v>10073</v>
      </c>
      <c r="J2211" t="s">
        <v>10074</v>
      </c>
    </row>
    <row r="2212" spans="1:10">
      <c r="A2212" t="s">
        <v>10075</v>
      </c>
      <c r="B2212" t="s">
        <v>10075</v>
      </c>
      <c r="C2212" t="s">
        <v>10076</v>
      </c>
      <c r="D2212">
        <v>5</v>
      </c>
      <c r="E2212" t="s">
        <v>27</v>
      </c>
      <c r="F2212" t="s">
        <v>63</v>
      </c>
      <c r="G2212" s="23">
        <v>43185</v>
      </c>
      <c r="H2212" t="s">
        <v>10077</v>
      </c>
      <c r="I2212" t="s">
        <v>10078</v>
      </c>
      <c r="J2212" t="s">
        <v>10079</v>
      </c>
    </row>
    <row r="2213" spans="1:10">
      <c r="A2213" t="s">
        <v>10080</v>
      </c>
      <c r="B2213" t="s">
        <v>10080</v>
      </c>
      <c r="C2213" t="s">
        <v>10081</v>
      </c>
      <c r="D2213">
        <v>75</v>
      </c>
      <c r="E2213" t="s">
        <v>29</v>
      </c>
      <c r="F2213" t="s">
        <v>63</v>
      </c>
      <c r="G2213" s="23">
        <v>45932</v>
      </c>
      <c r="H2213" t="s">
        <v>10082</v>
      </c>
      <c r="I2213" t="s">
        <v>10083</v>
      </c>
      <c r="J2213" t="s">
        <v>10084</v>
      </c>
    </row>
    <row r="2214" spans="1:10">
      <c r="A2214" t="s">
        <v>10085</v>
      </c>
      <c r="B2214" t="s">
        <v>10085</v>
      </c>
      <c r="C2214" t="s">
        <v>4347</v>
      </c>
      <c r="D2214">
        <v>18</v>
      </c>
      <c r="E2214" t="s">
        <v>29</v>
      </c>
      <c r="F2214" t="s">
        <v>63</v>
      </c>
      <c r="G2214" s="23">
        <v>42087</v>
      </c>
      <c r="H2214" t="s">
        <v>10086</v>
      </c>
      <c r="I2214" t="s">
        <v>10087</v>
      </c>
      <c r="J2214" t="s">
        <v>10088</v>
      </c>
    </row>
    <row r="2215" spans="1:10">
      <c r="A2215" t="s">
        <v>10089</v>
      </c>
      <c r="B2215" t="s">
        <v>10089</v>
      </c>
      <c r="C2215" t="s">
        <v>10090</v>
      </c>
      <c r="D2215">
        <v>4</v>
      </c>
      <c r="E2215" t="s">
        <v>31</v>
      </c>
      <c r="F2215" t="s">
        <v>57</v>
      </c>
      <c r="G2215" s="23">
        <v>45100</v>
      </c>
      <c r="H2215" t="s">
        <v>10091</v>
      </c>
      <c r="I2215" t="s">
        <v>10092</v>
      </c>
      <c r="J2215" t="s">
        <v>10093</v>
      </c>
    </row>
    <row r="2216" spans="1:10">
      <c r="A2216" t="s">
        <v>10094</v>
      </c>
      <c r="B2216" t="s">
        <v>10094</v>
      </c>
      <c r="C2216" t="s">
        <v>10095</v>
      </c>
      <c r="D2216">
        <v>28</v>
      </c>
      <c r="E2216" t="s">
        <v>34</v>
      </c>
      <c r="F2216" t="s">
        <v>3138</v>
      </c>
      <c r="G2216" s="23">
        <v>42738</v>
      </c>
      <c r="H2216" t="s">
        <v>10096</v>
      </c>
      <c r="I2216" t="s">
        <v>10097</v>
      </c>
      <c r="J2216" t="s">
        <v>10098</v>
      </c>
    </row>
    <row r="2217" spans="1:10">
      <c r="A2217" t="s">
        <v>10099</v>
      </c>
      <c r="B2217" t="s">
        <v>10099</v>
      </c>
      <c r="C2217" t="s">
        <v>10100</v>
      </c>
      <c r="D2217">
        <v>5</v>
      </c>
      <c r="E2217" t="s">
        <v>31</v>
      </c>
      <c r="F2217" t="s">
        <v>63</v>
      </c>
      <c r="G2217" s="23">
        <v>42081</v>
      </c>
      <c r="H2217" t="s">
        <v>10101</v>
      </c>
      <c r="I2217" t="s">
        <v>10102</v>
      </c>
      <c r="J2217" t="s">
        <v>10103</v>
      </c>
    </row>
    <row r="2218" spans="1:10">
      <c r="A2218" t="s">
        <v>10104</v>
      </c>
      <c r="B2218" t="s">
        <v>10104</v>
      </c>
      <c r="C2218" t="s">
        <v>1958</v>
      </c>
      <c r="D2218">
        <v>15</v>
      </c>
      <c r="E2218" t="s">
        <v>33</v>
      </c>
      <c r="F2218" t="s">
        <v>57</v>
      </c>
      <c r="G2218" s="23">
        <v>44441</v>
      </c>
      <c r="H2218" t="s">
        <v>10105</v>
      </c>
      <c r="I2218" t="s">
        <v>10106</v>
      </c>
      <c r="J2218" t="s">
        <v>10107</v>
      </c>
    </row>
    <row r="2219" spans="1:10">
      <c r="A2219" t="s">
        <v>10108</v>
      </c>
      <c r="B2219" t="s">
        <v>10108</v>
      </c>
      <c r="C2219" t="s">
        <v>2573</v>
      </c>
      <c r="D2219">
        <v>16</v>
      </c>
      <c r="E2219" t="s">
        <v>35</v>
      </c>
      <c r="F2219" t="s">
        <v>57</v>
      </c>
      <c r="G2219" s="23">
        <v>45802</v>
      </c>
      <c r="H2219" t="s">
        <v>10109</v>
      </c>
      <c r="I2219" t="s">
        <v>10110</v>
      </c>
      <c r="J2219" t="s">
        <v>10111</v>
      </c>
    </row>
    <row r="2220" spans="1:10">
      <c r="A2220" t="s">
        <v>10112</v>
      </c>
      <c r="B2220" t="s">
        <v>10112</v>
      </c>
      <c r="C2220" t="s">
        <v>10003</v>
      </c>
      <c r="D2220">
        <v>22</v>
      </c>
      <c r="E2220" t="s">
        <v>36</v>
      </c>
      <c r="F2220" t="s">
        <v>57</v>
      </c>
      <c r="G2220" s="23">
        <v>46095</v>
      </c>
      <c r="H2220" t="s">
        <v>10113</v>
      </c>
      <c r="I2220" t="s">
        <v>10114</v>
      </c>
      <c r="J2220" t="s">
        <v>10115</v>
      </c>
    </row>
    <row r="2221" spans="1:10">
      <c r="A2221" t="s">
        <v>10116</v>
      </c>
      <c r="B2221" t="s">
        <v>10116</v>
      </c>
      <c r="C2221" t="s">
        <v>1570</v>
      </c>
      <c r="D2221">
        <v>19</v>
      </c>
      <c r="E2221" t="s">
        <v>33</v>
      </c>
      <c r="F2221" t="s">
        <v>57</v>
      </c>
      <c r="G2221" s="23">
        <v>46163</v>
      </c>
      <c r="H2221" t="s">
        <v>10117</v>
      </c>
      <c r="I2221" t="s">
        <v>10118</v>
      </c>
      <c r="J2221" t="s">
        <v>10119</v>
      </c>
    </row>
    <row r="2222" spans="1:10">
      <c r="A2222" t="s">
        <v>10120</v>
      </c>
      <c r="B2222" t="s">
        <v>10120</v>
      </c>
      <c r="C2222" t="s">
        <v>5362</v>
      </c>
      <c r="D2222">
        <v>77</v>
      </c>
      <c r="E2222" t="s">
        <v>31</v>
      </c>
      <c r="F2222" t="s">
        <v>63</v>
      </c>
      <c r="G2222" s="23">
        <v>44764</v>
      </c>
      <c r="H2222" t="s">
        <v>10121</v>
      </c>
      <c r="I2222" t="s">
        <v>10122</v>
      </c>
      <c r="J2222" t="s">
        <v>10123</v>
      </c>
    </row>
    <row r="2223" spans="1:10">
      <c r="A2223" t="s">
        <v>10124</v>
      </c>
      <c r="B2223" t="s">
        <v>10124</v>
      </c>
      <c r="C2223" t="s">
        <v>895</v>
      </c>
      <c r="D2223">
        <v>20</v>
      </c>
      <c r="E2223" t="s">
        <v>36</v>
      </c>
      <c r="F2223" t="s">
        <v>57</v>
      </c>
      <c r="G2223" s="23">
        <v>42458</v>
      </c>
      <c r="H2223" t="s">
        <v>10125</v>
      </c>
      <c r="I2223" t="s">
        <v>10126</v>
      </c>
      <c r="J2223" t="s">
        <v>10127</v>
      </c>
    </row>
    <row r="2224" spans="1:10">
      <c r="A2224" t="s">
        <v>10128</v>
      </c>
      <c r="B2224" t="s">
        <v>10128</v>
      </c>
      <c r="C2224" t="s">
        <v>6795</v>
      </c>
      <c r="D2224">
        <v>26</v>
      </c>
      <c r="E2224" t="s">
        <v>35</v>
      </c>
      <c r="F2224" t="s">
        <v>57</v>
      </c>
      <c r="G2224" s="23">
        <v>43830</v>
      </c>
      <c r="H2224" t="s">
        <v>10129</v>
      </c>
      <c r="I2224" t="s">
        <v>10130</v>
      </c>
      <c r="J2224" t="s">
        <v>10131</v>
      </c>
    </row>
    <row r="2225" spans="1:10">
      <c r="A2225" t="s">
        <v>10132</v>
      </c>
      <c r="B2225" t="s">
        <v>10132</v>
      </c>
      <c r="C2225" t="s">
        <v>10133</v>
      </c>
      <c r="D2225">
        <v>34</v>
      </c>
      <c r="E2225" t="s">
        <v>29</v>
      </c>
      <c r="F2225" t="s">
        <v>63</v>
      </c>
      <c r="G2225" s="23">
        <v>42278</v>
      </c>
      <c r="H2225" t="s">
        <v>10134</v>
      </c>
      <c r="I2225" t="s">
        <v>10135</v>
      </c>
      <c r="J2225" t="s">
        <v>10136</v>
      </c>
    </row>
    <row r="2226" spans="1:10">
      <c r="A2226" t="s">
        <v>10137</v>
      </c>
      <c r="B2226" t="s">
        <v>10137</v>
      </c>
      <c r="C2226" t="s">
        <v>9887</v>
      </c>
      <c r="D2226">
        <v>25</v>
      </c>
      <c r="E2226" t="s">
        <v>33</v>
      </c>
      <c r="F2226" t="s">
        <v>57</v>
      </c>
      <c r="G2226" s="23">
        <v>43447</v>
      </c>
      <c r="H2226" t="s">
        <v>10138</v>
      </c>
      <c r="I2226" t="s">
        <v>10139</v>
      </c>
      <c r="J2226" t="s">
        <v>10140</v>
      </c>
    </row>
    <row r="2227" spans="1:10">
      <c r="A2227" t="s">
        <v>10141</v>
      </c>
      <c r="B2227" t="s">
        <v>10141</v>
      </c>
      <c r="C2227" t="s">
        <v>1804</v>
      </c>
      <c r="D2227">
        <v>23</v>
      </c>
      <c r="E2227" t="s">
        <v>33</v>
      </c>
      <c r="F2227" t="s">
        <v>63</v>
      </c>
      <c r="G2227" s="23">
        <v>43899</v>
      </c>
      <c r="H2227" t="s">
        <v>10142</v>
      </c>
      <c r="I2227" t="s">
        <v>10143</v>
      </c>
      <c r="J2227" t="s">
        <v>10144</v>
      </c>
    </row>
    <row r="2228" spans="1:10">
      <c r="A2228" t="s">
        <v>10145</v>
      </c>
      <c r="B2228" t="s">
        <v>10145</v>
      </c>
      <c r="C2228" t="s">
        <v>1804</v>
      </c>
      <c r="D2228">
        <v>10</v>
      </c>
      <c r="E2228" t="s">
        <v>33</v>
      </c>
      <c r="F2228" t="s">
        <v>63</v>
      </c>
      <c r="G2228" s="23">
        <v>44037</v>
      </c>
      <c r="H2228" t="s">
        <v>10146</v>
      </c>
      <c r="I2228" t="s">
        <v>10147</v>
      </c>
      <c r="J2228" t="s">
        <v>10148</v>
      </c>
    </row>
    <row r="2229" spans="1:10">
      <c r="A2229" t="s">
        <v>10149</v>
      </c>
      <c r="B2229" t="s">
        <v>10149</v>
      </c>
      <c r="C2229" t="s">
        <v>2396</v>
      </c>
      <c r="D2229">
        <v>14</v>
      </c>
      <c r="E2229" t="s">
        <v>33</v>
      </c>
      <c r="F2229" t="s">
        <v>57</v>
      </c>
      <c r="G2229" s="23">
        <v>43383</v>
      </c>
      <c r="H2229" t="s">
        <v>10150</v>
      </c>
      <c r="I2229" t="s">
        <v>10151</v>
      </c>
      <c r="J2229" t="s">
        <v>10152</v>
      </c>
    </row>
    <row r="2230" spans="1:10">
      <c r="A2230" t="s">
        <v>10153</v>
      </c>
      <c r="B2230" t="s">
        <v>10153</v>
      </c>
      <c r="C2230" t="s">
        <v>2396</v>
      </c>
      <c r="D2230">
        <v>17</v>
      </c>
      <c r="E2230" t="s">
        <v>34</v>
      </c>
      <c r="F2230" t="s">
        <v>57</v>
      </c>
      <c r="G2230" s="23">
        <v>43679</v>
      </c>
      <c r="H2230" t="s">
        <v>10154</v>
      </c>
      <c r="I2230" t="s">
        <v>10155</v>
      </c>
      <c r="J2230" t="s">
        <v>10156</v>
      </c>
    </row>
    <row r="2231" spans="1:10">
      <c r="A2231" t="s">
        <v>10157</v>
      </c>
      <c r="B2231" t="s">
        <v>10157</v>
      </c>
      <c r="C2231" t="s">
        <v>6638</v>
      </c>
      <c r="D2231">
        <v>22</v>
      </c>
      <c r="E2231" t="s">
        <v>34</v>
      </c>
      <c r="F2231" t="s">
        <v>57</v>
      </c>
      <c r="G2231" s="23">
        <v>43409</v>
      </c>
      <c r="H2231" t="s">
        <v>10158</v>
      </c>
      <c r="I2231" t="s">
        <v>10159</v>
      </c>
      <c r="J2231" t="s">
        <v>10160</v>
      </c>
    </row>
    <row r="2232" spans="1:10">
      <c r="A2232" t="s">
        <v>10161</v>
      </c>
      <c r="B2232" t="s">
        <v>10161</v>
      </c>
      <c r="C2232" t="s">
        <v>3395</v>
      </c>
      <c r="D2232">
        <v>4</v>
      </c>
      <c r="E2232" t="s">
        <v>34</v>
      </c>
      <c r="F2232" t="s">
        <v>57</v>
      </c>
      <c r="G2232" s="23">
        <v>45820</v>
      </c>
      <c r="H2232" t="s">
        <v>10162</v>
      </c>
      <c r="I2232" t="s">
        <v>10163</v>
      </c>
      <c r="J2232" t="s">
        <v>10164</v>
      </c>
    </row>
    <row r="2233" spans="1:10">
      <c r="A2233" t="s">
        <v>10165</v>
      </c>
      <c r="B2233" t="s">
        <v>10165</v>
      </c>
      <c r="C2233" t="s">
        <v>547</v>
      </c>
      <c r="D2233">
        <v>11</v>
      </c>
      <c r="E2233" t="s">
        <v>31</v>
      </c>
      <c r="F2233" t="s">
        <v>571</v>
      </c>
      <c r="G2233" s="23">
        <v>43102</v>
      </c>
      <c r="H2233" t="s">
        <v>10166</v>
      </c>
      <c r="I2233" t="s">
        <v>10167</v>
      </c>
      <c r="J2233" t="s">
        <v>10168</v>
      </c>
    </row>
    <row r="2234" spans="1:10">
      <c r="A2234" t="s">
        <v>10169</v>
      </c>
      <c r="B2234" t="s">
        <v>10169</v>
      </c>
      <c r="C2234" t="s">
        <v>10170</v>
      </c>
      <c r="D2234">
        <v>10</v>
      </c>
      <c r="E2234" t="s">
        <v>29</v>
      </c>
      <c r="F2234" t="s">
        <v>63</v>
      </c>
      <c r="G2234" s="23">
        <v>44580</v>
      </c>
      <c r="H2234" t="s">
        <v>10171</v>
      </c>
      <c r="I2234" t="s">
        <v>10172</v>
      </c>
      <c r="J2234" t="s">
        <v>10173</v>
      </c>
    </row>
    <row r="2235" spans="1:10">
      <c r="A2235" t="s">
        <v>10174</v>
      </c>
      <c r="B2235" t="s">
        <v>10174</v>
      </c>
      <c r="C2235" t="s">
        <v>3324</v>
      </c>
      <c r="D2235">
        <v>23</v>
      </c>
      <c r="E2235" t="s">
        <v>34</v>
      </c>
      <c r="F2235" t="s">
        <v>57</v>
      </c>
      <c r="G2235" s="23">
        <v>44677</v>
      </c>
      <c r="H2235" t="s">
        <v>10175</v>
      </c>
      <c r="I2235" t="s">
        <v>10176</v>
      </c>
      <c r="J2235" t="s">
        <v>10177</v>
      </c>
    </row>
    <row r="2236" spans="1:10">
      <c r="A2236" t="s">
        <v>10178</v>
      </c>
      <c r="B2236" t="s">
        <v>10178</v>
      </c>
      <c r="C2236" t="s">
        <v>3324</v>
      </c>
      <c r="D2236">
        <v>18</v>
      </c>
      <c r="E2236" t="s">
        <v>34</v>
      </c>
      <c r="F2236" t="s">
        <v>57</v>
      </c>
      <c r="G2236" s="23">
        <v>44858</v>
      </c>
      <c r="H2236" t="s">
        <v>10179</v>
      </c>
      <c r="I2236" t="s">
        <v>10180</v>
      </c>
      <c r="J2236" t="s">
        <v>10181</v>
      </c>
    </row>
    <row r="2237" spans="1:10">
      <c r="A2237" t="s">
        <v>10182</v>
      </c>
      <c r="B2237" t="s">
        <v>10182</v>
      </c>
      <c r="C2237" t="s">
        <v>10183</v>
      </c>
      <c r="D2237">
        <v>25</v>
      </c>
      <c r="E2237" t="s">
        <v>34</v>
      </c>
      <c r="F2237" t="s">
        <v>57</v>
      </c>
      <c r="G2237" s="23">
        <v>43232</v>
      </c>
      <c r="H2237" t="s">
        <v>10184</v>
      </c>
      <c r="I2237" t="s">
        <v>10185</v>
      </c>
      <c r="J2237" t="s">
        <v>10186</v>
      </c>
    </row>
    <row r="2238" spans="1:10">
      <c r="A2238" t="s">
        <v>10187</v>
      </c>
      <c r="B2238" t="s">
        <v>10187</v>
      </c>
      <c r="C2238" t="s">
        <v>10188</v>
      </c>
      <c r="D2238">
        <v>10</v>
      </c>
      <c r="E2238" t="s">
        <v>31</v>
      </c>
      <c r="F2238" t="s">
        <v>57</v>
      </c>
      <c r="G2238" s="23">
        <v>44300</v>
      </c>
      <c r="H2238" t="s">
        <v>10189</v>
      </c>
      <c r="I2238" t="s">
        <v>10190</v>
      </c>
      <c r="J2238" t="s">
        <v>10191</v>
      </c>
    </row>
    <row r="2239" spans="1:10">
      <c r="A2239" t="s">
        <v>10192</v>
      </c>
      <c r="B2239" t="s">
        <v>10192</v>
      </c>
      <c r="C2239" t="s">
        <v>950</v>
      </c>
      <c r="D2239">
        <v>13</v>
      </c>
      <c r="E2239" t="s">
        <v>35</v>
      </c>
      <c r="F2239" t="s">
        <v>57</v>
      </c>
      <c r="G2239" s="23">
        <v>43527</v>
      </c>
      <c r="H2239" t="s">
        <v>10193</v>
      </c>
      <c r="I2239" t="s">
        <v>10194</v>
      </c>
      <c r="J2239" t="s">
        <v>10195</v>
      </c>
    </row>
    <row r="2240" spans="1:10">
      <c r="A2240" t="s">
        <v>10196</v>
      </c>
      <c r="B2240" t="s">
        <v>10196</v>
      </c>
      <c r="C2240" t="s">
        <v>950</v>
      </c>
      <c r="D2240">
        <v>15</v>
      </c>
      <c r="E2240" t="s">
        <v>34</v>
      </c>
      <c r="F2240" t="s">
        <v>57</v>
      </c>
      <c r="G2240" s="23">
        <v>43446</v>
      </c>
      <c r="H2240" t="s">
        <v>10197</v>
      </c>
      <c r="I2240" t="s">
        <v>10198</v>
      </c>
      <c r="J2240" t="s">
        <v>10199</v>
      </c>
    </row>
    <row r="2241" spans="1:10">
      <c r="A2241" t="s">
        <v>10200</v>
      </c>
      <c r="B2241" t="s">
        <v>10200</v>
      </c>
      <c r="C2241" t="s">
        <v>3884</v>
      </c>
      <c r="D2241">
        <v>11</v>
      </c>
      <c r="E2241" t="s">
        <v>33</v>
      </c>
      <c r="F2241" t="s">
        <v>57</v>
      </c>
      <c r="G2241" s="23">
        <v>45377</v>
      </c>
      <c r="H2241" t="s">
        <v>10201</v>
      </c>
      <c r="I2241" t="s">
        <v>10202</v>
      </c>
      <c r="J2241" t="s">
        <v>10203</v>
      </c>
    </row>
    <row r="2242" spans="1:10">
      <c r="A2242" t="s">
        <v>10204</v>
      </c>
      <c r="B2242" t="s">
        <v>10204</v>
      </c>
      <c r="C2242" t="s">
        <v>10205</v>
      </c>
      <c r="D2242">
        <v>9</v>
      </c>
      <c r="E2242" t="s">
        <v>33</v>
      </c>
      <c r="F2242" t="s">
        <v>57</v>
      </c>
      <c r="G2242" s="23">
        <v>44291</v>
      </c>
      <c r="H2242" t="s">
        <v>10206</v>
      </c>
      <c r="I2242" t="s">
        <v>10207</v>
      </c>
      <c r="J2242" t="s">
        <v>10208</v>
      </c>
    </row>
    <row r="2243" spans="1:10">
      <c r="A2243" t="s">
        <v>10209</v>
      </c>
      <c r="B2243" t="s">
        <v>10209</v>
      </c>
      <c r="C2243" t="s">
        <v>10210</v>
      </c>
      <c r="D2243">
        <v>11</v>
      </c>
      <c r="E2243" t="s">
        <v>33</v>
      </c>
      <c r="F2243" t="s">
        <v>63</v>
      </c>
      <c r="G2243" s="23">
        <v>44554</v>
      </c>
      <c r="H2243" t="s">
        <v>10211</v>
      </c>
      <c r="I2243" t="s">
        <v>10212</v>
      </c>
      <c r="J2243" t="s">
        <v>10213</v>
      </c>
    </row>
    <row r="2244" spans="1:10">
      <c r="A2244" t="s">
        <v>10214</v>
      </c>
      <c r="B2244" t="s">
        <v>10214</v>
      </c>
      <c r="C2244" t="s">
        <v>1389</v>
      </c>
      <c r="D2244">
        <v>14</v>
      </c>
      <c r="E2244" t="s">
        <v>31</v>
      </c>
      <c r="F2244" t="s">
        <v>57</v>
      </c>
      <c r="G2244" s="23">
        <v>45509</v>
      </c>
      <c r="H2244" t="s">
        <v>10215</v>
      </c>
      <c r="I2244" t="s">
        <v>10216</v>
      </c>
      <c r="J2244" t="s">
        <v>10217</v>
      </c>
    </row>
    <row r="2245" spans="1:10">
      <c r="A2245" t="s">
        <v>10218</v>
      </c>
      <c r="B2245" t="s">
        <v>10218</v>
      </c>
      <c r="C2245" t="s">
        <v>10219</v>
      </c>
      <c r="D2245">
        <v>3</v>
      </c>
      <c r="E2245" t="s">
        <v>29</v>
      </c>
      <c r="F2245" t="s">
        <v>63</v>
      </c>
      <c r="G2245" s="23">
        <v>42044</v>
      </c>
      <c r="H2245" t="s">
        <v>10220</v>
      </c>
      <c r="I2245" t="s">
        <v>10221</v>
      </c>
      <c r="J2245" t="s">
        <v>10222</v>
      </c>
    </row>
    <row r="2246" spans="1:10">
      <c r="A2246" t="s">
        <v>10223</v>
      </c>
      <c r="B2246" t="s">
        <v>10223</v>
      </c>
      <c r="C2246" t="s">
        <v>10224</v>
      </c>
      <c r="D2246">
        <v>7</v>
      </c>
      <c r="E2246" t="s">
        <v>31</v>
      </c>
      <c r="F2246" t="s">
        <v>57</v>
      </c>
      <c r="G2246" s="23">
        <v>44683</v>
      </c>
      <c r="H2246" t="s">
        <v>10225</v>
      </c>
      <c r="I2246" t="s">
        <v>10226</v>
      </c>
      <c r="J2246" t="s">
        <v>10227</v>
      </c>
    </row>
    <row r="2247" spans="1:10">
      <c r="A2247" t="s">
        <v>10228</v>
      </c>
      <c r="B2247" t="s">
        <v>10228</v>
      </c>
      <c r="C2247" t="s">
        <v>3661</v>
      </c>
      <c r="D2247">
        <v>18</v>
      </c>
      <c r="E2247" t="s">
        <v>31</v>
      </c>
      <c r="F2247" t="s">
        <v>57</v>
      </c>
      <c r="G2247" s="23">
        <v>43646</v>
      </c>
      <c r="H2247" t="s">
        <v>10229</v>
      </c>
      <c r="I2247" t="s">
        <v>10230</v>
      </c>
      <c r="J2247" t="s">
        <v>10231</v>
      </c>
    </row>
    <row r="2248" spans="1:10">
      <c r="A2248" t="s">
        <v>10232</v>
      </c>
      <c r="B2248" t="s">
        <v>10232</v>
      </c>
      <c r="C2248" t="s">
        <v>7304</v>
      </c>
      <c r="D2248">
        <v>20</v>
      </c>
      <c r="E2248" t="s">
        <v>27</v>
      </c>
      <c r="F2248" t="s">
        <v>63</v>
      </c>
      <c r="G2248" s="23">
        <v>44065</v>
      </c>
      <c r="H2248" t="s">
        <v>10233</v>
      </c>
      <c r="I2248" t="s">
        <v>10234</v>
      </c>
      <c r="J2248" t="s">
        <v>10235</v>
      </c>
    </row>
    <row r="2249" spans="1:10">
      <c r="A2249" t="s">
        <v>10236</v>
      </c>
      <c r="B2249" t="s">
        <v>10236</v>
      </c>
      <c r="C2249" t="s">
        <v>10237</v>
      </c>
      <c r="D2249">
        <v>105</v>
      </c>
      <c r="E2249" t="s">
        <v>31</v>
      </c>
      <c r="F2249" t="s">
        <v>63</v>
      </c>
      <c r="G2249" s="23">
        <v>44541</v>
      </c>
      <c r="H2249" t="s">
        <v>10238</v>
      </c>
      <c r="I2249" t="s">
        <v>10239</v>
      </c>
      <c r="J2249" t="s">
        <v>10240</v>
      </c>
    </row>
    <row r="2250" spans="1:10">
      <c r="A2250" t="s">
        <v>10241</v>
      </c>
      <c r="B2250" t="s">
        <v>10241</v>
      </c>
      <c r="C2250" t="s">
        <v>10242</v>
      </c>
      <c r="D2250">
        <v>4</v>
      </c>
      <c r="E2250" t="s">
        <v>31</v>
      </c>
      <c r="F2250" t="s">
        <v>115</v>
      </c>
      <c r="G2250" s="23">
        <v>45021</v>
      </c>
      <c r="H2250" t="s">
        <v>10243</v>
      </c>
      <c r="I2250" t="s">
        <v>10244</v>
      </c>
      <c r="J2250" t="s">
        <v>10245</v>
      </c>
    </row>
    <row r="2251" spans="1:10">
      <c r="A2251" t="s">
        <v>10246</v>
      </c>
      <c r="B2251" t="s">
        <v>10246</v>
      </c>
      <c r="C2251" t="s">
        <v>10247</v>
      </c>
      <c r="D2251">
        <v>6</v>
      </c>
      <c r="E2251" t="s">
        <v>29</v>
      </c>
      <c r="F2251" t="s">
        <v>63</v>
      </c>
      <c r="G2251" s="23">
        <v>43021</v>
      </c>
      <c r="H2251" t="s">
        <v>10248</v>
      </c>
      <c r="I2251" t="s">
        <v>10249</v>
      </c>
      <c r="J2251" t="s">
        <v>10250</v>
      </c>
    </row>
    <row r="2252" spans="1:10">
      <c r="A2252" t="s">
        <v>10251</v>
      </c>
      <c r="B2252" t="s">
        <v>10251</v>
      </c>
      <c r="C2252" t="s">
        <v>2133</v>
      </c>
      <c r="D2252">
        <v>5</v>
      </c>
      <c r="E2252" t="s">
        <v>31</v>
      </c>
      <c r="F2252" t="s">
        <v>63</v>
      </c>
      <c r="G2252" s="23">
        <v>43604</v>
      </c>
      <c r="H2252" t="s">
        <v>10252</v>
      </c>
      <c r="I2252" t="s">
        <v>10253</v>
      </c>
      <c r="J2252" t="s">
        <v>10254</v>
      </c>
    </row>
    <row r="2253" spans="1:10">
      <c r="A2253" t="s">
        <v>10255</v>
      </c>
      <c r="B2253" t="s">
        <v>10255</v>
      </c>
      <c r="C2253" t="s">
        <v>10256</v>
      </c>
      <c r="D2253">
        <v>15</v>
      </c>
      <c r="E2253" t="s">
        <v>33</v>
      </c>
      <c r="F2253" t="s">
        <v>57</v>
      </c>
      <c r="G2253" s="23">
        <v>43409</v>
      </c>
      <c r="H2253" t="s">
        <v>10257</v>
      </c>
      <c r="I2253" t="s">
        <v>10258</v>
      </c>
      <c r="J2253" t="s">
        <v>10259</v>
      </c>
    </row>
    <row r="2254" spans="1:10">
      <c r="A2254" t="s">
        <v>10260</v>
      </c>
      <c r="B2254" t="s">
        <v>10260</v>
      </c>
      <c r="C2254" t="s">
        <v>3620</v>
      </c>
      <c r="D2254">
        <v>13</v>
      </c>
      <c r="E2254" t="s">
        <v>31</v>
      </c>
      <c r="F2254" t="s">
        <v>57</v>
      </c>
      <c r="G2254" s="23">
        <v>45072</v>
      </c>
      <c r="H2254" t="s">
        <v>10261</v>
      </c>
      <c r="I2254" t="s">
        <v>10262</v>
      </c>
      <c r="J2254" t="s">
        <v>10263</v>
      </c>
    </row>
    <row r="2255" spans="1:10">
      <c r="A2255" t="s">
        <v>10264</v>
      </c>
      <c r="B2255" t="s">
        <v>10264</v>
      </c>
      <c r="C2255" t="s">
        <v>10265</v>
      </c>
      <c r="D2255">
        <v>18</v>
      </c>
      <c r="E2255" t="s">
        <v>29</v>
      </c>
      <c r="F2255" t="s">
        <v>63</v>
      </c>
      <c r="G2255" s="23">
        <v>46099</v>
      </c>
      <c r="H2255" t="s">
        <v>10266</v>
      </c>
      <c r="I2255" t="s">
        <v>10267</v>
      </c>
      <c r="J2255" t="s">
        <v>10268</v>
      </c>
    </row>
    <row r="2256" spans="1:10">
      <c r="A2256" t="s">
        <v>10269</v>
      </c>
      <c r="B2256" t="s">
        <v>10269</v>
      </c>
      <c r="C2256" t="s">
        <v>10270</v>
      </c>
      <c r="D2256">
        <v>8</v>
      </c>
      <c r="E2256" t="s">
        <v>34</v>
      </c>
      <c r="F2256" t="s">
        <v>57</v>
      </c>
      <c r="G2256" s="23">
        <v>45931</v>
      </c>
      <c r="H2256" t="s">
        <v>10271</v>
      </c>
      <c r="I2256" t="s">
        <v>10272</v>
      </c>
      <c r="J2256" t="s">
        <v>10273</v>
      </c>
    </row>
    <row r="2257" spans="1:10">
      <c r="A2257" t="s">
        <v>10274</v>
      </c>
      <c r="B2257" t="s">
        <v>10274</v>
      </c>
      <c r="C2257" t="s">
        <v>10275</v>
      </c>
      <c r="D2257">
        <v>8</v>
      </c>
      <c r="E2257" t="s">
        <v>29</v>
      </c>
      <c r="F2257" t="s">
        <v>63</v>
      </c>
      <c r="G2257" s="23">
        <v>43886</v>
      </c>
      <c r="H2257" t="s">
        <v>10276</v>
      </c>
      <c r="I2257" t="s">
        <v>10277</v>
      </c>
      <c r="J2257" t="s">
        <v>10278</v>
      </c>
    </row>
    <row r="2258" spans="1:10">
      <c r="A2258" t="s">
        <v>10279</v>
      </c>
      <c r="B2258" t="s">
        <v>10279</v>
      </c>
      <c r="C2258" t="s">
        <v>10280</v>
      </c>
      <c r="D2258">
        <v>33</v>
      </c>
      <c r="E2258" t="s">
        <v>34</v>
      </c>
      <c r="F2258" t="s">
        <v>57</v>
      </c>
      <c r="G2258" s="23">
        <v>44159</v>
      </c>
      <c r="H2258" t="s">
        <v>10281</v>
      </c>
      <c r="I2258" t="s">
        <v>10282</v>
      </c>
      <c r="J2258" t="s">
        <v>10283</v>
      </c>
    </row>
    <row r="2259" spans="1:10">
      <c r="A2259" t="s">
        <v>10284</v>
      </c>
      <c r="B2259" t="s">
        <v>10284</v>
      </c>
      <c r="C2259" t="s">
        <v>10280</v>
      </c>
      <c r="D2259">
        <v>14</v>
      </c>
      <c r="E2259" t="s">
        <v>34</v>
      </c>
      <c r="F2259" t="s">
        <v>57</v>
      </c>
      <c r="G2259" s="23">
        <v>44652</v>
      </c>
      <c r="H2259" t="s">
        <v>10285</v>
      </c>
      <c r="I2259" t="s">
        <v>10286</v>
      </c>
      <c r="J2259" t="s">
        <v>10287</v>
      </c>
    </row>
    <row r="2260" spans="1:10">
      <c r="A2260" t="s">
        <v>10288</v>
      </c>
      <c r="B2260" t="s">
        <v>10288</v>
      </c>
      <c r="C2260" t="s">
        <v>10289</v>
      </c>
      <c r="D2260">
        <v>11</v>
      </c>
      <c r="E2260" t="s">
        <v>34</v>
      </c>
      <c r="F2260" t="s">
        <v>57</v>
      </c>
      <c r="G2260" s="23">
        <v>43928</v>
      </c>
      <c r="H2260" t="s">
        <v>10290</v>
      </c>
      <c r="I2260" t="s">
        <v>10291</v>
      </c>
      <c r="J2260" t="s">
        <v>10292</v>
      </c>
    </row>
    <row r="2261" spans="1:10">
      <c r="A2261" t="s">
        <v>10293</v>
      </c>
      <c r="B2261" t="s">
        <v>10293</v>
      </c>
      <c r="C2261" t="s">
        <v>10289</v>
      </c>
      <c r="D2261">
        <v>17</v>
      </c>
      <c r="E2261" t="s">
        <v>34</v>
      </c>
      <c r="F2261" t="s">
        <v>57</v>
      </c>
      <c r="G2261" s="23">
        <v>44235</v>
      </c>
      <c r="H2261" t="s">
        <v>10294</v>
      </c>
      <c r="I2261" t="s">
        <v>10295</v>
      </c>
      <c r="J2261" t="s">
        <v>10296</v>
      </c>
    </row>
    <row r="2262" spans="1:10">
      <c r="A2262" t="s">
        <v>10297</v>
      </c>
      <c r="B2262" t="s">
        <v>10297</v>
      </c>
      <c r="C2262" t="s">
        <v>1389</v>
      </c>
      <c r="D2262">
        <v>9</v>
      </c>
      <c r="E2262" t="s">
        <v>31</v>
      </c>
      <c r="F2262" t="s">
        <v>57</v>
      </c>
      <c r="G2262" s="23">
        <v>45632</v>
      </c>
      <c r="H2262" t="s">
        <v>10298</v>
      </c>
      <c r="I2262" t="s">
        <v>10299</v>
      </c>
      <c r="J2262" t="s">
        <v>10300</v>
      </c>
    </row>
    <row r="2263" spans="1:10">
      <c r="A2263" t="s">
        <v>10301</v>
      </c>
      <c r="B2263" t="s">
        <v>10301</v>
      </c>
      <c r="C2263" t="s">
        <v>2979</v>
      </c>
      <c r="D2263">
        <v>9</v>
      </c>
      <c r="E2263" t="s">
        <v>33</v>
      </c>
      <c r="F2263" t="s">
        <v>57</v>
      </c>
      <c r="G2263" s="23">
        <v>45819</v>
      </c>
      <c r="H2263" t="s">
        <v>10302</v>
      </c>
      <c r="I2263" t="s">
        <v>10303</v>
      </c>
      <c r="J2263" t="s">
        <v>10304</v>
      </c>
    </row>
    <row r="2264" spans="1:10">
      <c r="A2264" t="s">
        <v>10305</v>
      </c>
      <c r="B2264" t="s">
        <v>10305</v>
      </c>
      <c r="C2264" t="s">
        <v>1580</v>
      </c>
      <c r="D2264">
        <v>20</v>
      </c>
      <c r="E2264" t="s">
        <v>34</v>
      </c>
      <c r="F2264" t="s">
        <v>57</v>
      </c>
      <c r="G2264" s="23">
        <v>43124</v>
      </c>
      <c r="H2264" t="s">
        <v>10306</v>
      </c>
      <c r="I2264" t="s">
        <v>10307</v>
      </c>
      <c r="J2264" t="s">
        <v>10308</v>
      </c>
    </row>
    <row r="2265" spans="1:10">
      <c r="A2265" t="s">
        <v>10309</v>
      </c>
      <c r="B2265" t="s">
        <v>10309</v>
      </c>
      <c r="C2265" t="s">
        <v>10310</v>
      </c>
      <c r="D2265">
        <v>11</v>
      </c>
      <c r="E2265" t="s">
        <v>34</v>
      </c>
      <c r="F2265" t="s">
        <v>57</v>
      </c>
      <c r="G2265" s="23">
        <v>45509</v>
      </c>
      <c r="H2265" t="s">
        <v>10311</v>
      </c>
      <c r="I2265" t="s">
        <v>10312</v>
      </c>
      <c r="J2265" t="s">
        <v>10313</v>
      </c>
    </row>
    <row r="2266" spans="1:10">
      <c r="A2266" t="s">
        <v>10314</v>
      </c>
      <c r="B2266" t="s">
        <v>10314</v>
      </c>
      <c r="C2266" t="s">
        <v>1932</v>
      </c>
      <c r="D2266">
        <v>9</v>
      </c>
      <c r="E2266" t="s">
        <v>35</v>
      </c>
      <c r="F2266" t="s">
        <v>57</v>
      </c>
      <c r="G2266" s="23">
        <v>44662</v>
      </c>
      <c r="H2266" t="s">
        <v>10315</v>
      </c>
      <c r="I2266" t="s">
        <v>10316</v>
      </c>
      <c r="J2266" t="s">
        <v>10317</v>
      </c>
    </row>
    <row r="2267" spans="1:10">
      <c r="A2267" t="s">
        <v>10318</v>
      </c>
      <c r="B2267" t="s">
        <v>10318</v>
      </c>
      <c r="C2267" t="s">
        <v>2979</v>
      </c>
      <c r="D2267">
        <v>12</v>
      </c>
      <c r="E2267" t="s">
        <v>34</v>
      </c>
      <c r="F2267" t="s">
        <v>57</v>
      </c>
      <c r="G2267" s="23">
        <v>45668</v>
      </c>
      <c r="H2267" t="s">
        <v>10319</v>
      </c>
      <c r="I2267" t="s">
        <v>10320</v>
      </c>
      <c r="J2267" t="s">
        <v>10321</v>
      </c>
    </row>
    <row r="2268" spans="1:10">
      <c r="A2268" t="s">
        <v>10322</v>
      </c>
      <c r="B2268" t="s">
        <v>10322</v>
      </c>
      <c r="C2268" t="s">
        <v>1799</v>
      </c>
      <c r="D2268">
        <v>14</v>
      </c>
      <c r="E2268" t="s">
        <v>34</v>
      </c>
      <c r="F2268" t="s">
        <v>57</v>
      </c>
      <c r="G2268" s="23">
        <v>44690</v>
      </c>
      <c r="H2268" t="s">
        <v>10323</v>
      </c>
      <c r="I2268" t="s">
        <v>10324</v>
      </c>
      <c r="J2268" t="s">
        <v>10325</v>
      </c>
    </row>
    <row r="2269" spans="1:10">
      <c r="A2269" t="s">
        <v>10326</v>
      </c>
      <c r="B2269" t="s">
        <v>10326</v>
      </c>
      <c r="C2269" t="s">
        <v>10327</v>
      </c>
      <c r="D2269">
        <v>7</v>
      </c>
      <c r="E2269" t="s">
        <v>29</v>
      </c>
      <c r="F2269" t="s">
        <v>63</v>
      </c>
      <c r="G2269" s="23">
        <v>45877</v>
      </c>
      <c r="H2269" t="s">
        <v>10328</v>
      </c>
      <c r="I2269" t="s">
        <v>10329</v>
      </c>
      <c r="J2269" t="s">
        <v>10330</v>
      </c>
    </row>
    <row r="2270" spans="1:10">
      <c r="A2270" t="s">
        <v>10331</v>
      </c>
      <c r="B2270" t="s">
        <v>10331</v>
      </c>
      <c r="C2270" t="s">
        <v>7460</v>
      </c>
      <c r="D2270">
        <v>19</v>
      </c>
      <c r="E2270" t="s">
        <v>29</v>
      </c>
      <c r="F2270" t="s">
        <v>63</v>
      </c>
      <c r="G2270" s="23">
        <v>42003</v>
      </c>
      <c r="H2270" t="s">
        <v>10332</v>
      </c>
      <c r="I2270" t="s">
        <v>10333</v>
      </c>
      <c r="J2270" t="s">
        <v>10334</v>
      </c>
    </row>
    <row r="2271" spans="1:10">
      <c r="A2271" t="s">
        <v>10335</v>
      </c>
      <c r="B2271" t="s">
        <v>10335</v>
      </c>
      <c r="C2271" t="s">
        <v>427</v>
      </c>
      <c r="D2271">
        <v>11</v>
      </c>
      <c r="E2271" t="s">
        <v>35</v>
      </c>
      <c r="F2271" t="s">
        <v>57</v>
      </c>
      <c r="G2271" s="23">
        <v>44107</v>
      </c>
      <c r="H2271" t="s">
        <v>10336</v>
      </c>
      <c r="I2271" t="s">
        <v>10337</v>
      </c>
      <c r="J2271" t="s">
        <v>10338</v>
      </c>
    </row>
    <row r="2272" spans="1:10">
      <c r="A2272" t="s">
        <v>10339</v>
      </c>
      <c r="B2272" t="s">
        <v>10339</v>
      </c>
      <c r="C2272" t="s">
        <v>427</v>
      </c>
      <c r="D2272">
        <v>11</v>
      </c>
      <c r="E2272" t="s">
        <v>35</v>
      </c>
      <c r="F2272" t="s">
        <v>57</v>
      </c>
      <c r="G2272" s="23">
        <v>45300</v>
      </c>
      <c r="H2272" t="s">
        <v>10340</v>
      </c>
      <c r="I2272" t="s">
        <v>10341</v>
      </c>
      <c r="J2272" t="s">
        <v>10342</v>
      </c>
    </row>
    <row r="2273" spans="1:10">
      <c r="A2273" t="s">
        <v>10343</v>
      </c>
      <c r="B2273" t="s">
        <v>10343</v>
      </c>
      <c r="C2273" t="s">
        <v>10344</v>
      </c>
      <c r="D2273">
        <v>23</v>
      </c>
      <c r="E2273" t="s">
        <v>29</v>
      </c>
      <c r="F2273" t="s">
        <v>63</v>
      </c>
      <c r="G2273" s="23">
        <v>43473</v>
      </c>
      <c r="H2273" t="s">
        <v>10345</v>
      </c>
      <c r="I2273" t="s">
        <v>10346</v>
      </c>
      <c r="J2273" t="s">
        <v>10347</v>
      </c>
    </row>
    <row r="2274" spans="1:10">
      <c r="A2274" t="s">
        <v>10348</v>
      </c>
      <c r="B2274" t="s">
        <v>10348</v>
      </c>
      <c r="C2274" t="s">
        <v>10349</v>
      </c>
      <c r="D2274">
        <v>17</v>
      </c>
      <c r="E2274" t="s">
        <v>31</v>
      </c>
      <c r="F2274" t="s">
        <v>57</v>
      </c>
      <c r="G2274" s="23">
        <v>45146</v>
      </c>
      <c r="H2274" t="s">
        <v>10350</v>
      </c>
      <c r="I2274" t="s">
        <v>10351</v>
      </c>
      <c r="J2274" t="s">
        <v>10352</v>
      </c>
    </row>
    <row r="2275" spans="1:10">
      <c r="A2275" t="s">
        <v>10353</v>
      </c>
      <c r="B2275" t="s">
        <v>10353</v>
      </c>
      <c r="C2275" t="s">
        <v>10349</v>
      </c>
      <c r="D2275">
        <v>11</v>
      </c>
      <c r="E2275" t="s">
        <v>33</v>
      </c>
      <c r="F2275" t="s">
        <v>57</v>
      </c>
      <c r="G2275" s="23">
        <v>45301</v>
      </c>
      <c r="H2275" t="s">
        <v>10354</v>
      </c>
      <c r="I2275" t="s">
        <v>10355</v>
      </c>
      <c r="J2275" t="s">
        <v>10356</v>
      </c>
    </row>
    <row r="2276" spans="1:10">
      <c r="A2276" t="s">
        <v>10357</v>
      </c>
      <c r="B2276" t="s">
        <v>10357</v>
      </c>
      <c r="C2276" t="s">
        <v>950</v>
      </c>
      <c r="D2276">
        <v>11</v>
      </c>
      <c r="E2276" t="s">
        <v>34</v>
      </c>
      <c r="F2276" t="s">
        <v>57</v>
      </c>
      <c r="G2276" s="23">
        <v>43409</v>
      </c>
      <c r="H2276" t="s">
        <v>10358</v>
      </c>
      <c r="I2276" t="s">
        <v>10359</v>
      </c>
      <c r="J2276" t="s">
        <v>10360</v>
      </c>
    </row>
    <row r="2277" spans="1:10">
      <c r="A2277" t="s">
        <v>10361</v>
      </c>
      <c r="B2277" t="s">
        <v>10361</v>
      </c>
      <c r="C2277" t="s">
        <v>950</v>
      </c>
      <c r="D2277">
        <v>12</v>
      </c>
      <c r="E2277" t="s">
        <v>34</v>
      </c>
      <c r="F2277" t="s">
        <v>57</v>
      </c>
      <c r="G2277" s="23">
        <v>43405</v>
      </c>
      <c r="H2277" t="s">
        <v>10362</v>
      </c>
      <c r="I2277" t="s">
        <v>10363</v>
      </c>
      <c r="J2277" t="s">
        <v>10364</v>
      </c>
    </row>
    <row r="2278" spans="1:10">
      <c r="A2278" t="s">
        <v>10365</v>
      </c>
      <c r="B2278" t="s">
        <v>10365</v>
      </c>
      <c r="C2278" t="s">
        <v>62</v>
      </c>
      <c r="D2278">
        <v>69</v>
      </c>
      <c r="E2278" t="s">
        <v>33</v>
      </c>
      <c r="F2278" t="s">
        <v>63</v>
      </c>
      <c r="G2278" s="23">
        <v>43314</v>
      </c>
      <c r="H2278" t="s">
        <v>10366</v>
      </c>
      <c r="I2278" t="s">
        <v>10367</v>
      </c>
      <c r="J2278" t="s">
        <v>10368</v>
      </c>
    </row>
    <row r="2279" spans="1:10">
      <c r="A2279" t="s">
        <v>10369</v>
      </c>
      <c r="B2279" t="s">
        <v>10369</v>
      </c>
      <c r="C2279" t="s">
        <v>10370</v>
      </c>
      <c r="D2279">
        <v>11</v>
      </c>
      <c r="E2279" t="s">
        <v>31</v>
      </c>
      <c r="F2279" t="s">
        <v>57</v>
      </c>
      <c r="G2279" s="23">
        <v>44452</v>
      </c>
      <c r="H2279" t="s">
        <v>10371</v>
      </c>
      <c r="I2279" t="s">
        <v>10372</v>
      </c>
      <c r="J2279" t="s">
        <v>10373</v>
      </c>
    </row>
    <row r="2280" spans="1:10">
      <c r="A2280" t="s">
        <v>10374</v>
      </c>
      <c r="B2280" t="s">
        <v>10374</v>
      </c>
      <c r="C2280" t="s">
        <v>243</v>
      </c>
      <c r="D2280">
        <v>11</v>
      </c>
      <c r="E2280" t="s">
        <v>29</v>
      </c>
      <c r="F2280" t="s">
        <v>63</v>
      </c>
      <c r="G2280" s="23">
        <v>46215</v>
      </c>
      <c r="H2280" t="s">
        <v>10375</v>
      </c>
      <c r="I2280" t="s">
        <v>10376</v>
      </c>
      <c r="J2280" t="s">
        <v>10377</v>
      </c>
    </row>
    <row r="2281" spans="1:10">
      <c r="A2281" t="s">
        <v>10378</v>
      </c>
      <c r="B2281" t="s">
        <v>10378</v>
      </c>
      <c r="C2281" t="s">
        <v>125</v>
      </c>
      <c r="D2281">
        <v>31</v>
      </c>
      <c r="E2281" t="s">
        <v>33</v>
      </c>
      <c r="F2281" t="s">
        <v>57</v>
      </c>
      <c r="G2281" s="23">
        <v>43735</v>
      </c>
      <c r="H2281" t="s">
        <v>10379</v>
      </c>
      <c r="I2281" t="s">
        <v>10380</v>
      </c>
      <c r="J2281" t="s">
        <v>10381</v>
      </c>
    </row>
    <row r="2282" spans="1:10">
      <c r="A2282" t="s">
        <v>10382</v>
      </c>
      <c r="B2282" t="s">
        <v>10382</v>
      </c>
      <c r="C2282" t="s">
        <v>125</v>
      </c>
      <c r="D2282">
        <v>22</v>
      </c>
      <c r="E2282" t="s">
        <v>34</v>
      </c>
      <c r="F2282" t="s">
        <v>57</v>
      </c>
      <c r="G2282" s="23">
        <v>43977</v>
      </c>
      <c r="H2282" t="s">
        <v>10383</v>
      </c>
      <c r="I2282" t="s">
        <v>10384</v>
      </c>
      <c r="J2282" t="s">
        <v>10385</v>
      </c>
    </row>
    <row r="2283" spans="1:10">
      <c r="A2283" t="s">
        <v>10386</v>
      </c>
      <c r="B2283" t="s">
        <v>10386</v>
      </c>
      <c r="C2283" t="s">
        <v>8461</v>
      </c>
      <c r="D2283">
        <v>23</v>
      </c>
      <c r="E2283" t="s">
        <v>29</v>
      </c>
      <c r="F2283" t="s">
        <v>63</v>
      </c>
      <c r="G2283" s="23">
        <v>41563</v>
      </c>
      <c r="H2283" t="s">
        <v>10387</v>
      </c>
      <c r="I2283" t="s">
        <v>10388</v>
      </c>
      <c r="J2283" t="s">
        <v>10389</v>
      </c>
    </row>
    <row r="2284" spans="1:10">
      <c r="A2284" t="s">
        <v>10390</v>
      </c>
      <c r="B2284" t="s">
        <v>10390</v>
      </c>
      <c r="C2284" t="s">
        <v>199</v>
      </c>
      <c r="D2284">
        <v>3</v>
      </c>
      <c r="E2284" t="s">
        <v>31</v>
      </c>
      <c r="F2284" t="s">
        <v>57</v>
      </c>
      <c r="G2284" s="23">
        <v>43866</v>
      </c>
      <c r="H2284" t="s">
        <v>10391</v>
      </c>
      <c r="I2284" t="s">
        <v>10392</v>
      </c>
      <c r="J2284" t="s">
        <v>10393</v>
      </c>
    </row>
    <row r="2285" spans="1:10">
      <c r="A2285" t="s">
        <v>10394</v>
      </c>
      <c r="B2285" t="s">
        <v>10394</v>
      </c>
      <c r="C2285" t="s">
        <v>880</v>
      </c>
      <c r="D2285">
        <v>3</v>
      </c>
      <c r="E2285" t="s">
        <v>35</v>
      </c>
      <c r="F2285" t="s">
        <v>3138</v>
      </c>
      <c r="G2285" s="23">
        <v>45424</v>
      </c>
      <c r="H2285" t="s">
        <v>10395</v>
      </c>
      <c r="I2285" t="s">
        <v>10396</v>
      </c>
      <c r="J2285" t="s">
        <v>10397</v>
      </c>
    </row>
    <row r="2286" spans="1:10">
      <c r="A2286" t="s">
        <v>10398</v>
      </c>
      <c r="B2286" t="s">
        <v>10398</v>
      </c>
      <c r="C2286" t="s">
        <v>1824</v>
      </c>
      <c r="D2286">
        <v>36</v>
      </c>
      <c r="E2286" t="s">
        <v>33</v>
      </c>
      <c r="F2286" t="s">
        <v>115</v>
      </c>
      <c r="G2286" s="23">
        <v>45732</v>
      </c>
      <c r="H2286" t="s">
        <v>10399</v>
      </c>
      <c r="I2286" t="s">
        <v>10400</v>
      </c>
      <c r="J2286" t="s">
        <v>10401</v>
      </c>
    </row>
    <row r="2287" spans="1:10">
      <c r="A2287" t="s">
        <v>10402</v>
      </c>
      <c r="B2287" t="s">
        <v>10402</v>
      </c>
      <c r="C2287" t="s">
        <v>10403</v>
      </c>
      <c r="D2287">
        <v>25</v>
      </c>
      <c r="E2287" t="s">
        <v>31</v>
      </c>
      <c r="F2287" t="s">
        <v>63</v>
      </c>
      <c r="G2287" s="23">
        <v>44372</v>
      </c>
      <c r="H2287" t="s">
        <v>10404</v>
      </c>
      <c r="I2287" t="s">
        <v>10405</v>
      </c>
      <c r="J2287" t="s">
        <v>10406</v>
      </c>
    </row>
    <row r="2288" spans="1:10">
      <c r="A2288" t="s">
        <v>10407</v>
      </c>
      <c r="B2288" t="s">
        <v>10407</v>
      </c>
      <c r="C2288" t="s">
        <v>10408</v>
      </c>
      <c r="D2288">
        <v>14</v>
      </c>
      <c r="E2288" t="s">
        <v>33</v>
      </c>
      <c r="F2288" t="s">
        <v>57</v>
      </c>
      <c r="G2288" s="23">
        <v>44364</v>
      </c>
      <c r="H2288" t="s">
        <v>10409</v>
      </c>
      <c r="I2288" t="s">
        <v>10410</v>
      </c>
      <c r="J2288" t="s">
        <v>10411</v>
      </c>
    </row>
    <row r="2289" spans="1:10">
      <c r="A2289" t="s">
        <v>10412</v>
      </c>
      <c r="B2289" t="s">
        <v>10412</v>
      </c>
      <c r="C2289" t="s">
        <v>1389</v>
      </c>
      <c r="D2289">
        <v>13</v>
      </c>
      <c r="E2289" t="s">
        <v>31</v>
      </c>
      <c r="F2289" t="s">
        <v>57</v>
      </c>
      <c r="G2289" s="23">
        <v>45819</v>
      </c>
      <c r="H2289" t="s">
        <v>10413</v>
      </c>
      <c r="I2289" t="s">
        <v>10414</v>
      </c>
      <c r="J2289" t="s">
        <v>10415</v>
      </c>
    </row>
    <row r="2290" spans="1:10">
      <c r="A2290" t="s">
        <v>10416</v>
      </c>
      <c r="B2290" t="s">
        <v>10416</v>
      </c>
      <c r="C2290" t="s">
        <v>10417</v>
      </c>
      <c r="D2290">
        <v>11</v>
      </c>
      <c r="E2290" t="s">
        <v>29</v>
      </c>
      <c r="F2290" t="s">
        <v>63</v>
      </c>
      <c r="G2290" s="23">
        <v>42266</v>
      </c>
      <c r="H2290" t="s">
        <v>10418</v>
      </c>
      <c r="I2290" t="s">
        <v>10419</v>
      </c>
      <c r="J2290" t="s">
        <v>10420</v>
      </c>
    </row>
    <row r="2291" spans="1:10">
      <c r="A2291" t="s">
        <v>10421</v>
      </c>
      <c r="B2291" t="s">
        <v>10421</v>
      </c>
      <c r="C2291" t="s">
        <v>4164</v>
      </c>
      <c r="D2291">
        <v>7</v>
      </c>
      <c r="E2291" t="s">
        <v>34</v>
      </c>
      <c r="F2291" t="s">
        <v>57</v>
      </c>
      <c r="G2291" s="23">
        <v>44518</v>
      </c>
      <c r="H2291" t="s">
        <v>10422</v>
      </c>
      <c r="I2291" t="s">
        <v>10423</v>
      </c>
      <c r="J2291" t="s">
        <v>10424</v>
      </c>
    </row>
    <row r="2292" spans="1:10">
      <c r="A2292" t="s">
        <v>10425</v>
      </c>
      <c r="B2292" t="s">
        <v>10425</v>
      </c>
      <c r="C2292" t="s">
        <v>4347</v>
      </c>
      <c r="D2292">
        <v>25</v>
      </c>
      <c r="E2292" t="s">
        <v>29</v>
      </c>
      <c r="F2292" t="s">
        <v>63</v>
      </c>
      <c r="G2292" s="23">
        <v>42266</v>
      </c>
      <c r="H2292" t="s">
        <v>10426</v>
      </c>
      <c r="I2292" t="s">
        <v>10427</v>
      </c>
      <c r="J2292" t="s">
        <v>10428</v>
      </c>
    </row>
    <row r="2293" spans="1:10">
      <c r="A2293" t="s">
        <v>10429</v>
      </c>
      <c r="B2293" t="s">
        <v>10429</v>
      </c>
      <c r="C2293" t="s">
        <v>10430</v>
      </c>
      <c r="D2293">
        <v>16</v>
      </c>
      <c r="E2293" t="s">
        <v>34</v>
      </c>
      <c r="F2293" t="s">
        <v>57</v>
      </c>
      <c r="G2293" s="23">
        <v>43750</v>
      </c>
      <c r="H2293" t="s">
        <v>10431</v>
      </c>
      <c r="I2293" t="s">
        <v>10432</v>
      </c>
      <c r="J2293" t="s">
        <v>10433</v>
      </c>
    </row>
    <row r="2294" spans="1:10">
      <c r="A2294" t="s">
        <v>10434</v>
      </c>
      <c r="B2294" t="s">
        <v>10434</v>
      </c>
      <c r="C2294" t="s">
        <v>10435</v>
      </c>
      <c r="D2294">
        <v>3</v>
      </c>
      <c r="E2294" t="s">
        <v>33</v>
      </c>
      <c r="F2294" t="s">
        <v>57</v>
      </c>
      <c r="G2294" s="23">
        <v>43917</v>
      </c>
      <c r="H2294" t="s">
        <v>10436</v>
      </c>
      <c r="I2294" t="s">
        <v>10437</v>
      </c>
      <c r="J2294" t="s">
        <v>10438</v>
      </c>
    </row>
    <row r="2295" spans="1:10">
      <c r="A2295" t="s">
        <v>10439</v>
      </c>
      <c r="B2295" t="s">
        <v>10439</v>
      </c>
      <c r="C2295" t="s">
        <v>10440</v>
      </c>
      <c r="D2295">
        <v>6</v>
      </c>
      <c r="E2295" t="s">
        <v>29</v>
      </c>
      <c r="F2295" t="s">
        <v>63</v>
      </c>
      <c r="G2295" s="23">
        <v>42265</v>
      </c>
      <c r="H2295" t="s">
        <v>10441</v>
      </c>
      <c r="I2295" t="s">
        <v>10442</v>
      </c>
      <c r="J2295" t="s">
        <v>10443</v>
      </c>
    </row>
    <row r="2296" spans="1:10">
      <c r="A2296" t="s">
        <v>10444</v>
      </c>
      <c r="B2296" t="s">
        <v>10444</v>
      </c>
      <c r="C2296" t="s">
        <v>2142</v>
      </c>
      <c r="D2296">
        <v>12</v>
      </c>
      <c r="E2296" t="s">
        <v>35</v>
      </c>
      <c r="F2296" t="s">
        <v>57</v>
      </c>
      <c r="G2296" s="23">
        <v>43843</v>
      </c>
      <c r="H2296" t="s">
        <v>10445</v>
      </c>
      <c r="I2296" t="s">
        <v>10446</v>
      </c>
      <c r="J2296" t="s">
        <v>10447</v>
      </c>
    </row>
    <row r="2297" spans="1:10">
      <c r="A2297" t="s">
        <v>10448</v>
      </c>
      <c r="B2297" t="s">
        <v>10448</v>
      </c>
      <c r="C2297" t="s">
        <v>2828</v>
      </c>
      <c r="D2297">
        <v>9</v>
      </c>
      <c r="E2297" t="s">
        <v>34</v>
      </c>
      <c r="F2297" t="s">
        <v>57</v>
      </c>
      <c r="G2297" s="23">
        <v>42959</v>
      </c>
      <c r="H2297" t="s">
        <v>10449</v>
      </c>
      <c r="I2297" t="s">
        <v>10450</v>
      </c>
      <c r="J2297" t="s">
        <v>10451</v>
      </c>
    </row>
    <row r="2298" spans="1:10">
      <c r="A2298" t="s">
        <v>10452</v>
      </c>
      <c r="B2298" t="s">
        <v>10452</v>
      </c>
      <c r="C2298" t="s">
        <v>10453</v>
      </c>
      <c r="D2298">
        <v>15</v>
      </c>
      <c r="E2298" t="s">
        <v>31</v>
      </c>
      <c r="F2298" t="s">
        <v>57</v>
      </c>
      <c r="G2298" s="23">
        <v>45815</v>
      </c>
      <c r="H2298" t="s">
        <v>10454</v>
      </c>
      <c r="I2298" t="s">
        <v>10455</v>
      </c>
      <c r="J2298" t="s">
        <v>10456</v>
      </c>
    </row>
    <row r="2299" spans="1:10">
      <c r="A2299" t="s">
        <v>10457</v>
      </c>
      <c r="B2299" t="s">
        <v>10457</v>
      </c>
      <c r="C2299" t="s">
        <v>547</v>
      </c>
      <c r="D2299">
        <v>63</v>
      </c>
      <c r="E2299" t="s">
        <v>31</v>
      </c>
      <c r="F2299" t="s">
        <v>63</v>
      </c>
      <c r="G2299" s="23">
        <v>43576</v>
      </c>
      <c r="H2299" t="s">
        <v>10458</v>
      </c>
      <c r="I2299" t="s">
        <v>10459</v>
      </c>
      <c r="J2299" t="s">
        <v>10460</v>
      </c>
    </row>
    <row r="2300" spans="1:10">
      <c r="A2300" t="s">
        <v>10461</v>
      </c>
      <c r="B2300" t="s">
        <v>10461</v>
      </c>
      <c r="C2300" t="s">
        <v>56</v>
      </c>
      <c r="D2300">
        <v>1</v>
      </c>
      <c r="E2300" t="s">
        <v>33</v>
      </c>
      <c r="F2300" t="s">
        <v>57</v>
      </c>
      <c r="G2300" s="23">
        <v>44832</v>
      </c>
      <c r="H2300" t="s">
        <v>10462</v>
      </c>
      <c r="I2300" t="s">
        <v>10463</v>
      </c>
      <c r="J2300" t="s">
        <v>10464</v>
      </c>
    </row>
    <row r="2301" spans="1:10">
      <c r="A2301" t="s">
        <v>10465</v>
      </c>
      <c r="B2301" t="s">
        <v>10465</v>
      </c>
      <c r="C2301" t="s">
        <v>10466</v>
      </c>
      <c r="D2301">
        <v>6</v>
      </c>
      <c r="E2301" t="s">
        <v>29</v>
      </c>
      <c r="F2301" t="s">
        <v>63</v>
      </c>
      <c r="G2301" s="23">
        <v>42220</v>
      </c>
      <c r="H2301" t="s">
        <v>10467</v>
      </c>
      <c r="I2301" t="s">
        <v>10468</v>
      </c>
      <c r="J2301" t="s">
        <v>10469</v>
      </c>
    </row>
    <row r="2302" spans="1:10">
      <c r="A2302" t="s">
        <v>10470</v>
      </c>
      <c r="B2302" t="s">
        <v>10470</v>
      </c>
      <c r="C2302" t="s">
        <v>837</v>
      </c>
      <c r="D2302">
        <v>15</v>
      </c>
      <c r="E2302" t="s">
        <v>35</v>
      </c>
      <c r="F2302" t="s">
        <v>57</v>
      </c>
      <c r="G2302" s="23">
        <v>44607</v>
      </c>
      <c r="H2302" t="s">
        <v>10471</v>
      </c>
      <c r="I2302" t="s">
        <v>10472</v>
      </c>
      <c r="J2302" t="s">
        <v>10473</v>
      </c>
    </row>
    <row r="2303" spans="1:10">
      <c r="A2303" t="s">
        <v>10474</v>
      </c>
      <c r="B2303" t="s">
        <v>10474</v>
      </c>
      <c r="C2303" t="s">
        <v>10475</v>
      </c>
      <c r="D2303">
        <v>10</v>
      </c>
      <c r="E2303" t="s">
        <v>35</v>
      </c>
      <c r="F2303" t="s">
        <v>57</v>
      </c>
      <c r="G2303" s="23">
        <v>44772</v>
      </c>
      <c r="H2303" t="s">
        <v>10476</v>
      </c>
      <c r="I2303" t="s">
        <v>10477</v>
      </c>
      <c r="J2303" t="s">
        <v>10478</v>
      </c>
    </row>
    <row r="2304" spans="1:10">
      <c r="A2304" t="s">
        <v>10479</v>
      </c>
      <c r="B2304" t="s">
        <v>10479</v>
      </c>
      <c r="C2304" t="s">
        <v>10475</v>
      </c>
      <c r="D2304">
        <v>13</v>
      </c>
      <c r="E2304" t="s">
        <v>31</v>
      </c>
      <c r="F2304" t="s">
        <v>57</v>
      </c>
      <c r="G2304" s="23">
        <v>44644</v>
      </c>
      <c r="H2304" t="s">
        <v>10480</v>
      </c>
      <c r="I2304" t="s">
        <v>10481</v>
      </c>
      <c r="J2304" t="s">
        <v>10482</v>
      </c>
    </row>
    <row r="2305" spans="1:10">
      <c r="A2305" t="s">
        <v>10483</v>
      </c>
      <c r="B2305" t="s">
        <v>10483</v>
      </c>
      <c r="C2305" t="s">
        <v>10475</v>
      </c>
      <c r="D2305">
        <v>13</v>
      </c>
      <c r="E2305" t="s">
        <v>34</v>
      </c>
      <c r="F2305" t="s">
        <v>57</v>
      </c>
      <c r="G2305" s="23">
        <v>44707</v>
      </c>
      <c r="H2305" t="s">
        <v>10484</v>
      </c>
      <c r="I2305" t="s">
        <v>10485</v>
      </c>
      <c r="J2305" t="s">
        <v>10486</v>
      </c>
    </row>
    <row r="2306" spans="1:10">
      <c r="A2306" t="s">
        <v>10487</v>
      </c>
      <c r="B2306" t="s">
        <v>10487</v>
      </c>
      <c r="C2306" t="s">
        <v>1205</v>
      </c>
      <c r="D2306">
        <v>14</v>
      </c>
      <c r="E2306" t="s">
        <v>34</v>
      </c>
      <c r="F2306" t="s">
        <v>57</v>
      </c>
      <c r="G2306" s="23">
        <v>45071</v>
      </c>
      <c r="H2306" t="s">
        <v>10488</v>
      </c>
      <c r="I2306" t="s">
        <v>10489</v>
      </c>
      <c r="J2306" t="s">
        <v>10490</v>
      </c>
    </row>
    <row r="2307" spans="1:10">
      <c r="A2307" t="s">
        <v>10491</v>
      </c>
      <c r="B2307" t="s">
        <v>10491</v>
      </c>
      <c r="C2307" t="s">
        <v>10492</v>
      </c>
      <c r="D2307">
        <v>27</v>
      </c>
      <c r="E2307" t="s">
        <v>34</v>
      </c>
      <c r="F2307" t="s">
        <v>57</v>
      </c>
      <c r="G2307" s="23">
        <v>44085</v>
      </c>
      <c r="H2307" t="s">
        <v>10493</v>
      </c>
      <c r="I2307" t="s">
        <v>10494</v>
      </c>
      <c r="J2307" t="s">
        <v>10495</v>
      </c>
    </row>
    <row r="2308" spans="1:10">
      <c r="A2308" t="s">
        <v>10496</v>
      </c>
      <c r="B2308" t="s">
        <v>10496</v>
      </c>
      <c r="C2308" t="s">
        <v>1389</v>
      </c>
      <c r="D2308">
        <v>13</v>
      </c>
      <c r="E2308" t="s">
        <v>31</v>
      </c>
      <c r="F2308" t="s">
        <v>57</v>
      </c>
      <c r="G2308" s="23">
        <v>45405</v>
      </c>
      <c r="H2308" t="s">
        <v>10497</v>
      </c>
      <c r="I2308" t="s">
        <v>10498</v>
      </c>
      <c r="J2308" t="s">
        <v>10499</v>
      </c>
    </row>
    <row r="2309" spans="1:10">
      <c r="A2309" t="s">
        <v>10500</v>
      </c>
      <c r="B2309" t="s">
        <v>10500</v>
      </c>
      <c r="C2309" t="s">
        <v>1389</v>
      </c>
      <c r="D2309">
        <v>12</v>
      </c>
      <c r="E2309" t="s">
        <v>31</v>
      </c>
      <c r="F2309" t="s">
        <v>57</v>
      </c>
      <c r="G2309" s="23">
        <v>45211</v>
      </c>
      <c r="H2309" t="s">
        <v>10501</v>
      </c>
      <c r="I2309" t="s">
        <v>10502</v>
      </c>
      <c r="J2309" t="s">
        <v>10503</v>
      </c>
    </row>
    <row r="2310" spans="1:10">
      <c r="A2310" t="s">
        <v>10504</v>
      </c>
      <c r="B2310" t="s">
        <v>10504</v>
      </c>
      <c r="C2310" t="s">
        <v>1355</v>
      </c>
      <c r="D2310">
        <v>17</v>
      </c>
      <c r="E2310" t="s">
        <v>33</v>
      </c>
      <c r="F2310" t="s">
        <v>57</v>
      </c>
      <c r="G2310" s="23">
        <v>45014</v>
      </c>
      <c r="H2310" t="s">
        <v>10505</v>
      </c>
      <c r="I2310" t="s">
        <v>10506</v>
      </c>
      <c r="J2310" t="s">
        <v>10507</v>
      </c>
    </row>
    <row r="2311" spans="1:10">
      <c r="A2311" t="s">
        <v>10508</v>
      </c>
      <c r="B2311" t="s">
        <v>10508</v>
      </c>
      <c r="C2311" t="s">
        <v>10509</v>
      </c>
      <c r="D2311">
        <v>9</v>
      </c>
      <c r="E2311" t="s">
        <v>34</v>
      </c>
      <c r="F2311" t="s">
        <v>57</v>
      </c>
      <c r="G2311" s="23">
        <v>43818</v>
      </c>
      <c r="H2311" t="s">
        <v>10510</v>
      </c>
      <c r="I2311" t="s">
        <v>10511</v>
      </c>
      <c r="J2311" t="s">
        <v>10512</v>
      </c>
    </row>
    <row r="2312" spans="1:10">
      <c r="A2312" t="s">
        <v>10513</v>
      </c>
      <c r="B2312" t="s">
        <v>10513</v>
      </c>
      <c r="C2312" t="s">
        <v>2109</v>
      </c>
      <c r="D2312">
        <v>6</v>
      </c>
      <c r="E2312" t="s">
        <v>29</v>
      </c>
      <c r="F2312" t="s">
        <v>63</v>
      </c>
      <c r="G2312" s="23">
        <v>45931</v>
      </c>
      <c r="H2312" t="s">
        <v>10514</v>
      </c>
      <c r="I2312" t="s">
        <v>10515</v>
      </c>
      <c r="J2312" t="s">
        <v>10516</v>
      </c>
    </row>
    <row r="2313" spans="1:10">
      <c r="A2313" t="s">
        <v>10517</v>
      </c>
      <c r="B2313" t="s">
        <v>10517</v>
      </c>
      <c r="C2313" t="s">
        <v>10518</v>
      </c>
      <c r="D2313">
        <v>17</v>
      </c>
      <c r="E2313" t="s">
        <v>33</v>
      </c>
      <c r="F2313" t="s">
        <v>57</v>
      </c>
      <c r="G2313" s="23">
        <v>44001</v>
      </c>
      <c r="H2313" t="s">
        <v>10519</v>
      </c>
      <c r="I2313" t="s">
        <v>10520</v>
      </c>
      <c r="J2313" t="s">
        <v>10521</v>
      </c>
    </row>
    <row r="2314" spans="1:10">
      <c r="A2314" t="s">
        <v>10522</v>
      </c>
      <c r="B2314" t="s">
        <v>10522</v>
      </c>
      <c r="C2314" t="s">
        <v>2230</v>
      </c>
      <c r="D2314">
        <v>2</v>
      </c>
      <c r="E2314" t="s">
        <v>33</v>
      </c>
      <c r="F2314" t="s">
        <v>57</v>
      </c>
      <c r="G2314" s="23">
        <v>45279</v>
      </c>
      <c r="H2314" t="s">
        <v>10523</v>
      </c>
      <c r="I2314" t="s">
        <v>10524</v>
      </c>
      <c r="J2314" t="s">
        <v>10525</v>
      </c>
    </row>
    <row r="2315" spans="1:10">
      <c r="A2315" t="s">
        <v>10526</v>
      </c>
      <c r="B2315" t="s">
        <v>10526</v>
      </c>
      <c r="C2315" t="s">
        <v>104</v>
      </c>
      <c r="D2315">
        <v>1</v>
      </c>
      <c r="E2315" t="s">
        <v>35</v>
      </c>
      <c r="F2315" t="s">
        <v>57</v>
      </c>
      <c r="G2315" s="23">
        <v>44447</v>
      </c>
      <c r="H2315" t="s">
        <v>10527</v>
      </c>
      <c r="I2315" t="s">
        <v>10528</v>
      </c>
      <c r="J2315" t="s">
        <v>10529</v>
      </c>
    </row>
    <row r="2316" spans="1:10">
      <c r="A2316" t="s">
        <v>10530</v>
      </c>
      <c r="B2316" t="s">
        <v>10530</v>
      </c>
      <c r="C2316" t="s">
        <v>10531</v>
      </c>
      <c r="D2316">
        <v>24</v>
      </c>
      <c r="E2316" t="s">
        <v>29</v>
      </c>
      <c r="F2316" t="s">
        <v>63</v>
      </c>
      <c r="G2316" s="23">
        <v>42310</v>
      </c>
      <c r="H2316" t="s">
        <v>10532</v>
      </c>
      <c r="I2316" t="s">
        <v>10533</v>
      </c>
      <c r="J2316" t="s">
        <v>10534</v>
      </c>
    </row>
    <row r="2317" spans="1:10">
      <c r="A2317" t="s">
        <v>10535</v>
      </c>
      <c r="B2317" t="s">
        <v>10535</v>
      </c>
      <c r="C2317" t="s">
        <v>10536</v>
      </c>
      <c r="D2317">
        <v>11</v>
      </c>
      <c r="E2317" t="s">
        <v>36</v>
      </c>
      <c r="F2317" t="s">
        <v>57</v>
      </c>
      <c r="G2317" s="23">
        <v>46086</v>
      </c>
      <c r="H2317" t="s">
        <v>10537</v>
      </c>
      <c r="I2317" t="s">
        <v>10538</v>
      </c>
      <c r="J2317" t="s">
        <v>10539</v>
      </c>
    </row>
    <row r="2318" spans="1:10">
      <c r="A2318" t="s">
        <v>10540</v>
      </c>
      <c r="B2318" t="s">
        <v>10540</v>
      </c>
      <c r="C2318" t="s">
        <v>8446</v>
      </c>
      <c r="D2318">
        <v>14</v>
      </c>
      <c r="E2318" t="s">
        <v>27</v>
      </c>
      <c r="F2318" t="s">
        <v>63</v>
      </c>
      <c r="G2318" s="23">
        <v>42294</v>
      </c>
      <c r="H2318" t="s">
        <v>10541</v>
      </c>
      <c r="I2318" t="s">
        <v>10542</v>
      </c>
      <c r="J2318" t="s">
        <v>10543</v>
      </c>
    </row>
    <row r="2319" spans="1:10">
      <c r="A2319" t="s">
        <v>10544</v>
      </c>
      <c r="B2319" t="s">
        <v>10544</v>
      </c>
      <c r="C2319" t="s">
        <v>945</v>
      </c>
      <c r="D2319">
        <v>11</v>
      </c>
      <c r="E2319" t="s">
        <v>33</v>
      </c>
      <c r="F2319" t="s">
        <v>63</v>
      </c>
      <c r="G2319" s="23">
        <v>46112</v>
      </c>
      <c r="H2319" t="s">
        <v>10545</v>
      </c>
      <c r="I2319" t="s">
        <v>10546</v>
      </c>
      <c r="J2319" t="s">
        <v>10547</v>
      </c>
    </row>
    <row r="2320" spans="1:10">
      <c r="A2320" t="s">
        <v>10548</v>
      </c>
      <c r="B2320" t="s">
        <v>10548</v>
      </c>
      <c r="C2320" t="s">
        <v>3865</v>
      </c>
      <c r="D2320">
        <v>1</v>
      </c>
      <c r="E2320" t="s">
        <v>36</v>
      </c>
      <c r="F2320" t="s">
        <v>57</v>
      </c>
      <c r="G2320" s="23">
        <v>44376</v>
      </c>
      <c r="H2320" t="s">
        <v>10549</v>
      </c>
      <c r="I2320" t="s">
        <v>10550</v>
      </c>
      <c r="J2320" t="s">
        <v>10551</v>
      </c>
    </row>
    <row r="2321" spans="1:10">
      <c r="A2321" t="s">
        <v>10552</v>
      </c>
      <c r="B2321" t="s">
        <v>10552</v>
      </c>
      <c r="C2321" t="s">
        <v>10553</v>
      </c>
      <c r="D2321">
        <v>89</v>
      </c>
      <c r="E2321" t="s">
        <v>36</v>
      </c>
      <c r="F2321" t="s">
        <v>57</v>
      </c>
      <c r="G2321" s="23">
        <v>42788</v>
      </c>
      <c r="H2321" t="s">
        <v>10554</v>
      </c>
      <c r="I2321" t="s">
        <v>10555</v>
      </c>
      <c r="J2321" t="s">
        <v>10556</v>
      </c>
    </row>
    <row r="2322" spans="1:10">
      <c r="A2322" t="s">
        <v>10557</v>
      </c>
      <c r="B2322" t="s">
        <v>10557</v>
      </c>
      <c r="C2322" t="s">
        <v>10553</v>
      </c>
      <c r="D2322">
        <v>89</v>
      </c>
      <c r="E2322" t="s">
        <v>36</v>
      </c>
      <c r="F2322" t="s">
        <v>57</v>
      </c>
      <c r="G2322" s="23">
        <v>44946</v>
      </c>
      <c r="H2322" t="s">
        <v>10558</v>
      </c>
      <c r="I2322" t="s">
        <v>10559</v>
      </c>
      <c r="J2322" t="s">
        <v>10560</v>
      </c>
    </row>
    <row r="2323" spans="1:10">
      <c r="A2323" t="s">
        <v>10561</v>
      </c>
      <c r="B2323" t="s">
        <v>10561</v>
      </c>
      <c r="C2323" t="s">
        <v>1570</v>
      </c>
      <c r="D2323">
        <v>0</v>
      </c>
      <c r="E2323" t="s">
        <v>33</v>
      </c>
      <c r="F2323" t="s">
        <v>57</v>
      </c>
      <c r="G2323" s="23">
        <v>44309</v>
      </c>
      <c r="H2323" t="s">
        <v>10562</v>
      </c>
      <c r="I2323" t="s">
        <v>10563</v>
      </c>
      <c r="J2323" t="s">
        <v>10564</v>
      </c>
    </row>
    <row r="2324" spans="1:10">
      <c r="A2324" t="s">
        <v>10565</v>
      </c>
      <c r="B2324" t="s">
        <v>10565</v>
      </c>
      <c r="C2324" t="s">
        <v>10566</v>
      </c>
      <c r="D2324">
        <v>0</v>
      </c>
      <c r="E2324" t="s">
        <v>31</v>
      </c>
      <c r="F2324" t="s">
        <v>63</v>
      </c>
      <c r="G2324" s="23">
        <v>45762</v>
      </c>
      <c r="H2324" t="s">
        <v>10567</v>
      </c>
      <c r="I2324" t="s">
        <v>10568</v>
      </c>
      <c r="J2324" t="s">
        <v>10569</v>
      </c>
    </row>
    <row r="2325" spans="1:10">
      <c r="A2325" t="s">
        <v>10570</v>
      </c>
      <c r="B2325" t="s">
        <v>10570</v>
      </c>
      <c r="C2325" t="s">
        <v>1429</v>
      </c>
      <c r="D2325">
        <v>8</v>
      </c>
      <c r="E2325" t="s">
        <v>34</v>
      </c>
      <c r="F2325" t="s">
        <v>57</v>
      </c>
      <c r="G2325" s="23">
        <v>45244</v>
      </c>
      <c r="H2325" t="s">
        <v>10571</v>
      </c>
      <c r="I2325" t="s">
        <v>10572</v>
      </c>
      <c r="J2325" t="s">
        <v>10573</v>
      </c>
    </row>
    <row r="2326" spans="1:10">
      <c r="A2326" t="s">
        <v>10574</v>
      </c>
      <c r="B2326" t="s">
        <v>10574</v>
      </c>
      <c r="C2326" t="s">
        <v>2521</v>
      </c>
      <c r="D2326">
        <v>21</v>
      </c>
      <c r="E2326" t="s">
        <v>35</v>
      </c>
      <c r="F2326" t="s">
        <v>57</v>
      </c>
      <c r="G2326" s="23">
        <v>46215</v>
      </c>
      <c r="H2326" t="s">
        <v>10575</v>
      </c>
      <c r="I2326" t="s">
        <v>10576</v>
      </c>
      <c r="J2326" t="s">
        <v>10577</v>
      </c>
    </row>
    <row r="2327" spans="1:10">
      <c r="A2327" t="s">
        <v>10578</v>
      </c>
      <c r="B2327" t="s">
        <v>10578</v>
      </c>
      <c r="C2327" t="s">
        <v>10579</v>
      </c>
      <c r="D2327">
        <v>24</v>
      </c>
      <c r="E2327" t="s">
        <v>34</v>
      </c>
      <c r="F2327" t="s">
        <v>57</v>
      </c>
      <c r="G2327" s="23">
        <v>44163</v>
      </c>
      <c r="H2327" t="s">
        <v>10580</v>
      </c>
      <c r="I2327" t="s">
        <v>10581</v>
      </c>
      <c r="J2327" t="s">
        <v>10582</v>
      </c>
    </row>
    <row r="2328" spans="1:10">
      <c r="A2328" t="s">
        <v>10583</v>
      </c>
      <c r="B2328" t="s">
        <v>10583</v>
      </c>
      <c r="C2328" t="s">
        <v>10579</v>
      </c>
      <c r="D2328">
        <v>20</v>
      </c>
      <c r="E2328" t="s">
        <v>34</v>
      </c>
      <c r="F2328" t="s">
        <v>57</v>
      </c>
      <c r="G2328" s="23">
        <v>44366</v>
      </c>
      <c r="H2328" t="s">
        <v>10584</v>
      </c>
      <c r="I2328" t="s">
        <v>10585</v>
      </c>
      <c r="J2328" t="s">
        <v>10586</v>
      </c>
    </row>
    <row r="2329" spans="1:10">
      <c r="A2329" t="s">
        <v>10587</v>
      </c>
      <c r="B2329" t="s">
        <v>10587</v>
      </c>
      <c r="C2329" t="s">
        <v>243</v>
      </c>
      <c r="D2329">
        <v>16</v>
      </c>
      <c r="E2329" t="s">
        <v>29</v>
      </c>
      <c r="F2329" t="s">
        <v>63</v>
      </c>
      <c r="G2329" s="23">
        <v>43859</v>
      </c>
      <c r="H2329" t="s">
        <v>10588</v>
      </c>
      <c r="I2329" t="s">
        <v>10589</v>
      </c>
      <c r="J2329" t="s">
        <v>10590</v>
      </c>
    </row>
    <row r="2330" spans="1:10">
      <c r="A2330" t="s">
        <v>10591</v>
      </c>
      <c r="B2330" t="s">
        <v>10591</v>
      </c>
      <c r="C2330" t="s">
        <v>10592</v>
      </c>
      <c r="D2330">
        <v>5</v>
      </c>
      <c r="E2330" t="s">
        <v>29</v>
      </c>
      <c r="F2330" t="s">
        <v>63</v>
      </c>
      <c r="G2330" s="23">
        <v>42248</v>
      </c>
      <c r="H2330" t="s">
        <v>10593</v>
      </c>
      <c r="I2330" t="s">
        <v>10594</v>
      </c>
      <c r="J2330" t="s">
        <v>10595</v>
      </c>
    </row>
    <row r="2331" spans="1:10">
      <c r="A2331" t="s">
        <v>10596</v>
      </c>
      <c r="B2331" t="s">
        <v>10596</v>
      </c>
      <c r="C2331" t="s">
        <v>10592</v>
      </c>
      <c r="D2331">
        <v>26</v>
      </c>
      <c r="E2331" t="s">
        <v>29</v>
      </c>
      <c r="F2331" t="s">
        <v>63</v>
      </c>
      <c r="G2331" s="23">
        <v>42223</v>
      </c>
      <c r="H2331" t="s">
        <v>10597</v>
      </c>
      <c r="I2331" t="s">
        <v>10598</v>
      </c>
      <c r="J2331" t="s">
        <v>10599</v>
      </c>
    </row>
    <row r="2332" spans="1:10">
      <c r="A2332" t="s">
        <v>10600</v>
      </c>
      <c r="B2332" t="s">
        <v>10600</v>
      </c>
      <c r="C2332" t="s">
        <v>504</v>
      </c>
      <c r="D2332">
        <v>10</v>
      </c>
      <c r="E2332" t="s">
        <v>29</v>
      </c>
      <c r="F2332" t="s">
        <v>63</v>
      </c>
      <c r="G2332" s="23">
        <v>43904</v>
      </c>
      <c r="H2332" t="s">
        <v>10601</v>
      </c>
      <c r="I2332" t="s">
        <v>10602</v>
      </c>
      <c r="J2332" t="s">
        <v>10603</v>
      </c>
    </row>
    <row r="2333" spans="1:10">
      <c r="A2333" t="s">
        <v>10604</v>
      </c>
      <c r="B2333" t="s">
        <v>10604</v>
      </c>
      <c r="C2333" t="s">
        <v>2152</v>
      </c>
      <c r="D2333">
        <v>10</v>
      </c>
      <c r="E2333" t="s">
        <v>33</v>
      </c>
      <c r="F2333" t="s">
        <v>63</v>
      </c>
      <c r="G2333" s="23">
        <v>44927</v>
      </c>
      <c r="H2333" t="s">
        <v>10605</v>
      </c>
      <c r="I2333" t="s">
        <v>10606</v>
      </c>
      <c r="J2333" t="s">
        <v>10607</v>
      </c>
    </row>
    <row r="2334" spans="1:10">
      <c r="A2334" t="s">
        <v>10608</v>
      </c>
      <c r="B2334" t="s">
        <v>10608</v>
      </c>
      <c r="C2334" t="s">
        <v>2152</v>
      </c>
      <c r="D2334">
        <v>10</v>
      </c>
      <c r="E2334" t="s">
        <v>33</v>
      </c>
      <c r="F2334" t="s">
        <v>63</v>
      </c>
      <c r="G2334" s="23">
        <v>44980</v>
      </c>
      <c r="H2334" t="s">
        <v>10609</v>
      </c>
      <c r="I2334" t="s">
        <v>10610</v>
      </c>
      <c r="J2334" t="s">
        <v>10611</v>
      </c>
    </row>
    <row r="2335" spans="1:10">
      <c r="A2335" t="s">
        <v>10612</v>
      </c>
      <c r="B2335" t="s">
        <v>10612</v>
      </c>
      <c r="C2335" t="s">
        <v>10509</v>
      </c>
      <c r="D2335">
        <v>11</v>
      </c>
      <c r="E2335" t="s">
        <v>33</v>
      </c>
      <c r="F2335" t="s">
        <v>57</v>
      </c>
      <c r="G2335" s="23">
        <v>43532</v>
      </c>
      <c r="H2335" t="s">
        <v>10613</v>
      </c>
      <c r="I2335" t="s">
        <v>10614</v>
      </c>
      <c r="J2335" t="s">
        <v>10615</v>
      </c>
    </row>
    <row r="2336" spans="1:10">
      <c r="A2336" t="s">
        <v>10616</v>
      </c>
      <c r="B2336" t="s">
        <v>10616</v>
      </c>
      <c r="C2336" t="s">
        <v>10509</v>
      </c>
      <c r="D2336">
        <v>15</v>
      </c>
      <c r="E2336" t="s">
        <v>34</v>
      </c>
      <c r="F2336" t="s">
        <v>57</v>
      </c>
      <c r="G2336" s="23">
        <v>43637</v>
      </c>
      <c r="H2336" t="s">
        <v>10617</v>
      </c>
      <c r="I2336" t="s">
        <v>10618</v>
      </c>
      <c r="J2336" t="s">
        <v>10619</v>
      </c>
    </row>
    <row r="2337" spans="1:10">
      <c r="A2337" t="s">
        <v>10620</v>
      </c>
      <c r="B2337" t="s">
        <v>10620</v>
      </c>
      <c r="C2337" t="s">
        <v>2035</v>
      </c>
      <c r="D2337">
        <v>21</v>
      </c>
      <c r="E2337" t="s">
        <v>34</v>
      </c>
      <c r="F2337" t="s">
        <v>57</v>
      </c>
      <c r="G2337" s="23">
        <v>44183</v>
      </c>
      <c r="H2337" t="s">
        <v>10621</v>
      </c>
      <c r="I2337" t="s">
        <v>10622</v>
      </c>
      <c r="J2337" t="s">
        <v>10623</v>
      </c>
    </row>
    <row r="2338" spans="1:10">
      <c r="A2338" t="s">
        <v>10624</v>
      </c>
      <c r="B2338" t="s">
        <v>10624</v>
      </c>
      <c r="C2338" t="s">
        <v>10625</v>
      </c>
      <c r="D2338">
        <v>4</v>
      </c>
      <c r="E2338" t="s">
        <v>29</v>
      </c>
      <c r="F2338" t="s">
        <v>63</v>
      </c>
      <c r="G2338" s="23">
        <v>42207</v>
      </c>
      <c r="H2338" t="s">
        <v>10626</v>
      </c>
      <c r="I2338" t="s">
        <v>10627</v>
      </c>
      <c r="J2338" t="s">
        <v>10628</v>
      </c>
    </row>
    <row r="2339" spans="1:10">
      <c r="A2339" t="s">
        <v>10629</v>
      </c>
      <c r="B2339" t="s">
        <v>10629</v>
      </c>
      <c r="C2339" t="s">
        <v>4806</v>
      </c>
      <c r="D2339">
        <v>12</v>
      </c>
      <c r="E2339" t="s">
        <v>29</v>
      </c>
      <c r="F2339" t="s">
        <v>63</v>
      </c>
      <c r="G2339" s="23">
        <v>45461</v>
      </c>
      <c r="H2339" t="s">
        <v>10630</v>
      </c>
      <c r="I2339" t="s">
        <v>10631</v>
      </c>
      <c r="J2339" t="s">
        <v>10632</v>
      </c>
    </row>
    <row r="2340" spans="1:10">
      <c r="A2340" t="s">
        <v>10633</v>
      </c>
      <c r="B2340" t="s">
        <v>10633</v>
      </c>
      <c r="C2340" t="s">
        <v>7530</v>
      </c>
      <c r="D2340">
        <v>41</v>
      </c>
      <c r="E2340" t="s">
        <v>31</v>
      </c>
      <c r="F2340" t="s">
        <v>63</v>
      </c>
      <c r="G2340" s="23">
        <v>42348</v>
      </c>
      <c r="H2340" t="s">
        <v>10634</v>
      </c>
      <c r="I2340" t="s">
        <v>10635</v>
      </c>
      <c r="J2340" t="s">
        <v>10636</v>
      </c>
    </row>
    <row r="2341" spans="1:10">
      <c r="A2341" t="s">
        <v>10637</v>
      </c>
      <c r="B2341" t="s">
        <v>10637</v>
      </c>
      <c r="C2341" t="s">
        <v>7304</v>
      </c>
      <c r="D2341">
        <v>5</v>
      </c>
      <c r="E2341" t="s">
        <v>33</v>
      </c>
      <c r="F2341" t="s">
        <v>57</v>
      </c>
      <c r="G2341" s="23">
        <v>44760</v>
      </c>
      <c r="H2341" t="s">
        <v>10638</v>
      </c>
      <c r="I2341" t="s">
        <v>10639</v>
      </c>
      <c r="J2341" t="s">
        <v>10640</v>
      </c>
    </row>
    <row r="2342" spans="1:10">
      <c r="A2342" t="s">
        <v>10641</v>
      </c>
      <c r="B2342" t="s">
        <v>10641</v>
      </c>
      <c r="C2342" t="s">
        <v>1129</v>
      </c>
      <c r="D2342">
        <v>6</v>
      </c>
      <c r="E2342" t="s">
        <v>31</v>
      </c>
      <c r="F2342" t="s">
        <v>63</v>
      </c>
      <c r="G2342" s="23">
        <v>45960</v>
      </c>
      <c r="H2342" t="s">
        <v>10642</v>
      </c>
      <c r="I2342" t="s">
        <v>10643</v>
      </c>
      <c r="J2342" t="s">
        <v>10644</v>
      </c>
    </row>
    <row r="2343" spans="1:10">
      <c r="A2343" t="s">
        <v>10645</v>
      </c>
      <c r="B2343" t="s">
        <v>10645</v>
      </c>
      <c r="C2343" t="s">
        <v>10646</v>
      </c>
      <c r="D2343">
        <v>116</v>
      </c>
      <c r="E2343" t="s">
        <v>31</v>
      </c>
      <c r="F2343" t="s">
        <v>63</v>
      </c>
      <c r="G2343" s="23">
        <v>44706</v>
      </c>
      <c r="H2343" t="s">
        <v>10647</v>
      </c>
      <c r="I2343" t="s">
        <v>10648</v>
      </c>
      <c r="J2343" t="s">
        <v>10649</v>
      </c>
    </row>
    <row r="2344" spans="1:10">
      <c r="A2344" t="s">
        <v>10650</v>
      </c>
      <c r="B2344" t="s">
        <v>10650</v>
      </c>
      <c r="C2344" t="s">
        <v>10646</v>
      </c>
      <c r="D2344">
        <v>131</v>
      </c>
      <c r="E2344" t="s">
        <v>31</v>
      </c>
      <c r="F2344" t="s">
        <v>63</v>
      </c>
      <c r="G2344" s="23">
        <v>44879</v>
      </c>
      <c r="H2344" t="s">
        <v>10651</v>
      </c>
      <c r="I2344" t="s">
        <v>10652</v>
      </c>
      <c r="J2344" t="s">
        <v>10653</v>
      </c>
    </row>
    <row r="2345" spans="1:10">
      <c r="A2345" t="s">
        <v>10654</v>
      </c>
      <c r="B2345" t="s">
        <v>10654</v>
      </c>
      <c r="C2345" t="s">
        <v>733</v>
      </c>
      <c r="D2345">
        <v>76</v>
      </c>
      <c r="E2345" t="s">
        <v>31</v>
      </c>
      <c r="F2345" t="s">
        <v>63</v>
      </c>
      <c r="G2345" s="23">
        <v>42583</v>
      </c>
      <c r="H2345" t="s">
        <v>10655</v>
      </c>
      <c r="I2345" t="s">
        <v>10656</v>
      </c>
      <c r="J2345" t="s">
        <v>10657</v>
      </c>
    </row>
    <row r="2346" spans="1:10">
      <c r="A2346" t="s">
        <v>10658</v>
      </c>
      <c r="B2346" t="s">
        <v>10658</v>
      </c>
      <c r="C2346" t="s">
        <v>733</v>
      </c>
      <c r="D2346">
        <v>113</v>
      </c>
      <c r="E2346" t="s">
        <v>31</v>
      </c>
      <c r="F2346" t="s">
        <v>63</v>
      </c>
      <c r="G2346" s="23">
        <v>43280</v>
      </c>
      <c r="H2346" t="s">
        <v>10659</v>
      </c>
      <c r="I2346" t="s">
        <v>10660</v>
      </c>
      <c r="J2346" t="s">
        <v>10661</v>
      </c>
    </row>
    <row r="2347" spans="1:10">
      <c r="A2347" t="s">
        <v>10662</v>
      </c>
      <c r="B2347" t="s">
        <v>10662</v>
      </c>
      <c r="C2347" t="s">
        <v>733</v>
      </c>
      <c r="D2347">
        <v>150</v>
      </c>
      <c r="E2347" t="s">
        <v>31</v>
      </c>
      <c r="F2347" t="s">
        <v>63</v>
      </c>
      <c r="G2347" s="23">
        <v>44868</v>
      </c>
      <c r="H2347" t="s">
        <v>10663</v>
      </c>
      <c r="I2347" t="s">
        <v>10664</v>
      </c>
      <c r="J2347" t="s">
        <v>10665</v>
      </c>
    </row>
    <row r="2348" spans="1:10">
      <c r="A2348" t="s">
        <v>10666</v>
      </c>
      <c r="B2348" t="s">
        <v>10666</v>
      </c>
      <c r="C2348" t="s">
        <v>10667</v>
      </c>
      <c r="D2348">
        <v>27</v>
      </c>
      <c r="E2348" t="s">
        <v>31</v>
      </c>
      <c r="F2348" t="s">
        <v>63</v>
      </c>
      <c r="G2348" s="23">
        <v>44581</v>
      </c>
      <c r="H2348" t="s">
        <v>10668</v>
      </c>
      <c r="I2348" t="s">
        <v>10669</v>
      </c>
      <c r="J2348" t="s">
        <v>10670</v>
      </c>
    </row>
    <row r="2349" spans="1:10">
      <c r="A2349" t="s">
        <v>10671</v>
      </c>
      <c r="B2349" t="s">
        <v>10671</v>
      </c>
      <c r="C2349" t="s">
        <v>3893</v>
      </c>
      <c r="D2349">
        <v>37</v>
      </c>
      <c r="E2349" t="s">
        <v>33</v>
      </c>
      <c r="F2349" t="s">
        <v>63</v>
      </c>
      <c r="G2349" s="23">
        <v>45900</v>
      </c>
      <c r="H2349" t="s">
        <v>10672</v>
      </c>
      <c r="I2349" t="s">
        <v>10673</v>
      </c>
      <c r="J2349" t="s">
        <v>10674</v>
      </c>
    </row>
    <row r="2350" spans="1:10">
      <c r="A2350" t="s">
        <v>10675</v>
      </c>
      <c r="B2350" t="s">
        <v>10675</v>
      </c>
      <c r="C2350" t="s">
        <v>9796</v>
      </c>
      <c r="D2350">
        <v>6</v>
      </c>
      <c r="E2350" t="s">
        <v>27</v>
      </c>
      <c r="F2350" t="s">
        <v>63</v>
      </c>
      <c r="G2350" s="23">
        <v>42235</v>
      </c>
      <c r="H2350" t="s">
        <v>10676</v>
      </c>
      <c r="I2350" t="s">
        <v>10677</v>
      </c>
      <c r="J2350" t="s">
        <v>10678</v>
      </c>
    </row>
    <row r="2351" spans="1:10">
      <c r="A2351" t="s">
        <v>10679</v>
      </c>
      <c r="B2351" t="s">
        <v>10679</v>
      </c>
      <c r="C2351" t="s">
        <v>223</v>
      </c>
      <c r="D2351">
        <v>10</v>
      </c>
      <c r="E2351" t="s">
        <v>29</v>
      </c>
      <c r="F2351" t="s">
        <v>63</v>
      </c>
      <c r="G2351" s="23">
        <v>42102</v>
      </c>
      <c r="H2351" t="s">
        <v>10680</v>
      </c>
      <c r="I2351" t="s">
        <v>10681</v>
      </c>
      <c r="J2351" t="s">
        <v>10682</v>
      </c>
    </row>
    <row r="2352" spans="1:10">
      <c r="A2352" t="s">
        <v>10683</v>
      </c>
      <c r="B2352" t="s">
        <v>10683</v>
      </c>
      <c r="C2352" t="s">
        <v>10684</v>
      </c>
      <c r="D2352">
        <v>5</v>
      </c>
      <c r="E2352" t="s">
        <v>27</v>
      </c>
      <c r="F2352" t="s">
        <v>63</v>
      </c>
      <c r="G2352" s="23">
        <v>42311</v>
      </c>
      <c r="H2352" t="s">
        <v>10685</v>
      </c>
      <c r="I2352" t="s">
        <v>10686</v>
      </c>
      <c r="J2352" t="s">
        <v>10687</v>
      </c>
    </row>
    <row r="2353" spans="1:10">
      <c r="A2353" t="s">
        <v>10688</v>
      </c>
      <c r="B2353" t="s">
        <v>10688</v>
      </c>
      <c r="C2353" t="s">
        <v>733</v>
      </c>
      <c r="D2353">
        <v>114</v>
      </c>
      <c r="E2353" t="s">
        <v>31</v>
      </c>
      <c r="F2353" t="s">
        <v>63</v>
      </c>
      <c r="G2353" s="23">
        <v>45498</v>
      </c>
      <c r="H2353" t="s">
        <v>10689</v>
      </c>
      <c r="I2353" t="s">
        <v>10690</v>
      </c>
      <c r="J2353" t="s">
        <v>10691</v>
      </c>
    </row>
    <row r="2354" spans="1:10">
      <c r="A2354" t="s">
        <v>10692</v>
      </c>
      <c r="B2354" t="s">
        <v>10692</v>
      </c>
      <c r="C2354" t="s">
        <v>733</v>
      </c>
      <c r="D2354">
        <v>86</v>
      </c>
      <c r="E2354" t="s">
        <v>31</v>
      </c>
      <c r="F2354" t="s">
        <v>63</v>
      </c>
      <c r="G2354" s="23">
        <v>41831</v>
      </c>
      <c r="H2354" t="s">
        <v>10693</v>
      </c>
      <c r="I2354" t="s">
        <v>10694</v>
      </c>
      <c r="J2354" t="s">
        <v>10695</v>
      </c>
    </row>
    <row r="2355" spans="1:10">
      <c r="A2355" t="s">
        <v>10696</v>
      </c>
      <c r="B2355" t="s">
        <v>10696</v>
      </c>
      <c r="C2355" t="s">
        <v>733</v>
      </c>
      <c r="D2355">
        <v>121</v>
      </c>
      <c r="E2355" t="s">
        <v>33</v>
      </c>
      <c r="F2355" t="s">
        <v>63</v>
      </c>
      <c r="G2355" s="23">
        <v>42121</v>
      </c>
      <c r="H2355" t="s">
        <v>10697</v>
      </c>
      <c r="I2355" t="s">
        <v>10698</v>
      </c>
      <c r="J2355" t="s">
        <v>10699</v>
      </c>
    </row>
    <row r="2356" spans="1:10">
      <c r="A2356" t="s">
        <v>10700</v>
      </c>
      <c r="B2356" t="s">
        <v>10700</v>
      </c>
      <c r="C2356" t="s">
        <v>733</v>
      </c>
      <c r="D2356">
        <v>152</v>
      </c>
      <c r="E2356" t="s">
        <v>33</v>
      </c>
      <c r="F2356" t="s">
        <v>63</v>
      </c>
      <c r="G2356" s="23">
        <v>42725</v>
      </c>
      <c r="H2356" t="s">
        <v>10701</v>
      </c>
      <c r="I2356" t="s">
        <v>10702</v>
      </c>
      <c r="J2356" t="s">
        <v>10703</v>
      </c>
    </row>
    <row r="2357" spans="1:10">
      <c r="A2357" t="s">
        <v>10704</v>
      </c>
      <c r="B2357" t="s">
        <v>10704</v>
      </c>
      <c r="C2357" t="s">
        <v>1714</v>
      </c>
      <c r="D2357">
        <v>93</v>
      </c>
      <c r="E2357" t="s">
        <v>31</v>
      </c>
      <c r="F2357" t="s">
        <v>63</v>
      </c>
      <c r="G2357" s="23">
        <v>45800</v>
      </c>
      <c r="H2357" t="s">
        <v>10705</v>
      </c>
      <c r="I2357" t="s">
        <v>10706</v>
      </c>
      <c r="J2357" t="s">
        <v>10707</v>
      </c>
    </row>
    <row r="2358" spans="1:10">
      <c r="A2358" t="s">
        <v>10708</v>
      </c>
      <c r="B2358" t="s">
        <v>10708</v>
      </c>
      <c r="C2358" t="s">
        <v>10709</v>
      </c>
      <c r="D2358">
        <v>6</v>
      </c>
      <c r="E2358" t="s">
        <v>27</v>
      </c>
      <c r="F2358" t="s">
        <v>63</v>
      </c>
      <c r="G2358" s="23">
        <v>42339</v>
      </c>
      <c r="H2358" t="s">
        <v>10710</v>
      </c>
      <c r="I2358" t="s">
        <v>10711</v>
      </c>
      <c r="J2358" t="s">
        <v>10712</v>
      </c>
    </row>
    <row r="2359" spans="1:10">
      <c r="A2359" t="s">
        <v>10713</v>
      </c>
      <c r="B2359" t="s">
        <v>10713</v>
      </c>
      <c r="C2359" t="s">
        <v>1556</v>
      </c>
      <c r="D2359">
        <v>14</v>
      </c>
      <c r="E2359" t="s">
        <v>35</v>
      </c>
      <c r="F2359" t="s">
        <v>57</v>
      </c>
      <c r="G2359" s="23">
        <v>45447</v>
      </c>
      <c r="H2359" t="s">
        <v>10714</v>
      </c>
      <c r="I2359" t="s">
        <v>10715</v>
      </c>
      <c r="J2359" t="s">
        <v>10716</v>
      </c>
    </row>
    <row r="2360" spans="1:10">
      <c r="A2360" t="s">
        <v>10717</v>
      </c>
      <c r="B2360" t="s">
        <v>10717</v>
      </c>
      <c r="C2360" t="s">
        <v>7076</v>
      </c>
      <c r="D2360">
        <v>10</v>
      </c>
      <c r="E2360" t="s">
        <v>34</v>
      </c>
      <c r="F2360" t="s">
        <v>57</v>
      </c>
      <c r="G2360" s="23">
        <v>45941</v>
      </c>
      <c r="H2360" t="s">
        <v>10718</v>
      </c>
      <c r="I2360" t="s">
        <v>10719</v>
      </c>
      <c r="J2360" t="s">
        <v>10720</v>
      </c>
    </row>
    <row r="2361" spans="1:10">
      <c r="A2361" t="s">
        <v>10721</v>
      </c>
      <c r="B2361" t="s">
        <v>10721</v>
      </c>
      <c r="C2361" t="s">
        <v>10722</v>
      </c>
      <c r="D2361">
        <v>45</v>
      </c>
      <c r="E2361" t="s">
        <v>29</v>
      </c>
      <c r="F2361" t="s">
        <v>63</v>
      </c>
      <c r="G2361" s="23">
        <v>43218</v>
      </c>
      <c r="H2361" t="s">
        <v>10723</v>
      </c>
      <c r="I2361" t="s">
        <v>10724</v>
      </c>
      <c r="J2361" t="s">
        <v>10725</v>
      </c>
    </row>
    <row r="2362" spans="1:10">
      <c r="A2362" t="s">
        <v>10726</v>
      </c>
      <c r="B2362" t="s">
        <v>10726</v>
      </c>
      <c r="C2362" t="s">
        <v>7218</v>
      </c>
      <c r="D2362">
        <v>10</v>
      </c>
      <c r="E2362" t="s">
        <v>33</v>
      </c>
      <c r="F2362" t="s">
        <v>57</v>
      </c>
      <c r="G2362" s="23">
        <v>45078</v>
      </c>
      <c r="H2362" t="s">
        <v>10727</v>
      </c>
      <c r="I2362" t="s">
        <v>10728</v>
      </c>
      <c r="J2362" t="s">
        <v>10729</v>
      </c>
    </row>
    <row r="2363" spans="1:10">
      <c r="A2363" t="s">
        <v>10730</v>
      </c>
      <c r="B2363" t="s">
        <v>10730</v>
      </c>
      <c r="C2363" t="s">
        <v>10731</v>
      </c>
      <c r="D2363">
        <v>10</v>
      </c>
      <c r="E2363" t="s">
        <v>27</v>
      </c>
      <c r="F2363" t="s">
        <v>63</v>
      </c>
      <c r="G2363" s="23">
        <v>41545</v>
      </c>
      <c r="H2363" t="s">
        <v>10732</v>
      </c>
      <c r="I2363" t="s">
        <v>10733</v>
      </c>
      <c r="J2363" t="s">
        <v>10734</v>
      </c>
    </row>
    <row r="2364" spans="1:10">
      <c r="A2364" t="s">
        <v>10735</v>
      </c>
      <c r="B2364" t="s">
        <v>10735</v>
      </c>
      <c r="C2364" t="s">
        <v>10731</v>
      </c>
      <c r="D2364">
        <v>8</v>
      </c>
      <c r="E2364" t="s">
        <v>29</v>
      </c>
      <c r="F2364" t="s">
        <v>63</v>
      </c>
      <c r="G2364" s="23">
        <v>41573</v>
      </c>
      <c r="H2364" t="s">
        <v>10736</v>
      </c>
      <c r="I2364" t="s">
        <v>10737</v>
      </c>
      <c r="J2364" t="s">
        <v>10738</v>
      </c>
    </row>
    <row r="2365" spans="1:10">
      <c r="A2365" t="s">
        <v>10739</v>
      </c>
      <c r="B2365" t="s">
        <v>10739</v>
      </c>
      <c r="C2365" t="s">
        <v>10740</v>
      </c>
      <c r="D2365">
        <v>3</v>
      </c>
      <c r="E2365" t="s">
        <v>29</v>
      </c>
      <c r="F2365" t="s">
        <v>63</v>
      </c>
      <c r="G2365" s="23">
        <v>42040</v>
      </c>
      <c r="H2365" t="s">
        <v>10741</v>
      </c>
      <c r="I2365" t="s">
        <v>10742</v>
      </c>
      <c r="J2365" t="s">
        <v>10743</v>
      </c>
    </row>
    <row r="2366" spans="1:10">
      <c r="A2366" t="s">
        <v>10744</v>
      </c>
      <c r="B2366" t="s">
        <v>10744</v>
      </c>
      <c r="C2366" t="s">
        <v>2062</v>
      </c>
      <c r="D2366">
        <v>5</v>
      </c>
      <c r="E2366" t="s">
        <v>31</v>
      </c>
      <c r="F2366" t="s">
        <v>571</v>
      </c>
      <c r="G2366" s="23">
        <v>43520</v>
      </c>
      <c r="H2366" t="s">
        <v>10745</v>
      </c>
      <c r="I2366" t="s">
        <v>10746</v>
      </c>
      <c r="J2366" t="s">
        <v>10747</v>
      </c>
    </row>
    <row r="2367" spans="1:10">
      <c r="A2367" t="s">
        <v>10748</v>
      </c>
      <c r="B2367" t="s">
        <v>10748</v>
      </c>
      <c r="C2367" t="s">
        <v>704</v>
      </c>
      <c r="D2367">
        <v>0</v>
      </c>
      <c r="E2367" t="s">
        <v>27</v>
      </c>
      <c r="F2367" t="s">
        <v>63</v>
      </c>
      <c r="G2367" s="23">
        <v>45604</v>
      </c>
      <c r="H2367" t="s">
        <v>10749</v>
      </c>
      <c r="I2367" t="s">
        <v>10750</v>
      </c>
      <c r="J2367" t="s">
        <v>10751</v>
      </c>
    </row>
    <row r="2368" spans="1:10">
      <c r="A2368" t="s">
        <v>10752</v>
      </c>
      <c r="B2368" t="s">
        <v>10752</v>
      </c>
      <c r="C2368" t="s">
        <v>340</v>
      </c>
      <c r="D2368">
        <v>1</v>
      </c>
      <c r="E2368" t="s">
        <v>35</v>
      </c>
      <c r="F2368" t="s">
        <v>57</v>
      </c>
      <c r="G2368" s="23">
        <v>45074</v>
      </c>
      <c r="H2368" t="s">
        <v>10753</v>
      </c>
      <c r="I2368" t="s">
        <v>10754</v>
      </c>
      <c r="J2368" t="s">
        <v>10755</v>
      </c>
    </row>
    <row r="2369" spans="1:10">
      <c r="A2369" t="s">
        <v>10756</v>
      </c>
      <c r="B2369" t="s">
        <v>10756</v>
      </c>
      <c r="C2369" t="s">
        <v>340</v>
      </c>
      <c r="D2369">
        <v>1</v>
      </c>
      <c r="E2369" t="s">
        <v>36</v>
      </c>
      <c r="F2369" t="s">
        <v>57</v>
      </c>
      <c r="G2369" s="23">
        <v>46000</v>
      </c>
      <c r="H2369" t="s">
        <v>10757</v>
      </c>
      <c r="I2369" t="s">
        <v>10758</v>
      </c>
      <c r="J2369" t="s">
        <v>10759</v>
      </c>
    </row>
    <row r="2370" spans="1:10">
      <c r="A2370" t="s">
        <v>10760</v>
      </c>
      <c r="B2370" t="s">
        <v>10760</v>
      </c>
      <c r="C2370" t="s">
        <v>1918</v>
      </c>
      <c r="D2370">
        <v>0</v>
      </c>
      <c r="E2370" t="s">
        <v>34</v>
      </c>
      <c r="F2370" t="s">
        <v>57</v>
      </c>
      <c r="G2370" s="23">
        <v>46090</v>
      </c>
      <c r="H2370" t="s">
        <v>10761</v>
      </c>
      <c r="I2370" t="s">
        <v>10762</v>
      </c>
      <c r="J2370" t="s">
        <v>10763</v>
      </c>
    </row>
    <row r="2371" spans="1:10">
      <c r="A2371" t="s">
        <v>10764</v>
      </c>
      <c r="B2371" t="s">
        <v>10764</v>
      </c>
      <c r="C2371" t="s">
        <v>2062</v>
      </c>
      <c r="D2371">
        <v>12</v>
      </c>
      <c r="E2371" t="s">
        <v>34</v>
      </c>
      <c r="F2371" t="s">
        <v>57</v>
      </c>
      <c r="G2371" s="23">
        <v>43696</v>
      </c>
      <c r="H2371" t="s">
        <v>10765</v>
      </c>
      <c r="I2371" t="s">
        <v>10766</v>
      </c>
      <c r="J2371" t="s">
        <v>10767</v>
      </c>
    </row>
    <row r="2372" spans="1:10">
      <c r="A2372" t="s">
        <v>10768</v>
      </c>
      <c r="B2372" t="s">
        <v>10768</v>
      </c>
      <c r="C2372" t="s">
        <v>408</v>
      </c>
      <c r="D2372">
        <v>6</v>
      </c>
      <c r="E2372" t="s">
        <v>27</v>
      </c>
      <c r="F2372" t="s">
        <v>63</v>
      </c>
      <c r="G2372" s="23">
        <v>42027</v>
      </c>
      <c r="H2372" t="s">
        <v>10769</v>
      </c>
      <c r="I2372" t="s">
        <v>10770</v>
      </c>
      <c r="J2372" t="s">
        <v>10771</v>
      </c>
    </row>
    <row r="2373" spans="1:10">
      <c r="A2373" t="s">
        <v>10772</v>
      </c>
      <c r="B2373" t="s">
        <v>10772</v>
      </c>
      <c r="C2373" t="s">
        <v>408</v>
      </c>
      <c r="D2373">
        <v>9</v>
      </c>
      <c r="E2373" t="s">
        <v>29</v>
      </c>
      <c r="F2373" t="s">
        <v>63</v>
      </c>
      <c r="G2373" s="23">
        <v>41701</v>
      </c>
      <c r="H2373" t="s">
        <v>10773</v>
      </c>
      <c r="I2373" t="s">
        <v>10774</v>
      </c>
      <c r="J2373" t="s">
        <v>10775</v>
      </c>
    </row>
    <row r="2374" spans="1:10">
      <c r="A2374" t="s">
        <v>10776</v>
      </c>
      <c r="B2374" t="s">
        <v>10776</v>
      </c>
      <c r="C2374" t="s">
        <v>3580</v>
      </c>
      <c r="D2374">
        <v>12</v>
      </c>
      <c r="E2374" t="s">
        <v>34</v>
      </c>
      <c r="F2374" t="s">
        <v>57</v>
      </c>
      <c r="G2374" s="23">
        <v>45603</v>
      </c>
      <c r="H2374" t="s">
        <v>10777</v>
      </c>
      <c r="I2374" t="s">
        <v>10778</v>
      </c>
      <c r="J2374" t="s">
        <v>10779</v>
      </c>
    </row>
    <row r="2375" spans="1:10">
      <c r="A2375" t="s">
        <v>10780</v>
      </c>
      <c r="B2375" t="s">
        <v>10780</v>
      </c>
      <c r="C2375" t="s">
        <v>10781</v>
      </c>
      <c r="D2375">
        <v>14</v>
      </c>
      <c r="E2375" t="s">
        <v>35</v>
      </c>
      <c r="F2375" t="s">
        <v>57</v>
      </c>
      <c r="G2375" s="23">
        <v>46101</v>
      </c>
      <c r="H2375" t="s">
        <v>10782</v>
      </c>
      <c r="I2375" t="s">
        <v>10783</v>
      </c>
      <c r="J2375" t="s">
        <v>10784</v>
      </c>
    </row>
    <row r="2376" spans="1:10">
      <c r="A2376" t="s">
        <v>10785</v>
      </c>
      <c r="B2376" t="s">
        <v>10785</v>
      </c>
      <c r="C2376" t="s">
        <v>1478</v>
      </c>
      <c r="D2376">
        <v>12</v>
      </c>
      <c r="E2376" t="s">
        <v>34</v>
      </c>
      <c r="F2376" t="s">
        <v>57</v>
      </c>
      <c r="G2376" s="23">
        <v>45389</v>
      </c>
      <c r="H2376" t="s">
        <v>10786</v>
      </c>
      <c r="I2376" t="s">
        <v>10787</v>
      </c>
      <c r="J2376" t="s">
        <v>10788</v>
      </c>
    </row>
    <row r="2377" spans="1:10">
      <c r="A2377" t="s">
        <v>10789</v>
      </c>
      <c r="B2377" t="s">
        <v>10789</v>
      </c>
      <c r="C2377" t="s">
        <v>10790</v>
      </c>
      <c r="D2377">
        <v>100</v>
      </c>
      <c r="E2377" t="s">
        <v>31</v>
      </c>
      <c r="F2377" t="s">
        <v>63</v>
      </c>
      <c r="G2377" s="23">
        <v>42167</v>
      </c>
      <c r="H2377" t="s">
        <v>10791</v>
      </c>
      <c r="I2377" t="s">
        <v>10792</v>
      </c>
      <c r="J2377" t="s">
        <v>10793</v>
      </c>
    </row>
    <row r="2378" spans="1:10">
      <c r="A2378" t="s">
        <v>10794</v>
      </c>
      <c r="B2378" t="s">
        <v>10794</v>
      </c>
      <c r="C2378" t="s">
        <v>10790</v>
      </c>
      <c r="D2378">
        <v>107</v>
      </c>
      <c r="E2378" t="s">
        <v>31</v>
      </c>
      <c r="F2378" t="s">
        <v>63</v>
      </c>
      <c r="G2378" s="23">
        <v>42594</v>
      </c>
      <c r="H2378" t="s">
        <v>10795</v>
      </c>
      <c r="I2378" t="s">
        <v>10796</v>
      </c>
      <c r="J2378" t="s">
        <v>10797</v>
      </c>
    </row>
    <row r="2379" spans="1:10">
      <c r="A2379" t="s">
        <v>10798</v>
      </c>
      <c r="B2379" t="s">
        <v>10798</v>
      </c>
      <c r="C2379" t="s">
        <v>2906</v>
      </c>
      <c r="D2379">
        <v>102</v>
      </c>
      <c r="E2379" t="s">
        <v>31</v>
      </c>
      <c r="F2379" t="s">
        <v>63</v>
      </c>
      <c r="G2379" s="23">
        <v>41916</v>
      </c>
      <c r="H2379" t="s">
        <v>10799</v>
      </c>
      <c r="I2379" t="s">
        <v>10800</v>
      </c>
      <c r="J2379" t="s">
        <v>10801</v>
      </c>
    </row>
    <row r="2380" spans="1:10">
      <c r="A2380" t="s">
        <v>10802</v>
      </c>
      <c r="B2380" t="s">
        <v>10802</v>
      </c>
      <c r="C2380" t="s">
        <v>2906</v>
      </c>
      <c r="D2380">
        <v>23</v>
      </c>
      <c r="E2380" t="s">
        <v>29</v>
      </c>
      <c r="F2380" t="s">
        <v>63</v>
      </c>
      <c r="G2380" s="23">
        <v>41808</v>
      </c>
      <c r="H2380" t="s">
        <v>10803</v>
      </c>
      <c r="I2380" t="s">
        <v>10804</v>
      </c>
      <c r="J2380" t="s">
        <v>10805</v>
      </c>
    </row>
    <row r="2381" spans="1:10">
      <c r="A2381" t="s">
        <v>10806</v>
      </c>
      <c r="B2381" t="s">
        <v>10806</v>
      </c>
      <c r="C2381" t="s">
        <v>627</v>
      </c>
      <c r="D2381">
        <v>4</v>
      </c>
      <c r="E2381" t="s">
        <v>33</v>
      </c>
      <c r="F2381" t="s">
        <v>115</v>
      </c>
      <c r="G2381" s="23">
        <v>46113</v>
      </c>
      <c r="H2381" t="s">
        <v>10807</v>
      </c>
      <c r="I2381" t="s">
        <v>10808</v>
      </c>
      <c r="J2381" t="s">
        <v>10809</v>
      </c>
    </row>
    <row r="2382" spans="1:10">
      <c r="A2382" t="s">
        <v>10810</v>
      </c>
      <c r="B2382" t="s">
        <v>10810</v>
      </c>
      <c r="C2382" t="s">
        <v>199</v>
      </c>
      <c r="D2382">
        <v>4</v>
      </c>
      <c r="E2382" t="s">
        <v>34</v>
      </c>
      <c r="F2382" t="s">
        <v>57</v>
      </c>
      <c r="G2382" s="23">
        <v>44592</v>
      </c>
      <c r="H2382" t="s">
        <v>10811</v>
      </c>
      <c r="I2382" t="s">
        <v>10812</v>
      </c>
      <c r="J2382" t="s">
        <v>10813</v>
      </c>
    </row>
    <row r="2383" spans="1:10">
      <c r="A2383" t="s">
        <v>10814</v>
      </c>
      <c r="B2383" t="s">
        <v>10814</v>
      </c>
      <c r="C2383" t="s">
        <v>10815</v>
      </c>
      <c r="D2383">
        <v>32</v>
      </c>
      <c r="E2383" t="s">
        <v>27</v>
      </c>
      <c r="F2383" t="s">
        <v>63</v>
      </c>
      <c r="G2383" s="23">
        <v>41570</v>
      </c>
      <c r="H2383" t="s">
        <v>10816</v>
      </c>
      <c r="I2383" t="s">
        <v>10817</v>
      </c>
      <c r="J2383" t="s">
        <v>10818</v>
      </c>
    </row>
    <row r="2384" spans="1:10">
      <c r="A2384" t="s">
        <v>10819</v>
      </c>
      <c r="B2384" t="s">
        <v>10819</v>
      </c>
      <c r="C2384" t="s">
        <v>10820</v>
      </c>
      <c r="D2384">
        <v>34</v>
      </c>
      <c r="E2384" t="s">
        <v>31</v>
      </c>
      <c r="F2384" t="s">
        <v>63</v>
      </c>
      <c r="G2384" s="23">
        <v>44655</v>
      </c>
      <c r="H2384" t="s">
        <v>10821</v>
      </c>
      <c r="I2384" t="s">
        <v>10822</v>
      </c>
      <c r="J2384" t="s">
        <v>10823</v>
      </c>
    </row>
    <row r="2385" spans="1:10">
      <c r="A2385" t="s">
        <v>10824</v>
      </c>
      <c r="B2385" t="s">
        <v>10824</v>
      </c>
      <c r="C2385" t="s">
        <v>10820</v>
      </c>
      <c r="D2385">
        <v>41</v>
      </c>
      <c r="E2385" t="s">
        <v>31</v>
      </c>
      <c r="F2385" t="s">
        <v>63</v>
      </c>
      <c r="G2385" s="23">
        <v>44736</v>
      </c>
      <c r="H2385" t="s">
        <v>10825</v>
      </c>
      <c r="I2385" t="s">
        <v>10826</v>
      </c>
      <c r="J2385" t="s">
        <v>10827</v>
      </c>
    </row>
    <row r="2386" spans="1:10">
      <c r="A2386" t="s">
        <v>10828</v>
      </c>
      <c r="B2386" t="s">
        <v>10828</v>
      </c>
      <c r="C2386" t="s">
        <v>10820</v>
      </c>
      <c r="D2386">
        <v>44</v>
      </c>
      <c r="E2386" t="s">
        <v>31</v>
      </c>
      <c r="F2386" t="s">
        <v>63</v>
      </c>
      <c r="G2386" s="23">
        <v>44914</v>
      </c>
      <c r="H2386" t="s">
        <v>10829</v>
      </c>
      <c r="I2386" t="s">
        <v>10830</v>
      </c>
      <c r="J2386" t="s">
        <v>10831</v>
      </c>
    </row>
    <row r="2387" spans="1:10">
      <c r="A2387" t="s">
        <v>10832</v>
      </c>
      <c r="B2387" t="s">
        <v>10832</v>
      </c>
      <c r="C2387" t="s">
        <v>10833</v>
      </c>
      <c r="D2387">
        <v>4</v>
      </c>
      <c r="E2387" t="s">
        <v>31</v>
      </c>
      <c r="F2387" t="s">
        <v>63</v>
      </c>
      <c r="G2387" s="23">
        <v>42345</v>
      </c>
      <c r="H2387" t="s">
        <v>10834</v>
      </c>
      <c r="I2387" t="s">
        <v>10835</v>
      </c>
      <c r="J2387" t="s">
        <v>10836</v>
      </c>
    </row>
    <row r="2388" spans="1:10">
      <c r="A2388" t="s">
        <v>10837</v>
      </c>
      <c r="B2388" t="s">
        <v>10837</v>
      </c>
      <c r="C2388" t="s">
        <v>10838</v>
      </c>
      <c r="D2388">
        <v>8</v>
      </c>
      <c r="E2388" t="s">
        <v>36</v>
      </c>
      <c r="F2388" t="s">
        <v>57</v>
      </c>
      <c r="G2388" s="23">
        <v>45883</v>
      </c>
      <c r="H2388" t="s">
        <v>10839</v>
      </c>
      <c r="I2388" t="s">
        <v>10840</v>
      </c>
      <c r="J2388" t="s">
        <v>10841</v>
      </c>
    </row>
    <row r="2389" spans="1:10">
      <c r="A2389" t="s">
        <v>10842</v>
      </c>
      <c r="B2389" t="s">
        <v>10842</v>
      </c>
      <c r="C2389" t="s">
        <v>10843</v>
      </c>
      <c r="D2389">
        <v>8</v>
      </c>
      <c r="E2389" t="s">
        <v>29</v>
      </c>
      <c r="F2389" t="s">
        <v>63</v>
      </c>
      <c r="G2389" s="23">
        <v>45391</v>
      </c>
      <c r="H2389" t="s">
        <v>10844</v>
      </c>
      <c r="I2389" t="s">
        <v>10845</v>
      </c>
      <c r="J2389" t="s">
        <v>10846</v>
      </c>
    </row>
    <row r="2390" spans="1:10">
      <c r="A2390" t="s">
        <v>10847</v>
      </c>
      <c r="B2390" t="s">
        <v>10847</v>
      </c>
      <c r="C2390" t="s">
        <v>10848</v>
      </c>
      <c r="D2390">
        <v>12</v>
      </c>
      <c r="E2390" t="s">
        <v>34</v>
      </c>
      <c r="F2390" t="s">
        <v>57</v>
      </c>
      <c r="G2390" s="23">
        <v>44972</v>
      </c>
      <c r="H2390" t="s">
        <v>10849</v>
      </c>
      <c r="I2390" t="s">
        <v>10850</v>
      </c>
      <c r="J2390" t="s">
        <v>10851</v>
      </c>
    </row>
    <row r="2391" spans="1:10">
      <c r="A2391" t="s">
        <v>10852</v>
      </c>
      <c r="B2391" t="s">
        <v>10852</v>
      </c>
      <c r="C2391" t="s">
        <v>2432</v>
      </c>
      <c r="D2391">
        <v>0</v>
      </c>
      <c r="E2391" t="s">
        <v>31</v>
      </c>
      <c r="F2391" t="s">
        <v>57</v>
      </c>
      <c r="G2391" s="23">
        <v>45307</v>
      </c>
      <c r="H2391" t="s">
        <v>10853</v>
      </c>
      <c r="I2391" t="s">
        <v>10854</v>
      </c>
      <c r="J2391" t="s">
        <v>10855</v>
      </c>
    </row>
    <row r="2392" spans="1:10">
      <c r="A2392" t="s">
        <v>10856</v>
      </c>
      <c r="B2392" t="s">
        <v>10856</v>
      </c>
      <c r="C2392" t="s">
        <v>2260</v>
      </c>
      <c r="D2392">
        <v>13</v>
      </c>
      <c r="E2392" t="s">
        <v>29</v>
      </c>
      <c r="F2392" t="s">
        <v>63</v>
      </c>
      <c r="G2392" s="23">
        <v>42976</v>
      </c>
      <c r="H2392" t="s">
        <v>10857</v>
      </c>
      <c r="I2392" t="s">
        <v>10858</v>
      </c>
      <c r="J2392" t="s">
        <v>10859</v>
      </c>
    </row>
    <row r="2393" spans="1:10">
      <c r="A2393" t="s">
        <v>10860</v>
      </c>
      <c r="B2393" t="s">
        <v>10860</v>
      </c>
      <c r="C2393" t="s">
        <v>4965</v>
      </c>
      <c r="D2393">
        <v>5</v>
      </c>
      <c r="E2393" t="s">
        <v>35</v>
      </c>
      <c r="F2393" t="s">
        <v>57</v>
      </c>
      <c r="G2393" s="23">
        <v>45054</v>
      </c>
      <c r="H2393" t="s">
        <v>10861</v>
      </c>
      <c r="I2393" t="s">
        <v>10862</v>
      </c>
      <c r="J2393" t="s">
        <v>10863</v>
      </c>
    </row>
    <row r="2394" spans="1:10">
      <c r="A2394" t="s">
        <v>10864</v>
      </c>
      <c r="B2394" t="s">
        <v>10864</v>
      </c>
      <c r="C2394" t="s">
        <v>10625</v>
      </c>
      <c r="D2394">
        <v>8</v>
      </c>
      <c r="E2394" t="s">
        <v>27</v>
      </c>
      <c r="F2394" t="s">
        <v>63</v>
      </c>
      <c r="G2394" s="23">
        <v>42259</v>
      </c>
      <c r="H2394" t="s">
        <v>10865</v>
      </c>
      <c r="I2394" t="s">
        <v>10866</v>
      </c>
      <c r="J2394" t="s">
        <v>10867</v>
      </c>
    </row>
    <row r="2395" spans="1:10">
      <c r="A2395" t="s">
        <v>10868</v>
      </c>
      <c r="B2395" t="s">
        <v>10868</v>
      </c>
      <c r="C2395" t="s">
        <v>10869</v>
      </c>
      <c r="D2395">
        <v>49</v>
      </c>
      <c r="E2395" t="s">
        <v>29</v>
      </c>
      <c r="F2395" t="s">
        <v>63</v>
      </c>
      <c r="G2395" s="23">
        <v>42218</v>
      </c>
      <c r="H2395" t="s">
        <v>10870</v>
      </c>
      <c r="I2395" t="s">
        <v>10871</v>
      </c>
      <c r="J2395" t="s">
        <v>10872</v>
      </c>
    </row>
    <row r="2396" spans="1:10">
      <c r="A2396" t="s">
        <v>10873</v>
      </c>
      <c r="B2396" t="s">
        <v>10873</v>
      </c>
      <c r="C2396" t="s">
        <v>10869</v>
      </c>
      <c r="D2396">
        <v>7</v>
      </c>
      <c r="E2396" t="s">
        <v>27</v>
      </c>
      <c r="F2396" t="s">
        <v>63</v>
      </c>
      <c r="G2396" s="23">
        <v>41445</v>
      </c>
      <c r="H2396" t="s">
        <v>10874</v>
      </c>
      <c r="I2396" t="s">
        <v>10875</v>
      </c>
      <c r="J2396" t="s">
        <v>10876</v>
      </c>
    </row>
    <row r="2397" spans="1:10">
      <c r="A2397" t="s">
        <v>10877</v>
      </c>
      <c r="B2397" t="s">
        <v>10877</v>
      </c>
      <c r="C2397" t="s">
        <v>185</v>
      </c>
      <c r="D2397">
        <v>22</v>
      </c>
      <c r="E2397" t="s">
        <v>29</v>
      </c>
      <c r="F2397" t="s">
        <v>63</v>
      </c>
      <c r="G2397" s="23">
        <v>42243</v>
      </c>
      <c r="H2397" t="s">
        <v>10878</v>
      </c>
      <c r="I2397" t="s">
        <v>10879</v>
      </c>
      <c r="J2397" t="s">
        <v>10880</v>
      </c>
    </row>
    <row r="2398" spans="1:10">
      <c r="A2398" t="s">
        <v>10881</v>
      </c>
      <c r="B2398" t="s">
        <v>10881</v>
      </c>
      <c r="C2398" t="s">
        <v>10882</v>
      </c>
      <c r="D2398">
        <v>1</v>
      </c>
      <c r="E2398" t="s">
        <v>31</v>
      </c>
      <c r="F2398" t="s">
        <v>571</v>
      </c>
      <c r="G2398" s="23">
        <v>41808</v>
      </c>
      <c r="H2398" t="s">
        <v>10883</v>
      </c>
      <c r="I2398" t="s">
        <v>10884</v>
      </c>
      <c r="J2398" t="s">
        <v>10885</v>
      </c>
    </row>
    <row r="2399" spans="1:10">
      <c r="A2399" t="s">
        <v>10886</v>
      </c>
      <c r="B2399" t="s">
        <v>10886</v>
      </c>
      <c r="C2399" t="s">
        <v>627</v>
      </c>
      <c r="D2399">
        <v>9</v>
      </c>
      <c r="E2399" t="s">
        <v>33</v>
      </c>
      <c r="F2399" t="s">
        <v>115</v>
      </c>
      <c r="G2399" s="23">
        <v>46132</v>
      </c>
      <c r="H2399" t="s">
        <v>10887</v>
      </c>
      <c r="I2399" t="s">
        <v>10888</v>
      </c>
      <c r="J2399" t="s">
        <v>10889</v>
      </c>
    </row>
    <row r="2400" spans="1:10">
      <c r="A2400" t="s">
        <v>10890</v>
      </c>
      <c r="B2400" t="s">
        <v>10890</v>
      </c>
      <c r="C2400" t="s">
        <v>10781</v>
      </c>
      <c r="D2400">
        <v>16</v>
      </c>
      <c r="E2400" t="s">
        <v>36</v>
      </c>
      <c r="F2400" t="s">
        <v>57</v>
      </c>
      <c r="G2400" s="23">
        <v>46116</v>
      </c>
      <c r="H2400" t="s">
        <v>10891</v>
      </c>
      <c r="I2400" t="s">
        <v>10892</v>
      </c>
      <c r="J2400" t="s">
        <v>10893</v>
      </c>
    </row>
    <row r="2401" spans="1:10">
      <c r="A2401" t="s">
        <v>10894</v>
      </c>
      <c r="B2401" t="s">
        <v>10894</v>
      </c>
      <c r="C2401" t="s">
        <v>10895</v>
      </c>
      <c r="D2401">
        <v>12</v>
      </c>
      <c r="E2401" t="s">
        <v>29</v>
      </c>
      <c r="F2401" t="s">
        <v>63</v>
      </c>
      <c r="G2401" s="23">
        <v>42783</v>
      </c>
      <c r="H2401" t="s">
        <v>10896</v>
      </c>
      <c r="I2401" t="s">
        <v>10897</v>
      </c>
      <c r="J2401" t="s">
        <v>10898</v>
      </c>
    </row>
    <row r="2402" spans="1:10">
      <c r="A2402" t="s">
        <v>10899</v>
      </c>
      <c r="B2402" t="s">
        <v>10899</v>
      </c>
      <c r="C2402" t="s">
        <v>10900</v>
      </c>
      <c r="D2402">
        <v>18</v>
      </c>
      <c r="E2402" t="s">
        <v>35</v>
      </c>
      <c r="F2402" t="s">
        <v>57</v>
      </c>
      <c r="G2402" s="23">
        <v>44670</v>
      </c>
      <c r="H2402" t="s">
        <v>10901</v>
      </c>
      <c r="I2402" t="s">
        <v>10902</v>
      </c>
      <c r="J2402" t="s">
        <v>10903</v>
      </c>
    </row>
    <row r="2403" spans="1:10">
      <c r="A2403" t="s">
        <v>10904</v>
      </c>
      <c r="B2403" t="s">
        <v>10904</v>
      </c>
      <c r="C2403" t="s">
        <v>1824</v>
      </c>
      <c r="D2403">
        <v>0</v>
      </c>
      <c r="E2403" t="s">
        <v>27</v>
      </c>
      <c r="F2403" t="s">
        <v>63</v>
      </c>
      <c r="G2403" s="23">
        <v>45961</v>
      </c>
      <c r="H2403" t="s">
        <v>10905</v>
      </c>
      <c r="I2403" t="s">
        <v>10906</v>
      </c>
      <c r="J2403" t="s">
        <v>10907</v>
      </c>
    </row>
    <row r="2404" spans="1:10">
      <c r="A2404" t="s">
        <v>10908</v>
      </c>
      <c r="B2404" t="s">
        <v>10908</v>
      </c>
      <c r="C2404" t="s">
        <v>3893</v>
      </c>
      <c r="D2404">
        <v>17</v>
      </c>
      <c r="E2404" t="s">
        <v>31</v>
      </c>
      <c r="F2404" t="s">
        <v>63</v>
      </c>
      <c r="G2404" s="23">
        <v>45696</v>
      </c>
      <c r="H2404" t="s">
        <v>10909</v>
      </c>
      <c r="I2404" t="s">
        <v>10910</v>
      </c>
      <c r="J2404" t="s">
        <v>10911</v>
      </c>
    </row>
    <row r="2405" spans="1:10">
      <c r="A2405" t="s">
        <v>10912</v>
      </c>
      <c r="B2405" t="s">
        <v>10912</v>
      </c>
      <c r="C2405" t="s">
        <v>3143</v>
      </c>
      <c r="D2405">
        <v>8</v>
      </c>
      <c r="E2405" t="s">
        <v>34</v>
      </c>
      <c r="F2405" t="s">
        <v>57</v>
      </c>
      <c r="G2405" s="23">
        <v>44736</v>
      </c>
      <c r="H2405" t="s">
        <v>10913</v>
      </c>
      <c r="I2405" t="s">
        <v>10914</v>
      </c>
      <c r="J2405" t="s">
        <v>10915</v>
      </c>
    </row>
    <row r="2406" spans="1:10">
      <c r="A2406" t="s">
        <v>10916</v>
      </c>
      <c r="B2406" t="s">
        <v>10916</v>
      </c>
      <c r="C2406" t="s">
        <v>10917</v>
      </c>
      <c r="D2406">
        <v>4</v>
      </c>
      <c r="E2406" t="s">
        <v>29</v>
      </c>
      <c r="F2406" t="s">
        <v>63</v>
      </c>
      <c r="G2406" s="23">
        <v>42163</v>
      </c>
      <c r="H2406" t="s">
        <v>10918</v>
      </c>
      <c r="I2406" t="s">
        <v>10919</v>
      </c>
      <c r="J2406" t="s">
        <v>10920</v>
      </c>
    </row>
    <row r="2407" spans="1:10">
      <c r="A2407" t="s">
        <v>10921</v>
      </c>
      <c r="B2407" t="s">
        <v>10921</v>
      </c>
      <c r="C2407" t="s">
        <v>2152</v>
      </c>
      <c r="D2407">
        <v>33</v>
      </c>
      <c r="E2407" t="s">
        <v>27</v>
      </c>
      <c r="F2407" t="s">
        <v>63</v>
      </c>
      <c r="G2407" s="23">
        <v>42445</v>
      </c>
      <c r="H2407" t="s">
        <v>10922</v>
      </c>
      <c r="I2407" t="s">
        <v>10923</v>
      </c>
      <c r="J2407" t="s">
        <v>10924</v>
      </c>
    </row>
    <row r="2408" spans="1:10">
      <c r="A2408" t="s">
        <v>10925</v>
      </c>
      <c r="B2408" t="s">
        <v>10925</v>
      </c>
      <c r="C2408" t="s">
        <v>2152</v>
      </c>
      <c r="D2408">
        <v>28</v>
      </c>
      <c r="E2408" t="s">
        <v>33</v>
      </c>
      <c r="F2408" t="s">
        <v>63</v>
      </c>
      <c r="G2408" s="23">
        <v>42695</v>
      </c>
      <c r="H2408" t="s">
        <v>10926</v>
      </c>
      <c r="I2408" t="s">
        <v>10927</v>
      </c>
      <c r="J2408" t="s">
        <v>10928</v>
      </c>
    </row>
    <row r="2409" spans="1:10">
      <c r="A2409" t="s">
        <v>10929</v>
      </c>
      <c r="B2409" t="s">
        <v>10929</v>
      </c>
      <c r="C2409" t="s">
        <v>2152</v>
      </c>
      <c r="D2409">
        <v>5</v>
      </c>
      <c r="E2409" t="s">
        <v>33</v>
      </c>
      <c r="F2409" t="s">
        <v>63</v>
      </c>
      <c r="G2409" s="23">
        <v>42697</v>
      </c>
      <c r="H2409" t="s">
        <v>10930</v>
      </c>
      <c r="I2409" t="s">
        <v>10931</v>
      </c>
      <c r="J2409" t="s">
        <v>10932</v>
      </c>
    </row>
    <row r="2410" spans="1:10">
      <c r="A2410" t="s">
        <v>10933</v>
      </c>
      <c r="B2410" t="s">
        <v>10933</v>
      </c>
      <c r="C2410" t="s">
        <v>1306</v>
      </c>
      <c r="D2410">
        <v>0</v>
      </c>
      <c r="E2410" t="s">
        <v>31</v>
      </c>
      <c r="F2410" t="s">
        <v>63</v>
      </c>
      <c r="G2410" s="23">
        <v>45177</v>
      </c>
      <c r="H2410" t="s">
        <v>10934</v>
      </c>
      <c r="I2410" t="s">
        <v>10935</v>
      </c>
      <c r="J2410" t="s">
        <v>10936</v>
      </c>
    </row>
    <row r="2411" spans="1:10">
      <c r="A2411" t="s">
        <v>10937</v>
      </c>
      <c r="B2411" t="s">
        <v>10937</v>
      </c>
      <c r="C2411" t="s">
        <v>10938</v>
      </c>
      <c r="D2411">
        <v>12</v>
      </c>
      <c r="E2411" t="s">
        <v>29</v>
      </c>
      <c r="F2411" t="s">
        <v>63</v>
      </c>
      <c r="G2411" s="23">
        <v>44428</v>
      </c>
      <c r="H2411" t="s">
        <v>10939</v>
      </c>
      <c r="I2411" t="s">
        <v>10940</v>
      </c>
      <c r="J2411" t="s">
        <v>10941</v>
      </c>
    </row>
    <row r="2412" spans="1:10">
      <c r="A2412" t="s">
        <v>10942</v>
      </c>
      <c r="B2412" t="s">
        <v>10942</v>
      </c>
      <c r="C2412" t="s">
        <v>452</v>
      </c>
      <c r="D2412">
        <v>4</v>
      </c>
      <c r="E2412" t="s">
        <v>34</v>
      </c>
      <c r="F2412" t="s">
        <v>57</v>
      </c>
      <c r="G2412" s="23">
        <v>44613</v>
      </c>
      <c r="H2412" t="s">
        <v>10943</v>
      </c>
      <c r="I2412" t="s">
        <v>10944</v>
      </c>
      <c r="J2412" t="s">
        <v>10945</v>
      </c>
    </row>
    <row r="2413" spans="1:10">
      <c r="A2413" t="s">
        <v>10946</v>
      </c>
      <c r="B2413" t="s">
        <v>10946</v>
      </c>
      <c r="C2413" t="s">
        <v>7304</v>
      </c>
      <c r="D2413">
        <v>7</v>
      </c>
      <c r="E2413" t="s">
        <v>34</v>
      </c>
      <c r="F2413" t="s">
        <v>57</v>
      </c>
      <c r="G2413" s="23">
        <v>44519</v>
      </c>
      <c r="H2413" t="s">
        <v>10947</v>
      </c>
      <c r="I2413" t="s">
        <v>10948</v>
      </c>
      <c r="J2413" t="s">
        <v>10949</v>
      </c>
    </row>
    <row r="2414" spans="1:10">
      <c r="A2414" t="s">
        <v>10950</v>
      </c>
      <c r="B2414" t="s">
        <v>10950</v>
      </c>
      <c r="C2414" t="s">
        <v>3565</v>
      </c>
      <c r="D2414">
        <v>0</v>
      </c>
      <c r="E2414" t="s">
        <v>33</v>
      </c>
      <c r="F2414" t="s">
        <v>63</v>
      </c>
      <c r="G2414" s="23">
        <v>45898</v>
      </c>
      <c r="H2414" t="s">
        <v>10951</v>
      </c>
      <c r="I2414" t="s">
        <v>10952</v>
      </c>
      <c r="J2414" t="s">
        <v>10953</v>
      </c>
    </row>
    <row r="2415" spans="1:10">
      <c r="A2415" t="s">
        <v>10954</v>
      </c>
      <c r="B2415" t="s">
        <v>10954</v>
      </c>
      <c r="C2415" t="s">
        <v>243</v>
      </c>
      <c r="D2415">
        <v>9</v>
      </c>
      <c r="E2415" t="s">
        <v>29</v>
      </c>
      <c r="F2415" t="s">
        <v>63</v>
      </c>
      <c r="G2415" s="23">
        <v>43770</v>
      </c>
      <c r="H2415" t="s">
        <v>10955</v>
      </c>
      <c r="I2415" t="s">
        <v>10956</v>
      </c>
      <c r="J2415" t="s">
        <v>10957</v>
      </c>
    </row>
    <row r="2416" spans="1:10">
      <c r="A2416" t="s">
        <v>10958</v>
      </c>
      <c r="B2416" t="s">
        <v>10958</v>
      </c>
      <c r="C2416" t="s">
        <v>10959</v>
      </c>
      <c r="D2416">
        <v>9</v>
      </c>
      <c r="E2416" t="s">
        <v>29</v>
      </c>
      <c r="F2416" t="s">
        <v>63</v>
      </c>
      <c r="G2416" s="23">
        <v>41545</v>
      </c>
      <c r="H2416" t="s">
        <v>10960</v>
      </c>
      <c r="I2416" t="s">
        <v>10961</v>
      </c>
      <c r="J2416" t="s">
        <v>10962</v>
      </c>
    </row>
    <row r="2417" spans="1:10">
      <c r="A2417" t="s">
        <v>10963</v>
      </c>
      <c r="B2417" t="s">
        <v>10963</v>
      </c>
      <c r="C2417" t="s">
        <v>2072</v>
      </c>
      <c r="D2417">
        <v>53</v>
      </c>
      <c r="E2417" t="s">
        <v>29</v>
      </c>
      <c r="F2417" t="s">
        <v>63</v>
      </c>
      <c r="G2417" s="23">
        <v>42484</v>
      </c>
      <c r="H2417" t="s">
        <v>10964</v>
      </c>
      <c r="I2417" t="s">
        <v>10965</v>
      </c>
      <c r="J2417" t="s">
        <v>10966</v>
      </c>
    </row>
    <row r="2418" spans="1:10">
      <c r="A2418" t="s">
        <v>10967</v>
      </c>
      <c r="B2418" t="s">
        <v>10967</v>
      </c>
      <c r="C2418" t="s">
        <v>670</v>
      </c>
      <c r="D2418">
        <v>13</v>
      </c>
      <c r="E2418" t="s">
        <v>36</v>
      </c>
      <c r="F2418" t="s">
        <v>57</v>
      </c>
      <c r="G2418" s="23">
        <v>45377</v>
      </c>
      <c r="H2418" t="s">
        <v>10968</v>
      </c>
      <c r="I2418" t="s">
        <v>10969</v>
      </c>
      <c r="J2418" t="s">
        <v>10970</v>
      </c>
    </row>
    <row r="2419" spans="1:10">
      <c r="A2419" t="s">
        <v>10971</v>
      </c>
      <c r="B2419" t="s">
        <v>10971</v>
      </c>
      <c r="C2419" t="s">
        <v>9745</v>
      </c>
      <c r="D2419">
        <v>2</v>
      </c>
      <c r="E2419" t="s">
        <v>29</v>
      </c>
      <c r="F2419" t="s">
        <v>63</v>
      </c>
      <c r="G2419" s="23">
        <v>41521</v>
      </c>
      <c r="H2419" t="s">
        <v>10972</v>
      </c>
      <c r="I2419" t="s">
        <v>10973</v>
      </c>
      <c r="J2419" t="s">
        <v>10974</v>
      </c>
    </row>
    <row r="2420" spans="1:10">
      <c r="A2420" t="s">
        <v>10975</v>
      </c>
      <c r="B2420" t="s">
        <v>10975</v>
      </c>
      <c r="C2420" t="s">
        <v>10976</v>
      </c>
      <c r="D2420">
        <v>1</v>
      </c>
      <c r="E2420" t="s">
        <v>31</v>
      </c>
      <c r="F2420" t="s">
        <v>63</v>
      </c>
      <c r="G2420" s="23">
        <v>42691</v>
      </c>
      <c r="H2420" t="s">
        <v>10977</v>
      </c>
      <c r="I2420" t="s">
        <v>10978</v>
      </c>
      <c r="J2420" t="s">
        <v>10979</v>
      </c>
    </row>
    <row r="2421" spans="1:10">
      <c r="A2421" t="s">
        <v>10980</v>
      </c>
      <c r="B2421" t="s">
        <v>10980</v>
      </c>
      <c r="C2421" t="s">
        <v>10895</v>
      </c>
      <c r="D2421">
        <v>0</v>
      </c>
      <c r="E2421" t="s">
        <v>29</v>
      </c>
      <c r="F2421" t="s">
        <v>63</v>
      </c>
      <c r="G2421" s="23">
        <v>42691</v>
      </c>
      <c r="H2421" t="s">
        <v>10981</v>
      </c>
      <c r="I2421" t="s">
        <v>10982</v>
      </c>
      <c r="J2421" t="s">
        <v>10983</v>
      </c>
    </row>
    <row r="2422" spans="1:10">
      <c r="A2422" t="s">
        <v>10984</v>
      </c>
      <c r="B2422" t="s">
        <v>10984</v>
      </c>
      <c r="C2422" t="s">
        <v>10985</v>
      </c>
      <c r="D2422">
        <v>10</v>
      </c>
      <c r="E2422" t="s">
        <v>34</v>
      </c>
      <c r="F2422" t="s">
        <v>57</v>
      </c>
      <c r="G2422" s="23">
        <v>45047</v>
      </c>
      <c r="H2422" t="s">
        <v>10986</v>
      </c>
      <c r="I2422" t="s">
        <v>10987</v>
      </c>
      <c r="J2422" t="s">
        <v>10988</v>
      </c>
    </row>
    <row r="2423" spans="1:10">
      <c r="A2423" t="s">
        <v>10989</v>
      </c>
      <c r="B2423" t="s">
        <v>10989</v>
      </c>
      <c r="C2423" t="s">
        <v>2568</v>
      </c>
      <c r="D2423">
        <v>14</v>
      </c>
      <c r="E2423" t="s">
        <v>29</v>
      </c>
      <c r="F2423" t="s">
        <v>63</v>
      </c>
      <c r="G2423" s="23">
        <v>42458</v>
      </c>
      <c r="H2423" t="s">
        <v>10990</v>
      </c>
      <c r="I2423" t="s">
        <v>10991</v>
      </c>
      <c r="J2423" t="s">
        <v>10992</v>
      </c>
    </row>
    <row r="2424" spans="1:10">
      <c r="A2424" t="s">
        <v>10993</v>
      </c>
      <c r="B2424" t="s">
        <v>10993</v>
      </c>
      <c r="C2424" t="s">
        <v>10994</v>
      </c>
      <c r="D2424">
        <v>1</v>
      </c>
      <c r="E2424" t="s">
        <v>29</v>
      </c>
      <c r="F2424" t="s">
        <v>63</v>
      </c>
      <c r="G2424" s="23">
        <v>46036</v>
      </c>
      <c r="H2424" t="s">
        <v>10995</v>
      </c>
      <c r="I2424" t="s">
        <v>10996</v>
      </c>
      <c r="J2424" t="s">
        <v>10997</v>
      </c>
    </row>
    <row r="2425" spans="1:10">
      <c r="A2425" t="s">
        <v>10998</v>
      </c>
      <c r="B2425" t="s">
        <v>10998</v>
      </c>
      <c r="C2425" t="s">
        <v>10999</v>
      </c>
      <c r="D2425">
        <v>16</v>
      </c>
      <c r="E2425" t="s">
        <v>33</v>
      </c>
      <c r="F2425" t="s">
        <v>57</v>
      </c>
      <c r="G2425" s="23">
        <v>44133</v>
      </c>
      <c r="H2425" t="s">
        <v>11000</v>
      </c>
      <c r="I2425" t="s">
        <v>11001</v>
      </c>
      <c r="J2425" t="s">
        <v>11002</v>
      </c>
    </row>
    <row r="2426" spans="1:10">
      <c r="A2426" t="s">
        <v>11003</v>
      </c>
      <c r="B2426" t="s">
        <v>11003</v>
      </c>
      <c r="C2426" t="s">
        <v>243</v>
      </c>
      <c r="D2426">
        <v>8</v>
      </c>
      <c r="E2426" t="s">
        <v>29</v>
      </c>
      <c r="F2426" t="s">
        <v>63</v>
      </c>
      <c r="G2426" s="23">
        <v>43569</v>
      </c>
      <c r="H2426" t="s">
        <v>11004</v>
      </c>
      <c r="I2426" t="s">
        <v>11005</v>
      </c>
      <c r="J2426" t="s">
        <v>11006</v>
      </c>
    </row>
    <row r="2427" spans="1:10">
      <c r="A2427" t="s">
        <v>11007</v>
      </c>
      <c r="B2427" t="s">
        <v>11007</v>
      </c>
      <c r="C2427" t="s">
        <v>1731</v>
      </c>
      <c r="D2427">
        <v>54</v>
      </c>
      <c r="E2427" t="s">
        <v>35</v>
      </c>
      <c r="F2427" t="s">
        <v>57</v>
      </c>
      <c r="G2427" s="23">
        <v>43374</v>
      </c>
      <c r="H2427" t="s">
        <v>11008</v>
      </c>
      <c r="I2427" t="s">
        <v>11009</v>
      </c>
      <c r="J2427" t="s">
        <v>11010</v>
      </c>
    </row>
    <row r="2428" spans="1:10">
      <c r="A2428" t="s">
        <v>11011</v>
      </c>
      <c r="B2428" t="s">
        <v>11011</v>
      </c>
      <c r="C2428" t="s">
        <v>4478</v>
      </c>
      <c r="D2428">
        <v>6</v>
      </c>
      <c r="E2428" t="s">
        <v>29</v>
      </c>
      <c r="F2428" t="s">
        <v>63</v>
      </c>
      <c r="G2428" s="23">
        <v>43178</v>
      </c>
      <c r="H2428" t="s">
        <v>11012</v>
      </c>
      <c r="I2428" t="s">
        <v>11013</v>
      </c>
      <c r="J2428" t="s">
        <v>11014</v>
      </c>
    </row>
    <row r="2429" spans="1:10">
      <c r="A2429" t="s">
        <v>11015</v>
      </c>
      <c r="B2429" t="s">
        <v>11015</v>
      </c>
      <c r="C2429" t="s">
        <v>370</v>
      </c>
      <c r="D2429">
        <v>16</v>
      </c>
      <c r="E2429" t="s">
        <v>34</v>
      </c>
      <c r="F2429" t="s">
        <v>57</v>
      </c>
      <c r="G2429" s="23">
        <v>44456</v>
      </c>
      <c r="H2429" t="s">
        <v>11016</v>
      </c>
      <c r="I2429" t="s">
        <v>11017</v>
      </c>
      <c r="J2429" t="s">
        <v>11018</v>
      </c>
    </row>
    <row r="2430" spans="1:10">
      <c r="A2430" t="s">
        <v>11019</v>
      </c>
      <c r="B2430" t="s">
        <v>11019</v>
      </c>
      <c r="C2430" t="s">
        <v>5592</v>
      </c>
      <c r="D2430">
        <v>14</v>
      </c>
      <c r="E2430" t="s">
        <v>29</v>
      </c>
      <c r="F2430" t="s">
        <v>63</v>
      </c>
      <c r="G2430" s="23">
        <v>44098</v>
      </c>
      <c r="H2430" t="s">
        <v>11020</v>
      </c>
      <c r="I2430" t="s">
        <v>11021</v>
      </c>
      <c r="J2430" t="s">
        <v>11022</v>
      </c>
    </row>
    <row r="2431" spans="1:10">
      <c r="A2431" t="s">
        <v>11023</v>
      </c>
      <c r="B2431" t="s">
        <v>11023</v>
      </c>
      <c r="C2431" t="s">
        <v>11024</v>
      </c>
      <c r="D2431">
        <v>13</v>
      </c>
      <c r="E2431" t="s">
        <v>34</v>
      </c>
      <c r="F2431" t="s">
        <v>57</v>
      </c>
      <c r="G2431" s="23">
        <v>45323</v>
      </c>
      <c r="H2431" t="s">
        <v>11025</v>
      </c>
      <c r="I2431" t="s">
        <v>11026</v>
      </c>
      <c r="J2431" t="s">
        <v>11027</v>
      </c>
    </row>
    <row r="2432" spans="1:10">
      <c r="A2432" t="s">
        <v>11028</v>
      </c>
      <c r="B2432" t="s">
        <v>11028</v>
      </c>
      <c r="C2432" t="s">
        <v>7512</v>
      </c>
      <c r="D2432">
        <v>37</v>
      </c>
      <c r="E2432" t="s">
        <v>29</v>
      </c>
      <c r="F2432" t="s">
        <v>63</v>
      </c>
      <c r="G2432" s="23">
        <v>42304</v>
      </c>
      <c r="H2432" t="s">
        <v>11029</v>
      </c>
      <c r="I2432" t="s">
        <v>11030</v>
      </c>
      <c r="J2432" t="s">
        <v>11031</v>
      </c>
    </row>
    <row r="2433" spans="1:10">
      <c r="A2433" t="s">
        <v>11032</v>
      </c>
      <c r="B2433" t="s">
        <v>11032</v>
      </c>
      <c r="C2433" t="s">
        <v>7512</v>
      </c>
      <c r="D2433">
        <v>36</v>
      </c>
      <c r="E2433" t="s">
        <v>29</v>
      </c>
      <c r="F2433" t="s">
        <v>63</v>
      </c>
      <c r="G2433" s="23">
        <v>42281</v>
      </c>
      <c r="H2433" t="s">
        <v>11033</v>
      </c>
      <c r="I2433" t="s">
        <v>11034</v>
      </c>
      <c r="J2433" t="s">
        <v>11035</v>
      </c>
    </row>
    <row r="2434" spans="1:10">
      <c r="A2434" t="s">
        <v>11036</v>
      </c>
      <c r="B2434" t="s">
        <v>11036</v>
      </c>
      <c r="C2434" t="s">
        <v>2521</v>
      </c>
      <c r="D2434">
        <v>22</v>
      </c>
      <c r="E2434" t="s">
        <v>35</v>
      </c>
      <c r="F2434" t="s">
        <v>57</v>
      </c>
      <c r="G2434" s="23">
        <v>45721</v>
      </c>
      <c r="H2434" t="s">
        <v>11037</v>
      </c>
      <c r="I2434" t="s">
        <v>11038</v>
      </c>
      <c r="J2434" t="s">
        <v>11039</v>
      </c>
    </row>
    <row r="2435" spans="1:10">
      <c r="A2435" t="s">
        <v>11040</v>
      </c>
      <c r="B2435" t="s">
        <v>11040</v>
      </c>
      <c r="C2435" t="s">
        <v>1520</v>
      </c>
      <c r="D2435">
        <v>14</v>
      </c>
      <c r="E2435" t="s">
        <v>31</v>
      </c>
      <c r="F2435" t="s">
        <v>63</v>
      </c>
      <c r="G2435" s="23">
        <v>44607</v>
      </c>
      <c r="H2435" t="s">
        <v>11041</v>
      </c>
      <c r="I2435" t="s">
        <v>11042</v>
      </c>
      <c r="J2435" t="s">
        <v>11043</v>
      </c>
    </row>
    <row r="2436" spans="1:10">
      <c r="A2436" t="s">
        <v>11044</v>
      </c>
      <c r="B2436" t="s">
        <v>11044</v>
      </c>
      <c r="C2436" t="s">
        <v>547</v>
      </c>
      <c r="D2436">
        <v>15</v>
      </c>
      <c r="E2436" t="s">
        <v>29</v>
      </c>
      <c r="F2436" t="s">
        <v>63</v>
      </c>
      <c r="G2436" s="23">
        <v>42628</v>
      </c>
      <c r="H2436" t="s">
        <v>11045</v>
      </c>
      <c r="I2436" t="s">
        <v>11046</v>
      </c>
      <c r="J2436" t="s">
        <v>11047</v>
      </c>
    </row>
    <row r="2437" spans="1:10">
      <c r="A2437" t="s">
        <v>11048</v>
      </c>
      <c r="B2437" t="s">
        <v>11048</v>
      </c>
      <c r="C2437" t="s">
        <v>2133</v>
      </c>
      <c r="D2437">
        <v>2</v>
      </c>
      <c r="E2437" t="s">
        <v>31</v>
      </c>
      <c r="F2437" t="s">
        <v>63</v>
      </c>
      <c r="G2437" s="23">
        <v>41974</v>
      </c>
      <c r="H2437" t="s">
        <v>11049</v>
      </c>
      <c r="I2437" t="s">
        <v>11050</v>
      </c>
      <c r="J2437" t="s">
        <v>11051</v>
      </c>
    </row>
    <row r="2438" spans="1:10">
      <c r="A2438" t="s">
        <v>11052</v>
      </c>
      <c r="B2438" t="s">
        <v>11052</v>
      </c>
      <c r="C2438" t="s">
        <v>452</v>
      </c>
      <c r="D2438">
        <v>20</v>
      </c>
      <c r="E2438" t="s">
        <v>33</v>
      </c>
      <c r="F2438" t="s">
        <v>57</v>
      </c>
      <c r="G2438" s="23">
        <v>45145</v>
      </c>
      <c r="H2438" t="s">
        <v>11053</v>
      </c>
      <c r="I2438" t="s">
        <v>11054</v>
      </c>
      <c r="J2438" t="s">
        <v>11055</v>
      </c>
    </row>
    <row r="2439" spans="1:10">
      <c r="A2439" t="s">
        <v>11056</v>
      </c>
      <c r="B2439" t="s">
        <v>11056</v>
      </c>
      <c r="C2439" t="s">
        <v>452</v>
      </c>
      <c r="D2439">
        <v>18</v>
      </c>
      <c r="E2439" t="s">
        <v>33</v>
      </c>
      <c r="F2439" t="s">
        <v>57</v>
      </c>
      <c r="G2439" s="23">
        <v>45195</v>
      </c>
      <c r="H2439" t="s">
        <v>11057</v>
      </c>
      <c r="I2439" t="s">
        <v>11058</v>
      </c>
      <c r="J2439" t="s">
        <v>11059</v>
      </c>
    </row>
    <row r="2440" spans="1:10">
      <c r="A2440" t="s">
        <v>11060</v>
      </c>
      <c r="B2440" t="s">
        <v>11060</v>
      </c>
      <c r="C2440" t="s">
        <v>11061</v>
      </c>
      <c r="D2440">
        <v>77</v>
      </c>
      <c r="E2440" t="s">
        <v>31</v>
      </c>
      <c r="F2440" t="s">
        <v>63</v>
      </c>
      <c r="G2440" s="23">
        <v>41620</v>
      </c>
      <c r="H2440" t="s">
        <v>11062</v>
      </c>
      <c r="I2440" t="s">
        <v>11063</v>
      </c>
      <c r="J2440" t="s">
        <v>11064</v>
      </c>
    </row>
    <row r="2441" spans="1:10">
      <c r="A2441" t="s">
        <v>11065</v>
      </c>
      <c r="B2441" t="s">
        <v>11065</v>
      </c>
      <c r="C2441" t="s">
        <v>4915</v>
      </c>
      <c r="D2441">
        <v>2</v>
      </c>
      <c r="E2441" t="s">
        <v>29</v>
      </c>
      <c r="F2441" t="s">
        <v>63</v>
      </c>
      <c r="G2441" s="23">
        <v>42018</v>
      </c>
      <c r="H2441" t="s">
        <v>11066</v>
      </c>
      <c r="I2441" t="s">
        <v>11067</v>
      </c>
      <c r="J2441" t="s">
        <v>11068</v>
      </c>
    </row>
    <row r="2442" spans="1:10">
      <c r="A2442" t="s">
        <v>11069</v>
      </c>
      <c r="B2442" t="s">
        <v>11069</v>
      </c>
      <c r="C2442" t="s">
        <v>4915</v>
      </c>
      <c r="D2442">
        <v>6</v>
      </c>
      <c r="E2442" t="s">
        <v>29</v>
      </c>
      <c r="F2442" t="s">
        <v>63</v>
      </c>
      <c r="G2442" s="23">
        <v>41533</v>
      </c>
      <c r="H2442" t="s">
        <v>11070</v>
      </c>
      <c r="I2442" t="s">
        <v>11071</v>
      </c>
      <c r="J2442" t="s">
        <v>11072</v>
      </c>
    </row>
    <row r="2443" spans="1:10">
      <c r="A2443" t="s">
        <v>11073</v>
      </c>
      <c r="B2443" t="s">
        <v>11073</v>
      </c>
      <c r="C2443" t="s">
        <v>4915</v>
      </c>
      <c r="D2443">
        <v>15</v>
      </c>
      <c r="E2443" t="s">
        <v>29</v>
      </c>
      <c r="F2443" t="s">
        <v>63</v>
      </c>
      <c r="G2443" s="23">
        <v>41563</v>
      </c>
      <c r="H2443" t="s">
        <v>11074</v>
      </c>
      <c r="I2443" t="s">
        <v>11075</v>
      </c>
      <c r="J2443" t="s">
        <v>11076</v>
      </c>
    </row>
    <row r="2444" spans="1:10">
      <c r="A2444" t="s">
        <v>11077</v>
      </c>
      <c r="B2444" t="s">
        <v>11077</v>
      </c>
      <c r="C2444" t="s">
        <v>8658</v>
      </c>
      <c r="D2444">
        <v>54</v>
      </c>
      <c r="E2444" t="s">
        <v>31</v>
      </c>
      <c r="F2444" t="s">
        <v>63</v>
      </c>
      <c r="G2444" s="23">
        <v>42299</v>
      </c>
      <c r="H2444" t="s">
        <v>11078</v>
      </c>
      <c r="I2444" t="s">
        <v>11079</v>
      </c>
      <c r="J2444" t="s">
        <v>11080</v>
      </c>
    </row>
    <row r="2445" spans="1:10">
      <c r="A2445" t="s">
        <v>11081</v>
      </c>
      <c r="B2445" t="s">
        <v>11081</v>
      </c>
      <c r="C2445" t="s">
        <v>11082</v>
      </c>
      <c r="D2445">
        <v>6</v>
      </c>
      <c r="E2445" t="s">
        <v>29</v>
      </c>
      <c r="F2445" t="s">
        <v>63</v>
      </c>
      <c r="G2445" s="23">
        <v>41535</v>
      </c>
      <c r="H2445" t="s">
        <v>11083</v>
      </c>
      <c r="I2445" t="s">
        <v>11084</v>
      </c>
      <c r="J2445" t="s">
        <v>11085</v>
      </c>
    </row>
    <row r="2446" spans="1:10">
      <c r="A2446" t="s">
        <v>11086</v>
      </c>
      <c r="B2446" t="s">
        <v>11086</v>
      </c>
      <c r="C2446" t="s">
        <v>335</v>
      </c>
      <c r="D2446">
        <v>4</v>
      </c>
      <c r="E2446" t="s">
        <v>29</v>
      </c>
      <c r="F2446" t="s">
        <v>63</v>
      </c>
      <c r="G2446" s="23">
        <v>42066</v>
      </c>
      <c r="H2446" t="s">
        <v>11087</v>
      </c>
      <c r="I2446" t="s">
        <v>11088</v>
      </c>
      <c r="J2446" t="s">
        <v>11089</v>
      </c>
    </row>
    <row r="2447" spans="1:10">
      <c r="A2447" t="s">
        <v>11090</v>
      </c>
      <c r="B2447" t="s">
        <v>11090</v>
      </c>
      <c r="C2447" t="s">
        <v>11091</v>
      </c>
      <c r="D2447">
        <v>32</v>
      </c>
      <c r="E2447" t="s">
        <v>29</v>
      </c>
      <c r="F2447" t="s">
        <v>63</v>
      </c>
      <c r="G2447" s="23">
        <v>45138</v>
      </c>
      <c r="H2447" t="s">
        <v>11092</v>
      </c>
      <c r="I2447" t="s">
        <v>11093</v>
      </c>
      <c r="J2447" t="s">
        <v>11094</v>
      </c>
    </row>
    <row r="2448" spans="1:10">
      <c r="A2448" t="s">
        <v>11095</v>
      </c>
      <c r="B2448" t="s">
        <v>11095</v>
      </c>
      <c r="C2448" t="s">
        <v>11096</v>
      </c>
      <c r="D2448">
        <v>6</v>
      </c>
      <c r="E2448" t="s">
        <v>27</v>
      </c>
      <c r="F2448" t="s">
        <v>63</v>
      </c>
      <c r="G2448" s="23">
        <v>42317</v>
      </c>
      <c r="H2448" t="s">
        <v>11097</v>
      </c>
      <c r="I2448" t="s">
        <v>11098</v>
      </c>
      <c r="J2448" t="s">
        <v>11099</v>
      </c>
    </row>
    <row r="2449" spans="1:10">
      <c r="A2449" t="s">
        <v>11100</v>
      </c>
      <c r="B2449" t="s">
        <v>11100</v>
      </c>
      <c r="C2449" t="s">
        <v>11101</v>
      </c>
      <c r="D2449">
        <v>25</v>
      </c>
      <c r="E2449" t="s">
        <v>31</v>
      </c>
      <c r="F2449" t="s">
        <v>63</v>
      </c>
      <c r="G2449" s="23">
        <v>44167</v>
      </c>
      <c r="H2449" t="s">
        <v>11102</v>
      </c>
      <c r="I2449" t="s">
        <v>11103</v>
      </c>
      <c r="J2449" t="s">
        <v>11104</v>
      </c>
    </row>
    <row r="2450" spans="1:10">
      <c r="A2450" t="s">
        <v>11105</v>
      </c>
      <c r="B2450" t="s">
        <v>11105</v>
      </c>
      <c r="C2450" t="s">
        <v>11106</v>
      </c>
      <c r="D2450">
        <v>0</v>
      </c>
      <c r="E2450" t="s">
        <v>29</v>
      </c>
      <c r="F2450" t="s">
        <v>63</v>
      </c>
      <c r="G2450" s="23">
        <v>44676</v>
      </c>
      <c r="H2450" t="s">
        <v>11107</v>
      </c>
      <c r="I2450" t="s">
        <v>11108</v>
      </c>
      <c r="J2450" t="s">
        <v>11109</v>
      </c>
    </row>
    <row r="2451" spans="1:10">
      <c r="A2451" t="s">
        <v>11110</v>
      </c>
      <c r="B2451" t="s">
        <v>11110</v>
      </c>
      <c r="C2451" t="s">
        <v>4273</v>
      </c>
      <c r="D2451">
        <v>44</v>
      </c>
      <c r="E2451" t="s">
        <v>29</v>
      </c>
      <c r="F2451" t="s">
        <v>63</v>
      </c>
      <c r="G2451" s="23">
        <v>43955</v>
      </c>
      <c r="H2451" t="s">
        <v>11111</v>
      </c>
      <c r="I2451" t="s">
        <v>11112</v>
      </c>
      <c r="J2451" t="s">
        <v>11113</v>
      </c>
    </row>
    <row r="2452" spans="1:10">
      <c r="A2452" t="s">
        <v>11114</v>
      </c>
      <c r="B2452" t="s">
        <v>11114</v>
      </c>
      <c r="C2452" t="s">
        <v>11115</v>
      </c>
      <c r="D2452">
        <v>11</v>
      </c>
      <c r="E2452" t="s">
        <v>29</v>
      </c>
      <c r="F2452" t="s">
        <v>63</v>
      </c>
      <c r="G2452" s="23">
        <v>42276</v>
      </c>
      <c r="H2452" t="s">
        <v>11116</v>
      </c>
      <c r="I2452" t="s">
        <v>11117</v>
      </c>
      <c r="J2452" t="s">
        <v>11118</v>
      </c>
    </row>
    <row r="2453" spans="1:10">
      <c r="A2453" t="s">
        <v>11119</v>
      </c>
      <c r="B2453" t="s">
        <v>11119</v>
      </c>
      <c r="C2453" t="s">
        <v>11120</v>
      </c>
      <c r="D2453">
        <v>13</v>
      </c>
      <c r="E2453" t="s">
        <v>29</v>
      </c>
      <c r="F2453" t="s">
        <v>63</v>
      </c>
      <c r="G2453" s="23">
        <v>42302</v>
      </c>
      <c r="H2453" t="s">
        <v>11121</v>
      </c>
      <c r="I2453" t="s">
        <v>11122</v>
      </c>
      <c r="J2453" t="s">
        <v>11123</v>
      </c>
    </row>
    <row r="2454" spans="1:10">
      <c r="A2454" t="s">
        <v>11124</v>
      </c>
      <c r="B2454" t="s">
        <v>11124</v>
      </c>
      <c r="C2454" t="s">
        <v>11125</v>
      </c>
      <c r="D2454">
        <v>2</v>
      </c>
      <c r="E2454" t="s">
        <v>27</v>
      </c>
      <c r="F2454" t="s">
        <v>63</v>
      </c>
      <c r="G2454" s="23">
        <v>42018</v>
      </c>
      <c r="H2454" t="s">
        <v>11126</v>
      </c>
      <c r="I2454" t="s">
        <v>11127</v>
      </c>
      <c r="J2454" t="s">
        <v>11128</v>
      </c>
    </row>
    <row r="2455" spans="1:10">
      <c r="A2455" t="s">
        <v>11129</v>
      </c>
      <c r="B2455" t="s">
        <v>11129</v>
      </c>
      <c r="C2455" t="s">
        <v>3232</v>
      </c>
      <c r="D2455">
        <v>5</v>
      </c>
      <c r="E2455" t="s">
        <v>27</v>
      </c>
      <c r="F2455" t="s">
        <v>63</v>
      </c>
      <c r="G2455" s="23">
        <v>42265</v>
      </c>
      <c r="H2455" t="s">
        <v>11130</v>
      </c>
      <c r="I2455" t="s">
        <v>11131</v>
      </c>
      <c r="J2455" t="s">
        <v>11132</v>
      </c>
    </row>
    <row r="2456" spans="1:10">
      <c r="A2456" t="s">
        <v>11133</v>
      </c>
      <c r="B2456" t="s">
        <v>11133</v>
      </c>
      <c r="C2456" t="s">
        <v>3210</v>
      </c>
      <c r="D2456">
        <v>1</v>
      </c>
      <c r="E2456" t="s">
        <v>29</v>
      </c>
      <c r="F2456" t="s">
        <v>63</v>
      </c>
      <c r="G2456" s="23">
        <v>42017</v>
      </c>
      <c r="H2456" t="s">
        <v>11134</v>
      </c>
      <c r="I2456" t="s">
        <v>11135</v>
      </c>
      <c r="J2456" t="s">
        <v>11136</v>
      </c>
    </row>
    <row r="2457" spans="1:10">
      <c r="A2457" t="s">
        <v>11137</v>
      </c>
      <c r="B2457" t="s">
        <v>11137</v>
      </c>
      <c r="C2457" t="s">
        <v>11138</v>
      </c>
      <c r="D2457">
        <v>4</v>
      </c>
      <c r="E2457" t="s">
        <v>34</v>
      </c>
      <c r="F2457" t="s">
        <v>57</v>
      </c>
      <c r="G2457" s="23">
        <v>42222</v>
      </c>
      <c r="H2457" t="s">
        <v>11139</v>
      </c>
      <c r="I2457" t="s">
        <v>11140</v>
      </c>
      <c r="J2457" t="s">
        <v>11141</v>
      </c>
    </row>
    <row r="2458" spans="1:10">
      <c r="A2458" t="s">
        <v>11142</v>
      </c>
      <c r="B2458" t="s">
        <v>11142</v>
      </c>
      <c r="C2458" t="s">
        <v>11143</v>
      </c>
      <c r="D2458">
        <v>12</v>
      </c>
      <c r="E2458" t="s">
        <v>29</v>
      </c>
      <c r="F2458" t="s">
        <v>63</v>
      </c>
      <c r="G2458" s="23">
        <v>41567</v>
      </c>
      <c r="H2458" t="s">
        <v>11144</v>
      </c>
      <c r="I2458" t="s">
        <v>11145</v>
      </c>
      <c r="J2458" t="s">
        <v>11146</v>
      </c>
    </row>
    <row r="2459" spans="1:10">
      <c r="A2459" t="s">
        <v>11147</v>
      </c>
      <c r="B2459" t="s">
        <v>11147</v>
      </c>
      <c r="C2459" t="s">
        <v>11148</v>
      </c>
      <c r="D2459">
        <v>11</v>
      </c>
      <c r="E2459" t="s">
        <v>35</v>
      </c>
      <c r="F2459" t="s">
        <v>57</v>
      </c>
      <c r="G2459" s="23">
        <v>44631</v>
      </c>
      <c r="H2459" t="s">
        <v>11149</v>
      </c>
      <c r="I2459" t="s">
        <v>11150</v>
      </c>
      <c r="J2459" t="s">
        <v>11151</v>
      </c>
    </row>
    <row r="2460" spans="1:10">
      <c r="A2460" t="s">
        <v>11152</v>
      </c>
      <c r="B2460" t="s">
        <v>11152</v>
      </c>
      <c r="C2460" t="s">
        <v>1794</v>
      </c>
      <c r="D2460">
        <v>19</v>
      </c>
      <c r="E2460" t="s">
        <v>34</v>
      </c>
      <c r="F2460" t="s">
        <v>57</v>
      </c>
      <c r="G2460" s="23">
        <v>44480</v>
      </c>
      <c r="H2460" t="s">
        <v>11153</v>
      </c>
      <c r="I2460" t="s">
        <v>11154</v>
      </c>
      <c r="J2460" t="s">
        <v>11155</v>
      </c>
    </row>
    <row r="2461" spans="1:10">
      <c r="A2461" t="s">
        <v>11156</v>
      </c>
      <c r="B2461" t="s">
        <v>11156</v>
      </c>
      <c r="C2461" t="s">
        <v>11157</v>
      </c>
      <c r="D2461">
        <v>96</v>
      </c>
      <c r="E2461" t="s">
        <v>35</v>
      </c>
      <c r="F2461" t="s">
        <v>63</v>
      </c>
      <c r="G2461" s="23">
        <v>41582</v>
      </c>
      <c r="H2461" t="s">
        <v>11158</v>
      </c>
      <c r="I2461" t="s">
        <v>11159</v>
      </c>
      <c r="J2461" t="s">
        <v>11160</v>
      </c>
    </row>
    <row r="2462" spans="1:10">
      <c r="A2462" t="s">
        <v>11161</v>
      </c>
      <c r="B2462" t="s">
        <v>11161</v>
      </c>
      <c r="C2462" t="s">
        <v>2147</v>
      </c>
      <c r="D2462">
        <v>9</v>
      </c>
      <c r="E2462" t="s">
        <v>31</v>
      </c>
      <c r="F2462" t="s">
        <v>63</v>
      </c>
      <c r="G2462" s="23">
        <v>42040</v>
      </c>
      <c r="H2462" t="s">
        <v>11162</v>
      </c>
      <c r="I2462" t="s">
        <v>11163</v>
      </c>
      <c r="J2462" t="s">
        <v>11164</v>
      </c>
    </row>
    <row r="2463" spans="1:10">
      <c r="A2463" t="s">
        <v>11165</v>
      </c>
      <c r="B2463" t="s">
        <v>11165</v>
      </c>
      <c r="C2463" t="s">
        <v>5191</v>
      </c>
      <c r="D2463">
        <v>1</v>
      </c>
      <c r="E2463" t="s">
        <v>31</v>
      </c>
      <c r="F2463" t="s">
        <v>63</v>
      </c>
      <c r="G2463" s="23">
        <v>42155</v>
      </c>
      <c r="H2463" t="s">
        <v>11166</v>
      </c>
      <c r="I2463" t="s">
        <v>11167</v>
      </c>
      <c r="J2463" t="s">
        <v>11168</v>
      </c>
    </row>
    <row r="2464" spans="1:10">
      <c r="A2464" t="s">
        <v>11169</v>
      </c>
      <c r="B2464" t="s">
        <v>11169</v>
      </c>
      <c r="C2464" t="s">
        <v>3478</v>
      </c>
      <c r="D2464">
        <v>15</v>
      </c>
      <c r="E2464" t="s">
        <v>31</v>
      </c>
      <c r="F2464" t="s">
        <v>63</v>
      </c>
      <c r="G2464" s="23">
        <v>45407</v>
      </c>
      <c r="H2464" t="s">
        <v>11170</v>
      </c>
      <c r="I2464" t="s">
        <v>11171</v>
      </c>
      <c r="J2464" t="s">
        <v>11172</v>
      </c>
    </row>
    <row r="2465" spans="1:10">
      <c r="A2465" t="s">
        <v>11173</v>
      </c>
      <c r="B2465" t="s">
        <v>11173</v>
      </c>
      <c r="C2465" t="s">
        <v>1530</v>
      </c>
      <c r="D2465">
        <v>1</v>
      </c>
      <c r="E2465" t="s">
        <v>35</v>
      </c>
      <c r="F2465" t="s">
        <v>89</v>
      </c>
      <c r="G2465" s="23">
        <v>42939</v>
      </c>
      <c r="H2465" t="s">
        <v>11174</v>
      </c>
      <c r="I2465" t="s">
        <v>11175</v>
      </c>
      <c r="J2465" t="s">
        <v>11176</v>
      </c>
    </row>
    <row r="2466" spans="1:10">
      <c r="A2466" t="s">
        <v>11177</v>
      </c>
      <c r="B2466" t="s">
        <v>11177</v>
      </c>
      <c r="C2466" t="s">
        <v>11178</v>
      </c>
      <c r="D2466">
        <v>1</v>
      </c>
      <c r="E2466" t="s">
        <v>35</v>
      </c>
      <c r="F2466" t="s">
        <v>89</v>
      </c>
      <c r="G2466" s="23">
        <v>45209</v>
      </c>
      <c r="H2466" t="s">
        <v>11179</v>
      </c>
      <c r="I2466" t="s">
        <v>11180</v>
      </c>
      <c r="J2466" t="s">
        <v>11181</v>
      </c>
    </row>
    <row r="2467" spans="1:10">
      <c r="A2467" t="s">
        <v>11182</v>
      </c>
      <c r="B2467" t="s">
        <v>11182</v>
      </c>
      <c r="C2467" t="s">
        <v>11183</v>
      </c>
      <c r="D2467">
        <v>17</v>
      </c>
      <c r="E2467" t="s">
        <v>27</v>
      </c>
      <c r="F2467" t="s">
        <v>63</v>
      </c>
      <c r="G2467" s="23">
        <v>42256</v>
      </c>
      <c r="H2467" t="s">
        <v>11184</v>
      </c>
      <c r="I2467" t="s">
        <v>11185</v>
      </c>
      <c r="J2467" t="s">
        <v>11186</v>
      </c>
    </row>
    <row r="2468" spans="1:10">
      <c r="A2468" t="s">
        <v>11187</v>
      </c>
      <c r="B2468" t="s">
        <v>11187</v>
      </c>
      <c r="C2468" t="s">
        <v>10838</v>
      </c>
      <c r="D2468">
        <v>5</v>
      </c>
      <c r="E2468" t="s">
        <v>36</v>
      </c>
      <c r="F2468" t="s">
        <v>57</v>
      </c>
      <c r="G2468" s="23">
        <v>45127</v>
      </c>
      <c r="H2468" t="s">
        <v>11188</v>
      </c>
      <c r="I2468" t="s">
        <v>11189</v>
      </c>
      <c r="J2468" t="s">
        <v>11190</v>
      </c>
    </row>
    <row r="2469" spans="1:10">
      <c r="A2469" t="s">
        <v>11191</v>
      </c>
      <c r="B2469" t="s">
        <v>11191</v>
      </c>
      <c r="C2469" t="s">
        <v>2465</v>
      </c>
      <c r="D2469">
        <v>22</v>
      </c>
      <c r="E2469" t="s">
        <v>34</v>
      </c>
      <c r="F2469" t="s">
        <v>57</v>
      </c>
      <c r="G2469" s="23">
        <v>44384</v>
      </c>
      <c r="H2469" t="s">
        <v>11192</v>
      </c>
      <c r="I2469" t="s">
        <v>11193</v>
      </c>
      <c r="J2469" t="s">
        <v>11194</v>
      </c>
    </row>
    <row r="2470" spans="1:10">
      <c r="A2470" t="s">
        <v>11195</v>
      </c>
      <c r="B2470" t="s">
        <v>11195</v>
      </c>
      <c r="C2470" t="s">
        <v>11196</v>
      </c>
      <c r="D2470">
        <v>8</v>
      </c>
      <c r="E2470" t="s">
        <v>34</v>
      </c>
      <c r="F2470" t="s">
        <v>57</v>
      </c>
      <c r="G2470" s="23">
        <v>46194</v>
      </c>
      <c r="H2470" t="s">
        <v>11197</v>
      </c>
      <c r="I2470" t="s">
        <v>11198</v>
      </c>
      <c r="J2470" t="s">
        <v>11199</v>
      </c>
    </row>
    <row r="2471" spans="1:10">
      <c r="A2471" t="s">
        <v>11200</v>
      </c>
      <c r="B2471" t="s">
        <v>11200</v>
      </c>
      <c r="C2471" t="s">
        <v>11201</v>
      </c>
      <c r="D2471">
        <v>24</v>
      </c>
      <c r="E2471" t="s">
        <v>29</v>
      </c>
      <c r="F2471" t="s">
        <v>63</v>
      </c>
      <c r="G2471" s="23">
        <v>44152</v>
      </c>
      <c r="H2471" t="s">
        <v>11202</v>
      </c>
      <c r="I2471" t="s">
        <v>11203</v>
      </c>
      <c r="J2471" t="s">
        <v>11204</v>
      </c>
    </row>
    <row r="2472" spans="1:10">
      <c r="A2472" t="s">
        <v>11205</v>
      </c>
      <c r="B2472" t="s">
        <v>11205</v>
      </c>
      <c r="C2472" t="s">
        <v>11206</v>
      </c>
      <c r="D2472">
        <v>7</v>
      </c>
      <c r="E2472" t="s">
        <v>29</v>
      </c>
      <c r="F2472" t="s">
        <v>63</v>
      </c>
      <c r="G2472" s="23">
        <v>41451</v>
      </c>
      <c r="H2472" t="s">
        <v>11207</v>
      </c>
      <c r="I2472" t="s">
        <v>11208</v>
      </c>
      <c r="J2472" t="s">
        <v>11209</v>
      </c>
    </row>
    <row r="2473" spans="1:10">
      <c r="A2473" t="s">
        <v>11210</v>
      </c>
      <c r="B2473" t="s">
        <v>11210</v>
      </c>
      <c r="C2473" t="s">
        <v>243</v>
      </c>
      <c r="D2473">
        <v>34</v>
      </c>
      <c r="E2473" t="s">
        <v>31</v>
      </c>
      <c r="F2473" t="s">
        <v>63</v>
      </c>
      <c r="G2473" s="23">
        <v>44868</v>
      </c>
      <c r="H2473" t="s">
        <v>11211</v>
      </c>
      <c r="I2473" t="s">
        <v>11212</v>
      </c>
      <c r="J2473" t="s">
        <v>11213</v>
      </c>
    </row>
    <row r="2474" spans="1:10">
      <c r="A2474" t="s">
        <v>11214</v>
      </c>
      <c r="B2474" t="s">
        <v>11214</v>
      </c>
      <c r="C2474" t="s">
        <v>11215</v>
      </c>
      <c r="D2474">
        <v>62</v>
      </c>
      <c r="E2474" t="s">
        <v>29</v>
      </c>
      <c r="F2474" t="s">
        <v>63</v>
      </c>
      <c r="G2474" s="23">
        <v>42300</v>
      </c>
      <c r="H2474" t="s">
        <v>11216</v>
      </c>
      <c r="I2474" t="s">
        <v>11217</v>
      </c>
      <c r="J2474" t="s">
        <v>11218</v>
      </c>
    </row>
    <row r="2475" spans="1:10">
      <c r="A2475" t="s">
        <v>11219</v>
      </c>
      <c r="B2475" t="s">
        <v>11219</v>
      </c>
      <c r="C2475" t="s">
        <v>1570</v>
      </c>
      <c r="D2475">
        <v>15</v>
      </c>
      <c r="E2475" t="s">
        <v>35</v>
      </c>
      <c r="F2475" t="s">
        <v>57</v>
      </c>
      <c r="G2475" s="23">
        <v>44302</v>
      </c>
      <c r="H2475" t="s">
        <v>11220</v>
      </c>
      <c r="I2475" t="s">
        <v>11221</v>
      </c>
      <c r="J2475" t="s">
        <v>11222</v>
      </c>
    </row>
    <row r="2476" spans="1:10">
      <c r="A2476" t="s">
        <v>11223</v>
      </c>
      <c r="B2476" t="s">
        <v>11223</v>
      </c>
      <c r="C2476" t="s">
        <v>1570</v>
      </c>
      <c r="D2476">
        <v>10</v>
      </c>
      <c r="E2476" t="s">
        <v>35</v>
      </c>
      <c r="F2476" t="s">
        <v>57</v>
      </c>
      <c r="G2476" s="23">
        <v>44656</v>
      </c>
      <c r="H2476" t="s">
        <v>11224</v>
      </c>
      <c r="I2476" t="s">
        <v>11225</v>
      </c>
      <c r="J2476" t="s">
        <v>11226</v>
      </c>
    </row>
    <row r="2477" spans="1:10">
      <c r="A2477" t="s">
        <v>11227</v>
      </c>
      <c r="B2477" t="s">
        <v>11227</v>
      </c>
      <c r="C2477" t="s">
        <v>11228</v>
      </c>
      <c r="D2477">
        <v>13</v>
      </c>
      <c r="E2477" t="s">
        <v>29</v>
      </c>
      <c r="F2477" t="s">
        <v>63</v>
      </c>
      <c r="G2477" s="23">
        <v>42209</v>
      </c>
      <c r="H2477" t="s">
        <v>11229</v>
      </c>
      <c r="I2477" t="s">
        <v>11230</v>
      </c>
      <c r="J2477" t="s">
        <v>11231</v>
      </c>
    </row>
    <row r="2478" spans="1:10">
      <c r="A2478" t="s">
        <v>11232</v>
      </c>
      <c r="B2478" t="s">
        <v>11232</v>
      </c>
      <c r="C2478" t="s">
        <v>646</v>
      </c>
      <c r="D2478">
        <v>22</v>
      </c>
      <c r="E2478" t="s">
        <v>34</v>
      </c>
      <c r="F2478" t="s">
        <v>57</v>
      </c>
      <c r="G2478" s="23">
        <v>44962</v>
      </c>
      <c r="H2478" t="s">
        <v>11233</v>
      </c>
      <c r="I2478" t="s">
        <v>11234</v>
      </c>
      <c r="J2478" t="s">
        <v>11235</v>
      </c>
    </row>
    <row r="2479" spans="1:10">
      <c r="A2479" t="s">
        <v>11236</v>
      </c>
      <c r="B2479" t="s">
        <v>11236</v>
      </c>
      <c r="C2479" t="s">
        <v>11237</v>
      </c>
      <c r="D2479">
        <v>7</v>
      </c>
      <c r="E2479" t="s">
        <v>27</v>
      </c>
      <c r="F2479" t="s">
        <v>63</v>
      </c>
      <c r="G2479" s="23">
        <v>42279</v>
      </c>
      <c r="H2479" t="s">
        <v>11238</v>
      </c>
      <c r="I2479" t="s">
        <v>11239</v>
      </c>
      <c r="J2479" t="s">
        <v>11240</v>
      </c>
    </row>
    <row r="2480" spans="1:10">
      <c r="A2480" t="s">
        <v>11241</v>
      </c>
      <c r="B2480" t="s">
        <v>11241</v>
      </c>
      <c r="C2480" t="s">
        <v>11242</v>
      </c>
      <c r="D2480">
        <v>96</v>
      </c>
      <c r="E2480" t="s">
        <v>31</v>
      </c>
      <c r="F2480" t="s">
        <v>63</v>
      </c>
      <c r="G2480" s="23">
        <v>42339</v>
      </c>
      <c r="H2480" t="s">
        <v>11243</v>
      </c>
      <c r="I2480" t="s">
        <v>11244</v>
      </c>
      <c r="J2480" t="s">
        <v>11245</v>
      </c>
    </row>
    <row r="2481" spans="1:10">
      <c r="A2481" t="s">
        <v>11246</v>
      </c>
      <c r="B2481" t="s">
        <v>11246</v>
      </c>
      <c r="C2481" t="s">
        <v>7034</v>
      </c>
      <c r="D2481">
        <v>14</v>
      </c>
      <c r="E2481" t="s">
        <v>29</v>
      </c>
      <c r="F2481" t="s">
        <v>63</v>
      </c>
      <c r="G2481" s="23">
        <v>42207</v>
      </c>
      <c r="H2481" t="s">
        <v>11247</v>
      </c>
      <c r="I2481" t="s">
        <v>11248</v>
      </c>
      <c r="J2481" t="s">
        <v>11249</v>
      </c>
    </row>
    <row r="2482" spans="1:10">
      <c r="A2482" t="s">
        <v>11250</v>
      </c>
      <c r="B2482" t="s">
        <v>11250</v>
      </c>
      <c r="C2482" t="s">
        <v>2354</v>
      </c>
      <c r="D2482">
        <v>15</v>
      </c>
      <c r="E2482" t="s">
        <v>34</v>
      </c>
      <c r="F2482" t="s">
        <v>57</v>
      </c>
      <c r="G2482" s="23">
        <v>44113</v>
      </c>
      <c r="H2482" t="s">
        <v>11251</v>
      </c>
      <c r="I2482" t="s">
        <v>11252</v>
      </c>
      <c r="J2482" t="s">
        <v>11253</v>
      </c>
    </row>
    <row r="2483" spans="1:10">
      <c r="A2483" t="s">
        <v>11254</v>
      </c>
      <c r="B2483" t="s">
        <v>11254</v>
      </c>
      <c r="C2483" t="s">
        <v>2354</v>
      </c>
      <c r="D2483">
        <v>20</v>
      </c>
      <c r="E2483" t="s">
        <v>35</v>
      </c>
      <c r="F2483" t="s">
        <v>57</v>
      </c>
      <c r="G2483" s="23">
        <v>44600</v>
      </c>
      <c r="H2483" t="s">
        <v>11255</v>
      </c>
      <c r="I2483" t="s">
        <v>11256</v>
      </c>
      <c r="J2483" t="s">
        <v>11257</v>
      </c>
    </row>
    <row r="2484" spans="1:10">
      <c r="A2484" t="s">
        <v>11258</v>
      </c>
      <c r="B2484" t="s">
        <v>11258</v>
      </c>
      <c r="C2484" t="s">
        <v>11259</v>
      </c>
      <c r="D2484">
        <v>1</v>
      </c>
      <c r="E2484" t="s">
        <v>29</v>
      </c>
      <c r="F2484" t="s">
        <v>63</v>
      </c>
      <c r="G2484" s="23">
        <v>45320</v>
      </c>
      <c r="H2484" t="s">
        <v>11260</v>
      </c>
      <c r="I2484" t="s">
        <v>11261</v>
      </c>
      <c r="J2484" t="s">
        <v>11262</v>
      </c>
    </row>
    <row r="2485" spans="1:10">
      <c r="A2485" t="s">
        <v>11263</v>
      </c>
      <c r="B2485" t="s">
        <v>11263</v>
      </c>
      <c r="C2485" t="s">
        <v>11264</v>
      </c>
      <c r="D2485">
        <v>7</v>
      </c>
      <c r="E2485" t="s">
        <v>31</v>
      </c>
      <c r="F2485" t="s">
        <v>63</v>
      </c>
      <c r="G2485" s="23">
        <v>42231</v>
      </c>
      <c r="H2485" t="s">
        <v>11265</v>
      </c>
      <c r="I2485" t="s">
        <v>11266</v>
      </c>
      <c r="J2485" t="s">
        <v>11267</v>
      </c>
    </row>
    <row r="2486" spans="1:10">
      <c r="A2486" t="s">
        <v>11268</v>
      </c>
      <c r="B2486" t="s">
        <v>11268</v>
      </c>
      <c r="C2486" t="s">
        <v>11269</v>
      </c>
      <c r="D2486">
        <v>12</v>
      </c>
      <c r="E2486" t="s">
        <v>34</v>
      </c>
      <c r="F2486" t="s">
        <v>57</v>
      </c>
      <c r="G2486" s="23">
        <v>43444</v>
      </c>
      <c r="H2486" t="s">
        <v>11270</v>
      </c>
      <c r="I2486" t="s">
        <v>11271</v>
      </c>
      <c r="J2486" t="s">
        <v>11272</v>
      </c>
    </row>
    <row r="2487" spans="1:10">
      <c r="A2487" t="s">
        <v>11273</v>
      </c>
      <c r="B2487" t="s">
        <v>11273</v>
      </c>
      <c r="C2487" t="s">
        <v>1345</v>
      </c>
      <c r="D2487">
        <v>11</v>
      </c>
      <c r="E2487" t="s">
        <v>35</v>
      </c>
      <c r="F2487" t="s">
        <v>57</v>
      </c>
      <c r="G2487" s="23">
        <v>43260</v>
      </c>
      <c r="H2487" t="s">
        <v>11274</v>
      </c>
      <c r="I2487" t="s">
        <v>11275</v>
      </c>
      <c r="J2487" t="s">
        <v>11276</v>
      </c>
    </row>
    <row r="2488" spans="1:10">
      <c r="A2488" t="s">
        <v>11277</v>
      </c>
      <c r="B2488" t="s">
        <v>11277</v>
      </c>
      <c r="C2488" t="s">
        <v>1598</v>
      </c>
      <c r="D2488">
        <v>96</v>
      </c>
      <c r="E2488" t="s">
        <v>34</v>
      </c>
      <c r="F2488" t="s">
        <v>63</v>
      </c>
      <c r="G2488" s="23">
        <v>41455</v>
      </c>
      <c r="H2488" t="s">
        <v>11278</v>
      </c>
      <c r="I2488" t="s">
        <v>11279</v>
      </c>
      <c r="J2488" t="s">
        <v>11280</v>
      </c>
    </row>
    <row r="2489" spans="1:10">
      <c r="A2489" t="s">
        <v>11281</v>
      </c>
      <c r="B2489" t="s">
        <v>11281</v>
      </c>
      <c r="C2489" t="s">
        <v>1598</v>
      </c>
      <c r="D2489">
        <v>112</v>
      </c>
      <c r="E2489" t="s">
        <v>33</v>
      </c>
      <c r="F2489" t="s">
        <v>63</v>
      </c>
      <c r="G2489" s="23">
        <v>41967</v>
      </c>
      <c r="H2489" t="s">
        <v>11282</v>
      </c>
      <c r="I2489" t="s">
        <v>11283</v>
      </c>
      <c r="J2489" t="s">
        <v>11284</v>
      </c>
    </row>
    <row r="2490" spans="1:10">
      <c r="A2490" t="s">
        <v>11285</v>
      </c>
      <c r="B2490" t="s">
        <v>11285</v>
      </c>
      <c r="C2490" t="s">
        <v>1598</v>
      </c>
      <c r="D2490">
        <v>109</v>
      </c>
      <c r="E2490" t="s">
        <v>33</v>
      </c>
      <c r="F2490" t="s">
        <v>63</v>
      </c>
      <c r="G2490" s="23">
        <v>41455</v>
      </c>
      <c r="H2490" t="s">
        <v>11286</v>
      </c>
      <c r="I2490" t="s">
        <v>11287</v>
      </c>
      <c r="J2490" t="s">
        <v>11288</v>
      </c>
    </row>
    <row r="2491" spans="1:10">
      <c r="A2491" t="s">
        <v>11289</v>
      </c>
      <c r="B2491" t="s">
        <v>11289</v>
      </c>
      <c r="C2491" t="s">
        <v>1598</v>
      </c>
      <c r="D2491">
        <v>117</v>
      </c>
      <c r="E2491" t="s">
        <v>33</v>
      </c>
      <c r="F2491" t="s">
        <v>63</v>
      </c>
      <c r="G2491" s="23">
        <v>43071</v>
      </c>
      <c r="H2491" t="s">
        <v>11290</v>
      </c>
      <c r="I2491" t="s">
        <v>11291</v>
      </c>
      <c r="J2491" t="s">
        <v>11292</v>
      </c>
    </row>
    <row r="2492" spans="1:10">
      <c r="A2492" t="s">
        <v>11293</v>
      </c>
      <c r="B2492" t="s">
        <v>11293</v>
      </c>
      <c r="C2492" t="s">
        <v>9251</v>
      </c>
      <c r="D2492">
        <v>10</v>
      </c>
      <c r="E2492" t="s">
        <v>29</v>
      </c>
      <c r="F2492" t="s">
        <v>63</v>
      </c>
      <c r="G2492" s="23">
        <v>44084</v>
      </c>
      <c r="H2492" t="s">
        <v>11294</v>
      </c>
      <c r="I2492" t="s">
        <v>11295</v>
      </c>
      <c r="J2492" t="s">
        <v>11296</v>
      </c>
    </row>
    <row r="2493" spans="1:10">
      <c r="A2493" t="s">
        <v>11297</v>
      </c>
      <c r="B2493" t="s">
        <v>11297</v>
      </c>
      <c r="C2493" t="s">
        <v>11298</v>
      </c>
      <c r="D2493">
        <v>11</v>
      </c>
      <c r="E2493" t="s">
        <v>27</v>
      </c>
      <c r="F2493" t="s">
        <v>63</v>
      </c>
      <c r="G2493" s="23">
        <v>42241</v>
      </c>
      <c r="H2493" t="s">
        <v>11299</v>
      </c>
      <c r="I2493" t="s">
        <v>11300</v>
      </c>
      <c r="J2493" t="s">
        <v>11301</v>
      </c>
    </row>
    <row r="2494" spans="1:10">
      <c r="A2494" t="s">
        <v>11302</v>
      </c>
      <c r="B2494" t="s">
        <v>11302</v>
      </c>
      <c r="C2494" t="s">
        <v>11303</v>
      </c>
      <c r="D2494">
        <v>85</v>
      </c>
      <c r="E2494" t="s">
        <v>31</v>
      </c>
      <c r="F2494" t="s">
        <v>63</v>
      </c>
      <c r="G2494" s="23">
        <v>41657</v>
      </c>
      <c r="H2494" t="s">
        <v>11304</v>
      </c>
      <c r="I2494" t="s">
        <v>11305</v>
      </c>
      <c r="J2494" t="s">
        <v>11306</v>
      </c>
    </row>
    <row r="2495" spans="1:10">
      <c r="A2495" t="s">
        <v>11307</v>
      </c>
      <c r="B2495" t="s">
        <v>11307</v>
      </c>
      <c r="C2495" t="s">
        <v>4478</v>
      </c>
      <c r="D2495">
        <v>7</v>
      </c>
      <c r="E2495" t="s">
        <v>27</v>
      </c>
      <c r="F2495" t="s">
        <v>63</v>
      </c>
      <c r="G2495" s="23">
        <v>42211</v>
      </c>
      <c r="H2495" t="s">
        <v>11308</v>
      </c>
      <c r="I2495" t="s">
        <v>11309</v>
      </c>
      <c r="J2495" t="s">
        <v>11310</v>
      </c>
    </row>
    <row r="2496" spans="1:10">
      <c r="A2496" t="s">
        <v>11311</v>
      </c>
      <c r="B2496" t="s">
        <v>11311</v>
      </c>
      <c r="C2496" t="s">
        <v>4478</v>
      </c>
      <c r="D2496">
        <v>10</v>
      </c>
      <c r="E2496" t="s">
        <v>29</v>
      </c>
      <c r="F2496" t="s">
        <v>63</v>
      </c>
      <c r="G2496" s="23">
        <v>42546</v>
      </c>
      <c r="H2496" t="s">
        <v>11312</v>
      </c>
      <c r="I2496" t="s">
        <v>11313</v>
      </c>
      <c r="J2496" t="s">
        <v>11314</v>
      </c>
    </row>
    <row r="2497" spans="1:10">
      <c r="A2497" t="s">
        <v>11315</v>
      </c>
      <c r="B2497" t="s">
        <v>11315</v>
      </c>
      <c r="C2497" t="s">
        <v>6618</v>
      </c>
      <c r="D2497">
        <v>10</v>
      </c>
      <c r="E2497" t="s">
        <v>27</v>
      </c>
      <c r="F2497" t="s">
        <v>63</v>
      </c>
      <c r="G2497" s="23">
        <v>41447</v>
      </c>
      <c r="H2497" t="s">
        <v>11316</v>
      </c>
      <c r="I2497" t="s">
        <v>11317</v>
      </c>
      <c r="J2497" t="s">
        <v>11318</v>
      </c>
    </row>
    <row r="2498" spans="1:10">
      <c r="A2498" t="s">
        <v>11319</v>
      </c>
      <c r="B2498" t="s">
        <v>11319</v>
      </c>
      <c r="C2498" t="s">
        <v>11320</v>
      </c>
      <c r="D2498">
        <v>18</v>
      </c>
      <c r="E2498" t="s">
        <v>27</v>
      </c>
      <c r="F2498" t="s">
        <v>63</v>
      </c>
      <c r="G2498" s="23">
        <v>42312</v>
      </c>
      <c r="H2498" t="s">
        <v>11321</v>
      </c>
      <c r="I2498" t="s">
        <v>11322</v>
      </c>
      <c r="J2498" t="s">
        <v>11323</v>
      </c>
    </row>
    <row r="2499" spans="1:10">
      <c r="A2499" t="s">
        <v>11324</v>
      </c>
      <c r="B2499" t="s">
        <v>11324</v>
      </c>
      <c r="C2499" t="s">
        <v>1434</v>
      </c>
      <c r="D2499">
        <v>8</v>
      </c>
      <c r="E2499" t="s">
        <v>33</v>
      </c>
      <c r="F2499" t="s">
        <v>57</v>
      </c>
      <c r="G2499" s="23">
        <v>45585</v>
      </c>
      <c r="H2499" t="s">
        <v>11325</v>
      </c>
      <c r="I2499" t="s">
        <v>11326</v>
      </c>
      <c r="J2499" t="s">
        <v>11327</v>
      </c>
    </row>
    <row r="2500" spans="1:10">
      <c r="A2500" t="s">
        <v>11328</v>
      </c>
      <c r="B2500" t="s">
        <v>11328</v>
      </c>
      <c r="C2500" t="s">
        <v>11329</v>
      </c>
      <c r="D2500">
        <v>4</v>
      </c>
      <c r="E2500" t="s">
        <v>27</v>
      </c>
      <c r="F2500" t="s">
        <v>63</v>
      </c>
      <c r="G2500" s="23">
        <v>42209</v>
      </c>
      <c r="H2500" t="s">
        <v>11330</v>
      </c>
      <c r="I2500" t="s">
        <v>11331</v>
      </c>
      <c r="J2500" t="s">
        <v>11332</v>
      </c>
    </row>
    <row r="2501" spans="1:10">
      <c r="A2501" t="s">
        <v>11333</v>
      </c>
      <c r="B2501" t="s">
        <v>11333</v>
      </c>
      <c r="C2501" t="s">
        <v>11334</v>
      </c>
      <c r="D2501">
        <v>16</v>
      </c>
      <c r="E2501" t="s">
        <v>31</v>
      </c>
      <c r="F2501" t="s">
        <v>57</v>
      </c>
      <c r="G2501" s="23">
        <v>44487</v>
      </c>
      <c r="H2501" t="s">
        <v>11335</v>
      </c>
      <c r="I2501" t="s">
        <v>11336</v>
      </c>
      <c r="J2501" t="s">
        <v>11337</v>
      </c>
    </row>
    <row r="2502" spans="1:10">
      <c r="A2502" t="s">
        <v>11338</v>
      </c>
      <c r="B2502" t="s">
        <v>11338</v>
      </c>
      <c r="C2502" t="s">
        <v>11334</v>
      </c>
      <c r="D2502">
        <v>12</v>
      </c>
      <c r="E2502" t="s">
        <v>31</v>
      </c>
      <c r="F2502" t="s">
        <v>57</v>
      </c>
      <c r="G2502" s="23">
        <v>44797</v>
      </c>
      <c r="H2502" t="s">
        <v>11339</v>
      </c>
      <c r="I2502" t="s">
        <v>11340</v>
      </c>
      <c r="J2502" t="s">
        <v>11341</v>
      </c>
    </row>
    <row r="2503" spans="1:10">
      <c r="A2503" t="s">
        <v>11342</v>
      </c>
      <c r="B2503" t="s">
        <v>11342</v>
      </c>
      <c r="C2503" t="s">
        <v>11334</v>
      </c>
      <c r="D2503">
        <v>13</v>
      </c>
      <c r="E2503" t="s">
        <v>33</v>
      </c>
      <c r="F2503" t="s">
        <v>57</v>
      </c>
      <c r="G2503" s="23">
        <v>44613</v>
      </c>
      <c r="H2503" t="s">
        <v>11343</v>
      </c>
      <c r="I2503" t="s">
        <v>11344</v>
      </c>
      <c r="J2503" t="s">
        <v>11345</v>
      </c>
    </row>
    <row r="2504" spans="1:10">
      <c r="A2504" t="s">
        <v>11346</v>
      </c>
      <c r="B2504" t="s">
        <v>11346</v>
      </c>
      <c r="C2504" t="s">
        <v>11347</v>
      </c>
      <c r="D2504">
        <v>1</v>
      </c>
      <c r="E2504" t="s">
        <v>34</v>
      </c>
      <c r="F2504" t="s">
        <v>57</v>
      </c>
      <c r="G2504" s="23">
        <v>45215</v>
      </c>
      <c r="H2504" t="s">
        <v>11348</v>
      </c>
      <c r="I2504" t="s">
        <v>11349</v>
      </c>
      <c r="J2504" t="s">
        <v>11350</v>
      </c>
    </row>
    <row r="2505" spans="1:10">
      <c r="A2505" t="s">
        <v>11351</v>
      </c>
      <c r="B2505" t="s">
        <v>11351</v>
      </c>
      <c r="C2505" t="s">
        <v>11352</v>
      </c>
      <c r="D2505">
        <v>38</v>
      </c>
      <c r="E2505" t="s">
        <v>27</v>
      </c>
      <c r="F2505" t="s">
        <v>63</v>
      </c>
      <c r="G2505" s="23">
        <v>42972</v>
      </c>
      <c r="H2505" t="s">
        <v>11353</v>
      </c>
      <c r="I2505" t="s">
        <v>11354</v>
      </c>
      <c r="J2505" t="s">
        <v>11355</v>
      </c>
    </row>
    <row r="2506" spans="1:10">
      <c r="A2506" t="s">
        <v>11356</v>
      </c>
      <c r="B2506" t="s">
        <v>11356</v>
      </c>
      <c r="C2506" t="s">
        <v>11357</v>
      </c>
      <c r="D2506">
        <v>38</v>
      </c>
      <c r="E2506" t="s">
        <v>35</v>
      </c>
      <c r="F2506" t="s">
        <v>57</v>
      </c>
      <c r="G2506" s="23">
        <v>45349</v>
      </c>
      <c r="H2506" t="s">
        <v>11358</v>
      </c>
      <c r="I2506" t="s">
        <v>11359</v>
      </c>
      <c r="J2506" t="s">
        <v>11360</v>
      </c>
    </row>
    <row r="2507" spans="1:10">
      <c r="A2507" t="s">
        <v>11361</v>
      </c>
      <c r="B2507" t="s">
        <v>11361</v>
      </c>
      <c r="C2507" t="s">
        <v>3289</v>
      </c>
      <c r="D2507">
        <v>5</v>
      </c>
      <c r="E2507" t="s">
        <v>29</v>
      </c>
      <c r="F2507" t="s">
        <v>63</v>
      </c>
      <c r="G2507" s="23">
        <v>42293</v>
      </c>
      <c r="H2507" t="s">
        <v>11362</v>
      </c>
      <c r="I2507" t="s">
        <v>11363</v>
      </c>
      <c r="J2507" t="s">
        <v>11364</v>
      </c>
    </row>
    <row r="2508" spans="1:10">
      <c r="A2508" t="s">
        <v>11365</v>
      </c>
      <c r="B2508" t="s">
        <v>11365</v>
      </c>
      <c r="C2508" t="s">
        <v>945</v>
      </c>
      <c r="D2508">
        <v>12</v>
      </c>
      <c r="E2508" t="s">
        <v>35</v>
      </c>
      <c r="F2508" t="s">
        <v>57</v>
      </c>
      <c r="G2508" s="23">
        <v>46004</v>
      </c>
      <c r="H2508" t="s">
        <v>11366</v>
      </c>
      <c r="I2508" t="s">
        <v>11367</v>
      </c>
      <c r="J2508" t="s">
        <v>11368</v>
      </c>
    </row>
    <row r="2509" spans="1:10">
      <c r="A2509" t="s">
        <v>11369</v>
      </c>
      <c r="B2509" t="s">
        <v>11369</v>
      </c>
      <c r="C2509" t="s">
        <v>11370</v>
      </c>
      <c r="D2509">
        <v>47</v>
      </c>
      <c r="E2509" t="s">
        <v>29</v>
      </c>
      <c r="F2509" t="s">
        <v>63</v>
      </c>
      <c r="G2509" s="23">
        <v>42219</v>
      </c>
      <c r="H2509" t="s">
        <v>11371</v>
      </c>
      <c r="I2509" t="s">
        <v>11372</v>
      </c>
      <c r="J2509" t="s">
        <v>11373</v>
      </c>
    </row>
    <row r="2510" spans="1:10">
      <c r="A2510" t="s">
        <v>11374</v>
      </c>
      <c r="B2510" t="s">
        <v>11374</v>
      </c>
      <c r="C2510" t="s">
        <v>11375</v>
      </c>
      <c r="D2510">
        <v>6</v>
      </c>
      <c r="E2510" t="s">
        <v>29</v>
      </c>
      <c r="F2510" t="s">
        <v>63</v>
      </c>
      <c r="G2510" s="23">
        <v>42288</v>
      </c>
      <c r="H2510" t="s">
        <v>11376</v>
      </c>
      <c r="I2510" t="s">
        <v>11377</v>
      </c>
      <c r="J2510" t="s">
        <v>11378</v>
      </c>
    </row>
    <row r="2511" spans="1:10">
      <c r="A2511" t="s">
        <v>11379</v>
      </c>
      <c r="B2511" t="s">
        <v>11379</v>
      </c>
      <c r="C2511" t="s">
        <v>11380</v>
      </c>
      <c r="D2511">
        <v>39</v>
      </c>
      <c r="E2511" t="s">
        <v>31</v>
      </c>
      <c r="F2511" t="s">
        <v>63</v>
      </c>
      <c r="G2511" s="23">
        <v>42397</v>
      </c>
      <c r="H2511" t="s">
        <v>11381</v>
      </c>
      <c r="I2511" t="s">
        <v>11382</v>
      </c>
      <c r="J2511" t="s">
        <v>11383</v>
      </c>
    </row>
    <row r="2512" spans="1:10">
      <c r="A2512" t="s">
        <v>11384</v>
      </c>
      <c r="B2512" t="s">
        <v>11384</v>
      </c>
      <c r="C2512" t="s">
        <v>485</v>
      </c>
      <c r="D2512">
        <v>7</v>
      </c>
      <c r="E2512" t="s">
        <v>34</v>
      </c>
      <c r="F2512" t="s">
        <v>57</v>
      </c>
      <c r="G2512" s="23">
        <v>44683</v>
      </c>
      <c r="H2512" t="s">
        <v>11385</v>
      </c>
      <c r="I2512" t="s">
        <v>11386</v>
      </c>
      <c r="J2512" t="s">
        <v>11387</v>
      </c>
    </row>
    <row r="2513" spans="1:10">
      <c r="A2513" t="s">
        <v>11388</v>
      </c>
      <c r="B2513" t="s">
        <v>11388</v>
      </c>
      <c r="C2513" t="s">
        <v>11389</v>
      </c>
      <c r="D2513">
        <v>11</v>
      </c>
      <c r="E2513" t="s">
        <v>34</v>
      </c>
      <c r="F2513" t="s">
        <v>57</v>
      </c>
      <c r="G2513" s="23">
        <v>43630</v>
      </c>
      <c r="H2513" t="s">
        <v>11390</v>
      </c>
      <c r="I2513" t="s">
        <v>11391</v>
      </c>
      <c r="J2513" t="s">
        <v>11392</v>
      </c>
    </row>
    <row r="2514" spans="1:10">
      <c r="A2514" t="s">
        <v>11393</v>
      </c>
      <c r="B2514" t="s">
        <v>11393</v>
      </c>
      <c r="C2514" t="s">
        <v>11394</v>
      </c>
      <c r="D2514">
        <v>26</v>
      </c>
      <c r="E2514" t="s">
        <v>34</v>
      </c>
      <c r="F2514" t="s">
        <v>57</v>
      </c>
      <c r="G2514" s="23">
        <v>44365</v>
      </c>
      <c r="H2514" t="s">
        <v>11395</v>
      </c>
      <c r="I2514" t="s">
        <v>11396</v>
      </c>
      <c r="J2514" t="s">
        <v>11397</v>
      </c>
    </row>
    <row r="2515" spans="1:10">
      <c r="A2515" t="s">
        <v>11398</v>
      </c>
      <c r="B2515" t="s">
        <v>11398</v>
      </c>
      <c r="C2515" t="s">
        <v>1575</v>
      </c>
      <c r="D2515">
        <v>42</v>
      </c>
      <c r="E2515" t="s">
        <v>33</v>
      </c>
      <c r="F2515" t="s">
        <v>57</v>
      </c>
      <c r="G2515" s="23">
        <v>44617</v>
      </c>
      <c r="H2515" t="s">
        <v>11399</v>
      </c>
      <c r="I2515" t="s">
        <v>11400</v>
      </c>
      <c r="J2515" t="s">
        <v>11401</v>
      </c>
    </row>
    <row r="2516" spans="1:10">
      <c r="A2516" t="s">
        <v>11402</v>
      </c>
      <c r="B2516" t="s">
        <v>11402</v>
      </c>
      <c r="C2516" t="s">
        <v>11403</v>
      </c>
      <c r="D2516">
        <v>92</v>
      </c>
      <c r="E2516" t="s">
        <v>29</v>
      </c>
      <c r="F2516" t="s">
        <v>63</v>
      </c>
      <c r="G2516" s="23">
        <v>42229</v>
      </c>
      <c r="H2516" t="s">
        <v>11404</v>
      </c>
      <c r="I2516" t="s">
        <v>11405</v>
      </c>
      <c r="J2516" t="s">
        <v>11406</v>
      </c>
    </row>
    <row r="2517" spans="1:10">
      <c r="A2517" t="s">
        <v>11407</v>
      </c>
      <c r="B2517" t="s">
        <v>11407</v>
      </c>
      <c r="C2517" t="s">
        <v>11403</v>
      </c>
      <c r="D2517">
        <v>93</v>
      </c>
      <c r="E2517" t="s">
        <v>29</v>
      </c>
      <c r="F2517" t="s">
        <v>63</v>
      </c>
      <c r="G2517" s="23">
        <v>41667</v>
      </c>
      <c r="H2517" t="s">
        <v>11408</v>
      </c>
      <c r="I2517" t="s">
        <v>11409</v>
      </c>
      <c r="J2517" t="s">
        <v>11410</v>
      </c>
    </row>
    <row r="2518" spans="1:10">
      <c r="A2518" t="s">
        <v>11411</v>
      </c>
      <c r="B2518" t="s">
        <v>11411</v>
      </c>
      <c r="C2518" t="s">
        <v>223</v>
      </c>
      <c r="D2518">
        <v>8</v>
      </c>
      <c r="E2518" t="s">
        <v>27</v>
      </c>
      <c r="F2518" t="s">
        <v>63</v>
      </c>
      <c r="G2518" s="23">
        <v>42845</v>
      </c>
      <c r="H2518" t="s">
        <v>11412</v>
      </c>
      <c r="I2518" t="s">
        <v>11413</v>
      </c>
      <c r="J2518" t="s">
        <v>11414</v>
      </c>
    </row>
    <row r="2519" spans="1:10">
      <c r="A2519" t="s">
        <v>11415</v>
      </c>
      <c r="B2519" t="s">
        <v>11415</v>
      </c>
      <c r="C2519" t="s">
        <v>11416</v>
      </c>
      <c r="D2519">
        <v>6</v>
      </c>
      <c r="E2519" t="s">
        <v>33</v>
      </c>
      <c r="F2519" t="s">
        <v>57</v>
      </c>
      <c r="G2519" s="23">
        <v>44060</v>
      </c>
      <c r="H2519" t="s">
        <v>11417</v>
      </c>
      <c r="I2519" t="s">
        <v>11418</v>
      </c>
      <c r="J2519" t="s">
        <v>11419</v>
      </c>
    </row>
    <row r="2520" spans="1:10">
      <c r="A2520" t="s">
        <v>11420</v>
      </c>
      <c r="B2520" t="s">
        <v>11420</v>
      </c>
      <c r="C2520" t="s">
        <v>11421</v>
      </c>
      <c r="D2520">
        <v>15</v>
      </c>
      <c r="E2520" t="s">
        <v>34</v>
      </c>
      <c r="F2520" t="s">
        <v>57</v>
      </c>
      <c r="G2520" s="23">
        <v>45313</v>
      </c>
      <c r="H2520" t="s">
        <v>11422</v>
      </c>
      <c r="I2520" t="s">
        <v>11423</v>
      </c>
      <c r="J2520" t="s">
        <v>11424</v>
      </c>
    </row>
    <row r="2521" spans="1:10">
      <c r="A2521" t="s">
        <v>11425</v>
      </c>
      <c r="B2521" t="s">
        <v>11425</v>
      </c>
      <c r="C2521" t="s">
        <v>68</v>
      </c>
      <c r="D2521">
        <v>80</v>
      </c>
      <c r="E2521" t="s">
        <v>33</v>
      </c>
      <c r="F2521" t="s">
        <v>63</v>
      </c>
      <c r="G2521" s="23">
        <v>41717</v>
      </c>
      <c r="H2521" t="s">
        <v>11426</v>
      </c>
      <c r="I2521" t="s">
        <v>11427</v>
      </c>
      <c r="J2521" t="s">
        <v>11428</v>
      </c>
    </row>
    <row r="2522" spans="1:10">
      <c r="A2522" t="s">
        <v>11429</v>
      </c>
      <c r="B2522" t="s">
        <v>11429</v>
      </c>
      <c r="C2522" t="s">
        <v>9251</v>
      </c>
      <c r="D2522">
        <v>3</v>
      </c>
      <c r="E2522" t="s">
        <v>29</v>
      </c>
      <c r="F2522" t="s">
        <v>63</v>
      </c>
      <c r="G2522" s="23">
        <v>44155</v>
      </c>
      <c r="H2522" t="s">
        <v>11430</v>
      </c>
      <c r="I2522" t="s">
        <v>11431</v>
      </c>
      <c r="J2522" t="s">
        <v>11432</v>
      </c>
    </row>
    <row r="2523" spans="1:10">
      <c r="A2523" t="s">
        <v>11433</v>
      </c>
      <c r="B2523" t="s">
        <v>11433</v>
      </c>
      <c r="C2523" t="s">
        <v>88</v>
      </c>
      <c r="D2523">
        <v>1</v>
      </c>
      <c r="E2523" t="s">
        <v>36</v>
      </c>
      <c r="F2523" t="s">
        <v>89</v>
      </c>
      <c r="G2523" s="23">
        <v>42854</v>
      </c>
      <c r="H2523" t="s">
        <v>11434</v>
      </c>
      <c r="I2523" t="s">
        <v>11435</v>
      </c>
      <c r="J2523" t="s">
        <v>11436</v>
      </c>
    </row>
    <row r="2524" spans="1:10">
      <c r="A2524" t="s">
        <v>11437</v>
      </c>
      <c r="B2524" t="s">
        <v>11437</v>
      </c>
      <c r="C2524" t="s">
        <v>5271</v>
      </c>
      <c r="D2524">
        <v>5</v>
      </c>
      <c r="E2524" t="s">
        <v>27</v>
      </c>
      <c r="F2524" t="s">
        <v>63</v>
      </c>
      <c r="G2524" s="23">
        <v>41491</v>
      </c>
      <c r="H2524" t="s">
        <v>11438</v>
      </c>
      <c r="I2524" t="s">
        <v>11439</v>
      </c>
      <c r="J2524" t="s">
        <v>11440</v>
      </c>
    </row>
    <row r="2525" spans="1:10">
      <c r="A2525" t="s">
        <v>11441</v>
      </c>
      <c r="B2525" t="s">
        <v>11441</v>
      </c>
      <c r="C2525" t="s">
        <v>11442</v>
      </c>
      <c r="D2525">
        <v>43</v>
      </c>
      <c r="E2525" t="s">
        <v>31</v>
      </c>
      <c r="F2525" t="s">
        <v>63</v>
      </c>
      <c r="G2525" s="23">
        <v>42276</v>
      </c>
      <c r="H2525" t="s">
        <v>11443</v>
      </c>
      <c r="I2525" t="s">
        <v>11444</v>
      </c>
      <c r="J2525" t="s">
        <v>11445</v>
      </c>
    </row>
    <row r="2526" spans="1:10">
      <c r="A2526" t="s">
        <v>11446</v>
      </c>
      <c r="B2526" t="s">
        <v>11446</v>
      </c>
      <c r="C2526" t="s">
        <v>6458</v>
      </c>
      <c r="D2526">
        <v>13</v>
      </c>
      <c r="E2526" t="s">
        <v>34</v>
      </c>
      <c r="F2526" t="s">
        <v>57</v>
      </c>
      <c r="G2526" s="23">
        <v>46199</v>
      </c>
      <c r="H2526" t="s">
        <v>11447</v>
      </c>
      <c r="I2526" t="s">
        <v>11448</v>
      </c>
      <c r="J2526" t="s">
        <v>11449</v>
      </c>
    </row>
    <row r="2527" spans="1:10">
      <c r="A2527" t="s">
        <v>11450</v>
      </c>
      <c r="B2527" t="s">
        <v>11450</v>
      </c>
      <c r="C2527" t="s">
        <v>11451</v>
      </c>
      <c r="D2527">
        <v>13</v>
      </c>
      <c r="E2527" t="s">
        <v>31</v>
      </c>
      <c r="F2527" t="s">
        <v>63</v>
      </c>
      <c r="G2527" s="23">
        <v>45076</v>
      </c>
      <c r="H2527" t="s">
        <v>11452</v>
      </c>
      <c r="I2527" t="s">
        <v>11453</v>
      </c>
      <c r="J2527" t="s">
        <v>11454</v>
      </c>
    </row>
    <row r="2528" spans="1:10">
      <c r="A2528" t="s">
        <v>11455</v>
      </c>
      <c r="B2528" t="s">
        <v>11455</v>
      </c>
      <c r="C2528" t="s">
        <v>2133</v>
      </c>
      <c r="D2528">
        <v>10</v>
      </c>
      <c r="E2528" t="s">
        <v>35</v>
      </c>
      <c r="F2528" t="s">
        <v>57</v>
      </c>
      <c r="G2528" s="23">
        <v>44455</v>
      </c>
      <c r="H2528" t="s">
        <v>11456</v>
      </c>
      <c r="I2528" t="s">
        <v>11457</v>
      </c>
      <c r="J2528" t="s">
        <v>11458</v>
      </c>
    </row>
    <row r="2529" spans="1:10">
      <c r="A2529" t="s">
        <v>11459</v>
      </c>
      <c r="B2529" t="s">
        <v>11459</v>
      </c>
      <c r="C2529" t="s">
        <v>718</v>
      </c>
      <c r="D2529">
        <v>80</v>
      </c>
      <c r="E2529" t="s">
        <v>34</v>
      </c>
      <c r="F2529" t="s">
        <v>57</v>
      </c>
      <c r="G2529" s="23">
        <v>44545</v>
      </c>
      <c r="H2529" t="s">
        <v>11460</v>
      </c>
      <c r="I2529" t="s">
        <v>11461</v>
      </c>
      <c r="J2529" t="s">
        <v>11462</v>
      </c>
    </row>
    <row r="2530" spans="1:10">
      <c r="A2530" t="s">
        <v>11463</v>
      </c>
      <c r="B2530" t="s">
        <v>11463</v>
      </c>
      <c r="C2530" t="s">
        <v>2230</v>
      </c>
      <c r="D2530">
        <v>14</v>
      </c>
      <c r="E2530" t="s">
        <v>31</v>
      </c>
      <c r="F2530" t="s">
        <v>57</v>
      </c>
      <c r="G2530" s="23">
        <v>44272</v>
      </c>
      <c r="H2530" t="s">
        <v>11464</v>
      </c>
      <c r="I2530" t="s">
        <v>11465</v>
      </c>
      <c r="J2530" t="s">
        <v>11466</v>
      </c>
    </row>
    <row r="2531" spans="1:10">
      <c r="A2531" t="s">
        <v>11467</v>
      </c>
      <c r="B2531" t="s">
        <v>11467</v>
      </c>
      <c r="C2531" t="s">
        <v>2706</v>
      </c>
      <c r="D2531">
        <v>15</v>
      </c>
      <c r="E2531" t="s">
        <v>33</v>
      </c>
      <c r="F2531" t="s">
        <v>57</v>
      </c>
      <c r="G2531" s="23">
        <v>44864</v>
      </c>
      <c r="H2531" t="s">
        <v>11468</v>
      </c>
      <c r="I2531" t="s">
        <v>11469</v>
      </c>
      <c r="J2531" t="s">
        <v>11470</v>
      </c>
    </row>
    <row r="2532" spans="1:10">
      <c r="A2532" t="s">
        <v>11471</v>
      </c>
      <c r="B2532" t="s">
        <v>11471</v>
      </c>
      <c r="C2532" t="s">
        <v>704</v>
      </c>
      <c r="D2532">
        <v>56</v>
      </c>
      <c r="E2532" t="s">
        <v>27</v>
      </c>
      <c r="F2532" t="s">
        <v>63</v>
      </c>
      <c r="G2532" s="23">
        <v>44661</v>
      </c>
      <c r="H2532" t="s">
        <v>11472</v>
      </c>
      <c r="I2532" t="s">
        <v>11473</v>
      </c>
      <c r="J2532" t="s">
        <v>11474</v>
      </c>
    </row>
    <row r="2533" spans="1:10">
      <c r="A2533" t="s">
        <v>11475</v>
      </c>
      <c r="B2533" t="s">
        <v>11475</v>
      </c>
      <c r="C2533" t="s">
        <v>11476</v>
      </c>
      <c r="D2533">
        <v>118</v>
      </c>
      <c r="E2533" t="s">
        <v>31</v>
      </c>
      <c r="F2533" t="s">
        <v>63</v>
      </c>
      <c r="G2533" s="23">
        <v>45081</v>
      </c>
      <c r="H2533" t="s">
        <v>11477</v>
      </c>
      <c r="I2533" t="s">
        <v>11478</v>
      </c>
      <c r="J2533" t="s">
        <v>11479</v>
      </c>
    </row>
    <row r="2534" spans="1:10">
      <c r="A2534" t="s">
        <v>11480</v>
      </c>
      <c r="B2534" t="s">
        <v>11480</v>
      </c>
      <c r="C2534" t="s">
        <v>895</v>
      </c>
      <c r="D2534">
        <v>7</v>
      </c>
      <c r="E2534" t="s">
        <v>31</v>
      </c>
      <c r="F2534" t="s">
        <v>63</v>
      </c>
      <c r="G2534" s="23">
        <v>42744</v>
      </c>
      <c r="H2534" t="s">
        <v>11481</v>
      </c>
      <c r="I2534" t="s">
        <v>11482</v>
      </c>
      <c r="J2534" t="s">
        <v>11483</v>
      </c>
    </row>
    <row r="2535" spans="1:10">
      <c r="A2535" t="s">
        <v>11484</v>
      </c>
      <c r="B2535" t="s">
        <v>11484</v>
      </c>
      <c r="C2535" t="s">
        <v>11485</v>
      </c>
      <c r="D2535">
        <v>26</v>
      </c>
      <c r="E2535" t="s">
        <v>33</v>
      </c>
      <c r="F2535" t="s">
        <v>57</v>
      </c>
      <c r="G2535" s="23">
        <v>44396</v>
      </c>
      <c r="H2535" t="s">
        <v>11486</v>
      </c>
      <c r="I2535" t="s">
        <v>11487</v>
      </c>
      <c r="J2535" t="s">
        <v>11488</v>
      </c>
    </row>
    <row r="2536" spans="1:10">
      <c r="A2536" t="s">
        <v>11489</v>
      </c>
      <c r="B2536" t="s">
        <v>11489</v>
      </c>
      <c r="C2536" t="s">
        <v>1389</v>
      </c>
      <c r="D2536">
        <v>9</v>
      </c>
      <c r="E2536" t="s">
        <v>29</v>
      </c>
      <c r="F2536" t="s">
        <v>57</v>
      </c>
      <c r="G2536" s="23">
        <v>46167</v>
      </c>
      <c r="H2536" t="s">
        <v>11490</v>
      </c>
      <c r="I2536" t="s">
        <v>11491</v>
      </c>
      <c r="J2536" t="s">
        <v>11492</v>
      </c>
    </row>
    <row r="2537" spans="1:10">
      <c r="A2537" t="s">
        <v>11493</v>
      </c>
      <c r="B2537" t="s">
        <v>11493</v>
      </c>
      <c r="C2537" t="s">
        <v>4492</v>
      </c>
      <c r="D2537">
        <v>21</v>
      </c>
      <c r="E2537" t="s">
        <v>27</v>
      </c>
      <c r="F2537" t="s">
        <v>63</v>
      </c>
      <c r="G2537" s="23">
        <v>42230</v>
      </c>
      <c r="H2537" t="s">
        <v>11494</v>
      </c>
      <c r="I2537" t="s">
        <v>11495</v>
      </c>
      <c r="J2537" t="s">
        <v>11496</v>
      </c>
    </row>
    <row r="2538" spans="1:10">
      <c r="A2538" t="s">
        <v>11497</v>
      </c>
      <c r="B2538" t="s">
        <v>11497</v>
      </c>
      <c r="C2538" t="s">
        <v>340</v>
      </c>
      <c r="D2538">
        <v>1</v>
      </c>
      <c r="E2538" t="s">
        <v>35</v>
      </c>
      <c r="F2538" t="s">
        <v>57</v>
      </c>
      <c r="G2538" s="23">
        <v>45214</v>
      </c>
      <c r="H2538" t="s">
        <v>11498</v>
      </c>
      <c r="I2538" t="s">
        <v>11499</v>
      </c>
      <c r="J2538" t="s">
        <v>11500</v>
      </c>
    </row>
    <row r="2539" spans="1:10">
      <c r="A2539" t="s">
        <v>11501</v>
      </c>
      <c r="B2539" t="s">
        <v>11501</v>
      </c>
      <c r="C2539" t="s">
        <v>6268</v>
      </c>
      <c r="D2539">
        <v>12</v>
      </c>
      <c r="E2539" t="s">
        <v>31</v>
      </c>
      <c r="F2539" t="s">
        <v>63</v>
      </c>
      <c r="G2539" s="23">
        <v>45941</v>
      </c>
      <c r="H2539" t="s">
        <v>11502</v>
      </c>
      <c r="I2539" t="s">
        <v>11503</v>
      </c>
      <c r="J2539" t="s">
        <v>11504</v>
      </c>
    </row>
    <row r="2540" spans="1:10">
      <c r="A2540" t="s">
        <v>11505</v>
      </c>
      <c r="B2540" t="s">
        <v>11505</v>
      </c>
      <c r="C2540" t="s">
        <v>11506</v>
      </c>
      <c r="D2540">
        <v>22</v>
      </c>
      <c r="E2540" t="s">
        <v>29</v>
      </c>
      <c r="F2540" t="s">
        <v>63</v>
      </c>
      <c r="G2540" s="23">
        <v>42326</v>
      </c>
      <c r="H2540" t="s">
        <v>11507</v>
      </c>
      <c r="I2540" t="s">
        <v>11508</v>
      </c>
      <c r="J2540" t="s">
        <v>11509</v>
      </c>
    </row>
    <row r="2541" spans="1:10">
      <c r="A2541" t="s">
        <v>11510</v>
      </c>
      <c r="B2541" t="s">
        <v>11510</v>
      </c>
      <c r="C2541" t="s">
        <v>83</v>
      </c>
      <c r="D2541">
        <v>17</v>
      </c>
      <c r="E2541" t="s">
        <v>33</v>
      </c>
      <c r="F2541" t="s">
        <v>57</v>
      </c>
      <c r="G2541" s="23">
        <v>46075</v>
      </c>
      <c r="H2541" t="s">
        <v>11511</v>
      </c>
      <c r="I2541" t="s">
        <v>11512</v>
      </c>
      <c r="J2541" t="s">
        <v>11513</v>
      </c>
    </row>
    <row r="2542" spans="1:10">
      <c r="A2542" t="s">
        <v>11514</v>
      </c>
      <c r="B2542" t="s">
        <v>11514</v>
      </c>
      <c r="C2542" t="s">
        <v>5397</v>
      </c>
      <c r="D2542">
        <v>11</v>
      </c>
      <c r="E2542" t="s">
        <v>29</v>
      </c>
      <c r="F2542" t="s">
        <v>63</v>
      </c>
      <c r="G2542" s="23">
        <v>44467</v>
      </c>
      <c r="H2542" t="s">
        <v>11515</v>
      </c>
      <c r="I2542" t="s">
        <v>11516</v>
      </c>
      <c r="J2542" t="s">
        <v>11517</v>
      </c>
    </row>
    <row r="2543" spans="1:10">
      <c r="A2543" t="s">
        <v>11518</v>
      </c>
      <c r="B2543" t="s">
        <v>11518</v>
      </c>
      <c r="C2543" t="s">
        <v>11519</v>
      </c>
      <c r="D2543">
        <v>12</v>
      </c>
      <c r="E2543" t="s">
        <v>33</v>
      </c>
      <c r="F2543" t="s">
        <v>63</v>
      </c>
      <c r="G2543" s="23">
        <v>45717</v>
      </c>
      <c r="H2543" t="s">
        <v>11520</v>
      </c>
      <c r="I2543" t="s">
        <v>11521</v>
      </c>
      <c r="J2543" t="s">
        <v>11522</v>
      </c>
    </row>
    <row r="2544" spans="1:10">
      <c r="A2544" t="s">
        <v>11523</v>
      </c>
      <c r="B2544" t="s">
        <v>11523</v>
      </c>
      <c r="C2544" t="s">
        <v>1570</v>
      </c>
      <c r="D2544">
        <v>4</v>
      </c>
      <c r="E2544" t="s">
        <v>33</v>
      </c>
      <c r="F2544" t="s">
        <v>57</v>
      </c>
      <c r="G2544" s="23">
        <v>44305</v>
      </c>
      <c r="H2544" t="s">
        <v>11524</v>
      </c>
      <c r="I2544" t="s">
        <v>11525</v>
      </c>
      <c r="J2544" t="s">
        <v>11526</v>
      </c>
    </row>
    <row r="2545" spans="1:10">
      <c r="A2545" t="s">
        <v>11527</v>
      </c>
      <c r="B2545" t="s">
        <v>11527</v>
      </c>
      <c r="C2545" t="s">
        <v>11528</v>
      </c>
      <c r="D2545">
        <v>9</v>
      </c>
      <c r="E2545" t="s">
        <v>35</v>
      </c>
      <c r="F2545" t="s">
        <v>57</v>
      </c>
      <c r="G2545" s="23">
        <v>44523</v>
      </c>
      <c r="H2545" t="s">
        <v>11529</v>
      </c>
      <c r="I2545" t="s">
        <v>11530</v>
      </c>
      <c r="J2545" t="s">
        <v>11531</v>
      </c>
    </row>
    <row r="2546" spans="1:10">
      <c r="A2546" t="s">
        <v>11532</v>
      </c>
      <c r="B2546" t="s">
        <v>11532</v>
      </c>
      <c r="C2546" t="s">
        <v>2460</v>
      </c>
      <c r="D2546">
        <v>4</v>
      </c>
      <c r="E2546" t="s">
        <v>31</v>
      </c>
      <c r="F2546" t="s">
        <v>63</v>
      </c>
      <c r="G2546" s="23">
        <v>42044</v>
      </c>
      <c r="H2546" t="s">
        <v>11533</v>
      </c>
      <c r="I2546" t="s">
        <v>11534</v>
      </c>
      <c r="J2546" t="s">
        <v>11535</v>
      </c>
    </row>
    <row r="2547" spans="1:10">
      <c r="A2547" t="s">
        <v>11536</v>
      </c>
      <c r="B2547" t="s">
        <v>11536</v>
      </c>
      <c r="C2547" t="s">
        <v>1525</v>
      </c>
      <c r="D2547">
        <v>10</v>
      </c>
      <c r="E2547" t="s">
        <v>35</v>
      </c>
      <c r="F2547" t="s">
        <v>57</v>
      </c>
      <c r="G2547" s="23">
        <v>44983</v>
      </c>
      <c r="H2547" t="s">
        <v>11537</v>
      </c>
      <c r="I2547" t="s">
        <v>11538</v>
      </c>
      <c r="J2547" t="s">
        <v>11539</v>
      </c>
    </row>
    <row r="2548" spans="1:10">
      <c r="A2548" t="s">
        <v>11540</v>
      </c>
      <c r="B2548" t="s">
        <v>11540</v>
      </c>
      <c r="C2548" t="s">
        <v>1794</v>
      </c>
      <c r="D2548">
        <v>11</v>
      </c>
      <c r="E2548" t="s">
        <v>35</v>
      </c>
      <c r="F2548" t="s">
        <v>57</v>
      </c>
      <c r="G2548" s="23">
        <v>44449</v>
      </c>
      <c r="H2548" t="s">
        <v>11541</v>
      </c>
      <c r="I2548" t="s">
        <v>11542</v>
      </c>
      <c r="J2548" t="s">
        <v>11543</v>
      </c>
    </row>
    <row r="2549" spans="1:10">
      <c r="A2549" t="s">
        <v>11544</v>
      </c>
      <c r="B2549" t="s">
        <v>11544</v>
      </c>
      <c r="C2549" t="s">
        <v>1794</v>
      </c>
      <c r="D2549">
        <v>14</v>
      </c>
      <c r="E2549" t="s">
        <v>35</v>
      </c>
      <c r="F2549" t="s">
        <v>57</v>
      </c>
      <c r="G2549" s="23">
        <v>45424</v>
      </c>
      <c r="H2549" t="s">
        <v>11545</v>
      </c>
      <c r="I2549" t="s">
        <v>11546</v>
      </c>
      <c r="J2549" t="s">
        <v>11547</v>
      </c>
    </row>
    <row r="2550" spans="1:10">
      <c r="A2550" t="s">
        <v>11548</v>
      </c>
      <c r="B2550" t="s">
        <v>11548</v>
      </c>
      <c r="C2550" t="s">
        <v>2979</v>
      </c>
      <c r="D2550">
        <v>13</v>
      </c>
      <c r="E2550" t="s">
        <v>35</v>
      </c>
      <c r="F2550" t="s">
        <v>115</v>
      </c>
      <c r="G2550" s="23">
        <v>43965</v>
      </c>
      <c r="H2550" t="s">
        <v>11549</v>
      </c>
      <c r="I2550" t="s">
        <v>11550</v>
      </c>
      <c r="J2550" t="s">
        <v>11551</v>
      </c>
    </row>
    <row r="2551" spans="1:10">
      <c r="A2551" t="s">
        <v>14</v>
      </c>
      <c r="B2551" t="s">
        <v>14</v>
      </c>
      <c r="C2551" t="s">
        <v>5271</v>
      </c>
      <c r="D2551">
        <v>12</v>
      </c>
      <c r="E2551" t="s">
        <v>29</v>
      </c>
      <c r="F2551" t="s">
        <v>63</v>
      </c>
      <c r="G2551" s="23">
        <v>41445</v>
      </c>
      <c r="H2551" t="s">
        <v>11552</v>
      </c>
      <c r="I2551" t="s">
        <v>11553</v>
      </c>
      <c r="J2551" t="s">
        <v>11554</v>
      </c>
    </row>
    <row r="2552" spans="1:10">
      <c r="A2552" t="s">
        <v>11555</v>
      </c>
      <c r="B2552" t="s">
        <v>11555</v>
      </c>
      <c r="C2552" t="s">
        <v>1171</v>
      </c>
      <c r="D2552">
        <v>6</v>
      </c>
      <c r="E2552" t="s">
        <v>31</v>
      </c>
      <c r="F2552" t="s">
        <v>57</v>
      </c>
      <c r="G2552" s="23">
        <v>44677</v>
      </c>
      <c r="H2552" t="s">
        <v>11556</v>
      </c>
      <c r="I2552" t="s">
        <v>11557</v>
      </c>
      <c r="J2552" t="s">
        <v>11558</v>
      </c>
    </row>
    <row r="2553" spans="1:10">
      <c r="A2553" t="s">
        <v>11559</v>
      </c>
      <c r="B2553" t="s">
        <v>11559</v>
      </c>
      <c r="C2553" t="s">
        <v>5065</v>
      </c>
      <c r="D2553">
        <v>5</v>
      </c>
      <c r="E2553" t="s">
        <v>27</v>
      </c>
      <c r="F2553" t="s">
        <v>63</v>
      </c>
      <c r="G2553" s="23">
        <v>42178</v>
      </c>
      <c r="H2553" t="s">
        <v>11560</v>
      </c>
      <c r="I2553" t="s">
        <v>11561</v>
      </c>
      <c r="J2553" t="s">
        <v>11562</v>
      </c>
    </row>
    <row r="2554" spans="1:10">
      <c r="A2554" t="s">
        <v>11563</v>
      </c>
      <c r="B2554" t="s">
        <v>11563</v>
      </c>
      <c r="C2554" t="s">
        <v>11564</v>
      </c>
      <c r="D2554">
        <v>11</v>
      </c>
      <c r="E2554" t="s">
        <v>35</v>
      </c>
      <c r="F2554" t="s">
        <v>57</v>
      </c>
      <c r="G2554" s="23">
        <v>45386</v>
      </c>
      <c r="H2554" t="s">
        <v>11565</v>
      </c>
      <c r="I2554" t="s">
        <v>11566</v>
      </c>
      <c r="J2554" t="s">
        <v>11567</v>
      </c>
    </row>
    <row r="2555" spans="1:10">
      <c r="A2555" t="s">
        <v>11568</v>
      </c>
      <c r="B2555" t="s">
        <v>11568</v>
      </c>
      <c r="C2555" t="s">
        <v>11569</v>
      </c>
      <c r="D2555">
        <v>22</v>
      </c>
      <c r="E2555" t="s">
        <v>33</v>
      </c>
      <c r="F2555" t="s">
        <v>57</v>
      </c>
      <c r="G2555" s="23">
        <v>43970</v>
      </c>
      <c r="H2555" t="s">
        <v>11570</v>
      </c>
      <c r="I2555" t="s">
        <v>11571</v>
      </c>
      <c r="J2555" t="s">
        <v>11572</v>
      </c>
    </row>
    <row r="2556" spans="1:10">
      <c r="A2556" t="s">
        <v>11573</v>
      </c>
      <c r="B2556" t="s">
        <v>11573</v>
      </c>
      <c r="C2556" t="s">
        <v>6073</v>
      </c>
      <c r="D2556">
        <v>17</v>
      </c>
      <c r="E2556" t="s">
        <v>33</v>
      </c>
      <c r="F2556" t="s">
        <v>57</v>
      </c>
      <c r="G2556" s="23">
        <v>44318</v>
      </c>
      <c r="H2556" t="s">
        <v>11574</v>
      </c>
      <c r="I2556" t="s">
        <v>11575</v>
      </c>
      <c r="J2556" t="s">
        <v>11576</v>
      </c>
    </row>
    <row r="2557" spans="1:10">
      <c r="A2557" t="s">
        <v>11577</v>
      </c>
      <c r="B2557" t="s">
        <v>11577</v>
      </c>
      <c r="C2557" t="s">
        <v>452</v>
      </c>
      <c r="D2557">
        <v>18</v>
      </c>
      <c r="E2557" t="s">
        <v>31</v>
      </c>
      <c r="F2557" t="s">
        <v>63</v>
      </c>
      <c r="G2557" s="23">
        <v>45573</v>
      </c>
      <c r="H2557" t="s">
        <v>11578</v>
      </c>
      <c r="I2557" t="s">
        <v>11579</v>
      </c>
      <c r="J2557" t="s">
        <v>11580</v>
      </c>
    </row>
    <row r="2558" spans="1:10">
      <c r="A2558" t="s">
        <v>11581</v>
      </c>
      <c r="B2558" t="s">
        <v>11581</v>
      </c>
      <c r="C2558" t="s">
        <v>11582</v>
      </c>
      <c r="D2558">
        <v>56</v>
      </c>
      <c r="E2558" t="s">
        <v>33</v>
      </c>
      <c r="F2558" t="s">
        <v>63</v>
      </c>
      <c r="G2558" s="23">
        <v>46222</v>
      </c>
      <c r="H2558" t="s">
        <v>11583</v>
      </c>
      <c r="I2558" t="s">
        <v>11584</v>
      </c>
      <c r="J2558" t="s">
        <v>11585</v>
      </c>
    </row>
    <row r="2559" spans="1:10">
      <c r="A2559" t="s">
        <v>11586</v>
      </c>
      <c r="B2559" t="s">
        <v>11586</v>
      </c>
      <c r="C2559" t="s">
        <v>5060</v>
      </c>
      <c r="D2559">
        <v>65</v>
      </c>
      <c r="E2559" t="s">
        <v>31</v>
      </c>
      <c r="F2559" t="s">
        <v>63</v>
      </c>
      <c r="G2559" s="23">
        <v>45725</v>
      </c>
      <c r="H2559" t="s">
        <v>11587</v>
      </c>
      <c r="I2559" t="s">
        <v>11588</v>
      </c>
      <c r="J2559" t="s">
        <v>11589</v>
      </c>
    </row>
    <row r="2560" spans="1:10">
      <c r="A2560" t="s">
        <v>11590</v>
      </c>
      <c r="B2560" t="s">
        <v>11590</v>
      </c>
      <c r="C2560" t="s">
        <v>11591</v>
      </c>
      <c r="D2560">
        <v>9</v>
      </c>
      <c r="E2560" t="s">
        <v>27</v>
      </c>
      <c r="F2560" t="s">
        <v>63</v>
      </c>
      <c r="G2560" s="23">
        <v>43783</v>
      </c>
      <c r="H2560" t="s">
        <v>11592</v>
      </c>
      <c r="I2560" t="s">
        <v>11593</v>
      </c>
      <c r="J2560" t="s">
        <v>11594</v>
      </c>
    </row>
    <row r="2561" spans="1:10">
      <c r="A2561" t="s">
        <v>11595</v>
      </c>
      <c r="B2561" t="s">
        <v>11595</v>
      </c>
      <c r="C2561" t="s">
        <v>104</v>
      </c>
      <c r="D2561">
        <v>27</v>
      </c>
      <c r="E2561" t="s">
        <v>35</v>
      </c>
      <c r="F2561" t="s">
        <v>57</v>
      </c>
      <c r="G2561" s="23">
        <v>44872</v>
      </c>
      <c r="H2561" t="s">
        <v>11596</v>
      </c>
      <c r="I2561" t="s">
        <v>11597</v>
      </c>
      <c r="J2561" t="s">
        <v>11598</v>
      </c>
    </row>
    <row r="2562" spans="1:10">
      <c r="A2562" t="s">
        <v>11599</v>
      </c>
      <c r="B2562" t="s">
        <v>11599</v>
      </c>
      <c r="C2562" t="s">
        <v>10205</v>
      </c>
      <c r="D2562">
        <v>10</v>
      </c>
      <c r="E2562" t="s">
        <v>33</v>
      </c>
      <c r="F2562" t="s">
        <v>57</v>
      </c>
      <c r="G2562" s="23">
        <v>44449</v>
      </c>
      <c r="H2562" t="s">
        <v>11600</v>
      </c>
      <c r="I2562" t="s">
        <v>11601</v>
      </c>
      <c r="J2562" t="s">
        <v>11602</v>
      </c>
    </row>
    <row r="2563" spans="1:10">
      <c r="A2563" t="s">
        <v>11603</v>
      </c>
      <c r="B2563" t="s">
        <v>11603</v>
      </c>
      <c r="C2563" t="s">
        <v>485</v>
      </c>
      <c r="D2563">
        <v>9</v>
      </c>
      <c r="E2563" t="s">
        <v>35</v>
      </c>
      <c r="F2563" t="s">
        <v>57</v>
      </c>
      <c r="G2563" s="23">
        <v>44909</v>
      </c>
      <c r="H2563" t="s">
        <v>11604</v>
      </c>
      <c r="I2563" t="s">
        <v>11605</v>
      </c>
      <c r="J2563" t="s">
        <v>11606</v>
      </c>
    </row>
    <row r="2564" spans="1:10">
      <c r="A2564" t="s">
        <v>11607</v>
      </c>
      <c r="B2564" t="s">
        <v>11607</v>
      </c>
      <c r="C2564" t="s">
        <v>11608</v>
      </c>
      <c r="D2564">
        <v>20</v>
      </c>
      <c r="E2564" t="s">
        <v>33</v>
      </c>
      <c r="F2564" t="s">
        <v>63</v>
      </c>
      <c r="G2564" s="23">
        <v>45859</v>
      </c>
      <c r="H2564" t="s">
        <v>11609</v>
      </c>
      <c r="I2564" t="s">
        <v>11610</v>
      </c>
      <c r="J2564" t="s">
        <v>11611</v>
      </c>
    </row>
    <row r="2565" spans="1:10">
      <c r="A2565" t="s">
        <v>11612</v>
      </c>
      <c r="B2565" t="s">
        <v>11612</v>
      </c>
      <c r="C2565" t="s">
        <v>2245</v>
      </c>
      <c r="D2565">
        <v>8</v>
      </c>
      <c r="E2565" t="s">
        <v>34</v>
      </c>
      <c r="F2565" t="s">
        <v>57</v>
      </c>
      <c r="G2565" s="23">
        <v>43666</v>
      </c>
      <c r="H2565" t="s">
        <v>11613</v>
      </c>
      <c r="I2565" t="s">
        <v>11614</v>
      </c>
      <c r="J2565" t="s">
        <v>11615</v>
      </c>
    </row>
    <row r="2566" spans="1:10">
      <c r="A2566" t="s">
        <v>11616</v>
      </c>
      <c r="B2566" t="s">
        <v>11616</v>
      </c>
      <c r="C2566" t="s">
        <v>2245</v>
      </c>
      <c r="D2566">
        <v>5</v>
      </c>
      <c r="E2566" t="s">
        <v>34</v>
      </c>
      <c r="F2566" t="s">
        <v>57</v>
      </c>
      <c r="G2566" s="23">
        <v>44147</v>
      </c>
      <c r="H2566" t="s">
        <v>11617</v>
      </c>
      <c r="I2566" t="s">
        <v>11618</v>
      </c>
      <c r="J2566" t="s">
        <v>11619</v>
      </c>
    </row>
    <row r="2567" spans="1:10">
      <c r="A2567" t="s">
        <v>11620</v>
      </c>
      <c r="B2567" t="s">
        <v>11620</v>
      </c>
      <c r="C2567" t="s">
        <v>2245</v>
      </c>
      <c r="D2567">
        <v>7</v>
      </c>
      <c r="E2567" t="s">
        <v>34</v>
      </c>
      <c r="F2567" t="s">
        <v>57</v>
      </c>
      <c r="G2567" s="23">
        <v>44146</v>
      </c>
      <c r="H2567" t="s">
        <v>11621</v>
      </c>
      <c r="I2567" t="s">
        <v>11622</v>
      </c>
      <c r="J2567" t="s">
        <v>11623</v>
      </c>
    </row>
    <row r="2568" spans="1:10">
      <c r="A2568" t="s">
        <v>11624</v>
      </c>
      <c r="B2568" t="s">
        <v>11624</v>
      </c>
      <c r="C2568" t="s">
        <v>11625</v>
      </c>
      <c r="D2568">
        <v>33</v>
      </c>
      <c r="E2568" t="s">
        <v>34</v>
      </c>
      <c r="F2568" t="s">
        <v>57</v>
      </c>
      <c r="G2568" s="23">
        <v>44735</v>
      </c>
      <c r="H2568" t="s">
        <v>11626</v>
      </c>
      <c r="I2568" t="s">
        <v>11627</v>
      </c>
      <c r="J2568" t="s">
        <v>11628</v>
      </c>
    </row>
    <row r="2569" spans="1:10">
      <c r="A2569" t="s">
        <v>11629</v>
      </c>
      <c r="B2569" t="s">
        <v>11629</v>
      </c>
      <c r="C2569" t="s">
        <v>11625</v>
      </c>
      <c r="D2569">
        <v>23</v>
      </c>
      <c r="E2569" t="s">
        <v>35</v>
      </c>
      <c r="F2569" t="s">
        <v>57</v>
      </c>
      <c r="G2569" s="23">
        <v>45642</v>
      </c>
      <c r="H2569" t="s">
        <v>11630</v>
      </c>
      <c r="I2569" t="s">
        <v>11631</v>
      </c>
      <c r="J2569" t="s">
        <v>11632</v>
      </c>
    </row>
    <row r="2570" spans="1:10">
      <c r="A2570" t="s">
        <v>11633</v>
      </c>
      <c r="B2570" t="s">
        <v>11633</v>
      </c>
      <c r="C2570" t="s">
        <v>11625</v>
      </c>
      <c r="D2570">
        <v>44</v>
      </c>
      <c r="E2570" t="s">
        <v>34</v>
      </c>
      <c r="F2570" t="s">
        <v>57</v>
      </c>
      <c r="G2570" s="23">
        <v>45383</v>
      </c>
      <c r="H2570" t="s">
        <v>11634</v>
      </c>
      <c r="I2570" t="s">
        <v>11635</v>
      </c>
      <c r="J2570" t="s">
        <v>11636</v>
      </c>
    </row>
    <row r="2571" spans="1:10">
      <c r="A2571" t="s">
        <v>11637</v>
      </c>
      <c r="B2571" t="s">
        <v>11637</v>
      </c>
      <c r="C2571" t="s">
        <v>11638</v>
      </c>
      <c r="D2571">
        <v>26</v>
      </c>
      <c r="E2571" t="s">
        <v>31</v>
      </c>
      <c r="F2571" t="s">
        <v>63</v>
      </c>
      <c r="G2571" s="23">
        <v>44726</v>
      </c>
      <c r="H2571" t="s">
        <v>11639</v>
      </c>
      <c r="I2571" t="s">
        <v>11640</v>
      </c>
      <c r="J2571" t="s">
        <v>11641</v>
      </c>
    </row>
    <row r="2572" spans="1:10">
      <c r="A2572" t="s">
        <v>11642</v>
      </c>
      <c r="B2572" t="s">
        <v>11642</v>
      </c>
      <c r="C2572" t="s">
        <v>11638</v>
      </c>
      <c r="D2572">
        <v>23</v>
      </c>
      <c r="E2572" t="s">
        <v>29</v>
      </c>
      <c r="F2572" t="s">
        <v>63</v>
      </c>
      <c r="G2572" s="23">
        <v>43449</v>
      </c>
      <c r="H2572" t="s">
        <v>11643</v>
      </c>
      <c r="I2572" t="s">
        <v>11644</v>
      </c>
      <c r="J2572" t="s">
        <v>11645</v>
      </c>
    </row>
    <row r="2573" spans="1:10">
      <c r="A2573" t="s">
        <v>11646</v>
      </c>
      <c r="B2573" t="s">
        <v>11646</v>
      </c>
      <c r="C2573" t="s">
        <v>1804</v>
      </c>
      <c r="D2573">
        <v>9</v>
      </c>
      <c r="E2573" t="s">
        <v>31</v>
      </c>
      <c r="F2573" t="s">
        <v>63</v>
      </c>
      <c r="G2573" s="23">
        <v>44035</v>
      </c>
      <c r="H2573" t="s">
        <v>11647</v>
      </c>
      <c r="I2573" t="s">
        <v>11648</v>
      </c>
      <c r="J2573" t="s">
        <v>11649</v>
      </c>
    </row>
    <row r="2574" spans="1:10">
      <c r="A2574" t="s">
        <v>11650</v>
      </c>
      <c r="B2574" t="s">
        <v>11650</v>
      </c>
      <c r="C2574" t="s">
        <v>4965</v>
      </c>
      <c r="D2574">
        <v>19</v>
      </c>
      <c r="E2574" t="s">
        <v>35</v>
      </c>
      <c r="F2574" t="s">
        <v>57</v>
      </c>
      <c r="G2574" s="23">
        <v>44268</v>
      </c>
      <c r="H2574" t="s">
        <v>11651</v>
      </c>
      <c r="I2574" t="s">
        <v>11652</v>
      </c>
      <c r="J2574" t="s">
        <v>11653</v>
      </c>
    </row>
    <row r="2575" spans="1:10">
      <c r="A2575" t="s">
        <v>11654</v>
      </c>
      <c r="B2575" t="s">
        <v>11654</v>
      </c>
      <c r="C2575" t="s">
        <v>11655</v>
      </c>
      <c r="D2575">
        <v>18</v>
      </c>
      <c r="E2575" t="s">
        <v>31</v>
      </c>
      <c r="F2575" t="s">
        <v>63</v>
      </c>
      <c r="G2575" s="23">
        <v>41650</v>
      </c>
      <c r="H2575" t="s">
        <v>11656</v>
      </c>
      <c r="I2575" t="s">
        <v>11657</v>
      </c>
      <c r="J2575" t="s">
        <v>11658</v>
      </c>
    </row>
    <row r="2576" spans="1:10">
      <c r="A2576" t="s">
        <v>11659</v>
      </c>
      <c r="B2576" t="s">
        <v>11659</v>
      </c>
      <c r="C2576" t="s">
        <v>355</v>
      </c>
      <c r="D2576">
        <v>1</v>
      </c>
      <c r="E2576" t="s">
        <v>34</v>
      </c>
      <c r="F2576" t="s">
        <v>6304</v>
      </c>
      <c r="G2576" s="23">
        <v>45736</v>
      </c>
      <c r="H2576" t="s">
        <v>11660</v>
      </c>
      <c r="I2576" t="s">
        <v>11661</v>
      </c>
      <c r="J2576" t="s">
        <v>11662</v>
      </c>
    </row>
    <row r="2577" spans="1:10">
      <c r="A2577" t="s">
        <v>11663</v>
      </c>
      <c r="B2577" t="s">
        <v>11663</v>
      </c>
      <c r="C2577" t="s">
        <v>11664</v>
      </c>
      <c r="D2577">
        <v>1</v>
      </c>
      <c r="E2577" t="s">
        <v>33</v>
      </c>
      <c r="F2577" t="s">
        <v>57</v>
      </c>
      <c r="G2577" s="23">
        <v>45481</v>
      </c>
      <c r="H2577" t="s">
        <v>11665</v>
      </c>
      <c r="I2577" t="s">
        <v>11666</v>
      </c>
      <c r="J2577" t="s">
        <v>11667</v>
      </c>
    </row>
    <row r="2578" spans="1:10">
      <c r="A2578" t="s">
        <v>11668</v>
      </c>
      <c r="B2578" t="s">
        <v>11668</v>
      </c>
      <c r="C2578" t="s">
        <v>11664</v>
      </c>
      <c r="D2578">
        <v>0</v>
      </c>
      <c r="E2578" t="s">
        <v>33</v>
      </c>
      <c r="F2578" t="s">
        <v>57</v>
      </c>
      <c r="G2578" s="23">
        <v>46191</v>
      </c>
      <c r="H2578" t="s">
        <v>11669</v>
      </c>
      <c r="I2578" t="s">
        <v>11670</v>
      </c>
      <c r="J2578" t="s">
        <v>11671</v>
      </c>
    </row>
    <row r="2579" spans="1:10">
      <c r="A2579" t="s">
        <v>11672</v>
      </c>
      <c r="B2579" t="s">
        <v>11672</v>
      </c>
      <c r="C2579" t="s">
        <v>2493</v>
      </c>
      <c r="D2579">
        <v>1</v>
      </c>
      <c r="E2579" t="s">
        <v>34</v>
      </c>
      <c r="F2579" t="s">
        <v>57</v>
      </c>
      <c r="G2579" s="23">
        <v>42638</v>
      </c>
      <c r="H2579" t="s">
        <v>11673</v>
      </c>
      <c r="I2579" t="s">
        <v>11674</v>
      </c>
      <c r="J2579" t="s">
        <v>11675</v>
      </c>
    </row>
    <row r="2580" spans="1:10">
      <c r="A2580" t="s">
        <v>11676</v>
      </c>
      <c r="B2580" t="s">
        <v>11676</v>
      </c>
      <c r="C2580" t="s">
        <v>2081</v>
      </c>
      <c r="D2580">
        <v>1</v>
      </c>
      <c r="E2580" t="s">
        <v>34</v>
      </c>
      <c r="F2580" t="s">
        <v>57</v>
      </c>
      <c r="G2580" s="23">
        <v>45613</v>
      </c>
      <c r="H2580" t="s">
        <v>11677</v>
      </c>
      <c r="I2580" t="s">
        <v>11678</v>
      </c>
      <c r="J2580" t="s">
        <v>11679</v>
      </c>
    </row>
    <row r="2581" spans="1:10">
      <c r="A2581" t="s">
        <v>11680</v>
      </c>
      <c r="B2581" t="s">
        <v>11680</v>
      </c>
      <c r="C2581" t="s">
        <v>1478</v>
      </c>
      <c r="D2581">
        <v>2</v>
      </c>
      <c r="E2581" t="s">
        <v>35</v>
      </c>
      <c r="F2581" t="s">
        <v>57</v>
      </c>
      <c r="G2581" s="23">
        <v>44816</v>
      </c>
      <c r="H2581" t="s">
        <v>11681</v>
      </c>
      <c r="I2581" t="s">
        <v>11682</v>
      </c>
      <c r="J2581" t="s">
        <v>11683</v>
      </c>
    </row>
    <row r="2582" spans="1:10">
      <c r="A2582" t="s">
        <v>11684</v>
      </c>
      <c r="B2582" t="s">
        <v>11684</v>
      </c>
      <c r="C2582" t="s">
        <v>1478</v>
      </c>
      <c r="D2582">
        <v>1</v>
      </c>
      <c r="E2582" t="s">
        <v>34</v>
      </c>
      <c r="F2582" t="s">
        <v>57</v>
      </c>
      <c r="G2582" s="23">
        <v>44400</v>
      </c>
      <c r="H2582" t="s">
        <v>11685</v>
      </c>
      <c r="I2582" t="s">
        <v>11686</v>
      </c>
      <c r="J2582" t="s">
        <v>11687</v>
      </c>
    </row>
    <row r="2583" spans="1:10">
      <c r="A2583" t="s">
        <v>11688</v>
      </c>
      <c r="B2583" t="s">
        <v>11688</v>
      </c>
      <c r="C2583" t="s">
        <v>494</v>
      </c>
      <c r="D2583">
        <v>5</v>
      </c>
      <c r="E2583" t="s">
        <v>36</v>
      </c>
      <c r="F2583" t="s">
        <v>57</v>
      </c>
      <c r="G2583" s="23">
        <v>44953</v>
      </c>
      <c r="H2583" t="s">
        <v>11689</v>
      </c>
      <c r="I2583" t="s">
        <v>11690</v>
      </c>
      <c r="J2583" t="s">
        <v>11691</v>
      </c>
    </row>
    <row r="2584" spans="1:10">
      <c r="A2584" t="s">
        <v>11692</v>
      </c>
      <c r="B2584" t="s">
        <v>11692</v>
      </c>
      <c r="C2584" t="s">
        <v>5894</v>
      </c>
      <c r="D2584">
        <v>9</v>
      </c>
      <c r="E2584" t="s">
        <v>35</v>
      </c>
      <c r="F2584" t="s">
        <v>57</v>
      </c>
      <c r="G2584" s="23">
        <v>45462</v>
      </c>
      <c r="H2584" t="s">
        <v>11693</v>
      </c>
      <c r="I2584" t="s">
        <v>11694</v>
      </c>
      <c r="J2584" t="s">
        <v>11695</v>
      </c>
    </row>
    <row r="2585" spans="1:10">
      <c r="A2585" t="s">
        <v>11696</v>
      </c>
      <c r="B2585" t="s">
        <v>11696</v>
      </c>
      <c r="C2585" t="s">
        <v>6670</v>
      </c>
      <c r="D2585">
        <v>6</v>
      </c>
      <c r="E2585" t="s">
        <v>34</v>
      </c>
      <c r="F2585" t="s">
        <v>115</v>
      </c>
      <c r="G2585" s="23">
        <v>44623</v>
      </c>
      <c r="H2585" t="s">
        <v>11697</v>
      </c>
      <c r="I2585" t="s">
        <v>11698</v>
      </c>
      <c r="J2585" t="s">
        <v>11699</v>
      </c>
    </row>
    <row r="2586" spans="1:10">
      <c r="A2586" t="s">
        <v>11700</v>
      </c>
      <c r="B2586" t="s">
        <v>11700</v>
      </c>
      <c r="C2586" t="s">
        <v>1996</v>
      </c>
      <c r="D2586">
        <v>20</v>
      </c>
      <c r="E2586" t="s">
        <v>31</v>
      </c>
      <c r="F2586" t="s">
        <v>63</v>
      </c>
      <c r="G2586" s="23">
        <v>42977</v>
      </c>
      <c r="H2586" t="s">
        <v>11701</v>
      </c>
      <c r="I2586" t="s">
        <v>11702</v>
      </c>
      <c r="J2586" t="s">
        <v>11703</v>
      </c>
    </row>
    <row r="2587" spans="1:10">
      <c r="A2587" t="s">
        <v>11704</v>
      </c>
      <c r="B2587" t="s">
        <v>11704</v>
      </c>
      <c r="C2587" t="s">
        <v>2245</v>
      </c>
      <c r="D2587">
        <v>29</v>
      </c>
      <c r="E2587" t="s">
        <v>33</v>
      </c>
      <c r="F2587" t="s">
        <v>63</v>
      </c>
      <c r="G2587" s="23">
        <v>44312</v>
      </c>
      <c r="H2587" t="s">
        <v>11705</v>
      </c>
      <c r="I2587" t="s">
        <v>11706</v>
      </c>
      <c r="J2587" t="s">
        <v>11707</v>
      </c>
    </row>
    <row r="2588" spans="1:10">
      <c r="A2588" t="s">
        <v>11708</v>
      </c>
      <c r="B2588" t="s">
        <v>11708</v>
      </c>
      <c r="C2588" t="s">
        <v>1230</v>
      </c>
      <c r="D2588">
        <v>5</v>
      </c>
      <c r="E2588" t="s">
        <v>29</v>
      </c>
      <c r="F2588" t="s">
        <v>63</v>
      </c>
      <c r="G2588" s="23">
        <v>42482</v>
      </c>
      <c r="H2588" t="s">
        <v>11709</v>
      </c>
      <c r="I2588" t="s">
        <v>11710</v>
      </c>
      <c r="J2588" t="s">
        <v>11711</v>
      </c>
    </row>
    <row r="2589" spans="1:10">
      <c r="A2589" t="s">
        <v>11712</v>
      </c>
      <c r="B2589" t="s">
        <v>11712</v>
      </c>
      <c r="C2589" t="s">
        <v>11713</v>
      </c>
      <c r="D2589">
        <v>16</v>
      </c>
      <c r="E2589" t="s">
        <v>31</v>
      </c>
      <c r="F2589" t="s">
        <v>57</v>
      </c>
      <c r="G2589" s="23">
        <v>46220</v>
      </c>
      <c r="H2589" t="s">
        <v>11714</v>
      </c>
      <c r="I2589" t="s">
        <v>11715</v>
      </c>
      <c r="J2589" t="s">
        <v>11716</v>
      </c>
    </row>
    <row r="2590" spans="1:10">
      <c r="A2590" t="s">
        <v>11717</v>
      </c>
      <c r="B2590" t="s">
        <v>11717</v>
      </c>
      <c r="C2590" t="s">
        <v>11718</v>
      </c>
      <c r="D2590">
        <v>8</v>
      </c>
      <c r="E2590" t="s">
        <v>34</v>
      </c>
      <c r="F2590" t="s">
        <v>57</v>
      </c>
      <c r="G2590" s="23">
        <v>43957</v>
      </c>
      <c r="H2590" t="s">
        <v>11719</v>
      </c>
      <c r="I2590" t="s">
        <v>11720</v>
      </c>
      <c r="J2590" t="s">
        <v>11721</v>
      </c>
    </row>
    <row r="2591" spans="1:10">
      <c r="A2591" t="s">
        <v>11722</v>
      </c>
      <c r="B2591" t="s">
        <v>11722</v>
      </c>
      <c r="C2591" t="s">
        <v>11718</v>
      </c>
      <c r="D2591">
        <v>7</v>
      </c>
      <c r="E2591" t="s">
        <v>35</v>
      </c>
      <c r="F2591" t="s">
        <v>57</v>
      </c>
      <c r="G2591" s="23">
        <v>44506</v>
      </c>
      <c r="H2591" t="s">
        <v>11723</v>
      </c>
      <c r="I2591" t="s">
        <v>11724</v>
      </c>
      <c r="J2591" t="s">
        <v>11725</v>
      </c>
    </row>
    <row r="2592" spans="1:10">
      <c r="A2592" t="s">
        <v>11726</v>
      </c>
      <c r="B2592" t="s">
        <v>11726</v>
      </c>
      <c r="C2592" t="s">
        <v>665</v>
      </c>
      <c r="D2592">
        <v>14</v>
      </c>
      <c r="E2592" t="s">
        <v>34</v>
      </c>
      <c r="F2592" t="s">
        <v>57</v>
      </c>
      <c r="G2592" s="23">
        <v>45022</v>
      </c>
      <c r="H2592" t="s">
        <v>11727</v>
      </c>
      <c r="I2592" t="s">
        <v>11728</v>
      </c>
      <c r="J2592" t="s">
        <v>11729</v>
      </c>
    </row>
    <row r="2593" spans="1:10">
      <c r="A2593" t="s">
        <v>11730</v>
      </c>
      <c r="B2593" t="s">
        <v>11730</v>
      </c>
      <c r="C2593" t="s">
        <v>7218</v>
      </c>
      <c r="D2593">
        <v>10</v>
      </c>
      <c r="E2593" t="s">
        <v>31</v>
      </c>
      <c r="F2593" t="s">
        <v>63</v>
      </c>
      <c r="G2593" s="23">
        <v>45295</v>
      </c>
      <c r="H2593" t="s">
        <v>11731</v>
      </c>
      <c r="I2593" t="s">
        <v>11732</v>
      </c>
      <c r="J2593" t="s">
        <v>11733</v>
      </c>
    </row>
    <row r="2594" spans="1:10">
      <c r="A2594" t="s">
        <v>11734</v>
      </c>
      <c r="B2594" t="s">
        <v>11734</v>
      </c>
      <c r="C2594" t="s">
        <v>11735</v>
      </c>
      <c r="D2594">
        <v>17</v>
      </c>
      <c r="E2594" t="s">
        <v>29</v>
      </c>
      <c r="F2594" t="s">
        <v>63</v>
      </c>
      <c r="G2594" s="23">
        <v>42611</v>
      </c>
      <c r="H2594" t="s">
        <v>11736</v>
      </c>
      <c r="I2594" t="s">
        <v>11737</v>
      </c>
      <c r="J2594" t="s">
        <v>11738</v>
      </c>
    </row>
    <row r="2595" spans="1:10">
      <c r="A2595" t="s">
        <v>11739</v>
      </c>
      <c r="B2595" t="s">
        <v>11739</v>
      </c>
      <c r="C2595" t="s">
        <v>7530</v>
      </c>
      <c r="D2595">
        <v>43</v>
      </c>
      <c r="E2595" t="s">
        <v>33</v>
      </c>
      <c r="F2595" t="s">
        <v>63</v>
      </c>
      <c r="G2595" s="23">
        <v>45314</v>
      </c>
      <c r="H2595" t="s">
        <v>11740</v>
      </c>
      <c r="I2595" t="s">
        <v>11741</v>
      </c>
      <c r="J2595" t="s">
        <v>11742</v>
      </c>
    </row>
    <row r="2596" spans="1:10">
      <c r="A2596" t="s">
        <v>11743</v>
      </c>
      <c r="B2596" t="s">
        <v>11743</v>
      </c>
      <c r="C2596" t="s">
        <v>8830</v>
      </c>
      <c r="D2596">
        <v>1</v>
      </c>
      <c r="E2596" t="s">
        <v>29</v>
      </c>
      <c r="F2596" t="s">
        <v>63</v>
      </c>
      <c r="G2596" s="23">
        <v>42128</v>
      </c>
      <c r="H2596" t="s">
        <v>11744</v>
      </c>
      <c r="I2596" t="s">
        <v>11745</v>
      </c>
      <c r="J2596" t="s">
        <v>11746</v>
      </c>
    </row>
    <row r="2597" spans="1:10">
      <c r="A2597" t="s">
        <v>11747</v>
      </c>
      <c r="B2597" t="s">
        <v>11747</v>
      </c>
      <c r="C2597" t="s">
        <v>8543</v>
      </c>
      <c r="D2597">
        <v>9</v>
      </c>
      <c r="E2597" t="s">
        <v>29</v>
      </c>
      <c r="F2597" t="s">
        <v>63</v>
      </c>
      <c r="G2597" s="23">
        <v>41445</v>
      </c>
      <c r="H2597" t="s">
        <v>11748</v>
      </c>
      <c r="I2597" t="s">
        <v>11749</v>
      </c>
      <c r="J2597" t="s">
        <v>11750</v>
      </c>
    </row>
    <row r="2598" spans="1:10">
      <c r="A2598" t="s">
        <v>11751</v>
      </c>
      <c r="B2598" t="s">
        <v>11751</v>
      </c>
      <c r="C2598" t="s">
        <v>1097</v>
      </c>
      <c r="D2598">
        <v>1</v>
      </c>
      <c r="E2598" t="s">
        <v>35</v>
      </c>
      <c r="F2598" t="s">
        <v>57</v>
      </c>
      <c r="G2598" s="23">
        <v>44197</v>
      </c>
      <c r="H2598" t="s">
        <v>11752</v>
      </c>
      <c r="I2598" t="s">
        <v>11753</v>
      </c>
      <c r="J2598" t="s">
        <v>11754</v>
      </c>
    </row>
    <row r="2599" spans="1:10">
      <c r="A2599" t="s">
        <v>11755</v>
      </c>
      <c r="B2599" t="s">
        <v>11755</v>
      </c>
      <c r="C2599" t="s">
        <v>11756</v>
      </c>
      <c r="D2599">
        <v>4</v>
      </c>
      <c r="E2599" t="s">
        <v>29</v>
      </c>
      <c r="F2599" t="s">
        <v>63</v>
      </c>
      <c r="G2599" s="23">
        <v>44021</v>
      </c>
      <c r="H2599" t="s">
        <v>11757</v>
      </c>
      <c r="I2599" t="s">
        <v>11758</v>
      </c>
      <c r="J2599" t="s">
        <v>11759</v>
      </c>
    </row>
    <row r="2600" spans="1:10">
      <c r="A2600" t="s">
        <v>11760</v>
      </c>
      <c r="B2600" t="s">
        <v>11760</v>
      </c>
      <c r="C2600" t="s">
        <v>11761</v>
      </c>
      <c r="D2600">
        <v>11</v>
      </c>
      <c r="E2600" t="s">
        <v>33</v>
      </c>
      <c r="F2600" t="s">
        <v>57</v>
      </c>
      <c r="G2600" s="23">
        <v>44595</v>
      </c>
      <c r="H2600" t="s">
        <v>11762</v>
      </c>
      <c r="I2600" t="s">
        <v>11763</v>
      </c>
      <c r="J2600" t="s">
        <v>11764</v>
      </c>
    </row>
    <row r="2601" spans="1:10">
      <c r="A2601" t="s">
        <v>11765</v>
      </c>
      <c r="B2601" t="s">
        <v>11765</v>
      </c>
      <c r="C2601" t="s">
        <v>11766</v>
      </c>
      <c r="D2601">
        <v>31</v>
      </c>
      <c r="E2601" t="s">
        <v>29</v>
      </c>
      <c r="F2601" t="s">
        <v>63</v>
      </c>
      <c r="G2601" s="23">
        <v>45370</v>
      </c>
      <c r="H2601" t="s">
        <v>11767</v>
      </c>
      <c r="I2601" t="s">
        <v>11768</v>
      </c>
      <c r="J2601" t="s">
        <v>11769</v>
      </c>
    </row>
    <row r="2602" spans="1:10">
      <c r="A2602" t="s">
        <v>11770</v>
      </c>
      <c r="B2602" t="s">
        <v>11770</v>
      </c>
      <c r="C2602" t="s">
        <v>2979</v>
      </c>
      <c r="D2602">
        <v>12</v>
      </c>
      <c r="E2602" t="s">
        <v>33</v>
      </c>
      <c r="F2602" t="s">
        <v>57</v>
      </c>
      <c r="G2602" s="23">
        <v>45680</v>
      </c>
      <c r="H2602" t="s">
        <v>11771</v>
      </c>
      <c r="I2602" t="s">
        <v>11772</v>
      </c>
      <c r="J2602" t="s">
        <v>11773</v>
      </c>
    </row>
    <row r="2603" spans="1:10">
      <c r="A2603" t="s">
        <v>11774</v>
      </c>
      <c r="B2603" t="s">
        <v>11774</v>
      </c>
      <c r="C2603" t="s">
        <v>641</v>
      </c>
      <c r="D2603">
        <v>34</v>
      </c>
      <c r="E2603" t="s">
        <v>35</v>
      </c>
      <c r="F2603" t="s">
        <v>57</v>
      </c>
      <c r="G2603" s="23">
        <v>45665</v>
      </c>
      <c r="H2603" t="s">
        <v>11775</v>
      </c>
      <c r="I2603" t="s">
        <v>11776</v>
      </c>
      <c r="J2603" t="s">
        <v>11777</v>
      </c>
    </row>
    <row r="2604" spans="1:10">
      <c r="A2604" t="s">
        <v>11778</v>
      </c>
      <c r="B2604" t="s">
        <v>11778</v>
      </c>
      <c r="C2604" t="s">
        <v>11779</v>
      </c>
      <c r="D2604">
        <v>4</v>
      </c>
      <c r="E2604" t="s">
        <v>29</v>
      </c>
      <c r="F2604" t="s">
        <v>63</v>
      </c>
      <c r="G2604" s="23">
        <v>42211</v>
      </c>
      <c r="H2604" t="s">
        <v>11780</v>
      </c>
      <c r="I2604" t="s">
        <v>11781</v>
      </c>
      <c r="J2604" t="s">
        <v>11782</v>
      </c>
    </row>
    <row r="2605" spans="1:10">
      <c r="A2605" t="s">
        <v>11783</v>
      </c>
      <c r="B2605" t="s">
        <v>11783</v>
      </c>
      <c r="C2605" t="s">
        <v>10003</v>
      </c>
      <c r="D2605">
        <v>25</v>
      </c>
      <c r="E2605" t="s">
        <v>35</v>
      </c>
      <c r="F2605" t="s">
        <v>57</v>
      </c>
      <c r="G2605" s="23">
        <v>43449</v>
      </c>
      <c r="H2605" t="s">
        <v>11784</v>
      </c>
      <c r="I2605" t="s">
        <v>11785</v>
      </c>
      <c r="J2605" t="s">
        <v>11786</v>
      </c>
    </row>
    <row r="2606" spans="1:10">
      <c r="A2606" t="s">
        <v>11787</v>
      </c>
      <c r="B2606" t="s">
        <v>11787</v>
      </c>
      <c r="C2606" t="s">
        <v>10003</v>
      </c>
      <c r="D2606">
        <v>20</v>
      </c>
      <c r="E2606" t="s">
        <v>35</v>
      </c>
      <c r="F2606" t="s">
        <v>57</v>
      </c>
      <c r="G2606" s="23">
        <v>43962</v>
      </c>
      <c r="H2606" t="s">
        <v>11788</v>
      </c>
      <c r="I2606" t="s">
        <v>11789</v>
      </c>
      <c r="J2606" t="s">
        <v>11790</v>
      </c>
    </row>
    <row r="2607" spans="1:10">
      <c r="A2607" t="s">
        <v>11791</v>
      </c>
      <c r="B2607" t="s">
        <v>11791</v>
      </c>
      <c r="C2607" t="s">
        <v>10219</v>
      </c>
      <c r="D2607">
        <v>2</v>
      </c>
      <c r="E2607" t="s">
        <v>29</v>
      </c>
      <c r="F2607" t="s">
        <v>63</v>
      </c>
      <c r="G2607" s="23">
        <v>42108</v>
      </c>
      <c r="H2607" t="s">
        <v>11792</v>
      </c>
      <c r="I2607" t="s">
        <v>11793</v>
      </c>
      <c r="J2607" t="s">
        <v>11794</v>
      </c>
    </row>
    <row r="2608" spans="1:10">
      <c r="A2608" t="s">
        <v>11795</v>
      </c>
      <c r="B2608" t="s">
        <v>11795</v>
      </c>
      <c r="C2608" t="s">
        <v>1967</v>
      </c>
      <c r="D2608">
        <v>11</v>
      </c>
      <c r="E2608" t="s">
        <v>35</v>
      </c>
      <c r="F2608" t="s">
        <v>57</v>
      </c>
      <c r="G2608" s="23">
        <v>44063</v>
      </c>
      <c r="H2608" t="s">
        <v>11796</v>
      </c>
      <c r="I2608" t="s">
        <v>11797</v>
      </c>
      <c r="J2608" t="s">
        <v>11798</v>
      </c>
    </row>
    <row r="2609" spans="1:10">
      <c r="A2609" t="s">
        <v>11799</v>
      </c>
      <c r="B2609" t="s">
        <v>11799</v>
      </c>
      <c r="C2609" t="s">
        <v>1520</v>
      </c>
      <c r="D2609">
        <v>38</v>
      </c>
      <c r="E2609" t="s">
        <v>31</v>
      </c>
      <c r="F2609" t="s">
        <v>63</v>
      </c>
      <c r="G2609" s="23">
        <v>43723</v>
      </c>
      <c r="H2609" t="s">
        <v>11800</v>
      </c>
      <c r="I2609" t="s">
        <v>11801</v>
      </c>
      <c r="J2609" t="s">
        <v>11802</v>
      </c>
    </row>
    <row r="2610" spans="1:10">
      <c r="A2610" t="s">
        <v>11803</v>
      </c>
      <c r="B2610" t="s">
        <v>11803</v>
      </c>
      <c r="C2610" t="s">
        <v>3077</v>
      </c>
      <c r="D2610">
        <v>63</v>
      </c>
      <c r="E2610" t="s">
        <v>33</v>
      </c>
      <c r="F2610" t="s">
        <v>115</v>
      </c>
      <c r="G2610" s="23">
        <v>46026</v>
      </c>
      <c r="H2610" t="s">
        <v>11804</v>
      </c>
      <c r="I2610" t="s">
        <v>11805</v>
      </c>
      <c r="J2610" t="s">
        <v>11806</v>
      </c>
    </row>
    <row r="2611" spans="1:10">
      <c r="A2611" t="s">
        <v>11807</v>
      </c>
      <c r="B2611" t="s">
        <v>11807</v>
      </c>
      <c r="C2611" t="s">
        <v>11808</v>
      </c>
      <c r="D2611">
        <v>11</v>
      </c>
      <c r="E2611" t="s">
        <v>36</v>
      </c>
      <c r="F2611" t="s">
        <v>57</v>
      </c>
      <c r="G2611" s="23">
        <v>45867</v>
      </c>
      <c r="H2611" t="s">
        <v>11809</v>
      </c>
      <c r="I2611" t="s">
        <v>11810</v>
      </c>
      <c r="J2611" t="s">
        <v>11811</v>
      </c>
    </row>
    <row r="2612" spans="1:10">
      <c r="A2612" t="s">
        <v>11812</v>
      </c>
      <c r="B2612" t="s">
        <v>11812</v>
      </c>
      <c r="C2612" t="s">
        <v>11813</v>
      </c>
      <c r="D2612">
        <v>8</v>
      </c>
      <c r="E2612" t="s">
        <v>27</v>
      </c>
      <c r="F2612" t="s">
        <v>63</v>
      </c>
      <c r="G2612" s="23">
        <v>43721</v>
      </c>
      <c r="H2612" t="s">
        <v>11814</v>
      </c>
      <c r="I2612" t="s">
        <v>11815</v>
      </c>
      <c r="J2612" t="s">
        <v>11816</v>
      </c>
    </row>
    <row r="2613" spans="1:10">
      <c r="A2613" t="s">
        <v>11817</v>
      </c>
      <c r="B2613" t="s">
        <v>11817</v>
      </c>
      <c r="C2613" t="s">
        <v>130</v>
      </c>
      <c r="D2613">
        <v>2</v>
      </c>
      <c r="E2613" t="s">
        <v>29</v>
      </c>
      <c r="F2613" t="s">
        <v>63</v>
      </c>
      <c r="G2613" s="23">
        <v>42744</v>
      </c>
      <c r="H2613" t="s">
        <v>11818</v>
      </c>
      <c r="I2613" t="s">
        <v>11819</v>
      </c>
      <c r="J2613" t="s">
        <v>11820</v>
      </c>
    </row>
    <row r="2614" spans="1:10">
      <c r="A2614" t="s">
        <v>11821</v>
      </c>
      <c r="B2614" t="s">
        <v>11821</v>
      </c>
      <c r="C2614" t="s">
        <v>1306</v>
      </c>
      <c r="D2614">
        <v>39</v>
      </c>
      <c r="E2614" t="s">
        <v>35</v>
      </c>
      <c r="F2614" t="s">
        <v>115</v>
      </c>
      <c r="G2614" s="23">
        <v>44571</v>
      </c>
      <c r="H2614" t="s">
        <v>11822</v>
      </c>
      <c r="I2614" t="s">
        <v>11823</v>
      </c>
      <c r="J2614" t="s">
        <v>11824</v>
      </c>
    </row>
    <row r="2615" spans="1:10">
      <c r="A2615" t="s">
        <v>11825</v>
      </c>
      <c r="B2615" t="s">
        <v>11825</v>
      </c>
      <c r="C2615" t="s">
        <v>1306</v>
      </c>
      <c r="D2615">
        <v>27</v>
      </c>
      <c r="E2615" t="s">
        <v>31</v>
      </c>
      <c r="F2615" t="s">
        <v>63</v>
      </c>
      <c r="G2615" s="23">
        <v>44888</v>
      </c>
      <c r="H2615" t="s">
        <v>11826</v>
      </c>
      <c r="I2615" t="s">
        <v>11827</v>
      </c>
      <c r="J2615" t="s">
        <v>11828</v>
      </c>
    </row>
    <row r="2616" spans="1:10">
      <c r="A2616" t="s">
        <v>11829</v>
      </c>
      <c r="B2616" t="s">
        <v>11829</v>
      </c>
      <c r="C2616" t="s">
        <v>1306</v>
      </c>
      <c r="D2616">
        <v>25</v>
      </c>
      <c r="E2616" t="s">
        <v>31</v>
      </c>
      <c r="F2616" t="s">
        <v>63</v>
      </c>
      <c r="G2616" s="23">
        <v>45189</v>
      </c>
      <c r="H2616" t="s">
        <v>11830</v>
      </c>
      <c r="I2616" t="s">
        <v>11831</v>
      </c>
      <c r="J2616" t="s">
        <v>11832</v>
      </c>
    </row>
    <row r="2617" spans="1:10">
      <c r="A2617" t="s">
        <v>11833</v>
      </c>
      <c r="B2617" t="s">
        <v>11833</v>
      </c>
      <c r="C2617" t="s">
        <v>1306</v>
      </c>
      <c r="D2617">
        <v>37</v>
      </c>
      <c r="E2617" t="s">
        <v>33</v>
      </c>
      <c r="F2617" t="s">
        <v>63</v>
      </c>
      <c r="G2617" s="23">
        <v>45443</v>
      </c>
      <c r="H2617" t="s">
        <v>11834</v>
      </c>
      <c r="I2617" t="s">
        <v>11835</v>
      </c>
      <c r="J2617" t="s">
        <v>11836</v>
      </c>
    </row>
    <row r="2618" spans="1:10">
      <c r="A2618" t="s">
        <v>11837</v>
      </c>
      <c r="B2618" t="s">
        <v>11837</v>
      </c>
      <c r="C2618" t="s">
        <v>11838</v>
      </c>
      <c r="D2618">
        <v>1</v>
      </c>
      <c r="E2618" t="s">
        <v>34</v>
      </c>
      <c r="F2618" t="s">
        <v>57</v>
      </c>
      <c r="G2618" s="23">
        <v>44789</v>
      </c>
      <c r="H2618" t="s">
        <v>11839</v>
      </c>
      <c r="I2618" t="s">
        <v>11840</v>
      </c>
      <c r="J2618" t="s">
        <v>11841</v>
      </c>
    </row>
    <row r="2619" spans="1:10">
      <c r="A2619" t="s">
        <v>11842</v>
      </c>
      <c r="B2619" t="s">
        <v>11842</v>
      </c>
      <c r="C2619" t="s">
        <v>355</v>
      </c>
      <c r="D2619">
        <v>11</v>
      </c>
      <c r="E2619" t="s">
        <v>34</v>
      </c>
      <c r="F2619" t="s">
        <v>57</v>
      </c>
      <c r="G2619" s="23">
        <v>44172</v>
      </c>
      <c r="H2619" t="s">
        <v>11843</v>
      </c>
      <c r="I2619" t="s">
        <v>11844</v>
      </c>
      <c r="J2619" t="s">
        <v>11845</v>
      </c>
    </row>
    <row r="2620" spans="1:10">
      <c r="A2620" t="s">
        <v>11846</v>
      </c>
      <c r="B2620" t="s">
        <v>11846</v>
      </c>
      <c r="C2620" t="s">
        <v>355</v>
      </c>
      <c r="D2620">
        <v>10</v>
      </c>
      <c r="E2620" t="s">
        <v>34</v>
      </c>
      <c r="F2620" t="s">
        <v>57</v>
      </c>
      <c r="G2620" s="23">
        <v>44369</v>
      </c>
      <c r="H2620" t="s">
        <v>11847</v>
      </c>
      <c r="I2620" t="s">
        <v>11848</v>
      </c>
      <c r="J2620" t="s">
        <v>11849</v>
      </c>
    </row>
    <row r="2621" spans="1:10">
      <c r="A2621" t="s">
        <v>11850</v>
      </c>
      <c r="B2621" t="s">
        <v>11850</v>
      </c>
      <c r="C2621" t="s">
        <v>355</v>
      </c>
      <c r="D2621">
        <v>9</v>
      </c>
      <c r="E2621" t="s">
        <v>34</v>
      </c>
      <c r="F2621" t="s">
        <v>57</v>
      </c>
      <c r="G2621" s="23">
        <v>44833</v>
      </c>
      <c r="H2621" t="s">
        <v>11851</v>
      </c>
      <c r="I2621" t="s">
        <v>11852</v>
      </c>
      <c r="J2621" t="s">
        <v>11853</v>
      </c>
    </row>
    <row r="2622" spans="1:10">
      <c r="A2622" t="s">
        <v>11854</v>
      </c>
      <c r="B2622" t="s">
        <v>11854</v>
      </c>
      <c r="C2622" t="s">
        <v>3685</v>
      </c>
      <c r="D2622">
        <v>31</v>
      </c>
      <c r="E2622" t="s">
        <v>34</v>
      </c>
      <c r="F2622" t="s">
        <v>63</v>
      </c>
      <c r="G2622" s="23">
        <v>44167</v>
      </c>
      <c r="H2622" t="s">
        <v>11855</v>
      </c>
      <c r="I2622" t="s">
        <v>11856</v>
      </c>
      <c r="J2622" t="s">
        <v>11857</v>
      </c>
    </row>
    <row r="2623" spans="1:10">
      <c r="A2623" t="s">
        <v>11858</v>
      </c>
      <c r="B2623" t="s">
        <v>11858</v>
      </c>
      <c r="C2623" t="s">
        <v>1731</v>
      </c>
      <c r="D2623">
        <v>6</v>
      </c>
      <c r="E2623" t="s">
        <v>35</v>
      </c>
      <c r="F2623" t="s">
        <v>57</v>
      </c>
      <c r="G2623" s="23">
        <v>44161</v>
      </c>
      <c r="H2623" t="s">
        <v>11859</v>
      </c>
      <c r="I2623" t="s">
        <v>11860</v>
      </c>
      <c r="J2623" t="s">
        <v>11861</v>
      </c>
    </row>
    <row r="2624" spans="1:10">
      <c r="A2624" t="s">
        <v>11862</v>
      </c>
      <c r="B2624" t="s">
        <v>11862</v>
      </c>
      <c r="C2624" t="s">
        <v>11863</v>
      </c>
      <c r="D2624">
        <v>12</v>
      </c>
      <c r="E2624" t="s">
        <v>31</v>
      </c>
      <c r="F2624" t="s">
        <v>63</v>
      </c>
      <c r="G2624" s="23">
        <v>43944</v>
      </c>
      <c r="H2624" t="s">
        <v>11864</v>
      </c>
      <c r="I2624" t="s">
        <v>11865</v>
      </c>
      <c r="J2624" t="s">
        <v>11866</v>
      </c>
    </row>
    <row r="2625" spans="1:10">
      <c r="A2625" t="s">
        <v>11867</v>
      </c>
      <c r="B2625" t="s">
        <v>11867</v>
      </c>
      <c r="C2625" t="s">
        <v>11178</v>
      </c>
      <c r="D2625">
        <v>1</v>
      </c>
      <c r="E2625" t="s">
        <v>35</v>
      </c>
      <c r="F2625" t="s">
        <v>89</v>
      </c>
      <c r="G2625" s="23">
        <v>43228</v>
      </c>
      <c r="H2625" t="s">
        <v>11868</v>
      </c>
      <c r="I2625" t="s">
        <v>11869</v>
      </c>
      <c r="J2625" t="s">
        <v>11870</v>
      </c>
    </row>
    <row r="2626" spans="1:10">
      <c r="A2626" t="s">
        <v>11871</v>
      </c>
      <c r="B2626" t="s">
        <v>11871</v>
      </c>
      <c r="C2626" t="s">
        <v>8255</v>
      </c>
      <c r="D2626">
        <v>2</v>
      </c>
      <c r="E2626" t="s">
        <v>33</v>
      </c>
      <c r="F2626" t="s">
        <v>57</v>
      </c>
      <c r="G2626" s="23">
        <v>44593</v>
      </c>
      <c r="H2626" t="s">
        <v>11872</v>
      </c>
      <c r="I2626" t="s">
        <v>11873</v>
      </c>
      <c r="J2626" t="s">
        <v>11874</v>
      </c>
    </row>
    <row r="2627" spans="1:10">
      <c r="A2627" t="s">
        <v>11875</v>
      </c>
      <c r="B2627" t="s">
        <v>11875</v>
      </c>
      <c r="C2627" t="s">
        <v>641</v>
      </c>
      <c r="D2627">
        <v>10</v>
      </c>
      <c r="E2627" t="s">
        <v>36</v>
      </c>
      <c r="F2627" t="s">
        <v>57</v>
      </c>
      <c r="G2627" s="23">
        <v>44893</v>
      </c>
      <c r="H2627" t="s">
        <v>11876</v>
      </c>
      <c r="I2627" t="s">
        <v>11877</v>
      </c>
      <c r="J2627" t="s">
        <v>11878</v>
      </c>
    </row>
    <row r="2628" spans="1:10">
      <c r="A2628" t="s">
        <v>11879</v>
      </c>
      <c r="B2628" t="s">
        <v>11879</v>
      </c>
      <c r="C2628" t="s">
        <v>2488</v>
      </c>
      <c r="D2628">
        <v>15</v>
      </c>
      <c r="E2628" t="s">
        <v>33</v>
      </c>
      <c r="F2628" t="s">
        <v>57</v>
      </c>
      <c r="G2628" s="23">
        <v>44882</v>
      </c>
      <c r="H2628" t="s">
        <v>11880</v>
      </c>
      <c r="I2628" t="s">
        <v>11881</v>
      </c>
      <c r="J2628" t="s">
        <v>11882</v>
      </c>
    </row>
    <row r="2629" spans="1:10">
      <c r="A2629" t="s">
        <v>11883</v>
      </c>
      <c r="B2629" t="s">
        <v>11883</v>
      </c>
      <c r="C2629" t="s">
        <v>322</v>
      </c>
      <c r="D2629">
        <v>6</v>
      </c>
      <c r="E2629" t="s">
        <v>34</v>
      </c>
      <c r="F2629" t="s">
        <v>57</v>
      </c>
      <c r="G2629" s="23">
        <v>41780</v>
      </c>
      <c r="H2629" t="s">
        <v>11884</v>
      </c>
      <c r="I2629" t="s">
        <v>11885</v>
      </c>
      <c r="J2629" t="s">
        <v>11886</v>
      </c>
    </row>
    <row r="2630" spans="1:10">
      <c r="A2630" t="s">
        <v>11887</v>
      </c>
      <c r="B2630" t="s">
        <v>11887</v>
      </c>
      <c r="C2630" t="s">
        <v>11888</v>
      </c>
      <c r="D2630">
        <v>8</v>
      </c>
      <c r="E2630" t="s">
        <v>34</v>
      </c>
      <c r="F2630" t="s">
        <v>57</v>
      </c>
      <c r="G2630" s="23">
        <v>43964</v>
      </c>
      <c r="H2630" t="s">
        <v>11889</v>
      </c>
      <c r="I2630" t="s">
        <v>11890</v>
      </c>
      <c r="J2630" t="s">
        <v>11891</v>
      </c>
    </row>
    <row r="2631" spans="1:10">
      <c r="A2631" t="s">
        <v>11892</v>
      </c>
      <c r="B2631" t="s">
        <v>11892</v>
      </c>
      <c r="C2631" t="s">
        <v>11893</v>
      </c>
      <c r="D2631">
        <v>5</v>
      </c>
      <c r="E2631" t="s">
        <v>33</v>
      </c>
      <c r="F2631" t="s">
        <v>57</v>
      </c>
      <c r="G2631" s="23">
        <v>42093</v>
      </c>
      <c r="H2631" t="s">
        <v>11894</v>
      </c>
      <c r="I2631" t="s">
        <v>11895</v>
      </c>
      <c r="J2631" t="s">
        <v>11896</v>
      </c>
    </row>
    <row r="2632" spans="1:10">
      <c r="A2632" t="s">
        <v>11897</v>
      </c>
      <c r="B2632" t="s">
        <v>11897</v>
      </c>
      <c r="C2632" t="s">
        <v>718</v>
      </c>
      <c r="D2632">
        <v>8</v>
      </c>
      <c r="E2632" t="s">
        <v>34</v>
      </c>
      <c r="F2632" t="s">
        <v>57</v>
      </c>
      <c r="G2632" s="23">
        <v>45404</v>
      </c>
      <c r="H2632" t="s">
        <v>11898</v>
      </c>
      <c r="I2632" t="s">
        <v>11899</v>
      </c>
      <c r="J2632" t="s">
        <v>11900</v>
      </c>
    </row>
    <row r="2633" spans="1:10">
      <c r="A2633" t="s">
        <v>11901</v>
      </c>
      <c r="B2633" t="s">
        <v>11901</v>
      </c>
      <c r="C2633" t="s">
        <v>8078</v>
      </c>
      <c r="D2633">
        <v>8</v>
      </c>
      <c r="E2633" t="s">
        <v>34</v>
      </c>
      <c r="F2633" t="s">
        <v>57</v>
      </c>
      <c r="G2633" s="23">
        <v>45254</v>
      </c>
      <c r="H2633" t="s">
        <v>11902</v>
      </c>
      <c r="I2633" t="s">
        <v>11903</v>
      </c>
      <c r="J2633" t="s">
        <v>11904</v>
      </c>
    </row>
    <row r="2634" spans="1:10">
      <c r="A2634" t="s">
        <v>11905</v>
      </c>
      <c r="B2634" t="s">
        <v>11905</v>
      </c>
      <c r="C2634" t="s">
        <v>2588</v>
      </c>
      <c r="D2634">
        <v>11</v>
      </c>
      <c r="E2634" t="s">
        <v>35</v>
      </c>
      <c r="F2634" t="s">
        <v>57</v>
      </c>
      <c r="G2634" s="23">
        <v>46080</v>
      </c>
      <c r="H2634" t="s">
        <v>11906</v>
      </c>
      <c r="I2634" t="s">
        <v>11907</v>
      </c>
      <c r="J2634" t="s">
        <v>11908</v>
      </c>
    </row>
    <row r="2635" spans="1:10">
      <c r="A2635" t="s">
        <v>11909</v>
      </c>
      <c r="B2635" t="s">
        <v>11909</v>
      </c>
      <c r="C2635" t="s">
        <v>10820</v>
      </c>
      <c r="D2635">
        <v>39</v>
      </c>
      <c r="E2635" t="s">
        <v>31</v>
      </c>
      <c r="F2635" t="s">
        <v>63</v>
      </c>
      <c r="G2635" s="23">
        <v>45042</v>
      </c>
      <c r="H2635" t="s">
        <v>11910</v>
      </c>
      <c r="I2635" t="s">
        <v>11911</v>
      </c>
      <c r="J2635" t="s">
        <v>11912</v>
      </c>
    </row>
    <row r="2636" spans="1:10">
      <c r="A2636" t="s">
        <v>11913</v>
      </c>
      <c r="B2636" t="s">
        <v>11913</v>
      </c>
      <c r="C2636" t="s">
        <v>1119</v>
      </c>
      <c r="D2636">
        <v>7</v>
      </c>
      <c r="E2636" t="s">
        <v>27</v>
      </c>
      <c r="F2636" t="s">
        <v>63</v>
      </c>
      <c r="G2636" s="23">
        <v>41445</v>
      </c>
      <c r="H2636" t="s">
        <v>11914</v>
      </c>
      <c r="I2636" t="s">
        <v>11915</v>
      </c>
      <c r="J2636" t="s">
        <v>11916</v>
      </c>
    </row>
    <row r="2637" spans="1:10">
      <c r="A2637" t="s">
        <v>11917</v>
      </c>
      <c r="B2637" t="s">
        <v>11917</v>
      </c>
      <c r="C2637" t="s">
        <v>4638</v>
      </c>
      <c r="D2637">
        <v>74</v>
      </c>
      <c r="E2637" t="s">
        <v>31</v>
      </c>
      <c r="F2637" t="s">
        <v>63</v>
      </c>
      <c r="G2637" s="23">
        <v>45753</v>
      </c>
      <c r="H2637" t="s">
        <v>11918</v>
      </c>
      <c r="I2637" t="s">
        <v>11919</v>
      </c>
      <c r="J2637" t="s">
        <v>11920</v>
      </c>
    </row>
    <row r="2638" spans="1:10">
      <c r="A2638" t="s">
        <v>11921</v>
      </c>
      <c r="B2638" t="s">
        <v>11921</v>
      </c>
      <c r="C2638" t="s">
        <v>233</v>
      </c>
      <c r="D2638">
        <v>12</v>
      </c>
      <c r="E2638" t="s">
        <v>33</v>
      </c>
      <c r="F2638" t="s">
        <v>63</v>
      </c>
      <c r="G2638" s="23">
        <v>46079</v>
      </c>
      <c r="H2638" t="s">
        <v>11922</v>
      </c>
      <c r="I2638" t="s">
        <v>11923</v>
      </c>
      <c r="J2638" t="s">
        <v>11924</v>
      </c>
    </row>
    <row r="2639" spans="1:10">
      <c r="A2639" t="s">
        <v>11925</v>
      </c>
      <c r="B2639" t="s">
        <v>11925</v>
      </c>
      <c r="C2639" t="s">
        <v>5480</v>
      </c>
      <c r="D2639">
        <v>27</v>
      </c>
      <c r="E2639" t="s">
        <v>34</v>
      </c>
      <c r="F2639" t="s">
        <v>57</v>
      </c>
      <c r="G2639" s="23">
        <v>44151</v>
      </c>
      <c r="H2639" t="s">
        <v>11926</v>
      </c>
      <c r="I2639" t="s">
        <v>11927</v>
      </c>
      <c r="J2639" t="s">
        <v>11928</v>
      </c>
    </row>
    <row r="2640" spans="1:10">
      <c r="A2640" t="s">
        <v>11929</v>
      </c>
      <c r="B2640" t="s">
        <v>11929</v>
      </c>
      <c r="C2640" t="s">
        <v>11930</v>
      </c>
      <c r="D2640">
        <v>17</v>
      </c>
      <c r="E2640" t="s">
        <v>29</v>
      </c>
      <c r="F2640" t="s">
        <v>63</v>
      </c>
      <c r="G2640" s="23">
        <v>44101</v>
      </c>
      <c r="H2640" t="s">
        <v>11931</v>
      </c>
      <c r="I2640" t="s">
        <v>11932</v>
      </c>
      <c r="J2640" t="s">
        <v>11933</v>
      </c>
    </row>
    <row r="2641" spans="1:10">
      <c r="A2641" t="s">
        <v>11934</v>
      </c>
      <c r="B2641" t="s">
        <v>11934</v>
      </c>
      <c r="C2641" t="s">
        <v>7820</v>
      </c>
      <c r="D2641">
        <v>31</v>
      </c>
      <c r="E2641" t="s">
        <v>34</v>
      </c>
      <c r="F2641" t="s">
        <v>57</v>
      </c>
      <c r="G2641" s="23">
        <v>44691</v>
      </c>
      <c r="H2641" t="s">
        <v>11935</v>
      </c>
      <c r="I2641" t="s">
        <v>11936</v>
      </c>
      <c r="J2641" t="s">
        <v>11937</v>
      </c>
    </row>
    <row r="2642" spans="1:10">
      <c r="A2642" t="s">
        <v>11938</v>
      </c>
      <c r="B2642" t="s">
        <v>11938</v>
      </c>
      <c r="C2642" t="s">
        <v>2979</v>
      </c>
      <c r="D2642">
        <v>23</v>
      </c>
      <c r="E2642" t="s">
        <v>29</v>
      </c>
      <c r="F2642" t="s">
        <v>63</v>
      </c>
      <c r="G2642" s="23">
        <v>41811</v>
      </c>
      <c r="H2642" t="s">
        <v>11939</v>
      </c>
      <c r="I2642" t="s">
        <v>11940</v>
      </c>
      <c r="J2642" t="s">
        <v>11941</v>
      </c>
    </row>
    <row r="2643" spans="1:10">
      <c r="A2643" t="s">
        <v>11942</v>
      </c>
      <c r="B2643" t="s">
        <v>11942</v>
      </c>
      <c r="C2643" t="s">
        <v>504</v>
      </c>
      <c r="D2643">
        <v>14</v>
      </c>
      <c r="E2643" t="s">
        <v>29</v>
      </c>
      <c r="F2643" t="s">
        <v>63</v>
      </c>
      <c r="G2643" s="23">
        <v>43501</v>
      </c>
      <c r="H2643" t="s">
        <v>11943</v>
      </c>
      <c r="I2643" t="s">
        <v>11944</v>
      </c>
      <c r="J2643" t="s">
        <v>11945</v>
      </c>
    </row>
    <row r="2644" spans="1:10">
      <c r="A2644" t="s">
        <v>11946</v>
      </c>
      <c r="B2644" t="s">
        <v>11946</v>
      </c>
      <c r="C2644" t="s">
        <v>3635</v>
      </c>
      <c r="D2644">
        <v>9</v>
      </c>
      <c r="E2644" t="s">
        <v>35</v>
      </c>
      <c r="F2644" t="s">
        <v>57</v>
      </c>
      <c r="G2644" s="23">
        <v>44453</v>
      </c>
      <c r="H2644" t="s">
        <v>11947</v>
      </c>
      <c r="I2644" t="s">
        <v>11948</v>
      </c>
      <c r="J2644" t="s">
        <v>11949</v>
      </c>
    </row>
    <row r="2645" spans="1:10">
      <c r="A2645" t="s">
        <v>11950</v>
      </c>
      <c r="B2645" t="s">
        <v>11950</v>
      </c>
      <c r="C2645" t="s">
        <v>11951</v>
      </c>
      <c r="D2645">
        <v>7</v>
      </c>
      <c r="E2645" t="s">
        <v>27</v>
      </c>
      <c r="F2645" t="s">
        <v>63</v>
      </c>
      <c r="G2645" s="23">
        <v>42265</v>
      </c>
      <c r="H2645" t="s">
        <v>11952</v>
      </c>
      <c r="I2645" t="s">
        <v>11953</v>
      </c>
      <c r="J2645" t="s">
        <v>11954</v>
      </c>
    </row>
    <row r="2646" spans="1:10">
      <c r="A2646" t="s">
        <v>11955</v>
      </c>
      <c r="B2646" t="s">
        <v>11955</v>
      </c>
      <c r="C2646" t="s">
        <v>1345</v>
      </c>
      <c r="D2646">
        <v>8</v>
      </c>
      <c r="E2646" t="s">
        <v>36</v>
      </c>
      <c r="F2646" t="s">
        <v>57</v>
      </c>
      <c r="G2646" s="23">
        <v>45384</v>
      </c>
      <c r="H2646" t="s">
        <v>11956</v>
      </c>
      <c r="I2646" t="s">
        <v>11957</v>
      </c>
      <c r="J2646" t="s">
        <v>11958</v>
      </c>
    </row>
    <row r="2647" spans="1:10">
      <c r="A2647" t="s">
        <v>11959</v>
      </c>
      <c r="B2647" t="s">
        <v>11959</v>
      </c>
      <c r="C2647" t="s">
        <v>1306</v>
      </c>
      <c r="D2647">
        <v>72</v>
      </c>
      <c r="E2647" t="s">
        <v>35</v>
      </c>
      <c r="F2647" t="s">
        <v>115</v>
      </c>
      <c r="G2647" s="23">
        <v>45724</v>
      </c>
      <c r="H2647" t="s">
        <v>11960</v>
      </c>
      <c r="I2647" t="s">
        <v>11961</v>
      </c>
      <c r="J2647" t="s">
        <v>11962</v>
      </c>
    </row>
    <row r="2648" spans="1:10">
      <c r="A2648" t="s">
        <v>11963</v>
      </c>
      <c r="B2648" t="s">
        <v>11963</v>
      </c>
      <c r="C2648" t="s">
        <v>3860</v>
      </c>
      <c r="D2648">
        <v>10</v>
      </c>
      <c r="E2648" t="s">
        <v>34</v>
      </c>
      <c r="F2648" t="s">
        <v>57</v>
      </c>
      <c r="G2648" s="23">
        <v>45419</v>
      </c>
      <c r="H2648" t="s">
        <v>11964</v>
      </c>
      <c r="I2648" t="s">
        <v>11965</v>
      </c>
      <c r="J2648" t="s">
        <v>11966</v>
      </c>
    </row>
    <row r="2649" spans="1:10">
      <c r="A2649" t="s">
        <v>11967</v>
      </c>
      <c r="B2649" t="s">
        <v>11967</v>
      </c>
      <c r="C2649" t="s">
        <v>11718</v>
      </c>
      <c r="D2649">
        <v>6</v>
      </c>
      <c r="E2649" t="s">
        <v>29</v>
      </c>
      <c r="F2649" t="s">
        <v>63</v>
      </c>
      <c r="G2649" s="23">
        <v>43731</v>
      </c>
      <c r="H2649" t="s">
        <v>11968</v>
      </c>
      <c r="I2649" t="s">
        <v>11969</v>
      </c>
      <c r="J2649" t="s">
        <v>11970</v>
      </c>
    </row>
    <row r="2650" spans="1:10">
      <c r="A2650" t="s">
        <v>11971</v>
      </c>
      <c r="B2650" t="s">
        <v>11971</v>
      </c>
      <c r="C2650" t="s">
        <v>2493</v>
      </c>
      <c r="D2650">
        <v>13</v>
      </c>
      <c r="E2650" t="s">
        <v>35</v>
      </c>
      <c r="F2650" t="s">
        <v>57</v>
      </c>
      <c r="G2650" s="23">
        <v>45853</v>
      </c>
      <c r="H2650" t="s">
        <v>11972</v>
      </c>
      <c r="I2650" t="s">
        <v>11973</v>
      </c>
      <c r="J2650" t="s">
        <v>11974</v>
      </c>
    </row>
    <row r="2651" spans="1:10">
      <c r="A2651" t="s">
        <v>11975</v>
      </c>
      <c r="B2651" t="s">
        <v>11975</v>
      </c>
      <c r="C2651" t="s">
        <v>4255</v>
      </c>
      <c r="D2651">
        <v>14</v>
      </c>
      <c r="E2651" t="s">
        <v>34</v>
      </c>
      <c r="F2651" t="s">
        <v>57</v>
      </c>
      <c r="G2651" s="23">
        <v>44741</v>
      </c>
      <c r="H2651" t="s">
        <v>11976</v>
      </c>
      <c r="I2651" t="s">
        <v>11977</v>
      </c>
      <c r="J2651" t="s">
        <v>11978</v>
      </c>
    </row>
    <row r="2652" spans="1:10">
      <c r="A2652" t="s">
        <v>11979</v>
      </c>
      <c r="B2652" t="s">
        <v>11979</v>
      </c>
      <c r="C2652" t="s">
        <v>11980</v>
      </c>
      <c r="D2652">
        <v>78</v>
      </c>
      <c r="E2652" t="s">
        <v>34</v>
      </c>
      <c r="F2652" t="s">
        <v>63</v>
      </c>
      <c r="G2652" s="23">
        <v>42234</v>
      </c>
      <c r="H2652" t="s">
        <v>11981</v>
      </c>
      <c r="I2652" t="s">
        <v>11982</v>
      </c>
      <c r="J2652" t="s">
        <v>11983</v>
      </c>
    </row>
    <row r="2653" spans="1:10">
      <c r="A2653" t="s">
        <v>11984</v>
      </c>
      <c r="B2653" t="s">
        <v>11984</v>
      </c>
      <c r="C2653" t="s">
        <v>11980</v>
      </c>
      <c r="D2653">
        <v>78</v>
      </c>
      <c r="E2653" t="s">
        <v>34</v>
      </c>
      <c r="F2653" t="s">
        <v>63</v>
      </c>
      <c r="G2653" s="23">
        <v>42234</v>
      </c>
      <c r="H2653" t="s">
        <v>11985</v>
      </c>
      <c r="I2653" t="s">
        <v>11986</v>
      </c>
      <c r="J2653" t="s">
        <v>11987</v>
      </c>
    </row>
    <row r="2654" spans="1:10">
      <c r="A2654" t="s">
        <v>11988</v>
      </c>
      <c r="B2654" t="s">
        <v>11988</v>
      </c>
      <c r="C2654" t="s">
        <v>11980</v>
      </c>
      <c r="D2654">
        <v>103</v>
      </c>
      <c r="E2654" t="s">
        <v>34</v>
      </c>
      <c r="F2654" t="s">
        <v>63</v>
      </c>
      <c r="G2654" s="23">
        <v>42280</v>
      </c>
      <c r="H2654" t="s">
        <v>11989</v>
      </c>
      <c r="I2654" t="s">
        <v>11990</v>
      </c>
      <c r="J2654" t="s">
        <v>11991</v>
      </c>
    </row>
    <row r="2655" spans="1:10">
      <c r="A2655" t="s">
        <v>11992</v>
      </c>
      <c r="B2655" t="s">
        <v>11992</v>
      </c>
      <c r="C2655" t="s">
        <v>11980</v>
      </c>
      <c r="D2655">
        <v>103</v>
      </c>
      <c r="E2655" t="s">
        <v>34</v>
      </c>
      <c r="F2655" t="s">
        <v>63</v>
      </c>
      <c r="G2655" s="23">
        <v>42280</v>
      </c>
      <c r="H2655" t="s">
        <v>11993</v>
      </c>
      <c r="I2655" t="s">
        <v>11994</v>
      </c>
      <c r="J2655" t="s">
        <v>11995</v>
      </c>
    </row>
    <row r="2656" spans="1:10">
      <c r="A2656" t="s">
        <v>11996</v>
      </c>
      <c r="B2656" t="s">
        <v>11996</v>
      </c>
      <c r="C2656" t="s">
        <v>11980</v>
      </c>
      <c r="D2656">
        <v>100</v>
      </c>
      <c r="E2656" t="s">
        <v>33</v>
      </c>
      <c r="F2656" t="s">
        <v>63</v>
      </c>
      <c r="G2656" s="23">
        <v>42325</v>
      </c>
      <c r="H2656" t="s">
        <v>11997</v>
      </c>
      <c r="I2656" t="s">
        <v>11998</v>
      </c>
      <c r="J2656" t="s">
        <v>11999</v>
      </c>
    </row>
    <row r="2657" spans="1:10">
      <c r="A2657" t="s">
        <v>12000</v>
      </c>
      <c r="B2657" t="s">
        <v>12000</v>
      </c>
      <c r="C2657" t="s">
        <v>11980</v>
      </c>
      <c r="D2657">
        <v>99</v>
      </c>
      <c r="E2657" t="s">
        <v>33</v>
      </c>
      <c r="F2657" t="s">
        <v>63</v>
      </c>
      <c r="G2657" s="23">
        <v>42325</v>
      </c>
      <c r="H2657" t="s">
        <v>12001</v>
      </c>
      <c r="I2657" t="s">
        <v>12002</v>
      </c>
      <c r="J2657" t="s">
        <v>12003</v>
      </c>
    </row>
    <row r="2658" spans="1:10">
      <c r="A2658" t="s">
        <v>12004</v>
      </c>
      <c r="B2658" t="s">
        <v>12004</v>
      </c>
      <c r="C2658" t="s">
        <v>11980</v>
      </c>
      <c r="D2658">
        <v>115</v>
      </c>
      <c r="E2658" t="s">
        <v>33</v>
      </c>
      <c r="F2658" t="s">
        <v>63</v>
      </c>
      <c r="G2658" s="23">
        <v>42337</v>
      </c>
      <c r="H2658" t="s">
        <v>12005</v>
      </c>
      <c r="I2658" t="s">
        <v>12006</v>
      </c>
      <c r="J2658" t="s">
        <v>12007</v>
      </c>
    </row>
    <row r="2659" spans="1:10">
      <c r="A2659" t="s">
        <v>12008</v>
      </c>
      <c r="B2659" t="s">
        <v>12008</v>
      </c>
      <c r="C2659" t="s">
        <v>11980</v>
      </c>
      <c r="D2659">
        <v>115</v>
      </c>
      <c r="E2659" t="s">
        <v>33</v>
      </c>
      <c r="F2659" t="s">
        <v>63</v>
      </c>
      <c r="G2659" s="23">
        <v>42337</v>
      </c>
      <c r="H2659" t="s">
        <v>12009</v>
      </c>
      <c r="I2659" t="s">
        <v>12010</v>
      </c>
      <c r="J2659" t="s">
        <v>12011</v>
      </c>
    </row>
    <row r="2660" spans="1:10">
      <c r="A2660" t="s">
        <v>12012</v>
      </c>
      <c r="B2660" t="s">
        <v>12012</v>
      </c>
      <c r="C2660" t="s">
        <v>935</v>
      </c>
      <c r="D2660">
        <v>13</v>
      </c>
      <c r="E2660" t="s">
        <v>35</v>
      </c>
      <c r="F2660" t="s">
        <v>57</v>
      </c>
      <c r="G2660" s="23">
        <v>45316</v>
      </c>
      <c r="H2660" t="s">
        <v>12013</v>
      </c>
      <c r="I2660" t="s">
        <v>12014</v>
      </c>
      <c r="J2660" t="s">
        <v>12015</v>
      </c>
    </row>
    <row r="2661" spans="1:10">
      <c r="A2661" t="s">
        <v>12016</v>
      </c>
      <c r="B2661" t="s">
        <v>12016</v>
      </c>
      <c r="C2661" t="s">
        <v>3143</v>
      </c>
      <c r="D2661">
        <v>24</v>
      </c>
      <c r="E2661" t="s">
        <v>34</v>
      </c>
      <c r="F2661" t="s">
        <v>57</v>
      </c>
      <c r="G2661" s="23">
        <v>44505</v>
      </c>
      <c r="H2661" t="s">
        <v>12017</v>
      </c>
      <c r="I2661" t="s">
        <v>12018</v>
      </c>
      <c r="J2661" t="s">
        <v>12019</v>
      </c>
    </row>
    <row r="2662" spans="1:10">
      <c r="A2662" t="s">
        <v>12020</v>
      </c>
      <c r="B2662" t="s">
        <v>12020</v>
      </c>
      <c r="C2662" t="s">
        <v>2733</v>
      </c>
      <c r="D2662">
        <v>22</v>
      </c>
      <c r="E2662" t="s">
        <v>34</v>
      </c>
      <c r="F2662" t="s">
        <v>3138</v>
      </c>
      <c r="G2662" s="23">
        <v>42473</v>
      </c>
      <c r="H2662" t="s">
        <v>12021</v>
      </c>
      <c r="I2662" t="s">
        <v>12022</v>
      </c>
      <c r="J2662" t="s">
        <v>12023</v>
      </c>
    </row>
    <row r="2663" spans="1:10">
      <c r="A2663" t="s">
        <v>12024</v>
      </c>
      <c r="B2663" t="s">
        <v>12024</v>
      </c>
      <c r="C2663" t="s">
        <v>10579</v>
      </c>
      <c r="D2663">
        <v>8</v>
      </c>
      <c r="E2663" t="s">
        <v>34</v>
      </c>
      <c r="F2663" t="s">
        <v>57</v>
      </c>
      <c r="G2663" s="23">
        <v>45929</v>
      </c>
      <c r="H2663" t="s">
        <v>12025</v>
      </c>
      <c r="I2663" t="s">
        <v>12026</v>
      </c>
      <c r="J2663" t="s">
        <v>12027</v>
      </c>
    </row>
    <row r="2664" spans="1:10">
      <c r="A2664" t="s">
        <v>12028</v>
      </c>
      <c r="B2664" t="s">
        <v>12028</v>
      </c>
      <c r="C2664" t="s">
        <v>12029</v>
      </c>
      <c r="D2664">
        <v>28</v>
      </c>
      <c r="E2664" t="s">
        <v>33</v>
      </c>
      <c r="F2664" t="s">
        <v>115</v>
      </c>
      <c r="G2664" s="23">
        <v>45216</v>
      </c>
      <c r="H2664" t="s">
        <v>12030</v>
      </c>
      <c r="I2664" t="s">
        <v>12031</v>
      </c>
      <c r="J2664" t="s">
        <v>12032</v>
      </c>
    </row>
    <row r="2665" spans="1:10">
      <c r="A2665" t="s">
        <v>12033</v>
      </c>
      <c r="B2665" t="s">
        <v>12033</v>
      </c>
      <c r="C2665" t="s">
        <v>12029</v>
      </c>
      <c r="D2665">
        <v>15</v>
      </c>
      <c r="E2665" t="s">
        <v>33</v>
      </c>
      <c r="F2665" t="s">
        <v>115</v>
      </c>
      <c r="G2665" s="23">
        <v>45327</v>
      </c>
      <c r="H2665" t="s">
        <v>12034</v>
      </c>
      <c r="I2665" t="s">
        <v>12035</v>
      </c>
      <c r="J2665" t="s">
        <v>12036</v>
      </c>
    </row>
    <row r="2666" spans="1:10">
      <c r="A2666" t="s">
        <v>12037</v>
      </c>
      <c r="B2666" t="s">
        <v>12037</v>
      </c>
      <c r="C2666" t="s">
        <v>12038</v>
      </c>
      <c r="D2666">
        <v>33</v>
      </c>
      <c r="E2666" t="s">
        <v>29</v>
      </c>
      <c r="F2666" t="s">
        <v>63</v>
      </c>
      <c r="G2666" s="23">
        <v>46094</v>
      </c>
      <c r="H2666" t="s">
        <v>12039</v>
      </c>
      <c r="I2666" t="s">
        <v>12040</v>
      </c>
      <c r="J2666" t="s">
        <v>12041</v>
      </c>
    </row>
    <row r="2667" spans="1:10">
      <c r="A2667" t="s">
        <v>12042</v>
      </c>
      <c r="B2667" t="s">
        <v>12042</v>
      </c>
      <c r="C2667" t="s">
        <v>12043</v>
      </c>
      <c r="D2667">
        <v>10</v>
      </c>
      <c r="E2667" t="s">
        <v>29</v>
      </c>
      <c r="F2667" t="s">
        <v>63</v>
      </c>
      <c r="G2667" s="23">
        <v>42315</v>
      </c>
      <c r="H2667" t="s">
        <v>12044</v>
      </c>
      <c r="I2667" t="s">
        <v>12045</v>
      </c>
      <c r="J2667" t="s">
        <v>12046</v>
      </c>
    </row>
    <row r="2668" spans="1:10">
      <c r="A2668" t="s">
        <v>12047</v>
      </c>
      <c r="B2668" t="s">
        <v>12047</v>
      </c>
      <c r="C2668" t="s">
        <v>365</v>
      </c>
      <c r="D2668">
        <v>16</v>
      </c>
      <c r="E2668" t="s">
        <v>29</v>
      </c>
      <c r="F2668" t="s">
        <v>63</v>
      </c>
      <c r="G2668" s="23">
        <v>42292</v>
      </c>
      <c r="H2668" t="s">
        <v>12048</v>
      </c>
      <c r="I2668" t="s">
        <v>12049</v>
      </c>
      <c r="J2668" t="s">
        <v>12050</v>
      </c>
    </row>
    <row r="2669" spans="1:10">
      <c r="A2669" t="s">
        <v>12051</v>
      </c>
      <c r="B2669" t="s">
        <v>12051</v>
      </c>
      <c r="C2669" t="s">
        <v>4182</v>
      </c>
      <c r="D2669">
        <v>104</v>
      </c>
      <c r="E2669" t="s">
        <v>31</v>
      </c>
      <c r="F2669" t="s">
        <v>63</v>
      </c>
      <c r="G2669" s="23">
        <v>45968</v>
      </c>
      <c r="H2669" t="s">
        <v>12052</v>
      </c>
      <c r="I2669" t="s">
        <v>12053</v>
      </c>
      <c r="J2669" t="s">
        <v>12054</v>
      </c>
    </row>
    <row r="2670" spans="1:10">
      <c r="A2670" t="s">
        <v>12055</v>
      </c>
      <c r="B2670" t="s">
        <v>12055</v>
      </c>
      <c r="C2670" t="s">
        <v>4182</v>
      </c>
      <c r="D2670">
        <v>112</v>
      </c>
      <c r="E2670" t="s">
        <v>31</v>
      </c>
      <c r="F2670" t="s">
        <v>63</v>
      </c>
      <c r="G2670" s="23">
        <v>44439</v>
      </c>
      <c r="H2670" t="s">
        <v>12056</v>
      </c>
      <c r="I2670" t="s">
        <v>12057</v>
      </c>
      <c r="J2670" t="s">
        <v>12058</v>
      </c>
    </row>
    <row r="2671" spans="1:10">
      <c r="A2671" t="s">
        <v>12059</v>
      </c>
      <c r="B2671" t="s">
        <v>12059</v>
      </c>
      <c r="C2671" t="s">
        <v>432</v>
      </c>
      <c r="D2671">
        <v>11</v>
      </c>
      <c r="E2671" t="s">
        <v>29</v>
      </c>
      <c r="F2671" t="s">
        <v>63</v>
      </c>
      <c r="G2671" s="23">
        <v>43293</v>
      </c>
      <c r="H2671" t="s">
        <v>12060</v>
      </c>
      <c r="I2671" t="s">
        <v>12061</v>
      </c>
      <c r="J2671" t="s">
        <v>12062</v>
      </c>
    </row>
    <row r="2672" spans="1:10">
      <c r="A2672" t="s">
        <v>12063</v>
      </c>
      <c r="B2672" t="s">
        <v>12063</v>
      </c>
      <c r="C2672" t="s">
        <v>1220</v>
      </c>
      <c r="D2672">
        <v>6</v>
      </c>
      <c r="E2672" t="s">
        <v>29</v>
      </c>
      <c r="F2672" t="s">
        <v>63</v>
      </c>
      <c r="G2672" s="23">
        <v>42108</v>
      </c>
      <c r="H2672" t="s">
        <v>12064</v>
      </c>
      <c r="I2672" t="s">
        <v>12065</v>
      </c>
      <c r="J2672" t="s">
        <v>12066</v>
      </c>
    </row>
    <row r="2673" spans="1:10">
      <c r="A2673" t="s">
        <v>12067</v>
      </c>
      <c r="B2673" t="s">
        <v>12067</v>
      </c>
      <c r="C2673" t="s">
        <v>12068</v>
      </c>
      <c r="D2673">
        <v>5</v>
      </c>
      <c r="E2673" t="s">
        <v>27</v>
      </c>
      <c r="F2673" t="s">
        <v>63</v>
      </c>
      <c r="G2673" s="23">
        <v>42220</v>
      </c>
      <c r="H2673" t="s">
        <v>12069</v>
      </c>
      <c r="I2673" t="s">
        <v>12070</v>
      </c>
      <c r="J2673" t="s">
        <v>12071</v>
      </c>
    </row>
    <row r="2674" spans="1:10">
      <c r="A2674" t="s">
        <v>12072</v>
      </c>
      <c r="B2674" t="s">
        <v>12072</v>
      </c>
      <c r="C2674" t="s">
        <v>12073</v>
      </c>
      <c r="D2674">
        <v>7</v>
      </c>
      <c r="E2674" t="s">
        <v>27</v>
      </c>
      <c r="F2674" t="s">
        <v>63</v>
      </c>
      <c r="G2674" s="23">
        <v>41445</v>
      </c>
      <c r="H2674" t="s">
        <v>12074</v>
      </c>
      <c r="I2674" t="s">
        <v>12075</v>
      </c>
      <c r="J2674" t="s">
        <v>12076</v>
      </c>
    </row>
    <row r="2675" spans="1:10">
      <c r="A2675" t="s">
        <v>12077</v>
      </c>
      <c r="B2675" t="s">
        <v>12077</v>
      </c>
      <c r="C2675" t="s">
        <v>12078</v>
      </c>
      <c r="D2675">
        <v>77</v>
      </c>
      <c r="E2675" t="s">
        <v>34</v>
      </c>
      <c r="F2675" t="s">
        <v>63</v>
      </c>
      <c r="G2675" s="23">
        <v>42098</v>
      </c>
      <c r="H2675" t="s">
        <v>12079</v>
      </c>
      <c r="I2675" t="s">
        <v>12080</v>
      </c>
      <c r="J2675" t="s">
        <v>12081</v>
      </c>
    </row>
    <row r="2676" spans="1:10">
      <c r="A2676" t="s">
        <v>12082</v>
      </c>
      <c r="B2676" t="s">
        <v>12082</v>
      </c>
      <c r="C2676" t="s">
        <v>4118</v>
      </c>
      <c r="D2676">
        <v>7</v>
      </c>
      <c r="E2676" t="s">
        <v>29</v>
      </c>
      <c r="F2676" t="s">
        <v>63</v>
      </c>
      <c r="G2676" s="23">
        <v>41445</v>
      </c>
      <c r="H2676" t="s">
        <v>12083</v>
      </c>
      <c r="I2676" t="s">
        <v>12084</v>
      </c>
      <c r="J2676" t="s">
        <v>12085</v>
      </c>
    </row>
    <row r="2677" spans="1:10">
      <c r="A2677" t="s">
        <v>12086</v>
      </c>
      <c r="B2677" t="s">
        <v>12086</v>
      </c>
      <c r="C2677" t="s">
        <v>10205</v>
      </c>
      <c r="D2677">
        <v>10</v>
      </c>
      <c r="E2677" t="s">
        <v>33</v>
      </c>
      <c r="F2677" t="s">
        <v>57</v>
      </c>
      <c r="G2677" s="23">
        <v>44664</v>
      </c>
      <c r="H2677" t="s">
        <v>12087</v>
      </c>
      <c r="I2677" t="s">
        <v>12088</v>
      </c>
      <c r="J2677" t="s">
        <v>12089</v>
      </c>
    </row>
    <row r="2678" spans="1:10">
      <c r="A2678" t="s">
        <v>12090</v>
      </c>
      <c r="B2678" t="s">
        <v>12090</v>
      </c>
      <c r="C2678" t="s">
        <v>12091</v>
      </c>
      <c r="D2678">
        <v>77</v>
      </c>
      <c r="E2678" t="s">
        <v>29</v>
      </c>
      <c r="F2678" t="s">
        <v>63</v>
      </c>
      <c r="G2678" s="23">
        <v>43300</v>
      </c>
      <c r="H2678" t="s">
        <v>12092</v>
      </c>
      <c r="I2678" t="s">
        <v>12093</v>
      </c>
      <c r="J2678" t="s">
        <v>12094</v>
      </c>
    </row>
    <row r="2679" spans="1:10">
      <c r="A2679" t="s">
        <v>12095</v>
      </c>
      <c r="B2679" t="s">
        <v>12095</v>
      </c>
      <c r="C2679" t="s">
        <v>2095</v>
      </c>
      <c r="D2679">
        <v>21</v>
      </c>
      <c r="E2679" t="s">
        <v>31</v>
      </c>
      <c r="F2679" t="s">
        <v>57</v>
      </c>
      <c r="G2679" s="23">
        <v>43549</v>
      </c>
      <c r="H2679" t="s">
        <v>12096</v>
      </c>
      <c r="I2679" t="s">
        <v>12097</v>
      </c>
      <c r="J2679" t="s">
        <v>12098</v>
      </c>
    </row>
    <row r="2680" spans="1:10">
      <c r="A2680" t="s">
        <v>12099</v>
      </c>
      <c r="B2680" t="s">
        <v>12099</v>
      </c>
      <c r="C2680" t="s">
        <v>1186</v>
      </c>
      <c r="D2680">
        <v>14</v>
      </c>
      <c r="E2680" t="s">
        <v>35</v>
      </c>
      <c r="F2680" t="s">
        <v>57</v>
      </c>
      <c r="G2680" s="23">
        <v>44336</v>
      </c>
      <c r="H2680" t="s">
        <v>12100</v>
      </c>
      <c r="I2680" t="s">
        <v>12101</v>
      </c>
      <c r="J2680" t="s">
        <v>12102</v>
      </c>
    </row>
    <row r="2681" spans="1:10">
      <c r="A2681" t="s">
        <v>12103</v>
      </c>
      <c r="B2681" t="s">
        <v>12103</v>
      </c>
      <c r="C2681" t="s">
        <v>2531</v>
      </c>
      <c r="D2681">
        <v>5</v>
      </c>
      <c r="E2681" t="s">
        <v>35</v>
      </c>
      <c r="F2681" t="s">
        <v>57</v>
      </c>
      <c r="G2681" s="23">
        <v>45175</v>
      </c>
      <c r="H2681" t="s">
        <v>12104</v>
      </c>
      <c r="I2681" t="s">
        <v>12105</v>
      </c>
      <c r="J2681" t="s">
        <v>12106</v>
      </c>
    </row>
    <row r="2682" spans="1:10">
      <c r="A2682" t="s">
        <v>12107</v>
      </c>
      <c r="B2682" t="s">
        <v>12107</v>
      </c>
      <c r="C2682" t="s">
        <v>485</v>
      </c>
      <c r="D2682">
        <v>21</v>
      </c>
      <c r="E2682" t="s">
        <v>36</v>
      </c>
      <c r="F2682" t="s">
        <v>57</v>
      </c>
      <c r="G2682" s="23">
        <v>45572</v>
      </c>
      <c r="H2682" t="s">
        <v>12108</v>
      </c>
      <c r="I2682" t="s">
        <v>12109</v>
      </c>
      <c r="J2682" t="s">
        <v>12110</v>
      </c>
    </row>
    <row r="2683" spans="1:10">
      <c r="A2683" t="s">
        <v>12111</v>
      </c>
      <c r="B2683" t="s">
        <v>12111</v>
      </c>
      <c r="C2683" t="s">
        <v>8926</v>
      </c>
      <c r="D2683">
        <v>43</v>
      </c>
      <c r="E2683" t="s">
        <v>34</v>
      </c>
      <c r="F2683" t="s">
        <v>57</v>
      </c>
      <c r="G2683" s="23">
        <v>45449</v>
      </c>
      <c r="H2683" t="s">
        <v>12112</v>
      </c>
      <c r="I2683" t="s">
        <v>12113</v>
      </c>
      <c r="J2683" t="s">
        <v>12114</v>
      </c>
    </row>
    <row r="2684" spans="1:10">
      <c r="A2684" t="s">
        <v>12115</v>
      </c>
      <c r="B2684" t="s">
        <v>12115</v>
      </c>
      <c r="C2684" t="s">
        <v>9897</v>
      </c>
      <c r="D2684">
        <v>6</v>
      </c>
      <c r="E2684" t="s">
        <v>34</v>
      </c>
      <c r="F2684" t="s">
        <v>57</v>
      </c>
      <c r="G2684" s="23">
        <v>45807</v>
      </c>
      <c r="H2684" t="s">
        <v>12116</v>
      </c>
      <c r="I2684" t="s">
        <v>12117</v>
      </c>
      <c r="J2684" t="s">
        <v>12118</v>
      </c>
    </row>
    <row r="2685" spans="1:10">
      <c r="A2685" t="s">
        <v>12119</v>
      </c>
      <c r="B2685" t="s">
        <v>12119</v>
      </c>
      <c r="C2685" t="s">
        <v>2531</v>
      </c>
      <c r="D2685">
        <v>6</v>
      </c>
      <c r="E2685" t="s">
        <v>35</v>
      </c>
      <c r="F2685" t="s">
        <v>57</v>
      </c>
      <c r="G2685" s="23">
        <v>45516</v>
      </c>
      <c r="H2685" t="s">
        <v>12120</v>
      </c>
      <c r="I2685" t="s">
        <v>12121</v>
      </c>
      <c r="J2685" t="s">
        <v>12122</v>
      </c>
    </row>
    <row r="2686" spans="1:10">
      <c r="A2686" t="s">
        <v>12123</v>
      </c>
      <c r="B2686" t="s">
        <v>12123</v>
      </c>
      <c r="C2686" t="s">
        <v>3275</v>
      </c>
      <c r="D2686">
        <v>6</v>
      </c>
      <c r="E2686" t="s">
        <v>34</v>
      </c>
      <c r="F2686" t="s">
        <v>57</v>
      </c>
      <c r="G2686" s="23">
        <v>45733</v>
      </c>
      <c r="H2686" t="s">
        <v>12124</v>
      </c>
      <c r="I2686" t="s">
        <v>12125</v>
      </c>
      <c r="J2686" t="s">
        <v>12126</v>
      </c>
    </row>
    <row r="2687" spans="1:10">
      <c r="A2687" t="s">
        <v>12127</v>
      </c>
      <c r="B2687" t="s">
        <v>12127</v>
      </c>
      <c r="C2687" t="s">
        <v>12128</v>
      </c>
      <c r="D2687">
        <v>26</v>
      </c>
      <c r="E2687" t="s">
        <v>34</v>
      </c>
      <c r="F2687" t="s">
        <v>57</v>
      </c>
      <c r="G2687" s="23">
        <v>44418</v>
      </c>
      <c r="H2687" t="s">
        <v>12129</v>
      </c>
      <c r="I2687" t="s">
        <v>12130</v>
      </c>
      <c r="J2687" t="s">
        <v>12131</v>
      </c>
    </row>
    <row r="2688" spans="1:10">
      <c r="A2688" t="s">
        <v>12132</v>
      </c>
      <c r="B2688" t="s">
        <v>12132</v>
      </c>
      <c r="C2688" t="s">
        <v>7525</v>
      </c>
      <c r="D2688">
        <v>10</v>
      </c>
      <c r="E2688" t="s">
        <v>31</v>
      </c>
      <c r="F2688" t="s">
        <v>63</v>
      </c>
      <c r="G2688" s="23">
        <v>44252</v>
      </c>
      <c r="H2688" t="s">
        <v>12133</v>
      </c>
      <c r="I2688" t="s">
        <v>12134</v>
      </c>
      <c r="J2688" t="s">
        <v>12135</v>
      </c>
    </row>
    <row r="2689" spans="1:10">
      <c r="A2689" t="s">
        <v>12136</v>
      </c>
      <c r="B2689" t="s">
        <v>12136</v>
      </c>
      <c r="C2689" t="s">
        <v>12137</v>
      </c>
      <c r="D2689">
        <v>69</v>
      </c>
      <c r="E2689" t="s">
        <v>31</v>
      </c>
      <c r="F2689" t="s">
        <v>115</v>
      </c>
      <c r="G2689" s="23">
        <v>45558</v>
      </c>
      <c r="H2689" t="s">
        <v>12138</v>
      </c>
      <c r="I2689" t="s">
        <v>12139</v>
      </c>
      <c r="J2689" t="s">
        <v>12140</v>
      </c>
    </row>
    <row r="2690" spans="1:10">
      <c r="A2690" t="s">
        <v>12141</v>
      </c>
      <c r="B2690" t="s">
        <v>12141</v>
      </c>
      <c r="C2690" t="s">
        <v>2493</v>
      </c>
      <c r="D2690">
        <v>9</v>
      </c>
      <c r="E2690" t="s">
        <v>31</v>
      </c>
      <c r="F2690" t="s">
        <v>63</v>
      </c>
      <c r="G2690" s="23">
        <v>41729</v>
      </c>
      <c r="H2690" t="s">
        <v>12142</v>
      </c>
      <c r="I2690" t="s">
        <v>12143</v>
      </c>
      <c r="J2690" t="s">
        <v>12144</v>
      </c>
    </row>
    <row r="2691" spans="1:10">
      <c r="A2691" t="s">
        <v>12145</v>
      </c>
      <c r="B2691" t="s">
        <v>12145</v>
      </c>
      <c r="C2691" t="s">
        <v>1838</v>
      </c>
      <c r="D2691">
        <v>15</v>
      </c>
      <c r="E2691" t="s">
        <v>34</v>
      </c>
      <c r="F2691" t="s">
        <v>57</v>
      </c>
      <c r="G2691" s="23">
        <v>44363</v>
      </c>
      <c r="H2691" t="s">
        <v>12146</v>
      </c>
      <c r="I2691" t="s">
        <v>12147</v>
      </c>
      <c r="J2691" t="s">
        <v>12148</v>
      </c>
    </row>
    <row r="2692" spans="1:10">
      <c r="A2692" t="s">
        <v>12149</v>
      </c>
      <c r="B2692" t="s">
        <v>12149</v>
      </c>
      <c r="C2692" t="s">
        <v>11951</v>
      </c>
      <c r="D2692">
        <v>8</v>
      </c>
      <c r="E2692" t="s">
        <v>29</v>
      </c>
      <c r="F2692" t="s">
        <v>63</v>
      </c>
      <c r="G2692" s="23">
        <v>42266</v>
      </c>
      <c r="H2692" t="s">
        <v>12150</v>
      </c>
      <c r="I2692" t="s">
        <v>12151</v>
      </c>
      <c r="J2692" t="s">
        <v>12152</v>
      </c>
    </row>
    <row r="2693" spans="1:10">
      <c r="A2693" t="s">
        <v>12153</v>
      </c>
      <c r="B2693" t="s">
        <v>12153</v>
      </c>
      <c r="C2693" t="s">
        <v>12154</v>
      </c>
      <c r="D2693">
        <v>2</v>
      </c>
      <c r="E2693" t="s">
        <v>27</v>
      </c>
      <c r="F2693" t="s">
        <v>63</v>
      </c>
      <c r="G2693" s="23">
        <v>43871</v>
      </c>
      <c r="H2693" t="s">
        <v>12155</v>
      </c>
      <c r="I2693" t="s">
        <v>12156</v>
      </c>
      <c r="J2693" t="s">
        <v>12157</v>
      </c>
    </row>
    <row r="2694" spans="1:10">
      <c r="A2694" t="s">
        <v>12158</v>
      </c>
      <c r="B2694" t="s">
        <v>12158</v>
      </c>
      <c r="C2694" t="s">
        <v>7011</v>
      </c>
      <c r="D2694">
        <v>1</v>
      </c>
      <c r="E2694" t="s">
        <v>31</v>
      </c>
      <c r="F2694" t="s">
        <v>115</v>
      </c>
      <c r="G2694" s="23">
        <v>43688</v>
      </c>
      <c r="H2694" t="s">
        <v>12159</v>
      </c>
      <c r="I2694" t="s">
        <v>12160</v>
      </c>
      <c r="J2694" t="s">
        <v>12161</v>
      </c>
    </row>
    <row r="2695" spans="1:10">
      <c r="A2695" t="s">
        <v>12162</v>
      </c>
      <c r="B2695" t="s">
        <v>12162</v>
      </c>
      <c r="C2695" t="s">
        <v>485</v>
      </c>
      <c r="D2695">
        <v>6</v>
      </c>
      <c r="E2695" t="s">
        <v>36</v>
      </c>
      <c r="F2695" t="s">
        <v>57</v>
      </c>
      <c r="G2695" s="23">
        <v>45394</v>
      </c>
      <c r="H2695" t="s">
        <v>12163</v>
      </c>
      <c r="I2695" t="s">
        <v>12164</v>
      </c>
      <c r="J2695" t="s">
        <v>12165</v>
      </c>
    </row>
    <row r="2696" spans="1:10">
      <c r="A2696" t="s">
        <v>12166</v>
      </c>
      <c r="B2696" t="s">
        <v>12166</v>
      </c>
      <c r="C2696" t="s">
        <v>10536</v>
      </c>
      <c r="D2696">
        <v>9</v>
      </c>
      <c r="E2696" t="s">
        <v>36</v>
      </c>
      <c r="F2696" t="s">
        <v>57</v>
      </c>
      <c r="G2696" s="23">
        <v>46207</v>
      </c>
      <c r="H2696" t="s">
        <v>12167</v>
      </c>
      <c r="I2696" t="s">
        <v>12168</v>
      </c>
      <c r="J2696" t="s">
        <v>12169</v>
      </c>
    </row>
    <row r="2697" spans="1:10">
      <c r="A2697" t="s">
        <v>12170</v>
      </c>
      <c r="B2697" t="s">
        <v>12170</v>
      </c>
      <c r="C2697" t="s">
        <v>2763</v>
      </c>
      <c r="D2697">
        <v>12</v>
      </c>
      <c r="E2697" t="s">
        <v>35</v>
      </c>
      <c r="F2697" t="s">
        <v>57</v>
      </c>
      <c r="G2697" s="23">
        <v>44609</v>
      </c>
      <c r="H2697" t="s">
        <v>12171</v>
      </c>
      <c r="I2697" t="s">
        <v>12172</v>
      </c>
      <c r="J2697" t="s">
        <v>12173</v>
      </c>
    </row>
    <row r="2698" spans="1:10">
      <c r="A2698" t="s">
        <v>12174</v>
      </c>
      <c r="B2698" t="s">
        <v>12174</v>
      </c>
      <c r="C2698" t="s">
        <v>12175</v>
      </c>
      <c r="D2698">
        <v>13</v>
      </c>
      <c r="E2698" t="s">
        <v>29</v>
      </c>
      <c r="F2698" t="s">
        <v>63</v>
      </c>
      <c r="G2698" s="23">
        <v>42013</v>
      </c>
      <c r="H2698" t="s">
        <v>12176</v>
      </c>
      <c r="I2698" t="s">
        <v>12177</v>
      </c>
      <c r="J2698" t="s">
        <v>12178</v>
      </c>
    </row>
    <row r="2699" spans="1:10">
      <c r="A2699" t="s">
        <v>12179</v>
      </c>
      <c r="B2699" t="s">
        <v>12179</v>
      </c>
      <c r="C2699" t="s">
        <v>1804</v>
      </c>
      <c r="D2699">
        <v>11</v>
      </c>
      <c r="E2699" t="s">
        <v>31</v>
      </c>
      <c r="F2699" t="s">
        <v>63</v>
      </c>
      <c r="G2699" s="23">
        <v>42799</v>
      </c>
      <c r="H2699" t="s">
        <v>12180</v>
      </c>
      <c r="I2699" t="s">
        <v>12181</v>
      </c>
      <c r="J2699" t="s">
        <v>12182</v>
      </c>
    </row>
    <row r="2700" spans="1:10">
      <c r="A2700" t="s">
        <v>12183</v>
      </c>
      <c r="B2700" t="s">
        <v>12183</v>
      </c>
      <c r="C2700" t="s">
        <v>1804</v>
      </c>
      <c r="D2700">
        <v>6</v>
      </c>
      <c r="E2700" t="s">
        <v>33</v>
      </c>
      <c r="F2700" t="s">
        <v>63</v>
      </c>
      <c r="G2700" s="23">
        <v>44990</v>
      </c>
      <c r="H2700" t="s">
        <v>12184</v>
      </c>
      <c r="I2700" t="s">
        <v>12185</v>
      </c>
      <c r="J2700" t="s">
        <v>12186</v>
      </c>
    </row>
    <row r="2701" spans="1:10">
      <c r="A2701" t="s">
        <v>12187</v>
      </c>
      <c r="B2701" t="s">
        <v>12187</v>
      </c>
      <c r="C2701" t="s">
        <v>1580</v>
      </c>
      <c r="D2701">
        <v>20</v>
      </c>
      <c r="E2701" t="s">
        <v>33</v>
      </c>
      <c r="F2701" t="s">
        <v>57</v>
      </c>
      <c r="G2701" s="23">
        <v>43140</v>
      </c>
      <c r="H2701" t="s">
        <v>12188</v>
      </c>
      <c r="I2701" t="s">
        <v>12189</v>
      </c>
      <c r="J2701" t="s">
        <v>12190</v>
      </c>
    </row>
    <row r="2702" spans="1:10">
      <c r="A2702" t="s">
        <v>12191</v>
      </c>
      <c r="B2702" t="s">
        <v>12191</v>
      </c>
      <c r="C2702" t="s">
        <v>12192</v>
      </c>
      <c r="D2702">
        <v>18</v>
      </c>
      <c r="E2702" t="s">
        <v>34</v>
      </c>
      <c r="F2702" t="s">
        <v>571</v>
      </c>
      <c r="G2702" s="23">
        <v>44545</v>
      </c>
      <c r="H2702" t="s">
        <v>12193</v>
      </c>
      <c r="I2702" t="s">
        <v>12194</v>
      </c>
      <c r="J2702" t="s">
        <v>12195</v>
      </c>
    </row>
    <row r="2703" spans="1:10">
      <c r="A2703" t="s">
        <v>12196</v>
      </c>
      <c r="B2703" t="s">
        <v>12196</v>
      </c>
      <c r="C2703" t="s">
        <v>885</v>
      </c>
      <c r="D2703">
        <v>10</v>
      </c>
      <c r="E2703" t="s">
        <v>34</v>
      </c>
      <c r="F2703" t="s">
        <v>57</v>
      </c>
      <c r="G2703" s="23">
        <v>44070</v>
      </c>
      <c r="H2703" t="s">
        <v>12197</v>
      </c>
      <c r="I2703" t="s">
        <v>12198</v>
      </c>
      <c r="J2703" t="s">
        <v>12199</v>
      </c>
    </row>
    <row r="2704" spans="1:10">
      <c r="A2704" t="s">
        <v>12200</v>
      </c>
      <c r="B2704" t="s">
        <v>12200</v>
      </c>
      <c r="C2704" t="s">
        <v>885</v>
      </c>
      <c r="D2704">
        <v>24</v>
      </c>
      <c r="E2704" t="s">
        <v>33</v>
      </c>
      <c r="F2704" t="s">
        <v>57</v>
      </c>
      <c r="G2704" s="23">
        <v>44275</v>
      </c>
      <c r="H2704" t="s">
        <v>12201</v>
      </c>
      <c r="I2704" t="s">
        <v>12202</v>
      </c>
      <c r="J2704" t="s">
        <v>12203</v>
      </c>
    </row>
    <row r="2705" spans="1:10">
      <c r="A2705" t="s">
        <v>12204</v>
      </c>
      <c r="B2705" t="s">
        <v>12204</v>
      </c>
      <c r="C2705" t="s">
        <v>12205</v>
      </c>
      <c r="D2705">
        <v>34</v>
      </c>
      <c r="E2705" t="s">
        <v>33</v>
      </c>
      <c r="F2705" t="s">
        <v>63</v>
      </c>
      <c r="G2705" s="23">
        <v>41445</v>
      </c>
      <c r="H2705" t="s">
        <v>12206</v>
      </c>
      <c r="I2705" t="s">
        <v>12207</v>
      </c>
      <c r="J2705" t="s">
        <v>12208</v>
      </c>
    </row>
    <row r="2706" spans="1:10">
      <c r="A2706" t="s">
        <v>12209</v>
      </c>
      <c r="B2706" t="s">
        <v>12209</v>
      </c>
      <c r="C2706" t="s">
        <v>12210</v>
      </c>
      <c r="D2706">
        <v>29</v>
      </c>
      <c r="E2706" t="s">
        <v>34</v>
      </c>
      <c r="F2706" t="s">
        <v>57</v>
      </c>
      <c r="G2706" s="23">
        <v>46030</v>
      </c>
      <c r="H2706" t="s">
        <v>12211</v>
      </c>
      <c r="I2706" t="s">
        <v>12212</v>
      </c>
      <c r="J2706" t="s">
        <v>12213</v>
      </c>
    </row>
    <row r="2707" spans="1:10">
      <c r="A2707" t="s">
        <v>12214</v>
      </c>
      <c r="B2707" t="s">
        <v>12214</v>
      </c>
      <c r="C2707" t="s">
        <v>7076</v>
      </c>
      <c r="D2707">
        <v>11</v>
      </c>
      <c r="E2707" t="s">
        <v>35</v>
      </c>
      <c r="F2707" t="s">
        <v>57</v>
      </c>
      <c r="G2707" s="23">
        <v>44929</v>
      </c>
      <c r="H2707" t="s">
        <v>12215</v>
      </c>
      <c r="I2707" t="s">
        <v>12216</v>
      </c>
      <c r="J2707" t="s">
        <v>12217</v>
      </c>
    </row>
    <row r="2708" spans="1:10">
      <c r="A2708" t="s">
        <v>12218</v>
      </c>
      <c r="B2708" t="s">
        <v>12218</v>
      </c>
      <c r="C2708" t="s">
        <v>718</v>
      </c>
      <c r="D2708">
        <v>0</v>
      </c>
      <c r="E2708" t="s">
        <v>33</v>
      </c>
      <c r="F2708" t="s">
        <v>57</v>
      </c>
      <c r="G2708" s="23">
        <v>44943</v>
      </c>
      <c r="H2708" t="s">
        <v>12219</v>
      </c>
      <c r="I2708" t="s">
        <v>12220</v>
      </c>
      <c r="J2708" t="s">
        <v>12221</v>
      </c>
    </row>
    <row r="2709" spans="1:10">
      <c r="A2709" t="s">
        <v>12222</v>
      </c>
      <c r="B2709" t="s">
        <v>12222</v>
      </c>
      <c r="C2709" t="s">
        <v>3395</v>
      </c>
      <c r="D2709">
        <v>4</v>
      </c>
      <c r="E2709" t="s">
        <v>31</v>
      </c>
      <c r="F2709" t="s">
        <v>57</v>
      </c>
      <c r="G2709" s="23">
        <v>45802</v>
      </c>
      <c r="H2709" t="s">
        <v>12223</v>
      </c>
      <c r="I2709" t="s">
        <v>12224</v>
      </c>
      <c r="J2709" t="s">
        <v>12225</v>
      </c>
    </row>
    <row r="2710" spans="1:10">
      <c r="A2710" t="s">
        <v>12226</v>
      </c>
      <c r="B2710" t="s">
        <v>12226</v>
      </c>
      <c r="C2710" t="s">
        <v>12227</v>
      </c>
      <c r="D2710">
        <v>10</v>
      </c>
      <c r="E2710" t="s">
        <v>35</v>
      </c>
      <c r="F2710" t="s">
        <v>57</v>
      </c>
      <c r="G2710" s="23">
        <v>43860</v>
      </c>
      <c r="H2710" t="s">
        <v>12228</v>
      </c>
      <c r="I2710" t="s">
        <v>12229</v>
      </c>
      <c r="J2710" t="s">
        <v>12230</v>
      </c>
    </row>
    <row r="2711" spans="1:10">
      <c r="A2711" t="s">
        <v>12231</v>
      </c>
      <c r="B2711" t="s">
        <v>12231</v>
      </c>
      <c r="C2711" t="s">
        <v>2152</v>
      </c>
      <c r="D2711">
        <v>18</v>
      </c>
      <c r="E2711" t="s">
        <v>31</v>
      </c>
      <c r="F2711" t="s">
        <v>63</v>
      </c>
      <c r="G2711" s="23">
        <v>42523</v>
      </c>
      <c r="H2711" t="s">
        <v>12232</v>
      </c>
      <c r="I2711" t="s">
        <v>12233</v>
      </c>
      <c r="J2711" t="s">
        <v>12234</v>
      </c>
    </row>
    <row r="2712" spans="1:10">
      <c r="A2712" t="s">
        <v>12235</v>
      </c>
      <c r="B2712" t="s">
        <v>12235</v>
      </c>
      <c r="C2712" t="s">
        <v>12236</v>
      </c>
      <c r="D2712">
        <v>67</v>
      </c>
      <c r="E2712" t="s">
        <v>33</v>
      </c>
      <c r="F2712" t="s">
        <v>63</v>
      </c>
      <c r="G2712" s="23">
        <v>45039</v>
      </c>
      <c r="H2712" t="s">
        <v>12237</v>
      </c>
      <c r="I2712" t="s">
        <v>12238</v>
      </c>
      <c r="J2712" t="s">
        <v>12239</v>
      </c>
    </row>
    <row r="2713" spans="1:10">
      <c r="A2713" t="s">
        <v>12240</v>
      </c>
      <c r="B2713" t="s">
        <v>12240</v>
      </c>
      <c r="C2713" t="s">
        <v>12241</v>
      </c>
      <c r="D2713">
        <v>4</v>
      </c>
      <c r="E2713" t="s">
        <v>29</v>
      </c>
      <c r="F2713" t="s">
        <v>63</v>
      </c>
      <c r="G2713" s="23">
        <v>43221</v>
      </c>
      <c r="H2713" t="s">
        <v>12242</v>
      </c>
      <c r="I2713" t="s">
        <v>12243</v>
      </c>
      <c r="J2713" t="s">
        <v>12244</v>
      </c>
    </row>
    <row r="2714" spans="1:10">
      <c r="A2714" t="s">
        <v>12245</v>
      </c>
      <c r="B2714" t="s">
        <v>12245</v>
      </c>
      <c r="C2714" t="s">
        <v>370</v>
      </c>
      <c r="D2714">
        <v>14</v>
      </c>
      <c r="E2714" t="s">
        <v>34</v>
      </c>
      <c r="F2714" t="s">
        <v>57</v>
      </c>
      <c r="G2714" s="23">
        <v>43922</v>
      </c>
      <c r="H2714" t="s">
        <v>12246</v>
      </c>
      <c r="I2714" t="s">
        <v>12247</v>
      </c>
      <c r="J2714" t="s">
        <v>12248</v>
      </c>
    </row>
    <row r="2715" spans="1:10">
      <c r="A2715" t="s">
        <v>12249</v>
      </c>
      <c r="B2715" t="s">
        <v>12249</v>
      </c>
      <c r="C2715" t="s">
        <v>12250</v>
      </c>
      <c r="D2715">
        <v>2</v>
      </c>
      <c r="E2715" t="s">
        <v>33</v>
      </c>
      <c r="F2715" t="s">
        <v>115</v>
      </c>
      <c r="G2715" s="23">
        <v>45765</v>
      </c>
      <c r="H2715" t="s">
        <v>12251</v>
      </c>
      <c r="I2715" t="s">
        <v>12252</v>
      </c>
      <c r="J2715" t="s">
        <v>12253</v>
      </c>
    </row>
    <row r="2716" spans="1:10">
      <c r="A2716" t="s">
        <v>12254</v>
      </c>
      <c r="B2716" t="s">
        <v>12254</v>
      </c>
      <c r="C2716" t="s">
        <v>11347</v>
      </c>
      <c r="D2716">
        <v>12</v>
      </c>
      <c r="E2716" t="s">
        <v>33</v>
      </c>
      <c r="F2716" t="s">
        <v>57</v>
      </c>
      <c r="G2716" s="23">
        <v>44318</v>
      </c>
      <c r="H2716" t="s">
        <v>12255</v>
      </c>
      <c r="I2716" t="s">
        <v>12256</v>
      </c>
      <c r="J2716" t="s">
        <v>12257</v>
      </c>
    </row>
    <row r="2717" spans="1:10">
      <c r="A2717" t="s">
        <v>12258</v>
      </c>
      <c r="B2717" t="s">
        <v>12258</v>
      </c>
      <c r="C2717" t="s">
        <v>4920</v>
      </c>
      <c r="D2717">
        <v>33</v>
      </c>
      <c r="E2717" t="s">
        <v>31</v>
      </c>
      <c r="F2717" t="s">
        <v>63</v>
      </c>
      <c r="G2717" s="23">
        <v>42946</v>
      </c>
      <c r="H2717" t="s">
        <v>12259</v>
      </c>
      <c r="I2717" t="s">
        <v>12260</v>
      </c>
      <c r="J2717" t="s">
        <v>12261</v>
      </c>
    </row>
    <row r="2718" spans="1:10">
      <c r="A2718" t="s">
        <v>12262</v>
      </c>
      <c r="B2718" t="s">
        <v>12262</v>
      </c>
      <c r="C2718" t="s">
        <v>2979</v>
      </c>
      <c r="D2718">
        <v>10</v>
      </c>
      <c r="E2718" t="s">
        <v>31</v>
      </c>
      <c r="F2718" t="s">
        <v>63</v>
      </c>
      <c r="G2718" s="23">
        <v>44153</v>
      </c>
      <c r="H2718" t="s">
        <v>12263</v>
      </c>
      <c r="I2718" t="s">
        <v>12264</v>
      </c>
      <c r="J2718" t="s">
        <v>12265</v>
      </c>
    </row>
    <row r="2719" spans="1:10">
      <c r="A2719" t="s">
        <v>12266</v>
      </c>
      <c r="B2719" t="s">
        <v>12266</v>
      </c>
      <c r="C2719" t="s">
        <v>1230</v>
      </c>
      <c r="D2719">
        <v>1</v>
      </c>
      <c r="E2719" t="s">
        <v>31</v>
      </c>
      <c r="F2719" t="s">
        <v>63</v>
      </c>
      <c r="G2719" s="23">
        <v>42209</v>
      </c>
      <c r="H2719" t="s">
        <v>12267</v>
      </c>
      <c r="I2719" t="s">
        <v>12268</v>
      </c>
      <c r="J2719" t="s">
        <v>12269</v>
      </c>
    </row>
    <row r="2720" spans="1:10">
      <c r="A2720" t="s">
        <v>12270</v>
      </c>
      <c r="B2720" t="s">
        <v>12270</v>
      </c>
      <c r="C2720" t="s">
        <v>12271</v>
      </c>
      <c r="D2720">
        <v>15</v>
      </c>
      <c r="E2720" t="s">
        <v>34</v>
      </c>
      <c r="F2720" t="s">
        <v>57</v>
      </c>
      <c r="G2720" s="23">
        <v>44504</v>
      </c>
      <c r="H2720" t="s">
        <v>12272</v>
      </c>
      <c r="I2720" t="s">
        <v>12273</v>
      </c>
      <c r="J2720" t="s">
        <v>12274</v>
      </c>
    </row>
    <row r="2721" spans="1:10">
      <c r="A2721" t="s">
        <v>12275</v>
      </c>
      <c r="B2721" t="s">
        <v>12275</v>
      </c>
      <c r="C2721" t="s">
        <v>12276</v>
      </c>
      <c r="D2721">
        <v>113</v>
      </c>
      <c r="E2721" t="s">
        <v>34</v>
      </c>
      <c r="F2721" t="s">
        <v>63</v>
      </c>
      <c r="G2721" s="23">
        <v>46201</v>
      </c>
      <c r="H2721" t="s">
        <v>12277</v>
      </c>
      <c r="I2721" t="s">
        <v>12278</v>
      </c>
      <c r="J2721" t="s">
        <v>12279</v>
      </c>
    </row>
    <row r="2722" spans="1:10">
      <c r="A2722" t="s">
        <v>12280</v>
      </c>
      <c r="B2722" t="s">
        <v>12280</v>
      </c>
      <c r="C2722" t="s">
        <v>2396</v>
      </c>
      <c r="D2722">
        <v>11</v>
      </c>
      <c r="E2722" t="s">
        <v>31</v>
      </c>
      <c r="F2722" t="s">
        <v>63</v>
      </c>
      <c r="G2722" s="23">
        <v>43272</v>
      </c>
      <c r="H2722" t="s">
        <v>12281</v>
      </c>
      <c r="I2722" t="s">
        <v>12282</v>
      </c>
      <c r="J2722" t="s">
        <v>12283</v>
      </c>
    </row>
    <row r="2723" spans="1:10">
      <c r="A2723" t="s">
        <v>12284</v>
      </c>
      <c r="B2723" t="s">
        <v>12284</v>
      </c>
      <c r="C2723" t="s">
        <v>83</v>
      </c>
      <c r="D2723">
        <v>4</v>
      </c>
      <c r="E2723" t="s">
        <v>35</v>
      </c>
      <c r="F2723" t="s">
        <v>57</v>
      </c>
      <c r="G2723" s="23">
        <v>44284</v>
      </c>
      <c r="H2723" t="s">
        <v>12285</v>
      </c>
      <c r="I2723" t="s">
        <v>12286</v>
      </c>
      <c r="J2723" t="s">
        <v>12287</v>
      </c>
    </row>
    <row r="2724" spans="1:10">
      <c r="A2724" t="s">
        <v>12288</v>
      </c>
      <c r="B2724" t="s">
        <v>12288</v>
      </c>
      <c r="C2724" t="s">
        <v>83</v>
      </c>
      <c r="D2724">
        <v>7</v>
      </c>
      <c r="E2724" t="s">
        <v>29</v>
      </c>
      <c r="F2724" t="s">
        <v>63</v>
      </c>
      <c r="G2724" s="23">
        <v>44314</v>
      </c>
      <c r="H2724" t="s">
        <v>12289</v>
      </c>
      <c r="I2724" t="s">
        <v>12290</v>
      </c>
      <c r="J2724" t="s">
        <v>12291</v>
      </c>
    </row>
    <row r="2725" spans="1:10">
      <c r="A2725" t="s">
        <v>12292</v>
      </c>
      <c r="B2725" t="s">
        <v>12292</v>
      </c>
      <c r="C2725" t="s">
        <v>12293</v>
      </c>
      <c r="D2725">
        <v>14</v>
      </c>
      <c r="E2725" t="s">
        <v>27</v>
      </c>
      <c r="F2725" t="s">
        <v>63</v>
      </c>
      <c r="G2725" s="23">
        <v>42210</v>
      </c>
      <c r="H2725" t="s">
        <v>12294</v>
      </c>
      <c r="I2725" t="s">
        <v>12295</v>
      </c>
      <c r="J2725" t="s">
        <v>12296</v>
      </c>
    </row>
    <row r="2726" spans="1:10">
      <c r="A2726" t="s">
        <v>12297</v>
      </c>
      <c r="B2726" t="s">
        <v>12297</v>
      </c>
      <c r="C2726" t="s">
        <v>1017</v>
      </c>
      <c r="D2726">
        <v>11</v>
      </c>
      <c r="E2726" t="s">
        <v>29</v>
      </c>
      <c r="F2726" t="s">
        <v>63</v>
      </c>
      <c r="G2726" s="23">
        <v>45093</v>
      </c>
      <c r="H2726" t="s">
        <v>12298</v>
      </c>
      <c r="I2726" t="s">
        <v>12299</v>
      </c>
      <c r="J2726" t="s">
        <v>12300</v>
      </c>
    </row>
    <row r="2727" spans="1:10">
      <c r="A2727" t="s">
        <v>12301</v>
      </c>
      <c r="B2727" t="s">
        <v>12301</v>
      </c>
      <c r="C2727" t="s">
        <v>253</v>
      </c>
      <c r="D2727">
        <v>5</v>
      </c>
      <c r="E2727" t="s">
        <v>34</v>
      </c>
      <c r="F2727" t="s">
        <v>57</v>
      </c>
      <c r="G2727" s="23">
        <v>43588</v>
      </c>
      <c r="H2727" t="s">
        <v>12302</v>
      </c>
      <c r="I2727" t="s">
        <v>12303</v>
      </c>
      <c r="J2727" t="s">
        <v>12304</v>
      </c>
    </row>
    <row r="2728" spans="1:10">
      <c r="A2728" t="s">
        <v>12305</v>
      </c>
      <c r="B2728" t="s">
        <v>12305</v>
      </c>
      <c r="C2728" t="s">
        <v>12306</v>
      </c>
      <c r="D2728">
        <v>12</v>
      </c>
      <c r="E2728" t="s">
        <v>33</v>
      </c>
      <c r="F2728" t="s">
        <v>63</v>
      </c>
      <c r="G2728" s="23">
        <v>44586</v>
      </c>
      <c r="H2728" t="s">
        <v>12307</v>
      </c>
      <c r="I2728" t="s">
        <v>12308</v>
      </c>
      <c r="J2728" t="s">
        <v>12309</v>
      </c>
    </row>
    <row r="2729" spans="1:10">
      <c r="A2729" t="s">
        <v>12310</v>
      </c>
      <c r="B2729" t="s">
        <v>12310</v>
      </c>
      <c r="C2729" t="s">
        <v>12311</v>
      </c>
      <c r="D2729">
        <v>21</v>
      </c>
      <c r="E2729" t="s">
        <v>27</v>
      </c>
      <c r="F2729" t="s">
        <v>63</v>
      </c>
      <c r="G2729" s="23">
        <v>42277</v>
      </c>
      <c r="H2729" t="s">
        <v>12312</v>
      </c>
      <c r="I2729" t="s">
        <v>12313</v>
      </c>
      <c r="J2729" t="s">
        <v>12314</v>
      </c>
    </row>
    <row r="2730" spans="1:10">
      <c r="A2730" t="s">
        <v>12315</v>
      </c>
      <c r="B2730" t="s">
        <v>12315</v>
      </c>
      <c r="C2730" t="s">
        <v>7159</v>
      </c>
      <c r="D2730">
        <v>13</v>
      </c>
      <c r="E2730" t="s">
        <v>33</v>
      </c>
      <c r="F2730" t="s">
        <v>57</v>
      </c>
      <c r="G2730" s="23">
        <v>45324</v>
      </c>
      <c r="H2730" t="s">
        <v>12316</v>
      </c>
      <c r="I2730" t="s">
        <v>12317</v>
      </c>
      <c r="J2730" t="s">
        <v>12318</v>
      </c>
    </row>
    <row r="2731" spans="1:10">
      <c r="A2731" t="s">
        <v>12319</v>
      </c>
      <c r="B2731" t="s">
        <v>12319</v>
      </c>
      <c r="C2731" t="s">
        <v>6948</v>
      </c>
      <c r="D2731">
        <v>46</v>
      </c>
      <c r="E2731" t="s">
        <v>35</v>
      </c>
      <c r="F2731" t="s">
        <v>57</v>
      </c>
      <c r="G2731" s="23">
        <v>46198</v>
      </c>
      <c r="H2731" t="s">
        <v>12320</v>
      </c>
      <c r="I2731" t="s">
        <v>12321</v>
      </c>
      <c r="J2731" t="s">
        <v>12322</v>
      </c>
    </row>
    <row r="2732" spans="1:10">
      <c r="A2732" t="s">
        <v>12323</v>
      </c>
      <c r="B2732" t="s">
        <v>12323</v>
      </c>
      <c r="C2732" t="s">
        <v>5214</v>
      </c>
      <c r="D2732">
        <v>100</v>
      </c>
      <c r="E2732" t="s">
        <v>35</v>
      </c>
      <c r="F2732" t="s">
        <v>63</v>
      </c>
      <c r="G2732" s="23">
        <v>42069</v>
      </c>
      <c r="H2732" t="s">
        <v>12324</v>
      </c>
      <c r="I2732" t="s">
        <v>12325</v>
      </c>
      <c r="J2732" t="s">
        <v>12326</v>
      </c>
    </row>
    <row r="2733" spans="1:10">
      <c r="A2733" t="s">
        <v>12327</v>
      </c>
      <c r="B2733" t="s">
        <v>12327</v>
      </c>
      <c r="C2733" t="s">
        <v>12328</v>
      </c>
      <c r="D2733">
        <v>5</v>
      </c>
      <c r="E2733" t="s">
        <v>31</v>
      </c>
      <c r="F2733" t="s">
        <v>63</v>
      </c>
      <c r="G2733" s="23">
        <v>42264</v>
      </c>
      <c r="H2733" t="s">
        <v>12329</v>
      </c>
      <c r="I2733" t="s">
        <v>12330</v>
      </c>
      <c r="J2733" t="s">
        <v>12331</v>
      </c>
    </row>
    <row r="2734" spans="1:10">
      <c r="A2734" t="s">
        <v>1535</v>
      </c>
      <c r="B2734" t="s">
        <v>1535</v>
      </c>
      <c r="C2734" t="s">
        <v>1535</v>
      </c>
      <c r="D2734">
        <v>30</v>
      </c>
      <c r="E2734" t="s">
        <v>29</v>
      </c>
      <c r="F2734" t="s">
        <v>63</v>
      </c>
      <c r="G2734" s="23">
        <v>42268</v>
      </c>
      <c r="H2734" t="s">
        <v>12332</v>
      </c>
      <c r="I2734" t="s">
        <v>12333</v>
      </c>
      <c r="J2734" t="s">
        <v>12334</v>
      </c>
    </row>
    <row r="2735" spans="1:10">
      <c r="A2735" t="s">
        <v>12335</v>
      </c>
      <c r="B2735" t="s">
        <v>12335</v>
      </c>
      <c r="C2735" t="s">
        <v>704</v>
      </c>
      <c r="D2735">
        <v>0</v>
      </c>
      <c r="E2735" t="s">
        <v>31</v>
      </c>
      <c r="F2735" t="s">
        <v>63</v>
      </c>
      <c r="G2735" s="23">
        <v>45853</v>
      </c>
      <c r="H2735" t="s">
        <v>12336</v>
      </c>
      <c r="I2735" t="s">
        <v>12337</v>
      </c>
      <c r="J2735" t="s">
        <v>12338</v>
      </c>
    </row>
    <row r="2736" spans="1:10">
      <c r="A2736" t="s">
        <v>12339</v>
      </c>
      <c r="B2736" t="s">
        <v>12339</v>
      </c>
      <c r="C2736" t="s">
        <v>2979</v>
      </c>
      <c r="D2736">
        <v>5</v>
      </c>
      <c r="E2736" t="s">
        <v>34</v>
      </c>
      <c r="F2736" t="s">
        <v>57</v>
      </c>
      <c r="G2736" s="23">
        <v>45768</v>
      </c>
      <c r="H2736" t="s">
        <v>12340</v>
      </c>
      <c r="I2736" t="s">
        <v>12341</v>
      </c>
      <c r="J2736" t="s">
        <v>12342</v>
      </c>
    </row>
    <row r="2737" spans="1:10">
      <c r="A2737" t="s">
        <v>12343</v>
      </c>
      <c r="B2737" t="s">
        <v>12343</v>
      </c>
      <c r="C2737" t="s">
        <v>12344</v>
      </c>
      <c r="D2737">
        <v>15</v>
      </c>
      <c r="E2737" t="s">
        <v>34</v>
      </c>
      <c r="F2737" t="s">
        <v>57</v>
      </c>
      <c r="G2737" s="23">
        <v>45534</v>
      </c>
      <c r="H2737" t="s">
        <v>12345</v>
      </c>
      <c r="I2737" t="s">
        <v>12346</v>
      </c>
      <c r="J2737" t="s">
        <v>12347</v>
      </c>
    </row>
    <row r="2738" spans="1:10">
      <c r="A2738" t="s">
        <v>12348</v>
      </c>
      <c r="B2738" t="s">
        <v>12348</v>
      </c>
      <c r="C2738" t="s">
        <v>12349</v>
      </c>
      <c r="D2738">
        <v>5</v>
      </c>
      <c r="E2738" t="s">
        <v>29</v>
      </c>
      <c r="F2738" t="s">
        <v>63</v>
      </c>
      <c r="G2738" s="23">
        <v>44920</v>
      </c>
      <c r="H2738" t="s">
        <v>12350</v>
      </c>
      <c r="I2738" t="s">
        <v>12351</v>
      </c>
      <c r="J2738" t="s">
        <v>12352</v>
      </c>
    </row>
    <row r="2739" spans="1:10">
      <c r="A2739" t="s">
        <v>12353</v>
      </c>
      <c r="B2739" t="s">
        <v>12353</v>
      </c>
      <c r="C2739" t="s">
        <v>12354</v>
      </c>
      <c r="D2739">
        <v>120</v>
      </c>
      <c r="E2739" t="s">
        <v>34</v>
      </c>
      <c r="F2739" t="s">
        <v>115</v>
      </c>
      <c r="G2739" s="23">
        <v>42933</v>
      </c>
      <c r="H2739" t="s">
        <v>12355</v>
      </c>
      <c r="I2739" t="s">
        <v>12356</v>
      </c>
      <c r="J2739" t="s">
        <v>12357</v>
      </c>
    </row>
    <row r="2740" spans="1:10">
      <c r="A2740" t="s">
        <v>12358</v>
      </c>
      <c r="B2740" t="s">
        <v>12358</v>
      </c>
      <c r="C2740" t="s">
        <v>12359</v>
      </c>
      <c r="D2740">
        <v>104</v>
      </c>
      <c r="E2740" t="s">
        <v>34</v>
      </c>
      <c r="F2740" t="s">
        <v>115</v>
      </c>
      <c r="G2740" s="23">
        <v>44030</v>
      </c>
      <c r="H2740" t="s">
        <v>12360</v>
      </c>
      <c r="I2740" t="s">
        <v>12361</v>
      </c>
      <c r="J2740" t="s">
        <v>12362</v>
      </c>
    </row>
    <row r="2741" spans="1:10">
      <c r="A2741" t="s">
        <v>12363</v>
      </c>
      <c r="B2741" t="s">
        <v>12363</v>
      </c>
      <c r="C2741" t="s">
        <v>2119</v>
      </c>
      <c r="D2741">
        <v>19</v>
      </c>
      <c r="E2741" t="s">
        <v>31</v>
      </c>
      <c r="F2741" t="s">
        <v>63</v>
      </c>
      <c r="G2741" s="23">
        <v>43971</v>
      </c>
      <c r="H2741" t="s">
        <v>12364</v>
      </c>
      <c r="I2741" t="s">
        <v>12365</v>
      </c>
      <c r="J2741" t="s">
        <v>12366</v>
      </c>
    </row>
    <row r="2742" spans="1:10">
      <c r="A2742" t="s">
        <v>12367</v>
      </c>
      <c r="B2742" t="s">
        <v>12367</v>
      </c>
      <c r="C2742" t="s">
        <v>7830</v>
      </c>
      <c r="D2742">
        <v>13</v>
      </c>
      <c r="E2742" t="s">
        <v>33</v>
      </c>
      <c r="F2742" t="s">
        <v>57</v>
      </c>
      <c r="G2742" s="23">
        <v>44084</v>
      </c>
      <c r="H2742" t="s">
        <v>12368</v>
      </c>
      <c r="I2742" t="s">
        <v>12369</v>
      </c>
      <c r="J2742" t="s">
        <v>12370</v>
      </c>
    </row>
    <row r="2743" spans="1:10">
      <c r="A2743" t="s">
        <v>12371</v>
      </c>
      <c r="B2743" t="s">
        <v>12371</v>
      </c>
      <c r="C2743" t="s">
        <v>12372</v>
      </c>
      <c r="D2743">
        <v>64</v>
      </c>
      <c r="E2743" t="s">
        <v>29</v>
      </c>
      <c r="F2743" t="s">
        <v>63</v>
      </c>
      <c r="G2743" s="23">
        <v>42939</v>
      </c>
      <c r="H2743" t="s">
        <v>12373</v>
      </c>
      <c r="I2743" t="s">
        <v>12374</v>
      </c>
      <c r="J2743" t="s">
        <v>12375</v>
      </c>
    </row>
    <row r="2744" spans="1:10">
      <c r="A2744" t="s">
        <v>12376</v>
      </c>
      <c r="B2744" t="s">
        <v>12376</v>
      </c>
      <c r="C2744" t="s">
        <v>12377</v>
      </c>
      <c r="D2744">
        <v>11</v>
      </c>
      <c r="E2744" t="s">
        <v>33</v>
      </c>
      <c r="F2744" t="s">
        <v>57</v>
      </c>
      <c r="G2744" s="23">
        <v>44886</v>
      </c>
      <c r="H2744" t="s">
        <v>12378</v>
      </c>
      <c r="I2744" t="s">
        <v>12379</v>
      </c>
      <c r="J2744" t="s">
        <v>12380</v>
      </c>
    </row>
    <row r="2745" spans="1:10">
      <c r="A2745" t="s">
        <v>12381</v>
      </c>
      <c r="B2745" t="s">
        <v>12381</v>
      </c>
      <c r="C2745" t="s">
        <v>12382</v>
      </c>
      <c r="D2745">
        <v>100</v>
      </c>
      <c r="E2745" t="s">
        <v>34</v>
      </c>
      <c r="F2745" t="s">
        <v>63</v>
      </c>
      <c r="G2745" s="23">
        <v>45452</v>
      </c>
      <c r="H2745" t="s">
        <v>12383</v>
      </c>
      <c r="I2745" t="s">
        <v>12384</v>
      </c>
      <c r="J2745" t="s">
        <v>12385</v>
      </c>
    </row>
    <row r="2746" spans="1:10">
      <c r="A2746" t="s">
        <v>12386</v>
      </c>
      <c r="B2746" t="s">
        <v>12386</v>
      </c>
      <c r="C2746" t="s">
        <v>12387</v>
      </c>
      <c r="D2746">
        <v>4</v>
      </c>
      <c r="E2746" t="s">
        <v>34</v>
      </c>
      <c r="F2746" t="s">
        <v>57</v>
      </c>
      <c r="G2746" s="23">
        <v>45716</v>
      </c>
      <c r="H2746" t="s">
        <v>12388</v>
      </c>
      <c r="I2746" t="s">
        <v>12389</v>
      </c>
      <c r="J2746" t="s">
        <v>12390</v>
      </c>
    </row>
    <row r="2747" spans="1:10">
      <c r="A2747" t="s">
        <v>12391</v>
      </c>
      <c r="B2747" t="s">
        <v>12391</v>
      </c>
      <c r="C2747" t="s">
        <v>12392</v>
      </c>
      <c r="D2747">
        <v>18</v>
      </c>
      <c r="E2747" t="s">
        <v>31</v>
      </c>
      <c r="F2747" t="s">
        <v>63</v>
      </c>
      <c r="G2747" s="23">
        <v>43846</v>
      </c>
      <c r="H2747" t="s">
        <v>12393</v>
      </c>
      <c r="I2747" t="s">
        <v>12394</v>
      </c>
      <c r="J2747" t="s">
        <v>12395</v>
      </c>
    </row>
    <row r="2748" spans="1:10">
      <c r="A2748" t="s">
        <v>12396</v>
      </c>
      <c r="B2748" t="s">
        <v>12396</v>
      </c>
      <c r="C2748" t="s">
        <v>114</v>
      </c>
      <c r="D2748">
        <v>13</v>
      </c>
      <c r="E2748" t="s">
        <v>34</v>
      </c>
      <c r="F2748" t="s">
        <v>57</v>
      </c>
      <c r="G2748" s="23">
        <v>44938</v>
      </c>
      <c r="H2748" t="s">
        <v>12397</v>
      </c>
      <c r="I2748" t="s">
        <v>12398</v>
      </c>
      <c r="J2748" t="s">
        <v>12399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"/>
  <sheetViews>
    <sheetView workbookViewId="0"/>
  </sheetViews>
  <sheetFormatPr defaultRowHeight="13.5"/>
  <cols>
    <col min="1" max="1" width="48" customWidth="1"/>
    <col min="2" max="2" width="42" customWidth="1"/>
    <col min="3" max="3" width="32" customWidth="1"/>
    <col min="4" max="4" width="9" customWidth="1"/>
    <col min="5" max="5" width="16" customWidth="1"/>
    <col min="6" max="6" width="22" customWidth="1"/>
    <col min="7" max="7" width="13" customWidth="1"/>
    <col min="8" max="8" width="12" customWidth="1"/>
    <col min="9" max="10" width="48" customWidth="1"/>
  </cols>
  <sheetData>
    <row r="1" spans="1:10">
      <c r="A1" s="1" t="s">
        <v>51</v>
      </c>
      <c r="B1" s="2" t="s">
        <v>40</v>
      </c>
      <c r="C1" s="2" t="s">
        <v>15</v>
      </c>
      <c r="D1" s="2" t="s">
        <v>16</v>
      </c>
      <c r="E1" s="2" t="s">
        <v>17</v>
      </c>
      <c r="F1" s="2" t="s">
        <v>18</v>
      </c>
      <c r="G1" s="4" t="s">
        <v>20</v>
      </c>
      <c r="H1" s="2" t="s">
        <v>52</v>
      </c>
      <c r="I1" s="2" t="s">
        <v>53</v>
      </c>
      <c r="J1" s="3" t="s">
        <v>54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2748"/>
  <sheetViews>
    <sheetView showGridLines="0" workbookViewId="0">
      <pane ySplit="1" topLeftCell="A2" activePane="bottomLeft" state="frozen"/>
      <selection pane="bottomLeft" activeCell="S2" sqref="S2:T2"/>
    </sheetView>
  </sheetViews>
  <sheetFormatPr defaultRowHeight="14.25" thickBottom="1"/>
  <cols>
    <col min="1" max="1" width="46" style="110" customWidth="1"/>
    <col min="2" max="2" width="42" style="110" customWidth="1"/>
    <col min="3" max="3" width="34" style="110" customWidth="1"/>
    <col min="4" max="4" width="8" style="118" customWidth="1"/>
    <col min="5" max="5" width="14.0625" style="123" customWidth="1"/>
    <col min="6" max="6" width="22" style="118" customWidth="1"/>
    <col min="7" max="7" width="14" style="110" customWidth="1"/>
    <col min="8" max="8" width="11" style="110" customWidth="1"/>
    <col min="9" max="10" width="16" style="112" customWidth="1"/>
    <col min="11" max="18" width="13" hidden="1" customWidth="1"/>
  </cols>
  <sheetData>
    <row r="1" spans="1:12" ht="32" customHeight="1" thickTop="1" thickBot="1">
      <c r="A1" s="24" t="s">
        <v>51</v>
      </c>
      <c r="B1" s="24" t="s">
        <v>40</v>
      </c>
      <c r="C1" s="24" t="s">
        <v>15</v>
      </c>
      <c r="D1" s="115" t="s">
        <v>16</v>
      </c>
      <c r="E1" s="121" t="s">
        <v>17</v>
      </c>
      <c r="F1" s="83" t="s">
        <v>18</v>
      </c>
      <c r="G1" s="25" t="s">
        <v>20</v>
      </c>
      <c r="H1" s="24" t="s">
        <v>52</v>
      </c>
      <c r="I1" s="111" t="s">
        <v>53</v>
      </c>
      <c r="J1" s="111" t="s">
        <v>54</v>
      </c>
      <c r="K1" s="24"/>
      <c r="L1" s="24"/>
    </row>
    <row r="2" spans="1:12" ht="20" customHeight="1" thickTop="1" thickBot="1">
      <c r="A2" s="26" t="s">
        <v>55</v>
      </c>
      <c r="B2" s="26" t="s">
        <v>55</v>
      </c>
      <c r="C2" s="26" t="s">
        <v>56</v>
      </c>
      <c r="D2" s="116">
        <v>8</v>
      </c>
      <c r="E2" s="122" t="s">
        <v>33</v>
      </c>
      <c r="F2" s="119" t="s">
        <v>57</v>
      </c>
      <c r="G2" s="27">
        <v>45872</v>
      </c>
      <c r="H2" s="26" t="s">
        <v>58</v>
      </c>
      <c r="I2" s="113" t="s">
        <v>12400</v>
      </c>
      <c r="J2" s="113" t="s">
        <v>12401</v>
      </c>
    </row>
    <row r="3" spans="1:12" ht="20" customHeight="1" thickBot="1">
      <c r="A3" s="28" t="s">
        <v>61</v>
      </c>
      <c r="B3" s="28" t="s">
        <v>61</v>
      </c>
      <c r="C3" s="28" t="s">
        <v>62</v>
      </c>
      <c r="D3" s="117">
        <v>25</v>
      </c>
      <c r="E3" s="122" t="s">
        <v>31</v>
      </c>
      <c r="F3" s="120" t="s">
        <v>63</v>
      </c>
      <c r="G3" s="29">
        <v>46021</v>
      </c>
      <c r="H3" s="28" t="s">
        <v>64</v>
      </c>
      <c r="I3" s="114" t="s">
        <v>12400</v>
      </c>
      <c r="J3" s="114" t="s">
        <v>12401</v>
      </c>
    </row>
    <row r="4" spans="1:12" ht="20" customHeight="1" thickBot="1">
      <c r="A4" s="26" t="s">
        <v>67</v>
      </c>
      <c r="B4" s="26" t="s">
        <v>67</v>
      </c>
      <c r="C4" s="26" t="s">
        <v>68</v>
      </c>
      <c r="D4" s="116">
        <v>12</v>
      </c>
      <c r="E4" s="122" t="s">
        <v>29</v>
      </c>
      <c r="F4" s="119" t="s">
        <v>63</v>
      </c>
      <c r="G4" s="27">
        <v>41636</v>
      </c>
      <c r="H4" s="26" t="s">
        <v>69</v>
      </c>
      <c r="I4" s="113" t="s">
        <v>12400</v>
      </c>
      <c r="J4" s="113" t="s">
        <v>12401</v>
      </c>
    </row>
    <row r="5" spans="1:12" ht="20" customHeight="1" thickBot="1">
      <c r="A5" s="28" t="s">
        <v>72</v>
      </c>
      <c r="B5" s="28" t="s">
        <v>72</v>
      </c>
      <c r="C5" s="28" t="s">
        <v>73</v>
      </c>
      <c r="D5" s="117">
        <v>1</v>
      </c>
      <c r="E5" s="122" t="s">
        <v>29</v>
      </c>
      <c r="F5" s="120" t="s">
        <v>63</v>
      </c>
      <c r="G5" s="29">
        <v>45906</v>
      </c>
      <c r="H5" s="28" t="s">
        <v>74</v>
      </c>
      <c r="I5" s="114" t="s">
        <v>12400</v>
      </c>
      <c r="J5" s="114" t="s">
        <v>12401</v>
      </c>
    </row>
    <row r="6" spans="1:12" ht="20" customHeight="1" thickBot="1">
      <c r="A6" s="26" t="s">
        <v>77</v>
      </c>
      <c r="B6" s="26" t="s">
        <v>77</v>
      </c>
      <c r="C6" s="26" t="s">
        <v>78</v>
      </c>
      <c r="D6" s="116">
        <v>6</v>
      </c>
      <c r="E6" s="122" t="s">
        <v>35</v>
      </c>
      <c r="F6" s="119" t="s">
        <v>57</v>
      </c>
      <c r="G6" s="27">
        <v>44868</v>
      </c>
      <c r="H6" s="26" t="s">
        <v>79</v>
      </c>
      <c r="I6" s="113" t="s">
        <v>12400</v>
      </c>
      <c r="J6" s="113" t="s">
        <v>12401</v>
      </c>
    </row>
    <row r="7" spans="1:12" ht="20" customHeight="1" thickBot="1">
      <c r="A7" s="28" t="s">
        <v>82</v>
      </c>
      <c r="B7" s="28" t="s">
        <v>82</v>
      </c>
      <c r="C7" s="28" t="s">
        <v>83</v>
      </c>
      <c r="D7" s="117">
        <v>7</v>
      </c>
      <c r="E7" s="122" t="s">
        <v>29</v>
      </c>
      <c r="F7" s="120" t="s">
        <v>63</v>
      </c>
      <c r="G7" s="29">
        <v>41627</v>
      </c>
      <c r="H7" s="28" t="s">
        <v>84</v>
      </c>
      <c r="I7" s="114" t="s">
        <v>12400</v>
      </c>
      <c r="J7" s="114" t="s">
        <v>12401</v>
      </c>
    </row>
    <row r="8" spans="1:12" ht="20" customHeight="1" thickBot="1">
      <c r="A8" s="26" t="s">
        <v>87</v>
      </c>
      <c r="B8" s="26" t="s">
        <v>87</v>
      </c>
      <c r="C8" s="26" t="s">
        <v>88</v>
      </c>
      <c r="D8" s="116">
        <v>1</v>
      </c>
      <c r="E8" s="122" t="s">
        <v>36</v>
      </c>
      <c r="F8" s="119" t="s">
        <v>89</v>
      </c>
      <c r="G8" s="27">
        <v>42864</v>
      </c>
      <c r="H8" s="26" t="s">
        <v>90</v>
      </c>
      <c r="I8" s="113" t="s">
        <v>12400</v>
      </c>
      <c r="J8" s="113" t="s">
        <v>12401</v>
      </c>
    </row>
    <row r="9" spans="1:12" ht="20" customHeight="1" thickBot="1">
      <c r="A9" s="28" t="s">
        <v>93</v>
      </c>
      <c r="B9" s="28" t="s">
        <v>93</v>
      </c>
      <c r="C9" s="28" t="s">
        <v>94</v>
      </c>
      <c r="D9" s="117">
        <v>2</v>
      </c>
      <c r="E9" s="122" t="s">
        <v>31</v>
      </c>
      <c r="F9" s="120" t="s">
        <v>63</v>
      </c>
      <c r="G9" s="29">
        <v>45500</v>
      </c>
      <c r="H9" s="28" t="s">
        <v>95</v>
      </c>
      <c r="I9" s="114" t="s">
        <v>12400</v>
      </c>
      <c r="J9" s="114" t="s">
        <v>12401</v>
      </c>
    </row>
    <row r="10" spans="1:12" ht="20" customHeight="1" thickBot="1">
      <c r="A10" s="26" t="s">
        <v>98</v>
      </c>
      <c r="B10" s="26" t="s">
        <v>98</v>
      </c>
      <c r="C10" s="26" t="s">
        <v>99</v>
      </c>
      <c r="D10" s="116">
        <v>0</v>
      </c>
      <c r="E10" s="122" t="s">
        <v>36</v>
      </c>
      <c r="F10" s="119" t="s">
        <v>57</v>
      </c>
      <c r="G10" s="27">
        <v>46166</v>
      </c>
      <c r="H10" s="26" t="s">
        <v>100</v>
      </c>
      <c r="I10" s="113" t="s">
        <v>12400</v>
      </c>
      <c r="J10" s="113" t="s">
        <v>12401</v>
      </c>
    </row>
    <row r="11" spans="1:12" ht="20" customHeight="1" thickBot="1">
      <c r="A11" s="28" t="s">
        <v>103</v>
      </c>
      <c r="B11" s="28" t="s">
        <v>103</v>
      </c>
      <c r="C11" s="28" t="s">
        <v>104</v>
      </c>
      <c r="D11" s="117">
        <v>0</v>
      </c>
      <c r="E11" s="122" t="s">
        <v>33</v>
      </c>
      <c r="F11" s="120" t="s">
        <v>57</v>
      </c>
      <c r="G11" s="29">
        <v>45237</v>
      </c>
      <c r="H11" s="28" t="s">
        <v>105</v>
      </c>
      <c r="I11" s="114" t="s">
        <v>12400</v>
      </c>
      <c r="J11" s="114" t="s">
        <v>12401</v>
      </c>
    </row>
    <row r="12" spans="1:12" ht="20" customHeight="1" thickBot="1">
      <c r="A12" s="26" t="s">
        <v>108</v>
      </c>
      <c r="B12" s="26" t="s">
        <v>108</v>
      </c>
      <c r="C12" s="26" t="s">
        <v>109</v>
      </c>
      <c r="D12" s="116">
        <v>56</v>
      </c>
      <c r="E12" s="122" t="s">
        <v>35</v>
      </c>
      <c r="F12" s="119" t="s">
        <v>57</v>
      </c>
      <c r="G12" s="27">
        <v>46086</v>
      </c>
      <c r="H12" s="26" t="s">
        <v>110</v>
      </c>
      <c r="I12" s="113" t="s">
        <v>12400</v>
      </c>
      <c r="J12" s="113" t="s">
        <v>12401</v>
      </c>
    </row>
    <row r="13" spans="1:12" ht="20" customHeight="1" thickBot="1">
      <c r="A13" s="28" t="s">
        <v>113</v>
      </c>
      <c r="B13" s="28" t="s">
        <v>113</v>
      </c>
      <c r="C13" s="28" t="s">
        <v>114</v>
      </c>
      <c r="D13" s="117">
        <v>11</v>
      </c>
      <c r="E13" s="122" t="s">
        <v>33</v>
      </c>
      <c r="F13" s="120" t="s">
        <v>115</v>
      </c>
      <c r="G13" s="29">
        <v>44234</v>
      </c>
      <c r="H13" s="28" t="s">
        <v>116</v>
      </c>
      <c r="I13" s="114" t="s">
        <v>12400</v>
      </c>
      <c r="J13" s="114" t="s">
        <v>12401</v>
      </c>
    </row>
    <row r="14" spans="1:12" ht="20" customHeight="1" thickBot="1">
      <c r="A14" s="26" t="s">
        <v>119</v>
      </c>
      <c r="B14" s="26" t="s">
        <v>119</v>
      </c>
      <c r="C14" s="26" t="s">
        <v>120</v>
      </c>
      <c r="D14" s="116">
        <v>18</v>
      </c>
      <c r="E14" s="122" t="s">
        <v>29</v>
      </c>
      <c r="F14" s="119" t="s">
        <v>63</v>
      </c>
      <c r="G14" s="27">
        <v>45125</v>
      </c>
      <c r="H14" s="26" t="s">
        <v>121</v>
      </c>
      <c r="I14" s="113" t="s">
        <v>12400</v>
      </c>
      <c r="J14" s="113" t="s">
        <v>12401</v>
      </c>
    </row>
    <row r="15" spans="1:12" ht="20" customHeight="1" thickBot="1">
      <c r="A15" s="28" t="s">
        <v>124</v>
      </c>
      <c r="B15" s="28" t="s">
        <v>124</v>
      </c>
      <c r="C15" s="28" t="s">
        <v>125</v>
      </c>
      <c r="D15" s="117">
        <v>6</v>
      </c>
      <c r="E15" s="122" t="s">
        <v>33</v>
      </c>
      <c r="F15" s="120" t="s">
        <v>63</v>
      </c>
      <c r="G15" s="29">
        <v>45944</v>
      </c>
      <c r="H15" s="28" t="s">
        <v>126</v>
      </c>
      <c r="I15" s="114" t="s">
        <v>12400</v>
      </c>
      <c r="J15" s="114" t="s">
        <v>12401</v>
      </c>
    </row>
    <row r="16" spans="1:12" ht="20" customHeight="1" thickBot="1">
      <c r="A16" s="26" t="s">
        <v>129</v>
      </c>
      <c r="B16" s="26" t="s">
        <v>129</v>
      </c>
      <c r="C16" s="26" t="s">
        <v>130</v>
      </c>
      <c r="D16" s="116">
        <v>13</v>
      </c>
      <c r="E16" s="122" t="s">
        <v>29</v>
      </c>
      <c r="F16" s="119" t="s">
        <v>63</v>
      </c>
      <c r="G16" s="27">
        <v>41808</v>
      </c>
      <c r="H16" s="26" t="s">
        <v>131</v>
      </c>
      <c r="I16" s="113" t="s">
        <v>12400</v>
      </c>
      <c r="J16" s="113" t="s">
        <v>12401</v>
      </c>
    </row>
    <row r="17" spans="1:10" ht="20" customHeight="1" thickBot="1">
      <c r="A17" s="28" t="s">
        <v>134</v>
      </c>
      <c r="B17" s="28" t="s">
        <v>134</v>
      </c>
      <c r="C17" s="28" t="s">
        <v>130</v>
      </c>
      <c r="D17" s="117">
        <v>8</v>
      </c>
      <c r="E17" s="122" t="s">
        <v>29</v>
      </c>
      <c r="F17" s="120" t="s">
        <v>63</v>
      </c>
      <c r="G17" s="29">
        <v>41549</v>
      </c>
      <c r="H17" s="28" t="s">
        <v>135</v>
      </c>
      <c r="I17" s="114" t="s">
        <v>12400</v>
      </c>
      <c r="J17" s="114" t="s">
        <v>12401</v>
      </c>
    </row>
    <row r="18" spans="1:10" ht="20" customHeight="1" thickBot="1">
      <c r="A18" s="26" t="s">
        <v>138</v>
      </c>
      <c r="B18" s="26" t="s">
        <v>138</v>
      </c>
      <c r="C18" s="26" t="s">
        <v>139</v>
      </c>
      <c r="D18" s="116">
        <v>1</v>
      </c>
      <c r="E18" s="122" t="s">
        <v>31</v>
      </c>
      <c r="F18" s="119" t="s">
        <v>63</v>
      </c>
      <c r="G18" s="27">
        <v>45484</v>
      </c>
      <c r="H18" s="26" t="s">
        <v>140</v>
      </c>
      <c r="I18" s="113" t="s">
        <v>12400</v>
      </c>
      <c r="J18" s="113" t="s">
        <v>12401</v>
      </c>
    </row>
    <row r="19" spans="1:10" ht="20" customHeight="1" thickBot="1">
      <c r="A19" s="28" t="s">
        <v>143</v>
      </c>
      <c r="B19" s="28" t="s">
        <v>143</v>
      </c>
      <c r="C19" s="28" t="s">
        <v>139</v>
      </c>
      <c r="D19" s="117">
        <v>1</v>
      </c>
      <c r="E19" s="122" t="s">
        <v>31</v>
      </c>
      <c r="F19" s="120" t="s">
        <v>63</v>
      </c>
      <c r="G19" s="29">
        <v>45584</v>
      </c>
      <c r="H19" s="28" t="s">
        <v>144</v>
      </c>
      <c r="I19" s="114" t="s">
        <v>12400</v>
      </c>
      <c r="J19" s="114" t="s">
        <v>12401</v>
      </c>
    </row>
    <row r="20" spans="1:10" ht="20" customHeight="1" thickBot="1">
      <c r="A20" s="26" t="s">
        <v>147</v>
      </c>
      <c r="B20" s="26" t="s">
        <v>147</v>
      </c>
      <c r="C20" s="26" t="s">
        <v>139</v>
      </c>
      <c r="D20" s="116">
        <v>1</v>
      </c>
      <c r="E20" s="122" t="s">
        <v>31</v>
      </c>
      <c r="F20" s="119" t="s">
        <v>63</v>
      </c>
      <c r="G20" s="27">
        <v>45664</v>
      </c>
      <c r="H20" s="26" t="s">
        <v>148</v>
      </c>
      <c r="I20" s="113" t="s">
        <v>12400</v>
      </c>
      <c r="J20" s="113" t="s">
        <v>12401</v>
      </c>
    </row>
    <row r="21" spans="1:10" ht="20" customHeight="1" thickBot="1">
      <c r="A21" s="28" t="s">
        <v>151</v>
      </c>
      <c r="B21" s="28" t="s">
        <v>151</v>
      </c>
      <c r="C21" s="28" t="s">
        <v>139</v>
      </c>
      <c r="D21" s="117">
        <v>1</v>
      </c>
      <c r="E21" s="122" t="s">
        <v>31</v>
      </c>
      <c r="F21" s="120" t="s">
        <v>63</v>
      </c>
      <c r="G21" s="29">
        <v>45797</v>
      </c>
      <c r="H21" s="28" t="s">
        <v>152</v>
      </c>
      <c r="I21" s="114" t="s">
        <v>12400</v>
      </c>
      <c r="J21" s="114" t="s">
        <v>12401</v>
      </c>
    </row>
    <row r="22" spans="1:10" ht="20" customHeight="1" thickBot="1">
      <c r="A22" s="26" t="s">
        <v>155</v>
      </c>
      <c r="B22" s="26" t="s">
        <v>155</v>
      </c>
      <c r="C22" s="26" t="s">
        <v>139</v>
      </c>
      <c r="D22" s="116">
        <v>1</v>
      </c>
      <c r="E22" s="122" t="s">
        <v>31</v>
      </c>
      <c r="F22" s="119" t="s">
        <v>63</v>
      </c>
      <c r="G22" s="27">
        <v>46063</v>
      </c>
      <c r="H22" s="26" t="s">
        <v>156</v>
      </c>
      <c r="I22" s="113" t="s">
        <v>12400</v>
      </c>
      <c r="J22" s="113" t="s">
        <v>12401</v>
      </c>
    </row>
    <row r="23" spans="1:10" ht="20" customHeight="1" thickBot="1">
      <c r="A23" s="28" t="s">
        <v>159</v>
      </c>
      <c r="B23" s="28" t="s">
        <v>159</v>
      </c>
      <c r="C23" s="28" t="s">
        <v>160</v>
      </c>
      <c r="D23" s="117">
        <v>7</v>
      </c>
      <c r="E23" s="122" t="s">
        <v>34</v>
      </c>
      <c r="F23" s="120" t="s">
        <v>57</v>
      </c>
      <c r="G23" s="29">
        <v>43648</v>
      </c>
      <c r="H23" s="28" t="s">
        <v>161</v>
      </c>
      <c r="I23" s="114" t="s">
        <v>12400</v>
      </c>
      <c r="J23" s="114" t="s">
        <v>12401</v>
      </c>
    </row>
    <row r="24" spans="1:10" ht="20" customHeight="1" thickBot="1">
      <c r="A24" s="26" t="s">
        <v>164</v>
      </c>
      <c r="B24" s="26" t="s">
        <v>164</v>
      </c>
      <c r="C24" s="26" t="s">
        <v>165</v>
      </c>
      <c r="D24" s="116">
        <v>21</v>
      </c>
      <c r="E24" s="122" t="s">
        <v>36</v>
      </c>
      <c r="F24" s="119" t="s">
        <v>57</v>
      </c>
      <c r="G24" s="27">
        <v>45583</v>
      </c>
      <c r="H24" s="26" t="s">
        <v>166</v>
      </c>
      <c r="I24" s="113" t="s">
        <v>12400</v>
      </c>
      <c r="J24" s="113" t="s">
        <v>12401</v>
      </c>
    </row>
    <row r="25" spans="1:10" ht="20" customHeight="1" thickBot="1">
      <c r="A25" s="28" t="s">
        <v>169</v>
      </c>
      <c r="B25" s="28" t="s">
        <v>169</v>
      </c>
      <c r="C25" s="28" t="s">
        <v>170</v>
      </c>
      <c r="D25" s="117">
        <v>17</v>
      </c>
      <c r="E25" s="122" t="s">
        <v>33</v>
      </c>
      <c r="F25" s="120" t="s">
        <v>57</v>
      </c>
      <c r="G25" s="29">
        <v>45436</v>
      </c>
      <c r="H25" s="28" t="s">
        <v>171</v>
      </c>
      <c r="I25" s="114" t="s">
        <v>12400</v>
      </c>
      <c r="J25" s="114" t="s">
        <v>12401</v>
      </c>
    </row>
    <row r="26" spans="1:10" ht="20" customHeight="1" thickBot="1">
      <c r="A26" s="26" t="s">
        <v>174</v>
      </c>
      <c r="B26" s="26" t="s">
        <v>174</v>
      </c>
      <c r="C26" s="26" t="s">
        <v>175</v>
      </c>
      <c r="D26" s="116">
        <v>69</v>
      </c>
      <c r="E26" s="122" t="s">
        <v>31</v>
      </c>
      <c r="F26" s="119" t="s">
        <v>57</v>
      </c>
      <c r="G26" s="27">
        <v>44885</v>
      </c>
      <c r="H26" s="26" t="s">
        <v>176</v>
      </c>
      <c r="I26" s="113" t="s">
        <v>12400</v>
      </c>
      <c r="J26" s="113" t="s">
        <v>12401</v>
      </c>
    </row>
    <row r="27" spans="1:10" ht="20" customHeight="1" thickBot="1">
      <c r="A27" s="28" t="s">
        <v>179</v>
      </c>
      <c r="B27" s="28" t="s">
        <v>179</v>
      </c>
      <c r="C27" s="28" t="s">
        <v>180</v>
      </c>
      <c r="D27" s="117">
        <v>9</v>
      </c>
      <c r="E27" s="122" t="s">
        <v>34</v>
      </c>
      <c r="F27" s="120" t="s">
        <v>57</v>
      </c>
      <c r="G27" s="29">
        <v>44664</v>
      </c>
      <c r="H27" s="28" t="s">
        <v>181</v>
      </c>
      <c r="I27" s="114" t="s">
        <v>12400</v>
      </c>
      <c r="J27" s="114" t="s">
        <v>12401</v>
      </c>
    </row>
    <row r="28" spans="1:10" ht="20" customHeight="1" thickBot="1">
      <c r="A28" s="26" t="s">
        <v>184</v>
      </c>
      <c r="B28" s="26" t="s">
        <v>184</v>
      </c>
      <c r="C28" s="26" t="s">
        <v>185</v>
      </c>
      <c r="D28" s="116">
        <v>4</v>
      </c>
      <c r="E28" s="122" t="s">
        <v>29</v>
      </c>
      <c r="F28" s="119" t="s">
        <v>63</v>
      </c>
      <c r="G28" s="27">
        <v>42235</v>
      </c>
      <c r="H28" s="26" t="s">
        <v>186</v>
      </c>
      <c r="I28" s="113" t="s">
        <v>12400</v>
      </c>
      <c r="J28" s="113" t="s">
        <v>12401</v>
      </c>
    </row>
    <row r="29" spans="1:10" ht="20" customHeight="1" thickBot="1">
      <c r="A29" s="28" t="s">
        <v>189</v>
      </c>
      <c r="B29" s="28" t="s">
        <v>189</v>
      </c>
      <c r="C29" s="28" t="s">
        <v>165</v>
      </c>
      <c r="D29" s="117">
        <v>35</v>
      </c>
      <c r="E29" s="122" t="s">
        <v>35</v>
      </c>
      <c r="F29" s="120" t="s">
        <v>57</v>
      </c>
      <c r="G29" s="29">
        <v>44164</v>
      </c>
      <c r="H29" s="28" t="s">
        <v>190</v>
      </c>
      <c r="I29" s="114" t="s">
        <v>12400</v>
      </c>
      <c r="J29" s="114" t="s">
        <v>12401</v>
      </c>
    </row>
    <row r="30" spans="1:10" ht="20" customHeight="1" thickBot="1">
      <c r="A30" s="26" t="s">
        <v>193</v>
      </c>
      <c r="B30" s="26" t="s">
        <v>193</v>
      </c>
      <c r="C30" s="26" t="s">
        <v>194</v>
      </c>
      <c r="D30" s="116">
        <v>1</v>
      </c>
      <c r="E30" s="122" t="s">
        <v>35</v>
      </c>
      <c r="F30" s="119" t="s">
        <v>57</v>
      </c>
      <c r="G30" s="27">
        <v>45082</v>
      </c>
      <c r="H30" s="26" t="s">
        <v>195</v>
      </c>
      <c r="I30" s="113" t="s">
        <v>12400</v>
      </c>
      <c r="J30" s="113" t="s">
        <v>12401</v>
      </c>
    </row>
    <row r="31" spans="1:10" ht="20" customHeight="1" thickBot="1">
      <c r="A31" s="28" t="s">
        <v>198</v>
      </c>
      <c r="B31" s="28" t="s">
        <v>198</v>
      </c>
      <c r="C31" s="28" t="s">
        <v>199</v>
      </c>
      <c r="D31" s="117">
        <v>4</v>
      </c>
      <c r="E31" s="122" t="s">
        <v>34</v>
      </c>
      <c r="F31" s="120" t="s">
        <v>57</v>
      </c>
      <c r="G31" s="29">
        <v>44252</v>
      </c>
      <c r="H31" s="28" t="s">
        <v>200</v>
      </c>
      <c r="I31" s="114" t="s">
        <v>12400</v>
      </c>
      <c r="J31" s="114" t="s">
        <v>12401</v>
      </c>
    </row>
    <row r="32" spans="1:10" ht="20" customHeight="1" thickBot="1">
      <c r="A32" s="26" t="s">
        <v>203</v>
      </c>
      <c r="B32" s="26" t="s">
        <v>203</v>
      </c>
      <c r="C32" s="26" t="s">
        <v>194</v>
      </c>
      <c r="D32" s="116">
        <v>1</v>
      </c>
      <c r="E32" s="122" t="s">
        <v>35</v>
      </c>
      <c r="F32" s="119" t="s">
        <v>57</v>
      </c>
      <c r="G32" s="27">
        <v>45725</v>
      </c>
      <c r="H32" s="26" t="s">
        <v>204</v>
      </c>
      <c r="I32" s="113" t="s">
        <v>12400</v>
      </c>
      <c r="J32" s="113" t="s">
        <v>12401</v>
      </c>
    </row>
    <row r="33" spans="1:10" ht="20" customHeight="1" thickBot="1">
      <c r="A33" s="28" t="s">
        <v>207</v>
      </c>
      <c r="B33" s="28" t="s">
        <v>207</v>
      </c>
      <c r="C33" s="28" t="s">
        <v>208</v>
      </c>
      <c r="D33" s="117">
        <v>29</v>
      </c>
      <c r="E33" s="122" t="s">
        <v>35</v>
      </c>
      <c r="F33" s="120" t="s">
        <v>57</v>
      </c>
      <c r="G33" s="29">
        <v>44862</v>
      </c>
      <c r="H33" s="28" t="s">
        <v>209</v>
      </c>
      <c r="I33" s="114" t="s">
        <v>12400</v>
      </c>
      <c r="J33" s="114" t="s">
        <v>12401</v>
      </c>
    </row>
    <row r="34" spans="1:10" ht="20" customHeight="1" thickBot="1">
      <c r="A34" s="26" t="s">
        <v>212</v>
      </c>
      <c r="B34" s="26" t="s">
        <v>212</v>
      </c>
      <c r="C34" s="26" t="s">
        <v>213</v>
      </c>
      <c r="D34" s="116">
        <v>5</v>
      </c>
      <c r="E34" s="122" t="s">
        <v>29</v>
      </c>
      <c r="F34" s="119" t="s">
        <v>63</v>
      </c>
      <c r="G34" s="27">
        <v>42114</v>
      </c>
      <c r="H34" s="26" t="s">
        <v>214</v>
      </c>
      <c r="I34" s="113" t="s">
        <v>12400</v>
      </c>
      <c r="J34" s="113" t="s">
        <v>12401</v>
      </c>
    </row>
    <row r="35" spans="1:10" ht="20" customHeight="1" thickBot="1">
      <c r="A35" s="28" t="s">
        <v>217</v>
      </c>
      <c r="B35" s="28" t="s">
        <v>217</v>
      </c>
      <c r="C35" s="28" t="s">
        <v>218</v>
      </c>
      <c r="D35" s="117">
        <v>16</v>
      </c>
      <c r="E35" s="122" t="s">
        <v>27</v>
      </c>
      <c r="F35" s="120" t="s">
        <v>63</v>
      </c>
      <c r="G35" s="29">
        <v>41457</v>
      </c>
      <c r="H35" s="28" t="s">
        <v>219</v>
      </c>
      <c r="I35" s="114" t="s">
        <v>12400</v>
      </c>
      <c r="J35" s="114" t="s">
        <v>12401</v>
      </c>
    </row>
    <row r="36" spans="1:10" ht="20" customHeight="1" thickBot="1">
      <c r="A36" s="26" t="s">
        <v>222</v>
      </c>
      <c r="B36" s="26" t="s">
        <v>222</v>
      </c>
      <c r="C36" s="26" t="s">
        <v>223</v>
      </c>
      <c r="D36" s="116">
        <v>14</v>
      </c>
      <c r="E36" s="122" t="s">
        <v>29</v>
      </c>
      <c r="F36" s="119" t="s">
        <v>63</v>
      </c>
      <c r="G36" s="27">
        <v>43962</v>
      </c>
      <c r="H36" s="26" t="s">
        <v>224</v>
      </c>
      <c r="I36" s="113" t="s">
        <v>12400</v>
      </c>
      <c r="J36" s="113" t="s">
        <v>12401</v>
      </c>
    </row>
    <row r="37" spans="1:10" ht="20" customHeight="1" thickBot="1">
      <c r="A37" s="28" t="s">
        <v>227</v>
      </c>
      <c r="B37" s="28" t="s">
        <v>227</v>
      </c>
      <c r="C37" s="28" t="s">
        <v>228</v>
      </c>
      <c r="D37" s="117">
        <v>6</v>
      </c>
      <c r="E37" s="122" t="s">
        <v>33</v>
      </c>
      <c r="F37" s="120" t="s">
        <v>57</v>
      </c>
      <c r="G37" s="29">
        <v>45964</v>
      </c>
      <c r="H37" s="28" t="s">
        <v>229</v>
      </c>
      <c r="I37" s="114" t="s">
        <v>12400</v>
      </c>
      <c r="J37" s="114" t="s">
        <v>12401</v>
      </c>
    </row>
    <row r="38" spans="1:10" ht="20" customHeight="1" thickBot="1">
      <c r="A38" s="26" t="s">
        <v>232</v>
      </c>
      <c r="B38" s="26" t="s">
        <v>232</v>
      </c>
      <c r="C38" s="26" t="s">
        <v>233</v>
      </c>
      <c r="D38" s="116">
        <v>6</v>
      </c>
      <c r="E38" s="122" t="s">
        <v>33</v>
      </c>
      <c r="F38" s="119" t="s">
        <v>63</v>
      </c>
      <c r="G38" s="27">
        <v>45963</v>
      </c>
      <c r="H38" s="26" t="s">
        <v>234</v>
      </c>
      <c r="I38" s="113" t="s">
        <v>12400</v>
      </c>
      <c r="J38" s="113" t="s">
        <v>12401</v>
      </c>
    </row>
    <row r="39" spans="1:10" ht="20" customHeight="1" thickBot="1">
      <c r="A39" s="28" t="s">
        <v>237</v>
      </c>
      <c r="B39" s="28" t="s">
        <v>237</v>
      </c>
      <c r="C39" s="28" t="s">
        <v>238</v>
      </c>
      <c r="D39" s="117">
        <v>8</v>
      </c>
      <c r="E39" s="122" t="s">
        <v>27</v>
      </c>
      <c r="F39" s="120" t="s">
        <v>63</v>
      </c>
      <c r="G39" s="29">
        <v>43703</v>
      </c>
      <c r="H39" s="28" t="s">
        <v>239</v>
      </c>
      <c r="I39" s="114" t="s">
        <v>12400</v>
      </c>
      <c r="J39" s="114" t="s">
        <v>12401</v>
      </c>
    </row>
    <row r="40" spans="1:10" ht="20" customHeight="1" thickBot="1">
      <c r="A40" s="26" t="s">
        <v>242</v>
      </c>
      <c r="B40" s="26" t="s">
        <v>242</v>
      </c>
      <c r="C40" s="26" t="s">
        <v>243</v>
      </c>
      <c r="D40" s="116">
        <v>1</v>
      </c>
      <c r="E40" s="122" t="s">
        <v>27</v>
      </c>
      <c r="F40" s="119" t="s">
        <v>63</v>
      </c>
      <c r="G40" s="27">
        <v>42690</v>
      </c>
      <c r="H40" s="26" t="s">
        <v>244</v>
      </c>
      <c r="I40" s="113" t="s">
        <v>12400</v>
      </c>
      <c r="J40" s="113" t="s">
        <v>12401</v>
      </c>
    </row>
    <row r="41" spans="1:10" ht="20" customHeight="1" thickBot="1">
      <c r="A41" s="28" t="s">
        <v>247</v>
      </c>
      <c r="B41" s="28" t="s">
        <v>247</v>
      </c>
      <c r="C41" s="28" t="s">
        <v>248</v>
      </c>
      <c r="D41" s="117">
        <v>0</v>
      </c>
      <c r="E41" s="122" t="s">
        <v>33</v>
      </c>
      <c r="F41" s="120" t="s">
        <v>57</v>
      </c>
      <c r="G41" s="29">
        <v>44420</v>
      </c>
      <c r="H41" s="28" t="s">
        <v>249</v>
      </c>
      <c r="I41" s="114" t="s">
        <v>12400</v>
      </c>
      <c r="J41" s="114" t="s">
        <v>12401</v>
      </c>
    </row>
    <row r="42" spans="1:10" ht="20" customHeight="1" thickBot="1">
      <c r="A42" s="26" t="s">
        <v>252</v>
      </c>
      <c r="B42" s="26" t="s">
        <v>252</v>
      </c>
      <c r="C42" s="26" t="s">
        <v>253</v>
      </c>
      <c r="D42" s="116">
        <v>9</v>
      </c>
      <c r="E42" s="122" t="s">
        <v>34</v>
      </c>
      <c r="F42" s="119" t="s">
        <v>57</v>
      </c>
      <c r="G42" s="27">
        <v>45617</v>
      </c>
      <c r="H42" s="26" t="s">
        <v>254</v>
      </c>
      <c r="I42" s="113" t="s">
        <v>12400</v>
      </c>
      <c r="J42" s="113" t="s">
        <v>12401</v>
      </c>
    </row>
    <row r="43" spans="1:10" ht="20" customHeight="1" thickBot="1">
      <c r="A43" s="28" t="s">
        <v>257</v>
      </c>
      <c r="B43" s="28" t="s">
        <v>257</v>
      </c>
      <c r="C43" s="28" t="s">
        <v>258</v>
      </c>
      <c r="D43" s="117">
        <v>10</v>
      </c>
      <c r="E43" s="122" t="s">
        <v>31</v>
      </c>
      <c r="F43" s="120" t="s">
        <v>63</v>
      </c>
      <c r="G43" s="29">
        <v>43865</v>
      </c>
      <c r="H43" s="28" t="s">
        <v>259</v>
      </c>
      <c r="I43" s="114" t="s">
        <v>12400</v>
      </c>
      <c r="J43" s="114" t="s">
        <v>12401</v>
      </c>
    </row>
    <row r="44" spans="1:10" ht="20" customHeight="1" thickBot="1">
      <c r="A44" s="26" t="s">
        <v>262</v>
      </c>
      <c r="B44" s="26" t="s">
        <v>262</v>
      </c>
      <c r="C44" s="26" t="s">
        <v>263</v>
      </c>
      <c r="D44" s="116">
        <v>5</v>
      </c>
      <c r="E44" s="122" t="s">
        <v>29</v>
      </c>
      <c r="F44" s="119" t="s">
        <v>63</v>
      </c>
      <c r="G44" s="27">
        <v>45477</v>
      </c>
      <c r="H44" s="26" t="s">
        <v>264</v>
      </c>
      <c r="I44" s="113" t="s">
        <v>12400</v>
      </c>
      <c r="J44" s="113" t="s">
        <v>12401</v>
      </c>
    </row>
    <row r="45" spans="1:10" ht="20" customHeight="1" thickBot="1">
      <c r="A45" s="28" t="s">
        <v>267</v>
      </c>
      <c r="B45" s="28" t="s">
        <v>267</v>
      </c>
      <c r="C45" s="28" t="s">
        <v>268</v>
      </c>
      <c r="D45" s="117">
        <v>9</v>
      </c>
      <c r="E45" s="122" t="s">
        <v>31</v>
      </c>
      <c r="F45" s="120" t="s">
        <v>63</v>
      </c>
      <c r="G45" s="29">
        <v>44006</v>
      </c>
      <c r="H45" s="28" t="s">
        <v>269</v>
      </c>
      <c r="I45" s="114" t="s">
        <v>12400</v>
      </c>
      <c r="J45" s="114" t="s">
        <v>12401</v>
      </c>
    </row>
    <row r="46" spans="1:10" ht="20" customHeight="1" thickBot="1">
      <c r="A46" s="26" t="s">
        <v>272</v>
      </c>
      <c r="B46" s="26" t="s">
        <v>272</v>
      </c>
      <c r="C46" s="26" t="s">
        <v>273</v>
      </c>
      <c r="D46" s="116">
        <v>0</v>
      </c>
      <c r="E46" s="122" t="s">
        <v>31</v>
      </c>
      <c r="F46" s="119" t="s">
        <v>115</v>
      </c>
      <c r="G46" s="27">
        <v>44946</v>
      </c>
      <c r="H46" s="26" t="s">
        <v>274</v>
      </c>
      <c r="I46" s="113" t="s">
        <v>12400</v>
      </c>
      <c r="J46" s="113" t="s">
        <v>12401</v>
      </c>
    </row>
    <row r="47" spans="1:10" ht="20" customHeight="1" thickBot="1">
      <c r="A47" s="28" t="s">
        <v>277</v>
      </c>
      <c r="B47" s="28" t="s">
        <v>277</v>
      </c>
      <c r="C47" s="28" t="s">
        <v>278</v>
      </c>
      <c r="D47" s="117">
        <v>4</v>
      </c>
      <c r="E47" s="122" t="s">
        <v>31</v>
      </c>
      <c r="F47" s="120" t="s">
        <v>57</v>
      </c>
      <c r="G47" s="29">
        <v>44540</v>
      </c>
      <c r="H47" s="28" t="s">
        <v>279</v>
      </c>
      <c r="I47" s="114" t="s">
        <v>12400</v>
      </c>
      <c r="J47" s="114" t="s">
        <v>12401</v>
      </c>
    </row>
    <row r="48" spans="1:10" ht="20" customHeight="1" thickBot="1">
      <c r="A48" s="26" t="s">
        <v>282</v>
      </c>
      <c r="B48" s="26" t="s">
        <v>282</v>
      </c>
      <c r="C48" s="26" t="s">
        <v>278</v>
      </c>
      <c r="D48" s="116">
        <v>5</v>
      </c>
      <c r="E48" s="122" t="s">
        <v>33</v>
      </c>
      <c r="F48" s="119" t="s">
        <v>57</v>
      </c>
      <c r="G48" s="27">
        <v>45268</v>
      </c>
      <c r="H48" s="26" t="s">
        <v>283</v>
      </c>
      <c r="I48" s="113" t="s">
        <v>12400</v>
      </c>
      <c r="J48" s="113" t="s">
        <v>12401</v>
      </c>
    </row>
    <row r="49" spans="1:10" ht="20" customHeight="1" thickBot="1">
      <c r="A49" s="28" t="s">
        <v>286</v>
      </c>
      <c r="B49" s="28" t="s">
        <v>286</v>
      </c>
      <c r="C49" s="28" t="s">
        <v>287</v>
      </c>
      <c r="D49" s="117">
        <v>1</v>
      </c>
      <c r="E49" s="122" t="s">
        <v>29</v>
      </c>
      <c r="F49" s="120" t="s">
        <v>63</v>
      </c>
      <c r="G49" s="29">
        <v>43827</v>
      </c>
      <c r="H49" s="28" t="s">
        <v>288</v>
      </c>
      <c r="I49" s="114" t="s">
        <v>12400</v>
      </c>
      <c r="J49" s="114" t="s">
        <v>12401</v>
      </c>
    </row>
    <row r="50" spans="1:10" ht="20" customHeight="1" thickBot="1">
      <c r="A50" s="26" t="s">
        <v>291</v>
      </c>
      <c r="B50" s="26" t="s">
        <v>291</v>
      </c>
      <c r="C50" s="26" t="s">
        <v>292</v>
      </c>
      <c r="D50" s="116">
        <v>7</v>
      </c>
      <c r="E50" s="122" t="s">
        <v>34</v>
      </c>
      <c r="F50" s="119" t="s">
        <v>57</v>
      </c>
      <c r="G50" s="27">
        <v>45533</v>
      </c>
      <c r="H50" s="26" t="s">
        <v>293</v>
      </c>
      <c r="I50" s="113" t="s">
        <v>12400</v>
      </c>
      <c r="J50" s="113" t="s">
        <v>12401</v>
      </c>
    </row>
    <row r="51" spans="1:10" ht="20" customHeight="1" thickBot="1">
      <c r="A51" s="28" t="s">
        <v>296</v>
      </c>
      <c r="B51" s="28" t="s">
        <v>296</v>
      </c>
      <c r="C51" s="28" t="s">
        <v>297</v>
      </c>
      <c r="D51" s="117">
        <v>12</v>
      </c>
      <c r="E51" s="122" t="s">
        <v>29</v>
      </c>
      <c r="F51" s="120" t="s">
        <v>63</v>
      </c>
      <c r="G51" s="29">
        <v>43918</v>
      </c>
      <c r="H51" s="28" t="s">
        <v>298</v>
      </c>
      <c r="I51" s="114" t="s">
        <v>12400</v>
      </c>
      <c r="J51" s="114" t="s">
        <v>12401</v>
      </c>
    </row>
    <row r="52" spans="1:10" ht="20" customHeight="1" thickBot="1">
      <c r="A52" s="26" t="s">
        <v>301</v>
      </c>
      <c r="B52" s="26" t="s">
        <v>301</v>
      </c>
      <c r="C52" s="26" t="s">
        <v>302</v>
      </c>
      <c r="D52" s="116">
        <v>0</v>
      </c>
      <c r="E52" s="122" t="s">
        <v>35</v>
      </c>
      <c r="F52" s="119" t="s">
        <v>57</v>
      </c>
      <c r="G52" s="27">
        <v>44794</v>
      </c>
      <c r="H52" s="26" t="s">
        <v>303</v>
      </c>
      <c r="I52" s="113" t="s">
        <v>12400</v>
      </c>
      <c r="J52" s="113" t="s">
        <v>12401</v>
      </c>
    </row>
    <row r="53" spans="1:10" ht="20" customHeight="1" thickBot="1">
      <c r="A53" s="28" t="s">
        <v>306</v>
      </c>
      <c r="B53" s="28" t="s">
        <v>306</v>
      </c>
      <c r="C53" s="28" t="s">
        <v>307</v>
      </c>
      <c r="D53" s="117">
        <v>7</v>
      </c>
      <c r="E53" s="122" t="s">
        <v>29</v>
      </c>
      <c r="F53" s="120" t="s">
        <v>63</v>
      </c>
      <c r="G53" s="29">
        <v>42710</v>
      </c>
      <c r="H53" s="28" t="s">
        <v>308</v>
      </c>
      <c r="I53" s="114" t="s">
        <v>12400</v>
      </c>
      <c r="J53" s="114" t="s">
        <v>12401</v>
      </c>
    </row>
    <row r="54" spans="1:10" ht="20" customHeight="1" thickBot="1">
      <c r="A54" s="26" t="s">
        <v>311</v>
      </c>
      <c r="B54" s="26" t="s">
        <v>311</v>
      </c>
      <c r="C54" s="26" t="s">
        <v>312</v>
      </c>
      <c r="D54" s="116">
        <v>24</v>
      </c>
      <c r="E54" s="122" t="s">
        <v>34</v>
      </c>
      <c r="F54" s="119" t="s">
        <v>57</v>
      </c>
      <c r="G54" s="27">
        <v>44342</v>
      </c>
      <c r="H54" s="26" t="s">
        <v>313</v>
      </c>
      <c r="I54" s="113" t="s">
        <v>12400</v>
      </c>
      <c r="J54" s="113" t="s">
        <v>12401</v>
      </c>
    </row>
    <row r="55" spans="1:10" ht="20" customHeight="1" thickBot="1">
      <c r="A55" s="28" t="s">
        <v>316</v>
      </c>
      <c r="B55" s="28" t="s">
        <v>316</v>
      </c>
      <c r="C55" s="28" t="s">
        <v>317</v>
      </c>
      <c r="D55" s="117">
        <v>7</v>
      </c>
      <c r="E55" s="122" t="s">
        <v>31</v>
      </c>
      <c r="F55" s="120" t="s">
        <v>63</v>
      </c>
      <c r="G55" s="29">
        <v>42013</v>
      </c>
      <c r="H55" s="28" t="s">
        <v>318</v>
      </c>
      <c r="I55" s="114" t="s">
        <v>12400</v>
      </c>
      <c r="J55" s="114" t="s">
        <v>12401</v>
      </c>
    </row>
    <row r="56" spans="1:10" ht="20" customHeight="1" thickBot="1">
      <c r="A56" s="26" t="s">
        <v>321</v>
      </c>
      <c r="B56" s="26" t="s">
        <v>321</v>
      </c>
      <c r="C56" s="26" t="s">
        <v>322</v>
      </c>
      <c r="D56" s="116">
        <v>11</v>
      </c>
      <c r="E56" s="122" t="s">
        <v>27</v>
      </c>
      <c r="F56" s="119" t="s">
        <v>63</v>
      </c>
      <c r="G56" s="27">
        <v>42011</v>
      </c>
      <c r="H56" s="26" t="s">
        <v>323</v>
      </c>
      <c r="I56" s="113" t="s">
        <v>12400</v>
      </c>
      <c r="J56" s="113" t="s">
        <v>12401</v>
      </c>
    </row>
    <row r="57" spans="1:10" ht="20" customHeight="1" thickBot="1">
      <c r="A57" s="28" t="s">
        <v>326</v>
      </c>
      <c r="B57" s="28" t="s">
        <v>326</v>
      </c>
      <c r="C57" s="28" t="s">
        <v>322</v>
      </c>
      <c r="D57" s="117">
        <v>12</v>
      </c>
      <c r="E57" s="122" t="s">
        <v>29</v>
      </c>
      <c r="F57" s="120" t="s">
        <v>63</v>
      </c>
      <c r="G57" s="29">
        <v>42069</v>
      </c>
      <c r="H57" s="28" t="s">
        <v>327</v>
      </c>
      <c r="I57" s="114" t="s">
        <v>12400</v>
      </c>
      <c r="J57" s="114" t="s">
        <v>12401</v>
      </c>
    </row>
    <row r="58" spans="1:10" ht="20" customHeight="1" thickBot="1">
      <c r="A58" s="26" t="s">
        <v>330</v>
      </c>
      <c r="B58" s="26" t="s">
        <v>330</v>
      </c>
      <c r="C58" s="26" t="s">
        <v>287</v>
      </c>
      <c r="D58" s="116">
        <v>7</v>
      </c>
      <c r="E58" s="122" t="s">
        <v>29</v>
      </c>
      <c r="F58" s="119" t="s">
        <v>63</v>
      </c>
      <c r="G58" s="27">
        <v>43838</v>
      </c>
      <c r="H58" s="26" t="s">
        <v>331</v>
      </c>
      <c r="I58" s="113" t="s">
        <v>12400</v>
      </c>
      <c r="J58" s="113" t="s">
        <v>12401</v>
      </c>
    </row>
    <row r="59" spans="1:10" ht="20" customHeight="1" thickBot="1">
      <c r="A59" s="28" t="s">
        <v>334</v>
      </c>
      <c r="B59" s="28" t="s">
        <v>334</v>
      </c>
      <c r="C59" s="28" t="s">
        <v>335</v>
      </c>
      <c r="D59" s="117">
        <v>7</v>
      </c>
      <c r="E59" s="122" t="s">
        <v>29</v>
      </c>
      <c r="F59" s="120" t="s">
        <v>63</v>
      </c>
      <c r="G59" s="29">
        <v>44297</v>
      </c>
      <c r="H59" s="28" t="s">
        <v>336</v>
      </c>
      <c r="I59" s="114" t="s">
        <v>12400</v>
      </c>
      <c r="J59" s="114" t="s">
        <v>12401</v>
      </c>
    </row>
    <row r="60" spans="1:10" ht="20" customHeight="1" thickBot="1">
      <c r="A60" s="26" t="s">
        <v>339</v>
      </c>
      <c r="B60" s="26" t="s">
        <v>339</v>
      </c>
      <c r="C60" s="26" t="s">
        <v>340</v>
      </c>
      <c r="D60" s="116">
        <v>9</v>
      </c>
      <c r="E60" s="122" t="s">
        <v>36</v>
      </c>
      <c r="F60" s="119" t="s">
        <v>57</v>
      </c>
      <c r="G60" s="27">
        <v>45666</v>
      </c>
      <c r="H60" s="26" t="s">
        <v>341</v>
      </c>
      <c r="I60" s="113" t="s">
        <v>12400</v>
      </c>
      <c r="J60" s="113" t="s">
        <v>12401</v>
      </c>
    </row>
    <row r="61" spans="1:10" ht="20" customHeight="1" thickBot="1">
      <c r="A61" s="28" t="s">
        <v>344</v>
      </c>
      <c r="B61" s="28" t="s">
        <v>344</v>
      </c>
      <c r="C61" s="28" t="s">
        <v>345</v>
      </c>
      <c r="D61" s="117">
        <v>7</v>
      </c>
      <c r="E61" s="122" t="s">
        <v>29</v>
      </c>
      <c r="F61" s="120" t="s">
        <v>63</v>
      </c>
      <c r="G61" s="29">
        <v>45398</v>
      </c>
      <c r="H61" s="28" t="s">
        <v>346</v>
      </c>
      <c r="I61" s="114" t="s">
        <v>12400</v>
      </c>
      <c r="J61" s="114" t="s">
        <v>12401</v>
      </c>
    </row>
    <row r="62" spans="1:10" ht="20" customHeight="1" thickBot="1">
      <c r="A62" s="26" t="s">
        <v>349</v>
      </c>
      <c r="B62" s="26" t="s">
        <v>349</v>
      </c>
      <c r="C62" s="26" t="s">
        <v>350</v>
      </c>
      <c r="D62" s="116">
        <v>19</v>
      </c>
      <c r="E62" s="122" t="s">
        <v>29</v>
      </c>
      <c r="F62" s="119" t="s">
        <v>63</v>
      </c>
      <c r="G62" s="27">
        <v>43730</v>
      </c>
      <c r="H62" s="26" t="s">
        <v>351</v>
      </c>
      <c r="I62" s="113" t="s">
        <v>12400</v>
      </c>
      <c r="J62" s="113" t="s">
        <v>12401</v>
      </c>
    </row>
    <row r="63" spans="1:10" ht="20" customHeight="1" thickBot="1">
      <c r="A63" s="28" t="s">
        <v>354</v>
      </c>
      <c r="B63" s="28" t="s">
        <v>354</v>
      </c>
      <c r="C63" s="28" t="s">
        <v>355</v>
      </c>
      <c r="D63" s="117">
        <v>1</v>
      </c>
      <c r="E63" s="122" t="s">
        <v>35</v>
      </c>
      <c r="F63" s="120" t="s">
        <v>57</v>
      </c>
      <c r="G63" s="29">
        <v>42133</v>
      </c>
      <c r="H63" s="28" t="s">
        <v>356</v>
      </c>
      <c r="I63" s="114" t="s">
        <v>12400</v>
      </c>
      <c r="J63" s="114" t="s">
        <v>12401</v>
      </c>
    </row>
    <row r="64" spans="1:10" ht="20" customHeight="1" thickBot="1">
      <c r="A64" s="26" t="s">
        <v>359</v>
      </c>
      <c r="B64" s="26" t="s">
        <v>359</v>
      </c>
      <c r="C64" s="26" t="s">
        <v>360</v>
      </c>
      <c r="D64" s="116">
        <v>5</v>
      </c>
      <c r="E64" s="122" t="s">
        <v>29</v>
      </c>
      <c r="F64" s="119" t="s">
        <v>63</v>
      </c>
      <c r="G64" s="27">
        <v>43461</v>
      </c>
      <c r="H64" s="26" t="s">
        <v>361</v>
      </c>
      <c r="I64" s="113" t="s">
        <v>12400</v>
      </c>
      <c r="J64" s="113" t="s">
        <v>12401</v>
      </c>
    </row>
    <row r="65" spans="1:10" ht="20" customHeight="1" thickBot="1">
      <c r="A65" s="28" t="s">
        <v>364</v>
      </c>
      <c r="B65" s="28" t="s">
        <v>364</v>
      </c>
      <c r="C65" s="28" t="s">
        <v>365</v>
      </c>
      <c r="D65" s="117">
        <v>25</v>
      </c>
      <c r="E65" s="122" t="s">
        <v>31</v>
      </c>
      <c r="F65" s="120" t="s">
        <v>63</v>
      </c>
      <c r="G65" s="29">
        <v>42207</v>
      </c>
      <c r="H65" s="28" t="s">
        <v>366</v>
      </c>
      <c r="I65" s="114" t="s">
        <v>12400</v>
      </c>
      <c r="J65" s="114" t="s">
        <v>12401</v>
      </c>
    </row>
    <row r="66" spans="1:10" ht="20" customHeight="1" thickBot="1">
      <c r="A66" s="26" t="s">
        <v>369</v>
      </c>
      <c r="B66" s="26" t="s">
        <v>369</v>
      </c>
      <c r="C66" s="26" t="s">
        <v>370</v>
      </c>
      <c r="D66" s="116">
        <v>25</v>
      </c>
      <c r="E66" s="122" t="s">
        <v>31</v>
      </c>
      <c r="F66" s="119" t="s">
        <v>63</v>
      </c>
      <c r="G66" s="27">
        <v>43980</v>
      </c>
      <c r="H66" s="26" t="s">
        <v>371</v>
      </c>
      <c r="I66" s="113" t="s">
        <v>12400</v>
      </c>
      <c r="J66" s="113" t="s">
        <v>12401</v>
      </c>
    </row>
    <row r="67" spans="1:10" ht="20" customHeight="1" thickBot="1">
      <c r="A67" s="28" t="s">
        <v>374</v>
      </c>
      <c r="B67" s="28" t="s">
        <v>374</v>
      </c>
      <c r="C67" s="28" t="s">
        <v>375</v>
      </c>
      <c r="D67" s="117">
        <v>7</v>
      </c>
      <c r="E67" s="122" t="s">
        <v>29</v>
      </c>
      <c r="F67" s="120" t="s">
        <v>63</v>
      </c>
      <c r="G67" s="29">
        <v>42218</v>
      </c>
      <c r="H67" s="28" t="s">
        <v>376</v>
      </c>
      <c r="I67" s="114" t="s">
        <v>12400</v>
      </c>
      <c r="J67" s="114" t="s">
        <v>12401</v>
      </c>
    </row>
    <row r="68" spans="1:10" ht="20" customHeight="1" thickBot="1">
      <c r="A68" s="26" t="s">
        <v>379</v>
      </c>
      <c r="B68" s="26" t="s">
        <v>379</v>
      </c>
      <c r="C68" s="26" t="s">
        <v>380</v>
      </c>
      <c r="D68" s="116">
        <v>8</v>
      </c>
      <c r="E68" s="122" t="s">
        <v>27</v>
      </c>
      <c r="F68" s="119" t="s">
        <v>63</v>
      </c>
      <c r="G68" s="27">
        <v>41543</v>
      </c>
      <c r="H68" s="26" t="s">
        <v>381</v>
      </c>
      <c r="I68" s="113" t="s">
        <v>12400</v>
      </c>
      <c r="J68" s="113" t="s">
        <v>12401</v>
      </c>
    </row>
    <row r="69" spans="1:10" ht="20" customHeight="1" thickBot="1">
      <c r="A69" s="28" t="s">
        <v>384</v>
      </c>
      <c r="B69" s="28" t="s">
        <v>384</v>
      </c>
      <c r="C69" s="28" t="s">
        <v>380</v>
      </c>
      <c r="D69" s="117">
        <v>3</v>
      </c>
      <c r="E69" s="122" t="s">
        <v>29</v>
      </c>
      <c r="F69" s="120" t="s">
        <v>63</v>
      </c>
      <c r="G69" s="29">
        <v>42062</v>
      </c>
      <c r="H69" s="28" t="s">
        <v>385</v>
      </c>
      <c r="I69" s="114" t="s">
        <v>12400</v>
      </c>
      <c r="J69" s="114" t="s">
        <v>12401</v>
      </c>
    </row>
    <row r="70" spans="1:10" ht="20" customHeight="1" thickBot="1">
      <c r="A70" s="26" t="s">
        <v>388</v>
      </c>
      <c r="B70" s="26" t="s">
        <v>388</v>
      </c>
      <c r="C70" s="26" t="s">
        <v>389</v>
      </c>
      <c r="D70" s="116">
        <v>5</v>
      </c>
      <c r="E70" s="122" t="s">
        <v>27</v>
      </c>
      <c r="F70" s="119" t="s">
        <v>63</v>
      </c>
      <c r="G70" s="27">
        <v>42309</v>
      </c>
      <c r="H70" s="26" t="s">
        <v>390</v>
      </c>
      <c r="I70" s="113" t="s">
        <v>12400</v>
      </c>
      <c r="J70" s="113" t="s">
        <v>12401</v>
      </c>
    </row>
    <row r="71" spans="1:10" ht="20" customHeight="1" thickBot="1">
      <c r="A71" s="28" t="s">
        <v>393</v>
      </c>
      <c r="B71" s="28" t="s">
        <v>393</v>
      </c>
      <c r="C71" s="28" t="s">
        <v>394</v>
      </c>
      <c r="D71" s="117">
        <v>0</v>
      </c>
      <c r="E71" s="122" t="s">
        <v>33</v>
      </c>
      <c r="F71" s="120" t="s">
        <v>63</v>
      </c>
      <c r="G71" s="29">
        <v>44613</v>
      </c>
      <c r="H71" s="28" t="s">
        <v>395</v>
      </c>
      <c r="I71" s="114" t="s">
        <v>12400</v>
      </c>
      <c r="J71" s="114" t="s">
        <v>12401</v>
      </c>
    </row>
    <row r="72" spans="1:10" ht="20" customHeight="1" thickBot="1">
      <c r="A72" s="26" t="s">
        <v>398</v>
      </c>
      <c r="B72" s="26" t="s">
        <v>398</v>
      </c>
      <c r="C72" s="26" t="s">
        <v>399</v>
      </c>
      <c r="D72" s="116">
        <v>8</v>
      </c>
      <c r="E72" s="122" t="s">
        <v>29</v>
      </c>
      <c r="F72" s="119" t="s">
        <v>63</v>
      </c>
      <c r="G72" s="27">
        <v>42301</v>
      </c>
      <c r="H72" s="26" t="s">
        <v>400</v>
      </c>
      <c r="I72" s="113" t="s">
        <v>12400</v>
      </c>
      <c r="J72" s="113" t="s">
        <v>12401</v>
      </c>
    </row>
    <row r="73" spans="1:10" ht="20" customHeight="1" thickBot="1">
      <c r="A73" s="28" t="s">
        <v>403</v>
      </c>
      <c r="B73" s="28" t="s">
        <v>403</v>
      </c>
      <c r="C73" s="28" t="s">
        <v>287</v>
      </c>
      <c r="D73" s="117">
        <v>1</v>
      </c>
      <c r="E73" s="122" t="s">
        <v>29</v>
      </c>
      <c r="F73" s="120" t="s">
        <v>63</v>
      </c>
      <c r="G73" s="29">
        <v>43907</v>
      </c>
      <c r="H73" s="28" t="s">
        <v>404</v>
      </c>
      <c r="I73" s="114" t="s">
        <v>12400</v>
      </c>
      <c r="J73" s="114" t="s">
        <v>12401</v>
      </c>
    </row>
    <row r="74" spans="1:10" ht="20" customHeight="1" thickBot="1">
      <c r="A74" s="26" t="s">
        <v>407</v>
      </c>
      <c r="B74" s="26" t="s">
        <v>407</v>
      </c>
      <c r="C74" s="26" t="s">
        <v>408</v>
      </c>
      <c r="D74" s="116">
        <v>41</v>
      </c>
      <c r="E74" s="122" t="s">
        <v>29</v>
      </c>
      <c r="F74" s="119" t="s">
        <v>63</v>
      </c>
      <c r="G74" s="27">
        <v>44540</v>
      </c>
      <c r="H74" s="26" t="s">
        <v>409</v>
      </c>
      <c r="I74" s="113" t="s">
        <v>12400</v>
      </c>
      <c r="J74" s="113" t="s">
        <v>12401</v>
      </c>
    </row>
    <row r="75" spans="1:10" ht="20" customHeight="1" thickBot="1">
      <c r="A75" s="28" t="s">
        <v>412</v>
      </c>
      <c r="B75" s="28" t="s">
        <v>412</v>
      </c>
      <c r="C75" s="28" t="s">
        <v>413</v>
      </c>
      <c r="D75" s="117">
        <v>13</v>
      </c>
      <c r="E75" s="122" t="s">
        <v>34</v>
      </c>
      <c r="F75" s="120" t="s">
        <v>57</v>
      </c>
      <c r="G75" s="29">
        <v>46207</v>
      </c>
      <c r="H75" s="28" t="s">
        <v>414</v>
      </c>
      <c r="I75" s="114" t="s">
        <v>12400</v>
      </c>
      <c r="J75" s="114" t="s">
        <v>12401</v>
      </c>
    </row>
    <row r="76" spans="1:10" ht="20" customHeight="1" thickBot="1">
      <c r="A76" s="26" t="s">
        <v>417</v>
      </c>
      <c r="B76" s="26" t="s">
        <v>417</v>
      </c>
      <c r="C76" s="26" t="s">
        <v>408</v>
      </c>
      <c r="D76" s="116">
        <v>6</v>
      </c>
      <c r="E76" s="122" t="s">
        <v>27</v>
      </c>
      <c r="F76" s="119" t="s">
        <v>63</v>
      </c>
      <c r="G76" s="27">
        <v>41539</v>
      </c>
      <c r="H76" s="26" t="s">
        <v>418</v>
      </c>
      <c r="I76" s="113" t="s">
        <v>12400</v>
      </c>
      <c r="J76" s="113" t="s">
        <v>12401</v>
      </c>
    </row>
    <row r="77" spans="1:10" ht="20" customHeight="1" thickBot="1">
      <c r="A77" s="28" t="s">
        <v>421</v>
      </c>
      <c r="B77" s="28" t="s">
        <v>421</v>
      </c>
      <c r="C77" s="28" t="s">
        <v>422</v>
      </c>
      <c r="D77" s="117">
        <v>1</v>
      </c>
      <c r="E77" s="122" t="s">
        <v>35</v>
      </c>
      <c r="F77" s="120" t="s">
        <v>89</v>
      </c>
      <c r="G77" s="29">
        <v>43782</v>
      </c>
      <c r="H77" s="28" t="s">
        <v>423</v>
      </c>
      <c r="I77" s="114" t="s">
        <v>12400</v>
      </c>
      <c r="J77" s="114" t="s">
        <v>12401</v>
      </c>
    </row>
    <row r="78" spans="1:10" ht="20" customHeight="1" thickBot="1">
      <c r="A78" s="26" t="s">
        <v>426</v>
      </c>
      <c r="B78" s="26" t="s">
        <v>426</v>
      </c>
      <c r="C78" s="26" t="s">
        <v>427</v>
      </c>
      <c r="D78" s="116">
        <v>9</v>
      </c>
      <c r="E78" s="122" t="s">
        <v>35</v>
      </c>
      <c r="F78" s="119" t="s">
        <v>57</v>
      </c>
      <c r="G78" s="27">
        <v>45463</v>
      </c>
      <c r="H78" s="26" t="s">
        <v>428</v>
      </c>
      <c r="I78" s="113" t="s">
        <v>12400</v>
      </c>
      <c r="J78" s="113" t="s">
        <v>12401</v>
      </c>
    </row>
    <row r="79" spans="1:10" ht="20" customHeight="1" thickBot="1">
      <c r="A79" s="28" t="s">
        <v>431</v>
      </c>
      <c r="B79" s="28" t="s">
        <v>431</v>
      </c>
      <c r="C79" s="28" t="s">
        <v>432</v>
      </c>
      <c r="D79" s="117">
        <v>7</v>
      </c>
      <c r="E79" s="122" t="s">
        <v>31</v>
      </c>
      <c r="F79" s="120" t="s">
        <v>63</v>
      </c>
      <c r="G79" s="29">
        <v>44034</v>
      </c>
      <c r="H79" s="28" t="s">
        <v>433</v>
      </c>
      <c r="I79" s="114" t="s">
        <v>12400</v>
      </c>
      <c r="J79" s="114" t="s">
        <v>12401</v>
      </c>
    </row>
    <row r="80" spans="1:10" ht="20" customHeight="1" thickBot="1">
      <c r="A80" s="26" t="s">
        <v>436</v>
      </c>
      <c r="B80" s="26" t="s">
        <v>436</v>
      </c>
      <c r="C80" s="26" t="s">
        <v>437</v>
      </c>
      <c r="D80" s="116">
        <v>26</v>
      </c>
      <c r="E80" s="122" t="s">
        <v>33</v>
      </c>
      <c r="F80" s="119" t="s">
        <v>63</v>
      </c>
      <c r="G80" s="27">
        <v>46035</v>
      </c>
      <c r="H80" s="26" t="s">
        <v>438</v>
      </c>
      <c r="I80" s="113" t="s">
        <v>12400</v>
      </c>
      <c r="J80" s="113" t="s">
        <v>12401</v>
      </c>
    </row>
    <row r="81" spans="1:10" ht="20" customHeight="1" thickBot="1">
      <c r="A81" s="28" t="s">
        <v>441</v>
      </c>
      <c r="B81" s="28" t="s">
        <v>441</v>
      </c>
      <c r="C81" s="28" t="s">
        <v>442</v>
      </c>
      <c r="D81" s="117">
        <v>1</v>
      </c>
      <c r="E81" s="122" t="s">
        <v>29</v>
      </c>
      <c r="F81" s="120" t="s">
        <v>63</v>
      </c>
      <c r="G81" s="29">
        <v>45532</v>
      </c>
      <c r="H81" s="28" t="s">
        <v>443</v>
      </c>
      <c r="I81" s="114" t="s">
        <v>12400</v>
      </c>
      <c r="J81" s="114" t="s">
        <v>12401</v>
      </c>
    </row>
    <row r="82" spans="1:10" ht="20" customHeight="1" thickBot="1">
      <c r="A82" s="26" t="s">
        <v>446</v>
      </c>
      <c r="B82" s="26" t="s">
        <v>446</v>
      </c>
      <c r="C82" s="26" t="s">
        <v>447</v>
      </c>
      <c r="D82" s="116">
        <v>7</v>
      </c>
      <c r="E82" s="122" t="s">
        <v>34</v>
      </c>
      <c r="F82" s="119" t="s">
        <v>57</v>
      </c>
      <c r="G82" s="27">
        <v>44881</v>
      </c>
      <c r="H82" s="26" t="s">
        <v>448</v>
      </c>
      <c r="I82" s="113" t="s">
        <v>12400</v>
      </c>
      <c r="J82" s="113" t="s">
        <v>12401</v>
      </c>
    </row>
    <row r="83" spans="1:10" ht="20" customHeight="1" thickBot="1">
      <c r="A83" s="28" t="s">
        <v>451</v>
      </c>
      <c r="B83" s="28" t="s">
        <v>451</v>
      </c>
      <c r="C83" s="28" t="s">
        <v>452</v>
      </c>
      <c r="D83" s="117">
        <v>6</v>
      </c>
      <c r="E83" s="122" t="s">
        <v>31</v>
      </c>
      <c r="F83" s="120" t="s">
        <v>57</v>
      </c>
      <c r="G83" s="29">
        <v>44932</v>
      </c>
      <c r="H83" s="28" t="s">
        <v>453</v>
      </c>
      <c r="I83" s="114" t="s">
        <v>12400</v>
      </c>
      <c r="J83" s="114" t="s">
        <v>12401</v>
      </c>
    </row>
    <row r="84" spans="1:10" ht="20" customHeight="1" thickBot="1">
      <c r="A84" s="26" t="s">
        <v>456</v>
      </c>
      <c r="B84" s="26" t="s">
        <v>456</v>
      </c>
      <c r="C84" s="26" t="s">
        <v>452</v>
      </c>
      <c r="D84" s="116">
        <v>6</v>
      </c>
      <c r="E84" s="122" t="s">
        <v>31</v>
      </c>
      <c r="F84" s="119" t="s">
        <v>57</v>
      </c>
      <c r="G84" s="27">
        <v>45509</v>
      </c>
      <c r="H84" s="26" t="s">
        <v>457</v>
      </c>
      <c r="I84" s="113" t="s">
        <v>12400</v>
      </c>
      <c r="J84" s="113" t="s">
        <v>12401</v>
      </c>
    </row>
    <row r="85" spans="1:10" ht="20" customHeight="1" thickBot="1">
      <c r="A85" s="28" t="s">
        <v>460</v>
      </c>
      <c r="B85" s="28" t="s">
        <v>460</v>
      </c>
      <c r="C85" s="28" t="s">
        <v>461</v>
      </c>
      <c r="D85" s="117">
        <v>7</v>
      </c>
      <c r="E85" s="122" t="s">
        <v>29</v>
      </c>
      <c r="F85" s="120" t="s">
        <v>63</v>
      </c>
      <c r="G85" s="29">
        <v>42299</v>
      </c>
      <c r="H85" s="28" t="s">
        <v>462</v>
      </c>
      <c r="I85" s="114" t="s">
        <v>12400</v>
      </c>
      <c r="J85" s="114" t="s">
        <v>12401</v>
      </c>
    </row>
    <row r="86" spans="1:10" ht="20" customHeight="1" thickBot="1">
      <c r="A86" s="26" t="s">
        <v>465</v>
      </c>
      <c r="B86" s="26" t="s">
        <v>465</v>
      </c>
      <c r="C86" s="26" t="s">
        <v>466</v>
      </c>
      <c r="D86" s="116">
        <v>6</v>
      </c>
      <c r="E86" s="122" t="s">
        <v>27</v>
      </c>
      <c r="F86" s="119" t="s">
        <v>63</v>
      </c>
      <c r="G86" s="27">
        <v>42220</v>
      </c>
      <c r="H86" s="26" t="s">
        <v>467</v>
      </c>
      <c r="I86" s="113" t="s">
        <v>12400</v>
      </c>
      <c r="J86" s="113" t="s">
        <v>12401</v>
      </c>
    </row>
    <row r="87" spans="1:10" ht="20" customHeight="1" thickBot="1">
      <c r="A87" s="28" t="s">
        <v>470</v>
      </c>
      <c r="B87" s="28" t="s">
        <v>470</v>
      </c>
      <c r="C87" s="28" t="s">
        <v>471</v>
      </c>
      <c r="D87" s="117">
        <v>8</v>
      </c>
      <c r="E87" s="122" t="s">
        <v>33</v>
      </c>
      <c r="F87" s="120" t="s">
        <v>63</v>
      </c>
      <c r="G87" s="29">
        <v>42939</v>
      </c>
      <c r="H87" s="28" t="s">
        <v>472</v>
      </c>
      <c r="I87" s="114" t="s">
        <v>12400</v>
      </c>
      <c r="J87" s="114" t="s">
        <v>12401</v>
      </c>
    </row>
    <row r="88" spans="1:10" ht="20" customHeight="1" thickBot="1">
      <c r="A88" s="26" t="s">
        <v>475</v>
      </c>
      <c r="B88" s="26" t="s">
        <v>475</v>
      </c>
      <c r="C88" s="26" t="s">
        <v>471</v>
      </c>
      <c r="D88" s="116">
        <v>8</v>
      </c>
      <c r="E88" s="122" t="s">
        <v>33</v>
      </c>
      <c r="F88" s="119" t="s">
        <v>63</v>
      </c>
      <c r="G88" s="27">
        <v>42738</v>
      </c>
      <c r="H88" s="26" t="s">
        <v>476</v>
      </c>
      <c r="I88" s="113" t="s">
        <v>12400</v>
      </c>
      <c r="J88" s="113" t="s">
        <v>12401</v>
      </c>
    </row>
    <row r="89" spans="1:10" ht="20" customHeight="1" thickBot="1">
      <c r="A89" s="28" t="s">
        <v>479</v>
      </c>
      <c r="B89" s="28" t="s">
        <v>479</v>
      </c>
      <c r="C89" s="28" t="s">
        <v>480</v>
      </c>
      <c r="D89" s="117">
        <v>16</v>
      </c>
      <c r="E89" s="122" t="s">
        <v>33</v>
      </c>
      <c r="F89" s="120" t="s">
        <v>57</v>
      </c>
      <c r="G89" s="29">
        <v>45152</v>
      </c>
      <c r="H89" s="28" t="s">
        <v>481</v>
      </c>
      <c r="I89" s="114" t="s">
        <v>12400</v>
      </c>
      <c r="J89" s="114" t="s">
        <v>12401</v>
      </c>
    </row>
    <row r="90" spans="1:10" ht="20" customHeight="1" thickBot="1">
      <c r="A90" s="26" t="s">
        <v>484</v>
      </c>
      <c r="B90" s="26" t="s">
        <v>484</v>
      </c>
      <c r="C90" s="26" t="s">
        <v>485</v>
      </c>
      <c r="D90" s="116">
        <v>8</v>
      </c>
      <c r="E90" s="122" t="s">
        <v>33</v>
      </c>
      <c r="F90" s="119" t="s">
        <v>57</v>
      </c>
      <c r="G90" s="27">
        <v>44445</v>
      </c>
      <c r="H90" s="26" t="s">
        <v>486</v>
      </c>
      <c r="I90" s="113" t="s">
        <v>12400</v>
      </c>
      <c r="J90" s="113" t="s">
        <v>12401</v>
      </c>
    </row>
    <row r="91" spans="1:10" ht="20" customHeight="1" thickBot="1">
      <c r="A91" s="28" t="s">
        <v>489</v>
      </c>
      <c r="B91" s="28" t="s">
        <v>489</v>
      </c>
      <c r="C91" s="28" t="s">
        <v>408</v>
      </c>
      <c r="D91" s="117">
        <v>8</v>
      </c>
      <c r="E91" s="122" t="s">
        <v>31</v>
      </c>
      <c r="F91" s="120" t="s">
        <v>63</v>
      </c>
      <c r="G91" s="29">
        <v>41451</v>
      </c>
      <c r="H91" s="28" t="s">
        <v>490</v>
      </c>
      <c r="I91" s="114" t="s">
        <v>12400</v>
      </c>
      <c r="J91" s="114" t="s">
        <v>12401</v>
      </c>
    </row>
    <row r="92" spans="1:10" ht="20" customHeight="1" thickBot="1">
      <c r="A92" s="26" t="s">
        <v>493</v>
      </c>
      <c r="B92" s="26" t="s">
        <v>493</v>
      </c>
      <c r="C92" s="26" t="s">
        <v>494</v>
      </c>
      <c r="D92" s="116">
        <v>7</v>
      </c>
      <c r="E92" s="122" t="s">
        <v>35</v>
      </c>
      <c r="F92" s="119" t="s">
        <v>115</v>
      </c>
      <c r="G92" s="27">
        <v>46133</v>
      </c>
      <c r="H92" s="26" t="s">
        <v>495</v>
      </c>
      <c r="I92" s="113" t="s">
        <v>12400</v>
      </c>
      <c r="J92" s="113" t="s">
        <v>12401</v>
      </c>
    </row>
    <row r="93" spans="1:10" ht="20" customHeight="1" thickBot="1">
      <c r="A93" s="28" t="s">
        <v>498</v>
      </c>
      <c r="B93" s="28" t="s">
        <v>498</v>
      </c>
      <c r="C93" s="28" t="s">
        <v>499</v>
      </c>
      <c r="D93" s="117">
        <v>1</v>
      </c>
      <c r="E93" s="122" t="s">
        <v>29</v>
      </c>
      <c r="F93" s="120" t="s">
        <v>63</v>
      </c>
      <c r="G93" s="29">
        <v>41445</v>
      </c>
      <c r="H93" s="28" t="s">
        <v>500</v>
      </c>
      <c r="I93" s="114" t="s">
        <v>12400</v>
      </c>
      <c r="J93" s="114" t="s">
        <v>12401</v>
      </c>
    </row>
    <row r="94" spans="1:10" ht="20" customHeight="1" thickBot="1">
      <c r="A94" s="26" t="s">
        <v>503</v>
      </c>
      <c r="B94" s="26" t="s">
        <v>503</v>
      </c>
      <c r="C94" s="26" t="s">
        <v>504</v>
      </c>
      <c r="D94" s="116">
        <v>107</v>
      </c>
      <c r="E94" s="122" t="s">
        <v>29</v>
      </c>
      <c r="F94" s="119" t="s">
        <v>63</v>
      </c>
      <c r="G94" s="27">
        <v>46073</v>
      </c>
      <c r="H94" s="26" t="s">
        <v>505</v>
      </c>
      <c r="I94" s="113" t="s">
        <v>12400</v>
      </c>
      <c r="J94" s="113" t="s">
        <v>12401</v>
      </c>
    </row>
    <row r="95" spans="1:10" ht="20" customHeight="1" thickBot="1">
      <c r="A95" s="28" t="s">
        <v>508</v>
      </c>
      <c r="B95" s="28" t="s">
        <v>508</v>
      </c>
      <c r="C95" s="28" t="s">
        <v>509</v>
      </c>
      <c r="D95" s="117">
        <v>94</v>
      </c>
      <c r="E95" s="122" t="s">
        <v>34</v>
      </c>
      <c r="F95" s="120" t="s">
        <v>63</v>
      </c>
      <c r="G95" s="29">
        <v>43167</v>
      </c>
      <c r="H95" s="28" t="s">
        <v>510</v>
      </c>
      <c r="I95" s="114" t="s">
        <v>12400</v>
      </c>
      <c r="J95" s="114" t="s">
        <v>12401</v>
      </c>
    </row>
    <row r="96" spans="1:10" ht="20" customHeight="1" thickBot="1">
      <c r="A96" s="26" t="s">
        <v>513</v>
      </c>
      <c r="B96" s="26" t="s">
        <v>513</v>
      </c>
      <c r="C96" s="26" t="s">
        <v>514</v>
      </c>
      <c r="D96" s="116">
        <v>7</v>
      </c>
      <c r="E96" s="122" t="s">
        <v>31</v>
      </c>
      <c r="F96" s="119" t="s">
        <v>63</v>
      </c>
      <c r="G96" s="27">
        <v>43670</v>
      </c>
      <c r="H96" s="26" t="s">
        <v>515</v>
      </c>
      <c r="I96" s="113" t="s">
        <v>12400</v>
      </c>
      <c r="J96" s="113" t="s">
        <v>12401</v>
      </c>
    </row>
    <row r="97" spans="1:10" ht="20" customHeight="1" thickBot="1">
      <c r="A97" s="28" t="s">
        <v>518</v>
      </c>
      <c r="B97" s="28" t="s">
        <v>518</v>
      </c>
      <c r="C97" s="28" t="s">
        <v>208</v>
      </c>
      <c r="D97" s="117">
        <v>18</v>
      </c>
      <c r="E97" s="122" t="s">
        <v>34</v>
      </c>
      <c r="F97" s="120" t="s">
        <v>57</v>
      </c>
      <c r="G97" s="29">
        <v>45769</v>
      </c>
      <c r="H97" s="28" t="s">
        <v>519</v>
      </c>
      <c r="I97" s="114" t="s">
        <v>12400</v>
      </c>
      <c r="J97" s="114" t="s">
        <v>12401</v>
      </c>
    </row>
    <row r="98" spans="1:10" ht="20" customHeight="1" thickBot="1">
      <c r="A98" s="26" t="s">
        <v>522</v>
      </c>
      <c r="B98" s="26" t="s">
        <v>522</v>
      </c>
      <c r="C98" s="26" t="s">
        <v>523</v>
      </c>
      <c r="D98" s="116">
        <v>11</v>
      </c>
      <c r="E98" s="122" t="s">
        <v>34</v>
      </c>
      <c r="F98" s="119" t="s">
        <v>57</v>
      </c>
      <c r="G98" s="27">
        <v>44950</v>
      </c>
      <c r="H98" s="26" t="s">
        <v>524</v>
      </c>
      <c r="I98" s="113" t="s">
        <v>12400</v>
      </c>
      <c r="J98" s="113" t="s">
        <v>12401</v>
      </c>
    </row>
    <row r="99" spans="1:10" ht="20" customHeight="1" thickBot="1">
      <c r="A99" s="28" t="s">
        <v>527</v>
      </c>
      <c r="B99" s="28" t="s">
        <v>527</v>
      </c>
      <c r="C99" s="28" t="s">
        <v>528</v>
      </c>
      <c r="D99" s="117">
        <v>69</v>
      </c>
      <c r="E99" s="122" t="s">
        <v>33</v>
      </c>
      <c r="F99" s="120" t="s">
        <v>63</v>
      </c>
      <c r="G99" s="29">
        <v>45802</v>
      </c>
      <c r="H99" s="28" t="s">
        <v>529</v>
      </c>
      <c r="I99" s="114" t="s">
        <v>12400</v>
      </c>
      <c r="J99" s="114" t="s">
        <v>12401</v>
      </c>
    </row>
    <row r="100" spans="1:10" ht="20" customHeight="1" thickBot="1">
      <c r="A100" s="26" t="s">
        <v>532</v>
      </c>
      <c r="B100" s="26" t="s">
        <v>532</v>
      </c>
      <c r="C100" s="26" t="s">
        <v>533</v>
      </c>
      <c r="D100" s="116">
        <v>1</v>
      </c>
      <c r="E100" s="122" t="s">
        <v>31</v>
      </c>
      <c r="F100" s="119" t="s">
        <v>63</v>
      </c>
      <c r="G100" s="27">
        <v>42345</v>
      </c>
      <c r="H100" s="26" t="s">
        <v>534</v>
      </c>
      <c r="I100" s="113" t="s">
        <v>12400</v>
      </c>
      <c r="J100" s="113" t="s">
        <v>12401</v>
      </c>
    </row>
    <row r="101" spans="1:10" ht="20" customHeight="1" thickBot="1">
      <c r="A101" s="28" t="s">
        <v>537</v>
      </c>
      <c r="B101" s="28" t="s">
        <v>537</v>
      </c>
      <c r="C101" s="28" t="s">
        <v>538</v>
      </c>
      <c r="D101" s="117">
        <v>120</v>
      </c>
      <c r="E101" s="122" t="s">
        <v>36</v>
      </c>
      <c r="F101" s="120" t="s">
        <v>63</v>
      </c>
      <c r="G101" s="29">
        <v>42876</v>
      </c>
      <c r="H101" s="28" t="s">
        <v>539</v>
      </c>
      <c r="I101" s="114" t="s">
        <v>12400</v>
      </c>
      <c r="J101" s="114" t="s">
        <v>12401</v>
      </c>
    </row>
    <row r="102" spans="1:10" ht="20" customHeight="1" thickBot="1">
      <c r="A102" s="26" t="s">
        <v>542</v>
      </c>
      <c r="B102" s="26" t="s">
        <v>542</v>
      </c>
      <c r="C102" s="26" t="s">
        <v>302</v>
      </c>
      <c r="D102" s="116">
        <v>0</v>
      </c>
      <c r="E102" s="122" t="s">
        <v>35</v>
      </c>
      <c r="F102" s="119" t="s">
        <v>57</v>
      </c>
      <c r="G102" s="27">
        <v>44609</v>
      </c>
      <c r="H102" s="26" t="s">
        <v>543</v>
      </c>
      <c r="I102" s="113" t="s">
        <v>12400</v>
      </c>
      <c r="J102" s="113" t="s">
        <v>12401</v>
      </c>
    </row>
    <row r="103" spans="1:10" ht="20" customHeight="1" thickBot="1">
      <c r="A103" s="28" t="s">
        <v>546</v>
      </c>
      <c r="B103" s="28" t="s">
        <v>546</v>
      </c>
      <c r="C103" s="28" t="s">
        <v>547</v>
      </c>
      <c r="D103" s="117">
        <v>4</v>
      </c>
      <c r="E103" s="122" t="s">
        <v>31</v>
      </c>
      <c r="F103" s="120" t="s">
        <v>63</v>
      </c>
      <c r="G103" s="29">
        <v>43292</v>
      </c>
      <c r="H103" s="28" t="s">
        <v>548</v>
      </c>
      <c r="I103" s="114" t="s">
        <v>12400</v>
      </c>
      <c r="J103" s="114" t="s">
        <v>12401</v>
      </c>
    </row>
    <row r="104" spans="1:10" ht="20" customHeight="1" thickBot="1">
      <c r="A104" s="26" t="s">
        <v>551</v>
      </c>
      <c r="B104" s="26" t="s">
        <v>551</v>
      </c>
      <c r="C104" s="26" t="s">
        <v>552</v>
      </c>
      <c r="D104" s="116">
        <v>1</v>
      </c>
      <c r="E104" s="122" t="s">
        <v>31</v>
      </c>
      <c r="F104" s="119" t="s">
        <v>63</v>
      </c>
      <c r="G104" s="27">
        <v>45732</v>
      </c>
      <c r="H104" s="26" t="s">
        <v>553</v>
      </c>
      <c r="I104" s="113" t="s">
        <v>12400</v>
      </c>
      <c r="J104" s="113" t="s">
        <v>12401</v>
      </c>
    </row>
    <row r="105" spans="1:10" ht="20" customHeight="1" thickBot="1">
      <c r="A105" s="28" t="s">
        <v>556</v>
      </c>
      <c r="B105" s="28" t="s">
        <v>556</v>
      </c>
      <c r="C105" s="28" t="s">
        <v>552</v>
      </c>
      <c r="D105" s="117">
        <v>16</v>
      </c>
      <c r="E105" s="122" t="s">
        <v>29</v>
      </c>
      <c r="F105" s="120" t="s">
        <v>63</v>
      </c>
      <c r="G105" s="29">
        <v>42306</v>
      </c>
      <c r="H105" s="28" t="s">
        <v>557</v>
      </c>
      <c r="I105" s="114" t="s">
        <v>12400</v>
      </c>
      <c r="J105" s="114" t="s">
        <v>12401</v>
      </c>
    </row>
    <row r="106" spans="1:10" ht="20" customHeight="1" thickBot="1">
      <c r="A106" s="26" t="s">
        <v>560</v>
      </c>
      <c r="B106" s="26" t="s">
        <v>560</v>
      </c>
      <c r="C106" s="26" t="s">
        <v>561</v>
      </c>
      <c r="D106" s="116">
        <v>14</v>
      </c>
      <c r="E106" s="122" t="s">
        <v>33</v>
      </c>
      <c r="F106" s="119" t="s">
        <v>57</v>
      </c>
      <c r="G106" s="27">
        <v>44950</v>
      </c>
      <c r="H106" s="26" t="s">
        <v>562</v>
      </c>
      <c r="I106" s="113" t="s">
        <v>12400</v>
      </c>
      <c r="J106" s="113" t="s">
        <v>12401</v>
      </c>
    </row>
    <row r="107" spans="1:10" ht="20" customHeight="1" thickBot="1">
      <c r="A107" s="28" t="s">
        <v>565</v>
      </c>
      <c r="B107" s="28" t="s">
        <v>565</v>
      </c>
      <c r="C107" s="28" t="s">
        <v>494</v>
      </c>
      <c r="D107" s="117">
        <v>0</v>
      </c>
      <c r="E107" s="122" t="s">
        <v>36</v>
      </c>
      <c r="F107" s="120" t="s">
        <v>57</v>
      </c>
      <c r="G107" s="29">
        <v>46089</v>
      </c>
      <c r="H107" s="28" t="s">
        <v>566</v>
      </c>
      <c r="I107" s="114" t="s">
        <v>12400</v>
      </c>
      <c r="J107" s="114" t="s">
        <v>12401</v>
      </c>
    </row>
    <row r="108" spans="1:10" ht="20" customHeight="1" thickBot="1">
      <c r="A108" s="26" t="s">
        <v>569</v>
      </c>
      <c r="B108" s="26" t="s">
        <v>569</v>
      </c>
      <c r="C108" s="26" t="s">
        <v>570</v>
      </c>
      <c r="D108" s="116">
        <v>3</v>
      </c>
      <c r="E108" s="122" t="s">
        <v>34</v>
      </c>
      <c r="F108" s="119" t="s">
        <v>571</v>
      </c>
      <c r="G108" s="27">
        <v>43450</v>
      </c>
      <c r="H108" s="26" t="s">
        <v>572</v>
      </c>
      <c r="I108" s="113" t="s">
        <v>12400</v>
      </c>
      <c r="J108" s="113" t="s">
        <v>12401</v>
      </c>
    </row>
    <row r="109" spans="1:10" ht="20" customHeight="1" thickBot="1">
      <c r="A109" s="28" t="s">
        <v>575</v>
      </c>
      <c r="B109" s="28" t="s">
        <v>575</v>
      </c>
      <c r="C109" s="28" t="s">
        <v>576</v>
      </c>
      <c r="D109" s="117">
        <v>10</v>
      </c>
      <c r="E109" s="122" t="s">
        <v>33</v>
      </c>
      <c r="F109" s="120" t="s">
        <v>57</v>
      </c>
      <c r="G109" s="29">
        <v>44854</v>
      </c>
      <c r="H109" s="28" t="s">
        <v>577</v>
      </c>
      <c r="I109" s="114" t="s">
        <v>12400</v>
      </c>
      <c r="J109" s="114" t="s">
        <v>12401</v>
      </c>
    </row>
    <row r="110" spans="1:10" ht="20" customHeight="1" thickBot="1">
      <c r="A110" s="26" t="s">
        <v>580</v>
      </c>
      <c r="B110" s="26" t="s">
        <v>580</v>
      </c>
      <c r="C110" s="26" t="s">
        <v>576</v>
      </c>
      <c r="D110" s="116">
        <v>20</v>
      </c>
      <c r="E110" s="122" t="s">
        <v>34</v>
      </c>
      <c r="F110" s="119" t="s">
        <v>57</v>
      </c>
      <c r="G110" s="27">
        <v>46055</v>
      </c>
      <c r="H110" s="26" t="s">
        <v>581</v>
      </c>
      <c r="I110" s="113" t="s">
        <v>12400</v>
      </c>
      <c r="J110" s="113" t="s">
        <v>12401</v>
      </c>
    </row>
    <row r="111" spans="1:10" ht="20" customHeight="1" thickBot="1">
      <c r="A111" s="28" t="s">
        <v>584</v>
      </c>
      <c r="B111" s="28" t="s">
        <v>584</v>
      </c>
      <c r="C111" s="28" t="s">
        <v>585</v>
      </c>
      <c r="D111" s="117">
        <v>10</v>
      </c>
      <c r="E111" s="122" t="s">
        <v>33</v>
      </c>
      <c r="F111" s="120" t="s">
        <v>57</v>
      </c>
      <c r="G111" s="29">
        <v>44745</v>
      </c>
      <c r="H111" s="28" t="s">
        <v>586</v>
      </c>
      <c r="I111" s="114" t="s">
        <v>12400</v>
      </c>
      <c r="J111" s="114" t="s">
        <v>12401</v>
      </c>
    </row>
    <row r="112" spans="1:10" ht="20" customHeight="1" thickBot="1">
      <c r="A112" s="26" t="s">
        <v>589</v>
      </c>
      <c r="B112" s="26" t="s">
        <v>589</v>
      </c>
      <c r="C112" s="26" t="s">
        <v>590</v>
      </c>
      <c r="D112" s="116">
        <v>15</v>
      </c>
      <c r="E112" s="122" t="s">
        <v>35</v>
      </c>
      <c r="F112" s="119" t="s">
        <v>57</v>
      </c>
      <c r="G112" s="27">
        <v>44846</v>
      </c>
      <c r="H112" s="26" t="s">
        <v>591</v>
      </c>
      <c r="I112" s="113" t="s">
        <v>12400</v>
      </c>
      <c r="J112" s="113" t="s">
        <v>12401</v>
      </c>
    </row>
    <row r="113" spans="1:10" ht="20" customHeight="1" thickBot="1">
      <c r="A113" s="28" t="s">
        <v>594</v>
      </c>
      <c r="B113" s="28" t="s">
        <v>594</v>
      </c>
      <c r="C113" s="28" t="s">
        <v>590</v>
      </c>
      <c r="D113" s="117">
        <v>14</v>
      </c>
      <c r="E113" s="122" t="s">
        <v>35</v>
      </c>
      <c r="F113" s="120" t="s">
        <v>57</v>
      </c>
      <c r="G113" s="29">
        <v>44624</v>
      </c>
      <c r="H113" s="28" t="s">
        <v>595</v>
      </c>
      <c r="I113" s="114" t="s">
        <v>12400</v>
      </c>
      <c r="J113" s="114" t="s">
        <v>12401</v>
      </c>
    </row>
    <row r="114" spans="1:10" ht="20" customHeight="1" thickBot="1">
      <c r="A114" s="26" t="s">
        <v>598</v>
      </c>
      <c r="B114" s="26" t="s">
        <v>598</v>
      </c>
      <c r="C114" s="26" t="s">
        <v>590</v>
      </c>
      <c r="D114" s="116">
        <v>13</v>
      </c>
      <c r="E114" s="122" t="s">
        <v>35</v>
      </c>
      <c r="F114" s="119" t="s">
        <v>57</v>
      </c>
      <c r="G114" s="27">
        <v>44985</v>
      </c>
      <c r="H114" s="26" t="s">
        <v>599</v>
      </c>
      <c r="I114" s="113" t="s">
        <v>12400</v>
      </c>
      <c r="J114" s="113" t="s">
        <v>12401</v>
      </c>
    </row>
    <row r="115" spans="1:10" ht="20" customHeight="1" thickBot="1">
      <c r="A115" s="28" t="s">
        <v>602</v>
      </c>
      <c r="B115" s="28" t="s">
        <v>602</v>
      </c>
      <c r="C115" s="28" t="s">
        <v>603</v>
      </c>
      <c r="D115" s="117">
        <v>73</v>
      </c>
      <c r="E115" s="122" t="s">
        <v>31</v>
      </c>
      <c r="F115" s="120" t="s">
        <v>63</v>
      </c>
      <c r="G115" s="29">
        <v>46092</v>
      </c>
      <c r="H115" s="28" t="s">
        <v>604</v>
      </c>
      <c r="I115" s="114" t="s">
        <v>12400</v>
      </c>
      <c r="J115" s="114" t="s">
        <v>12401</v>
      </c>
    </row>
    <row r="116" spans="1:10" ht="20" customHeight="1" thickBot="1">
      <c r="A116" s="26" t="s">
        <v>607</v>
      </c>
      <c r="B116" s="26" t="s">
        <v>607</v>
      </c>
      <c r="C116" s="26" t="s">
        <v>608</v>
      </c>
      <c r="D116" s="116">
        <v>44</v>
      </c>
      <c r="E116" s="122" t="s">
        <v>33</v>
      </c>
      <c r="F116" s="119" t="s">
        <v>57</v>
      </c>
      <c r="G116" s="27">
        <v>43760</v>
      </c>
      <c r="H116" s="26" t="s">
        <v>609</v>
      </c>
      <c r="I116" s="113" t="s">
        <v>12400</v>
      </c>
      <c r="J116" s="113" t="s">
        <v>12401</v>
      </c>
    </row>
    <row r="117" spans="1:10" ht="20" customHeight="1" thickBot="1">
      <c r="A117" s="28" t="s">
        <v>612</v>
      </c>
      <c r="B117" s="28" t="s">
        <v>612</v>
      </c>
      <c r="C117" s="28" t="s">
        <v>613</v>
      </c>
      <c r="D117" s="117">
        <v>8</v>
      </c>
      <c r="E117" s="122" t="s">
        <v>29</v>
      </c>
      <c r="F117" s="120" t="s">
        <v>63</v>
      </c>
      <c r="G117" s="29">
        <v>41815</v>
      </c>
      <c r="H117" s="28" t="s">
        <v>614</v>
      </c>
      <c r="I117" s="114" t="s">
        <v>12400</v>
      </c>
      <c r="J117" s="114" t="s">
        <v>12401</v>
      </c>
    </row>
    <row r="118" spans="1:10" ht="20" customHeight="1" thickBot="1">
      <c r="A118" s="26" t="s">
        <v>617</v>
      </c>
      <c r="B118" s="26" t="s">
        <v>617</v>
      </c>
      <c r="C118" s="26" t="s">
        <v>613</v>
      </c>
      <c r="D118" s="116">
        <v>7</v>
      </c>
      <c r="E118" s="122" t="s">
        <v>29</v>
      </c>
      <c r="F118" s="119" t="s">
        <v>63</v>
      </c>
      <c r="G118" s="27">
        <v>41513</v>
      </c>
      <c r="H118" s="26" t="s">
        <v>618</v>
      </c>
      <c r="I118" s="113" t="s">
        <v>12400</v>
      </c>
      <c r="J118" s="113" t="s">
        <v>12401</v>
      </c>
    </row>
    <row r="119" spans="1:10" ht="20" customHeight="1" thickBot="1">
      <c r="A119" s="28" t="s">
        <v>621</v>
      </c>
      <c r="B119" s="28" t="s">
        <v>621</v>
      </c>
      <c r="C119" s="28" t="s">
        <v>622</v>
      </c>
      <c r="D119" s="117">
        <v>3</v>
      </c>
      <c r="E119" s="122" t="s">
        <v>27</v>
      </c>
      <c r="F119" s="120" t="s">
        <v>63</v>
      </c>
      <c r="G119" s="29">
        <v>42044</v>
      </c>
      <c r="H119" s="28" t="s">
        <v>623</v>
      </c>
      <c r="I119" s="114" t="s">
        <v>12400</v>
      </c>
      <c r="J119" s="114" t="s">
        <v>12401</v>
      </c>
    </row>
    <row r="120" spans="1:10" ht="20" customHeight="1" thickBot="1">
      <c r="A120" s="26" t="s">
        <v>626</v>
      </c>
      <c r="B120" s="26" t="s">
        <v>626</v>
      </c>
      <c r="C120" s="26" t="s">
        <v>627</v>
      </c>
      <c r="D120" s="116">
        <v>3</v>
      </c>
      <c r="E120" s="122" t="s">
        <v>33</v>
      </c>
      <c r="F120" s="119" t="s">
        <v>115</v>
      </c>
      <c r="G120" s="27">
        <v>44774</v>
      </c>
      <c r="H120" s="26" t="s">
        <v>628</v>
      </c>
      <c r="I120" s="113" t="s">
        <v>12400</v>
      </c>
      <c r="J120" s="113" t="s">
        <v>12401</v>
      </c>
    </row>
    <row r="121" spans="1:10" ht="20" customHeight="1" thickBot="1">
      <c r="A121" s="28" t="s">
        <v>631</v>
      </c>
      <c r="B121" s="28" t="s">
        <v>631</v>
      </c>
      <c r="C121" s="28" t="s">
        <v>627</v>
      </c>
      <c r="D121" s="117">
        <v>10</v>
      </c>
      <c r="E121" s="122" t="s">
        <v>33</v>
      </c>
      <c r="F121" s="120" t="s">
        <v>63</v>
      </c>
      <c r="G121" s="29">
        <v>46167</v>
      </c>
      <c r="H121" s="28" t="s">
        <v>632</v>
      </c>
      <c r="I121" s="114" t="s">
        <v>12400</v>
      </c>
      <c r="J121" s="114" t="s">
        <v>12401</v>
      </c>
    </row>
    <row r="122" spans="1:10" ht="20" customHeight="1" thickBot="1">
      <c r="A122" s="26" t="s">
        <v>635</v>
      </c>
      <c r="B122" s="26" t="s">
        <v>635</v>
      </c>
      <c r="C122" s="26" t="s">
        <v>636</v>
      </c>
      <c r="D122" s="116">
        <v>20</v>
      </c>
      <c r="E122" s="122" t="s">
        <v>29</v>
      </c>
      <c r="F122" s="119" t="s">
        <v>63</v>
      </c>
      <c r="G122" s="27">
        <v>41570</v>
      </c>
      <c r="H122" s="26" t="s">
        <v>637</v>
      </c>
      <c r="I122" s="113" t="s">
        <v>12400</v>
      </c>
      <c r="J122" s="113" t="s">
        <v>12401</v>
      </c>
    </row>
    <row r="123" spans="1:10" ht="20" customHeight="1" thickBot="1">
      <c r="A123" s="28" t="s">
        <v>640</v>
      </c>
      <c r="B123" s="28" t="s">
        <v>640</v>
      </c>
      <c r="C123" s="28" t="s">
        <v>641</v>
      </c>
      <c r="D123" s="117">
        <v>1</v>
      </c>
      <c r="E123" s="122" t="s">
        <v>36</v>
      </c>
      <c r="F123" s="120" t="s">
        <v>57</v>
      </c>
      <c r="G123" s="29">
        <v>44874</v>
      </c>
      <c r="H123" s="28" t="s">
        <v>642</v>
      </c>
      <c r="I123" s="114" t="s">
        <v>12400</v>
      </c>
      <c r="J123" s="114" t="s">
        <v>12401</v>
      </c>
    </row>
    <row r="124" spans="1:10" ht="20" customHeight="1" thickBot="1">
      <c r="A124" s="26" t="s">
        <v>645</v>
      </c>
      <c r="B124" s="26" t="s">
        <v>645</v>
      </c>
      <c r="C124" s="26" t="s">
        <v>646</v>
      </c>
      <c r="D124" s="116">
        <v>22</v>
      </c>
      <c r="E124" s="122" t="s">
        <v>34</v>
      </c>
      <c r="F124" s="119" t="s">
        <v>57</v>
      </c>
      <c r="G124" s="27">
        <v>45151</v>
      </c>
      <c r="H124" s="26" t="s">
        <v>647</v>
      </c>
      <c r="I124" s="113" t="s">
        <v>12400</v>
      </c>
      <c r="J124" s="113" t="s">
        <v>12401</v>
      </c>
    </row>
    <row r="125" spans="1:10" ht="20" customHeight="1" thickBot="1">
      <c r="A125" s="28" t="s">
        <v>650</v>
      </c>
      <c r="B125" s="28" t="s">
        <v>650</v>
      </c>
      <c r="C125" s="28" t="s">
        <v>651</v>
      </c>
      <c r="D125" s="117">
        <v>6</v>
      </c>
      <c r="E125" s="122" t="s">
        <v>31</v>
      </c>
      <c r="F125" s="120" t="s">
        <v>63</v>
      </c>
      <c r="G125" s="29">
        <v>42258</v>
      </c>
      <c r="H125" s="28" t="s">
        <v>652</v>
      </c>
      <c r="I125" s="114" t="s">
        <v>12400</v>
      </c>
      <c r="J125" s="114" t="s">
        <v>12401</v>
      </c>
    </row>
    <row r="126" spans="1:10" ht="20" customHeight="1" thickBot="1">
      <c r="A126" s="26" t="s">
        <v>655</v>
      </c>
      <c r="B126" s="26" t="s">
        <v>655</v>
      </c>
      <c r="C126" s="26" t="s">
        <v>656</v>
      </c>
      <c r="D126" s="116">
        <v>29</v>
      </c>
      <c r="E126" s="122" t="s">
        <v>34</v>
      </c>
      <c r="F126" s="119" t="s">
        <v>57</v>
      </c>
      <c r="G126" s="27">
        <v>44342</v>
      </c>
      <c r="H126" s="26" t="s">
        <v>657</v>
      </c>
      <c r="I126" s="113" t="s">
        <v>12400</v>
      </c>
      <c r="J126" s="113" t="s">
        <v>12401</v>
      </c>
    </row>
    <row r="127" spans="1:10" ht="20" customHeight="1" thickBot="1">
      <c r="A127" s="28" t="s">
        <v>660</v>
      </c>
      <c r="B127" s="28" t="s">
        <v>660</v>
      </c>
      <c r="C127" s="28" t="s">
        <v>656</v>
      </c>
      <c r="D127" s="117">
        <v>28</v>
      </c>
      <c r="E127" s="122" t="s">
        <v>33</v>
      </c>
      <c r="F127" s="120" t="s">
        <v>57</v>
      </c>
      <c r="G127" s="29">
        <v>43442</v>
      </c>
      <c r="H127" s="28" t="s">
        <v>661</v>
      </c>
      <c r="I127" s="114" t="s">
        <v>12400</v>
      </c>
      <c r="J127" s="114" t="s">
        <v>12401</v>
      </c>
    </row>
    <row r="128" spans="1:10" ht="20" customHeight="1" thickBot="1">
      <c r="A128" s="26" t="s">
        <v>664</v>
      </c>
      <c r="B128" s="26" t="s">
        <v>664</v>
      </c>
      <c r="C128" s="26" t="s">
        <v>665</v>
      </c>
      <c r="D128" s="116">
        <v>10</v>
      </c>
      <c r="E128" s="122" t="s">
        <v>34</v>
      </c>
      <c r="F128" s="119" t="s">
        <v>57</v>
      </c>
      <c r="G128" s="27">
        <v>44958</v>
      </c>
      <c r="H128" s="26" t="s">
        <v>666</v>
      </c>
      <c r="I128" s="113" t="s">
        <v>12400</v>
      </c>
      <c r="J128" s="113" t="s">
        <v>12401</v>
      </c>
    </row>
    <row r="129" spans="1:10" ht="20" customHeight="1" thickBot="1">
      <c r="A129" s="28" t="s">
        <v>669</v>
      </c>
      <c r="B129" s="28" t="s">
        <v>669</v>
      </c>
      <c r="C129" s="28" t="s">
        <v>670</v>
      </c>
      <c r="D129" s="117">
        <v>32</v>
      </c>
      <c r="E129" s="122" t="s">
        <v>36</v>
      </c>
      <c r="F129" s="120" t="s">
        <v>57</v>
      </c>
      <c r="G129" s="29">
        <v>45680</v>
      </c>
      <c r="H129" s="28" t="s">
        <v>671</v>
      </c>
      <c r="I129" s="114" t="s">
        <v>12400</v>
      </c>
      <c r="J129" s="114" t="s">
        <v>12401</v>
      </c>
    </row>
    <row r="130" spans="1:10" ht="20" customHeight="1" thickBot="1">
      <c r="A130" s="26" t="s">
        <v>674</v>
      </c>
      <c r="B130" s="26" t="s">
        <v>674</v>
      </c>
      <c r="C130" s="26" t="s">
        <v>675</v>
      </c>
      <c r="D130" s="116">
        <v>38</v>
      </c>
      <c r="E130" s="122" t="s">
        <v>29</v>
      </c>
      <c r="F130" s="119" t="s">
        <v>63</v>
      </c>
      <c r="G130" s="27">
        <v>42561</v>
      </c>
      <c r="H130" s="26" t="s">
        <v>676</v>
      </c>
      <c r="I130" s="113" t="s">
        <v>12400</v>
      </c>
      <c r="J130" s="113" t="s">
        <v>12401</v>
      </c>
    </row>
    <row r="131" spans="1:10" ht="20" customHeight="1" thickBot="1">
      <c r="A131" s="28" t="s">
        <v>679</v>
      </c>
      <c r="B131" s="28" t="s">
        <v>679</v>
      </c>
      <c r="C131" s="28" t="s">
        <v>680</v>
      </c>
      <c r="D131" s="117">
        <v>4</v>
      </c>
      <c r="E131" s="122" t="s">
        <v>29</v>
      </c>
      <c r="F131" s="120" t="s">
        <v>63</v>
      </c>
      <c r="G131" s="29">
        <v>42046</v>
      </c>
      <c r="H131" s="28" t="s">
        <v>681</v>
      </c>
      <c r="I131" s="114" t="s">
        <v>12400</v>
      </c>
      <c r="J131" s="114" t="s">
        <v>12401</v>
      </c>
    </row>
    <row r="132" spans="1:10" ht="20" customHeight="1" thickBot="1">
      <c r="A132" s="26" t="s">
        <v>684</v>
      </c>
      <c r="B132" s="26" t="s">
        <v>684</v>
      </c>
      <c r="C132" s="26" t="s">
        <v>685</v>
      </c>
      <c r="D132" s="116">
        <v>10</v>
      </c>
      <c r="E132" s="122" t="s">
        <v>31</v>
      </c>
      <c r="F132" s="119" t="s">
        <v>63</v>
      </c>
      <c r="G132" s="27">
        <v>45706</v>
      </c>
      <c r="H132" s="26" t="s">
        <v>686</v>
      </c>
      <c r="I132" s="113" t="s">
        <v>12400</v>
      </c>
      <c r="J132" s="113" t="s">
        <v>12401</v>
      </c>
    </row>
    <row r="133" spans="1:10" ht="20" customHeight="1" thickBot="1">
      <c r="A133" s="28" t="s">
        <v>689</v>
      </c>
      <c r="B133" s="28" t="s">
        <v>689</v>
      </c>
      <c r="C133" s="28" t="s">
        <v>452</v>
      </c>
      <c r="D133" s="117">
        <v>0</v>
      </c>
      <c r="E133" s="122" t="s">
        <v>31</v>
      </c>
      <c r="F133" s="120" t="s">
        <v>57</v>
      </c>
      <c r="G133" s="29">
        <v>44475</v>
      </c>
      <c r="H133" s="28" t="s">
        <v>690</v>
      </c>
      <c r="I133" s="114" t="s">
        <v>12400</v>
      </c>
      <c r="J133" s="114" t="s">
        <v>12401</v>
      </c>
    </row>
    <row r="134" spans="1:10" ht="20" customHeight="1" thickBot="1">
      <c r="A134" s="26" t="s">
        <v>693</v>
      </c>
      <c r="B134" s="26" t="s">
        <v>693</v>
      </c>
      <c r="C134" s="26" t="s">
        <v>694</v>
      </c>
      <c r="D134" s="116">
        <v>9</v>
      </c>
      <c r="E134" s="122" t="s">
        <v>29</v>
      </c>
      <c r="F134" s="119" t="s">
        <v>63</v>
      </c>
      <c r="G134" s="27">
        <v>42716</v>
      </c>
      <c r="H134" s="26" t="s">
        <v>695</v>
      </c>
      <c r="I134" s="113" t="s">
        <v>12400</v>
      </c>
      <c r="J134" s="113" t="s">
        <v>12401</v>
      </c>
    </row>
    <row r="135" spans="1:10" ht="20" customHeight="1" thickBot="1">
      <c r="A135" s="28" t="s">
        <v>698</v>
      </c>
      <c r="B135" s="28" t="s">
        <v>698</v>
      </c>
      <c r="C135" s="28" t="s">
        <v>699</v>
      </c>
      <c r="D135" s="117">
        <v>1</v>
      </c>
      <c r="E135" s="122" t="s">
        <v>35</v>
      </c>
      <c r="F135" s="120" t="s">
        <v>57</v>
      </c>
      <c r="G135" s="29">
        <v>45091</v>
      </c>
      <c r="H135" s="28" t="s">
        <v>700</v>
      </c>
      <c r="I135" s="114" t="s">
        <v>12400</v>
      </c>
      <c r="J135" s="114" t="s">
        <v>12401</v>
      </c>
    </row>
    <row r="136" spans="1:10" ht="20" customHeight="1" thickBot="1">
      <c r="A136" s="26" t="s">
        <v>703</v>
      </c>
      <c r="B136" s="26" t="s">
        <v>703</v>
      </c>
      <c r="C136" s="26" t="s">
        <v>704</v>
      </c>
      <c r="D136" s="116">
        <v>0</v>
      </c>
      <c r="E136" s="122" t="s">
        <v>27</v>
      </c>
      <c r="F136" s="119" t="s">
        <v>63</v>
      </c>
      <c r="G136" s="27">
        <v>44859</v>
      </c>
      <c r="H136" s="26" t="s">
        <v>705</v>
      </c>
      <c r="I136" s="113" t="s">
        <v>12400</v>
      </c>
      <c r="J136" s="113" t="s">
        <v>12401</v>
      </c>
    </row>
    <row r="137" spans="1:10" ht="20" customHeight="1" thickBot="1">
      <c r="A137" s="28" t="s">
        <v>708</v>
      </c>
      <c r="B137" s="28" t="s">
        <v>708</v>
      </c>
      <c r="C137" s="28" t="s">
        <v>704</v>
      </c>
      <c r="D137" s="117">
        <v>5</v>
      </c>
      <c r="E137" s="122" t="s">
        <v>29</v>
      </c>
      <c r="F137" s="120" t="s">
        <v>63</v>
      </c>
      <c r="G137" s="29">
        <v>44407</v>
      </c>
      <c r="H137" s="28" t="s">
        <v>709</v>
      </c>
      <c r="I137" s="114" t="s">
        <v>12400</v>
      </c>
      <c r="J137" s="114" t="s">
        <v>12401</v>
      </c>
    </row>
    <row r="138" spans="1:10" ht="20" customHeight="1" thickBot="1">
      <c r="A138" s="26" t="s">
        <v>712</v>
      </c>
      <c r="B138" s="26" t="s">
        <v>712</v>
      </c>
      <c r="C138" s="26" t="s">
        <v>713</v>
      </c>
      <c r="D138" s="116">
        <v>10</v>
      </c>
      <c r="E138" s="122" t="s">
        <v>33</v>
      </c>
      <c r="F138" s="119" t="s">
        <v>57</v>
      </c>
      <c r="G138" s="27">
        <v>43908</v>
      </c>
      <c r="H138" s="26" t="s">
        <v>714</v>
      </c>
      <c r="I138" s="113" t="s">
        <v>12400</v>
      </c>
      <c r="J138" s="113" t="s">
        <v>12401</v>
      </c>
    </row>
    <row r="139" spans="1:10" ht="20" customHeight="1" thickBot="1">
      <c r="A139" s="28" t="s">
        <v>717</v>
      </c>
      <c r="B139" s="28" t="s">
        <v>717</v>
      </c>
      <c r="C139" s="28" t="s">
        <v>718</v>
      </c>
      <c r="D139" s="117">
        <v>8</v>
      </c>
      <c r="E139" s="122" t="s">
        <v>33</v>
      </c>
      <c r="F139" s="120" t="s">
        <v>57</v>
      </c>
      <c r="G139" s="29">
        <v>45634</v>
      </c>
      <c r="H139" s="28" t="s">
        <v>719</v>
      </c>
      <c r="I139" s="114" t="s">
        <v>12400</v>
      </c>
      <c r="J139" s="114" t="s">
        <v>12401</v>
      </c>
    </row>
    <row r="140" spans="1:10" ht="20" customHeight="1" thickBot="1">
      <c r="A140" s="26" t="s">
        <v>722</v>
      </c>
      <c r="B140" s="26" t="s">
        <v>722</v>
      </c>
      <c r="C140" s="26" t="s">
        <v>723</v>
      </c>
      <c r="D140" s="116">
        <v>11</v>
      </c>
      <c r="E140" s="122" t="s">
        <v>33</v>
      </c>
      <c r="F140" s="119" t="s">
        <v>57</v>
      </c>
      <c r="G140" s="27">
        <v>44736</v>
      </c>
      <c r="H140" s="26" t="s">
        <v>724</v>
      </c>
      <c r="I140" s="113" t="s">
        <v>12400</v>
      </c>
      <c r="J140" s="113" t="s">
        <v>12401</v>
      </c>
    </row>
    <row r="141" spans="1:10" ht="20" customHeight="1" thickBot="1">
      <c r="A141" s="28" t="s">
        <v>727</v>
      </c>
      <c r="B141" s="28" t="s">
        <v>727</v>
      </c>
      <c r="C141" s="28" t="s">
        <v>728</v>
      </c>
      <c r="D141" s="117">
        <v>7</v>
      </c>
      <c r="E141" s="122" t="s">
        <v>29</v>
      </c>
      <c r="F141" s="120" t="s">
        <v>63</v>
      </c>
      <c r="G141" s="29">
        <v>44297</v>
      </c>
      <c r="H141" s="28" t="s">
        <v>729</v>
      </c>
      <c r="I141" s="114" t="s">
        <v>12400</v>
      </c>
      <c r="J141" s="114" t="s">
        <v>12401</v>
      </c>
    </row>
    <row r="142" spans="1:10" ht="20" customHeight="1" thickBot="1">
      <c r="A142" s="26" t="s">
        <v>732</v>
      </c>
      <c r="B142" s="26" t="s">
        <v>732</v>
      </c>
      <c r="C142" s="26" t="s">
        <v>733</v>
      </c>
      <c r="D142" s="116">
        <v>117</v>
      </c>
      <c r="E142" s="122" t="s">
        <v>33</v>
      </c>
      <c r="F142" s="119" t="s">
        <v>63</v>
      </c>
      <c r="G142" s="27">
        <v>41639</v>
      </c>
      <c r="H142" s="26" t="s">
        <v>734</v>
      </c>
      <c r="I142" s="113" t="s">
        <v>12400</v>
      </c>
      <c r="J142" s="113" t="s">
        <v>12401</v>
      </c>
    </row>
    <row r="143" spans="1:10" ht="20" customHeight="1" thickBot="1">
      <c r="A143" s="28" t="s">
        <v>737</v>
      </c>
      <c r="B143" s="28" t="s">
        <v>737</v>
      </c>
      <c r="C143" s="28" t="s">
        <v>738</v>
      </c>
      <c r="D143" s="117">
        <v>14</v>
      </c>
      <c r="E143" s="122" t="s">
        <v>29</v>
      </c>
      <c r="F143" s="120" t="s">
        <v>63</v>
      </c>
      <c r="G143" s="29">
        <v>42303</v>
      </c>
      <c r="H143" s="28" t="s">
        <v>739</v>
      </c>
      <c r="I143" s="114" t="s">
        <v>12400</v>
      </c>
      <c r="J143" s="114" t="s">
        <v>12401</v>
      </c>
    </row>
    <row r="144" spans="1:10" ht="20" customHeight="1" thickBot="1">
      <c r="A144" s="26" t="s">
        <v>742</v>
      </c>
      <c r="B144" s="26" t="s">
        <v>742</v>
      </c>
      <c r="C144" s="26" t="s">
        <v>743</v>
      </c>
      <c r="D144" s="116">
        <v>7</v>
      </c>
      <c r="E144" s="122" t="s">
        <v>33</v>
      </c>
      <c r="F144" s="119" t="s">
        <v>57</v>
      </c>
      <c r="G144" s="27">
        <v>44405</v>
      </c>
      <c r="H144" s="26" t="s">
        <v>744</v>
      </c>
      <c r="I144" s="113" t="s">
        <v>12400</v>
      </c>
      <c r="J144" s="113" t="s">
        <v>12401</v>
      </c>
    </row>
    <row r="145" spans="1:10" ht="20" customHeight="1" thickBot="1">
      <c r="A145" s="28" t="s">
        <v>747</v>
      </c>
      <c r="B145" s="28" t="s">
        <v>747</v>
      </c>
      <c r="C145" s="28" t="s">
        <v>748</v>
      </c>
      <c r="D145" s="117">
        <v>19</v>
      </c>
      <c r="E145" s="122" t="s">
        <v>31</v>
      </c>
      <c r="F145" s="120" t="s">
        <v>63</v>
      </c>
      <c r="G145" s="29">
        <v>42284</v>
      </c>
      <c r="H145" s="28" t="s">
        <v>749</v>
      </c>
      <c r="I145" s="114" t="s">
        <v>12400</v>
      </c>
      <c r="J145" s="114" t="s">
        <v>12401</v>
      </c>
    </row>
    <row r="146" spans="1:10" ht="20" customHeight="1" thickBot="1">
      <c r="A146" s="26" t="s">
        <v>752</v>
      </c>
      <c r="B146" s="26" t="s">
        <v>752</v>
      </c>
      <c r="C146" s="26" t="s">
        <v>753</v>
      </c>
      <c r="D146" s="116">
        <v>8</v>
      </c>
      <c r="E146" s="122" t="s">
        <v>31</v>
      </c>
      <c r="F146" s="119" t="s">
        <v>63</v>
      </c>
      <c r="G146" s="27">
        <v>42207</v>
      </c>
      <c r="H146" s="26" t="s">
        <v>754</v>
      </c>
      <c r="I146" s="113" t="s">
        <v>12400</v>
      </c>
      <c r="J146" s="113" t="s">
        <v>12401</v>
      </c>
    </row>
    <row r="147" spans="1:10" ht="20" customHeight="1" thickBot="1">
      <c r="A147" s="28" t="s">
        <v>757</v>
      </c>
      <c r="B147" s="28" t="s">
        <v>757</v>
      </c>
      <c r="C147" s="28" t="s">
        <v>278</v>
      </c>
      <c r="D147" s="117">
        <v>4</v>
      </c>
      <c r="E147" s="122" t="s">
        <v>33</v>
      </c>
      <c r="F147" s="120" t="s">
        <v>57</v>
      </c>
      <c r="G147" s="29">
        <v>44995</v>
      </c>
      <c r="H147" s="28" t="s">
        <v>758</v>
      </c>
      <c r="I147" s="114" t="s">
        <v>12400</v>
      </c>
      <c r="J147" s="114" t="s">
        <v>12401</v>
      </c>
    </row>
    <row r="148" spans="1:10" ht="20" customHeight="1" thickBot="1">
      <c r="A148" s="26" t="s">
        <v>761</v>
      </c>
      <c r="B148" s="26" t="s">
        <v>761</v>
      </c>
      <c r="C148" s="26" t="s">
        <v>762</v>
      </c>
      <c r="D148" s="116">
        <v>11</v>
      </c>
      <c r="E148" s="122" t="s">
        <v>27</v>
      </c>
      <c r="F148" s="119" t="s">
        <v>63</v>
      </c>
      <c r="G148" s="27">
        <v>42295</v>
      </c>
      <c r="H148" s="26" t="s">
        <v>763</v>
      </c>
      <c r="I148" s="113" t="s">
        <v>12400</v>
      </c>
      <c r="J148" s="113" t="s">
        <v>12401</v>
      </c>
    </row>
    <row r="149" spans="1:10" ht="20" customHeight="1" thickBot="1">
      <c r="A149" s="28" t="s">
        <v>766</v>
      </c>
      <c r="B149" s="28" t="s">
        <v>766</v>
      </c>
      <c r="C149" s="28" t="s">
        <v>767</v>
      </c>
      <c r="D149" s="117">
        <v>5</v>
      </c>
      <c r="E149" s="122" t="s">
        <v>27</v>
      </c>
      <c r="F149" s="120" t="s">
        <v>63</v>
      </c>
      <c r="G149" s="29">
        <v>42317</v>
      </c>
      <c r="H149" s="28" t="s">
        <v>768</v>
      </c>
      <c r="I149" s="114" t="s">
        <v>12400</v>
      </c>
      <c r="J149" s="114" t="s">
        <v>12401</v>
      </c>
    </row>
    <row r="150" spans="1:10" ht="20" customHeight="1" thickBot="1">
      <c r="A150" s="26" t="s">
        <v>771</v>
      </c>
      <c r="B150" s="26" t="s">
        <v>771</v>
      </c>
      <c r="C150" s="26" t="s">
        <v>772</v>
      </c>
      <c r="D150" s="116">
        <v>9</v>
      </c>
      <c r="E150" s="122" t="s">
        <v>31</v>
      </c>
      <c r="F150" s="119" t="s">
        <v>63</v>
      </c>
      <c r="G150" s="27">
        <v>42065</v>
      </c>
      <c r="H150" s="26" t="s">
        <v>773</v>
      </c>
      <c r="I150" s="113" t="s">
        <v>12400</v>
      </c>
      <c r="J150" s="113" t="s">
        <v>12401</v>
      </c>
    </row>
    <row r="151" spans="1:10" ht="20" customHeight="1" thickBot="1">
      <c r="A151" s="28" t="s">
        <v>776</v>
      </c>
      <c r="B151" s="28" t="s">
        <v>776</v>
      </c>
      <c r="C151" s="28" t="s">
        <v>777</v>
      </c>
      <c r="D151" s="117">
        <v>71</v>
      </c>
      <c r="E151" s="122" t="s">
        <v>29</v>
      </c>
      <c r="F151" s="120" t="s">
        <v>63</v>
      </c>
      <c r="G151" s="29">
        <v>42892</v>
      </c>
      <c r="H151" s="28" t="s">
        <v>778</v>
      </c>
      <c r="I151" s="114" t="s">
        <v>12400</v>
      </c>
      <c r="J151" s="114" t="s">
        <v>12401</v>
      </c>
    </row>
    <row r="152" spans="1:10" ht="20" customHeight="1" thickBot="1">
      <c r="A152" s="26" t="s">
        <v>781</v>
      </c>
      <c r="B152" s="26" t="s">
        <v>781</v>
      </c>
      <c r="C152" s="26" t="s">
        <v>777</v>
      </c>
      <c r="D152" s="116">
        <v>34</v>
      </c>
      <c r="E152" s="122" t="s">
        <v>29</v>
      </c>
      <c r="F152" s="119" t="s">
        <v>63</v>
      </c>
      <c r="G152" s="27">
        <v>42987</v>
      </c>
      <c r="H152" s="26" t="s">
        <v>782</v>
      </c>
      <c r="I152" s="113" t="s">
        <v>12400</v>
      </c>
      <c r="J152" s="113" t="s">
        <v>12401</v>
      </c>
    </row>
    <row r="153" spans="1:10" ht="20" customHeight="1" thickBot="1">
      <c r="A153" s="28" t="s">
        <v>785</v>
      </c>
      <c r="B153" s="28" t="s">
        <v>785</v>
      </c>
      <c r="C153" s="28" t="s">
        <v>547</v>
      </c>
      <c r="D153" s="117">
        <v>54</v>
      </c>
      <c r="E153" s="122" t="s">
        <v>29</v>
      </c>
      <c r="F153" s="120" t="s">
        <v>63</v>
      </c>
      <c r="G153" s="29">
        <v>42764</v>
      </c>
      <c r="H153" s="28" t="s">
        <v>786</v>
      </c>
      <c r="I153" s="114" t="s">
        <v>12400</v>
      </c>
      <c r="J153" s="114" t="s">
        <v>12401</v>
      </c>
    </row>
    <row r="154" spans="1:10" ht="20" customHeight="1" thickBot="1">
      <c r="A154" s="26" t="s">
        <v>789</v>
      </c>
      <c r="B154" s="26" t="s">
        <v>789</v>
      </c>
      <c r="C154" s="26" t="s">
        <v>547</v>
      </c>
      <c r="D154" s="116">
        <v>70</v>
      </c>
      <c r="E154" s="122" t="s">
        <v>29</v>
      </c>
      <c r="F154" s="119" t="s">
        <v>63</v>
      </c>
      <c r="G154" s="27">
        <v>42926</v>
      </c>
      <c r="H154" s="26" t="s">
        <v>790</v>
      </c>
      <c r="I154" s="113" t="s">
        <v>12400</v>
      </c>
      <c r="J154" s="113" t="s">
        <v>12401</v>
      </c>
    </row>
    <row r="155" spans="1:10" ht="20" customHeight="1" thickBot="1">
      <c r="A155" s="28" t="s">
        <v>793</v>
      </c>
      <c r="B155" s="28" t="s">
        <v>793</v>
      </c>
      <c r="C155" s="28" t="s">
        <v>794</v>
      </c>
      <c r="D155" s="117">
        <v>8</v>
      </c>
      <c r="E155" s="122" t="s">
        <v>29</v>
      </c>
      <c r="F155" s="120" t="s">
        <v>63</v>
      </c>
      <c r="G155" s="29">
        <v>42211</v>
      </c>
      <c r="H155" s="28" t="s">
        <v>795</v>
      </c>
      <c r="I155" s="114" t="s">
        <v>12400</v>
      </c>
      <c r="J155" s="114" t="s">
        <v>12401</v>
      </c>
    </row>
    <row r="156" spans="1:10" ht="20" customHeight="1" thickBot="1">
      <c r="A156" s="26" t="s">
        <v>798</v>
      </c>
      <c r="B156" s="26" t="s">
        <v>798</v>
      </c>
      <c r="C156" s="26" t="s">
        <v>799</v>
      </c>
      <c r="D156" s="116">
        <v>8</v>
      </c>
      <c r="E156" s="122" t="s">
        <v>31</v>
      </c>
      <c r="F156" s="119" t="s">
        <v>63</v>
      </c>
      <c r="G156" s="27">
        <v>42587</v>
      </c>
      <c r="H156" s="26" t="s">
        <v>800</v>
      </c>
      <c r="I156" s="113" t="s">
        <v>12400</v>
      </c>
      <c r="J156" s="113" t="s">
        <v>12401</v>
      </c>
    </row>
    <row r="157" spans="1:10" ht="20" customHeight="1" thickBot="1">
      <c r="A157" s="28" t="s">
        <v>803</v>
      </c>
      <c r="B157" s="28" t="s">
        <v>803</v>
      </c>
      <c r="C157" s="28" t="s">
        <v>799</v>
      </c>
      <c r="D157" s="117">
        <v>9</v>
      </c>
      <c r="E157" s="122" t="s">
        <v>33</v>
      </c>
      <c r="F157" s="120" t="s">
        <v>63</v>
      </c>
      <c r="G157" s="29">
        <v>44385</v>
      </c>
      <c r="H157" s="28" t="s">
        <v>804</v>
      </c>
      <c r="I157" s="114" t="s">
        <v>12400</v>
      </c>
      <c r="J157" s="114" t="s">
        <v>12401</v>
      </c>
    </row>
    <row r="158" spans="1:10" ht="20" customHeight="1" thickBot="1">
      <c r="A158" s="26" t="s">
        <v>807</v>
      </c>
      <c r="B158" s="26" t="s">
        <v>807</v>
      </c>
      <c r="C158" s="26" t="s">
        <v>504</v>
      </c>
      <c r="D158" s="116">
        <v>27</v>
      </c>
      <c r="E158" s="122" t="s">
        <v>29</v>
      </c>
      <c r="F158" s="119" t="s">
        <v>63</v>
      </c>
      <c r="G158" s="27">
        <v>46137</v>
      </c>
      <c r="H158" s="26" t="s">
        <v>808</v>
      </c>
      <c r="I158" s="113" t="s">
        <v>12400</v>
      </c>
      <c r="J158" s="113" t="s">
        <v>12401</v>
      </c>
    </row>
    <row r="159" spans="1:10" ht="20" customHeight="1" thickBot="1">
      <c r="A159" s="28" t="s">
        <v>811</v>
      </c>
      <c r="B159" s="28" t="s">
        <v>811</v>
      </c>
      <c r="C159" s="28" t="s">
        <v>812</v>
      </c>
      <c r="D159" s="117">
        <v>13</v>
      </c>
      <c r="E159" s="122" t="s">
        <v>31</v>
      </c>
      <c r="F159" s="120" t="s">
        <v>57</v>
      </c>
      <c r="G159" s="29">
        <v>46192</v>
      </c>
      <c r="H159" s="28" t="s">
        <v>813</v>
      </c>
      <c r="I159" s="114" t="s">
        <v>12400</v>
      </c>
      <c r="J159" s="114" t="s">
        <v>12401</v>
      </c>
    </row>
    <row r="160" spans="1:10" ht="20" customHeight="1" thickBot="1">
      <c r="A160" s="26" t="s">
        <v>816</v>
      </c>
      <c r="B160" s="26" t="s">
        <v>816</v>
      </c>
      <c r="C160" s="26" t="s">
        <v>817</v>
      </c>
      <c r="D160" s="116">
        <v>5</v>
      </c>
      <c r="E160" s="122" t="s">
        <v>29</v>
      </c>
      <c r="F160" s="119" t="s">
        <v>63</v>
      </c>
      <c r="G160" s="27">
        <v>42058</v>
      </c>
      <c r="H160" s="26" t="s">
        <v>818</v>
      </c>
      <c r="I160" s="113" t="s">
        <v>12400</v>
      </c>
      <c r="J160" s="113" t="s">
        <v>12401</v>
      </c>
    </row>
    <row r="161" spans="1:10" ht="20" customHeight="1" thickBot="1">
      <c r="A161" s="28" t="s">
        <v>821</v>
      </c>
      <c r="B161" s="28" t="s">
        <v>821</v>
      </c>
      <c r="C161" s="28" t="s">
        <v>822</v>
      </c>
      <c r="D161" s="117">
        <v>45</v>
      </c>
      <c r="E161" s="122" t="s">
        <v>29</v>
      </c>
      <c r="F161" s="120" t="s">
        <v>63</v>
      </c>
      <c r="G161" s="29">
        <v>45279</v>
      </c>
      <c r="H161" s="28" t="s">
        <v>823</v>
      </c>
      <c r="I161" s="114" t="s">
        <v>12400</v>
      </c>
      <c r="J161" s="114" t="s">
        <v>12401</v>
      </c>
    </row>
    <row r="162" spans="1:10" ht="20" customHeight="1" thickBot="1">
      <c r="A162" s="26" t="s">
        <v>826</v>
      </c>
      <c r="B162" s="26" t="s">
        <v>826</v>
      </c>
      <c r="C162" s="26" t="s">
        <v>827</v>
      </c>
      <c r="D162" s="116">
        <v>33</v>
      </c>
      <c r="E162" s="122" t="s">
        <v>29</v>
      </c>
      <c r="F162" s="119" t="s">
        <v>63</v>
      </c>
      <c r="G162" s="27">
        <v>44845</v>
      </c>
      <c r="H162" s="26" t="s">
        <v>828</v>
      </c>
      <c r="I162" s="113" t="s">
        <v>12400</v>
      </c>
      <c r="J162" s="113" t="s">
        <v>12401</v>
      </c>
    </row>
    <row r="163" spans="1:10" ht="20" customHeight="1" thickBot="1">
      <c r="A163" s="28" t="s">
        <v>831</v>
      </c>
      <c r="B163" s="28" t="s">
        <v>831</v>
      </c>
      <c r="C163" s="28" t="s">
        <v>832</v>
      </c>
      <c r="D163" s="117">
        <v>9</v>
      </c>
      <c r="E163" s="122" t="s">
        <v>34</v>
      </c>
      <c r="F163" s="120" t="s">
        <v>57</v>
      </c>
      <c r="G163" s="29">
        <v>44918</v>
      </c>
      <c r="H163" s="28" t="s">
        <v>833</v>
      </c>
      <c r="I163" s="114" t="s">
        <v>12400</v>
      </c>
      <c r="J163" s="114" t="s">
        <v>12401</v>
      </c>
    </row>
    <row r="164" spans="1:10" ht="20" customHeight="1" thickBot="1">
      <c r="A164" s="26" t="s">
        <v>836</v>
      </c>
      <c r="B164" s="26" t="s">
        <v>836</v>
      </c>
      <c r="C164" s="26" t="s">
        <v>837</v>
      </c>
      <c r="D164" s="116">
        <v>15</v>
      </c>
      <c r="E164" s="122" t="s">
        <v>35</v>
      </c>
      <c r="F164" s="119" t="s">
        <v>57</v>
      </c>
      <c r="G164" s="27">
        <v>45211</v>
      </c>
      <c r="H164" s="26" t="s">
        <v>838</v>
      </c>
      <c r="I164" s="113" t="s">
        <v>12400</v>
      </c>
      <c r="J164" s="113" t="s">
        <v>12401</v>
      </c>
    </row>
    <row r="165" spans="1:10" ht="20" customHeight="1" thickBot="1">
      <c r="A165" s="28" t="s">
        <v>841</v>
      </c>
      <c r="B165" s="28" t="s">
        <v>841</v>
      </c>
      <c r="C165" s="28" t="s">
        <v>842</v>
      </c>
      <c r="D165" s="117">
        <v>25</v>
      </c>
      <c r="E165" s="122" t="s">
        <v>34</v>
      </c>
      <c r="F165" s="120" t="s">
        <v>57</v>
      </c>
      <c r="G165" s="29">
        <v>46114</v>
      </c>
      <c r="H165" s="28" t="s">
        <v>843</v>
      </c>
      <c r="I165" s="114" t="s">
        <v>12400</v>
      </c>
      <c r="J165" s="114" t="s">
        <v>12401</v>
      </c>
    </row>
    <row r="166" spans="1:10" ht="20" customHeight="1" thickBot="1">
      <c r="A166" s="26" t="s">
        <v>846</v>
      </c>
      <c r="B166" s="26" t="s">
        <v>846</v>
      </c>
      <c r="C166" s="26" t="s">
        <v>847</v>
      </c>
      <c r="D166" s="116">
        <v>16</v>
      </c>
      <c r="E166" s="122" t="s">
        <v>34</v>
      </c>
      <c r="F166" s="119" t="s">
        <v>57</v>
      </c>
      <c r="G166" s="27">
        <v>44368</v>
      </c>
      <c r="H166" s="26" t="s">
        <v>848</v>
      </c>
      <c r="I166" s="113" t="s">
        <v>12400</v>
      </c>
      <c r="J166" s="113" t="s">
        <v>12401</v>
      </c>
    </row>
    <row r="167" spans="1:10" ht="20" customHeight="1" thickBot="1">
      <c r="A167" s="28" t="s">
        <v>851</v>
      </c>
      <c r="B167" s="28" t="s">
        <v>851</v>
      </c>
      <c r="C167" s="28" t="s">
        <v>852</v>
      </c>
      <c r="D167" s="117">
        <v>19</v>
      </c>
      <c r="E167" s="122" t="s">
        <v>29</v>
      </c>
      <c r="F167" s="120" t="s">
        <v>63</v>
      </c>
      <c r="G167" s="29">
        <v>42346</v>
      </c>
      <c r="H167" s="28" t="s">
        <v>853</v>
      </c>
      <c r="I167" s="114" t="s">
        <v>12400</v>
      </c>
      <c r="J167" s="114" t="s">
        <v>12401</v>
      </c>
    </row>
    <row r="168" spans="1:10" ht="20" customHeight="1" thickBot="1">
      <c r="A168" s="26" t="s">
        <v>856</v>
      </c>
      <c r="B168" s="26" t="s">
        <v>856</v>
      </c>
      <c r="C168" s="26" t="s">
        <v>83</v>
      </c>
      <c r="D168" s="116">
        <v>8</v>
      </c>
      <c r="E168" s="122" t="s">
        <v>34</v>
      </c>
      <c r="F168" s="119" t="s">
        <v>57</v>
      </c>
      <c r="G168" s="27">
        <v>46117</v>
      </c>
      <c r="H168" s="26" t="s">
        <v>857</v>
      </c>
      <c r="I168" s="113" t="s">
        <v>12400</v>
      </c>
      <c r="J168" s="113" t="s">
        <v>12401</v>
      </c>
    </row>
    <row r="169" spans="1:10" ht="20" customHeight="1" thickBot="1">
      <c r="A169" s="28" t="s">
        <v>860</v>
      </c>
      <c r="B169" s="28" t="s">
        <v>860</v>
      </c>
      <c r="C169" s="28" t="s">
        <v>704</v>
      </c>
      <c r="D169" s="117">
        <v>10</v>
      </c>
      <c r="E169" s="122" t="s">
        <v>31</v>
      </c>
      <c r="F169" s="120" t="s">
        <v>63</v>
      </c>
      <c r="G169" s="29">
        <v>45401</v>
      </c>
      <c r="H169" s="28" t="s">
        <v>861</v>
      </c>
      <c r="I169" s="114" t="s">
        <v>12400</v>
      </c>
      <c r="J169" s="114" t="s">
        <v>12401</v>
      </c>
    </row>
    <row r="170" spans="1:10" ht="20" customHeight="1" thickBot="1">
      <c r="A170" s="26" t="s">
        <v>864</v>
      </c>
      <c r="B170" s="26" t="s">
        <v>864</v>
      </c>
      <c r="C170" s="26" t="s">
        <v>865</v>
      </c>
      <c r="D170" s="116">
        <v>11</v>
      </c>
      <c r="E170" s="122" t="s">
        <v>33</v>
      </c>
      <c r="F170" s="119" t="s">
        <v>57</v>
      </c>
      <c r="G170" s="27">
        <v>45742</v>
      </c>
      <c r="H170" s="26" t="s">
        <v>866</v>
      </c>
      <c r="I170" s="113" t="s">
        <v>12400</v>
      </c>
      <c r="J170" s="113" t="s">
        <v>12401</v>
      </c>
    </row>
    <row r="171" spans="1:10" ht="20" customHeight="1" thickBot="1">
      <c r="A171" s="28" t="s">
        <v>869</v>
      </c>
      <c r="B171" s="28" t="s">
        <v>869</v>
      </c>
      <c r="C171" s="28" t="s">
        <v>870</v>
      </c>
      <c r="D171" s="117">
        <v>1</v>
      </c>
      <c r="E171" s="122" t="s">
        <v>36</v>
      </c>
      <c r="F171" s="120" t="s">
        <v>89</v>
      </c>
      <c r="G171" s="29">
        <v>44428</v>
      </c>
      <c r="H171" s="28" t="s">
        <v>871</v>
      </c>
      <c r="I171" s="114" t="s">
        <v>12400</v>
      </c>
      <c r="J171" s="114" t="s">
        <v>12401</v>
      </c>
    </row>
    <row r="172" spans="1:10" ht="20" customHeight="1" thickBot="1">
      <c r="A172" s="26" t="s">
        <v>874</v>
      </c>
      <c r="B172" s="26" t="s">
        <v>874</v>
      </c>
      <c r="C172" s="26" t="s">
        <v>875</v>
      </c>
      <c r="D172" s="116">
        <v>5</v>
      </c>
      <c r="E172" s="122" t="s">
        <v>29</v>
      </c>
      <c r="F172" s="119" t="s">
        <v>63</v>
      </c>
      <c r="G172" s="27">
        <v>43670</v>
      </c>
      <c r="H172" s="26" t="s">
        <v>876</v>
      </c>
      <c r="I172" s="113" t="s">
        <v>12400</v>
      </c>
      <c r="J172" s="113" t="s">
        <v>12401</v>
      </c>
    </row>
    <row r="173" spans="1:10" ht="20" customHeight="1" thickBot="1">
      <c r="A173" s="28" t="s">
        <v>879</v>
      </c>
      <c r="B173" s="28" t="s">
        <v>879</v>
      </c>
      <c r="C173" s="28" t="s">
        <v>880</v>
      </c>
      <c r="D173" s="117">
        <v>3</v>
      </c>
      <c r="E173" s="122" t="s">
        <v>36</v>
      </c>
      <c r="F173" s="120" t="s">
        <v>57</v>
      </c>
      <c r="G173" s="29">
        <v>46097</v>
      </c>
      <c r="H173" s="28" t="s">
        <v>881</v>
      </c>
      <c r="I173" s="114" t="s">
        <v>12400</v>
      </c>
      <c r="J173" s="114" t="s">
        <v>12401</v>
      </c>
    </row>
    <row r="174" spans="1:10" ht="20" customHeight="1" thickBot="1">
      <c r="A174" s="26" t="s">
        <v>884</v>
      </c>
      <c r="B174" s="26" t="s">
        <v>884</v>
      </c>
      <c r="C174" s="26" t="s">
        <v>885</v>
      </c>
      <c r="D174" s="116">
        <v>15</v>
      </c>
      <c r="E174" s="122" t="s">
        <v>34</v>
      </c>
      <c r="F174" s="119" t="s">
        <v>57</v>
      </c>
      <c r="G174" s="27">
        <v>44523</v>
      </c>
      <c r="H174" s="26" t="s">
        <v>886</v>
      </c>
      <c r="I174" s="113" t="s">
        <v>12400</v>
      </c>
      <c r="J174" s="113" t="s">
        <v>12401</v>
      </c>
    </row>
    <row r="175" spans="1:10" ht="20" customHeight="1" thickBot="1">
      <c r="A175" s="28" t="s">
        <v>889</v>
      </c>
      <c r="B175" s="28" t="s">
        <v>889</v>
      </c>
      <c r="C175" s="28" t="s">
        <v>890</v>
      </c>
      <c r="D175" s="117">
        <v>24</v>
      </c>
      <c r="E175" s="122" t="s">
        <v>29</v>
      </c>
      <c r="F175" s="120" t="s">
        <v>63</v>
      </c>
      <c r="G175" s="29">
        <v>42238</v>
      </c>
      <c r="H175" s="28" t="s">
        <v>891</v>
      </c>
      <c r="I175" s="114" t="s">
        <v>12400</v>
      </c>
      <c r="J175" s="114" t="s">
        <v>12401</v>
      </c>
    </row>
    <row r="176" spans="1:10" ht="20" customHeight="1" thickBot="1">
      <c r="A176" s="26" t="s">
        <v>894</v>
      </c>
      <c r="B176" s="26" t="s">
        <v>894</v>
      </c>
      <c r="C176" s="26" t="s">
        <v>895</v>
      </c>
      <c r="D176" s="116">
        <v>40</v>
      </c>
      <c r="E176" s="122" t="s">
        <v>31</v>
      </c>
      <c r="F176" s="119" t="s">
        <v>63</v>
      </c>
      <c r="G176" s="27">
        <v>45430</v>
      </c>
      <c r="H176" s="26" t="s">
        <v>896</v>
      </c>
      <c r="I176" s="113" t="s">
        <v>12400</v>
      </c>
      <c r="J176" s="113" t="s">
        <v>12401</v>
      </c>
    </row>
    <row r="177" spans="1:10" ht="20" customHeight="1" thickBot="1">
      <c r="A177" s="28" t="s">
        <v>899</v>
      </c>
      <c r="B177" s="28" t="s">
        <v>899</v>
      </c>
      <c r="C177" s="28" t="s">
        <v>900</v>
      </c>
      <c r="D177" s="117">
        <v>18</v>
      </c>
      <c r="E177" s="122" t="s">
        <v>34</v>
      </c>
      <c r="F177" s="120" t="s">
        <v>57</v>
      </c>
      <c r="G177" s="29">
        <v>44622</v>
      </c>
      <c r="H177" s="28" t="s">
        <v>901</v>
      </c>
      <c r="I177" s="114" t="s">
        <v>12400</v>
      </c>
      <c r="J177" s="114" t="s">
        <v>12401</v>
      </c>
    </row>
    <row r="178" spans="1:10" ht="20" customHeight="1" thickBot="1">
      <c r="A178" s="26" t="s">
        <v>904</v>
      </c>
      <c r="B178" s="26" t="s">
        <v>904</v>
      </c>
      <c r="C178" s="26" t="s">
        <v>905</v>
      </c>
      <c r="D178" s="116">
        <v>4</v>
      </c>
      <c r="E178" s="122" t="s">
        <v>27</v>
      </c>
      <c r="F178" s="119" t="s">
        <v>63</v>
      </c>
      <c r="G178" s="27">
        <v>45584</v>
      </c>
      <c r="H178" s="26" t="s">
        <v>906</v>
      </c>
      <c r="I178" s="113" t="s">
        <v>12400</v>
      </c>
      <c r="J178" s="113" t="s">
        <v>12401</v>
      </c>
    </row>
    <row r="179" spans="1:10" ht="20" customHeight="1" thickBot="1">
      <c r="A179" s="28" t="s">
        <v>909</v>
      </c>
      <c r="B179" s="28" t="s">
        <v>909</v>
      </c>
      <c r="C179" s="28" t="s">
        <v>910</v>
      </c>
      <c r="D179" s="117">
        <v>11</v>
      </c>
      <c r="E179" s="122" t="s">
        <v>29</v>
      </c>
      <c r="F179" s="120" t="s">
        <v>63</v>
      </c>
      <c r="G179" s="29">
        <v>42021</v>
      </c>
      <c r="H179" s="28" t="s">
        <v>911</v>
      </c>
      <c r="I179" s="114" t="s">
        <v>12400</v>
      </c>
      <c r="J179" s="114" t="s">
        <v>12401</v>
      </c>
    </row>
    <row r="180" spans="1:10" ht="20" customHeight="1" thickBot="1">
      <c r="A180" s="26" t="s">
        <v>914</v>
      </c>
      <c r="B180" s="26" t="s">
        <v>914</v>
      </c>
      <c r="C180" s="26" t="s">
        <v>915</v>
      </c>
      <c r="D180" s="116">
        <v>12</v>
      </c>
      <c r="E180" s="122" t="s">
        <v>34</v>
      </c>
      <c r="F180" s="119" t="s">
        <v>57</v>
      </c>
      <c r="G180" s="27">
        <v>45530</v>
      </c>
      <c r="H180" s="26" t="s">
        <v>916</v>
      </c>
      <c r="I180" s="113" t="s">
        <v>12400</v>
      </c>
      <c r="J180" s="113" t="s">
        <v>12401</v>
      </c>
    </row>
    <row r="181" spans="1:10" ht="20" customHeight="1" thickBot="1">
      <c r="A181" s="28" t="s">
        <v>919</v>
      </c>
      <c r="B181" s="28" t="s">
        <v>919</v>
      </c>
      <c r="C181" s="28" t="s">
        <v>920</v>
      </c>
      <c r="D181" s="117">
        <v>5</v>
      </c>
      <c r="E181" s="122" t="s">
        <v>34</v>
      </c>
      <c r="F181" s="120" t="s">
        <v>57</v>
      </c>
      <c r="G181" s="29">
        <v>43774</v>
      </c>
      <c r="H181" s="28" t="s">
        <v>921</v>
      </c>
      <c r="I181" s="114" t="s">
        <v>12400</v>
      </c>
      <c r="J181" s="114" t="s">
        <v>12401</v>
      </c>
    </row>
    <row r="182" spans="1:10" ht="20" customHeight="1" thickBot="1">
      <c r="A182" s="26" t="s">
        <v>924</v>
      </c>
      <c r="B182" s="26" t="s">
        <v>924</v>
      </c>
      <c r="C182" s="26" t="s">
        <v>925</v>
      </c>
      <c r="D182" s="116">
        <v>14</v>
      </c>
      <c r="E182" s="122" t="s">
        <v>33</v>
      </c>
      <c r="F182" s="119" t="s">
        <v>57</v>
      </c>
      <c r="G182" s="27">
        <v>45899</v>
      </c>
      <c r="H182" s="26" t="s">
        <v>926</v>
      </c>
      <c r="I182" s="113" t="s">
        <v>12400</v>
      </c>
      <c r="J182" s="113" t="s">
        <v>12401</v>
      </c>
    </row>
    <row r="183" spans="1:10" ht="20" customHeight="1" thickBot="1">
      <c r="A183" s="28" t="s">
        <v>929</v>
      </c>
      <c r="B183" s="28" t="s">
        <v>929</v>
      </c>
      <c r="C183" s="28" t="s">
        <v>930</v>
      </c>
      <c r="D183" s="117">
        <v>44</v>
      </c>
      <c r="E183" s="122" t="s">
        <v>33</v>
      </c>
      <c r="F183" s="120" t="s">
        <v>57</v>
      </c>
      <c r="G183" s="29">
        <v>43514</v>
      </c>
      <c r="H183" s="28" t="s">
        <v>931</v>
      </c>
      <c r="I183" s="114" t="s">
        <v>12400</v>
      </c>
      <c r="J183" s="114" t="s">
        <v>12401</v>
      </c>
    </row>
    <row r="184" spans="1:10" ht="20" customHeight="1" thickBot="1">
      <c r="A184" s="26" t="s">
        <v>934</v>
      </c>
      <c r="B184" s="26" t="s">
        <v>934</v>
      </c>
      <c r="C184" s="26" t="s">
        <v>935</v>
      </c>
      <c r="D184" s="116">
        <v>34</v>
      </c>
      <c r="E184" s="122" t="s">
        <v>31</v>
      </c>
      <c r="F184" s="119" t="s">
        <v>57</v>
      </c>
      <c r="G184" s="27">
        <v>44734</v>
      </c>
      <c r="H184" s="26" t="s">
        <v>936</v>
      </c>
      <c r="I184" s="113" t="s">
        <v>12400</v>
      </c>
      <c r="J184" s="113" t="s">
        <v>12401</v>
      </c>
    </row>
    <row r="185" spans="1:10" ht="20" customHeight="1" thickBot="1">
      <c r="A185" s="28" t="s">
        <v>939</v>
      </c>
      <c r="B185" s="28" t="s">
        <v>939</v>
      </c>
      <c r="C185" s="28" t="s">
        <v>940</v>
      </c>
      <c r="D185" s="117">
        <v>36</v>
      </c>
      <c r="E185" s="122" t="s">
        <v>29</v>
      </c>
      <c r="F185" s="120" t="s">
        <v>63</v>
      </c>
      <c r="G185" s="29">
        <v>41454</v>
      </c>
      <c r="H185" s="28" t="s">
        <v>941</v>
      </c>
      <c r="I185" s="114" t="s">
        <v>12400</v>
      </c>
      <c r="J185" s="114" t="s">
        <v>12401</v>
      </c>
    </row>
    <row r="186" spans="1:10" ht="20" customHeight="1" thickBot="1">
      <c r="A186" s="26" t="s">
        <v>944</v>
      </c>
      <c r="B186" s="26" t="s">
        <v>944</v>
      </c>
      <c r="C186" s="26" t="s">
        <v>945</v>
      </c>
      <c r="D186" s="116">
        <v>25</v>
      </c>
      <c r="E186" s="122" t="s">
        <v>35</v>
      </c>
      <c r="F186" s="119" t="s">
        <v>57</v>
      </c>
      <c r="G186" s="27">
        <v>46096</v>
      </c>
      <c r="H186" s="26" t="s">
        <v>946</v>
      </c>
      <c r="I186" s="113" t="s">
        <v>12400</v>
      </c>
      <c r="J186" s="113" t="s">
        <v>12401</v>
      </c>
    </row>
    <row r="187" spans="1:10" ht="20" customHeight="1" thickBot="1">
      <c r="A187" s="28" t="s">
        <v>949</v>
      </c>
      <c r="B187" s="28" t="s">
        <v>949</v>
      </c>
      <c r="C187" s="28" t="s">
        <v>950</v>
      </c>
      <c r="D187" s="117">
        <v>13</v>
      </c>
      <c r="E187" s="122" t="s">
        <v>31</v>
      </c>
      <c r="F187" s="120" t="s">
        <v>57</v>
      </c>
      <c r="G187" s="29">
        <v>43335</v>
      </c>
      <c r="H187" s="28" t="s">
        <v>951</v>
      </c>
      <c r="I187" s="114" t="s">
        <v>12400</v>
      </c>
      <c r="J187" s="114" t="s">
        <v>12401</v>
      </c>
    </row>
    <row r="188" spans="1:10" ht="20" customHeight="1" thickBot="1">
      <c r="A188" s="26" t="s">
        <v>954</v>
      </c>
      <c r="B188" s="26" t="s">
        <v>954</v>
      </c>
      <c r="C188" s="26" t="s">
        <v>955</v>
      </c>
      <c r="D188" s="116">
        <v>3</v>
      </c>
      <c r="E188" s="122" t="s">
        <v>34</v>
      </c>
      <c r="F188" s="119" t="s">
        <v>57</v>
      </c>
      <c r="G188" s="27">
        <v>44705</v>
      </c>
      <c r="H188" s="26" t="s">
        <v>956</v>
      </c>
      <c r="I188" s="113" t="s">
        <v>12400</v>
      </c>
      <c r="J188" s="113" t="s">
        <v>12401</v>
      </c>
    </row>
    <row r="189" spans="1:10" ht="20" customHeight="1" thickBot="1">
      <c r="A189" s="28" t="s">
        <v>959</v>
      </c>
      <c r="B189" s="28" t="s">
        <v>959</v>
      </c>
      <c r="C189" s="28" t="s">
        <v>960</v>
      </c>
      <c r="D189" s="117">
        <v>13</v>
      </c>
      <c r="E189" s="122" t="s">
        <v>33</v>
      </c>
      <c r="F189" s="120" t="s">
        <v>57</v>
      </c>
      <c r="G189" s="29">
        <v>45592</v>
      </c>
      <c r="H189" s="28" t="s">
        <v>961</v>
      </c>
      <c r="I189" s="114" t="s">
        <v>12400</v>
      </c>
      <c r="J189" s="114" t="s">
        <v>12401</v>
      </c>
    </row>
    <row r="190" spans="1:10" ht="20" customHeight="1" thickBot="1">
      <c r="A190" s="26" t="s">
        <v>964</v>
      </c>
      <c r="B190" s="26" t="s">
        <v>964</v>
      </c>
      <c r="C190" s="26" t="s">
        <v>965</v>
      </c>
      <c r="D190" s="116">
        <v>9</v>
      </c>
      <c r="E190" s="122" t="s">
        <v>34</v>
      </c>
      <c r="F190" s="119" t="s">
        <v>57</v>
      </c>
      <c r="G190" s="27">
        <v>46107</v>
      </c>
      <c r="H190" s="26" t="s">
        <v>966</v>
      </c>
      <c r="I190" s="113" t="s">
        <v>12400</v>
      </c>
      <c r="J190" s="113" t="s">
        <v>12401</v>
      </c>
    </row>
    <row r="191" spans="1:10" ht="20" customHeight="1" thickBot="1">
      <c r="A191" s="28" t="s">
        <v>969</v>
      </c>
      <c r="B191" s="28" t="s">
        <v>969</v>
      </c>
      <c r="C191" s="28" t="s">
        <v>970</v>
      </c>
      <c r="D191" s="117">
        <v>10</v>
      </c>
      <c r="E191" s="122" t="s">
        <v>27</v>
      </c>
      <c r="F191" s="120" t="s">
        <v>63</v>
      </c>
      <c r="G191" s="29">
        <v>42260</v>
      </c>
      <c r="H191" s="28" t="s">
        <v>971</v>
      </c>
      <c r="I191" s="114" t="s">
        <v>12400</v>
      </c>
      <c r="J191" s="114" t="s">
        <v>12401</v>
      </c>
    </row>
    <row r="192" spans="1:10" ht="20" customHeight="1" thickBot="1">
      <c r="A192" s="26" t="s">
        <v>974</v>
      </c>
      <c r="B192" s="26" t="s">
        <v>974</v>
      </c>
      <c r="C192" s="26" t="s">
        <v>975</v>
      </c>
      <c r="D192" s="116">
        <v>19</v>
      </c>
      <c r="E192" s="122" t="s">
        <v>31</v>
      </c>
      <c r="F192" s="119" t="s">
        <v>63</v>
      </c>
      <c r="G192" s="27">
        <v>45928</v>
      </c>
      <c r="H192" s="26" t="s">
        <v>976</v>
      </c>
      <c r="I192" s="113" t="s">
        <v>12400</v>
      </c>
      <c r="J192" s="113" t="s">
        <v>12401</v>
      </c>
    </row>
    <row r="193" spans="1:10" ht="20" customHeight="1" thickBot="1">
      <c r="A193" s="28" t="s">
        <v>979</v>
      </c>
      <c r="B193" s="28" t="s">
        <v>979</v>
      </c>
      <c r="C193" s="28" t="s">
        <v>975</v>
      </c>
      <c r="D193" s="117">
        <v>23</v>
      </c>
      <c r="E193" s="122" t="s">
        <v>31</v>
      </c>
      <c r="F193" s="120" t="s">
        <v>63</v>
      </c>
      <c r="G193" s="29">
        <v>45628</v>
      </c>
      <c r="H193" s="28" t="s">
        <v>980</v>
      </c>
      <c r="I193" s="114" t="s">
        <v>12400</v>
      </c>
      <c r="J193" s="114" t="s">
        <v>12401</v>
      </c>
    </row>
    <row r="194" spans="1:10" ht="20" customHeight="1" thickBot="1">
      <c r="A194" s="26" t="s">
        <v>983</v>
      </c>
      <c r="B194" s="26" t="s">
        <v>983</v>
      </c>
      <c r="C194" s="26" t="s">
        <v>984</v>
      </c>
      <c r="D194" s="116">
        <v>6</v>
      </c>
      <c r="E194" s="122" t="s">
        <v>35</v>
      </c>
      <c r="F194" s="119" t="s">
        <v>57</v>
      </c>
      <c r="G194" s="27">
        <v>44938</v>
      </c>
      <c r="H194" s="26" t="s">
        <v>985</v>
      </c>
      <c r="I194" s="113" t="s">
        <v>12400</v>
      </c>
      <c r="J194" s="113" t="s">
        <v>12401</v>
      </c>
    </row>
    <row r="195" spans="1:10" ht="20" customHeight="1" thickBot="1">
      <c r="A195" s="28" t="s">
        <v>988</v>
      </c>
      <c r="B195" s="28" t="s">
        <v>988</v>
      </c>
      <c r="C195" s="28" t="s">
        <v>355</v>
      </c>
      <c r="D195" s="117">
        <v>40</v>
      </c>
      <c r="E195" s="122" t="s">
        <v>34</v>
      </c>
      <c r="F195" s="120" t="s">
        <v>57</v>
      </c>
      <c r="G195" s="29">
        <v>42179</v>
      </c>
      <c r="H195" s="28" t="s">
        <v>989</v>
      </c>
      <c r="I195" s="114" t="s">
        <v>12400</v>
      </c>
      <c r="J195" s="114" t="s">
        <v>12401</v>
      </c>
    </row>
    <row r="196" spans="1:10" ht="20" customHeight="1" thickBot="1">
      <c r="A196" s="26" t="s">
        <v>992</v>
      </c>
      <c r="B196" s="26" t="s">
        <v>992</v>
      </c>
      <c r="C196" s="26" t="s">
        <v>993</v>
      </c>
      <c r="D196" s="116">
        <v>10</v>
      </c>
      <c r="E196" s="122" t="s">
        <v>29</v>
      </c>
      <c r="F196" s="119" t="s">
        <v>63</v>
      </c>
      <c r="G196" s="27">
        <v>42093</v>
      </c>
      <c r="H196" s="26" t="s">
        <v>994</v>
      </c>
      <c r="I196" s="113" t="s">
        <v>12400</v>
      </c>
      <c r="J196" s="113" t="s">
        <v>12401</v>
      </c>
    </row>
    <row r="197" spans="1:10" ht="20" customHeight="1" thickBot="1">
      <c r="A197" s="28" t="s">
        <v>997</v>
      </c>
      <c r="B197" s="28" t="s">
        <v>997</v>
      </c>
      <c r="C197" s="28" t="s">
        <v>998</v>
      </c>
      <c r="D197" s="117">
        <v>22</v>
      </c>
      <c r="E197" s="122" t="s">
        <v>35</v>
      </c>
      <c r="F197" s="120" t="s">
        <v>57</v>
      </c>
      <c r="G197" s="29">
        <v>45077</v>
      </c>
      <c r="H197" s="28" t="s">
        <v>999</v>
      </c>
      <c r="I197" s="114" t="s">
        <v>12400</v>
      </c>
      <c r="J197" s="114" t="s">
        <v>12401</v>
      </c>
    </row>
    <row r="198" spans="1:10" ht="20" customHeight="1" thickBot="1">
      <c r="A198" s="26" t="s">
        <v>1002</v>
      </c>
      <c r="B198" s="26" t="s">
        <v>1002</v>
      </c>
      <c r="C198" s="26" t="s">
        <v>1003</v>
      </c>
      <c r="D198" s="116">
        <v>13</v>
      </c>
      <c r="E198" s="122" t="s">
        <v>31</v>
      </c>
      <c r="F198" s="119" t="s">
        <v>63</v>
      </c>
      <c r="G198" s="27">
        <v>43918</v>
      </c>
      <c r="H198" s="26" t="s">
        <v>1004</v>
      </c>
      <c r="I198" s="113" t="s">
        <v>12400</v>
      </c>
      <c r="J198" s="113" t="s">
        <v>12401</v>
      </c>
    </row>
    <row r="199" spans="1:10" ht="20" customHeight="1" thickBot="1">
      <c r="A199" s="28" t="s">
        <v>1007</v>
      </c>
      <c r="B199" s="28" t="s">
        <v>1007</v>
      </c>
      <c r="C199" s="28" t="s">
        <v>1003</v>
      </c>
      <c r="D199" s="117">
        <v>11</v>
      </c>
      <c r="E199" s="122" t="s">
        <v>31</v>
      </c>
      <c r="F199" s="120" t="s">
        <v>63</v>
      </c>
      <c r="G199" s="29">
        <v>44505</v>
      </c>
      <c r="H199" s="28" t="s">
        <v>1008</v>
      </c>
      <c r="I199" s="114" t="s">
        <v>12400</v>
      </c>
      <c r="J199" s="114" t="s">
        <v>12401</v>
      </c>
    </row>
    <row r="200" spans="1:10" ht="20" customHeight="1" thickBot="1">
      <c r="A200" s="26" t="s">
        <v>1011</v>
      </c>
      <c r="B200" s="26" t="s">
        <v>1011</v>
      </c>
      <c r="C200" s="26" t="s">
        <v>1012</v>
      </c>
      <c r="D200" s="116">
        <v>16</v>
      </c>
      <c r="E200" s="122" t="s">
        <v>34</v>
      </c>
      <c r="F200" s="119" t="s">
        <v>57</v>
      </c>
      <c r="G200" s="27">
        <v>45347</v>
      </c>
      <c r="H200" s="26" t="s">
        <v>1013</v>
      </c>
      <c r="I200" s="113" t="s">
        <v>12400</v>
      </c>
      <c r="J200" s="113" t="s">
        <v>12401</v>
      </c>
    </row>
    <row r="201" spans="1:10" ht="20" customHeight="1" thickBot="1">
      <c r="A201" s="28" t="s">
        <v>1016</v>
      </c>
      <c r="B201" s="28" t="s">
        <v>1016</v>
      </c>
      <c r="C201" s="28" t="s">
        <v>1017</v>
      </c>
      <c r="D201" s="117">
        <v>8</v>
      </c>
      <c r="E201" s="122" t="s">
        <v>31</v>
      </c>
      <c r="F201" s="120" t="s">
        <v>63</v>
      </c>
      <c r="G201" s="29">
        <v>44700</v>
      </c>
      <c r="H201" s="28" t="s">
        <v>1018</v>
      </c>
      <c r="I201" s="114" t="s">
        <v>12400</v>
      </c>
      <c r="J201" s="114" t="s">
        <v>12401</v>
      </c>
    </row>
    <row r="202" spans="1:10" ht="20" customHeight="1" thickBot="1">
      <c r="A202" s="26" t="s">
        <v>1021</v>
      </c>
      <c r="B202" s="26" t="s">
        <v>1021</v>
      </c>
      <c r="C202" s="26" t="s">
        <v>1022</v>
      </c>
      <c r="D202" s="116">
        <v>14</v>
      </c>
      <c r="E202" s="122" t="s">
        <v>33</v>
      </c>
      <c r="F202" s="119" t="s">
        <v>57</v>
      </c>
      <c r="G202" s="27">
        <v>44577</v>
      </c>
      <c r="H202" s="26" t="s">
        <v>1023</v>
      </c>
      <c r="I202" s="113" t="s">
        <v>12400</v>
      </c>
      <c r="J202" s="113" t="s">
        <v>12401</v>
      </c>
    </row>
    <row r="203" spans="1:10" ht="20" customHeight="1" thickBot="1">
      <c r="A203" s="28" t="s">
        <v>1026</v>
      </c>
      <c r="B203" s="28" t="s">
        <v>1026</v>
      </c>
      <c r="C203" s="28" t="s">
        <v>485</v>
      </c>
      <c r="D203" s="117">
        <v>20</v>
      </c>
      <c r="E203" s="122" t="s">
        <v>34</v>
      </c>
      <c r="F203" s="120" t="s">
        <v>57</v>
      </c>
      <c r="G203" s="29">
        <v>44523</v>
      </c>
      <c r="H203" s="28" t="s">
        <v>1027</v>
      </c>
      <c r="I203" s="114" t="s">
        <v>12400</v>
      </c>
      <c r="J203" s="114" t="s">
        <v>12401</v>
      </c>
    </row>
    <row r="204" spans="1:10" ht="20" customHeight="1" thickBot="1">
      <c r="A204" s="26" t="s">
        <v>1030</v>
      </c>
      <c r="B204" s="26" t="s">
        <v>1030</v>
      </c>
      <c r="C204" s="26" t="s">
        <v>485</v>
      </c>
      <c r="D204" s="116">
        <v>5</v>
      </c>
      <c r="E204" s="122" t="s">
        <v>34</v>
      </c>
      <c r="F204" s="119" t="s">
        <v>57</v>
      </c>
      <c r="G204" s="27">
        <v>46005</v>
      </c>
      <c r="H204" s="26" t="s">
        <v>1031</v>
      </c>
      <c r="I204" s="113" t="s">
        <v>12400</v>
      </c>
      <c r="J204" s="113" t="s">
        <v>12401</v>
      </c>
    </row>
    <row r="205" spans="1:10" ht="20" customHeight="1" thickBot="1">
      <c r="A205" s="28" t="s">
        <v>1034</v>
      </c>
      <c r="B205" s="28" t="s">
        <v>1034</v>
      </c>
      <c r="C205" s="28" t="s">
        <v>1035</v>
      </c>
      <c r="D205" s="117">
        <v>15</v>
      </c>
      <c r="E205" s="122" t="s">
        <v>31</v>
      </c>
      <c r="F205" s="120" t="s">
        <v>57</v>
      </c>
      <c r="G205" s="29">
        <v>45893</v>
      </c>
      <c r="H205" s="28" t="s">
        <v>1036</v>
      </c>
      <c r="I205" s="114" t="s">
        <v>12400</v>
      </c>
      <c r="J205" s="114" t="s">
        <v>12401</v>
      </c>
    </row>
    <row r="206" spans="1:10" ht="20" customHeight="1" thickBot="1">
      <c r="A206" s="26" t="s">
        <v>1039</v>
      </c>
      <c r="B206" s="26" t="s">
        <v>1039</v>
      </c>
      <c r="C206" s="26" t="s">
        <v>1035</v>
      </c>
      <c r="D206" s="116">
        <v>20</v>
      </c>
      <c r="E206" s="122" t="s">
        <v>34</v>
      </c>
      <c r="F206" s="119" t="s">
        <v>57</v>
      </c>
      <c r="G206" s="27">
        <v>45386</v>
      </c>
      <c r="H206" s="26" t="s">
        <v>1040</v>
      </c>
      <c r="I206" s="113" t="s">
        <v>12400</v>
      </c>
      <c r="J206" s="113" t="s">
        <v>12401</v>
      </c>
    </row>
    <row r="207" spans="1:10" ht="20" customHeight="1" thickBot="1">
      <c r="A207" s="28" t="s">
        <v>1043</v>
      </c>
      <c r="B207" s="28" t="s">
        <v>1043</v>
      </c>
      <c r="C207" s="28" t="s">
        <v>1044</v>
      </c>
      <c r="D207" s="117">
        <v>4</v>
      </c>
      <c r="E207" s="122" t="s">
        <v>31</v>
      </c>
      <c r="F207" s="120" t="s">
        <v>63</v>
      </c>
      <c r="G207" s="29">
        <v>44710</v>
      </c>
      <c r="H207" s="28" t="s">
        <v>1045</v>
      </c>
      <c r="I207" s="114" t="s">
        <v>12400</v>
      </c>
      <c r="J207" s="114" t="s">
        <v>12401</v>
      </c>
    </row>
    <row r="208" spans="1:10" ht="20" customHeight="1" thickBot="1">
      <c r="A208" s="26" t="s">
        <v>1048</v>
      </c>
      <c r="B208" s="26" t="s">
        <v>1048</v>
      </c>
      <c r="C208" s="26" t="s">
        <v>1049</v>
      </c>
      <c r="D208" s="116">
        <v>12</v>
      </c>
      <c r="E208" s="122" t="s">
        <v>33</v>
      </c>
      <c r="F208" s="119" t="s">
        <v>57</v>
      </c>
      <c r="G208" s="27">
        <v>45509</v>
      </c>
      <c r="H208" s="26" t="s">
        <v>1050</v>
      </c>
      <c r="I208" s="113" t="s">
        <v>12400</v>
      </c>
      <c r="J208" s="113" t="s">
        <v>12401</v>
      </c>
    </row>
    <row r="209" spans="1:10" ht="20" customHeight="1" thickBot="1">
      <c r="A209" s="28" t="s">
        <v>1053</v>
      </c>
      <c r="B209" s="28" t="s">
        <v>1053</v>
      </c>
      <c r="C209" s="28" t="s">
        <v>1054</v>
      </c>
      <c r="D209" s="117">
        <v>9</v>
      </c>
      <c r="E209" s="122" t="s">
        <v>34</v>
      </c>
      <c r="F209" s="120" t="s">
        <v>57</v>
      </c>
      <c r="G209" s="29">
        <v>45125</v>
      </c>
      <c r="H209" s="28" t="s">
        <v>1055</v>
      </c>
      <c r="I209" s="114" t="s">
        <v>12400</v>
      </c>
      <c r="J209" s="114" t="s">
        <v>12401</v>
      </c>
    </row>
    <row r="210" spans="1:10" ht="20" customHeight="1" thickBot="1">
      <c r="A210" s="26" t="s">
        <v>1058</v>
      </c>
      <c r="B210" s="26" t="s">
        <v>1058</v>
      </c>
      <c r="C210" s="26" t="s">
        <v>1059</v>
      </c>
      <c r="D210" s="116">
        <v>11</v>
      </c>
      <c r="E210" s="122" t="s">
        <v>33</v>
      </c>
      <c r="F210" s="119" t="s">
        <v>57</v>
      </c>
      <c r="G210" s="27">
        <v>44768</v>
      </c>
      <c r="H210" s="26" t="s">
        <v>1060</v>
      </c>
      <c r="I210" s="113" t="s">
        <v>12400</v>
      </c>
      <c r="J210" s="113" t="s">
        <v>12401</v>
      </c>
    </row>
    <row r="211" spans="1:10" ht="20" customHeight="1" thickBot="1">
      <c r="A211" s="28" t="s">
        <v>1063</v>
      </c>
      <c r="B211" s="28" t="s">
        <v>1063</v>
      </c>
      <c r="C211" s="28" t="s">
        <v>1064</v>
      </c>
      <c r="D211" s="117">
        <v>13</v>
      </c>
      <c r="E211" s="122" t="s">
        <v>35</v>
      </c>
      <c r="F211" s="120" t="s">
        <v>57</v>
      </c>
      <c r="G211" s="29">
        <v>45941</v>
      </c>
      <c r="H211" s="28" t="s">
        <v>1065</v>
      </c>
      <c r="I211" s="114" t="s">
        <v>12400</v>
      </c>
      <c r="J211" s="114" t="s">
        <v>12401</v>
      </c>
    </row>
    <row r="212" spans="1:10" ht="20" customHeight="1" thickBot="1">
      <c r="A212" s="26" t="s">
        <v>1068</v>
      </c>
      <c r="B212" s="26" t="s">
        <v>1068</v>
      </c>
      <c r="C212" s="26" t="s">
        <v>1069</v>
      </c>
      <c r="D212" s="116">
        <v>7</v>
      </c>
      <c r="E212" s="122" t="s">
        <v>31</v>
      </c>
      <c r="F212" s="119" t="s">
        <v>57</v>
      </c>
      <c r="G212" s="27">
        <v>44781</v>
      </c>
      <c r="H212" s="26" t="s">
        <v>1070</v>
      </c>
      <c r="I212" s="113" t="s">
        <v>12400</v>
      </c>
      <c r="J212" s="113" t="s">
        <v>12401</v>
      </c>
    </row>
    <row r="213" spans="1:10" ht="20" customHeight="1" thickBot="1">
      <c r="A213" s="28" t="s">
        <v>1073</v>
      </c>
      <c r="B213" s="28" t="s">
        <v>1073</v>
      </c>
      <c r="C213" s="28" t="s">
        <v>1074</v>
      </c>
      <c r="D213" s="117">
        <v>10</v>
      </c>
      <c r="E213" s="122" t="s">
        <v>33</v>
      </c>
      <c r="F213" s="120" t="s">
        <v>57</v>
      </c>
      <c r="G213" s="29">
        <v>44994</v>
      </c>
      <c r="H213" s="28" t="s">
        <v>1075</v>
      </c>
      <c r="I213" s="114" t="s">
        <v>12400</v>
      </c>
      <c r="J213" s="114" t="s">
        <v>12401</v>
      </c>
    </row>
    <row r="214" spans="1:10" ht="20" customHeight="1" thickBot="1">
      <c r="A214" s="26" t="s">
        <v>1078</v>
      </c>
      <c r="B214" s="26" t="s">
        <v>1078</v>
      </c>
      <c r="C214" s="26" t="s">
        <v>399</v>
      </c>
      <c r="D214" s="116">
        <v>18</v>
      </c>
      <c r="E214" s="122" t="s">
        <v>29</v>
      </c>
      <c r="F214" s="119" t="s">
        <v>63</v>
      </c>
      <c r="G214" s="27">
        <v>41509</v>
      </c>
      <c r="H214" s="26" t="s">
        <v>1079</v>
      </c>
      <c r="I214" s="113" t="s">
        <v>12400</v>
      </c>
      <c r="J214" s="113" t="s">
        <v>12401</v>
      </c>
    </row>
    <row r="215" spans="1:10" ht="20" customHeight="1" thickBot="1">
      <c r="A215" s="28" t="s">
        <v>1082</v>
      </c>
      <c r="B215" s="28" t="s">
        <v>1082</v>
      </c>
      <c r="C215" s="28" t="s">
        <v>1083</v>
      </c>
      <c r="D215" s="117">
        <v>91</v>
      </c>
      <c r="E215" s="122" t="s">
        <v>31</v>
      </c>
      <c r="F215" s="120" t="s">
        <v>63</v>
      </c>
      <c r="G215" s="29">
        <v>44607</v>
      </c>
      <c r="H215" s="28" t="s">
        <v>1084</v>
      </c>
      <c r="I215" s="114" t="s">
        <v>12400</v>
      </c>
      <c r="J215" s="114" t="s">
        <v>12401</v>
      </c>
    </row>
    <row r="216" spans="1:10" ht="20" customHeight="1" thickBot="1">
      <c r="A216" s="26" t="s">
        <v>1087</v>
      </c>
      <c r="B216" s="26" t="s">
        <v>1087</v>
      </c>
      <c r="C216" s="26" t="s">
        <v>485</v>
      </c>
      <c r="D216" s="116">
        <v>5</v>
      </c>
      <c r="E216" s="122" t="s">
        <v>36</v>
      </c>
      <c r="F216" s="119" t="s">
        <v>57</v>
      </c>
      <c r="G216" s="27">
        <v>45216</v>
      </c>
      <c r="H216" s="26" t="s">
        <v>1088</v>
      </c>
      <c r="I216" s="113" t="s">
        <v>12400</v>
      </c>
      <c r="J216" s="113" t="s">
        <v>12401</v>
      </c>
    </row>
    <row r="217" spans="1:10" ht="20" customHeight="1" thickBot="1">
      <c r="A217" s="28" t="s">
        <v>1091</v>
      </c>
      <c r="B217" s="28" t="s">
        <v>1091</v>
      </c>
      <c r="C217" s="28" t="s">
        <v>1092</v>
      </c>
      <c r="D217" s="117">
        <v>10</v>
      </c>
      <c r="E217" s="122" t="s">
        <v>33</v>
      </c>
      <c r="F217" s="120" t="s">
        <v>63</v>
      </c>
      <c r="G217" s="29">
        <v>45690</v>
      </c>
      <c r="H217" s="28" t="s">
        <v>1093</v>
      </c>
      <c r="I217" s="114" t="s">
        <v>12400</v>
      </c>
      <c r="J217" s="114" t="s">
        <v>12401</v>
      </c>
    </row>
    <row r="218" spans="1:10" ht="20" customHeight="1" thickBot="1">
      <c r="A218" s="26" t="s">
        <v>1096</v>
      </c>
      <c r="B218" s="26" t="s">
        <v>1096</v>
      </c>
      <c r="C218" s="26" t="s">
        <v>1097</v>
      </c>
      <c r="D218" s="116">
        <v>1</v>
      </c>
      <c r="E218" s="122" t="s">
        <v>35</v>
      </c>
      <c r="F218" s="119" t="s">
        <v>89</v>
      </c>
      <c r="G218" s="27">
        <v>42796</v>
      </c>
      <c r="H218" s="26" t="s">
        <v>1098</v>
      </c>
      <c r="I218" s="113" t="s">
        <v>12400</v>
      </c>
      <c r="J218" s="113" t="s">
        <v>12401</v>
      </c>
    </row>
    <row r="219" spans="1:10" ht="20" customHeight="1" thickBot="1">
      <c r="A219" s="28" t="s">
        <v>1101</v>
      </c>
      <c r="B219" s="28" t="s">
        <v>1101</v>
      </c>
      <c r="C219" s="28" t="s">
        <v>370</v>
      </c>
      <c r="D219" s="117">
        <v>13</v>
      </c>
      <c r="E219" s="122" t="s">
        <v>34</v>
      </c>
      <c r="F219" s="120" t="s">
        <v>57</v>
      </c>
      <c r="G219" s="29">
        <v>44145</v>
      </c>
      <c r="H219" s="28" t="s">
        <v>1102</v>
      </c>
      <c r="I219" s="114" t="s">
        <v>12400</v>
      </c>
      <c r="J219" s="114" t="s">
        <v>12401</v>
      </c>
    </row>
    <row r="220" spans="1:10" ht="20" customHeight="1" thickBot="1">
      <c r="A220" s="26" t="s">
        <v>1105</v>
      </c>
      <c r="B220" s="26" t="s">
        <v>1105</v>
      </c>
      <c r="C220" s="26" t="s">
        <v>68</v>
      </c>
      <c r="D220" s="116">
        <v>58</v>
      </c>
      <c r="E220" s="122" t="s">
        <v>33</v>
      </c>
      <c r="F220" s="119" t="s">
        <v>63</v>
      </c>
      <c r="G220" s="27">
        <v>43372</v>
      </c>
      <c r="H220" s="26" t="s">
        <v>1106</v>
      </c>
      <c r="I220" s="113" t="s">
        <v>12400</v>
      </c>
      <c r="J220" s="113" t="s">
        <v>12401</v>
      </c>
    </row>
    <row r="221" spans="1:10" ht="20" customHeight="1" thickBot="1">
      <c r="A221" s="28" t="s">
        <v>1109</v>
      </c>
      <c r="B221" s="28" t="s">
        <v>1109</v>
      </c>
      <c r="C221" s="28" t="s">
        <v>1110</v>
      </c>
      <c r="D221" s="117">
        <v>4</v>
      </c>
      <c r="E221" s="122" t="s">
        <v>34</v>
      </c>
      <c r="F221" s="120" t="s">
        <v>57</v>
      </c>
      <c r="G221" s="29">
        <v>46220</v>
      </c>
      <c r="H221" s="28" t="s">
        <v>1111</v>
      </c>
      <c r="I221" s="114" t="s">
        <v>12400</v>
      </c>
      <c r="J221" s="114" t="s">
        <v>12401</v>
      </c>
    </row>
    <row r="222" spans="1:10" ht="20" customHeight="1" thickBot="1">
      <c r="A222" s="26" t="s">
        <v>1114</v>
      </c>
      <c r="B222" s="26" t="s">
        <v>1114</v>
      </c>
      <c r="C222" s="26" t="s">
        <v>812</v>
      </c>
      <c r="D222" s="116">
        <v>23</v>
      </c>
      <c r="E222" s="122" t="s">
        <v>34</v>
      </c>
      <c r="F222" s="119" t="s">
        <v>57</v>
      </c>
      <c r="G222" s="27">
        <v>45680</v>
      </c>
      <c r="H222" s="26" t="s">
        <v>1115</v>
      </c>
      <c r="I222" s="113" t="s">
        <v>12400</v>
      </c>
      <c r="J222" s="113" t="s">
        <v>12401</v>
      </c>
    </row>
    <row r="223" spans="1:10" ht="20" customHeight="1" thickBot="1">
      <c r="A223" s="28" t="s">
        <v>1118</v>
      </c>
      <c r="B223" s="28" t="s">
        <v>1118</v>
      </c>
      <c r="C223" s="28" t="s">
        <v>1119</v>
      </c>
      <c r="D223" s="117">
        <v>33</v>
      </c>
      <c r="E223" s="122" t="s">
        <v>31</v>
      </c>
      <c r="F223" s="120" t="s">
        <v>63</v>
      </c>
      <c r="G223" s="29">
        <v>41450</v>
      </c>
      <c r="H223" s="28" t="s">
        <v>1120</v>
      </c>
      <c r="I223" s="114" t="s">
        <v>12400</v>
      </c>
      <c r="J223" s="114" t="s">
        <v>12401</v>
      </c>
    </row>
    <row r="224" spans="1:10" ht="20" customHeight="1" thickBot="1">
      <c r="A224" s="26" t="s">
        <v>1123</v>
      </c>
      <c r="B224" s="26" t="s">
        <v>1123</v>
      </c>
      <c r="C224" s="26" t="s">
        <v>1124</v>
      </c>
      <c r="D224" s="116">
        <v>5</v>
      </c>
      <c r="E224" s="122" t="s">
        <v>33</v>
      </c>
      <c r="F224" s="119" t="s">
        <v>57</v>
      </c>
      <c r="G224" s="27">
        <v>45215</v>
      </c>
      <c r="H224" s="26" t="s">
        <v>1125</v>
      </c>
      <c r="I224" s="113" t="s">
        <v>12400</v>
      </c>
      <c r="J224" s="113" t="s">
        <v>12401</v>
      </c>
    </row>
    <row r="225" spans="1:10" ht="20" customHeight="1" thickBot="1">
      <c r="A225" s="28" t="s">
        <v>1128</v>
      </c>
      <c r="B225" s="28" t="s">
        <v>1128</v>
      </c>
      <c r="C225" s="28" t="s">
        <v>1129</v>
      </c>
      <c r="D225" s="117">
        <v>7</v>
      </c>
      <c r="E225" s="122" t="s">
        <v>33</v>
      </c>
      <c r="F225" s="120" t="s">
        <v>63</v>
      </c>
      <c r="G225" s="29">
        <v>46013</v>
      </c>
      <c r="H225" s="28" t="s">
        <v>1130</v>
      </c>
      <c r="I225" s="114" t="s">
        <v>12400</v>
      </c>
      <c r="J225" s="114" t="s">
        <v>12401</v>
      </c>
    </row>
    <row r="226" spans="1:10" ht="20" customHeight="1" thickBot="1">
      <c r="A226" s="26" t="s">
        <v>1133</v>
      </c>
      <c r="B226" s="26" t="s">
        <v>1133</v>
      </c>
      <c r="C226" s="26" t="s">
        <v>641</v>
      </c>
      <c r="D226" s="116">
        <v>6</v>
      </c>
      <c r="E226" s="122" t="s">
        <v>35</v>
      </c>
      <c r="F226" s="119" t="s">
        <v>57</v>
      </c>
      <c r="G226" s="27">
        <v>44657</v>
      </c>
      <c r="H226" s="26" t="s">
        <v>1134</v>
      </c>
      <c r="I226" s="113" t="s">
        <v>12400</v>
      </c>
      <c r="J226" s="113" t="s">
        <v>12401</v>
      </c>
    </row>
    <row r="227" spans="1:10" ht="20" customHeight="1" thickBot="1">
      <c r="A227" s="28" t="s">
        <v>1137</v>
      </c>
      <c r="B227" s="28" t="s">
        <v>1137</v>
      </c>
      <c r="C227" s="28" t="s">
        <v>1054</v>
      </c>
      <c r="D227" s="117">
        <v>12</v>
      </c>
      <c r="E227" s="122" t="s">
        <v>35</v>
      </c>
      <c r="F227" s="120" t="s">
        <v>57</v>
      </c>
      <c r="G227" s="29">
        <v>44825</v>
      </c>
      <c r="H227" s="28" t="s">
        <v>1138</v>
      </c>
      <c r="I227" s="114" t="s">
        <v>12400</v>
      </c>
      <c r="J227" s="114" t="s">
        <v>12401</v>
      </c>
    </row>
    <row r="228" spans="1:10" ht="20" customHeight="1" thickBot="1">
      <c r="A228" s="26" t="s">
        <v>1141</v>
      </c>
      <c r="B228" s="26" t="s">
        <v>1141</v>
      </c>
      <c r="C228" s="26" t="s">
        <v>1142</v>
      </c>
      <c r="D228" s="116">
        <v>17</v>
      </c>
      <c r="E228" s="122" t="s">
        <v>33</v>
      </c>
      <c r="F228" s="119" t="s">
        <v>57</v>
      </c>
      <c r="G228" s="27">
        <v>44900</v>
      </c>
      <c r="H228" s="26" t="s">
        <v>1143</v>
      </c>
      <c r="I228" s="113" t="s">
        <v>12400</v>
      </c>
      <c r="J228" s="113" t="s">
        <v>12401</v>
      </c>
    </row>
    <row r="229" spans="1:10" ht="20" customHeight="1" thickBot="1">
      <c r="A229" s="28" t="s">
        <v>1146</v>
      </c>
      <c r="B229" s="28" t="s">
        <v>1146</v>
      </c>
      <c r="C229" s="28" t="s">
        <v>1022</v>
      </c>
      <c r="D229" s="117">
        <v>17</v>
      </c>
      <c r="E229" s="122" t="s">
        <v>33</v>
      </c>
      <c r="F229" s="120" t="s">
        <v>57</v>
      </c>
      <c r="G229" s="29">
        <v>44361</v>
      </c>
      <c r="H229" s="28" t="s">
        <v>1147</v>
      </c>
      <c r="I229" s="114" t="s">
        <v>12400</v>
      </c>
      <c r="J229" s="114" t="s">
        <v>12401</v>
      </c>
    </row>
    <row r="230" spans="1:10" ht="20" customHeight="1" thickBot="1">
      <c r="A230" s="26" t="s">
        <v>1150</v>
      </c>
      <c r="B230" s="26" t="s">
        <v>1150</v>
      </c>
      <c r="C230" s="26" t="s">
        <v>1151</v>
      </c>
      <c r="D230" s="116">
        <v>11</v>
      </c>
      <c r="E230" s="122" t="s">
        <v>34</v>
      </c>
      <c r="F230" s="119" t="s">
        <v>57</v>
      </c>
      <c r="G230" s="27">
        <v>45733</v>
      </c>
      <c r="H230" s="26" t="s">
        <v>1152</v>
      </c>
      <c r="I230" s="113" t="s">
        <v>12400</v>
      </c>
      <c r="J230" s="113" t="s">
        <v>12401</v>
      </c>
    </row>
    <row r="231" spans="1:10" ht="20" customHeight="1" thickBot="1">
      <c r="A231" s="28" t="s">
        <v>1155</v>
      </c>
      <c r="B231" s="28" t="s">
        <v>1155</v>
      </c>
      <c r="C231" s="28" t="s">
        <v>1156</v>
      </c>
      <c r="D231" s="117">
        <v>24</v>
      </c>
      <c r="E231" s="122" t="s">
        <v>29</v>
      </c>
      <c r="F231" s="120" t="s">
        <v>63</v>
      </c>
      <c r="G231" s="29">
        <v>42147</v>
      </c>
      <c r="H231" s="28" t="s">
        <v>1157</v>
      </c>
      <c r="I231" s="114" t="s">
        <v>12400</v>
      </c>
      <c r="J231" s="114" t="s">
        <v>12401</v>
      </c>
    </row>
    <row r="232" spans="1:10" ht="20" customHeight="1" thickBot="1">
      <c r="A232" s="26" t="s">
        <v>1160</v>
      </c>
      <c r="B232" s="26" t="s">
        <v>1160</v>
      </c>
      <c r="C232" s="26" t="s">
        <v>1161</v>
      </c>
      <c r="D232" s="116">
        <v>6</v>
      </c>
      <c r="E232" s="122" t="s">
        <v>29</v>
      </c>
      <c r="F232" s="119" t="s">
        <v>63</v>
      </c>
      <c r="G232" s="27">
        <v>42309</v>
      </c>
      <c r="H232" s="26" t="s">
        <v>1162</v>
      </c>
      <c r="I232" s="113" t="s">
        <v>12400</v>
      </c>
      <c r="J232" s="113" t="s">
        <v>12401</v>
      </c>
    </row>
    <row r="233" spans="1:10" ht="20" customHeight="1" thickBot="1">
      <c r="A233" s="28" t="s">
        <v>1165</v>
      </c>
      <c r="B233" s="28" t="s">
        <v>1165</v>
      </c>
      <c r="C233" s="28" t="s">
        <v>1166</v>
      </c>
      <c r="D233" s="117">
        <v>11</v>
      </c>
      <c r="E233" s="122" t="s">
        <v>31</v>
      </c>
      <c r="F233" s="120" t="s">
        <v>63</v>
      </c>
      <c r="G233" s="29">
        <v>44872</v>
      </c>
      <c r="H233" s="28" t="s">
        <v>1167</v>
      </c>
      <c r="I233" s="114" t="s">
        <v>12400</v>
      </c>
      <c r="J233" s="114" t="s">
        <v>12401</v>
      </c>
    </row>
    <row r="234" spans="1:10" ht="20" customHeight="1" thickBot="1">
      <c r="A234" s="26" t="s">
        <v>1170</v>
      </c>
      <c r="B234" s="26" t="s">
        <v>1170</v>
      </c>
      <c r="C234" s="26" t="s">
        <v>1171</v>
      </c>
      <c r="D234" s="116">
        <v>9</v>
      </c>
      <c r="E234" s="122" t="s">
        <v>34</v>
      </c>
      <c r="F234" s="119" t="s">
        <v>57</v>
      </c>
      <c r="G234" s="27">
        <v>44400</v>
      </c>
      <c r="H234" s="26" t="s">
        <v>1172</v>
      </c>
      <c r="I234" s="113" t="s">
        <v>12400</v>
      </c>
      <c r="J234" s="113" t="s">
        <v>12401</v>
      </c>
    </row>
    <row r="235" spans="1:10" ht="20" customHeight="1" thickBot="1">
      <c r="A235" s="28" t="s">
        <v>1175</v>
      </c>
      <c r="B235" s="28" t="s">
        <v>1175</v>
      </c>
      <c r="C235" s="28" t="s">
        <v>1176</v>
      </c>
      <c r="D235" s="117">
        <v>41</v>
      </c>
      <c r="E235" s="122" t="s">
        <v>29</v>
      </c>
      <c r="F235" s="120" t="s">
        <v>63</v>
      </c>
      <c r="G235" s="29">
        <v>42619</v>
      </c>
      <c r="H235" s="28" t="s">
        <v>1177</v>
      </c>
      <c r="I235" s="114" t="s">
        <v>12400</v>
      </c>
      <c r="J235" s="114" t="s">
        <v>12401</v>
      </c>
    </row>
    <row r="236" spans="1:10" ht="20" customHeight="1" thickBot="1">
      <c r="A236" s="26" t="s">
        <v>1180</v>
      </c>
      <c r="B236" s="26" t="s">
        <v>1180</v>
      </c>
      <c r="C236" s="26" t="s">
        <v>1181</v>
      </c>
      <c r="D236" s="116">
        <v>25</v>
      </c>
      <c r="E236" s="122" t="s">
        <v>29</v>
      </c>
      <c r="F236" s="119" t="s">
        <v>63</v>
      </c>
      <c r="G236" s="27">
        <v>41572</v>
      </c>
      <c r="H236" s="26" t="s">
        <v>1182</v>
      </c>
      <c r="I236" s="113" t="s">
        <v>12400</v>
      </c>
      <c r="J236" s="113" t="s">
        <v>12401</v>
      </c>
    </row>
    <row r="237" spans="1:10" ht="20" customHeight="1" thickBot="1">
      <c r="A237" s="28" t="s">
        <v>1185</v>
      </c>
      <c r="B237" s="28" t="s">
        <v>1185</v>
      </c>
      <c r="C237" s="28" t="s">
        <v>1186</v>
      </c>
      <c r="D237" s="117">
        <v>20</v>
      </c>
      <c r="E237" s="122" t="s">
        <v>35</v>
      </c>
      <c r="F237" s="120" t="s">
        <v>57</v>
      </c>
      <c r="G237" s="29">
        <v>44476</v>
      </c>
      <c r="H237" s="28" t="s">
        <v>1187</v>
      </c>
      <c r="I237" s="114" t="s">
        <v>12400</v>
      </c>
      <c r="J237" s="114" t="s">
        <v>12401</v>
      </c>
    </row>
    <row r="238" spans="1:10" ht="20" customHeight="1" thickBot="1">
      <c r="A238" s="26" t="s">
        <v>1190</v>
      </c>
      <c r="B238" s="26" t="s">
        <v>1190</v>
      </c>
      <c r="C238" s="26" t="s">
        <v>935</v>
      </c>
      <c r="D238" s="116">
        <v>0</v>
      </c>
      <c r="E238" s="122" t="s">
        <v>33</v>
      </c>
      <c r="F238" s="119" t="s">
        <v>57</v>
      </c>
      <c r="G238" s="27">
        <v>44887</v>
      </c>
      <c r="H238" s="26" t="s">
        <v>1191</v>
      </c>
      <c r="I238" s="113" t="s">
        <v>12400</v>
      </c>
      <c r="J238" s="113" t="s">
        <v>12401</v>
      </c>
    </row>
    <row r="239" spans="1:10" ht="20" customHeight="1" thickBot="1">
      <c r="A239" s="28" t="s">
        <v>1194</v>
      </c>
      <c r="B239" s="28" t="s">
        <v>1194</v>
      </c>
      <c r="C239" s="28" t="s">
        <v>1195</v>
      </c>
      <c r="D239" s="117">
        <v>8</v>
      </c>
      <c r="E239" s="122" t="s">
        <v>31</v>
      </c>
      <c r="F239" s="120" t="s">
        <v>63</v>
      </c>
      <c r="G239" s="29">
        <v>44341</v>
      </c>
      <c r="H239" s="28" t="s">
        <v>1196</v>
      </c>
      <c r="I239" s="114" t="s">
        <v>12400</v>
      </c>
      <c r="J239" s="114" t="s">
        <v>12401</v>
      </c>
    </row>
    <row r="240" spans="1:10" ht="20" customHeight="1" thickBot="1">
      <c r="A240" s="26" t="s">
        <v>1199</v>
      </c>
      <c r="B240" s="26" t="s">
        <v>1199</v>
      </c>
      <c r="C240" s="26" t="s">
        <v>1200</v>
      </c>
      <c r="D240" s="116">
        <v>1</v>
      </c>
      <c r="E240" s="122" t="s">
        <v>35</v>
      </c>
      <c r="F240" s="119" t="s">
        <v>57</v>
      </c>
      <c r="G240" s="27">
        <v>45749</v>
      </c>
      <c r="H240" s="26" t="s">
        <v>1201</v>
      </c>
      <c r="I240" s="113" t="s">
        <v>12400</v>
      </c>
      <c r="J240" s="113" t="s">
        <v>12401</v>
      </c>
    </row>
    <row r="241" spans="1:10" ht="20" customHeight="1" thickBot="1">
      <c r="A241" s="28" t="s">
        <v>1204</v>
      </c>
      <c r="B241" s="28" t="s">
        <v>1204</v>
      </c>
      <c r="C241" s="28" t="s">
        <v>1205</v>
      </c>
      <c r="D241" s="117">
        <v>9</v>
      </c>
      <c r="E241" s="122" t="s">
        <v>35</v>
      </c>
      <c r="F241" s="120" t="s">
        <v>57</v>
      </c>
      <c r="G241" s="29">
        <v>45899</v>
      </c>
      <c r="H241" s="28" t="s">
        <v>1206</v>
      </c>
      <c r="I241" s="114" t="s">
        <v>12400</v>
      </c>
      <c r="J241" s="114" t="s">
        <v>12401</v>
      </c>
    </row>
    <row r="242" spans="1:10" ht="20" customHeight="1" thickBot="1">
      <c r="A242" s="26" t="s">
        <v>1209</v>
      </c>
      <c r="B242" s="26" t="s">
        <v>1209</v>
      </c>
      <c r="C242" s="26" t="s">
        <v>1210</v>
      </c>
      <c r="D242" s="116">
        <v>52</v>
      </c>
      <c r="E242" s="122" t="s">
        <v>29</v>
      </c>
      <c r="F242" s="119" t="s">
        <v>63</v>
      </c>
      <c r="G242" s="27">
        <v>43300</v>
      </c>
      <c r="H242" s="26" t="s">
        <v>1211</v>
      </c>
      <c r="I242" s="113" t="s">
        <v>12400</v>
      </c>
      <c r="J242" s="113" t="s">
        <v>12401</v>
      </c>
    </row>
    <row r="243" spans="1:10" ht="20" customHeight="1" thickBot="1">
      <c r="A243" s="28" t="s">
        <v>1214</v>
      </c>
      <c r="B243" s="28" t="s">
        <v>1214</v>
      </c>
      <c r="C243" s="28" t="s">
        <v>1215</v>
      </c>
      <c r="D243" s="117">
        <v>10</v>
      </c>
      <c r="E243" s="122" t="s">
        <v>31</v>
      </c>
      <c r="F243" s="120" t="s">
        <v>63</v>
      </c>
      <c r="G243" s="29">
        <v>45717</v>
      </c>
      <c r="H243" s="28" t="s">
        <v>1216</v>
      </c>
      <c r="I243" s="114" t="s">
        <v>12400</v>
      </c>
      <c r="J243" s="114" t="s">
        <v>12401</v>
      </c>
    </row>
    <row r="244" spans="1:10" ht="20" customHeight="1" thickBot="1">
      <c r="A244" s="26" t="s">
        <v>1219</v>
      </c>
      <c r="B244" s="26" t="s">
        <v>1219</v>
      </c>
      <c r="C244" s="26" t="s">
        <v>1220</v>
      </c>
      <c r="D244" s="116">
        <v>9</v>
      </c>
      <c r="E244" s="122" t="s">
        <v>31</v>
      </c>
      <c r="F244" s="119" t="s">
        <v>63</v>
      </c>
      <c r="G244" s="27">
        <v>42039</v>
      </c>
      <c r="H244" s="26" t="s">
        <v>1221</v>
      </c>
      <c r="I244" s="113" t="s">
        <v>12400</v>
      </c>
      <c r="J244" s="113" t="s">
        <v>12401</v>
      </c>
    </row>
    <row r="245" spans="1:10" ht="20" customHeight="1" thickBot="1">
      <c r="A245" s="28" t="s">
        <v>1224</v>
      </c>
      <c r="B245" s="28" t="s">
        <v>1224</v>
      </c>
      <c r="C245" s="28" t="s">
        <v>1225</v>
      </c>
      <c r="D245" s="117">
        <v>17</v>
      </c>
      <c r="E245" s="122" t="s">
        <v>29</v>
      </c>
      <c r="F245" s="120" t="s">
        <v>63</v>
      </c>
      <c r="G245" s="29">
        <v>42304</v>
      </c>
      <c r="H245" s="28" t="s">
        <v>1226</v>
      </c>
      <c r="I245" s="114" t="s">
        <v>12400</v>
      </c>
      <c r="J245" s="114" t="s">
        <v>12401</v>
      </c>
    </row>
    <row r="246" spans="1:10" ht="20" customHeight="1" thickBot="1">
      <c r="A246" s="26" t="s">
        <v>1229</v>
      </c>
      <c r="B246" s="26" t="s">
        <v>1229</v>
      </c>
      <c r="C246" s="26" t="s">
        <v>1230</v>
      </c>
      <c r="D246" s="116">
        <v>7</v>
      </c>
      <c r="E246" s="122" t="s">
        <v>31</v>
      </c>
      <c r="F246" s="119" t="s">
        <v>63</v>
      </c>
      <c r="G246" s="27">
        <v>42306</v>
      </c>
      <c r="H246" s="26" t="s">
        <v>1231</v>
      </c>
      <c r="I246" s="113" t="s">
        <v>12400</v>
      </c>
      <c r="J246" s="113" t="s">
        <v>12401</v>
      </c>
    </row>
    <row r="247" spans="1:10" ht="20" customHeight="1" thickBot="1">
      <c r="A247" s="28" t="s">
        <v>1234</v>
      </c>
      <c r="B247" s="28" t="s">
        <v>1234</v>
      </c>
      <c r="C247" s="28" t="s">
        <v>1235</v>
      </c>
      <c r="D247" s="117">
        <v>48</v>
      </c>
      <c r="E247" s="122" t="s">
        <v>29</v>
      </c>
      <c r="F247" s="120" t="s">
        <v>63</v>
      </c>
      <c r="G247" s="29">
        <v>41552</v>
      </c>
      <c r="H247" s="28" t="s">
        <v>1236</v>
      </c>
      <c r="I247" s="114" t="s">
        <v>12400</v>
      </c>
      <c r="J247" s="114" t="s">
        <v>12401</v>
      </c>
    </row>
    <row r="248" spans="1:10" ht="20" customHeight="1" thickBot="1">
      <c r="A248" s="26" t="s">
        <v>1239</v>
      </c>
      <c r="B248" s="26" t="s">
        <v>1239</v>
      </c>
      <c r="C248" s="26" t="s">
        <v>1235</v>
      </c>
      <c r="D248" s="116">
        <v>10</v>
      </c>
      <c r="E248" s="122" t="s">
        <v>29</v>
      </c>
      <c r="F248" s="119" t="s">
        <v>63</v>
      </c>
      <c r="G248" s="27">
        <v>42013</v>
      </c>
      <c r="H248" s="26" t="s">
        <v>1240</v>
      </c>
      <c r="I248" s="113" t="s">
        <v>12400</v>
      </c>
      <c r="J248" s="113" t="s">
        <v>12401</v>
      </c>
    </row>
    <row r="249" spans="1:10" ht="20" customHeight="1" thickBot="1">
      <c r="A249" s="28" t="s">
        <v>1243</v>
      </c>
      <c r="B249" s="28" t="s">
        <v>1243</v>
      </c>
      <c r="C249" s="28" t="s">
        <v>1244</v>
      </c>
      <c r="D249" s="117">
        <v>6</v>
      </c>
      <c r="E249" s="122" t="s">
        <v>29</v>
      </c>
      <c r="F249" s="120" t="s">
        <v>63</v>
      </c>
      <c r="G249" s="29">
        <v>43471</v>
      </c>
      <c r="H249" s="28" t="s">
        <v>1245</v>
      </c>
      <c r="I249" s="114" t="s">
        <v>12400</v>
      </c>
      <c r="J249" s="114" t="s">
        <v>12401</v>
      </c>
    </row>
    <row r="250" spans="1:10" ht="20" customHeight="1" thickBot="1">
      <c r="A250" s="26" t="s">
        <v>1248</v>
      </c>
      <c r="B250" s="26" t="s">
        <v>1248</v>
      </c>
      <c r="C250" s="26" t="s">
        <v>68</v>
      </c>
      <c r="D250" s="116">
        <v>18</v>
      </c>
      <c r="E250" s="122" t="s">
        <v>29</v>
      </c>
      <c r="F250" s="119" t="s">
        <v>63</v>
      </c>
      <c r="G250" s="27">
        <v>41572</v>
      </c>
      <c r="H250" s="26" t="s">
        <v>1249</v>
      </c>
      <c r="I250" s="113" t="s">
        <v>12400</v>
      </c>
      <c r="J250" s="113" t="s">
        <v>12401</v>
      </c>
    </row>
    <row r="251" spans="1:10" ht="20" customHeight="1" thickBot="1">
      <c r="A251" s="28" t="s">
        <v>1252</v>
      </c>
      <c r="B251" s="28" t="s">
        <v>1252</v>
      </c>
      <c r="C251" s="28" t="s">
        <v>1253</v>
      </c>
      <c r="D251" s="117">
        <v>11</v>
      </c>
      <c r="E251" s="122" t="s">
        <v>29</v>
      </c>
      <c r="F251" s="120" t="s">
        <v>63</v>
      </c>
      <c r="G251" s="29">
        <v>42208</v>
      </c>
      <c r="H251" s="28" t="s">
        <v>1254</v>
      </c>
      <c r="I251" s="114" t="s">
        <v>12400</v>
      </c>
      <c r="J251" s="114" t="s">
        <v>12401</v>
      </c>
    </row>
    <row r="252" spans="1:10" ht="20" customHeight="1" thickBot="1">
      <c r="A252" s="26" t="s">
        <v>1257</v>
      </c>
      <c r="B252" s="26" t="s">
        <v>1257</v>
      </c>
      <c r="C252" s="26" t="s">
        <v>1258</v>
      </c>
      <c r="D252" s="116">
        <v>15</v>
      </c>
      <c r="E252" s="122" t="s">
        <v>29</v>
      </c>
      <c r="F252" s="119" t="s">
        <v>63</v>
      </c>
      <c r="G252" s="27">
        <v>42224</v>
      </c>
      <c r="H252" s="26" t="s">
        <v>1259</v>
      </c>
      <c r="I252" s="113" t="s">
        <v>12400</v>
      </c>
      <c r="J252" s="113" t="s">
        <v>12401</v>
      </c>
    </row>
    <row r="253" spans="1:10" ht="20" customHeight="1" thickBot="1">
      <c r="A253" s="28" t="s">
        <v>1262</v>
      </c>
      <c r="B253" s="28" t="s">
        <v>1262</v>
      </c>
      <c r="C253" s="28" t="s">
        <v>1263</v>
      </c>
      <c r="D253" s="117">
        <v>0</v>
      </c>
      <c r="E253" s="122" t="s">
        <v>27</v>
      </c>
      <c r="F253" s="120" t="s">
        <v>63</v>
      </c>
      <c r="G253" s="29">
        <v>45876</v>
      </c>
      <c r="H253" s="28" t="s">
        <v>1264</v>
      </c>
      <c r="I253" s="114" t="s">
        <v>12400</v>
      </c>
      <c r="J253" s="114" t="s">
        <v>12401</v>
      </c>
    </row>
    <row r="254" spans="1:10" ht="20" customHeight="1" thickBot="1">
      <c r="A254" s="26" t="s">
        <v>1267</v>
      </c>
      <c r="B254" s="26" t="s">
        <v>1267</v>
      </c>
      <c r="C254" s="26" t="s">
        <v>1268</v>
      </c>
      <c r="D254" s="116">
        <v>1</v>
      </c>
      <c r="E254" s="122" t="s">
        <v>29</v>
      </c>
      <c r="F254" s="119" t="s">
        <v>63</v>
      </c>
      <c r="G254" s="27">
        <v>42579</v>
      </c>
      <c r="H254" s="26" t="s">
        <v>1269</v>
      </c>
      <c r="I254" s="113" t="s">
        <v>12400</v>
      </c>
      <c r="J254" s="113" t="s">
        <v>12401</v>
      </c>
    </row>
    <row r="255" spans="1:10" ht="20" customHeight="1" thickBot="1">
      <c r="A255" s="28" t="s">
        <v>1272</v>
      </c>
      <c r="B255" s="28" t="s">
        <v>1272</v>
      </c>
      <c r="C255" s="28" t="s">
        <v>1268</v>
      </c>
      <c r="D255" s="117">
        <v>1</v>
      </c>
      <c r="E255" s="122" t="s">
        <v>29</v>
      </c>
      <c r="F255" s="120" t="s">
        <v>63</v>
      </c>
      <c r="G255" s="29">
        <v>43895</v>
      </c>
      <c r="H255" s="28" t="s">
        <v>1273</v>
      </c>
      <c r="I255" s="114" t="s">
        <v>12400</v>
      </c>
      <c r="J255" s="114" t="s">
        <v>12401</v>
      </c>
    </row>
    <row r="256" spans="1:10" ht="20" customHeight="1" thickBot="1">
      <c r="A256" s="26" t="s">
        <v>1276</v>
      </c>
      <c r="B256" s="26" t="s">
        <v>1276</v>
      </c>
      <c r="C256" s="26" t="s">
        <v>1277</v>
      </c>
      <c r="D256" s="116">
        <v>1</v>
      </c>
      <c r="E256" s="122" t="s">
        <v>29</v>
      </c>
      <c r="F256" s="119" t="s">
        <v>63</v>
      </c>
      <c r="G256" s="27">
        <v>42322</v>
      </c>
      <c r="H256" s="26" t="s">
        <v>1278</v>
      </c>
      <c r="I256" s="113" t="s">
        <v>12400</v>
      </c>
      <c r="J256" s="113" t="s">
        <v>12401</v>
      </c>
    </row>
    <row r="257" spans="1:10" ht="20" customHeight="1" thickBot="1">
      <c r="A257" s="28" t="s">
        <v>1281</v>
      </c>
      <c r="B257" s="28" t="s">
        <v>1281</v>
      </c>
      <c r="C257" s="28" t="s">
        <v>1282</v>
      </c>
      <c r="D257" s="117">
        <v>4</v>
      </c>
      <c r="E257" s="122" t="s">
        <v>31</v>
      </c>
      <c r="F257" s="120" t="s">
        <v>63</v>
      </c>
      <c r="G257" s="29">
        <v>44908</v>
      </c>
      <c r="H257" s="28" t="s">
        <v>1283</v>
      </c>
      <c r="I257" s="114" t="s">
        <v>12400</v>
      </c>
      <c r="J257" s="114" t="s">
        <v>12401</v>
      </c>
    </row>
    <row r="258" spans="1:10" ht="20" customHeight="1" thickBot="1">
      <c r="A258" s="26" t="s">
        <v>1286</v>
      </c>
      <c r="B258" s="26" t="s">
        <v>1286</v>
      </c>
      <c r="C258" s="26" t="s">
        <v>1282</v>
      </c>
      <c r="D258" s="116">
        <v>5</v>
      </c>
      <c r="E258" s="122" t="s">
        <v>34</v>
      </c>
      <c r="F258" s="119" t="s">
        <v>63</v>
      </c>
      <c r="G258" s="27">
        <v>44505</v>
      </c>
      <c r="H258" s="26" t="s">
        <v>1287</v>
      </c>
      <c r="I258" s="113" t="s">
        <v>12400</v>
      </c>
      <c r="J258" s="113" t="s">
        <v>12401</v>
      </c>
    </row>
    <row r="259" spans="1:10" ht="20" customHeight="1" thickBot="1">
      <c r="A259" s="28" t="s">
        <v>1290</v>
      </c>
      <c r="B259" s="28" t="s">
        <v>1290</v>
      </c>
      <c r="C259" s="28" t="s">
        <v>1291</v>
      </c>
      <c r="D259" s="117">
        <v>5</v>
      </c>
      <c r="E259" s="122" t="s">
        <v>31</v>
      </c>
      <c r="F259" s="120" t="s">
        <v>63</v>
      </c>
      <c r="G259" s="29">
        <v>44971</v>
      </c>
      <c r="H259" s="28" t="s">
        <v>1292</v>
      </c>
      <c r="I259" s="114" t="s">
        <v>12400</v>
      </c>
      <c r="J259" s="114" t="s">
        <v>12401</v>
      </c>
    </row>
    <row r="260" spans="1:10" ht="20" customHeight="1" thickBot="1">
      <c r="A260" s="26" t="s">
        <v>1295</v>
      </c>
      <c r="B260" s="26" t="s">
        <v>1295</v>
      </c>
      <c r="C260" s="26" t="s">
        <v>1296</v>
      </c>
      <c r="D260" s="116">
        <v>6</v>
      </c>
      <c r="E260" s="122" t="s">
        <v>29</v>
      </c>
      <c r="F260" s="119" t="s">
        <v>63</v>
      </c>
      <c r="G260" s="27">
        <v>41856</v>
      </c>
      <c r="H260" s="26" t="s">
        <v>1297</v>
      </c>
      <c r="I260" s="113" t="s">
        <v>12400</v>
      </c>
      <c r="J260" s="113" t="s">
        <v>12401</v>
      </c>
    </row>
    <row r="261" spans="1:10" ht="20" customHeight="1" thickBot="1">
      <c r="A261" s="28" t="s">
        <v>1300</v>
      </c>
      <c r="B261" s="28" t="s">
        <v>1300</v>
      </c>
      <c r="C261" s="28" t="s">
        <v>1301</v>
      </c>
      <c r="D261" s="117">
        <v>9</v>
      </c>
      <c r="E261" s="122" t="s">
        <v>27</v>
      </c>
      <c r="F261" s="120" t="s">
        <v>63</v>
      </c>
      <c r="G261" s="29">
        <v>42275</v>
      </c>
      <c r="H261" s="28" t="s">
        <v>1302</v>
      </c>
      <c r="I261" s="114" t="s">
        <v>12400</v>
      </c>
      <c r="J261" s="114" t="s">
        <v>12401</v>
      </c>
    </row>
    <row r="262" spans="1:10" ht="20" customHeight="1" thickBot="1">
      <c r="A262" s="26" t="s">
        <v>1305</v>
      </c>
      <c r="B262" s="26" t="s">
        <v>1305</v>
      </c>
      <c r="C262" s="26" t="s">
        <v>1306</v>
      </c>
      <c r="D262" s="116">
        <v>67</v>
      </c>
      <c r="E262" s="122" t="s">
        <v>31</v>
      </c>
      <c r="F262" s="119" t="s">
        <v>63</v>
      </c>
      <c r="G262" s="27">
        <v>45199</v>
      </c>
      <c r="H262" s="26" t="s">
        <v>1307</v>
      </c>
      <c r="I262" s="113" t="s">
        <v>12400</v>
      </c>
      <c r="J262" s="113" t="s">
        <v>12401</v>
      </c>
    </row>
    <row r="263" spans="1:10" ht="20" customHeight="1" thickBot="1">
      <c r="A263" s="28" t="s">
        <v>1310</v>
      </c>
      <c r="B263" s="28" t="s">
        <v>1310</v>
      </c>
      <c r="C263" s="28" t="s">
        <v>1306</v>
      </c>
      <c r="D263" s="117">
        <v>68</v>
      </c>
      <c r="E263" s="122" t="s">
        <v>31</v>
      </c>
      <c r="F263" s="120" t="s">
        <v>63</v>
      </c>
      <c r="G263" s="29">
        <v>45420</v>
      </c>
      <c r="H263" s="28" t="s">
        <v>1311</v>
      </c>
      <c r="I263" s="114" t="s">
        <v>12400</v>
      </c>
      <c r="J263" s="114" t="s">
        <v>12401</v>
      </c>
    </row>
    <row r="264" spans="1:10" ht="20" customHeight="1" thickBot="1">
      <c r="A264" s="26" t="s">
        <v>1314</v>
      </c>
      <c r="B264" s="26" t="s">
        <v>1314</v>
      </c>
      <c r="C264" s="26" t="s">
        <v>1306</v>
      </c>
      <c r="D264" s="116">
        <v>44</v>
      </c>
      <c r="E264" s="122" t="s">
        <v>31</v>
      </c>
      <c r="F264" s="119" t="s">
        <v>63</v>
      </c>
      <c r="G264" s="27">
        <v>45232</v>
      </c>
      <c r="H264" s="26" t="s">
        <v>1315</v>
      </c>
      <c r="I264" s="113" t="s">
        <v>12400</v>
      </c>
      <c r="J264" s="113" t="s">
        <v>12401</v>
      </c>
    </row>
    <row r="265" spans="1:10" ht="20" customHeight="1" thickBot="1">
      <c r="A265" s="28" t="s">
        <v>1318</v>
      </c>
      <c r="B265" s="28" t="s">
        <v>1318</v>
      </c>
      <c r="C265" s="28" t="s">
        <v>1306</v>
      </c>
      <c r="D265" s="117">
        <v>70</v>
      </c>
      <c r="E265" s="122" t="s">
        <v>31</v>
      </c>
      <c r="F265" s="120" t="s">
        <v>63</v>
      </c>
      <c r="G265" s="29">
        <v>45391</v>
      </c>
      <c r="H265" s="28" t="s">
        <v>1319</v>
      </c>
      <c r="I265" s="114" t="s">
        <v>12400</v>
      </c>
      <c r="J265" s="114" t="s">
        <v>12401</v>
      </c>
    </row>
    <row r="266" spans="1:10" ht="20" customHeight="1" thickBot="1">
      <c r="A266" s="26" t="s">
        <v>1322</v>
      </c>
      <c r="B266" s="26" t="s">
        <v>1322</v>
      </c>
      <c r="C266" s="26" t="s">
        <v>1323</v>
      </c>
      <c r="D266" s="116">
        <v>6</v>
      </c>
      <c r="E266" s="122" t="s">
        <v>27</v>
      </c>
      <c r="F266" s="119" t="s">
        <v>63</v>
      </c>
      <c r="G266" s="27">
        <v>42293</v>
      </c>
      <c r="H266" s="26" t="s">
        <v>1324</v>
      </c>
      <c r="I266" s="113" t="s">
        <v>12400</v>
      </c>
      <c r="J266" s="113" t="s">
        <v>12401</v>
      </c>
    </row>
    <row r="267" spans="1:10" ht="20" customHeight="1" thickBot="1">
      <c r="A267" s="28" t="s">
        <v>1327</v>
      </c>
      <c r="B267" s="28" t="s">
        <v>1327</v>
      </c>
      <c r="C267" s="28" t="s">
        <v>1054</v>
      </c>
      <c r="D267" s="117">
        <v>28</v>
      </c>
      <c r="E267" s="122" t="s">
        <v>34</v>
      </c>
      <c r="F267" s="120" t="s">
        <v>57</v>
      </c>
      <c r="G267" s="29">
        <v>44534</v>
      </c>
      <c r="H267" s="28" t="s">
        <v>1328</v>
      </c>
      <c r="I267" s="114" t="s">
        <v>12400</v>
      </c>
      <c r="J267" s="114" t="s">
        <v>12401</v>
      </c>
    </row>
    <row r="268" spans="1:10" ht="20" customHeight="1" thickBot="1">
      <c r="A268" s="26" t="s">
        <v>1331</v>
      </c>
      <c r="B268" s="26" t="s">
        <v>1331</v>
      </c>
      <c r="C268" s="26" t="s">
        <v>1332</v>
      </c>
      <c r="D268" s="116">
        <v>12</v>
      </c>
      <c r="E268" s="122" t="s">
        <v>34</v>
      </c>
      <c r="F268" s="119" t="s">
        <v>57</v>
      </c>
      <c r="G268" s="27">
        <v>44666</v>
      </c>
      <c r="H268" s="26" t="s">
        <v>1333</v>
      </c>
      <c r="I268" s="113" t="s">
        <v>12400</v>
      </c>
      <c r="J268" s="113" t="s">
        <v>12401</v>
      </c>
    </row>
    <row r="269" spans="1:10" ht="20" customHeight="1" thickBot="1">
      <c r="A269" s="28" t="s">
        <v>1336</v>
      </c>
      <c r="B269" s="28" t="s">
        <v>1336</v>
      </c>
      <c r="C269" s="28" t="s">
        <v>1332</v>
      </c>
      <c r="D269" s="117">
        <v>26</v>
      </c>
      <c r="E269" s="122" t="s">
        <v>34</v>
      </c>
      <c r="F269" s="120" t="s">
        <v>57</v>
      </c>
      <c r="G269" s="29">
        <v>45243</v>
      </c>
      <c r="H269" s="28" t="s">
        <v>1337</v>
      </c>
      <c r="I269" s="114" t="s">
        <v>12400</v>
      </c>
      <c r="J269" s="114" t="s">
        <v>12401</v>
      </c>
    </row>
    <row r="270" spans="1:10" ht="20" customHeight="1" thickBot="1">
      <c r="A270" s="26" t="s">
        <v>1340</v>
      </c>
      <c r="B270" s="26" t="s">
        <v>1340</v>
      </c>
      <c r="C270" s="26" t="s">
        <v>713</v>
      </c>
      <c r="D270" s="116">
        <v>11</v>
      </c>
      <c r="E270" s="122" t="s">
        <v>31</v>
      </c>
      <c r="F270" s="119" t="s">
        <v>57</v>
      </c>
      <c r="G270" s="27">
        <v>43920</v>
      </c>
      <c r="H270" s="26" t="s">
        <v>1341</v>
      </c>
      <c r="I270" s="113" t="s">
        <v>12400</v>
      </c>
      <c r="J270" s="113" t="s">
        <v>12401</v>
      </c>
    </row>
    <row r="271" spans="1:10" ht="20" customHeight="1" thickBot="1">
      <c r="A271" s="28" t="s">
        <v>1344</v>
      </c>
      <c r="B271" s="28" t="s">
        <v>1344</v>
      </c>
      <c r="C271" s="28" t="s">
        <v>1345</v>
      </c>
      <c r="D271" s="117">
        <v>10</v>
      </c>
      <c r="E271" s="122" t="s">
        <v>34</v>
      </c>
      <c r="F271" s="120" t="s">
        <v>57</v>
      </c>
      <c r="G271" s="29">
        <v>43754</v>
      </c>
      <c r="H271" s="28" t="s">
        <v>1346</v>
      </c>
      <c r="I271" s="114" t="s">
        <v>12400</v>
      </c>
      <c r="J271" s="114" t="s">
        <v>12401</v>
      </c>
    </row>
    <row r="272" spans="1:10" ht="20" customHeight="1" thickBot="1">
      <c r="A272" s="26" t="s">
        <v>1349</v>
      </c>
      <c r="B272" s="26" t="s">
        <v>1349</v>
      </c>
      <c r="C272" s="26" t="s">
        <v>1350</v>
      </c>
      <c r="D272" s="116">
        <v>6</v>
      </c>
      <c r="E272" s="122" t="s">
        <v>35</v>
      </c>
      <c r="F272" s="119" t="s">
        <v>57</v>
      </c>
      <c r="G272" s="27">
        <v>44700</v>
      </c>
      <c r="H272" s="26" t="s">
        <v>1351</v>
      </c>
      <c r="I272" s="113" t="s">
        <v>12400</v>
      </c>
      <c r="J272" s="113" t="s">
        <v>12401</v>
      </c>
    </row>
    <row r="273" spans="1:10" ht="20" customHeight="1" thickBot="1">
      <c r="A273" s="28" t="s">
        <v>1354</v>
      </c>
      <c r="B273" s="28" t="s">
        <v>1354</v>
      </c>
      <c r="C273" s="28" t="s">
        <v>1355</v>
      </c>
      <c r="D273" s="117">
        <v>11</v>
      </c>
      <c r="E273" s="122" t="s">
        <v>33</v>
      </c>
      <c r="F273" s="120" t="s">
        <v>57</v>
      </c>
      <c r="G273" s="29">
        <v>44513</v>
      </c>
      <c r="H273" s="28" t="s">
        <v>1356</v>
      </c>
      <c r="I273" s="114" t="s">
        <v>12400</v>
      </c>
      <c r="J273" s="114" t="s">
        <v>12401</v>
      </c>
    </row>
    <row r="274" spans="1:10" ht="20" customHeight="1" thickBot="1">
      <c r="A274" s="26" t="s">
        <v>1359</v>
      </c>
      <c r="B274" s="26" t="s">
        <v>1359</v>
      </c>
      <c r="C274" s="26" t="s">
        <v>1244</v>
      </c>
      <c r="D274" s="116">
        <v>23</v>
      </c>
      <c r="E274" s="122" t="s">
        <v>29</v>
      </c>
      <c r="F274" s="119" t="s">
        <v>63</v>
      </c>
      <c r="G274" s="27">
        <v>43657</v>
      </c>
      <c r="H274" s="26" t="s">
        <v>1360</v>
      </c>
      <c r="I274" s="113" t="s">
        <v>12400</v>
      </c>
      <c r="J274" s="113" t="s">
        <v>12401</v>
      </c>
    </row>
    <row r="275" spans="1:10" ht="20" customHeight="1" thickBot="1">
      <c r="A275" s="28" t="s">
        <v>1363</v>
      </c>
      <c r="B275" s="28" t="s">
        <v>1363</v>
      </c>
      <c r="C275" s="28" t="s">
        <v>1364</v>
      </c>
      <c r="D275" s="117">
        <v>4</v>
      </c>
      <c r="E275" s="122" t="s">
        <v>29</v>
      </c>
      <c r="F275" s="120" t="s">
        <v>63</v>
      </c>
      <c r="G275" s="29">
        <v>45049</v>
      </c>
      <c r="H275" s="28" t="s">
        <v>1365</v>
      </c>
      <c r="I275" s="114" t="s">
        <v>12400</v>
      </c>
      <c r="J275" s="114" t="s">
        <v>12401</v>
      </c>
    </row>
    <row r="276" spans="1:10" ht="20" customHeight="1" thickBot="1">
      <c r="A276" s="26" t="s">
        <v>1368</v>
      </c>
      <c r="B276" s="26" t="s">
        <v>1368</v>
      </c>
      <c r="C276" s="26" t="s">
        <v>1369</v>
      </c>
      <c r="D276" s="116">
        <v>12</v>
      </c>
      <c r="E276" s="122" t="s">
        <v>34</v>
      </c>
      <c r="F276" s="119" t="s">
        <v>57</v>
      </c>
      <c r="G276" s="27">
        <v>45952</v>
      </c>
      <c r="H276" s="26" t="s">
        <v>1370</v>
      </c>
      <c r="I276" s="113" t="s">
        <v>12400</v>
      </c>
      <c r="J276" s="113" t="s">
        <v>12401</v>
      </c>
    </row>
    <row r="277" spans="1:10" ht="20" customHeight="1" thickBot="1">
      <c r="A277" s="28" t="s">
        <v>1373</v>
      </c>
      <c r="B277" s="28" t="s">
        <v>1373</v>
      </c>
      <c r="C277" s="28" t="s">
        <v>1374</v>
      </c>
      <c r="D277" s="117">
        <v>5</v>
      </c>
      <c r="E277" s="122" t="s">
        <v>33</v>
      </c>
      <c r="F277" s="120" t="s">
        <v>57</v>
      </c>
      <c r="G277" s="29">
        <v>46214</v>
      </c>
      <c r="H277" s="28" t="s">
        <v>1375</v>
      </c>
      <c r="I277" s="114" t="s">
        <v>12400</v>
      </c>
      <c r="J277" s="114" t="s">
        <v>12401</v>
      </c>
    </row>
    <row r="278" spans="1:10" ht="20" customHeight="1" thickBot="1">
      <c r="A278" s="26" t="s">
        <v>1378</v>
      </c>
      <c r="B278" s="26" t="s">
        <v>1378</v>
      </c>
      <c r="C278" s="26" t="s">
        <v>1379</v>
      </c>
      <c r="D278" s="116">
        <v>5</v>
      </c>
      <c r="E278" s="122" t="s">
        <v>31</v>
      </c>
      <c r="F278" s="119" t="s">
        <v>571</v>
      </c>
      <c r="G278" s="27">
        <v>45743</v>
      </c>
      <c r="H278" s="26" t="s">
        <v>1380</v>
      </c>
      <c r="I278" s="113" t="s">
        <v>12400</v>
      </c>
      <c r="J278" s="113" t="s">
        <v>12401</v>
      </c>
    </row>
    <row r="279" spans="1:10" ht="20" customHeight="1" thickBot="1">
      <c r="A279" s="28" t="s">
        <v>1383</v>
      </c>
      <c r="B279" s="28" t="s">
        <v>1383</v>
      </c>
      <c r="C279" s="28" t="s">
        <v>1384</v>
      </c>
      <c r="D279" s="117">
        <v>98</v>
      </c>
      <c r="E279" s="122" t="s">
        <v>31</v>
      </c>
      <c r="F279" s="120" t="s">
        <v>63</v>
      </c>
      <c r="G279" s="29">
        <v>41644</v>
      </c>
      <c r="H279" s="28" t="s">
        <v>1385</v>
      </c>
      <c r="I279" s="114" t="s">
        <v>12400</v>
      </c>
      <c r="J279" s="114" t="s">
        <v>12401</v>
      </c>
    </row>
    <row r="280" spans="1:10" ht="20" customHeight="1" thickBot="1">
      <c r="A280" s="26" t="s">
        <v>1388</v>
      </c>
      <c r="B280" s="26" t="s">
        <v>1388</v>
      </c>
      <c r="C280" s="26" t="s">
        <v>1389</v>
      </c>
      <c r="D280" s="116">
        <v>12</v>
      </c>
      <c r="E280" s="122" t="s">
        <v>33</v>
      </c>
      <c r="F280" s="119" t="s">
        <v>57</v>
      </c>
      <c r="G280" s="27">
        <v>45022</v>
      </c>
      <c r="H280" s="26" t="s">
        <v>1390</v>
      </c>
      <c r="I280" s="113" t="s">
        <v>12400</v>
      </c>
      <c r="J280" s="113" t="s">
        <v>12401</v>
      </c>
    </row>
    <row r="281" spans="1:10" ht="20" customHeight="1" thickBot="1">
      <c r="A281" s="28" t="s">
        <v>1393</v>
      </c>
      <c r="B281" s="28" t="s">
        <v>1393</v>
      </c>
      <c r="C281" s="28" t="s">
        <v>1389</v>
      </c>
      <c r="D281" s="117">
        <v>25</v>
      </c>
      <c r="E281" s="122" t="s">
        <v>34</v>
      </c>
      <c r="F281" s="120" t="s">
        <v>57</v>
      </c>
      <c r="G281" s="29">
        <v>45329</v>
      </c>
      <c r="H281" s="28" t="s">
        <v>1394</v>
      </c>
      <c r="I281" s="114" t="s">
        <v>12400</v>
      </c>
      <c r="J281" s="114" t="s">
        <v>12401</v>
      </c>
    </row>
    <row r="282" spans="1:10" ht="20" customHeight="1" thickBot="1">
      <c r="A282" s="26" t="s">
        <v>1397</v>
      </c>
      <c r="B282" s="26" t="s">
        <v>1397</v>
      </c>
      <c r="C282" s="26" t="s">
        <v>1389</v>
      </c>
      <c r="D282" s="116">
        <v>21</v>
      </c>
      <c r="E282" s="122" t="s">
        <v>34</v>
      </c>
      <c r="F282" s="119" t="s">
        <v>57</v>
      </c>
      <c r="G282" s="27">
        <v>45419</v>
      </c>
      <c r="H282" s="26" t="s">
        <v>1398</v>
      </c>
      <c r="I282" s="113" t="s">
        <v>12400</v>
      </c>
      <c r="J282" s="113" t="s">
        <v>12401</v>
      </c>
    </row>
    <row r="283" spans="1:10" ht="20" customHeight="1" thickBot="1">
      <c r="A283" s="28" t="s">
        <v>1401</v>
      </c>
      <c r="B283" s="28" t="s">
        <v>1401</v>
      </c>
      <c r="C283" s="28" t="s">
        <v>1402</v>
      </c>
      <c r="D283" s="117">
        <v>80</v>
      </c>
      <c r="E283" s="122" t="s">
        <v>31</v>
      </c>
      <c r="F283" s="120" t="s">
        <v>63</v>
      </c>
      <c r="G283" s="29">
        <v>44828</v>
      </c>
      <c r="H283" s="28" t="s">
        <v>1403</v>
      </c>
      <c r="I283" s="114" t="s">
        <v>12400</v>
      </c>
      <c r="J283" s="114" t="s">
        <v>12401</v>
      </c>
    </row>
    <row r="284" spans="1:10" ht="20" customHeight="1" thickBot="1">
      <c r="A284" s="26" t="s">
        <v>1406</v>
      </c>
      <c r="B284" s="26" t="s">
        <v>1406</v>
      </c>
      <c r="C284" s="26" t="s">
        <v>1407</v>
      </c>
      <c r="D284" s="116">
        <v>24</v>
      </c>
      <c r="E284" s="122" t="s">
        <v>33</v>
      </c>
      <c r="F284" s="119" t="s">
        <v>57</v>
      </c>
      <c r="G284" s="27">
        <v>45137</v>
      </c>
      <c r="H284" s="26" t="s">
        <v>1408</v>
      </c>
      <c r="I284" s="113" t="s">
        <v>12400</v>
      </c>
      <c r="J284" s="113" t="s">
        <v>12401</v>
      </c>
    </row>
    <row r="285" spans="1:10" ht="20" customHeight="1" thickBot="1">
      <c r="A285" s="28" t="s">
        <v>1411</v>
      </c>
      <c r="B285" s="28" t="s">
        <v>1411</v>
      </c>
      <c r="C285" s="28" t="s">
        <v>1407</v>
      </c>
      <c r="D285" s="117">
        <v>19</v>
      </c>
      <c r="E285" s="122" t="s">
        <v>33</v>
      </c>
      <c r="F285" s="120" t="s">
        <v>57</v>
      </c>
      <c r="G285" s="29">
        <v>43627</v>
      </c>
      <c r="H285" s="28" t="s">
        <v>1412</v>
      </c>
      <c r="I285" s="114" t="s">
        <v>12400</v>
      </c>
      <c r="J285" s="114" t="s">
        <v>12401</v>
      </c>
    </row>
    <row r="286" spans="1:10" ht="20" customHeight="1" thickBot="1">
      <c r="A286" s="26" t="s">
        <v>1415</v>
      </c>
      <c r="B286" s="26" t="s">
        <v>1415</v>
      </c>
      <c r="C286" s="26" t="s">
        <v>1407</v>
      </c>
      <c r="D286" s="116">
        <v>19</v>
      </c>
      <c r="E286" s="122" t="s">
        <v>33</v>
      </c>
      <c r="F286" s="119" t="s">
        <v>57</v>
      </c>
      <c r="G286" s="27">
        <v>44073</v>
      </c>
      <c r="H286" s="26" t="s">
        <v>1416</v>
      </c>
      <c r="I286" s="113" t="s">
        <v>12400</v>
      </c>
      <c r="J286" s="113" t="s">
        <v>12401</v>
      </c>
    </row>
    <row r="287" spans="1:10" ht="20" customHeight="1" thickBot="1">
      <c r="A287" s="28" t="s">
        <v>1419</v>
      </c>
      <c r="B287" s="28" t="s">
        <v>1419</v>
      </c>
      <c r="C287" s="28" t="s">
        <v>1420</v>
      </c>
      <c r="D287" s="117">
        <v>11</v>
      </c>
      <c r="E287" s="122" t="s">
        <v>34</v>
      </c>
      <c r="F287" s="120" t="s">
        <v>57</v>
      </c>
      <c r="G287" s="29">
        <v>45062</v>
      </c>
      <c r="H287" s="28" t="s">
        <v>1421</v>
      </c>
      <c r="I287" s="114" t="s">
        <v>12400</v>
      </c>
      <c r="J287" s="114" t="s">
        <v>12401</v>
      </c>
    </row>
    <row r="288" spans="1:10" ht="20" customHeight="1" thickBot="1">
      <c r="A288" s="26" t="s">
        <v>1424</v>
      </c>
      <c r="B288" s="26" t="s">
        <v>1424</v>
      </c>
      <c r="C288" s="26" t="s">
        <v>1420</v>
      </c>
      <c r="D288" s="116">
        <v>16</v>
      </c>
      <c r="E288" s="122" t="s">
        <v>35</v>
      </c>
      <c r="F288" s="119" t="s">
        <v>57</v>
      </c>
      <c r="G288" s="27">
        <v>45539</v>
      </c>
      <c r="H288" s="26" t="s">
        <v>1425</v>
      </c>
      <c r="I288" s="113" t="s">
        <v>12400</v>
      </c>
      <c r="J288" s="113" t="s">
        <v>12401</v>
      </c>
    </row>
    <row r="289" spans="1:10" ht="20" customHeight="1" thickBot="1">
      <c r="A289" s="28" t="s">
        <v>1428</v>
      </c>
      <c r="B289" s="28" t="s">
        <v>1428</v>
      </c>
      <c r="C289" s="28" t="s">
        <v>1429</v>
      </c>
      <c r="D289" s="117">
        <v>10</v>
      </c>
      <c r="E289" s="122" t="s">
        <v>34</v>
      </c>
      <c r="F289" s="120" t="s">
        <v>63</v>
      </c>
      <c r="G289" s="29">
        <v>44143</v>
      </c>
      <c r="H289" s="28" t="s">
        <v>1430</v>
      </c>
      <c r="I289" s="114" t="s">
        <v>12400</v>
      </c>
      <c r="J289" s="114" t="s">
        <v>12401</v>
      </c>
    </row>
    <row r="290" spans="1:10" ht="20" customHeight="1" thickBot="1">
      <c r="A290" s="26" t="s">
        <v>1433</v>
      </c>
      <c r="B290" s="26" t="s">
        <v>1433</v>
      </c>
      <c r="C290" s="26" t="s">
        <v>1434</v>
      </c>
      <c r="D290" s="116">
        <v>1</v>
      </c>
      <c r="E290" s="122" t="s">
        <v>33</v>
      </c>
      <c r="F290" s="119" t="s">
        <v>57</v>
      </c>
      <c r="G290" s="27">
        <v>45767</v>
      </c>
      <c r="H290" s="26" t="s">
        <v>1435</v>
      </c>
      <c r="I290" s="113" t="s">
        <v>12400</v>
      </c>
      <c r="J290" s="113" t="s">
        <v>12401</v>
      </c>
    </row>
    <row r="291" spans="1:10" ht="20" customHeight="1" thickBot="1">
      <c r="A291" s="28" t="s">
        <v>1438</v>
      </c>
      <c r="B291" s="28" t="s">
        <v>1438</v>
      </c>
      <c r="C291" s="28" t="s">
        <v>812</v>
      </c>
      <c r="D291" s="117">
        <v>10</v>
      </c>
      <c r="E291" s="122" t="s">
        <v>33</v>
      </c>
      <c r="F291" s="120" t="s">
        <v>57</v>
      </c>
      <c r="G291" s="29">
        <v>45833</v>
      </c>
      <c r="H291" s="28" t="s">
        <v>1439</v>
      </c>
      <c r="I291" s="114" t="s">
        <v>12400</v>
      </c>
      <c r="J291" s="114" t="s">
        <v>12401</v>
      </c>
    </row>
    <row r="292" spans="1:10" ht="20" customHeight="1" thickBot="1">
      <c r="A292" s="26" t="s">
        <v>1442</v>
      </c>
      <c r="B292" s="26" t="s">
        <v>1442</v>
      </c>
      <c r="C292" s="26" t="s">
        <v>547</v>
      </c>
      <c r="D292" s="116">
        <v>6</v>
      </c>
      <c r="E292" s="122" t="s">
        <v>31</v>
      </c>
      <c r="F292" s="119" t="s">
        <v>63</v>
      </c>
      <c r="G292" s="27">
        <v>43651</v>
      </c>
      <c r="H292" s="26" t="s">
        <v>1443</v>
      </c>
      <c r="I292" s="113" t="s">
        <v>12400</v>
      </c>
      <c r="J292" s="113" t="s">
        <v>12401</v>
      </c>
    </row>
    <row r="293" spans="1:10" ht="20" customHeight="1" thickBot="1">
      <c r="A293" s="28" t="s">
        <v>1446</v>
      </c>
      <c r="B293" s="28" t="s">
        <v>1446</v>
      </c>
      <c r="C293" s="28" t="s">
        <v>68</v>
      </c>
      <c r="D293" s="117">
        <v>5</v>
      </c>
      <c r="E293" s="122" t="s">
        <v>31</v>
      </c>
      <c r="F293" s="120" t="s">
        <v>63</v>
      </c>
      <c r="G293" s="29">
        <v>41900</v>
      </c>
      <c r="H293" s="28" t="s">
        <v>1447</v>
      </c>
      <c r="I293" s="114" t="s">
        <v>12400</v>
      </c>
      <c r="J293" s="114" t="s">
        <v>12401</v>
      </c>
    </row>
    <row r="294" spans="1:10" ht="20" customHeight="1" thickBot="1">
      <c r="A294" s="26" t="s">
        <v>1450</v>
      </c>
      <c r="B294" s="26" t="s">
        <v>1450</v>
      </c>
      <c r="C294" s="26" t="s">
        <v>104</v>
      </c>
      <c r="D294" s="116">
        <v>1</v>
      </c>
      <c r="E294" s="122" t="s">
        <v>35</v>
      </c>
      <c r="F294" s="119" t="s">
        <v>57</v>
      </c>
      <c r="G294" s="27">
        <v>44798</v>
      </c>
      <c r="H294" s="26" t="s">
        <v>1451</v>
      </c>
      <c r="I294" s="113" t="s">
        <v>12400</v>
      </c>
      <c r="J294" s="113" t="s">
        <v>12401</v>
      </c>
    </row>
    <row r="295" spans="1:10" ht="20" customHeight="1" thickBot="1">
      <c r="A295" s="28" t="s">
        <v>1454</v>
      </c>
      <c r="B295" s="28" t="s">
        <v>1454</v>
      </c>
      <c r="C295" s="28" t="s">
        <v>895</v>
      </c>
      <c r="D295" s="117">
        <v>1</v>
      </c>
      <c r="E295" s="122" t="s">
        <v>34</v>
      </c>
      <c r="F295" s="120" t="s">
        <v>57</v>
      </c>
      <c r="G295" s="29">
        <v>42674</v>
      </c>
      <c r="H295" s="28" t="s">
        <v>1455</v>
      </c>
      <c r="I295" s="114" t="s">
        <v>12400</v>
      </c>
      <c r="J295" s="114" t="s">
        <v>12401</v>
      </c>
    </row>
    <row r="296" spans="1:10" ht="20" customHeight="1" thickBot="1">
      <c r="A296" s="26" t="s">
        <v>1458</v>
      </c>
      <c r="B296" s="26" t="s">
        <v>1458</v>
      </c>
      <c r="C296" s="26" t="s">
        <v>1459</v>
      </c>
      <c r="D296" s="116">
        <v>6</v>
      </c>
      <c r="E296" s="122" t="s">
        <v>34</v>
      </c>
      <c r="F296" s="119" t="s">
        <v>57</v>
      </c>
      <c r="G296" s="27">
        <v>46080</v>
      </c>
      <c r="H296" s="26" t="s">
        <v>1460</v>
      </c>
      <c r="I296" s="113" t="s">
        <v>12400</v>
      </c>
      <c r="J296" s="113" t="s">
        <v>12401</v>
      </c>
    </row>
    <row r="297" spans="1:10" ht="20" customHeight="1" thickBot="1">
      <c r="A297" s="28" t="s">
        <v>1463</v>
      </c>
      <c r="B297" s="28" t="s">
        <v>1463</v>
      </c>
      <c r="C297" s="28" t="s">
        <v>1464</v>
      </c>
      <c r="D297" s="117">
        <v>12</v>
      </c>
      <c r="E297" s="122" t="s">
        <v>33</v>
      </c>
      <c r="F297" s="120" t="s">
        <v>57</v>
      </c>
      <c r="G297" s="29">
        <v>45540</v>
      </c>
      <c r="H297" s="28" t="s">
        <v>1465</v>
      </c>
      <c r="I297" s="114" t="s">
        <v>12400</v>
      </c>
      <c r="J297" s="114" t="s">
        <v>12401</v>
      </c>
    </row>
    <row r="298" spans="1:10" ht="20" customHeight="1" thickBot="1">
      <c r="A298" s="26" t="s">
        <v>1468</v>
      </c>
      <c r="B298" s="26" t="s">
        <v>1468</v>
      </c>
      <c r="C298" s="26" t="s">
        <v>1464</v>
      </c>
      <c r="D298" s="116">
        <v>10</v>
      </c>
      <c r="E298" s="122" t="s">
        <v>31</v>
      </c>
      <c r="F298" s="119" t="s">
        <v>57</v>
      </c>
      <c r="G298" s="27">
        <v>45717</v>
      </c>
      <c r="H298" s="26" t="s">
        <v>1469</v>
      </c>
      <c r="I298" s="113" t="s">
        <v>12400</v>
      </c>
      <c r="J298" s="113" t="s">
        <v>12401</v>
      </c>
    </row>
    <row r="299" spans="1:10" ht="20" customHeight="1" thickBot="1">
      <c r="A299" s="28" t="s">
        <v>1472</v>
      </c>
      <c r="B299" s="28" t="s">
        <v>1472</v>
      </c>
      <c r="C299" s="28" t="s">
        <v>1473</v>
      </c>
      <c r="D299" s="117">
        <v>17</v>
      </c>
      <c r="E299" s="122" t="s">
        <v>33</v>
      </c>
      <c r="F299" s="120" t="s">
        <v>57</v>
      </c>
      <c r="G299" s="29">
        <v>44285</v>
      </c>
      <c r="H299" s="28" t="s">
        <v>1474</v>
      </c>
      <c r="I299" s="114" t="s">
        <v>12400</v>
      </c>
      <c r="J299" s="114" t="s">
        <v>12401</v>
      </c>
    </row>
    <row r="300" spans="1:10" ht="20" customHeight="1" thickBot="1">
      <c r="A300" s="26" t="s">
        <v>1477</v>
      </c>
      <c r="B300" s="26" t="s">
        <v>1477</v>
      </c>
      <c r="C300" s="26" t="s">
        <v>1478</v>
      </c>
      <c r="D300" s="116">
        <v>7</v>
      </c>
      <c r="E300" s="122" t="s">
        <v>34</v>
      </c>
      <c r="F300" s="119" t="s">
        <v>57</v>
      </c>
      <c r="G300" s="27">
        <v>45778</v>
      </c>
      <c r="H300" s="26" t="s">
        <v>1479</v>
      </c>
      <c r="I300" s="113" t="s">
        <v>12400</v>
      </c>
      <c r="J300" s="113" t="s">
        <v>12401</v>
      </c>
    </row>
    <row r="301" spans="1:10" ht="20" customHeight="1" thickBot="1">
      <c r="A301" s="28" t="s">
        <v>1482</v>
      </c>
      <c r="B301" s="28" t="s">
        <v>1482</v>
      </c>
      <c r="C301" s="28" t="s">
        <v>1483</v>
      </c>
      <c r="D301" s="117">
        <v>10</v>
      </c>
      <c r="E301" s="122" t="s">
        <v>34</v>
      </c>
      <c r="F301" s="120" t="s">
        <v>57</v>
      </c>
      <c r="G301" s="29">
        <v>44827</v>
      </c>
      <c r="H301" s="28" t="s">
        <v>1484</v>
      </c>
      <c r="I301" s="114" t="s">
        <v>12400</v>
      </c>
      <c r="J301" s="114" t="s">
        <v>12401</v>
      </c>
    </row>
    <row r="302" spans="1:10" ht="20" customHeight="1" thickBot="1">
      <c r="A302" s="26" t="s">
        <v>1487</v>
      </c>
      <c r="B302" s="26" t="s">
        <v>1487</v>
      </c>
      <c r="C302" s="26" t="s">
        <v>1483</v>
      </c>
      <c r="D302" s="116">
        <v>18</v>
      </c>
      <c r="E302" s="122" t="s">
        <v>35</v>
      </c>
      <c r="F302" s="119" t="s">
        <v>57</v>
      </c>
      <c r="G302" s="27">
        <v>45054</v>
      </c>
      <c r="H302" s="26" t="s">
        <v>1488</v>
      </c>
      <c r="I302" s="113" t="s">
        <v>12400</v>
      </c>
      <c r="J302" s="113" t="s">
        <v>12401</v>
      </c>
    </row>
    <row r="303" spans="1:10" ht="20" customHeight="1" thickBot="1">
      <c r="A303" s="28" t="s">
        <v>1491</v>
      </c>
      <c r="B303" s="28" t="s">
        <v>1491</v>
      </c>
      <c r="C303" s="28" t="s">
        <v>1492</v>
      </c>
      <c r="D303" s="117">
        <v>8</v>
      </c>
      <c r="E303" s="122" t="s">
        <v>29</v>
      </c>
      <c r="F303" s="120" t="s">
        <v>63</v>
      </c>
      <c r="G303" s="29">
        <v>43700</v>
      </c>
      <c r="H303" s="28" t="s">
        <v>1493</v>
      </c>
      <c r="I303" s="114" t="s">
        <v>12400</v>
      </c>
      <c r="J303" s="114" t="s">
        <v>12401</v>
      </c>
    </row>
    <row r="304" spans="1:10" ht="20" customHeight="1" thickBot="1">
      <c r="A304" s="26" t="s">
        <v>1496</v>
      </c>
      <c r="B304" s="26" t="s">
        <v>1496</v>
      </c>
      <c r="C304" s="26" t="s">
        <v>1497</v>
      </c>
      <c r="D304" s="116">
        <v>24</v>
      </c>
      <c r="E304" s="122" t="s">
        <v>31</v>
      </c>
      <c r="F304" s="119" t="s">
        <v>63</v>
      </c>
      <c r="G304" s="27">
        <v>42719</v>
      </c>
      <c r="H304" s="26" t="s">
        <v>1498</v>
      </c>
      <c r="I304" s="113" t="s">
        <v>12400</v>
      </c>
      <c r="J304" s="113" t="s">
        <v>12401</v>
      </c>
    </row>
    <row r="305" spans="1:10" ht="20" customHeight="1" thickBot="1">
      <c r="A305" s="28" t="s">
        <v>1501</v>
      </c>
      <c r="B305" s="28" t="s">
        <v>1501</v>
      </c>
      <c r="C305" s="28" t="s">
        <v>1497</v>
      </c>
      <c r="D305" s="117">
        <v>25</v>
      </c>
      <c r="E305" s="122" t="s">
        <v>29</v>
      </c>
      <c r="F305" s="120" t="s">
        <v>63</v>
      </c>
      <c r="G305" s="29">
        <v>43275</v>
      </c>
      <c r="H305" s="28" t="s">
        <v>1502</v>
      </c>
      <c r="I305" s="114" t="s">
        <v>12400</v>
      </c>
      <c r="J305" s="114" t="s">
        <v>12401</v>
      </c>
    </row>
    <row r="306" spans="1:10" ht="20" customHeight="1" thickBot="1">
      <c r="A306" s="26" t="s">
        <v>1505</v>
      </c>
      <c r="B306" s="26" t="s">
        <v>1505</v>
      </c>
      <c r="C306" s="26" t="s">
        <v>1506</v>
      </c>
      <c r="D306" s="116">
        <v>6</v>
      </c>
      <c r="E306" s="122" t="s">
        <v>29</v>
      </c>
      <c r="F306" s="119" t="s">
        <v>63</v>
      </c>
      <c r="G306" s="27">
        <v>41675</v>
      </c>
      <c r="H306" s="26" t="s">
        <v>1507</v>
      </c>
      <c r="I306" s="113" t="s">
        <v>12400</v>
      </c>
      <c r="J306" s="113" t="s">
        <v>12401</v>
      </c>
    </row>
    <row r="307" spans="1:10" ht="20" customHeight="1" thickBot="1">
      <c r="A307" s="28" t="s">
        <v>1510</v>
      </c>
      <c r="B307" s="28" t="s">
        <v>1510</v>
      </c>
      <c r="C307" s="28" t="s">
        <v>1511</v>
      </c>
      <c r="D307" s="117">
        <v>1</v>
      </c>
      <c r="E307" s="122" t="s">
        <v>31</v>
      </c>
      <c r="F307" s="120" t="s">
        <v>57</v>
      </c>
      <c r="G307" s="29">
        <v>43946</v>
      </c>
      <c r="H307" s="28" t="s">
        <v>1512</v>
      </c>
      <c r="I307" s="114" t="s">
        <v>12400</v>
      </c>
      <c r="J307" s="114" t="s">
        <v>12401</v>
      </c>
    </row>
    <row r="308" spans="1:10" ht="20" customHeight="1" thickBot="1">
      <c r="A308" s="26" t="s">
        <v>1515</v>
      </c>
      <c r="B308" s="26" t="s">
        <v>1515</v>
      </c>
      <c r="C308" s="26" t="s">
        <v>1511</v>
      </c>
      <c r="D308" s="116">
        <v>1</v>
      </c>
      <c r="E308" s="122" t="s">
        <v>34</v>
      </c>
      <c r="F308" s="119" t="s">
        <v>115</v>
      </c>
      <c r="G308" s="27">
        <v>43972</v>
      </c>
      <c r="H308" s="26" t="s">
        <v>1516</v>
      </c>
      <c r="I308" s="113" t="s">
        <v>12400</v>
      </c>
      <c r="J308" s="113" t="s">
        <v>12401</v>
      </c>
    </row>
    <row r="309" spans="1:10" ht="20" customHeight="1" thickBot="1">
      <c r="A309" s="28" t="s">
        <v>1519</v>
      </c>
      <c r="B309" s="28" t="s">
        <v>1519</v>
      </c>
      <c r="C309" s="28" t="s">
        <v>1520</v>
      </c>
      <c r="D309" s="117">
        <v>26</v>
      </c>
      <c r="E309" s="122" t="s">
        <v>29</v>
      </c>
      <c r="F309" s="120" t="s">
        <v>63</v>
      </c>
      <c r="G309" s="29">
        <v>42615</v>
      </c>
      <c r="H309" s="28" t="s">
        <v>1521</v>
      </c>
      <c r="I309" s="114" t="s">
        <v>12400</v>
      </c>
      <c r="J309" s="114" t="s">
        <v>12401</v>
      </c>
    </row>
    <row r="310" spans="1:10" ht="20" customHeight="1" thickBot="1">
      <c r="A310" s="26" t="s">
        <v>1524</v>
      </c>
      <c r="B310" s="26" t="s">
        <v>1524</v>
      </c>
      <c r="C310" s="26" t="s">
        <v>1525</v>
      </c>
      <c r="D310" s="116">
        <v>9</v>
      </c>
      <c r="E310" s="122" t="s">
        <v>36</v>
      </c>
      <c r="F310" s="119" t="s">
        <v>57</v>
      </c>
      <c r="G310" s="27">
        <v>44135</v>
      </c>
      <c r="H310" s="26" t="s">
        <v>1526</v>
      </c>
      <c r="I310" s="113" t="s">
        <v>12400</v>
      </c>
      <c r="J310" s="113" t="s">
        <v>12401</v>
      </c>
    </row>
    <row r="311" spans="1:10" ht="20" customHeight="1" thickBot="1">
      <c r="A311" s="28" t="s">
        <v>1529</v>
      </c>
      <c r="B311" s="28" t="s">
        <v>1529</v>
      </c>
      <c r="C311" s="28" t="s">
        <v>1530</v>
      </c>
      <c r="D311" s="117">
        <v>1</v>
      </c>
      <c r="E311" s="122" t="s">
        <v>33</v>
      </c>
      <c r="F311" s="120" t="s">
        <v>571</v>
      </c>
      <c r="G311" s="29">
        <v>42897</v>
      </c>
      <c r="H311" s="28" t="s">
        <v>1531</v>
      </c>
      <c r="I311" s="114" t="s">
        <v>12400</v>
      </c>
      <c r="J311" s="114" t="s">
        <v>12401</v>
      </c>
    </row>
    <row r="312" spans="1:10" ht="20" customHeight="1" thickBot="1">
      <c r="A312" s="26" t="s">
        <v>1534</v>
      </c>
      <c r="B312" s="26" t="s">
        <v>1534</v>
      </c>
      <c r="C312" s="26" t="s">
        <v>1535</v>
      </c>
      <c r="D312" s="116">
        <v>5</v>
      </c>
      <c r="E312" s="122" t="s">
        <v>29</v>
      </c>
      <c r="F312" s="119" t="s">
        <v>63</v>
      </c>
      <c r="G312" s="27">
        <v>42276</v>
      </c>
      <c r="H312" s="26" t="s">
        <v>1536</v>
      </c>
      <c r="I312" s="113" t="s">
        <v>12400</v>
      </c>
      <c r="J312" s="113" t="s">
        <v>12401</v>
      </c>
    </row>
    <row r="313" spans="1:10" ht="20" customHeight="1" thickBot="1">
      <c r="A313" s="28" t="s">
        <v>1539</v>
      </c>
      <c r="B313" s="28" t="s">
        <v>1539</v>
      </c>
      <c r="C313" s="28" t="s">
        <v>1434</v>
      </c>
      <c r="D313" s="117">
        <v>6</v>
      </c>
      <c r="E313" s="122" t="s">
        <v>31</v>
      </c>
      <c r="F313" s="120" t="s">
        <v>63</v>
      </c>
      <c r="G313" s="29">
        <v>46142</v>
      </c>
      <c r="H313" s="28" t="s">
        <v>1540</v>
      </c>
      <c r="I313" s="114" t="s">
        <v>12400</v>
      </c>
      <c r="J313" s="114" t="s">
        <v>12401</v>
      </c>
    </row>
    <row r="314" spans="1:10" ht="20" customHeight="1" thickBot="1">
      <c r="A314" s="26" t="s">
        <v>1543</v>
      </c>
      <c r="B314" s="26" t="s">
        <v>1543</v>
      </c>
      <c r="C314" s="26" t="s">
        <v>1434</v>
      </c>
      <c r="D314" s="116">
        <v>6</v>
      </c>
      <c r="E314" s="122" t="s">
        <v>31</v>
      </c>
      <c r="F314" s="119" t="s">
        <v>63</v>
      </c>
      <c r="G314" s="27">
        <v>46198</v>
      </c>
      <c r="H314" s="26" t="s">
        <v>1544</v>
      </c>
      <c r="I314" s="113" t="s">
        <v>12400</v>
      </c>
      <c r="J314" s="113" t="s">
        <v>12401</v>
      </c>
    </row>
    <row r="315" spans="1:10" ht="20" customHeight="1" thickBot="1">
      <c r="A315" s="28" t="s">
        <v>1547</v>
      </c>
      <c r="B315" s="28" t="s">
        <v>1547</v>
      </c>
      <c r="C315" s="28" t="s">
        <v>1434</v>
      </c>
      <c r="D315" s="117">
        <v>6</v>
      </c>
      <c r="E315" s="122" t="s">
        <v>33</v>
      </c>
      <c r="F315" s="120" t="s">
        <v>63</v>
      </c>
      <c r="G315" s="29">
        <v>46164</v>
      </c>
      <c r="H315" s="28" t="s">
        <v>1548</v>
      </c>
      <c r="I315" s="114" t="s">
        <v>12400</v>
      </c>
      <c r="J315" s="114" t="s">
        <v>12401</v>
      </c>
    </row>
    <row r="316" spans="1:10" ht="20" customHeight="1" thickBot="1">
      <c r="A316" s="26" t="s">
        <v>1551</v>
      </c>
      <c r="B316" s="26" t="s">
        <v>1551</v>
      </c>
      <c r="C316" s="26" t="s">
        <v>1434</v>
      </c>
      <c r="D316" s="116">
        <v>6</v>
      </c>
      <c r="E316" s="122" t="s">
        <v>33</v>
      </c>
      <c r="F316" s="119" t="s">
        <v>63</v>
      </c>
      <c r="G316" s="27">
        <v>46202</v>
      </c>
      <c r="H316" s="26" t="s">
        <v>1552</v>
      </c>
      <c r="I316" s="113" t="s">
        <v>12400</v>
      </c>
      <c r="J316" s="113" t="s">
        <v>12401</v>
      </c>
    </row>
    <row r="317" spans="1:10" ht="20" customHeight="1" thickBot="1">
      <c r="A317" s="28" t="s">
        <v>1555</v>
      </c>
      <c r="B317" s="28" t="s">
        <v>1555</v>
      </c>
      <c r="C317" s="28" t="s">
        <v>1556</v>
      </c>
      <c r="D317" s="117">
        <v>1</v>
      </c>
      <c r="E317" s="122" t="s">
        <v>36</v>
      </c>
      <c r="F317" s="120" t="s">
        <v>89</v>
      </c>
      <c r="G317" s="29">
        <v>43962</v>
      </c>
      <c r="H317" s="28" t="s">
        <v>1557</v>
      </c>
      <c r="I317" s="114" t="s">
        <v>12400</v>
      </c>
      <c r="J317" s="114" t="s">
        <v>12401</v>
      </c>
    </row>
    <row r="318" spans="1:10" ht="20" customHeight="1" thickBot="1">
      <c r="A318" s="26" t="s">
        <v>1560</v>
      </c>
      <c r="B318" s="26" t="s">
        <v>1560</v>
      </c>
      <c r="C318" s="26" t="s">
        <v>762</v>
      </c>
      <c r="D318" s="116">
        <v>2</v>
      </c>
      <c r="E318" s="122" t="s">
        <v>29</v>
      </c>
      <c r="F318" s="119" t="s">
        <v>63</v>
      </c>
      <c r="G318" s="27">
        <v>41999</v>
      </c>
      <c r="H318" s="26" t="s">
        <v>1561</v>
      </c>
      <c r="I318" s="113" t="s">
        <v>12400</v>
      </c>
      <c r="J318" s="113" t="s">
        <v>12401</v>
      </c>
    </row>
    <row r="319" spans="1:10" ht="20" customHeight="1" thickBot="1">
      <c r="A319" s="28" t="s">
        <v>1564</v>
      </c>
      <c r="B319" s="28" t="s">
        <v>1564</v>
      </c>
      <c r="C319" s="28" t="s">
        <v>1565</v>
      </c>
      <c r="D319" s="117">
        <v>11</v>
      </c>
      <c r="E319" s="122" t="s">
        <v>34</v>
      </c>
      <c r="F319" s="120" t="s">
        <v>57</v>
      </c>
      <c r="G319" s="29">
        <v>44237</v>
      </c>
      <c r="H319" s="28" t="s">
        <v>1566</v>
      </c>
      <c r="I319" s="114" t="s">
        <v>12400</v>
      </c>
      <c r="J319" s="114" t="s">
        <v>12401</v>
      </c>
    </row>
    <row r="320" spans="1:10" ht="20" customHeight="1" thickBot="1">
      <c r="A320" s="26" t="s">
        <v>1569</v>
      </c>
      <c r="B320" s="26" t="s">
        <v>1569</v>
      </c>
      <c r="C320" s="26" t="s">
        <v>1570</v>
      </c>
      <c r="D320" s="116">
        <v>6</v>
      </c>
      <c r="E320" s="122" t="s">
        <v>34</v>
      </c>
      <c r="F320" s="119" t="s">
        <v>57</v>
      </c>
      <c r="G320" s="27">
        <v>44362</v>
      </c>
      <c r="H320" s="26" t="s">
        <v>1571</v>
      </c>
      <c r="I320" s="113" t="s">
        <v>12400</v>
      </c>
      <c r="J320" s="113" t="s">
        <v>12401</v>
      </c>
    </row>
    <row r="321" spans="1:10" ht="20" customHeight="1" thickBot="1">
      <c r="A321" s="28" t="s">
        <v>1574</v>
      </c>
      <c r="B321" s="28" t="s">
        <v>1574</v>
      </c>
      <c r="C321" s="28" t="s">
        <v>1575</v>
      </c>
      <c r="D321" s="117">
        <v>20</v>
      </c>
      <c r="E321" s="122" t="s">
        <v>29</v>
      </c>
      <c r="F321" s="120" t="s">
        <v>57</v>
      </c>
      <c r="G321" s="29">
        <v>46006</v>
      </c>
      <c r="H321" s="28" t="s">
        <v>1576</v>
      </c>
      <c r="I321" s="114" t="s">
        <v>12400</v>
      </c>
      <c r="J321" s="114" t="s">
        <v>12401</v>
      </c>
    </row>
    <row r="322" spans="1:10" ht="20" customHeight="1" thickBot="1">
      <c r="A322" s="26" t="s">
        <v>1579</v>
      </c>
      <c r="B322" s="26" t="s">
        <v>1579</v>
      </c>
      <c r="C322" s="26" t="s">
        <v>1580</v>
      </c>
      <c r="D322" s="116">
        <v>9</v>
      </c>
      <c r="E322" s="122" t="s">
        <v>34</v>
      </c>
      <c r="F322" s="119" t="s">
        <v>57</v>
      </c>
      <c r="G322" s="27">
        <v>44594</v>
      </c>
      <c r="H322" s="26" t="s">
        <v>1581</v>
      </c>
      <c r="I322" s="113" t="s">
        <v>12400</v>
      </c>
      <c r="J322" s="113" t="s">
        <v>12401</v>
      </c>
    </row>
    <row r="323" spans="1:10" ht="20" customHeight="1" thickBot="1">
      <c r="A323" s="28" t="s">
        <v>1584</v>
      </c>
      <c r="B323" s="28" t="s">
        <v>1584</v>
      </c>
      <c r="C323" s="28" t="s">
        <v>718</v>
      </c>
      <c r="D323" s="117">
        <v>15</v>
      </c>
      <c r="E323" s="122" t="s">
        <v>34</v>
      </c>
      <c r="F323" s="120" t="s">
        <v>57</v>
      </c>
      <c r="G323" s="29">
        <v>43452</v>
      </c>
      <c r="H323" s="28" t="s">
        <v>1585</v>
      </c>
      <c r="I323" s="114" t="s">
        <v>12400</v>
      </c>
      <c r="J323" s="114" t="s">
        <v>12401</v>
      </c>
    </row>
    <row r="324" spans="1:10" ht="20" customHeight="1" thickBot="1">
      <c r="A324" s="26" t="s">
        <v>1588</v>
      </c>
      <c r="B324" s="26" t="s">
        <v>1588</v>
      </c>
      <c r="C324" s="26" t="s">
        <v>718</v>
      </c>
      <c r="D324" s="116">
        <v>0</v>
      </c>
      <c r="E324" s="122" t="s">
        <v>34</v>
      </c>
      <c r="F324" s="119" t="s">
        <v>57</v>
      </c>
      <c r="G324" s="27">
        <v>45902</v>
      </c>
      <c r="H324" s="26" t="s">
        <v>1589</v>
      </c>
      <c r="I324" s="113" t="s">
        <v>12400</v>
      </c>
      <c r="J324" s="113" t="s">
        <v>12401</v>
      </c>
    </row>
    <row r="325" spans="1:10" ht="20" customHeight="1" thickBot="1">
      <c r="A325" s="28" t="s">
        <v>1592</v>
      </c>
      <c r="B325" s="28" t="s">
        <v>1592</v>
      </c>
      <c r="C325" s="28" t="s">
        <v>1593</v>
      </c>
      <c r="D325" s="117">
        <v>11</v>
      </c>
      <c r="E325" s="122" t="s">
        <v>29</v>
      </c>
      <c r="F325" s="120" t="s">
        <v>63</v>
      </c>
      <c r="G325" s="29">
        <v>42215</v>
      </c>
      <c r="H325" s="28" t="s">
        <v>1594</v>
      </c>
      <c r="I325" s="114" t="s">
        <v>12400</v>
      </c>
      <c r="J325" s="114" t="s">
        <v>12401</v>
      </c>
    </row>
    <row r="326" spans="1:10" ht="20" customHeight="1" thickBot="1">
      <c r="A326" s="26" t="s">
        <v>1597</v>
      </c>
      <c r="B326" s="26" t="s">
        <v>1597</v>
      </c>
      <c r="C326" s="26" t="s">
        <v>1598</v>
      </c>
      <c r="D326" s="116">
        <v>26</v>
      </c>
      <c r="E326" s="122" t="s">
        <v>31</v>
      </c>
      <c r="F326" s="119" t="s">
        <v>63</v>
      </c>
      <c r="G326" s="27">
        <v>42037</v>
      </c>
      <c r="H326" s="26" t="s">
        <v>1599</v>
      </c>
      <c r="I326" s="113" t="s">
        <v>12400</v>
      </c>
      <c r="J326" s="113" t="s">
        <v>12401</v>
      </c>
    </row>
    <row r="327" spans="1:10" ht="20" customHeight="1" thickBot="1">
      <c r="A327" s="28" t="s">
        <v>1602</v>
      </c>
      <c r="B327" s="28" t="s">
        <v>1602</v>
      </c>
      <c r="C327" s="28" t="s">
        <v>1603</v>
      </c>
      <c r="D327" s="117">
        <v>10</v>
      </c>
      <c r="E327" s="122" t="s">
        <v>31</v>
      </c>
      <c r="F327" s="120" t="s">
        <v>63</v>
      </c>
      <c r="G327" s="29">
        <v>45314</v>
      </c>
      <c r="H327" s="28" t="s">
        <v>1604</v>
      </c>
      <c r="I327" s="114" t="s">
        <v>12400</v>
      </c>
      <c r="J327" s="114" t="s">
        <v>12401</v>
      </c>
    </row>
    <row r="328" spans="1:10" ht="20" customHeight="1" thickBot="1">
      <c r="A328" s="26" t="s">
        <v>1607</v>
      </c>
      <c r="B328" s="26" t="s">
        <v>1607</v>
      </c>
      <c r="C328" s="26" t="s">
        <v>1608</v>
      </c>
      <c r="D328" s="116">
        <v>4</v>
      </c>
      <c r="E328" s="122" t="s">
        <v>34</v>
      </c>
      <c r="F328" s="119" t="s">
        <v>57</v>
      </c>
      <c r="G328" s="27">
        <v>45111</v>
      </c>
      <c r="H328" s="26" t="s">
        <v>1609</v>
      </c>
      <c r="I328" s="113" t="s">
        <v>12400</v>
      </c>
      <c r="J328" s="113" t="s">
        <v>12401</v>
      </c>
    </row>
    <row r="329" spans="1:10" ht="20" customHeight="1" thickBot="1">
      <c r="A329" s="28" t="s">
        <v>1612</v>
      </c>
      <c r="B329" s="28" t="s">
        <v>1612</v>
      </c>
      <c r="C329" s="28" t="s">
        <v>1497</v>
      </c>
      <c r="D329" s="117">
        <v>0</v>
      </c>
      <c r="E329" s="122" t="s">
        <v>31</v>
      </c>
      <c r="F329" s="120" t="s">
        <v>63</v>
      </c>
      <c r="G329" s="29">
        <v>42718</v>
      </c>
      <c r="H329" s="28" t="s">
        <v>1613</v>
      </c>
      <c r="I329" s="114" t="s">
        <v>12400</v>
      </c>
      <c r="J329" s="114" t="s">
        <v>12401</v>
      </c>
    </row>
    <row r="330" spans="1:10" ht="20" customHeight="1" thickBot="1">
      <c r="A330" s="26" t="s">
        <v>1616</v>
      </c>
      <c r="B330" s="26" t="s">
        <v>1616</v>
      </c>
      <c r="C330" s="26" t="s">
        <v>1617</v>
      </c>
      <c r="D330" s="116">
        <v>8</v>
      </c>
      <c r="E330" s="122" t="s">
        <v>27</v>
      </c>
      <c r="F330" s="119" t="s">
        <v>63</v>
      </c>
      <c r="G330" s="27">
        <v>44614</v>
      </c>
      <c r="H330" s="26" t="s">
        <v>1618</v>
      </c>
      <c r="I330" s="113" t="s">
        <v>12400</v>
      </c>
      <c r="J330" s="113" t="s">
        <v>12401</v>
      </c>
    </row>
    <row r="331" spans="1:10" ht="20" customHeight="1" thickBot="1">
      <c r="A331" s="28" t="s">
        <v>1621</v>
      </c>
      <c r="B331" s="28" t="s">
        <v>1621</v>
      </c>
      <c r="C331" s="28" t="s">
        <v>1622</v>
      </c>
      <c r="D331" s="117">
        <v>11</v>
      </c>
      <c r="E331" s="122" t="s">
        <v>33</v>
      </c>
      <c r="F331" s="120" t="s">
        <v>57</v>
      </c>
      <c r="G331" s="29">
        <v>44685</v>
      </c>
      <c r="H331" s="28" t="s">
        <v>1623</v>
      </c>
      <c r="I331" s="114" t="s">
        <v>12400</v>
      </c>
      <c r="J331" s="114" t="s">
        <v>12401</v>
      </c>
    </row>
    <row r="332" spans="1:10" ht="20" customHeight="1" thickBot="1">
      <c r="A332" s="26" t="s">
        <v>1626</v>
      </c>
      <c r="B332" s="26" t="s">
        <v>1626</v>
      </c>
      <c r="C332" s="26" t="s">
        <v>1627</v>
      </c>
      <c r="D332" s="116">
        <v>17</v>
      </c>
      <c r="E332" s="122" t="s">
        <v>34</v>
      </c>
      <c r="F332" s="119" t="s">
        <v>57</v>
      </c>
      <c r="G332" s="27">
        <v>45040</v>
      </c>
      <c r="H332" s="26" t="s">
        <v>1628</v>
      </c>
      <c r="I332" s="113" t="s">
        <v>12400</v>
      </c>
      <c r="J332" s="113" t="s">
        <v>12401</v>
      </c>
    </row>
    <row r="333" spans="1:10" ht="20" customHeight="1" thickBot="1">
      <c r="A333" s="28" t="s">
        <v>1631</v>
      </c>
      <c r="B333" s="28" t="s">
        <v>1631</v>
      </c>
      <c r="C333" s="28" t="s">
        <v>1632</v>
      </c>
      <c r="D333" s="117">
        <v>23</v>
      </c>
      <c r="E333" s="122" t="s">
        <v>31</v>
      </c>
      <c r="F333" s="120" t="s">
        <v>57</v>
      </c>
      <c r="G333" s="29">
        <v>45477</v>
      </c>
      <c r="H333" s="28" t="s">
        <v>1633</v>
      </c>
      <c r="I333" s="114" t="s">
        <v>12400</v>
      </c>
      <c r="J333" s="114" t="s">
        <v>12401</v>
      </c>
    </row>
    <row r="334" spans="1:10" ht="20" customHeight="1" thickBot="1">
      <c r="A334" s="26" t="s">
        <v>1636</v>
      </c>
      <c r="B334" s="26" t="s">
        <v>1636</v>
      </c>
      <c r="C334" s="26" t="s">
        <v>1637</v>
      </c>
      <c r="D334" s="116">
        <v>10</v>
      </c>
      <c r="E334" s="122" t="s">
        <v>33</v>
      </c>
      <c r="F334" s="119" t="s">
        <v>57</v>
      </c>
      <c r="G334" s="27">
        <v>45613</v>
      </c>
      <c r="H334" s="26" t="s">
        <v>1638</v>
      </c>
      <c r="I334" s="113" t="s">
        <v>12400</v>
      </c>
      <c r="J334" s="113" t="s">
        <v>12401</v>
      </c>
    </row>
    <row r="335" spans="1:10" ht="20" customHeight="1" thickBot="1">
      <c r="A335" s="28" t="s">
        <v>1641</v>
      </c>
      <c r="B335" s="28" t="s">
        <v>1641</v>
      </c>
      <c r="C335" s="28" t="s">
        <v>83</v>
      </c>
      <c r="D335" s="117">
        <v>12</v>
      </c>
      <c r="E335" s="122" t="s">
        <v>27</v>
      </c>
      <c r="F335" s="120" t="s">
        <v>63</v>
      </c>
      <c r="G335" s="29">
        <v>42132</v>
      </c>
      <c r="H335" s="28" t="s">
        <v>1642</v>
      </c>
      <c r="I335" s="114" t="s">
        <v>12400</v>
      </c>
      <c r="J335" s="114" t="s">
        <v>12401</v>
      </c>
    </row>
    <row r="336" spans="1:10" ht="20" customHeight="1" thickBot="1">
      <c r="A336" s="26" t="s">
        <v>1645</v>
      </c>
      <c r="B336" s="26" t="s">
        <v>1645</v>
      </c>
      <c r="C336" s="26" t="s">
        <v>1646</v>
      </c>
      <c r="D336" s="116">
        <v>1</v>
      </c>
      <c r="E336" s="122" t="s">
        <v>29</v>
      </c>
      <c r="F336" s="119" t="s">
        <v>63</v>
      </c>
      <c r="G336" s="27">
        <v>42003</v>
      </c>
      <c r="H336" s="26" t="s">
        <v>1647</v>
      </c>
      <c r="I336" s="113" t="s">
        <v>12400</v>
      </c>
      <c r="J336" s="113" t="s">
        <v>12401</v>
      </c>
    </row>
    <row r="337" spans="1:10" ht="20" customHeight="1" thickBot="1">
      <c r="A337" s="28" t="s">
        <v>1650</v>
      </c>
      <c r="B337" s="28" t="s">
        <v>1650</v>
      </c>
      <c r="C337" s="28" t="s">
        <v>1651</v>
      </c>
      <c r="D337" s="117">
        <v>19</v>
      </c>
      <c r="E337" s="122" t="s">
        <v>34</v>
      </c>
      <c r="F337" s="120" t="s">
        <v>57</v>
      </c>
      <c r="G337" s="29">
        <v>44523</v>
      </c>
      <c r="H337" s="28" t="s">
        <v>1652</v>
      </c>
      <c r="I337" s="114" t="s">
        <v>12400</v>
      </c>
      <c r="J337" s="114" t="s">
        <v>12401</v>
      </c>
    </row>
    <row r="338" spans="1:10" ht="20" customHeight="1" thickBot="1">
      <c r="A338" s="26" t="s">
        <v>1655</v>
      </c>
      <c r="B338" s="26" t="s">
        <v>1655</v>
      </c>
      <c r="C338" s="26" t="s">
        <v>743</v>
      </c>
      <c r="D338" s="116">
        <v>13</v>
      </c>
      <c r="E338" s="122" t="s">
        <v>34</v>
      </c>
      <c r="F338" s="119" t="s">
        <v>57</v>
      </c>
      <c r="G338" s="27">
        <v>44722</v>
      </c>
      <c r="H338" s="26" t="s">
        <v>1656</v>
      </c>
      <c r="I338" s="113" t="s">
        <v>12400</v>
      </c>
      <c r="J338" s="113" t="s">
        <v>12401</v>
      </c>
    </row>
    <row r="339" spans="1:10" ht="20" customHeight="1" thickBot="1">
      <c r="A339" s="28" t="s">
        <v>1659</v>
      </c>
      <c r="B339" s="28" t="s">
        <v>1659</v>
      </c>
      <c r="C339" s="28" t="s">
        <v>1660</v>
      </c>
      <c r="D339" s="117">
        <v>5</v>
      </c>
      <c r="E339" s="122" t="s">
        <v>31</v>
      </c>
      <c r="F339" s="120" t="s">
        <v>115</v>
      </c>
      <c r="G339" s="29">
        <v>44383</v>
      </c>
      <c r="H339" s="28" t="s">
        <v>1661</v>
      </c>
      <c r="I339" s="114" t="s">
        <v>12400</v>
      </c>
      <c r="J339" s="114" t="s">
        <v>12401</v>
      </c>
    </row>
    <row r="340" spans="1:10" ht="20" customHeight="1" thickBot="1">
      <c r="A340" s="26" t="s">
        <v>1664</v>
      </c>
      <c r="B340" s="26" t="s">
        <v>1664</v>
      </c>
      <c r="C340" s="26" t="s">
        <v>1665</v>
      </c>
      <c r="D340" s="116">
        <v>8</v>
      </c>
      <c r="E340" s="122" t="s">
        <v>35</v>
      </c>
      <c r="F340" s="119" t="s">
        <v>57</v>
      </c>
      <c r="G340" s="27">
        <v>45452</v>
      </c>
      <c r="H340" s="26" t="s">
        <v>1666</v>
      </c>
      <c r="I340" s="113" t="s">
        <v>12400</v>
      </c>
      <c r="J340" s="113" t="s">
        <v>12401</v>
      </c>
    </row>
    <row r="341" spans="1:10" ht="20" customHeight="1" thickBot="1">
      <c r="A341" s="28" t="s">
        <v>1669</v>
      </c>
      <c r="B341" s="28" t="s">
        <v>1669</v>
      </c>
      <c r="C341" s="28" t="s">
        <v>68</v>
      </c>
      <c r="D341" s="117">
        <v>12</v>
      </c>
      <c r="E341" s="122" t="s">
        <v>31</v>
      </c>
      <c r="F341" s="120" t="s">
        <v>63</v>
      </c>
      <c r="G341" s="29">
        <v>42380</v>
      </c>
      <c r="H341" s="28" t="s">
        <v>1670</v>
      </c>
      <c r="I341" s="114" t="s">
        <v>12400</v>
      </c>
      <c r="J341" s="114" t="s">
        <v>12401</v>
      </c>
    </row>
    <row r="342" spans="1:10" ht="20" customHeight="1" thickBot="1">
      <c r="A342" s="26" t="s">
        <v>1673</v>
      </c>
      <c r="B342" s="26" t="s">
        <v>1673</v>
      </c>
      <c r="C342" s="26" t="s">
        <v>1129</v>
      </c>
      <c r="D342" s="116">
        <v>6</v>
      </c>
      <c r="E342" s="122" t="s">
        <v>31</v>
      </c>
      <c r="F342" s="119" t="s">
        <v>63</v>
      </c>
      <c r="G342" s="27">
        <v>45534</v>
      </c>
      <c r="H342" s="26" t="s">
        <v>1674</v>
      </c>
      <c r="I342" s="113" t="s">
        <v>12400</v>
      </c>
      <c r="J342" s="113" t="s">
        <v>12401</v>
      </c>
    </row>
    <row r="343" spans="1:10" ht="20" customHeight="1" thickBot="1">
      <c r="A343" s="28" t="s">
        <v>1677</v>
      </c>
      <c r="B343" s="28" t="s">
        <v>1677</v>
      </c>
      <c r="C343" s="28" t="s">
        <v>1215</v>
      </c>
      <c r="D343" s="117">
        <v>4</v>
      </c>
      <c r="E343" s="122" t="s">
        <v>31</v>
      </c>
      <c r="F343" s="120" t="s">
        <v>63</v>
      </c>
      <c r="G343" s="29">
        <v>45627</v>
      </c>
      <c r="H343" s="28" t="s">
        <v>1678</v>
      </c>
      <c r="I343" s="114" t="s">
        <v>12400</v>
      </c>
      <c r="J343" s="114" t="s">
        <v>12401</v>
      </c>
    </row>
    <row r="344" spans="1:10" ht="20" customHeight="1" thickBot="1">
      <c r="A344" s="26" t="s">
        <v>1681</v>
      </c>
      <c r="B344" s="26" t="s">
        <v>1681</v>
      </c>
      <c r="C344" s="26" t="s">
        <v>1215</v>
      </c>
      <c r="D344" s="116">
        <v>8</v>
      </c>
      <c r="E344" s="122" t="s">
        <v>29</v>
      </c>
      <c r="F344" s="119" t="s">
        <v>63</v>
      </c>
      <c r="G344" s="27">
        <v>45565</v>
      </c>
      <c r="H344" s="26" t="s">
        <v>1682</v>
      </c>
      <c r="I344" s="113" t="s">
        <v>12400</v>
      </c>
      <c r="J344" s="113" t="s">
        <v>12401</v>
      </c>
    </row>
    <row r="345" spans="1:10" ht="20" customHeight="1" thickBot="1">
      <c r="A345" s="28" t="s">
        <v>1685</v>
      </c>
      <c r="B345" s="28" t="s">
        <v>1685</v>
      </c>
      <c r="C345" s="28" t="s">
        <v>1686</v>
      </c>
      <c r="D345" s="117">
        <v>27</v>
      </c>
      <c r="E345" s="122" t="s">
        <v>31</v>
      </c>
      <c r="F345" s="120" t="s">
        <v>63</v>
      </c>
      <c r="G345" s="29">
        <v>42733</v>
      </c>
      <c r="H345" s="28" t="s">
        <v>1687</v>
      </c>
      <c r="I345" s="114" t="s">
        <v>12400</v>
      </c>
      <c r="J345" s="114" t="s">
        <v>12401</v>
      </c>
    </row>
    <row r="346" spans="1:10" ht="20" customHeight="1" thickBot="1">
      <c r="A346" s="26" t="s">
        <v>1690</v>
      </c>
      <c r="B346" s="26" t="s">
        <v>1690</v>
      </c>
      <c r="C346" s="26" t="s">
        <v>646</v>
      </c>
      <c r="D346" s="116">
        <v>0</v>
      </c>
      <c r="E346" s="122" t="s">
        <v>34</v>
      </c>
      <c r="F346" s="119" t="s">
        <v>57</v>
      </c>
      <c r="G346" s="27">
        <v>45747</v>
      </c>
      <c r="H346" s="26" t="s">
        <v>1691</v>
      </c>
      <c r="I346" s="113" t="s">
        <v>12400</v>
      </c>
      <c r="J346" s="113" t="s">
        <v>12401</v>
      </c>
    </row>
    <row r="347" spans="1:10" ht="20" customHeight="1" thickBot="1">
      <c r="A347" s="28" t="s">
        <v>1694</v>
      </c>
      <c r="B347" s="28" t="s">
        <v>1694</v>
      </c>
      <c r="C347" s="28" t="s">
        <v>165</v>
      </c>
      <c r="D347" s="117">
        <v>9</v>
      </c>
      <c r="E347" s="122" t="s">
        <v>36</v>
      </c>
      <c r="F347" s="120" t="s">
        <v>57</v>
      </c>
      <c r="G347" s="29">
        <v>45781</v>
      </c>
      <c r="H347" s="28" t="s">
        <v>1695</v>
      </c>
      <c r="I347" s="114" t="s">
        <v>12400</v>
      </c>
      <c r="J347" s="114" t="s">
        <v>12401</v>
      </c>
    </row>
    <row r="348" spans="1:10" ht="20" customHeight="1" thickBot="1">
      <c r="A348" s="26" t="s">
        <v>1698</v>
      </c>
      <c r="B348" s="26" t="s">
        <v>1698</v>
      </c>
      <c r="C348" s="26" t="s">
        <v>1699</v>
      </c>
      <c r="D348" s="116">
        <v>22</v>
      </c>
      <c r="E348" s="122" t="s">
        <v>34</v>
      </c>
      <c r="F348" s="119" t="s">
        <v>57</v>
      </c>
      <c r="G348" s="27">
        <v>45608</v>
      </c>
      <c r="H348" s="26" t="s">
        <v>1700</v>
      </c>
      <c r="I348" s="113" t="s">
        <v>12400</v>
      </c>
      <c r="J348" s="113" t="s">
        <v>12401</v>
      </c>
    </row>
    <row r="349" spans="1:10" ht="20" customHeight="1" thickBot="1">
      <c r="A349" s="28" t="s">
        <v>1703</v>
      </c>
      <c r="B349" s="28" t="s">
        <v>1703</v>
      </c>
      <c r="C349" s="28" t="s">
        <v>1704</v>
      </c>
      <c r="D349" s="117">
        <v>15</v>
      </c>
      <c r="E349" s="122" t="s">
        <v>29</v>
      </c>
      <c r="F349" s="120" t="s">
        <v>63</v>
      </c>
      <c r="G349" s="29">
        <v>41569</v>
      </c>
      <c r="H349" s="28" t="s">
        <v>1705</v>
      </c>
      <c r="I349" s="114" t="s">
        <v>12400</v>
      </c>
      <c r="J349" s="114" t="s">
        <v>12401</v>
      </c>
    </row>
    <row r="350" spans="1:10" ht="20" customHeight="1" thickBot="1">
      <c r="A350" s="26" t="s">
        <v>1708</v>
      </c>
      <c r="B350" s="26" t="s">
        <v>1708</v>
      </c>
      <c r="C350" s="26" t="s">
        <v>1709</v>
      </c>
      <c r="D350" s="116">
        <v>7</v>
      </c>
      <c r="E350" s="122" t="s">
        <v>29</v>
      </c>
      <c r="F350" s="119" t="s">
        <v>63</v>
      </c>
      <c r="G350" s="27">
        <v>43167</v>
      </c>
      <c r="H350" s="26" t="s">
        <v>1710</v>
      </c>
      <c r="I350" s="113" t="s">
        <v>12400</v>
      </c>
      <c r="J350" s="113" t="s">
        <v>12401</v>
      </c>
    </row>
    <row r="351" spans="1:10" ht="20" customHeight="1" thickBot="1">
      <c r="A351" s="28" t="s">
        <v>1713</v>
      </c>
      <c r="B351" s="28" t="s">
        <v>1713</v>
      </c>
      <c r="C351" s="28" t="s">
        <v>1714</v>
      </c>
      <c r="D351" s="117">
        <v>120</v>
      </c>
      <c r="E351" s="122" t="s">
        <v>31</v>
      </c>
      <c r="F351" s="120" t="s">
        <v>63</v>
      </c>
      <c r="G351" s="29">
        <v>43571</v>
      </c>
      <c r="H351" s="28" t="s">
        <v>1715</v>
      </c>
      <c r="I351" s="114" t="s">
        <v>12400</v>
      </c>
      <c r="J351" s="114" t="s">
        <v>12401</v>
      </c>
    </row>
    <row r="352" spans="1:10" ht="20" customHeight="1" thickBot="1">
      <c r="A352" s="26" t="s">
        <v>1718</v>
      </c>
      <c r="B352" s="26" t="s">
        <v>1718</v>
      </c>
      <c r="C352" s="26" t="s">
        <v>1714</v>
      </c>
      <c r="D352" s="116">
        <v>120</v>
      </c>
      <c r="E352" s="122" t="s">
        <v>31</v>
      </c>
      <c r="F352" s="119" t="s">
        <v>63</v>
      </c>
      <c r="G352" s="27">
        <v>43995</v>
      </c>
      <c r="H352" s="26" t="s">
        <v>1719</v>
      </c>
      <c r="I352" s="113" t="s">
        <v>12400</v>
      </c>
      <c r="J352" s="113" t="s">
        <v>12401</v>
      </c>
    </row>
    <row r="353" spans="1:10" ht="20" customHeight="1" thickBot="1">
      <c r="A353" s="28" t="s">
        <v>1722</v>
      </c>
      <c r="B353" s="28" t="s">
        <v>1722</v>
      </c>
      <c r="C353" s="28" t="s">
        <v>1714</v>
      </c>
      <c r="D353" s="117">
        <v>113</v>
      </c>
      <c r="E353" s="122" t="s">
        <v>31</v>
      </c>
      <c r="F353" s="120" t="s">
        <v>63</v>
      </c>
      <c r="G353" s="29">
        <v>43615</v>
      </c>
      <c r="H353" s="28" t="s">
        <v>1723</v>
      </c>
      <c r="I353" s="114" t="s">
        <v>12400</v>
      </c>
      <c r="J353" s="114" t="s">
        <v>12401</v>
      </c>
    </row>
    <row r="354" spans="1:10" ht="20" customHeight="1" thickBot="1">
      <c r="A354" s="26" t="s">
        <v>1726</v>
      </c>
      <c r="B354" s="26" t="s">
        <v>1726</v>
      </c>
      <c r="C354" s="26" t="s">
        <v>680</v>
      </c>
      <c r="D354" s="116">
        <v>32</v>
      </c>
      <c r="E354" s="122" t="s">
        <v>27</v>
      </c>
      <c r="F354" s="119" t="s">
        <v>63</v>
      </c>
      <c r="G354" s="27">
        <v>42108</v>
      </c>
      <c r="H354" s="26" t="s">
        <v>1727</v>
      </c>
      <c r="I354" s="113" t="s">
        <v>12400</v>
      </c>
      <c r="J354" s="113" t="s">
        <v>12401</v>
      </c>
    </row>
    <row r="355" spans="1:10" ht="20" customHeight="1" thickBot="1">
      <c r="A355" s="28" t="s">
        <v>1730</v>
      </c>
      <c r="B355" s="28" t="s">
        <v>1730</v>
      </c>
      <c r="C355" s="28" t="s">
        <v>1731</v>
      </c>
      <c r="D355" s="117">
        <v>96</v>
      </c>
      <c r="E355" s="122" t="s">
        <v>34</v>
      </c>
      <c r="F355" s="120" t="s">
        <v>57</v>
      </c>
      <c r="G355" s="29">
        <v>43263</v>
      </c>
      <c r="H355" s="28" t="s">
        <v>1732</v>
      </c>
      <c r="I355" s="114" t="s">
        <v>12400</v>
      </c>
      <c r="J355" s="114" t="s">
        <v>12401</v>
      </c>
    </row>
    <row r="356" spans="1:10" ht="20" customHeight="1" thickBot="1">
      <c r="A356" s="26" t="s">
        <v>1735</v>
      </c>
      <c r="B356" s="26" t="s">
        <v>1735</v>
      </c>
      <c r="C356" s="26" t="s">
        <v>718</v>
      </c>
      <c r="D356" s="116">
        <v>9</v>
      </c>
      <c r="E356" s="122" t="s">
        <v>31</v>
      </c>
      <c r="F356" s="119" t="s">
        <v>57</v>
      </c>
      <c r="G356" s="27">
        <v>43558</v>
      </c>
      <c r="H356" s="26" t="s">
        <v>1736</v>
      </c>
      <c r="I356" s="113" t="s">
        <v>12400</v>
      </c>
      <c r="J356" s="113" t="s">
        <v>12401</v>
      </c>
    </row>
    <row r="357" spans="1:10" ht="20" customHeight="1" thickBot="1">
      <c r="A357" s="28" t="s">
        <v>1739</v>
      </c>
      <c r="B357" s="28" t="s">
        <v>1739</v>
      </c>
      <c r="C357" s="28" t="s">
        <v>1740</v>
      </c>
      <c r="D357" s="117">
        <v>11</v>
      </c>
      <c r="E357" s="122" t="s">
        <v>33</v>
      </c>
      <c r="F357" s="120" t="s">
        <v>57</v>
      </c>
      <c r="G357" s="29">
        <v>44822</v>
      </c>
      <c r="H357" s="28" t="s">
        <v>1741</v>
      </c>
      <c r="I357" s="114" t="s">
        <v>12400</v>
      </c>
      <c r="J357" s="114" t="s">
        <v>12401</v>
      </c>
    </row>
    <row r="358" spans="1:10" ht="20" customHeight="1" thickBot="1">
      <c r="A358" s="26" t="s">
        <v>1744</v>
      </c>
      <c r="B358" s="26" t="s">
        <v>1744</v>
      </c>
      <c r="C358" s="26" t="s">
        <v>1745</v>
      </c>
      <c r="D358" s="116">
        <v>10</v>
      </c>
      <c r="E358" s="122" t="s">
        <v>35</v>
      </c>
      <c r="F358" s="119" t="s">
        <v>57</v>
      </c>
      <c r="G358" s="27">
        <v>44952</v>
      </c>
      <c r="H358" s="26" t="s">
        <v>1746</v>
      </c>
      <c r="I358" s="113" t="s">
        <v>12400</v>
      </c>
      <c r="J358" s="113" t="s">
        <v>12401</v>
      </c>
    </row>
    <row r="359" spans="1:10" ht="20" customHeight="1" thickBot="1">
      <c r="A359" s="28" t="s">
        <v>1749</v>
      </c>
      <c r="B359" s="28" t="s">
        <v>1749</v>
      </c>
      <c r="C359" s="28" t="s">
        <v>1750</v>
      </c>
      <c r="D359" s="117">
        <v>11</v>
      </c>
      <c r="E359" s="122" t="s">
        <v>29</v>
      </c>
      <c r="F359" s="120" t="s">
        <v>63</v>
      </c>
      <c r="G359" s="29">
        <v>41856</v>
      </c>
      <c r="H359" s="28" t="s">
        <v>1751</v>
      </c>
      <c r="I359" s="114" t="s">
        <v>12400</v>
      </c>
      <c r="J359" s="114" t="s">
        <v>12401</v>
      </c>
    </row>
    <row r="360" spans="1:10" ht="20" customHeight="1" thickBot="1">
      <c r="A360" s="26" t="s">
        <v>1754</v>
      </c>
      <c r="B360" s="26" t="s">
        <v>1754</v>
      </c>
      <c r="C360" s="26" t="s">
        <v>1235</v>
      </c>
      <c r="D360" s="116">
        <v>15</v>
      </c>
      <c r="E360" s="122" t="s">
        <v>29</v>
      </c>
      <c r="F360" s="119" t="s">
        <v>63</v>
      </c>
      <c r="G360" s="27">
        <v>41614</v>
      </c>
      <c r="H360" s="26" t="s">
        <v>1755</v>
      </c>
      <c r="I360" s="113" t="s">
        <v>12400</v>
      </c>
      <c r="J360" s="113" t="s">
        <v>12401</v>
      </c>
    </row>
    <row r="361" spans="1:10" ht="20" customHeight="1" thickBot="1">
      <c r="A361" s="28" t="s">
        <v>1758</v>
      </c>
      <c r="B361" s="28" t="s">
        <v>1758</v>
      </c>
      <c r="C361" s="28" t="s">
        <v>1759</v>
      </c>
      <c r="D361" s="117">
        <v>2</v>
      </c>
      <c r="E361" s="122" t="s">
        <v>35</v>
      </c>
      <c r="F361" s="120" t="s">
        <v>89</v>
      </c>
      <c r="G361" s="29">
        <v>42753</v>
      </c>
      <c r="H361" s="28" t="s">
        <v>1760</v>
      </c>
      <c r="I361" s="114" t="s">
        <v>12400</v>
      </c>
      <c r="J361" s="114" t="s">
        <v>12401</v>
      </c>
    </row>
    <row r="362" spans="1:10" ht="20" customHeight="1" thickBot="1">
      <c r="A362" s="26" t="s">
        <v>1763</v>
      </c>
      <c r="B362" s="26" t="s">
        <v>1764</v>
      </c>
      <c r="C362" s="26" t="s">
        <v>1765</v>
      </c>
      <c r="D362" s="116">
        <v>5</v>
      </c>
      <c r="E362" s="122" t="s">
        <v>31</v>
      </c>
      <c r="F362" s="119" t="s">
        <v>63</v>
      </c>
      <c r="G362" s="27">
        <v>41644</v>
      </c>
      <c r="H362" s="26" t="s">
        <v>1766</v>
      </c>
      <c r="I362" s="113" t="s">
        <v>12400</v>
      </c>
      <c r="J362" s="113" t="s">
        <v>12401</v>
      </c>
    </row>
    <row r="363" spans="1:10" ht="20" customHeight="1" thickBot="1">
      <c r="A363" s="28" t="s">
        <v>1769</v>
      </c>
      <c r="B363" s="28" t="s">
        <v>1770</v>
      </c>
      <c r="C363" s="28" t="s">
        <v>1771</v>
      </c>
      <c r="D363" s="117">
        <v>22</v>
      </c>
      <c r="E363" s="122" t="s">
        <v>35</v>
      </c>
      <c r="F363" s="120" t="s">
        <v>57</v>
      </c>
      <c r="G363" s="29">
        <v>44449</v>
      </c>
      <c r="H363" s="28" t="s">
        <v>1772</v>
      </c>
      <c r="I363" s="114" t="s">
        <v>12400</v>
      </c>
      <c r="J363" s="114" t="s">
        <v>12401</v>
      </c>
    </row>
    <row r="364" spans="1:10" ht="20" customHeight="1" thickBot="1">
      <c r="A364" s="26" t="s">
        <v>1775</v>
      </c>
      <c r="B364" s="26" t="s">
        <v>1775</v>
      </c>
      <c r="C364" s="26" t="s">
        <v>1765</v>
      </c>
      <c r="D364" s="116">
        <v>8</v>
      </c>
      <c r="E364" s="122" t="s">
        <v>31</v>
      </c>
      <c r="F364" s="119" t="s">
        <v>63</v>
      </c>
      <c r="G364" s="27">
        <v>42334</v>
      </c>
      <c r="H364" s="26" t="s">
        <v>1776</v>
      </c>
      <c r="I364" s="113" t="s">
        <v>12400</v>
      </c>
      <c r="J364" s="113" t="s">
        <v>12401</v>
      </c>
    </row>
    <row r="365" spans="1:10" ht="20" customHeight="1" thickBot="1">
      <c r="A365" s="28" t="s">
        <v>1779</v>
      </c>
      <c r="B365" s="28" t="s">
        <v>1779</v>
      </c>
      <c r="C365" s="28" t="s">
        <v>68</v>
      </c>
      <c r="D365" s="117">
        <v>95</v>
      </c>
      <c r="E365" s="122" t="s">
        <v>35</v>
      </c>
      <c r="F365" s="120" t="s">
        <v>63</v>
      </c>
      <c r="G365" s="29">
        <v>42211</v>
      </c>
      <c r="H365" s="28" t="s">
        <v>1780</v>
      </c>
      <c r="I365" s="114" t="s">
        <v>12400</v>
      </c>
      <c r="J365" s="114" t="s">
        <v>12401</v>
      </c>
    </row>
    <row r="366" spans="1:10" ht="20" customHeight="1" thickBot="1">
      <c r="A366" s="26" t="s">
        <v>1783</v>
      </c>
      <c r="B366" s="26" t="s">
        <v>1783</v>
      </c>
      <c r="C366" s="26" t="s">
        <v>1784</v>
      </c>
      <c r="D366" s="116">
        <v>18</v>
      </c>
      <c r="E366" s="122" t="s">
        <v>29</v>
      </c>
      <c r="F366" s="119" t="s">
        <v>63</v>
      </c>
      <c r="G366" s="27">
        <v>42288</v>
      </c>
      <c r="H366" s="26" t="s">
        <v>1785</v>
      </c>
      <c r="I366" s="113" t="s">
        <v>12400</v>
      </c>
      <c r="J366" s="113" t="s">
        <v>12401</v>
      </c>
    </row>
    <row r="367" spans="1:10" ht="20" customHeight="1" thickBot="1">
      <c r="A367" s="28" t="s">
        <v>1788</v>
      </c>
      <c r="B367" s="28" t="s">
        <v>1788</v>
      </c>
      <c r="C367" s="28" t="s">
        <v>1789</v>
      </c>
      <c r="D367" s="117">
        <v>36</v>
      </c>
      <c r="E367" s="122" t="s">
        <v>31</v>
      </c>
      <c r="F367" s="120" t="s">
        <v>571</v>
      </c>
      <c r="G367" s="29">
        <v>42654</v>
      </c>
      <c r="H367" s="28" t="s">
        <v>1790</v>
      </c>
      <c r="I367" s="114" t="s">
        <v>12400</v>
      </c>
      <c r="J367" s="114" t="s">
        <v>12401</v>
      </c>
    </row>
    <row r="368" spans="1:10" ht="20" customHeight="1" thickBot="1">
      <c r="A368" s="26" t="s">
        <v>1793</v>
      </c>
      <c r="B368" s="26" t="s">
        <v>1793</v>
      </c>
      <c r="C368" s="26" t="s">
        <v>1794</v>
      </c>
      <c r="D368" s="116">
        <v>18</v>
      </c>
      <c r="E368" s="122" t="s">
        <v>34</v>
      </c>
      <c r="F368" s="119" t="s">
        <v>57</v>
      </c>
      <c r="G368" s="27">
        <v>44156</v>
      </c>
      <c r="H368" s="26" t="s">
        <v>1795</v>
      </c>
      <c r="I368" s="113" t="s">
        <v>12400</v>
      </c>
      <c r="J368" s="113" t="s">
        <v>12401</v>
      </c>
    </row>
    <row r="369" spans="1:10" ht="20" customHeight="1" thickBot="1">
      <c r="A369" s="28" t="s">
        <v>1798</v>
      </c>
      <c r="B369" s="28" t="s">
        <v>1798</v>
      </c>
      <c r="C369" s="28" t="s">
        <v>1799</v>
      </c>
      <c r="D369" s="117">
        <v>13</v>
      </c>
      <c r="E369" s="122" t="s">
        <v>33</v>
      </c>
      <c r="F369" s="120" t="s">
        <v>57</v>
      </c>
      <c r="G369" s="29">
        <v>45262</v>
      </c>
      <c r="H369" s="28" t="s">
        <v>1800</v>
      </c>
      <c r="I369" s="114" t="s">
        <v>12400</v>
      </c>
      <c r="J369" s="114" t="s">
        <v>12401</v>
      </c>
    </row>
    <row r="370" spans="1:10" ht="20" customHeight="1" thickBot="1">
      <c r="A370" s="26" t="s">
        <v>1803</v>
      </c>
      <c r="B370" s="26" t="s">
        <v>1803</v>
      </c>
      <c r="C370" s="26" t="s">
        <v>1804</v>
      </c>
      <c r="D370" s="116">
        <v>4</v>
      </c>
      <c r="E370" s="122" t="s">
        <v>29</v>
      </c>
      <c r="F370" s="119" t="s">
        <v>63</v>
      </c>
      <c r="G370" s="27">
        <v>43035</v>
      </c>
      <c r="H370" s="26" t="s">
        <v>1805</v>
      </c>
      <c r="I370" s="113" t="s">
        <v>12400</v>
      </c>
      <c r="J370" s="113" t="s">
        <v>12401</v>
      </c>
    </row>
    <row r="371" spans="1:10" ht="20" customHeight="1" thickBot="1">
      <c r="A371" s="28" t="s">
        <v>1808</v>
      </c>
      <c r="B371" s="28" t="s">
        <v>1808</v>
      </c>
      <c r="C371" s="28" t="s">
        <v>1809</v>
      </c>
      <c r="D371" s="117">
        <v>8</v>
      </c>
      <c r="E371" s="122" t="s">
        <v>31</v>
      </c>
      <c r="F371" s="120" t="s">
        <v>63</v>
      </c>
      <c r="G371" s="29">
        <v>44724</v>
      </c>
      <c r="H371" s="28" t="s">
        <v>1810</v>
      </c>
      <c r="I371" s="114" t="s">
        <v>12400</v>
      </c>
      <c r="J371" s="114" t="s">
        <v>12401</v>
      </c>
    </row>
    <row r="372" spans="1:10" ht="20" customHeight="1" thickBot="1">
      <c r="A372" s="26" t="s">
        <v>1813</v>
      </c>
      <c r="B372" s="26" t="s">
        <v>1813</v>
      </c>
      <c r="C372" s="26" t="s">
        <v>1814</v>
      </c>
      <c r="D372" s="116">
        <v>1</v>
      </c>
      <c r="E372" s="122" t="s">
        <v>33</v>
      </c>
      <c r="F372" s="119" t="s">
        <v>571</v>
      </c>
      <c r="G372" s="27">
        <v>41710</v>
      </c>
      <c r="H372" s="26" t="s">
        <v>1815</v>
      </c>
      <c r="I372" s="113" t="s">
        <v>12400</v>
      </c>
      <c r="J372" s="113" t="s">
        <v>12401</v>
      </c>
    </row>
    <row r="373" spans="1:10" ht="20" customHeight="1" thickBot="1">
      <c r="A373" s="28" t="s">
        <v>1818</v>
      </c>
      <c r="B373" s="28" t="s">
        <v>1818</v>
      </c>
      <c r="C373" s="28" t="s">
        <v>1819</v>
      </c>
      <c r="D373" s="117">
        <v>16</v>
      </c>
      <c r="E373" s="122" t="s">
        <v>33</v>
      </c>
      <c r="F373" s="120" t="s">
        <v>57</v>
      </c>
      <c r="G373" s="29">
        <v>43424</v>
      </c>
      <c r="H373" s="28" t="s">
        <v>1820</v>
      </c>
      <c r="I373" s="114" t="s">
        <v>12400</v>
      </c>
      <c r="J373" s="114" t="s">
        <v>12401</v>
      </c>
    </row>
    <row r="374" spans="1:10" ht="20" customHeight="1" thickBot="1">
      <c r="A374" s="26" t="s">
        <v>1823</v>
      </c>
      <c r="B374" s="26" t="s">
        <v>1823</v>
      </c>
      <c r="C374" s="26" t="s">
        <v>1824</v>
      </c>
      <c r="D374" s="116">
        <v>4</v>
      </c>
      <c r="E374" s="122" t="s">
        <v>34</v>
      </c>
      <c r="F374" s="119" t="s">
        <v>57</v>
      </c>
      <c r="G374" s="27">
        <v>45230</v>
      </c>
      <c r="H374" s="26" t="s">
        <v>1825</v>
      </c>
      <c r="I374" s="113" t="s">
        <v>12400</v>
      </c>
      <c r="J374" s="113" t="s">
        <v>12401</v>
      </c>
    </row>
    <row r="375" spans="1:10" ht="20" customHeight="1" thickBot="1">
      <c r="A375" s="28" t="s">
        <v>1828</v>
      </c>
      <c r="B375" s="28" t="s">
        <v>1828</v>
      </c>
      <c r="C375" s="28" t="s">
        <v>842</v>
      </c>
      <c r="D375" s="117">
        <v>23</v>
      </c>
      <c r="E375" s="122" t="s">
        <v>34</v>
      </c>
      <c r="F375" s="120" t="s">
        <v>57</v>
      </c>
      <c r="G375" s="29">
        <v>46219</v>
      </c>
      <c r="H375" s="28" t="s">
        <v>1829</v>
      </c>
      <c r="I375" s="114" t="s">
        <v>12400</v>
      </c>
      <c r="J375" s="114" t="s">
        <v>12401</v>
      </c>
    </row>
    <row r="376" spans="1:10" ht="20" customHeight="1" thickBot="1">
      <c r="A376" s="26" t="s">
        <v>1832</v>
      </c>
      <c r="B376" s="26" t="s">
        <v>1832</v>
      </c>
      <c r="C376" s="26" t="s">
        <v>1833</v>
      </c>
      <c r="D376" s="116">
        <v>27</v>
      </c>
      <c r="E376" s="122" t="s">
        <v>33</v>
      </c>
      <c r="F376" s="119" t="s">
        <v>57</v>
      </c>
      <c r="G376" s="27">
        <v>44413</v>
      </c>
      <c r="H376" s="26" t="s">
        <v>1834</v>
      </c>
      <c r="I376" s="113" t="s">
        <v>12400</v>
      </c>
      <c r="J376" s="113" t="s">
        <v>12401</v>
      </c>
    </row>
    <row r="377" spans="1:10" ht="20" customHeight="1" thickBot="1">
      <c r="A377" s="28" t="s">
        <v>1837</v>
      </c>
      <c r="B377" s="28" t="s">
        <v>1837</v>
      </c>
      <c r="C377" s="28" t="s">
        <v>1838</v>
      </c>
      <c r="D377" s="117">
        <v>45</v>
      </c>
      <c r="E377" s="122" t="s">
        <v>34</v>
      </c>
      <c r="F377" s="120" t="s">
        <v>57</v>
      </c>
      <c r="G377" s="29">
        <v>45836</v>
      </c>
      <c r="H377" s="28" t="s">
        <v>1839</v>
      </c>
      <c r="I377" s="114" t="s">
        <v>12400</v>
      </c>
      <c r="J377" s="114" t="s">
        <v>12401</v>
      </c>
    </row>
    <row r="378" spans="1:10" ht="20" customHeight="1" thickBot="1">
      <c r="A378" s="26" t="s">
        <v>1842</v>
      </c>
      <c r="B378" s="26" t="s">
        <v>1842</v>
      </c>
      <c r="C378" s="26" t="s">
        <v>1843</v>
      </c>
      <c r="D378" s="116">
        <v>23</v>
      </c>
      <c r="E378" s="122" t="s">
        <v>34</v>
      </c>
      <c r="F378" s="119" t="s">
        <v>57</v>
      </c>
      <c r="G378" s="27">
        <v>45484</v>
      </c>
      <c r="H378" s="26" t="s">
        <v>1844</v>
      </c>
      <c r="I378" s="113" t="s">
        <v>12400</v>
      </c>
      <c r="J378" s="113" t="s">
        <v>12401</v>
      </c>
    </row>
    <row r="379" spans="1:10" ht="20" customHeight="1" thickBot="1">
      <c r="A379" s="28" t="s">
        <v>1847</v>
      </c>
      <c r="B379" s="28" t="s">
        <v>1847</v>
      </c>
      <c r="C379" s="28" t="s">
        <v>1848</v>
      </c>
      <c r="D379" s="117">
        <v>14</v>
      </c>
      <c r="E379" s="122" t="s">
        <v>34</v>
      </c>
      <c r="F379" s="120" t="s">
        <v>57</v>
      </c>
      <c r="G379" s="29">
        <v>45587</v>
      </c>
      <c r="H379" s="28" t="s">
        <v>1849</v>
      </c>
      <c r="I379" s="114" t="s">
        <v>12400</v>
      </c>
      <c r="J379" s="114" t="s">
        <v>12401</v>
      </c>
    </row>
    <row r="380" spans="1:10" ht="20" customHeight="1" thickBot="1">
      <c r="A380" s="26" t="s">
        <v>1852</v>
      </c>
      <c r="B380" s="26" t="s">
        <v>1852</v>
      </c>
      <c r="C380" s="26" t="s">
        <v>1714</v>
      </c>
      <c r="D380" s="116">
        <v>102</v>
      </c>
      <c r="E380" s="122" t="s">
        <v>31</v>
      </c>
      <c r="F380" s="119" t="s">
        <v>63</v>
      </c>
      <c r="G380" s="27">
        <v>46204</v>
      </c>
      <c r="H380" s="26" t="s">
        <v>1853</v>
      </c>
      <c r="I380" s="113" t="s">
        <v>12400</v>
      </c>
      <c r="J380" s="113" t="s">
        <v>12401</v>
      </c>
    </row>
    <row r="381" spans="1:10" ht="20" customHeight="1" thickBot="1">
      <c r="A381" s="28" t="s">
        <v>1856</v>
      </c>
      <c r="B381" s="28" t="s">
        <v>1856</v>
      </c>
      <c r="C381" s="28" t="s">
        <v>1714</v>
      </c>
      <c r="D381" s="117">
        <v>120</v>
      </c>
      <c r="E381" s="122" t="s">
        <v>31</v>
      </c>
      <c r="F381" s="120" t="s">
        <v>63</v>
      </c>
      <c r="G381" s="29">
        <v>46215</v>
      </c>
      <c r="H381" s="28" t="s">
        <v>1857</v>
      </c>
      <c r="I381" s="114" t="s">
        <v>12400</v>
      </c>
      <c r="J381" s="114" t="s">
        <v>12401</v>
      </c>
    </row>
    <row r="382" spans="1:10" ht="20" customHeight="1" thickBot="1">
      <c r="A382" s="26" t="s">
        <v>1860</v>
      </c>
      <c r="B382" s="26" t="s">
        <v>1860</v>
      </c>
      <c r="C382" s="26" t="s">
        <v>1861</v>
      </c>
      <c r="D382" s="116">
        <v>10</v>
      </c>
      <c r="E382" s="122" t="s">
        <v>33</v>
      </c>
      <c r="F382" s="119" t="s">
        <v>57</v>
      </c>
      <c r="G382" s="27">
        <v>45867</v>
      </c>
      <c r="H382" s="26" t="s">
        <v>1862</v>
      </c>
      <c r="I382" s="113" t="s">
        <v>12400</v>
      </c>
      <c r="J382" s="113" t="s">
        <v>12401</v>
      </c>
    </row>
    <row r="383" spans="1:10" ht="20" customHeight="1" thickBot="1">
      <c r="A383" s="28" t="s">
        <v>1865</v>
      </c>
      <c r="B383" s="28" t="s">
        <v>1865</v>
      </c>
      <c r="C383" s="28" t="s">
        <v>1861</v>
      </c>
      <c r="D383" s="117">
        <v>14</v>
      </c>
      <c r="E383" s="122" t="s">
        <v>33</v>
      </c>
      <c r="F383" s="120" t="s">
        <v>57</v>
      </c>
      <c r="G383" s="29">
        <v>46007</v>
      </c>
      <c r="H383" s="28" t="s">
        <v>1866</v>
      </c>
      <c r="I383" s="114" t="s">
        <v>12400</v>
      </c>
      <c r="J383" s="114" t="s">
        <v>12401</v>
      </c>
    </row>
    <row r="384" spans="1:10" ht="20" customHeight="1" thickBot="1">
      <c r="A384" s="26" t="s">
        <v>1869</v>
      </c>
      <c r="B384" s="26" t="s">
        <v>1869</v>
      </c>
      <c r="C384" s="26" t="s">
        <v>1870</v>
      </c>
      <c r="D384" s="116">
        <v>15</v>
      </c>
      <c r="E384" s="122" t="s">
        <v>34</v>
      </c>
      <c r="F384" s="119" t="s">
        <v>57</v>
      </c>
      <c r="G384" s="27">
        <v>45120</v>
      </c>
      <c r="H384" s="26" t="s">
        <v>1871</v>
      </c>
      <c r="I384" s="113" t="s">
        <v>12400</v>
      </c>
      <c r="J384" s="113" t="s">
        <v>12401</v>
      </c>
    </row>
    <row r="385" spans="1:10" ht="20" customHeight="1" thickBot="1">
      <c r="A385" s="28" t="s">
        <v>1874</v>
      </c>
      <c r="B385" s="28" t="s">
        <v>1874</v>
      </c>
      <c r="C385" s="28" t="s">
        <v>1875</v>
      </c>
      <c r="D385" s="117">
        <v>22</v>
      </c>
      <c r="E385" s="122" t="s">
        <v>34</v>
      </c>
      <c r="F385" s="120" t="s">
        <v>57</v>
      </c>
      <c r="G385" s="29">
        <v>44378</v>
      </c>
      <c r="H385" s="28" t="s">
        <v>1876</v>
      </c>
      <c r="I385" s="114" t="s">
        <v>12400</v>
      </c>
      <c r="J385" s="114" t="s">
        <v>12401</v>
      </c>
    </row>
    <row r="386" spans="1:10" ht="20" customHeight="1" thickBot="1">
      <c r="A386" s="26" t="s">
        <v>1879</v>
      </c>
      <c r="B386" s="26" t="s">
        <v>1879</v>
      </c>
      <c r="C386" s="26" t="s">
        <v>452</v>
      </c>
      <c r="D386" s="116">
        <v>11</v>
      </c>
      <c r="E386" s="122" t="s">
        <v>33</v>
      </c>
      <c r="F386" s="119" t="s">
        <v>57</v>
      </c>
      <c r="G386" s="27">
        <v>44861</v>
      </c>
      <c r="H386" s="26" t="s">
        <v>1880</v>
      </c>
      <c r="I386" s="113" t="s">
        <v>12400</v>
      </c>
      <c r="J386" s="113" t="s">
        <v>12401</v>
      </c>
    </row>
    <row r="387" spans="1:10" ht="20" customHeight="1" thickBot="1">
      <c r="A387" s="28" t="s">
        <v>1883</v>
      </c>
      <c r="B387" s="28" t="s">
        <v>1883</v>
      </c>
      <c r="C387" s="28" t="s">
        <v>1884</v>
      </c>
      <c r="D387" s="117">
        <v>8</v>
      </c>
      <c r="E387" s="122" t="s">
        <v>34</v>
      </c>
      <c r="F387" s="120" t="s">
        <v>57</v>
      </c>
      <c r="G387" s="29">
        <v>44330</v>
      </c>
      <c r="H387" s="28" t="s">
        <v>1885</v>
      </c>
      <c r="I387" s="114" t="s">
        <v>12400</v>
      </c>
      <c r="J387" s="114" t="s">
        <v>12401</v>
      </c>
    </row>
    <row r="388" spans="1:10" ht="20" customHeight="1" thickBot="1">
      <c r="A388" s="26" t="s">
        <v>1888</v>
      </c>
      <c r="B388" s="26" t="s">
        <v>1888</v>
      </c>
      <c r="C388" s="26" t="s">
        <v>1884</v>
      </c>
      <c r="D388" s="116">
        <v>9</v>
      </c>
      <c r="E388" s="122" t="s">
        <v>34</v>
      </c>
      <c r="F388" s="119" t="s">
        <v>57</v>
      </c>
      <c r="G388" s="27">
        <v>44373</v>
      </c>
      <c r="H388" s="26" t="s">
        <v>1889</v>
      </c>
      <c r="I388" s="113" t="s">
        <v>12400</v>
      </c>
      <c r="J388" s="113" t="s">
        <v>12401</v>
      </c>
    </row>
    <row r="389" spans="1:10" ht="20" customHeight="1" thickBot="1">
      <c r="A389" s="28" t="s">
        <v>1892</v>
      </c>
      <c r="B389" s="28" t="s">
        <v>1892</v>
      </c>
      <c r="C389" s="28" t="s">
        <v>1884</v>
      </c>
      <c r="D389" s="117">
        <v>12</v>
      </c>
      <c r="E389" s="122" t="s">
        <v>34</v>
      </c>
      <c r="F389" s="120" t="s">
        <v>57</v>
      </c>
      <c r="G389" s="29">
        <v>44724</v>
      </c>
      <c r="H389" s="28" t="s">
        <v>1893</v>
      </c>
      <c r="I389" s="114" t="s">
        <v>12400</v>
      </c>
      <c r="J389" s="114" t="s">
        <v>12401</v>
      </c>
    </row>
    <row r="390" spans="1:10" ht="20" customHeight="1" thickBot="1">
      <c r="A390" s="26" t="s">
        <v>1896</v>
      </c>
      <c r="B390" s="26" t="s">
        <v>1896</v>
      </c>
      <c r="C390" s="26" t="s">
        <v>1884</v>
      </c>
      <c r="D390" s="116">
        <v>13</v>
      </c>
      <c r="E390" s="122" t="s">
        <v>34</v>
      </c>
      <c r="F390" s="119" t="s">
        <v>57</v>
      </c>
      <c r="G390" s="27">
        <v>45150</v>
      </c>
      <c r="H390" s="26" t="s">
        <v>1897</v>
      </c>
      <c r="I390" s="113" t="s">
        <v>12400</v>
      </c>
      <c r="J390" s="113" t="s">
        <v>12401</v>
      </c>
    </row>
    <row r="391" spans="1:10" ht="20" customHeight="1" thickBot="1">
      <c r="A391" s="28" t="s">
        <v>1900</v>
      </c>
      <c r="B391" s="28" t="s">
        <v>1900</v>
      </c>
      <c r="C391" s="28" t="s">
        <v>1884</v>
      </c>
      <c r="D391" s="117">
        <v>23</v>
      </c>
      <c r="E391" s="122" t="s">
        <v>35</v>
      </c>
      <c r="F391" s="120" t="s">
        <v>57</v>
      </c>
      <c r="G391" s="29">
        <v>45522</v>
      </c>
      <c r="H391" s="28" t="s">
        <v>1901</v>
      </c>
      <c r="I391" s="114" t="s">
        <v>12400</v>
      </c>
      <c r="J391" s="114" t="s">
        <v>12401</v>
      </c>
    </row>
    <row r="392" spans="1:10" ht="20" customHeight="1" thickBot="1">
      <c r="A392" s="26" t="s">
        <v>1904</v>
      </c>
      <c r="B392" s="26" t="s">
        <v>1904</v>
      </c>
      <c r="C392" s="26" t="s">
        <v>1905</v>
      </c>
      <c r="D392" s="116">
        <v>10</v>
      </c>
      <c r="E392" s="122" t="s">
        <v>33</v>
      </c>
      <c r="F392" s="119" t="s">
        <v>57</v>
      </c>
      <c r="G392" s="27">
        <v>45567</v>
      </c>
      <c r="H392" s="26" t="s">
        <v>1906</v>
      </c>
      <c r="I392" s="113" t="s">
        <v>12400</v>
      </c>
      <c r="J392" s="113" t="s">
        <v>12401</v>
      </c>
    </row>
    <row r="393" spans="1:10" ht="20" customHeight="1" thickBot="1">
      <c r="A393" s="28" t="s">
        <v>1909</v>
      </c>
      <c r="B393" s="28" t="s">
        <v>1909</v>
      </c>
      <c r="C393" s="28" t="s">
        <v>1905</v>
      </c>
      <c r="D393" s="117">
        <v>14</v>
      </c>
      <c r="E393" s="122" t="s">
        <v>33</v>
      </c>
      <c r="F393" s="120" t="s">
        <v>57</v>
      </c>
      <c r="G393" s="29">
        <v>44249</v>
      </c>
      <c r="H393" s="28" t="s">
        <v>1910</v>
      </c>
      <c r="I393" s="114" t="s">
        <v>12400</v>
      </c>
      <c r="J393" s="114" t="s">
        <v>12401</v>
      </c>
    </row>
    <row r="394" spans="1:10" ht="20" customHeight="1" thickBot="1">
      <c r="A394" s="26" t="s">
        <v>1913</v>
      </c>
      <c r="B394" s="26" t="s">
        <v>1913</v>
      </c>
      <c r="C394" s="26" t="s">
        <v>1905</v>
      </c>
      <c r="D394" s="116">
        <v>15</v>
      </c>
      <c r="E394" s="122" t="s">
        <v>33</v>
      </c>
      <c r="F394" s="119" t="s">
        <v>57</v>
      </c>
      <c r="G394" s="27">
        <v>44698</v>
      </c>
      <c r="H394" s="26" t="s">
        <v>1914</v>
      </c>
      <c r="I394" s="113" t="s">
        <v>12400</v>
      </c>
      <c r="J394" s="113" t="s">
        <v>12401</v>
      </c>
    </row>
    <row r="395" spans="1:10" ht="20" customHeight="1" thickBot="1">
      <c r="A395" s="28" t="s">
        <v>1917</v>
      </c>
      <c r="B395" s="28" t="s">
        <v>1917</v>
      </c>
      <c r="C395" s="28" t="s">
        <v>1918</v>
      </c>
      <c r="D395" s="117">
        <v>10</v>
      </c>
      <c r="E395" s="122" t="s">
        <v>34</v>
      </c>
      <c r="F395" s="120" t="s">
        <v>57</v>
      </c>
      <c r="G395" s="29">
        <v>45914</v>
      </c>
      <c r="H395" s="28" t="s">
        <v>1919</v>
      </c>
      <c r="I395" s="114" t="s">
        <v>12400</v>
      </c>
      <c r="J395" s="114" t="s">
        <v>12401</v>
      </c>
    </row>
    <row r="396" spans="1:10" ht="20" customHeight="1" thickBot="1">
      <c r="A396" s="26" t="s">
        <v>1922</v>
      </c>
      <c r="B396" s="26" t="s">
        <v>1922</v>
      </c>
      <c r="C396" s="26" t="s">
        <v>1575</v>
      </c>
      <c r="D396" s="116">
        <v>0</v>
      </c>
      <c r="E396" s="122" t="s">
        <v>31</v>
      </c>
      <c r="F396" s="119" t="s">
        <v>63</v>
      </c>
      <c r="G396" s="27">
        <v>45747</v>
      </c>
      <c r="H396" s="26" t="s">
        <v>1923</v>
      </c>
      <c r="I396" s="113" t="s">
        <v>12400</v>
      </c>
      <c r="J396" s="113" t="s">
        <v>12401</v>
      </c>
    </row>
    <row r="397" spans="1:10" ht="20" customHeight="1" thickBot="1">
      <c r="A397" s="28" t="s">
        <v>1926</v>
      </c>
      <c r="B397" s="28" t="s">
        <v>1926</v>
      </c>
      <c r="C397" s="28" t="s">
        <v>1927</v>
      </c>
      <c r="D397" s="117">
        <v>9</v>
      </c>
      <c r="E397" s="122" t="s">
        <v>34</v>
      </c>
      <c r="F397" s="120" t="s">
        <v>57</v>
      </c>
      <c r="G397" s="29">
        <v>44879</v>
      </c>
      <c r="H397" s="28" t="s">
        <v>1928</v>
      </c>
      <c r="I397" s="114" t="s">
        <v>12400</v>
      </c>
      <c r="J397" s="114" t="s">
        <v>12401</v>
      </c>
    </row>
    <row r="398" spans="1:10" ht="20" customHeight="1" thickBot="1">
      <c r="A398" s="26" t="s">
        <v>1931</v>
      </c>
      <c r="B398" s="26" t="s">
        <v>1931</v>
      </c>
      <c r="C398" s="26" t="s">
        <v>1932</v>
      </c>
      <c r="D398" s="116">
        <v>8</v>
      </c>
      <c r="E398" s="122" t="s">
        <v>35</v>
      </c>
      <c r="F398" s="119" t="s">
        <v>57</v>
      </c>
      <c r="G398" s="27">
        <v>44729</v>
      </c>
      <c r="H398" s="26" t="s">
        <v>1933</v>
      </c>
      <c r="I398" s="113" t="s">
        <v>12400</v>
      </c>
      <c r="J398" s="113" t="s">
        <v>12401</v>
      </c>
    </row>
    <row r="399" spans="1:10" ht="20" customHeight="1" thickBot="1">
      <c r="A399" s="28" t="s">
        <v>1936</v>
      </c>
      <c r="B399" s="28" t="s">
        <v>1936</v>
      </c>
      <c r="C399" s="28" t="s">
        <v>1932</v>
      </c>
      <c r="D399" s="117">
        <v>10</v>
      </c>
      <c r="E399" s="122" t="s">
        <v>35</v>
      </c>
      <c r="F399" s="120" t="s">
        <v>57</v>
      </c>
      <c r="G399" s="29">
        <v>44529</v>
      </c>
      <c r="H399" s="28" t="s">
        <v>1937</v>
      </c>
      <c r="I399" s="114" t="s">
        <v>12400</v>
      </c>
      <c r="J399" s="114" t="s">
        <v>12401</v>
      </c>
    </row>
    <row r="400" spans="1:10" ht="20" customHeight="1" thickBot="1">
      <c r="A400" s="26" t="s">
        <v>1940</v>
      </c>
      <c r="B400" s="26" t="s">
        <v>1940</v>
      </c>
      <c r="C400" s="26" t="s">
        <v>1932</v>
      </c>
      <c r="D400" s="116">
        <v>8</v>
      </c>
      <c r="E400" s="122" t="s">
        <v>35</v>
      </c>
      <c r="F400" s="119" t="s">
        <v>57</v>
      </c>
      <c r="G400" s="27">
        <v>44832</v>
      </c>
      <c r="H400" s="26" t="s">
        <v>1941</v>
      </c>
      <c r="I400" s="113" t="s">
        <v>12400</v>
      </c>
      <c r="J400" s="113" t="s">
        <v>12401</v>
      </c>
    </row>
    <row r="401" spans="1:10" ht="20" customHeight="1" thickBot="1">
      <c r="A401" s="28" t="s">
        <v>1944</v>
      </c>
      <c r="B401" s="28" t="s">
        <v>1944</v>
      </c>
      <c r="C401" s="28" t="s">
        <v>1945</v>
      </c>
      <c r="D401" s="117">
        <v>17</v>
      </c>
      <c r="E401" s="122" t="s">
        <v>31</v>
      </c>
      <c r="F401" s="120" t="s">
        <v>63</v>
      </c>
      <c r="G401" s="29">
        <v>45494</v>
      </c>
      <c r="H401" s="28" t="s">
        <v>1946</v>
      </c>
      <c r="I401" s="114" t="s">
        <v>12400</v>
      </c>
      <c r="J401" s="114" t="s">
        <v>12401</v>
      </c>
    </row>
    <row r="402" spans="1:10" ht="20" customHeight="1" thickBot="1">
      <c r="A402" s="26" t="s">
        <v>1949</v>
      </c>
      <c r="B402" s="26" t="s">
        <v>1949</v>
      </c>
      <c r="C402" s="26" t="s">
        <v>1905</v>
      </c>
      <c r="D402" s="116">
        <v>22</v>
      </c>
      <c r="E402" s="122" t="s">
        <v>34</v>
      </c>
      <c r="F402" s="119" t="s">
        <v>57</v>
      </c>
      <c r="G402" s="27">
        <v>44154</v>
      </c>
      <c r="H402" s="26" t="s">
        <v>1950</v>
      </c>
      <c r="I402" s="113" t="s">
        <v>12400</v>
      </c>
      <c r="J402" s="113" t="s">
        <v>12401</v>
      </c>
    </row>
    <row r="403" spans="1:10" ht="20" customHeight="1" thickBot="1">
      <c r="A403" s="28" t="s">
        <v>1953</v>
      </c>
      <c r="B403" s="28" t="s">
        <v>1953</v>
      </c>
      <c r="C403" s="28" t="s">
        <v>302</v>
      </c>
      <c r="D403" s="117">
        <v>0</v>
      </c>
      <c r="E403" s="122" t="s">
        <v>31</v>
      </c>
      <c r="F403" s="120" t="s">
        <v>63</v>
      </c>
      <c r="G403" s="29">
        <v>44635</v>
      </c>
      <c r="H403" s="28" t="s">
        <v>1954</v>
      </c>
      <c r="I403" s="114" t="s">
        <v>12400</v>
      </c>
      <c r="J403" s="114" t="s">
        <v>12401</v>
      </c>
    </row>
    <row r="404" spans="1:10" ht="20" customHeight="1" thickBot="1">
      <c r="A404" s="26" t="s">
        <v>1957</v>
      </c>
      <c r="B404" s="26" t="s">
        <v>1957</v>
      </c>
      <c r="C404" s="26" t="s">
        <v>1958</v>
      </c>
      <c r="D404" s="116">
        <v>0</v>
      </c>
      <c r="E404" s="122" t="s">
        <v>35</v>
      </c>
      <c r="F404" s="119" t="s">
        <v>57</v>
      </c>
      <c r="G404" s="27">
        <v>44480</v>
      </c>
      <c r="H404" s="26" t="s">
        <v>1959</v>
      </c>
      <c r="I404" s="113" t="s">
        <v>12400</v>
      </c>
      <c r="J404" s="113" t="s">
        <v>12401</v>
      </c>
    </row>
    <row r="405" spans="1:10" ht="20" customHeight="1" thickBot="1">
      <c r="A405" s="28" t="s">
        <v>1962</v>
      </c>
      <c r="B405" s="28" t="s">
        <v>1962</v>
      </c>
      <c r="C405" s="28" t="s">
        <v>1478</v>
      </c>
      <c r="D405" s="117">
        <v>8</v>
      </c>
      <c r="E405" s="122" t="s">
        <v>34</v>
      </c>
      <c r="F405" s="120" t="s">
        <v>57</v>
      </c>
      <c r="G405" s="29">
        <v>45781</v>
      </c>
      <c r="H405" s="28" t="s">
        <v>1963</v>
      </c>
      <c r="I405" s="114" t="s">
        <v>12400</v>
      </c>
      <c r="J405" s="114" t="s">
        <v>12401</v>
      </c>
    </row>
    <row r="406" spans="1:10" ht="20" customHeight="1" thickBot="1">
      <c r="A406" s="26" t="s">
        <v>1966</v>
      </c>
      <c r="B406" s="26" t="s">
        <v>1966</v>
      </c>
      <c r="C406" s="26" t="s">
        <v>1967</v>
      </c>
      <c r="D406" s="116">
        <v>18</v>
      </c>
      <c r="E406" s="122" t="s">
        <v>35</v>
      </c>
      <c r="F406" s="119" t="s">
        <v>57</v>
      </c>
      <c r="G406" s="27">
        <v>43849</v>
      </c>
      <c r="H406" s="26" t="s">
        <v>1968</v>
      </c>
      <c r="I406" s="113" t="s">
        <v>12400</v>
      </c>
      <c r="J406" s="113" t="s">
        <v>12401</v>
      </c>
    </row>
    <row r="407" spans="1:10" ht="20" customHeight="1" thickBot="1">
      <c r="A407" s="28" t="s">
        <v>1971</v>
      </c>
      <c r="B407" s="28" t="s">
        <v>1971</v>
      </c>
      <c r="C407" s="28" t="s">
        <v>452</v>
      </c>
      <c r="D407" s="117">
        <v>1</v>
      </c>
      <c r="E407" s="122" t="s">
        <v>31</v>
      </c>
      <c r="F407" s="120" t="s">
        <v>57</v>
      </c>
      <c r="G407" s="29">
        <v>44885</v>
      </c>
      <c r="H407" s="28" t="s">
        <v>1972</v>
      </c>
      <c r="I407" s="114" t="s">
        <v>12400</v>
      </c>
      <c r="J407" s="114" t="s">
        <v>12401</v>
      </c>
    </row>
    <row r="408" spans="1:10" ht="20" customHeight="1" thickBot="1">
      <c r="A408" s="26" t="s">
        <v>1975</v>
      </c>
      <c r="B408" s="26" t="s">
        <v>1975</v>
      </c>
      <c r="C408" s="26" t="s">
        <v>1976</v>
      </c>
      <c r="D408" s="116">
        <v>12</v>
      </c>
      <c r="E408" s="122" t="s">
        <v>34</v>
      </c>
      <c r="F408" s="119" t="s">
        <v>57</v>
      </c>
      <c r="G408" s="27">
        <v>45021</v>
      </c>
      <c r="H408" s="26" t="s">
        <v>1977</v>
      </c>
      <c r="I408" s="113" t="s">
        <v>12400</v>
      </c>
      <c r="J408" s="113" t="s">
        <v>12401</v>
      </c>
    </row>
    <row r="409" spans="1:10" ht="20" customHeight="1" thickBot="1">
      <c r="A409" s="28" t="s">
        <v>1980</v>
      </c>
      <c r="B409" s="28" t="s">
        <v>1980</v>
      </c>
      <c r="C409" s="28" t="s">
        <v>1981</v>
      </c>
      <c r="D409" s="117">
        <v>10</v>
      </c>
      <c r="E409" s="122" t="s">
        <v>34</v>
      </c>
      <c r="F409" s="120" t="s">
        <v>57</v>
      </c>
      <c r="G409" s="29">
        <v>44561</v>
      </c>
      <c r="H409" s="28" t="s">
        <v>1982</v>
      </c>
      <c r="I409" s="114" t="s">
        <v>12400</v>
      </c>
      <c r="J409" s="114" t="s">
        <v>12401</v>
      </c>
    </row>
    <row r="410" spans="1:10" ht="20" customHeight="1" thickBot="1">
      <c r="A410" s="26" t="s">
        <v>1985</v>
      </c>
      <c r="B410" s="26" t="s">
        <v>1985</v>
      </c>
      <c r="C410" s="26" t="s">
        <v>1986</v>
      </c>
      <c r="D410" s="116">
        <v>4</v>
      </c>
      <c r="E410" s="122" t="s">
        <v>29</v>
      </c>
      <c r="F410" s="119" t="s">
        <v>63</v>
      </c>
      <c r="G410" s="27">
        <v>44007</v>
      </c>
      <c r="H410" s="26" t="s">
        <v>1987</v>
      </c>
      <c r="I410" s="113" t="s">
        <v>12400</v>
      </c>
      <c r="J410" s="113" t="s">
        <v>12401</v>
      </c>
    </row>
    <row r="411" spans="1:10" ht="20" customHeight="1" thickBot="1">
      <c r="A411" s="28" t="s">
        <v>1990</v>
      </c>
      <c r="B411" s="28" t="s">
        <v>1990</v>
      </c>
      <c r="C411" s="28" t="s">
        <v>1991</v>
      </c>
      <c r="D411" s="117">
        <v>89</v>
      </c>
      <c r="E411" s="122" t="s">
        <v>29</v>
      </c>
      <c r="F411" s="120" t="s">
        <v>63</v>
      </c>
      <c r="G411" s="29">
        <v>45638</v>
      </c>
      <c r="H411" s="28" t="s">
        <v>1992</v>
      </c>
      <c r="I411" s="114" t="s">
        <v>12400</v>
      </c>
      <c r="J411" s="114" t="s">
        <v>12401</v>
      </c>
    </row>
    <row r="412" spans="1:10" ht="20" customHeight="1" thickBot="1">
      <c r="A412" s="26" t="s">
        <v>1995</v>
      </c>
      <c r="B412" s="26" t="s">
        <v>1995</v>
      </c>
      <c r="C412" s="26" t="s">
        <v>1996</v>
      </c>
      <c r="D412" s="116">
        <v>18</v>
      </c>
      <c r="E412" s="122" t="s">
        <v>31</v>
      </c>
      <c r="F412" s="119" t="s">
        <v>63</v>
      </c>
      <c r="G412" s="27">
        <v>42615</v>
      </c>
      <c r="H412" s="26" t="s">
        <v>1997</v>
      </c>
      <c r="I412" s="113" t="s">
        <v>12400</v>
      </c>
      <c r="J412" s="113" t="s">
        <v>12401</v>
      </c>
    </row>
    <row r="413" spans="1:10" ht="20" customHeight="1" thickBot="1">
      <c r="A413" s="28" t="s">
        <v>2000</v>
      </c>
      <c r="B413" s="28" t="s">
        <v>2000</v>
      </c>
      <c r="C413" s="28" t="s">
        <v>2001</v>
      </c>
      <c r="D413" s="117">
        <v>7</v>
      </c>
      <c r="E413" s="122" t="s">
        <v>29</v>
      </c>
      <c r="F413" s="120" t="s">
        <v>63</v>
      </c>
      <c r="G413" s="29">
        <v>42134</v>
      </c>
      <c r="H413" s="28" t="s">
        <v>2002</v>
      </c>
      <c r="I413" s="114" t="s">
        <v>12400</v>
      </c>
      <c r="J413" s="114" t="s">
        <v>12401</v>
      </c>
    </row>
    <row r="414" spans="1:10" ht="20" customHeight="1" thickBot="1">
      <c r="A414" s="26" t="s">
        <v>2005</v>
      </c>
      <c r="B414" s="26" t="s">
        <v>2005</v>
      </c>
      <c r="C414" s="26" t="s">
        <v>2006</v>
      </c>
      <c r="D414" s="116">
        <v>0</v>
      </c>
      <c r="E414" s="122" t="s">
        <v>35</v>
      </c>
      <c r="F414" s="119" t="s">
        <v>57</v>
      </c>
      <c r="G414" s="27">
        <v>46072</v>
      </c>
      <c r="H414" s="26" t="s">
        <v>2007</v>
      </c>
      <c r="I414" s="113" t="s">
        <v>12400</v>
      </c>
      <c r="J414" s="113" t="s">
        <v>12401</v>
      </c>
    </row>
    <row r="415" spans="1:10" ht="20" customHeight="1" thickBot="1">
      <c r="A415" s="28" t="s">
        <v>2010</v>
      </c>
      <c r="B415" s="28" t="s">
        <v>2010</v>
      </c>
      <c r="C415" s="28" t="s">
        <v>2011</v>
      </c>
      <c r="D415" s="117">
        <v>23</v>
      </c>
      <c r="E415" s="122" t="s">
        <v>34</v>
      </c>
      <c r="F415" s="120" t="s">
        <v>57</v>
      </c>
      <c r="G415" s="29">
        <v>44349</v>
      </c>
      <c r="H415" s="28" t="s">
        <v>2012</v>
      </c>
      <c r="I415" s="114" t="s">
        <v>12400</v>
      </c>
      <c r="J415" s="114" t="s">
        <v>12401</v>
      </c>
    </row>
    <row r="416" spans="1:10" ht="20" customHeight="1" thickBot="1">
      <c r="A416" s="26" t="s">
        <v>2015</v>
      </c>
      <c r="B416" s="26" t="s">
        <v>2015</v>
      </c>
      <c r="C416" s="26" t="s">
        <v>2016</v>
      </c>
      <c r="D416" s="116">
        <v>11</v>
      </c>
      <c r="E416" s="122" t="s">
        <v>33</v>
      </c>
      <c r="F416" s="119" t="s">
        <v>571</v>
      </c>
      <c r="G416" s="27">
        <v>42873</v>
      </c>
      <c r="H416" s="26" t="s">
        <v>2017</v>
      </c>
      <c r="I416" s="113" t="s">
        <v>12400</v>
      </c>
      <c r="J416" s="113" t="s">
        <v>12401</v>
      </c>
    </row>
    <row r="417" spans="1:10" ht="20" customHeight="1" thickBot="1">
      <c r="A417" s="28" t="s">
        <v>2020</v>
      </c>
      <c r="B417" s="28" t="s">
        <v>2020</v>
      </c>
      <c r="C417" s="28" t="s">
        <v>2021</v>
      </c>
      <c r="D417" s="117">
        <v>1</v>
      </c>
      <c r="E417" s="122" t="s">
        <v>34</v>
      </c>
      <c r="F417" s="120" t="s">
        <v>57</v>
      </c>
      <c r="G417" s="29">
        <v>45595</v>
      </c>
      <c r="H417" s="28" t="s">
        <v>2022</v>
      </c>
      <c r="I417" s="114" t="s">
        <v>12400</v>
      </c>
      <c r="J417" s="114" t="s">
        <v>12401</v>
      </c>
    </row>
    <row r="418" spans="1:10" ht="20" customHeight="1" thickBot="1">
      <c r="A418" s="26" t="s">
        <v>2025</v>
      </c>
      <c r="B418" s="26" t="s">
        <v>2025</v>
      </c>
      <c r="C418" s="26" t="s">
        <v>1429</v>
      </c>
      <c r="D418" s="116">
        <v>20</v>
      </c>
      <c r="E418" s="122" t="s">
        <v>34</v>
      </c>
      <c r="F418" s="119" t="s">
        <v>57</v>
      </c>
      <c r="G418" s="27">
        <v>44033</v>
      </c>
      <c r="H418" s="26" t="s">
        <v>2026</v>
      </c>
      <c r="I418" s="113" t="s">
        <v>12400</v>
      </c>
      <c r="J418" s="113" t="s">
        <v>12401</v>
      </c>
    </row>
    <row r="419" spans="1:10" ht="20" customHeight="1" thickBot="1">
      <c r="A419" s="28" t="s">
        <v>2029</v>
      </c>
      <c r="B419" s="28" t="s">
        <v>2029</v>
      </c>
      <c r="C419" s="28" t="s">
        <v>2030</v>
      </c>
      <c r="D419" s="117">
        <v>7</v>
      </c>
      <c r="E419" s="122" t="s">
        <v>31</v>
      </c>
      <c r="F419" s="120" t="s">
        <v>63</v>
      </c>
      <c r="G419" s="29">
        <v>44779</v>
      </c>
      <c r="H419" s="28" t="s">
        <v>2031</v>
      </c>
      <c r="I419" s="114" t="s">
        <v>12400</v>
      </c>
      <c r="J419" s="114" t="s">
        <v>12401</v>
      </c>
    </row>
    <row r="420" spans="1:10" ht="20" customHeight="1" thickBot="1">
      <c r="A420" s="26" t="s">
        <v>2034</v>
      </c>
      <c r="B420" s="26" t="s">
        <v>2034</v>
      </c>
      <c r="C420" s="26" t="s">
        <v>2035</v>
      </c>
      <c r="D420" s="116">
        <v>22</v>
      </c>
      <c r="E420" s="122" t="s">
        <v>33</v>
      </c>
      <c r="F420" s="119" t="s">
        <v>57</v>
      </c>
      <c r="G420" s="27">
        <v>43879</v>
      </c>
      <c r="H420" s="26" t="s">
        <v>2036</v>
      </c>
      <c r="I420" s="113" t="s">
        <v>12400</v>
      </c>
      <c r="J420" s="113" t="s">
        <v>12401</v>
      </c>
    </row>
    <row r="421" spans="1:10" ht="20" customHeight="1" thickBot="1">
      <c r="A421" s="28" t="s">
        <v>2039</v>
      </c>
      <c r="B421" s="28" t="s">
        <v>2039</v>
      </c>
      <c r="C421" s="28" t="s">
        <v>1389</v>
      </c>
      <c r="D421" s="117">
        <v>17</v>
      </c>
      <c r="E421" s="122" t="s">
        <v>34</v>
      </c>
      <c r="F421" s="120" t="s">
        <v>57</v>
      </c>
      <c r="G421" s="29">
        <v>45076</v>
      </c>
      <c r="H421" s="28" t="s">
        <v>2040</v>
      </c>
      <c r="I421" s="114" t="s">
        <v>12400</v>
      </c>
      <c r="J421" s="114" t="s">
        <v>12401</v>
      </c>
    </row>
    <row r="422" spans="1:10" ht="20" customHeight="1" thickBot="1">
      <c r="A422" s="26" t="s">
        <v>2043</v>
      </c>
      <c r="B422" s="26" t="s">
        <v>2043</v>
      </c>
      <c r="C422" s="26" t="s">
        <v>2044</v>
      </c>
      <c r="D422" s="116">
        <v>10</v>
      </c>
      <c r="E422" s="122" t="s">
        <v>34</v>
      </c>
      <c r="F422" s="119" t="s">
        <v>57</v>
      </c>
      <c r="G422" s="27">
        <v>44817</v>
      </c>
      <c r="H422" s="26" t="s">
        <v>2045</v>
      </c>
      <c r="I422" s="113" t="s">
        <v>12400</v>
      </c>
      <c r="J422" s="113" t="s">
        <v>12401</v>
      </c>
    </row>
    <row r="423" spans="1:10" ht="20" customHeight="1" thickBot="1">
      <c r="A423" s="28" t="s">
        <v>2048</v>
      </c>
      <c r="B423" s="28" t="s">
        <v>2048</v>
      </c>
      <c r="C423" s="28" t="s">
        <v>641</v>
      </c>
      <c r="D423" s="117">
        <v>5</v>
      </c>
      <c r="E423" s="122" t="s">
        <v>35</v>
      </c>
      <c r="F423" s="120" t="s">
        <v>57</v>
      </c>
      <c r="G423" s="29">
        <v>44304</v>
      </c>
      <c r="H423" s="28" t="s">
        <v>2049</v>
      </c>
      <c r="I423" s="114" t="s">
        <v>12400</v>
      </c>
      <c r="J423" s="114" t="s">
        <v>12401</v>
      </c>
    </row>
    <row r="424" spans="1:10" ht="20" customHeight="1" thickBot="1">
      <c r="A424" s="26" t="s">
        <v>2052</v>
      </c>
      <c r="B424" s="26" t="s">
        <v>2052</v>
      </c>
      <c r="C424" s="26" t="s">
        <v>1637</v>
      </c>
      <c r="D424" s="116">
        <v>9</v>
      </c>
      <c r="E424" s="122" t="s">
        <v>34</v>
      </c>
      <c r="F424" s="119" t="s">
        <v>57</v>
      </c>
      <c r="G424" s="27">
        <v>46081</v>
      </c>
      <c r="H424" s="26" t="s">
        <v>2053</v>
      </c>
      <c r="I424" s="113" t="s">
        <v>12400</v>
      </c>
      <c r="J424" s="113" t="s">
        <v>12401</v>
      </c>
    </row>
    <row r="425" spans="1:10" ht="20" customHeight="1" thickBot="1">
      <c r="A425" s="28" t="s">
        <v>2056</v>
      </c>
      <c r="B425" s="28" t="s">
        <v>2056</v>
      </c>
      <c r="C425" s="28" t="s">
        <v>2057</v>
      </c>
      <c r="D425" s="117">
        <v>1</v>
      </c>
      <c r="E425" s="122" t="s">
        <v>31</v>
      </c>
      <c r="F425" s="120" t="s">
        <v>63</v>
      </c>
      <c r="G425" s="29">
        <v>42161</v>
      </c>
      <c r="H425" s="28" t="s">
        <v>2058</v>
      </c>
      <c r="I425" s="114" t="s">
        <v>12400</v>
      </c>
      <c r="J425" s="114" t="s">
        <v>12401</v>
      </c>
    </row>
    <row r="426" spans="1:10" ht="20" customHeight="1" thickBot="1">
      <c r="A426" s="26" t="s">
        <v>2061</v>
      </c>
      <c r="B426" s="26" t="s">
        <v>2061</v>
      </c>
      <c r="C426" s="26" t="s">
        <v>2062</v>
      </c>
      <c r="D426" s="116">
        <v>10</v>
      </c>
      <c r="E426" s="122" t="s">
        <v>34</v>
      </c>
      <c r="F426" s="119" t="s">
        <v>115</v>
      </c>
      <c r="G426" s="27">
        <v>43817</v>
      </c>
      <c r="H426" s="26" t="s">
        <v>2063</v>
      </c>
      <c r="I426" s="113" t="s">
        <v>12400</v>
      </c>
      <c r="J426" s="113" t="s">
        <v>12401</v>
      </c>
    </row>
    <row r="427" spans="1:10" ht="20" customHeight="1" thickBot="1">
      <c r="A427" s="28" t="s">
        <v>2066</v>
      </c>
      <c r="B427" s="28" t="s">
        <v>2066</v>
      </c>
      <c r="C427" s="28" t="s">
        <v>2067</v>
      </c>
      <c r="D427" s="117">
        <v>1</v>
      </c>
      <c r="E427" s="122" t="s">
        <v>27</v>
      </c>
      <c r="F427" s="120" t="s">
        <v>63</v>
      </c>
      <c r="G427" s="29">
        <v>42339</v>
      </c>
      <c r="H427" s="28" t="s">
        <v>2068</v>
      </c>
      <c r="I427" s="114" t="s">
        <v>12400</v>
      </c>
      <c r="J427" s="114" t="s">
        <v>12401</v>
      </c>
    </row>
    <row r="428" spans="1:10" ht="20" customHeight="1" thickBot="1">
      <c r="A428" s="26" t="s">
        <v>2071</v>
      </c>
      <c r="B428" s="26" t="s">
        <v>2071</v>
      </c>
      <c r="C428" s="26" t="s">
        <v>2072</v>
      </c>
      <c r="D428" s="116">
        <v>2</v>
      </c>
      <c r="E428" s="122" t="s">
        <v>31</v>
      </c>
      <c r="F428" s="119" t="s">
        <v>63</v>
      </c>
      <c r="G428" s="27">
        <v>45957</v>
      </c>
      <c r="H428" s="26" t="s">
        <v>2073</v>
      </c>
      <c r="I428" s="113" t="s">
        <v>12400</v>
      </c>
      <c r="J428" s="113" t="s">
        <v>12401</v>
      </c>
    </row>
    <row r="429" spans="1:10" ht="20" customHeight="1" thickBot="1">
      <c r="A429" s="28" t="s">
        <v>2076</v>
      </c>
      <c r="B429" s="28" t="s">
        <v>2076</v>
      </c>
      <c r="C429" s="28" t="s">
        <v>1389</v>
      </c>
      <c r="D429" s="117">
        <v>20</v>
      </c>
      <c r="E429" s="122" t="s">
        <v>34</v>
      </c>
      <c r="F429" s="120" t="s">
        <v>57</v>
      </c>
      <c r="G429" s="29">
        <v>45463</v>
      </c>
      <c r="H429" s="28" t="s">
        <v>2077</v>
      </c>
      <c r="I429" s="114" t="s">
        <v>12400</v>
      </c>
      <c r="J429" s="114" t="s">
        <v>12401</v>
      </c>
    </row>
    <row r="430" spans="1:10" ht="20" customHeight="1" thickBot="1">
      <c r="A430" s="26" t="s">
        <v>2080</v>
      </c>
      <c r="B430" s="26" t="s">
        <v>2080</v>
      </c>
      <c r="C430" s="26" t="s">
        <v>2081</v>
      </c>
      <c r="D430" s="116">
        <v>15</v>
      </c>
      <c r="E430" s="122" t="s">
        <v>33</v>
      </c>
      <c r="F430" s="119" t="s">
        <v>57</v>
      </c>
      <c r="G430" s="27">
        <v>45635</v>
      </c>
      <c r="H430" s="26" t="s">
        <v>2082</v>
      </c>
      <c r="I430" s="113" t="s">
        <v>12400</v>
      </c>
      <c r="J430" s="113" t="s">
        <v>12401</v>
      </c>
    </row>
    <row r="431" spans="1:10" ht="20" customHeight="1" thickBot="1">
      <c r="A431" s="28" t="s">
        <v>2085</v>
      </c>
      <c r="B431" s="28" t="s">
        <v>2085</v>
      </c>
      <c r="C431" s="28" t="s">
        <v>2086</v>
      </c>
      <c r="D431" s="117">
        <v>5</v>
      </c>
      <c r="E431" s="122" t="s">
        <v>34</v>
      </c>
      <c r="F431" s="120" t="s">
        <v>57</v>
      </c>
      <c r="G431" s="29">
        <v>44536</v>
      </c>
      <c r="H431" s="28" t="s">
        <v>2087</v>
      </c>
      <c r="I431" s="114" t="s">
        <v>12400</v>
      </c>
      <c r="J431" s="114" t="s">
        <v>12401</v>
      </c>
    </row>
    <row r="432" spans="1:10" ht="20" customHeight="1" thickBot="1">
      <c r="A432" s="26" t="s">
        <v>2090</v>
      </c>
      <c r="B432" s="26" t="s">
        <v>2090</v>
      </c>
      <c r="C432" s="26" t="s">
        <v>83</v>
      </c>
      <c r="D432" s="116">
        <v>3</v>
      </c>
      <c r="E432" s="122" t="s">
        <v>29</v>
      </c>
      <c r="F432" s="119" t="s">
        <v>63</v>
      </c>
      <c r="G432" s="27">
        <v>42270</v>
      </c>
      <c r="H432" s="26" t="s">
        <v>2091</v>
      </c>
      <c r="I432" s="113" t="s">
        <v>12400</v>
      </c>
      <c r="J432" s="113" t="s">
        <v>12401</v>
      </c>
    </row>
    <row r="433" spans="1:10" ht="20" customHeight="1" thickBot="1">
      <c r="A433" s="28" t="s">
        <v>2094</v>
      </c>
      <c r="B433" s="28" t="s">
        <v>2094</v>
      </c>
      <c r="C433" s="28" t="s">
        <v>2095</v>
      </c>
      <c r="D433" s="117">
        <v>9</v>
      </c>
      <c r="E433" s="122" t="s">
        <v>34</v>
      </c>
      <c r="F433" s="120" t="s">
        <v>57</v>
      </c>
      <c r="G433" s="29">
        <v>43860</v>
      </c>
      <c r="H433" s="28" t="s">
        <v>2096</v>
      </c>
      <c r="I433" s="114" t="s">
        <v>12400</v>
      </c>
      <c r="J433" s="114" t="s">
        <v>12401</v>
      </c>
    </row>
    <row r="434" spans="1:10" ht="20" customHeight="1" thickBot="1">
      <c r="A434" s="26" t="s">
        <v>2099</v>
      </c>
      <c r="B434" s="26" t="s">
        <v>2099</v>
      </c>
      <c r="C434" s="26" t="s">
        <v>2100</v>
      </c>
      <c r="D434" s="116">
        <v>20</v>
      </c>
      <c r="E434" s="122" t="s">
        <v>29</v>
      </c>
      <c r="F434" s="119" t="s">
        <v>63</v>
      </c>
      <c r="G434" s="27">
        <v>42276</v>
      </c>
      <c r="H434" s="26" t="s">
        <v>2101</v>
      </c>
      <c r="I434" s="113" t="s">
        <v>12400</v>
      </c>
      <c r="J434" s="113" t="s">
        <v>12401</v>
      </c>
    </row>
    <row r="435" spans="1:10" ht="20" customHeight="1" thickBot="1">
      <c r="A435" s="28" t="s">
        <v>2104</v>
      </c>
      <c r="B435" s="28" t="s">
        <v>2104</v>
      </c>
      <c r="C435" s="28" t="s">
        <v>68</v>
      </c>
      <c r="D435" s="117">
        <v>12</v>
      </c>
      <c r="E435" s="122" t="s">
        <v>33</v>
      </c>
      <c r="F435" s="120" t="s">
        <v>63</v>
      </c>
      <c r="G435" s="29">
        <v>44317</v>
      </c>
      <c r="H435" s="28" t="s">
        <v>2105</v>
      </c>
      <c r="I435" s="114" t="s">
        <v>12400</v>
      </c>
      <c r="J435" s="114" t="s">
        <v>12401</v>
      </c>
    </row>
    <row r="436" spans="1:10" ht="20" customHeight="1" thickBot="1">
      <c r="A436" s="26" t="s">
        <v>2108</v>
      </c>
      <c r="B436" s="26" t="s">
        <v>2108</v>
      </c>
      <c r="C436" s="26" t="s">
        <v>2109</v>
      </c>
      <c r="D436" s="116">
        <v>8</v>
      </c>
      <c r="E436" s="122" t="s">
        <v>31</v>
      </c>
      <c r="F436" s="119" t="s">
        <v>63</v>
      </c>
      <c r="G436" s="27">
        <v>42694</v>
      </c>
      <c r="H436" s="26" t="s">
        <v>2110</v>
      </c>
      <c r="I436" s="113" t="s">
        <v>12400</v>
      </c>
      <c r="J436" s="113" t="s">
        <v>12401</v>
      </c>
    </row>
    <row r="437" spans="1:10" ht="20" customHeight="1" thickBot="1">
      <c r="A437" s="28" t="s">
        <v>2113</v>
      </c>
      <c r="B437" s="28" t="s">
        <v>2113</v>
      </c>
      <c r="C437" s="28" t="s">
        <v>2114</v>
      </c>
      <c r="D437" s="117">
        <v>8</v>
      </c>
      <c r="E437" s="122" t="s">
        <v>29</v>
      </c>
      <c r="F437" s="120" t="s">
        <v>63</v>
      </c>
      <c r="G437" s="29">
        <v>43827</v>
      </c>
      <c r="H437" s="28" t="s">
        <v>2115</v>
      </c>
      <c r="I437" s="114" t="s">
        <v>12400</v>
      </c>
      <c r="J437" s="114" t="s">
        <v>12401</v>
      </c>
    </row>
    <row r="438" spans="1:10" ht="20" customHeight="1" thickBot="1">
      <c r="A438" s="26" t="s">
        <v>2118</v>
      </c>
      <c r="B438" s="26" t="s">
        <v>2118</v>
      </c>
      <c r="C438" s="26" t="s">
        <v>2119</v>
      </c>
      <c r="D438" s="116">
        <v>30</v>
      </c>
      <c r="E438" s="122" t="s">
        <v>31</v>
      </c>
      <c r="F438" s="119" t="s">
        <v>63</v>
      </c>
      <c r="G438" s="27">
        <v>44617</v>
      </c>
      <c r="H438" s="26" t="s">
        <v>2120</v>
      </c>
      <c r="I438" s="113" t="s">
        <v>12400</v>
      </c>
      <c r="J438" s="113" t="s">
        <v>12401</v>
      </c>
    </row>
    <row r="439" spans="1:10" ht="20" customHeight="1" thickBot="1">
      <c r="A439" s="28" t="s">
        <v>2123</v>
      </c>
      <c r="B439" s="28" t="s">
        <v>2123</v>
      </c>
      <c r="C439" s="28" t="s">
        <v>2119</v>
      </c>
      <c r="D439" s="117">
        <v>21</v>
      </c>
      <c r="E439" s="122" t="s">
        <v>31</v>
      </c>
      <c r="F439" s="120" t="s">
        <v>63</v>
      </c>
      <c r="G439" s="29">
        <v>43949</v>
      </c>
      <c r="H439" s="28" t="s">
        <v>2124</v>
      </c>
      <c r="I439" s="114" t="s">
        <v>12400</v>
      </c>
      <c r="J439" s="114" t="s">
        <v>12401</v>
      </c>
    </row>
    <row r="440" spans="1:10" ht="20" customHeight="1" thickBot="1">
      <c r="A440" s="26" t="s">
        <v>2127</v>
      </c>
      <c r="B440" s="26" t="s">
        <v>2127</v>
      </c>
      <c r="C440" s="26" t="s">
        <v>2128</v>
      </c>
      <c r="D440" s="116">
        <v>12</v>
      </c>
      <c r="E440" s="122" t="s">
        <v>31</v>
      </c>
      <c r="F440" s="119" t="s">
        <v>63</v>
      </c>
      <c r="G440" s="27">
        <v>44414</v>
      </c>
      <c r="H440" s="26" t="s">
        <v>2129</v>
      </c>
      <c r="I440" s="113" t="s">
        <v>12400</v>
      </c>
      <c r="J440" s="113" t="s">
        <v>12401</v>
      </c>
    </row>
    <row r="441" spans="1:10" ht="20" customHeight="1" thickBot="1">
      <c r="A441" s="28" t="s">
        <v>2132</v>
      </c>
      <c r="B441" s="28" t="s">
        <v>2132</v>
      </c>
      <c r="C441" s="28" t="s">
        <v>2133</v>
      </c>
      <c r="D441" s="117">
        <v>2</v>
      </c>
      <c r="E441" s="122" t="s">
        <v>31</v>
      </c>
      <c r="F441" s="120" t="s">
        <v>115</v>
      </c>
      <c r="G441" s="29">
        <v>45174</v>
      </c>
      <c r="H441" s="28" t="s">
        <v>2134</v>
      </c>
      <c r="I441" s="114" t="s">
        <v>12400</v>
      </c>
      <c r="J441" s="114" t="s">
        <v>12401</v>
      </c>
    </row>
    <row r="442" spans="1:10" ht="20" customHeight="1" thickBot="1">
      <c r="A442" s="26" t="s">
        <v>2137</v>
      </c>
      <c r="B442" s="26" t="s">
        <v>2137</v>
      </c>
      <c r="C442" s="26" t="s">
        <v>585</v>
      </c>
      <c r="D442" s="116">
        <v>11</v>
      </c>
      <c r="E442" s="122" t="s">
        <v>34</v>
      </c>
      <c r="F442" s="119" t="s">
        <v>57</v>
      </c>
      <c r="G442" s="27">
        <v>44252</v>
      </c>
      <c r="H442" s="26" t="s">
        <v>2138</v>
      </c>
      <c r="I442" s="113" t="s">
        <v>12400</v>
      </c>
      <c r="J442" s="113" t="s">
        <v>12401</v>
      </c>
    </row>
    <row r="443" spans="1:10" ht="20" customHeight="1" thickBot="1">
      <c r="A443" s="28" t="s">
        <v>2141</v>
      </c>
      <c r="B443" s="28" t="s">
        <v>2141</v>
      </c>
      <c r="C443" s="28" t="s">
        <v>2142</v>
      </c>
      <c r="D443" s="117">
        <v>8</v>
      </c>
      <c r="E443" s="122" t="s">
        <v>35</v>
      </c>
      <c r="F443" s="120" t="s">
        <v>57</v>
      </c>
      <c r="G443" s="29">
        <v>44420</v>
      </c>
      <c r="H443" s="28" t="s">
        <v>2143</v>
      </c>
      <c r="I443" s="114" t="s">
        <v>12400</v>
      </c>
      <c r="J443" s="114" t="s">
        <v>12401</v>
      </c>
    </row>
    <row r="444" spans="1:10" ht="20" customHeight="1" thickBot="1">
      <c r="A444" s="26" t="s">
        <v>2146</v>
      </c>
      <c r="B444" s="26" t="s">
        <v>2146</v>
      </c>
      <c r="C444" s="26" t="s">
        <v>2147</v>
      </c>
      <c r="D444" s="116">
        <v>5</v>
      </c>
      <c r="E444" s="122" t="s">
        <v>27</v>
      </c>
      <c r="F444" s="119" t="s">
        <v>63</v>
      </c>
      <c r="G444" s="27">
        <v>41462</v>
      </c>
      <c r="H444" s="26" t="s">
        <v>2148</v>
      </c>
      <c r="I444" s="113" t="s">
        <v>12400</v>
      </c>
      <c r="J444" s="113" t="s">
        <v>12401</v>
      </c>
    </row>
    <row r="445" spans="1:10" ht="20" customHeight="1" thickBot="1">
      <c r="A445" s="28" t="s">
        <v>2151</v>
      </c>
      <c r="B445" s="28" t="s">
        <v>2151</v>
      </c>
      <c r="C445" s="28" t="s">
        <v>2152</v>
      </c>
      <c r="D445" s="117">
        <v>4</v>
      </c>
      <c r="E445" s="122" t="s">
        <v>31</v>
      </c>
      <c r="F445" s="120" t="s">
        <v>63</v>
      </c>
      <c r="G445" s="29">
        <v>42933</v>
      </c>
      <c r="H445" s="28" t="s">
        <v>2153</v>
      </c>
      <c r="I445" s="114" t="s">
        <v>12400</v>
      </c>
      <c r="J445" s="114" t="s">
        <v>12401</v>
      </c>
    </row>
    <row r="446" spans="1:10" ht="20" customHeight="1" thickBot="1">
      <c r="A446" s="26" t="s">
        <v>2156</v>
      </c>
      <c r="B446" s="26" t="s">
        <v>2156</v>
      </c>
      <c r="C446" s="26" t="s">
        <v>2152</v>
      </c>
      <c r="D446" s="116">
        <v>4</v>
      </c>
      <c r="E446" s="122" t="s">
        <v>31</v>
      </c>
      <c r="F446" s="119" t="s">
        <v>63</v>
      </c>
      <c r="G446" s="27">
        <v>43305</v>
      </c>
      <c r="H446" s="26" t="s">
        <v>2157</v>
      </c>
      <c r="I446" s="113" t="s">
        <v>12400</v>
      </c>
      <c r="J446" s="113" t="s">
        <v>12401</v>
      </c>
    </row>
    <row r="447" spans="1:10" ht="20" customHeight="1" thickBot="1">
      <c r="A447" s="28" t="s">
        <v>2160</v>
      </c>
      <c r="B447" s="28" t="s">
        <v>2160</v>
      </c>
      <c r="C447" s="28" t="s">
        <v>2152</v>
      </c>
      <c r="D447" s="117">
        <v>4</v>
      </c>
      <c r="E447" s="122" t="s">
        <v>31</v>
      </c>
      <c r="F447" s="120" t="s">
        <v>63</v>
      </c>
      <c r="G447" s="29">
        <v>45710</v>
      </c>
      <c r="H447" s="28" t="s">
        <v>2161</v>
      </c>
      <c r="I447" s="114" t="s">
        <v>12400</v>
      </c>
      <c r="J447" s="114" t="s">
        <v>12401</v>
      </c>
    </row>
    <row r="448" spans="1:10" ht="20" customHeight="1" thickBot="1">
      <c r="A448" s="26" t="s">
        <v>2164</v>
      </c>
      <c r="B448" s="26" t="s">
        <v>2164</v>
      </c>
      <c r="C448" s="26" t="s">
        <v>2165</v>
      </c>
      <c r="D448" s="116">
        <v>1</v>
      </c>
      <c r="E448" s="122" t="s">
        <v>31</v>
      </c>
      <c r="F448" s="119" t="s">
        <v>63</v>
      </c>
      <c r="G448" s="27">
        <v>44362</v>
      </c>
      <c r="H448" s="26" t="s">
        <v>2166</v>
      </c>
      <c r="I448" s="113" t="s">
        <v>12400</v>
      </c>
      <c r="J448" s="113" t="s">
        <v>12401</v>
      </c>
    </row>
    <row r="449" spans="1:10" ht="20" customHeight="1" thickBot="1">
      <c r="A449" s="28" t="s">
        <v>2169</v>
      </c>
      <c r="B449" s="28" t="s">
        <v>2169</v>
      </c>
      <c r="C449" s="28" t="s">
        <v>253</v>
      </c>
      <c r="D449" s="117">
        <v>19</v>
      </c>
      <c r="E449" s="122" t="s">
        <v>34</v>
      </c>
      <c r="F449" s="120" t="s">
        <v>57</v>
      </c>
      <c r="G449" s="29">
        <v>46046</v>
      </c>
      <c r="H449" s="28" t="s">
        <v>2170</v>
      </c>
      <c r="I449" s="114" t="s">
        <v>12400</v>
      </c>
      <c r="J449" s="114" t="s">
        <v>12401</v>
      </c>
    </row>
    <row r="450" spans="1:10" ht="20" customHeight="1" thickBot="1">
      <c r="A450" s="26" t="s">
        <v>2173</v>
      </c>
      <c r="B450" s="26" t="s">
        <v>2173</v>
      </c>
      <c r="C450" s="26" t="s">
        <v>2174</v>
      </c>
      <c r="D450" s="116">
        <v>21</v>
      </c>
      <c r="E450" s="122" t="s">
        <v>33</v>
      </c>
      <c r="F450" s="119" t="s">
        <v>57</v>
      </c>
      <c r="G450" s="27">
        <v>43658</v>
      </c>
      <c r="H450" s="26" t="s">
        <v>2175</v>
      </c>
      <c r="I450" s="113" t="s">
        <v>12400</v>
      </c>
      <c r="J450" s="113" t="s">
        <v>12401</v>
      </c>
    </row>
    <row r="451" spans="1:10" ht="20" customHeight="1" thickBot="1">
      <c r="A451" s="28" t="s">
        <v>2178</v>
      </c>
      <c r="B451" s="28" t="s">
        <v>2178</v>
      </c>
      <c r="C451" s="28" t="s">
        <v>2179</v>
      </c>
      <c r="D451" s="117">
        <v>4</v>
      </c>
      <c r="E451" s="122" t="s">
        <v>29</v>
      </c>
      <c r="F451" s="120" t="s">
        <v>63</v>
      </c>
      <c r="G451" s="29">
        <v>42108</v>
      </c>
      <c r="H451" s="28" t="s">
        <v>2180</v>
      </c>
      <c r="I451" s="114" t="s">
        <v>12400</v>
      </c>
      <c r="J451" s="114" t="s">
        <v>12401</v>
      </c>
    </row>
    <row r="452" spans="1:10" ht="20" customHeight="1" thickBot="1">
      <c r="A452" s="26" t="s">
        <v>2183</v>
      </c>
      <c r="B452" s="26" t="s">
        <v>2183</v>
      </c>
      <c r="C452" s="26" t="s">
        <v>1064</v>
      </c>
      <c r="D452" s="116">
        <v>17</v>
      </c>
      <c r="E452" s="122" t="s">
        <v>31</v>
      </c>
      <c r="F452" s="119" t="s">
        <v>57</v>
      </c>
      <c r="G452" s="27">
        <v>45349</v>
      </c>
      <c r="H452" s="26" t="s">
        <v>2184</v>
      </c>
      <c r="I452" s="113" t="s">
        <v>12400</v>
      </c>
      <c r="J452" s="113" t="s">
        <v>12401</v>
      </c>
    </row>
    <row r="453" spans="1:10" ht="20" customHeight="1" thickBot="1">
      <c r="A453" s="28" t="s">
        <v>2187</v>
      </c>
      <c r="B453" s="28" t="s">
        <v>2187</v>
      </c>
      <c r="C453" s="28" t="s">
        <v>2188</v>
      </c>
      <c r="D453" s="117">
        <v>20</v>
      </c>
      <c r="E453" s="122" t="s">
        <v>34</v>
      </c>
      <c r="F453" s="120" t="s">
        <v>57</v>
      </c>
      <c r="G453" s="29">
        <v>44937</v>
      </c>
      <c r="H453" s="28" t="s">
        <v>2189</v>
      </c>
      <c r="I453" s="114" t="s">
        <v>12400</v>
      </c>
      <c r="J453" s="114" t="s">
        <v>12401</v>
      </c>
    </row>
    <row r="454" spans="1:10" ht="20" customHeight="1" thickBot="1">
      <c r="A454" s="26" t="s">
        <v>2192</v>
      </c>
      <c r="B454" s="26" t="s">
        <v>2192</v>
      </c>
      <c r="C454" s="26" t="s">
        <v>2142</v>
      </c>
      <c r="D454" s="116">
        <v>16</v>
      </c>
      <c r="E454" s="122" t="s">
        <v>35</v>
      </c>
      <c r="F454" s="119" t="s">
        <v>57</v>
      </c>
      <c r="G454" s="27">
        <v>44218</v>
      </c>
      <c r="H454" s="26" t="s">
        <v>2193</v>
      </c>
      <c r="I454" s="113" t="s">
        <v>12400</v>
      </c>
      <c r="J454" s="113" t="s">
        <v>12401</v>
      </c>
    </row>
    <row r="455" spans="1:10" ht="20" customHeight="1" thickBot="1">
      <c r="A455" s="28" t="s">
        <v>2196</v>
      </c>
      <c r="B455" s="28" t="s">
        <v>2196</v>
      </c>
      <c r="C455" s="28" t="s">
        <v>2197</v>
      </c>
      <c r="D455" s="117">
        <v>60</v>
      </c>
      <c r="E455" s="122" t="s">
        <v>29</v>
      </c>
      <c r="F455" s="120" t="s">
        <v>63</v>
      </c>
      <c r="G455" s="29">
        <v>41673</v>
      </c>
      <c r="H455" s="28" t="s">
        <v>2198</v>
      </c>
      <c r="I455" s="114" t="s">
        <v>12400</v>
      </c>
      <c r="J455" s="114" t="s">
        <v>12401</v>
      </c>
    </row>
    <row r="456" spans="1:10" ht="20" customHeight="1" thickBot="1">
      <c r="A456" s="26" t="s">
        <v>2201</v>
      </c>
      <c r="B456" s="26" t="s">
        <v>2201</v>
      </c>
      <c r="C456" s="26" t="s">
        <v>2021</v>
      </c>
      <c r="D456" s="116">
        <v>5</v>
      </c>
      <c r="E456" s="122" t="s">
        <v>35</v>
      </c>
      <c r="F456" s="119" t="s">
        <v>57</v>
      </c>
      <c r="G456" s="27">
        <v>45613</v>
      </c>
      <c r="H456" s="26" t="s">
        <v>2202</v>
      </c>
      <c r="I456" s="113" t="s">
        <v>12400</v>
      </c>
      <c r="J456" s="113" t="s">
        <v>12401</v>
      </c>
    </row>
    <row r="457" spans="1:10" ht="20" customHeight="1" thickBot="1">
      <c r="A457" s="28" t="s">
        <v>2205</v>
      </c>
      <c r="B457" s="28" t="s">
        <v>2205</v>
      </c>
      <c r="C457" s="28" t="s">
        <v>253</v>
      </c>
      <c r="D457" s="117">
        <v>0</v>
      </c>
      <c r="E457" s="122" t="s">
        <v>34</v>
      </c>
      <c r="F457" s="120" t="s">
        <v>57</v>
      </c>
      <c r="G457" s="29">
        <v>44963</v>
      </c>
      <c r="H457" s="28" t="s">
        <v>2206</v>
      </c>
      <c r="I457" s="114" t="s">
        <v>12400</v>
      </c>
      <c r="J457" s="114" t="s">
        <v>12401</v>
      </c>
    </row>
    <row r="458" spans="1:10" ht="20" customHeight="1" thickBot="1">
      <c r="A458" s="26" t="s">
        <v>2209</v>
      </c>
      <c r="B458" s="26" t="s">
        <v>2209</v>
      </c>
      <c r="C458" s="26" t="s">
        <v>2210</v>
      </c>
      <c r="D458" s="116">
        <v>11</v>
      </c>
      <c r="E458" s="122" t="s">
        <v>34</v>
      </c>
      <c r="F458" s="119" t="s">
        <v>57</v>
      </c>
      <c r="G458" s="27">
        <v>46105</v>
      </c>
      <c r="H458" s="26" t="s">
        <v>2211</v>
      </c>
      <c r="I458" s="113" t="s">
        <v>12400</v>
      </c>
      <c r="J458" s="113" t="s">
        <v>12401</v>
      </c>
    </row>
    <row r="459" spans="1:10" ht="20" customHeight="1" thickBot="1">
      <c r="A459" s="28" t="s">
        <v>2214</v>
      </c>
      <c r="B459" s="28" t="s">
        <v>2214</v>
      </c>
      <c r="C459" s="28" t="s">
        <v>2215</v>
      </c>
      <c r="D459" s="117">
        <v>15</v>
      </c>
      <c r="E459" s="122" t="s">
        <v>33</v>
      </c>
      <c r="F459" s="120" t="s">
        <v>57</v>
      </c>
      <c r="G459" s="29">
        <v>44522</v>
      </c>
      <c r="H459" s="28" t="s">
        <v>2216</v>
      </c>
      <c r="I459" s="114" t="s">
        <v>12400</v>
      </c>
      <c r="J459" s="114" t="s">
        <v>12401</v>
      </c>
    </row>
    <row r="460" spans="1:10" ht="20" customHeight="1" thickBot="1">
      <c r="A460" s="26" t="s">
        <v>2219</v>
      </c>
      <c r="B460" s="26" t="s">
        <v>2219</v>
      </c>
      <c r="C460" s="26" t="s">
        <v>2220</v>
      </c>
      <c r="D460" s="116">
        <v>5</v>
      </c>
      <c r="E460" s="122" t="s">
        <v>34</v>
      </c>
      <c r="F460" s="119" t="s">
        <v>57</v>
      </c>
      <c r="G460" s="27">
        <v>45931</v>
      </c>
      <c r="H460" s="26" t="s">
        <v>2221</v>
      </c>
      <c r="I460" s="113" t="s">
        <v>12400</v>
      </c>
      <c r="J460" s="113" t="s">
        <v>12401</v>
      </c>
    </row>
    <row r="461" spans="1:10" ht="20" customHeight="1" thickBot="1">
      <c r="A461" s="28" t="s">
        <v>2224</v>
      </c>
      <c r="B461" s="28" t="s">
        <v>2224</v>
      </c>
      <c r="C461" s="28" t="s">
        <v>2225</v>
      </c>
      <c r="D461" s="117">
        <v>2</v>
      </c>
      <c r="E461" s="122" t="s">
        <v>31</v>
      </c>
      <c r="F461" s="120" t="s">
        <v>63</v>
      </c>
      <c r="G461" s="29">
        <v>42003</v>
      </c>
      <c r="H461" s="28" t="s">
        <v>2226</v>
      </c>
      <c r="I461" s="114" t="s">
        <v>12400</v>
      </c>
      <c r="J461" s="114" t="s">
        <v>12401</v>
      </c>
    </row>
    <row r="462" spans="1:10" ht="20" customHeight="1" thickBot="1">
      <c r="A462" s="26" t="s">
        <v>2229</v>
      </c>
      <c r="B462" s="26" t="s">
        <v>2229</v>
      </c>
      <c r="C462" s="26" t="s">
        <v>2230</v>
      </c>
      <c r="D462" s="116">
        <v>25</v>
      </c>
      <c r="E462" s="122" t="s">
        <v>33</v>
      </c>
      <c r="F462" s="119" t="s">
        <v>57</v>
      </c>
      <c r="G462" s="27">
        <v>44417</v>
      </c>
      <c r="H462" s="26" t="s">
        <v>2231</v>
      </c>
      <c r="I462" s="113" t="s">
        <v>12400</v>
      </c>
      <c r="J462" s="113" t="s">
        <v>12401</v>
      </c>
    </row>
    <row r="463" spans="1:10" ht="20" customHeight="1" thickBot="1">
      <c r="A463" s="28" t="s">
        <v>2234</v>
      </c>
      <c r="B463" s="28" t="s">
        <v>2234</v>
      </c>
      <c r="C463" s="28" t="s">
        <v>2235</v>
      </c>
      <c r="D463" s="117">
        <v>4</v>
      </c>
      <c r="E463" s="122" t="s">
        <v>33</v>
      </c>
      <c r="F463" s="120" t="s">
        <v>57</v>
      </c>
      <c r="G463" s="29">
        <v>43534</v>
      </c>
      <c r="H463" s="28" t="s">
        <v>2236</v>
      </c>
      <c r="I463" s="114" t="s">
        <v>12400</v>
      </c>
      <c r="J463" s="114" t="s">
        <v>12401</v>
      </c>
    </row>
    <row r="464" spans="1:10" ht="20" customHeight="1" thickBot="1">
      <c r="A464" s="26" t="s">
        <v>2239</v>
      </c>
      <c r="B464" s="26" t="s">
        <v>2239</v>
      </c>
      <c r="C464" s="26" t="s">
        <v>2240</v>
      </c>
      <c r="D464" s="116">
        <v>11</v>
      </c>
      <c r="E464" s="122" t="s">
        <v>35</v>
      </c>
      <c r="F464" s="119" t="s">
        <v>57</v>
      </c>
      <c r="G464" s="27">
        <v>42124</v>
      </c>
      <c r="H464" s="26" t="s">
        <v>2241</v>
      </c>
      <c r="I464" s="113" t="s">
        <v>12400</v>
      </c>
      <c r="J464" s="113" t="s">
        <v>12401</v>
      </c>
    </row>
    <row r="465" spans="1:10" ht="20" customHeight="1" thickBot="1">
      <c r="A465" s="28" t="s">
        <v>2244</v>
      </c>
      <c r="B465" s="28" t="s">
        <v>2244</v>
      </c>
      <c r="C465" s="28" t="s">
        <v>2245</v>
      </c>
      <c r="D465" s="117">
        <v>38</v>
      </c>
      <c r="E465" s="122" t="s">
        <v>33</v>
      </c>
      <c r="F465" s="120" t="s">
        <v>63</v>
      </c>
      <c r="G465" s="29">
        <v>43892</v>
      </c>
      <c r="H465" s="28" t="s">
        <v>2246</v>
      </c>
      <c r="I465" s="114" t="s">
        <v>12400</v>
      </c>
      <c r="J465" s="114" t="s">
        <v>12401</v>
      </c>
    </row>
    <row r="466" spans="1:10" ht="20" customHeight="1" thickBot="1">
      <c r="A466" s="26" t="s">
        <v>2249</v>
      </c>
      <c r="B466" s="26" t="s">
        <v>2249</v>
      </c>
      <c r="C466" s="26" t="s">
        <v>2250</v>
      </c>
      <c r="D466" s="116">
        <v>10</v>
      </c>
      <c r="E466" s="122" t="s">
        <v>35</v>
      </c>
      <c r="F466" s="119" t="s">
        <v>57</v>
      </c>
      <c r="G466" s="27">
        <v>45967</v>
      </c>
      <c r="H466" s="26" t="s">
        <v>2251</v>
      </c>
      <c r="I466" s="113" t="s">
        <v>12400</v>
      </c>
      <c r="J466" s="113" t="s">
        <v>12401</v>
      </c>
    </row>
    <row r="467" spans="1:10" ht="20" customHeight="1" thickBot="1">
      <c r="A467" s="28" t="s">
        <v>2254</v>
      </c>
      <c r="B467" s="28" t="s">
        <v>2254</v>
      </c>
      <c r="C467" s="28" t="s">
        <v>2255</v>
      </c>
      <c r="D467" s="117">
        <v>10</v>
      </c>
      <c r="E467" s="122" t="s">
        <v>33</v>
      </c>
      <c r="F467" s="120" t="s">
        <v>57</v>
      </c>
      <c r="G467" s="29">
        <v>44677</v>
      </c>
      <c r="H467" s="28" t="s">
        <v>2256</v>
      </c>
      <c r="I467" s="114" t="s">
        <v>12400</v>
      </c>
      <c r="J467" s="114" t="s">
        <v>12401</v>
      </c>
    </row>
    <row r="468" spans="1:10" ht="20" customHeight="1" thickBot="1">
      <c r="A468" s="26" t="s">
        <v>2259</v>
      </c>
      <c r="B468" s="26" t="s">
        <v>2259</v>
      </c>
      <c r="C468" s="26" t="s">
        <v>2260</v>
      </c>
      <c r="D468" s="116">
        <v>4</v>
      </c>
      <c r="E468" s="122" t="s">
        <v>29</v>
      </c>
      <c r="F468" s="119" t="s">
        <v>63</v>
      </c>
      <c r="G468" s="27">
        <v>44493</v>
      </c>
      <c r="H468" s="26" t="s">
        <v>2261</v>
      </c>
      <c r="I468" s="113" t="s">
        <v>12400</v>
      </c>
      <c r="J468" s="113" t="s">
        <v>12401</v>
      </c>
    </row>
    <row r="469" spans="1:10" ht="20" customHeight="1" thickBot="1">
      <c r="A469" s="28" t="s">
        <v>2264</v>
      </c>
      <c r="B469" s="28" t="s">
        <v>2264</v>
      </c>
      <c r="C469" s="28" t="s">
        <v>427</v>
      </c>
      <c r="D469" s="117">
        <v>7</v>
      </c>
      <c r="E469" s="122" t="s">
        <v>34</v>
      </c>
      <c r="F469" s="120" t="s">
        <v>57</v>
      </c>
      <c r="G469" s="29">
        <v>45144</v>
      </c>
      <c r="H469" s="28" t="s">
        <v>2265</v>
      </c>
      <c r="I469" s="114" t="s">
        <v>12400</v>
      </c>
      <c r="J469" s="114" t="s">
        <v>12401</v>
      </c>
    </row>
    <row r="470" spans="1:10" ht="20" customHeight="1" thickBot="1">
      <c r="A470" s="26" t="s">
        <v>2268</v>
      </c>
      <c r="B470" s="26" t="s">
        <v>2268</v>
      </c>
      <c r="C470" s="26" t="s">
        <v>2269</v>
      </c>
      <c r="D470" s="116">
        <v>1</v>
      </c>
      <c r="E470" s="122" t="s">
        <v>35</v>
      </c>
      <c r="F470" s="119" t="s">
        <v>89</v>
      </c>
      <c r="G470" s="27">
        <v>44087</v>
      </c>
      <c r="H470" s="26" t="s">
        <v>2270</v>
      </c>
      <c r="I470" s="113" t="s">
        <v>12400</v>
      </c>
      <c r="J470" s="113" t="s">
        <v>12401</v>
      </c>
    </row>
    <row r="471" spans="1:10" ht="20" customHeight="1" thickBot="1">
      <c r="A471" s="28" t="s">
        <v>2273</v>
      </c>
      <c r="B471" s="28" t="s">
        <v>2273</v>
      </c>
      <c r="C471" s="28" t="s">
        <v>2269</v>
      </c>
      <c r="D471" s="117">
        <v>3</v>
      </c>
      <c r="E471" s="122" t="s">
        <v>36</v>
      </c>
      <c r="F471" s="120" t="s">
        <v>89</v>
      </c>
      <c r="G471" s="29">
        <v>45816</v>
      </c>
      <c r="H471" s="28" t="s">
        <v>2274</v>
      </c>
      <c r="I471" s="114" t="s">
        <v>12400</v>
      </c>
      <c r="J471" s="114" t="s">
        <v>12401</v>
      </c>
    </row>
    <row r="472" spans="1:10" ht="20" customHeight="1" thickBot="1">
      <c r="A472" s="26" t="s">
        <v>2277</v>
      </c>
      <c r="B472" s="26" t="s">
        <v>2277</v>
      </c>
      <c r="C472" s="26" t="s">
        <v>590</v>
      </c>
      <c r="D472" s="116">
        <v>14</v>
      </c>
      <c r="E472" s="122" t="s">
        <v>31</v>
      </c>
      <c r="F472" s="119" t="s">
        <v>57</v>
      </c>
      <c r="G472" s="27">
        <v>45386</v>
      </c>
      <c r="H472" s="26" t="s">
        <v>2278</v>
      </c>
      <c r="I472" s="113" t="s">
        <v>12400</v>
      </c>
      <c r="J472" s="113" t="s">
        <v>12401</v>
      </c>
    </row>
    <row r="473" spans="1:10" ht="20" customHeight="1" thickBot="1">
      <c r="A473" s="28" t="s">
        <v>2281</v>
      </c>
      <c r="B473" s="28" t="s">
        <v>2281</v>
      </c>
      <c r="C473" s="28" t="s">
        <v>590</v>
      </c>
      <c r="D473" s="117">
        <v>16</v>
      </c>
      <c r="E473" s="122" t="s">
        <v>31</v>
      </c>
      <c r="F473" s="120" t="s">
        <v>57</v>
      </c>
      <c r="G473" s="29">
        <v>45572</v>
      </c>
      <c r="H473" s="28" t="s">
        <v>2282</v>
      </c>
      <c r="I473" s="114" t="s">
        <v>12400</v>
      </c>
      <c r="J473" s="114" t="s">
        <v>12401</v>
      </c>
    </row>
    <row r="474" spans="1:10" ht="20" customHeight="1" thickBot="1">
      <c r="A474" s="26" t="s">
        <v>2285</v>
      </c>
      <c r="B474" s="26" t="s">
        <v>2285</v>
      </c>
      <c r="C474" s="26" t="s">
        <v>590</v>
      </c>
      <c r="D474" s="116">
        <v>19</v>
      </c>
      <c r="E474" s="122" t="s">
        <v>33</v>
      </c>
      <c r="F474" s="119" t="s">
        <v>57</v>
      </c>
      <c r="G474" s="27">
        <v>45996</v>
      </c>
      <c r="H474" s="26" t="s">
        <v>2286</v>
      </c>
      <c r="I474" s="113" t="s">
        <v>12400</v>
      </c>
      <c r="J474" s="113" t="s">
        <v>12401</v>
      </c>
    </row>
    <row r="475" spans="1:10" ht="20" customHeight="1" thickBot="1">
      <c r="A475" s="28" t="s">
        <v>2289</v>
      </c>
      <c r="B475" s="28" t="s">
        <v>2289</v>
      </c>
      <c r="C475" s="28" t="s">
        <v>2290</v>
      </c>
      <c r="D475" s="117">
        <v>0</v>
      </c>
      <c r="E475" s="122" t="s">
        <v>31</v>
      </c>
      <c r="F475" s="120" t="s">
        <v>57</v>
      </c>
      <c r="G475" s="29">
        <v>46093</v>
      </c>
      <c r="H475" s="28" t="s">
        <v>2291</v>
      </c>
      <c r="I475" s="114" t="s">
        <v>12400</v>
      </c>
      <c r="J475" s="114" t="s">
        <v>12401</v>
      </c>
    </row>
    <row r="476" spans="1:10" ht="20" customHeight="1" thickBot="1">
      <c r="A476" s="26" t="s">
        <v>2294</v>
      </c>
      <c r="B476" s="26" t="s">
        <v>2294</v>
      </c>
      <c r="C476" s="26" t="s">
        <v>1389</v>
      </c>
      <c r="D476" s="116">
        <v>12</v>
      </c>
      <c r="E476" s="122" t="s">
        <v>31</v>
      </c>
      <c r="F476" s="119" t="s">
        <v>57</v>
      </c>
      <c r="G476" s="27">
        <v>45394</v>
      </c>
      <c r="H476" s="26" t="s">
        <v>2295</v>
      </c>
      <c r="I476" s="113" t="s">
        <v>12400</v>
      </c>
      <c r="J476" s="113" t="s">
        <v>12401</v>
      </c>
    </row>
    <row r="477" spans="1:10" ht="20" customHeight="1" thickBot="1">
      <c r="A477" s="28" t="s">
        <v>2298</v>
      </c>
      <c r="B477" s="28" t="s">
        <v>2298</v>
      </c>
      <c r="C477" s="28" t="s">
        <v>2299</v>
      </c>
      <c r="D477" s="117">
        <v>6</v>
      </c>
      <c r="E477" s="122" t="s">
        <v>27</v>
      </c>
      <c r="F477" s="120" t="s">
        <v>63</v>
      </c>
      <c r="G477" s="29">
        <v>42093</v>
      </c>
      <c r="H477" s="28" t="s">
        <v>2300</v>
      </c>
      <c r="I477" s="114" t="s">
        <v>12400</v>
      </c>
      <c r="J477" s="114" t="s">
        <v>12401</v>
      </c>
    </row>
    <row r="478" spans="1:10" ht="20" customHeight="1" thickBot="1">
      <c r="A478" s="26" t="s">
        <v>2303</v>
      </c>
      <c r="B478" s="26" t="s">
        <v>2303</v>
      </c>
      <c r="C478" s="26" t="s">
        <v>2304</v>
      </c>
      <c r="D478" s="116">
        <v>57</v>
      </c>
      <c r="E478" s="122" t="s">
        <v>34</v>
      </c>
      <c r="F478" s="119" t="s">
        <v>63</v>
      </c>
      <c r="G478" s="27">
        <v>45151</v>
      </c>
      <c r="H478" s="26" t="s">
        <v>2305</v>
      </c>
      <c r="I478" s="113" t="s">
        <v>12400</v>
      </c>
      <c r="J478" s="113" t="s">
        <v>12401</v>
      </c>
    </row>
    <row r="479" spans="1:10" ht="20" customHeight="1" thickBot="1">
      <c r="A479" s="28" t="s">
        <v>2308</v>
      </c>
      <c r="B479" s="28" t="s">
        <v>2308</v>
      </c>
      <c r="C479" s="28" t="s">
        <v>2309</v>
      </c>
      <c r="D479" s="117">
        <v>10</v>
      </c>
      <c r="E479" s="122" t="s">
        <v>33</v>
      </c>
      <c r="F479" s="120" t="s">
        <v>57</v>
      </c>
      <c r="G479" s="29">
        <v>45534</v>
      </c>
      <c r="H479" s="28" t="s">
        <v>2310</v>
      </c>
      <c r="I479" s="114" t="s">
        <v>12400</v>
      </c>
      <c r="J479" s="114" t="s">
        <v>12401</v>
      </c>
    </row>
    <row r="480" spans="1:10" ht="20" customHeight="1" thickBot="1">
      <c r="A480" s="26" t="s">
        <v>2313</v>
      </c>
      <c r="B480" s="26" t="s">
        <v>2313</v>
      </c>
      <c r="C480" s="26" t="s">
        <v>1804</v>
      </c>
      <c r="D480" s="116">
        <v>8</v>
      </c>
      <c r="E480" s="122" t="s">
        <v>34</v>
      </c>
      <c r="F480" s="119" t="s">
        <v>57</v>
      </c>
      <c r="G480" s="27">
        <v>45883</v>
      </c>
      <c r="H480" s="26" t="s">
        <v>2314</v>
      </c>
      <c r="I480" s="113" t="s">
        <v>12400</v>
      </c>
      <c r="J480" s="113" t="s">
        <v>12401</v>
      </c>
    </row>
    <row r="481" spans="1:10" ht="20" customHeight="1" thickBot="1">
      <c r="A481" s="28" t="s">
        <v>2317</v>
      </c>
      <c r="B481" s="28" t="s">
        <v>2317</v>
      </c>
      <c r="C481" s="28" t="s">
        <v>641</v>
      </c>
      <c r="D481" s="117">
        <v>50</v>
      </c>
      <c r="E481" s="122" t="s">
        <v>35</v>
      </c>
      <c r="F481" s="120" t="s">
        <v>115</v>
      </c>
      <c r="G481" s="29">
        <v>45457</v>
      </c>
      <c r="H481" s="28" t="s">
        <v>2318</v>
      </c>
      <c r="I481" s="114" t="s">
        <v>12400</v>
      </c>
      <c r="J481" s="114" t="s">
        <v>12401</v>
      </c>
    </row>
    <row r="482" spans="1:10" ht="20" customHeight="1" thickBot="1">
      <c r="A482" s="26" t="s">
        <v>2321</v>
      </c>
      <c r="B482" s="26" t="s">
        <v>2321</v>
      </c>
      <c r="C482" s="26" t="s">
        <v>1575</v>
      </c>
      <c r="D482" s="116">
        <v>19</v>
      </c>
      <c r="E482" s="122" t="s">
        <v>34</v>
      </c>
      <c r="F482" s="119" t="s">
        <v>57</v>
      </c>
      <c r="G482" s="27">
        <v>44940</v>
      </c>
      <c r="H482" s="26" t="s">
        <v>2322</v>
      </c>
      <c r="I482" s="113" t="s">
        <v>12400</v>
      </c>
      <c r="J482" s="113" t="s">
        <v>12401</v>
      </c>
    </row>
    <row r="483" spans="1:10" ht="20" customHeight="1" thickBot="1">
      <c r="A483" s="28" t="s">
        <v>2325</v>
      </c>
      <c r="B483" s="28" t="s">
        <v>2325</v>
      </c>
      <c r="C483" s="28" t="s">
        <v>2326</v>
      </c>
      <c r="D483" s="117">
        <v>11</v>
      </c>
      <c r="E483" s="122" t="s">
        <v>34</v>
      </c>
      <c r="F483" s="120" t="s">
        <v>57</v>
      </c>
      <c r="G483" s="29">
        <v>44291</v>
      </c>
      <c r="H483" s="28" t="s">
        <v>2327</v>
      </c>
      <c r="I483" s="114" t="s">
        <v>12400</v>
      </c>
      <c r="J483" s="114" t="s">
        <v>12401</v>
      </c>
    </row>
    <row r="484" spans="1:10" ht="20" customHeight="1" thickBot="1">
      <c r="A484" s="26" t="s">
        <v>2330</v>
      </c>
      <c r="B484" s="26" t="s">
        <v>2330</v>
      </c>
      <c r="C484" s="26" t="s">
        <v>2331</v>
      </c>
      <c r="D484" s="116">
        <v>8</v>
      </c>
      <c r="E484" s="122" t="s">
        <v>29</v>
      </c>
      <c r="F484" s="119" t="s">
        <v>63</v>
      </c>
      <c r="G484" s="27">
        <v>41856</v>
      </c>
      <c r="H484" s="26" t="s">
        <v>2332</v>
      </c>
      <c r="I484" s="113" t="s">
        <v>12400</v>
      </c>
      <c r="J484" s="113" t="s">
        <v>12401</v>
      </c>
    </row>
    <row r="485" spans="1:10" ht="20" customHeight="1" thickBot="1">
      <c r="A485" s="28" t="s">
        <v>2335</v>
      </c>
      <c r="B485" s="28" t="s">
        <v>2335</v>
      </c>
      <c r="C485" s="28" t="s">
        <v>2142</v>
      </c>
      <c r="D485" s="117">
        <v>13</v>
      </c>
      <c r="E485" s="122" t="s">
        <v>35</v>
      </c>
      <c r="F485" s="120" t="s">
        <v>57</v>
      </c>
      <c r="G485" s="29">
        <v>43538</v>
      </c>
      <c r="H485" s="28" t="s">
        <v>2336</v>
      </c>
      <c r="I485" s="114" t="s">
        <v>12400</v>
      </c>
      <c r="J485" s="114" t="s">
        <v>12401</v>
      </c>
    </row>
    <row r="486" spans="1:10" ht="20" customHeight="1" thickBot="1">
      <c r="A486" s="26" t="s">
        <v>2339</v>
      </c>
      <c r="B486" s="26" t="s">
        <v>2339</v>
      </c>
      <c r="C486" s="26" t="s">
        <v>2340</v>
      </c>
      <c r="D486" s="116">
        <v>11</v>
      </c>
      <c r="E486" s="122" t="s">
        <v>34</v>
      </c>
      <c r="F486" s="119" t="s">
        <v>57</v>
      </c>
      <c r="G486" s="27">
        <v>44694</v>
      </c>
      <c r="H486" s="26" t="s">
        <v>2341</v>
      </c>
      <c r="I486" s="113" t="s">
        <v>12400</v>
      </c>
      <c r="J486" s="113" t="s">
        <v>12401</v>
      </c>
    </row>
    <row r="487" spans="1:10" ht="20" customHeight="1" thickBot="1">
      <c r="A487" s="28" t="s">
        <v>2344</v>
      </c>
      <c r="B487" s="28" t="s">
        <v>2344</v>
      </c>
      <c r="C487" s="28" t="s">
        <v>2345</v>
      </c>
      <c r="D487" s="117">
        <v>12</v>
      </c>
      <c r="E487" s="122" t="s">
        <v>34</v>
      </c>
      <c r="F487" s="120" t="s">
        <v>57</v>
      </c>
      <c r="G487" s="29">
        <v>44462</v>
      </c>
      <c r="H487" s="28" t="s">
        <v>2346</v>
      </c>
      <c r="I487" s="114" t="s">
        <v>12400</v>
      </c>
      <c r="J487" s="114" t="s">
        <v>12401</v>
      </c>
    </row>
    <row r="488" spans="1:10" ht="20" customHeight="1" thickBot="1">
      <c r="A488" s="26" t="s">
        <v>2349</v>
      </c>
      <c r="B488" s="26" t="s">
        <v>2349</v>
      </c>
      <c r="C488" s="26" t="s">
        <v>340</v>
      </c>
      <c r="D488" s="116">
        <v>12</v>
      </c>
      <c r="E488" s="122" t="s">
        <v>34</v>
      </c>
      <c r="F488" s="119" t="s">
        <v>57</v>
      </c>
      <c r="G488" s="27">
        <v>44913</v>
      </c>
      <c r="H488" s="26" t="s">
        <v>2350</v>
      </c>
      <c r="I488" s="113" t="s">
        <v>12400</v>
      </c>
      <c r="J488" s="113" t="s">
        <v>12401</v>
      </c>
    </row>
    <row r="489" spans="1:10" ht="20" customHeight="1" thickBot="1">
      <c r="A489" s="28" t="s">
        <v>2353</v>
      </c>
      <c r="B489" s="28" t="s">
        <v>2353</v>
      </c>
      <c r="C489" s="28" t="s">
        <v>2354</v>
      </c>
      <c r="D489" s="117">
        <v>9</v>
      </c>
      <c r="E489" s="122" t="s">
        <v>34</v>
      </c>
      <c r="F489" s="120" t="s">
        <v>57</v>
      </c>
      <c r="G489" s="29">
        <v>45337</v>
      </c>
      <c r="H489" s="28" t="s">
        <v>2355</v>
      </c>
      <c r="I489" s="114" t="s">
        <v>12400</v>
      </c>
      <c r="J489" s="114" t="s">
        <v>12401</v>
      </c>
    </row>
    <row r="490" spans="1:10" ht="20" customHeight="1" thickBot="1">
      <c r="A490" s="26" t="s">
        <v>2358</v>
      </c>
      <c r="B490" s="26" t="s">
        <v>2358</v>
      </c>
      <c r="C490" s="26" t="s">
        <v>2359</v>
      </c>
      <c r="D490" s="116">
        <v>10</v>
      </c>
      <c r="E490" s="122" t="s">
        <v>34</v>
      </c>
      <c r="F490" s="119" t="s">
        <v>57</v>
      </c>
      <c r="G490" s="27">
        <v>44602</v>
      </c>
      <c r="H490" s="26" t="s">
        <v>2360</v>
      </c>
      <c r="I490" s="113" t="s">
        <v>12400</v>
      </c>
      <c r="J490" s="113" t="s">
        <v>12401</v>
      </c>
    </row>
    <row r="491" spans="1:10" ht="20" customHeight="1" thickBot="1">
      <c r="A491" s="28" t="s">
        <v>2363</v>
      </c>
      <c r="B491" s="28" t="s">
        <v>2363</v>
      </c>
      <c r="C491" s="28" t="s">
        <v>723</v>
      </c>
      <c r="D491" s="117">
        <v>16</v>
      </c>
      <c r="E491" s="122" t="s">
        <v>34</v>
      </c>
      <c r="F491" s="120" t="s">
        <v>57</v>
      </c>
      <c r="G491" s="29">
        <v>45143</v>
      </c>
      <c r="H491" s="28" t="s">
        <v>2364</v>
      </c>
      <c r="I491" s="114" t="s">
        <v>12400</v>
      </c>
      <c r="J491" s="114" t="s">
        <v>12401</v>
      </c>
    </row>
    <row r="492" spans="1:10" ht="20" customHeight="1" thickBot="1">
      <c r="A492" s="26" t="s">
        <v>2367</v>
      </c>
      <c r="B492" s="26" t="s">
        <v>2367</v>
      </c>
      <c r="C492" s="26" t="s">
        <v>2368</v>
      </c>
      <c r="D492" s="116">
        <v>7</v>
      </c>
      <c r="E492" s="122" t="s">
        <v>29</v>
      </c>
      <c r="F492" s="119" t="s">
        <v>63</v>
      </c>
      <c r="G492" s="27">
        <v>41667</v>
      </c>
      <c r="H492" s="26" t="s">
        <v>2369</v>
      </c>
      <c r="I492" s="113" t="s">
        <v>12400</v>
      </c>
      <c r="J492" s="113" t="s">
        <v>12401</v>
      </c>
    </row>
    <row r="493" spans="1:10" ht="20" customHeight="1" thickBot="1">
      <c r="A493" s="28" t="s">
        <v>2372</v>
      </c>
      <c r="B493" s="28" t="s">
        <v>2372</v>
      </c>
      <c r="C493" s="28" t="s">
        <v>2373</v>
      </c>
      <c r="D493" s="117">
        <v>8</v>
      </c>
      <c r="E493" s="122" t="s">
        <v>34</v>
      </c>
      <c r="F493" s="120" t="s">
        <v>57</v>
      </c>
      <c r="G493" s="29">
        <v>43999</v>
      </c>
      <c r="H493" s="28" t="s">
        <v>2374</v>
      </c>
      <c r="I493" s="114" t="s">
        <v>12400</v>
      </c>
      <c r="J493" s="114" t="s">
        <v>12401</v>
      </c>
    </row>
    <row r="494" spans="1:10" ht="20" customHeight="1" thickBot="1">
      <c r="A494" s="26" t="s">
        <v>2377</v>
      </c>
      <c r="B494" s="26" t="s">
        <v>2377</v>
      </c>
      <c r="C494" s="26" t="s">
        <v>2359</v>
      </c>
      <c r="D494" s="116">
        <v>21</v>
      </c>
      <c r="E494" s="122" t="s">
        <v>34</v>
      </c>
      <c r="F494" s="119" t="s">
        <v>57</v>
      </c>
      <c r="G494" s="27">
        <v>45654</v>
      </c>
      <c r="H494" s="26" t="s">
        <v>2378</v>
      </c>
      <c r="I494" s="113" t="s">
        <v>12400</v>
      </c>
      <c r="J494" s="113" t="s">
        <v>12401</v>
      </c>
    </row>
    <row r="495" spans="1:10" ht="20" customHeight="1" thickBot="1">
      <c r="A495" s="28" t="s">
        <v>2381</v>
      </c>
      <c r="B495" s="28" t="s">
        <v>2381</v>
      </c>
      <c r="C495" s="28" t="s">
        <v>2382</v>
      </c>
      <c r="D495" s="117">
        <v>8</v>
      </c>
      <c r="E495" s="122" t="s">
        <v>34</v>
      </c>
      <c r="F495" s="120" t="s">
        <v>57</v>
      </c>
      <c r="G495" s="29">
        <v>43789</v>
      </c>
      <c r="H495" s="28" t="s">
        <v>2383</v>
      </c>
      <c r="I495" s="114" t="s">
        <v>12400</v>
      </c>
      <c r="J495" s="114" t="s">
        <v>12401</v>
      </c>
    </row>
    <row r="496" spans="1:10" ht="20" customHeight="1" thickBot="1">
      <c r="A496" s="26" t="s">
        <v>2386</v>
      </c>
      <c r="B496" s="26" t="s">
        <v>2386</v>
      </c>
      <c r="C496" s="26" t="s">
        <v>1049</v>
      </c>
      <c r="D496" s="116">
        <v>13</v>
      </c>
      <c r="E496" s="122" t="s">
        <v>33</v>
      </c>
      <c r="F496" s="119" t="s">
        <v>57</v>
      </c>
      <c r="G496" s="27">
        <v>45126</v>
      </c>
      <c r="H496" s="26" t="s">
        <v>2387</v>
      </c>
      <c r="I496" s="113" t="s">
        <v>12400</v>
      </c>
      <c r="J496" s="113" t="s">
        <v>12401</v>
      </c>
    </row>
    <row r="497" spans="1:10" ht="20" customHeight="1" thickBot="1">
      <c r="A497" s="28" t="s">
        <v>2390</v>
      </c>
      <c r="B497" s="28" t="s">
        <v>2390</v>
      </c>
      <c r="C497" s="28" t="s">
        <v>2391</v>
      </c>
      <c r="D497" s="117">
        <v>9</v>
      </c>
      <c r="E497" s="122" t="s">
        <v>33</v>
      </c>
      <c r="F497" s="120" t="s">
        <v>57</v>
      </c>
      <c r="G497" s="29">
        <v>46071</v>
      </c>
      <c r="H497" s="28" t="s">
        <v>2392</v>
      </c>
      <c r="I497" s="114" t="s">
        <v>12400</v>
      </c>
      <c r="J497" s="114" t="s">
        <v>12401</v>
      </c>
    </row>
    <row r="498" spans="1:10" ht="20" customHeight="1" thickBot="1">
      <c r="A498" s="26" t="s">
        <v>2395</v>
      </c>
      <c r="B498" s="26" t="s">
        <v>2395</v>
      </c>
      <c r="C498" s="26" t="s">
        <v>2396</v>
      </c>
      <c r="D498" s="116">
        <v>4</v>
      </c>
      <c r="E498" s="122" t="s">
        <v>34</v>
      </c>
      <c r="F498" s="119" t="s">
        <v>57</v>
      </c>
      <c r="G498" s="27">
        <v>42950</v>
      </c>
      <c r="H498" s="26" t="s">
        <v>2397</v>
      </c>
      <c r="I498" s="113" t="s">
        <v>12400</v>
      </c>
      <c r="J498" s="113" t="s">
        <v>12401</v>
      </c>
    </row>
    <row r="499" spans="1:10" ht="20" customHeight="1" thickBot="1">
      <c r="A499" s="28" t="s">
        <v>2400</v>
      </c>
      <c r="B499" s="28" t="s">
        <v>2400</v>
      </c>
      <c r="C499" s="28" t="s">
        <v>2401</v>
      </c>
      <c r="D499" s="117">
        <v>5</v>
      </c>
      <c r="E499" s="122" t="s">
        <v>29</v>
      </c>
      <c r="F499" s="120" t="s">
        <v>63</v>
      </c>
      <c r="G499" s="29">
        <v>42657</v>
      </c>
      <c r="H499" s="28" t="s">
        <v>2402</v>
      </c>
      <c r="I499" s="114" t="s">
        <v>12400</v>
      </c>
      <c r="J499" s="114" t="s">
        <v>12401</v>
      </c>
    </row>
    <row r="500" spans="1:10" ht="20" customHeight="1" thickBot="1">
      <c r="A500" s="26" t="s">
        <v>2405</v>
      </c>
      <c r="B500" s="26" t="s">
        <v>2405</v>
      </c>
      <c r="C500" s="26" t="s">
        <v>965</v>
      </c>
      <c r="D500" s="116">
        <v>10</v>
      </c>
      <c r="E500" s="122" t="s">
        <v>34</v>
      </c>
      <c r="F500" s="119" t="s">
        <v>57</v>
      </c>
      <c r="G500" s="27">
        <v>44755</v>
      </c>
      <c r="H500" s="26" t="s">
        <v>2406</v>
      </c>
      <c r="I500" s="113" t="s">
        <v>12400</v>
      </c>
      <c r="J500" s="113" t="s">
        <v>12401</v>
      </c>
    </row>
    <row r="501" spans="1:10" ht="20" customHeight="1" thickBot="1">
      <c r="A501" s="28" t="s">
        <v>2409</v>
      </c>
      <c r="B501" s="28" t="s">
        <v>2409</v>
      </c>
      <c r="C501" s="28" t="s">
        <v>2410</v>
      </c>
      <c r="D501" s="117">
        <v>12</v>
      </c>
      <c r="E501" s="122" t="s">
        <v>29</v>
      </c>
      <c r="F501" s="120" t="s">
        <v>63</v>
      </c>
      <c r="G501" s="29">
        <v>41535</v>
      </c>
      <c r="H501" s="28" t="s">
        <v>2411</v>
      </c>
      <c r="I501" s="114" t="s">
        <v>12400</v>
      </c>
      <c r="J501" s="114" t="s">
        <v>12401</v>
      </c>
    </row>
    <row r="502" spans="1:10" ht="20" customHeight="1" thickBot="1">
      <c r="A502" s="26" t="s">
        <v>2414</v>
      </c>
      <c r="B502" s="26" t="s">
        <v>2414</v>
      </c>
      <c r="C502" s="26" t="s">
        <v>2415</v>
      </c>
      <c r="D502" s="116">
        <v>7</v>
      </c>
      <c r="E502" s="122" t="s">
        <v>29</v>
      </c>
      <c r="F502" s="119" t="s">
        <v>63</v>
      </c>
      <c r="G502" s="27">
        <v>42058</v>
      </c>
      <c r="H502" s="26" t="s">
        <v>2416</v>
      </c>
      <c r="I502" s="113" t="s">
        <v>12400</v>
      </c>
      <c r="J502" s="113" t="s">
        <v>12401</v>
      </c>
    </row>
    <row r="503" spans="1:10" ht="20" customHeight="1" thickBot="1">
      <c r="A503" s="28" t="s">
        <v>2419</v>
      </c>
      <c r="B503" s="28" t="s">
        <v>2419</v>
      </c>
      <c r="C503" s="28" t="s">
        <v>1296</v>
      </c>
      <c r="D503" s="117">
        <v>10</v>
      </c>
      <c r="E503" s="122" t="s">
        <v>29</v>
      </c>
      <c r="F503" s="120" t="s">
        <v>63</v>
      </c>
      <c r="G503" s="29">
        <v>41885</v>
      </c>
      <c r="H503" s="28" t="s">
        <v>2420</v>
      </c>
      <c r="I503" s="114" t="s">
        <v>12400</v>
      </c>
      <c r="J503" s="114" t="s">
        <v>12401</v>
      </c>
    </row>
    <row r="504" spans="1:10" ht="20" customHeight="1" thickBot="1">
      <c r="A504" s="26" t="s">
        <v>2423</v>
      </c>
      <c r="B504" s="26" t="s">
        <v>2423</v>
      </c>
      <c r="C504" s="26" t="s">
        <v>243</v>
      </c>
      <c r="D504" s="116">
        <v>9</v>
      </c>
      <c r="E504" s="122" t="s">
        <v>31</v>
      </c>
      <c r="F504" s="119" t="s">
        <v>63</v>
      </c>
      <c r="G504" s="27">
        <v>45004</v>
      </c>
      <c r="H504" s="26" t="s">
        <v>2424</v>
      </c>
      <c r="I504" s="113" t="s">
        <v>12400</v>
      </c>
      <c r="J504" s="113" t="s">
        <v>12401</v>
      </c>
    </row>
    <row r="505" spans="1:10" ht="20" customHeight="1" thickBot="1">
      <c r="A505" s="28" t="s">
        <v>2427</v>
      </c>
      <c r="B505" s="28" t="s">
        <v>2427</v>
      </c>
      <c r="C505" s="28" t="s">
        <v>2415</v>
      </c>
      <c r="D505" s="117">
        <v>9</v>
      </c>
      <c r="E505" s="122" t="s">
        <v>29</v>
      </c>
      <c r="F505" s="120" t="s">
        <v>63</v>
      </c>
      <c r="G505" s="29">
        <v>42233</v>
      </c>
      <c r="H505" s="28" t="s">
        <v>2428</v>
      </c>
      <c r="I505" s="114" t="s">
        <v>12400</v>
      </c>
      <c r="J505" s="114" t="s">
        <v>12401</v>
      </c>
    </row>
    <row r="506" spans="1:10" ht="20" customHeight="1" thickBot="1">
      <c r="A506" s="26" t="s">
        <v>2431</v>
      </c>
      <c r="B506" s="26" t="s">
        <v>2431</v>
      </c>
      <c r="C506" s="26" t="s">
        <v>2432</v>
      </c>
      <c r="D506" s="116">
        <v>3</v>
      </c>
      <c r="E506" s="122" t="s">
        <v>29</v>
      </c>
      <c r="F506" s="119" t="s">
        <v>2433</v>
      </c>
      <c r="G506" s="27">
        <v>45958</v>
      </c>
      <c r="H506" s="26" t="s">
        <v>2434</v>
      </c>
      <c r="I506" s="113" t="s">
        <v>12400</v>
      </c>
      <c r="J506" s="113" t="s">
        <v>12401</v>
      </c>
    </row>
    <row r="507" spans="1:10" ht="20" customHeight="1" thickBot="1">
      <c r="A507" s="28" t="s">
        <v>2437</v>
      </c>
      <c r="B507" s="28" t="s">
        <v>2437</v>
      </c>
      <c r="C507" s="28" t="s">
        <v>1575</v>
      </c>
      <c r="D507" s="117">
        <v>11</v>
      </c>
      <c r="E507" s="122" t="s">
        <v>33</v>
      </c>
      <c r="F507" s="120" t="s">
        <v>57</v>
      </c>
      <c r="G507" s="29">
        <v>44763</v>
      </c>
      <c r="H507" s="28" t="s">
        <v>2438</v>
      </c>
      <c r="I507" s="114" t="s">
        <v>12400</v>
      </c>
      <c r="J507" s="114" t="s">
        <v>12401</v>
      </c>
    </row>
    <row r="508" spans="1:10" ht="20" customHeight="1" thickBot="1">
      <c r="A508" s="26" t="s">
        <v>2441</v>
      </c>
      <c r="B508" s="26" t="s">
        <v>2441</v>
      </c>
      <c r="C508" s="26" t="s">
        <v>2442</v>
      </c>
      <c r="D508" s="116">
        <v>63</v>
      </c>
      <c r="E508" s="122" t="s">
        <v>34</v>
      </c>
      <c r="F508" s="119" t="s">
        <v>63</v>
      </c>
      <c r="G508" s="27">
        <v>42230</v>
      </c>
      <c r="H508" s="26" t="s">
        <v>2443</v>
      </c>
      <c r="I508" s="113" t="s">
        <v>12400</v>
      </c>
      <c r="J508" s="113" t="s">
        <v>12401</v>
      </c>
    </row>
    <row r="509" spans="1:10" ht="20" customHeight="1" thickBot="1">
      <c r="A509" s="28" t="s">
        <v>2446</v>
      </c>
      <c r="B509" s="28" t="s">
        <v>2446</v>
      </c>
      <c r="C509" s="28" t="s">
        <v>2447</v>
      </c>
      <c r="D509" s="117">
        <v>6</v>
      </c>
      <c r="E509" s="122" t="s">
        <v>34</v>
      </c>
      <c r="F509" s="120" t="s">
        <v>57</v>
      </c>
      <c r="G509" s="29">
        <v>44861</v>
      </c>
      <c r="H509" s="28" t="s">
        <v>2448</v>
      </c>
      <c r="I509" s="114" t="s">
        <v>12400</v>
      </c>
      <c r="J509" s="114" t="s">
        <v>12401</v>
      </c>
    </row>
    <row r="510" spans="1:10" ht="20" customHeight="1" thickBot="1">
      <c r="A510" s="26" t="s">
        <v>2451</v>
      </c>
      <c r="B510" s="26" t="s">
        <v>2451</v>
      </c>
      <c r="C510" s="26" t="s">
        <v>2447</v>
      </c>
      <c r="D510" s="116">
        <v>7</v>
      </c>
      <c r="E510" s="122" t="s">
        <v>35</v>
      </c>
      <c r="F510" s="119" t="s">
        <v>57</v>
      </c>
      <c r="G510" s="27">
        <v>45389</v>
      </c>
      <c r="H510" s="26" t="s">
        <v>2452</v>
      </c>
      <c r="I510" s="113" t="s">
        <v>12400</v>
      </c>
      <c r="J510" s="113" t="s">
        <v>12401</v>
      </c>
    </row>
    <row r="511" spans="1:10" ht="20" customHeight="1" thickBot="1">
      <c r="A511" s="28" t="s">
        <v>2455</v>
      </c>
      <c r="B511" s="28" t="s">
        <v>2455</v>
      </c>
      <c r="C511" s="28" t="s">
        <v>494</v>
      </c>
      <c r="D511" s="117">
        <v>3</v>
      </c>
      <c r="E511" s="122" t="s">
        <v>33</v>
      </c>
      <c r="F511" s="120" t="s">
        <v>115</v>
      </c>
      <c r="G511" s="29">
        <v>45915</v>
      </c>
      <c r="H511" s="28" t="s">
        <v>2456</v>
      </c>
      <c r="I511" s="114" t="s">
        <v>12400</v>
      </c>
      <c r="J511" s="114" t="s">
        <v>12401</v>
      </c>
    </row>
    <row r="512" spans="1:10" ht="20" customHeight="1" thickBot="1">
      <c r="A512" s="26" t="s">
        <v>2459</v>
      </c>
      <c r="B512" s="26" t="s">
        <v>2459</v>
      </c>
      <c r="C512" s="26" t="s">
        <v>2460</v>
      </c>
      <c r="D512" s="116">
        <v>15</v>
      </c>
      <c r="E512" s="122" t="s">
        <v>31</v>
      </c>
      <c r="F512" s="119" t="s">
        <v>63</v>
      </c>
      <c r="G512" s="27">
        <v>42225</v>
      </c>
      <c r="H512" s="26" t="s">
        <v>2461</v>
      </c>
      <c r="I512" s="113" t="s">
        <v>12400</v>
      </c>
      <c r="J512" s="113" t="s">
        <v>12401</v>
      </c>
    </row>
    <row r="513" spans="1:10" ht="20" customHeight="1" thickBot="1">
      <c r="A513" s="28" t="s">
        <v>2464</v>
      </c>
      <c r="B513" s="28" t="s">
        <v>2464</v>
      </c>
      <c r="C513" s="28" t="s">
        <v>2465</v>
      </c>
      <c r="D513" s="117">
        <v>21</v>
      </c>
      <c r="E513" s="122" t="s">
        <v>34</v>
      </c>
      <c r="F513" s="120" t="s">
        <v>57</v>
      </c>
      <c r="G513" s="29">
        <v>43830</v>
      </c>
      <c r="H513" s="28" t="s">
        <v>2466</v>
      </c>
      <c r="I513" s="114" t="s">
        <v>12400</v>
      </c>
      <c r="J513" s="114" t="s">
        <v>12401</v>
      </c>
    </row>
    <row r="514" spans="1:10" ht="20" customHeight="1" thickBot="1">
      <c r="A514" s="26" t="s">
        <v>2469</v>
      </c>
      <c r="B514" s="26" t="s">
        <v>2469</v>
      </c>
      <c r="C514" s="26" t="s">
        <v>1064</v>
      </c>
      <c r="D514" s="116">
        <v>9</v>
      </c>
      <c r="E514" s="122" t="s">
        <v>34</v>
      </c>
      <c r="F514" s="119" t="s">
        <v>57</v>
      </c>
      <c r="G514" s="27">
        <v>46014</v>
      </c>
      <c r="H514" s="26" t="s">
        <v>2470</v>
      </c>
      <c r="I514" s="113" t="s">
        <v>12400</v>
      </c>
      <c r="J514" s="113" t="s">
        <v>12401</v>
      </c>
    </row>
    <row r="515" spans="1:10" ht="20" customHeight="1" thickBot="1">
      <c r="A515" s="28" t="s">
        <v>2473</v>
      </c>
      <c r="B515" s="28" t="s">
        <v>2473</v>
      </c>
      <c r="C515" s="28" t="s">
        <v>355</v>
      </c>
      <c r="D515" s="117">
        <v>24</v>
      </c>
      <c r="E515" s="122" t="s">
        <v>34</v>
      </c>
      <c r="F515" s="120" t="s">
        <v>57</v>
      </c>
      <c r="G515" s="29">
        <v>45713</v>
      </c>
      <c r="H515" s="28" t="s">
        <v>2474</v>
      </c>
      <c r="I515" s="114" t="s">
        <v>12400</v>
      </c>
      <c r="J515" s="114" t="s">
        <v>12401</v>
      </c>
    </row>
    <row r="516" spans="1:10" ht="20" customHeight="1" thickBot="1">
      <c r="A516" s="26" t="s">
        <v>2477</v>
      </c>
      <c r="B516" s="26" t="s">
        <v>2477</v>
      </c>
      <c r="C516" s="26" t="s">
        <v>2478</v>
      </c>
      <c r="D516" s="116">
        <v>10</v>
      </c>
      <c r="E516" s="122" t="s">
        <v>33</v>
      </c>
      <c r="F516" s="119" t="s">
        <v>57</v>
      </c>
      <c r="G516" s="27">
        <v>44439</v>
      </c>
      <c r="H516" s="26" t="s">
        <v>2479</v>
      </c>
      <c r="I516" s="113" t="s">
        <v>12400</v>
      </c>
      <c r="J516" s="113" t="s">
        <v>12401</v>
      </c>
    </row>
    <row r="517" spans="1:10" ht="20" customHeight="1" thickBot="1">
      <c r="A517" s="28" t="s">
        <v>2482</v>
      </c>
      <c r="B517" s="28" t="s">
        <v>2482</v>
      </c>
      <c r="C517" s="28" t="s">
        <v>2483</v>
      </c>
      <c r="D517" s="117">
        <v>1</v>
      </c>
      <c r="E517" s="122" t="s">
        <v>33</v>
      </c>
      <c r="F517" s="120" t="s">
        <v>571</v>
      </c>
      <c r="G517" s="29">
        <v>43290</v>
      </c>
      <c r="H517" s="28" t="s">
        <v>2484</v>
      </c>
      <c r="I517" s="114" t="s">
        <v>12400</v>
      </c>
      <c r="J517" s="114" t="s">
        <v>12401</v>
      </c>
    </row>
    <row r="518" spans="1:10" ht="20" customHeight="1" thickBot="1">
      <c r="A518" s="26" t="s">
        <v>2487</v>
      </c>
      <c r="B518" s="26" t="s">
        <v>2487</v>
      </c>
      <c r="C518" s="26" t="s">
        <v>2488</v>
      </c>
      <c r="D518" s="116">
        <v>29</v>
      </c>
      <c r="E518" s="122" t="s">
        <v>33</v>
      </c>
      <c r="F518" s="119" t="s">
        <v>57</v>
      </c>
      <c r="G518" s="27">
        <v>44016</v>
      </c>
      <c r="H518" s="26" t="s">
        <v>2489</v>
      </c>
      <c r="I518" s="113" t="s">
        <v>12400</v>
      </c>
      <c r="J518" s="113" t="s">
        <v>12401</v>
      </c>
    </row>
    <row r="519" spans="1:10" ht="20" customHeight="1" thickBot="1">
      <c r="A519" s="28" t="s">
        <v>2492</v>
      </c>
      <c r="B519" s="28" t="s">
        <v>2492</v>
      </c>
      <c r="C519" s="28" t="s">
        <v>2493</v>
      </c>
      <c r="D519" s="117">
        <v>5</v>
      </c>
      <c r="E519" s="122" t="s">
        <v>29</v>
      </c>
      <c r="F519" s="120" t="s">
        <v>63</v>
      </c>
      <c r="G519" s="29">
        <v>42658</v>
      </c>
      <c r="H519" s="28" t="s">
        <v>2494</v>
      </c>
      <c r="I519" s="114" t="s">
        <v>12400</v>
      </c>
      <c r="J519" s="114" t="s">
        <v>12401</v>
      </c>
    </row>
    <row r="520" spans="1:10" ht="20" customHeight="1" thickBot="1">
      <c r="A520" s="26" t="s">
        <v>2497</v>
      </c>
      <c r="B520" s="26" t="s">
        <v>2497</v>
      </c>
      <c r="C520" s="26" t="s">
        <v>175</v>
      </c>
      <c r="D520" s="116">
        <v>15</v>
      </c>
      <c r="E520" s="122" t="s">
        <v>31</v>
      </c>
      <c r="F520" s="119" t="s">
        <v>57</v>
      </c>
      <c r="G520" s="27">
        <v>44510</v>
      </c>
      <c r="H520" s="26" t="s">
        <v>2498</v>
      </c>
      <c r="I520" s="113" t="s">
        <v>12400</v>
      </c>
      <c r="J520" s="113" t="s">
        <v>12401</v>
      </c>
    </row>
    <row r="521" spans="1:10" ht="20" customHeight="1" thickBot="1">
      <c r="A521" s="28" t="s">
        <v>2501</v>
      </c>
      <c r="B521" s="28" t="s">
        <v>2501</v>
      </c>
      <c r="C521" s="28" t="s">
        <v>2502</v>
      </c>
      <c r="D521" s="117">
        <v>12</v>
      </c>
      <c r="E521" s="122" t="s">
        <v>31</v>
      </c>
      <c r="F521" s="120" t="s">
        <v>63</v>
      </c>
      <c r="G521" s="29">
        <v>42104</v>
      </c>
      <c r="H521" s="28" t="s">
        <v>2503</v>
      </c>
      <c r="I521" s="114" t="s">
        <v>12400</v>
      </c>
      <c r="J521" s="114" t="s">
        <v>12401</v>
      </c>
    </row>
    <row r="522" spans="1:10" ht="20" customHeight="1" thickBot="1">
      <c r="A522" s="26" t="s">
        <v>2506</v>
      </c>
      <c r="B522" s="26" t="s">
        <v>2506</v>
      </c>
      <c r="C522" s="26" t="s">
        <v>2507</v>
      </c>
      <c r="D522" s="116">
        <v>9</v>
      </c>
      <c r="E522" s="122" t="s">
        <v>33</v>
      </c>
      <c r="F522" s="119" t="s">
        <v>571</v>
      </c>
      <c r="G522" s="27">
        <v>43514</v>
      </c>
      <c r="H522" s="26" t="s">
        <v>2508</v>
      </c>
      <c r="I522" s="113" t="s">
        <v>12400</v>
      </c>
      <c r="J522" s="113" t="s">
        <v>12401</v>
      </c>
    </row>
    <row r="523" spans="1:10" ht="20" customHeight="1" thickBot="1">
      <c r="A523" s="28" t="s">
        <v>2511</v>
      </c>
      <c r="B523" s="28" t="s">
        <v>2511</v>
      </c>
      <c r="C523" s="28" t="s">
        <v>2512</v>
      </c>
      <c r="D523" s="117">
        <v>27</v>
      </c>
      <c r="E523" s="122" t="s">
        <v>35</v>
      </c>
      <c r="F523" s="120" t="s">
        <v>57</v>
      </c>
      <c r="G523" s="29">
        <v>44916</v>
      </c>
      <c r="H523" s="28" t="s">
        <v>2513</v>
      </c>
      <c r="I523" s="114" t="s">
        <v>12400</v>
      </c>
      <c r="J523" s="114" t="s">
        <v>12401</v>
      </c>
    </row>
    <row r="524" spans="1:10" ht="20" customHeight="1" thickBot="1">
      <c r="A524" s="26" t="s">
        <v>2516</v>
      </c>
      <c r="B524" s="26" t="s">
        <v>2516</v>
      </c>
      <c r="C524" s="26" t="s">
        <v>2119</v>
      </c>
      <c r="D524" s="116">
        <v>19</v>
      </c>
      <c r="E524" s="122" t="s">
        <v>31</v>
      </c>
      <c r="F524" s="119" t="s">
        <v>63</v>
      </c>
      <c r="G524" s="27">
        <v>44120</v>
      </c>
      <c r="H524" s="26" t="s">
        <v>2517</v>
      </c>
      <c r="I524" s="113" t="s">
        <v>12400</v>
      </c>
      <c r="J524" s="113" t="s">
        <v>12401</v>
      </c>
    </row>
    <row r="525" spans="1:10" ht="20" customHeight="1" thickBot="1">
      <c r="A525" s="28" t="s">
        <v>2520</v>
      </c>
      <c r="B525" s="28" t="s">
        <v>2520</v>
      </c>
      <c r="C525" s="28" t="s">
        <v>2521</v>
      </c>
      <c r="D525" s="117">
        <v>21</v>
      </c>
      <c r="E525" s="122" t="s">
        <v>35</v>
      </c>
      <c r="F525" s="120" t="s">
        <v>57</v>
      </c>
      <c r="G525" s="29">
        <v>45447</v>
      </c>
      <c r="H525" s="28" t="s">
        <v>2522</v>
      </c>
      <c r="I525" s="114" t="s">
        <v>12400</v>
      </c>
      <c r="J525" s="114" t="s">
        <v>12401</v>
      </c>
    </row>
    <row r="526" spans="1:10" ht="20" customHeight="1" thickBot="1">
      <c r="A526" s="26" t="s">
        <v>2525</v>
      </c>
      <c r="B526" s="26" t="s">
        <v>2525</v>
      </c>
      <c r="C526" s="26" t="s">
        <v>2526</v>
      </c>
      <c r="D526" s="116">
        <v>10</v>
      </c>
      <c r="E526" s="122" t="s">
        <v>35</v>
      </c>
      <c r="F526" s="119" t="s">
        <v>57</v>
      </c>
      <c r="G526" s="27">
        <v>45071</v>
      </c>
      <c r="H526" s="26" t="s">
        <v>2527</v>
      </c>
      <c r="I526" s="113" t="s">
        <v>12400</v>
      </c>
      <c r="J526" s="113" t="s">
        <v>12401</v>
      </c>
    </row>
    <row r="527" spans="1:10" ht="20" customHeight="1" thickBot="1">
      <c r="A527" s="28" t="s">
        <v>2530</v>
      </c>
      <c r="B527" s="28" t="s">
        <v>2530</v>
      </c>
      <c r="C527" s="28" t="s">
        <v>2531</v>
      </c>
      <c r="D527" s="117">
        <v>5</v>
      </c>
      <c r="E527" s="122" t="s">
        <v>34</v>
      </c>
      <c r="F527" s="120" t="s">
        <v>57</v>
      </c>
      <c r="G527" s="29">
        <v>44398</v>
      </c>
      <c r="H527" s="28" t="s">
        <v>2532</v>
      </c>
      <c r="I527" s="114" t="s">
        <v>12400</v>
      </c>
      <c r="J527" s="114" t="s">
        <v>12401</v>
      </c>
    </row>
    <row r="528" spans="1:10" ht="20" customHeight="1" thickBot="1">
      <c r="A528" s="26" t="s">
        <v>2535</v>
      </c>
      <c r="B528" s="26" t="s">
        <v>2535</v>
      </c>
      <c r="C528" s="26" t="s">
        <v>1379</v>
      </c>
      <c r="D528" s="116">
        <v>24</v>
      </c>
      <c r="E528" s="122" t="s">
        <v>31</v>
      </c>
      <c r="F528" s="119" t="s">
        <v>57</v>
      </c>
      <c r="G528" s="27">
        <v>45664</v>
      </c>
      <c r="H528" s="26" t="s">
        <v>2536</v>
      </c>
      <c r="I528" s="113" t="s">
        <v>12400</v>
      </c>
      <c r="J528" s="113" t="s">
        <v>12401</v>
      </c>
    </row>
    <row r="529" spans="1:10" ht="20" customHeight="1" thickBot="1">
      <c r="A529" s="28" t="s">
        <v>2539</v>
      </c>
      <c r="B529" s="28" t="s">
        <v>2539</v>
      </c>
      <c r="C529" s="28" t="s">
        <v>570</v>
      </c>
      <c r="D529" s="117">
        <v>1</v>
      </c>
      <c r="E529" s="122" t="s">
        <v>34</v>
      </c>
      <c r="F529" s="120" t="s">
        <v>57</v>
      </c>
      <c r="G529" s="29">
        <v>44302</v>
      </c>
      <c r="H529" s="28" t="s">
        <v>2540</v>
      </c>
      <c r="I529" s="114" t="s">
        <v>12400</v>
      </c>
      <c r="J529" s="114" t="s">
        <v>12401</v>
      </c>
    </row>
    <row r="530" spans="1:10" ht="20" customHeight="1" thickBot="1">
      <c r="A530" s="26" t="s">
        <v>2543</v>
      </c>
      <c r="B530" s="26" t="s">
        <v>2543</v>
      </c>
      <c r="C530" s="26" t="s">
        <v>2544</v>
      </c>
      <c r="D530" s="116">
        <v>11</v>
      </c>
      <c r="E530" s="122" t="s">
        <v>33</v>
      </c>
      <c r="F530" s="119" t="s">
        <v>57</v>
      </c>
      <c r="G530" s="27">
        <v>45244</v>
      </c>
      <c r="H530" s="26" t="s">
        <v>2545</v>
      </c>
      <c r="I530" s="113" t="s">
        <v>12400</v>
      </c>
      <c r="J530" s="113" t="s">
        <v>12401</v>
      </c>
    </row>
    <row r="531" spans="1:10" ht="20" customHeight="1" thickBot="1">
      <c r="A531" s="28" t="s">
        <v>2548</v>
      </c>
      <c r="B531" s="28" t="s">
        <v>2548</v>
      </c>
      <c r="C531" s="28" t="s">
        <v>2549</v>
      </c>
      <c r="D531" s="117">
        <v>60</v>
      </c>
      <c r="E531" s="122" t="s">
        <v>29</v>
      </c>
      <c r="F531" s="120" t="s">
        <v>63</v>
      </c>
      <c r="G531" s="29">
        <v>42217</v>
      </c>
      <c r="H531" s="28" t="s">
        <v>2550</v>
      </c>
      <c r="I531" s="114" t="s">
        <v>12400</v>
      </c>
      <c r="J531" s="114" t="s">
        <v>12401</v>
      </c>
    </row>
    <row r="532" spans="1:10" ht="20" customHeight="1" thickBot="1">
      <c r="A532" s="26" t="s">
        <v>2553</v>
      </c>
      <c r="B532" s="26" t="s">
        <v>2553</v>
      </c>
      <c r="C532" s="26" t="s">
        <v>2554</v>
      </c>
      <c r="D532" s="116">
        <v>19</v>
      </c>
      <c r="E532" s="122" t="s">
        <v>35</v>
      </c>
      <c r="F532" s="119" t="s">
        <v>57</v>
      </c>
      <c r="G532" s="27">
        <v>44320</v>
      </c>
      <c r="H532" s="26" t="s">
        <v>2555</v>
      </c>
      <c r="I532" s="113" t="s">
        <v>12400</v>
      </c>
      <c r="J532" s="113" t="s">
        <v>12401</v>
      </c>
    </row>
    <row r="533" spans="1:10" ht="20" customHeight="1" thickBot="1">
      <c r="A533" s="28" t="s">
        <v>2558</v>
      </c>
      <c r="B533" s="28" t="s">
        <v>2558</v>
      </c>
      <c r="C533" s="28" t="s">
        <v>2559</v>
      </c>
      <c r="D533" s="117">
        <v>5</v>
      </c>
      <c r="E533" s="122" t="s">
        <v>29</v>
      </c>
      <c r="F533" s="120" t="s">
        <v>63</v>
      </c>
      <c r="G533" s="29">
        <v>43470</v>
      </c>
      <c r="H533" s="28" t="s">
        <v>2560</v>
      </c>
      <c r="I533" s="114" t="s">
        <v>12400</v>
      </c>
      <c r="J533" s="114" t="s">
        <v>12401</v>
      </c>
    </row>
    <row r="534" spans="1:10" ht="20" customHeight="1" thickBot="1">
      <c r="A534" s="26" t="s">
        <v>2563</v>
      </c>
      <c r="B534" s="26" t="s">
        <v>2563</v>
      </c>
      <c r="C534" s="26" t="s">
        <v>646</v>
      </c>
      <c r="D534" s="116">
        <v>11</v>
      </c>
      <c r="E534" s="122" t="s">
        <v>33</v>
      </c>
      <c r="F534" s="119" t="s">
        <v>57</v>
      </c>
      <c r="G534" s="27">
        <v>45603</v>
      </c>
      <c r="H534" s="26" t="s">
        <v>2564</v>
      </c>
      <c r="I534" s="113" t="s">
        <v>12400</v>
      </c>
      <c r="J534" s="113" t="s">
        <v>12401</v>
      </c>
    </row>
    <row r="535" spans="1:10" ht="20" customHeight="1" thickBot="1">
      <c r="A535" s="28" t="s">
        <v>2567</v>
      </c>
      <c r="B535" s="28" t="s">
        <v>2567</v>
      </c>
      <c r="C535" s="28" t="s">
        <v>2568</v>
      </c>
      <c r="D535" s="117">
        <v>14</v>
      </c>
      <c r="E535" s="122" t="s">
        <v>29</v>
      </c>
      <c r="F535" s="120" t="s">
        <v>63</v>
      </c>
      <c r="G535" s="29">
        <v>42914</v>
      </c>
      <c r="H535" s="28" t="s">
        <v>2569</v>
      </c>
      <c r="I535" s="114" t="s">
        <v>12400</v>
      </c>
      <c r="J535" s="114" t="s">
        <v>12401</v>
      </c>
    </row>
    <row r="536" spans="1:10" ht="20" customHeight="1" thickBot="1">
      <c r="A536" s="26" t="s">
        <v>2572</v>
      </c>
      <c r="B536" s="26" t="s">
        <v>2572</v>
      </c>
      <c r="C536" s="26" t="s">
        <v>2573</v>
      </c>
      <c r="D536" s="116">
        <v>7</v>
      </c>
      <c r="E536" s="122" t="s">
        <v>35</v>
      </c>
      <c r="F536" s="119" t="s">
        <v>57</v>
      </c>
      <c r="G536" s="27">
        <v>44460</v>
      </c>
      <c r="H536" s="26" t="s">
        <v>2574</v>
      </c>
      <c r="I536" s="113" t="s">
        <v>12400</v>
      </c>
      <c r="J536" s="113" t="s">
        <v>12401</v>
      </c>
    </row>
    <row r="537" spans="1:10" ht="20" customHeight="1" thickBot="1">
      <c r="A537" s="28" t="s">
        <v>2577</v>
      </c>
      <c r="B537" s="28" t="s">
        <v>2577</v>
      </c>
      <c r="C537" s="28" t="s">
        <v>2578</v>
      </c>
      <c r="D537" s="117">
        <v>2</v>
      </c>
      <c r="E537" s="122" t="s">
        <v>33</v>
      </c>
      <c r="F537" s="120" t="s">
        <v>63</v>
      </c>
      <c r="G537" s="29">
        <v>42519</v>
      </c>
      <c r="H537" s="28" t="s">
        <v>2579</v>
      </c>
      <c r="I537" s="114" t="s">
        <v>12400</v>
      </c>
      <c r="J537" s="114" t="s">
        <v>12401</v>
      </c>
    </row>
    <row r="538" spans="1:10" ht="20" customHeight="1" thickBot="1">
      <c r="A538" s="26" t="s">
        <v>2582</v>
      </c>
      <c r="B538" s="26" t="s">
        <v>2582</v>
      </c>
      <c r="C538" s="26" t="s">
        <v>2583</v>
      </c>
      <c r="D538" s="116">
        <v>11</v>
      </c>
      <c r="E538" s="122" t="s">
        <v>33</v>
      </c>
      <c r="F538" s="119" t="s">
        <v>57</v>
      </c>
      <c r="G538" s="27">
        <v>45153</v>
      </c>
      <c r="H538" s="26" t="s">
        <v>2584</v>
      </c>
      <c r="I538" s="113" t="s">
        <v>12400</v>
      </c>
      <c r="J538" s="113" t="s">
        <v>12401</v>
      </c>
    </row>
    <row r="539" spans="1:10" ht="20" customHeight="1" thickBot="1">
      <c r="A539" s="28" t="s">
        <v>2587</v>
      </c>
      <c r="B539" s="28" t="s">
        <v>2587</v>
      </c>
      <c r="C539" s="28" t="s">
        <v>2588</v>
      </c>
      <c r="D539" s="117">
        <v>6</v>
      </c>
      <c r="E539" s="122" t="s">
        <v>35</v>
      </c>
      <c r="F539" s="120" t="s">
        <v>57</v>
      </c>
      <c r="G539" s="29">
        <v>43468</v>
      </c>
      <c r="H539" s="28" t="s">
        <v>2589</v>
      </c>
      <c r="I539" s="114" t="s">
        <v>12400</v>
      </c>
      <c r="J539" s="114" t="s">
        <v>12401</v>
      </c>
    </row>
    <row r="540" spans="1:10" ht="20" customHeight="1" thickBot="1">
      <c r="A540" s="26" t="s">
        <v>2592</v>
      </c>
      <c r="B540" s="26" t="s">
        <v>2592</v>
      </c>
      <c r="C540" s="26" t="s">
        <v>2593</v>
      </c>
      <c r="D540" s="116">
        <v>7</v>
      </c>
      <c r="E540" s="122" t="s">
        <v>35</v>
      </c>
      <c r="F540" s="119" t="s">
        <v>57</v>
      </c>
      <c r="G540" s="27">
        <v>44587</v>
      </c>
      <c r="H540" s="26" t="s">
        <v>2594</v>
      </c>
      <c r="I540" s="113" t="s">
        <v>12400</v>
      </c>
      <c r="J540" s="113" t="s">
        <v>12401</v>
      </c>
    </row>
    <row r="541" spans="1:10" ht="20" customHeight="1" thickBot="1">
      <c r="A541" s="28" t="s">
        <v>2597</v>
      </c>
      <c r="B541" s="28" t="s">
        <v>2597</v>
      </c>
      <c r="C541" s="28" t="s">
        <v>2598</v>
      </c>
      <c r="D541" s="117">
        <v>25</v>
      </c>
      <c r="E541" s="122" t="s">
        <v>33</v>
      </c>
      <c r="F541" s="120" t="s">
        <v>57</v>
      </c>
      <c r="G541" s="29">
        <v>44687</v>
      </c>
      <c r="H541" s="28" t="s">
        <v>2599</v>
      </c>
      <c r="I541" s="114" t="s">
        <v>12400</v>
      </c>
      <c r="J541" s="114" t="s">
        <v>12401</v>
      </c>
    </row>
    <row r="542" spans="1:10" ht="20" customHeight="1" thickBot="1">
      <c r="A542" s="26" t="s">
        <v>2602</v>
      </c>
      <c r="B542" s="26" t="s">
        <v>2602</v>
      </c>
      <c r="C542" s="26" t="s">
        <v>2245</v>
      </c>
      <c r="D542" s="116">
        <v>13</v>
      </c>
      <c r="E542" s="122" t="s">
        <v>34</v>
      </c>
      <c r="F542" s="119" t="s">
        <v>57</v>
      </c>
      <c r="G542" s="27">
        <v>45166</v>
      </c>
      <c r="H542" s="26" t="s">
        <v>2603</v>
      </c>
      <c r="I542" s="113" t="s">
        <v>12400</v>
      </c>
      <c r="J542" s="113" t="s">
        <v>12401</v>
      </c>
    </row>
    <row r="543" spans="1:10" ht="20" customHeight="1" thickBot="1">
      <c r="A543" s="28" t="s">
        <v>2606</v>
      </c>
      <c r="B543" s="28" t="s">
        <v>2606</v>
      </c>
      <c r="C543" s="28" t="s">
        <v>641</v>
      </c>
      <c r="D543" s="117">
        <v>0</v>
      </c>
      <c r="E543" s="122" t="s">
        <v>35</v>
      </c>
      <c r="F543" s="120" t="s">
        <v>57</v>
      </c>
      <c r="G543" s="29">
        <v>44581</v>
      </c>
      <c r="H543" s="28" t="s">
        <v>2607</v>
      </c>
      <c r="I543" s="114" t="s">
        <v>12400</v>
      </c>
      <c r="J543" s="114" t="s">
        <v>12401</v>
      </c>
    </row>
    <row r="544" spans="1:10" ht="20" customHeight="1" thickBot="1">
      <c r="A544" s="26" t="s">
        <v>2610</v>
      </c>
      <c r="B544" s="26" t="s">
        <v>2610</v>
      </c>
      <c r="C544" s="26" t="s">
        <v>452</v>
      </c>
      <c r="D544" s="116">
        <v>11</v>
      </c>
      <c r="E544" s="122" t="s">
        <v>33</v>
      </c>
      <c r="F544" s="119" t="s">
        <v>57</v>
      </c>
      <c r="G544" s="27">
        <v>44921</v>
      </c>
      <c r="H544" s="26" t="s">
        <v>2611</v>
      </c>
      <c r="I544" s="113" t="s">
        <v>12400</v>
      </c>
      <c r="J544" s="113" t="s">
        <v>12401</v>
      </c>
    </row>
    <row r="545" spans="1:10" ht="20" customHeight="1" thickBot="1">
      <c r="A545" s="28" t="s">
        <v>2614</v>
      </c>
      <c r="B545" s="28" t="s">
        <v>2614</v>
      </c>
      <c r="C545" s="28" t="s">
        <v>2615</v>
      </c>
      <c r="D545" s="117">
        <v>9</v>
      </c>
      <c r="E545" s="122" t="s">
        <v>31</v>
      </c>
      <c r="F545" s="120" t="s">
        <v>63</v>
      </c>
      <c r="G545" s="29">
        <v>44436</v>
      </c>
      <c r="H545" s="28" t="s">
        <v>2616</v>
      </c>
      <c r="I545" s="114" t="s">
        <v>12400</v>
      </c>
      <c r="J545" s="114" t="s">
        <v>12401</v>
      </c>
    </row>
    <row r="546" spans="1:10" ht="20" customHeight="1" thickBot="1">
      <c r="A546" s="26" t="s">
        <v>2619</v>
      </c>
      <c r="B546" s="26" t="s">
        <v>2619</v>
      </c>
      <c r="C546" s="26" t="s">
        <v>2620</v>
      </c>
      <c r="D546" s="116">
        <v>10</v>
      </c>
      <c r="E546" s="122" t="s">
        <v>33</v>
      </c>
      <c r="F546" s="119" t="s">
        <v>57</v>
      </c>
      <c r="G546" s="27">
        <v>43950</v>
      </c>
      <c r="H546" s="26" t="s">
        <v>2621</v>
      </c>
      <c r="I546" s="113" t="s">
        <v>12400</v>
      </c>
      <c r="J546" s="113" t="s">
        <v>12401</v>
      </c>
    </row>
    <row r="547" spans="1:10" ht="20" customHeight="1" thickBot="1">
      <c r="A547" s="28" t="s">
        <v>2624</v>
      </c>
      <c r="B547" s="28" t="s">
        <v>2624</v>
      </c>
      <c r="C547" s="28" t="s">
        <v>2625</v>
      </c>
      <c r="D547" s="117">
        <v>17</v>
      </c>
      <c r="E547" s="122" t="s">
        <v>33</v>
      </c>
      <c r="F547" s="120" t="s">
        <v>57</v>
      </c>
      <c r="G547" s="29">
        <v>45531</v>
      </c>
      <c r="H547" s="28" t="s">
        <v>2626</v>
      </c>
      <c r="I547" s="114" t="s">
        <v>12400</v>
      </c>
      <c r="J547" s="114" t="s">
        <v>12401</v>
      </c>
    </row>
    <row r="548" spans="1:10" ht="20" customHeight="1" thickBot="1">
      <c r="A548" s="26" t="s">
        <v>2629</v>
      </c>
      <c r="B548" s="26" t="s">
        <v>2629</v>
      </c>
      <c r="C548" s="26" t="s">
        <v>2625</v>
      </c>
      <c r="D548" s="116">
        <v>17</v>
      </c>
      <c r="E548" s="122" t="s">
        <v>31</v>
      </c>
      <c r="F548" s="119" t="s">
        <v>57</v>
      </c>
      <c r="G548" s="27">
        <v>45531</v>
      </c>
      <c r="H548" s="26" t="s">
        <v>2630</v>
      </c>
      <c r="I548" s="113" t="s">
        <v>12400</v>
      </c>
      <c r="J548" s="113" t="s">
        <v>12401</v>
      </c>
    </row>
    <row r="549" spans="1:10" ht="20" customHeight="1" thickBot="1">
      <c r="A549" s="28" t="s">
        <v>2633</v>
      </c>
      <c r="B549" s="28" t="s">
        <v>2633</v>
      </c>
      <c r="C549" s="28" t="s">
        <v>83</v>
      </c>
      <c r="D549" s="117">
        <v>15</v>
      </c>
      <c r="E549" s="122" t="s">
        <v>33</v>
      </c>
      <c r="F549" s="120" t="s">
        <v>57</v>
      </c>
      <c r="G549" s="29">
        <v>45716</v>
      </c>
      <c r="H549" s="28" t="s">
        <v>2634</v>
      </c>
      <c r="I549" s="114" t="s">
        <v>12400</v>
      </c>
      <c r="J549" s="114" t="s">
        <v>12401</v>
      </c>
    </row>
    <row r="550" spans="1:10" ht="20" customHeight="1" thickBot="1">
      <c r="A550" s="26" t="s">
        <v>2637</v>
      </c>
      <c r="B550" s="26" t="s">
        <v>2637</v>
      </c>
      <c r="C550" s="26" t="s">
        <v>2165</v>
      </c>
      <c r="D550" s="116">
        <v>92</v>
      </c>
      <c r="E550" s="122" t="s">
        <v>33</v>
      </c>
      <c r="F550" s="119" t="s">
        <v>63</v>
      </c>
      <c r="G550" s="27">
        <v>46104</v>
      </c>
      <c r="H550" s="26" t="s">
        <v>2638</v>
      </c>
      <c r="I550" s="113" t="s">
        <v>12400</v>
      </c>
      <c r="J550" s="113" t="s">
        <v>12401</v>
      </c>
    </row>
    <row r="551" spans="1:10" ht="20" customHeight="1" thickBot="1">
      <c r="A551" s="28" t="s">
        <v>2641</v>
      </c>
      <c r="B551" s="28" t="s">
        <v>2641</v>
      </c>
      <c r="C551" s="28" t="s">
        <v>494</v>
      </c>
      <c r="D551" s="117">
        <v>9</v>
      </c>
      <c r="E551" s="122" t="s">
        <v>31</v>
      </c>
      <c r="F551" s="120" t="s">
        <v>115</v>
      </c>
      <c r="G551" s="29">
        <v>45780</v>
      </c>
      <c r="H551" s="28" t="s">
        <v>2642</v>
      </c>
      <c r="I551" s="114" t="s">
        <v>12400</v>
      </c>
      <c r="J551" s="114" t="s">
        <v>12401</v>
      </c>
    </row>
    <row r="552" spans="1:10" ht="20" customHeight="1" thickBot="1">
      <c r="A552" s="26" t="s">
        <v>2645</v>
      </c>
      <c r="B552" s="26" t="s">
        <v>2645</v>
      </c>
      <c r="C552" s="26" t="s">
        <v>2646</v>
      </c>
      <c r="D552" s="116">
        <v>1</v>
      </c>
      <c r="E552" s="122" t="s">
        <v>35</v>
      </c>
      <c r="F552" s="119" t="s">
        <v>57</v>
      </c>
      <c r="G552" s="27">
        <v>45299</v>
      </c>
      <c r="H552" s="26" t="s">
        <v>2647</v>
      </c>
      <c r="I552" s="113" t="s">
        <v>12400</v>
      </c>
      <c r="J552" s="113" t="s">
        <v>12401</v>
      </c>
    </row>
    <row r="553" spans="1:10" ht="20" customHeight="1" thickBot="1">
      <c r="A553" s="28" t="s">
        <v>2650</v>
      </c>
      <c r="B553" s="28" t="s">
        <v>2650</v>
      </c>
      <c r="C553" s="28" t="s">
        <v>109</v>
      </c>
      <c r="D553" s="117">
        <v>15</v>
      </c>
      <c r="E553" s="122" t="s">
        <v>34</v>
      </c>
      <c r="F553" s="120" t="s">
        <v>57</v>
      </c>
      <c r="G553" s="29">
        <v>44795</v>
      </c>
      <c r="H553" s="28" t="s">
        <v>2651</v>
      </c>
      <c r="I553" s="114" t="s">
        <v>12400</v>
      </c>
      <c r="J553" s="114" t="s">
        <v>12401</v>
      </c>
    </row>
    <row r="554" spans="1:10" ht="20" customHeight="1" thickBot="1">
      <c r="A554" s="26" t="s">
        <v>2654</v>
      </c>
      <c r="B554" s="26" t="s">
        <v>2654</v>
      </c>
      <c r="C554" s="26" t="s">
        <v>2655</v>
      </c>
      <c r="D554" s="116">
        <v>11</v>
      </c>
      <c r="E554" s="122" t="s">
        <v>29</v>
      </c>
      <c r="F554" s="119" t="s">
        <v>63</v>
      </c>
      <c r="G554" s="27">
        <v>42093</v>
      </c>
      <c r="H554" s="26" t="s">
        <v>2656</v>
      </c>
      <c r="I554" s="113" t="s">
        <v>12400</v>
      </c>
      <c r="J554" s="113" t="s">
        <v>12401</v>
      </c>
    </row>
    <row r="555" spans="1:10" ht="20" customHeight="1" thickBot="1">
      <c r="A555" s="28" t="s">
        <v>2659</v>
      </c>
      <c r="B555" s="28" t="s">
        <v>2659</v>
      </c>
      <c r="C555" s="28" t="s">
        <v>1622</v>
      </c>
      <c r="D555" s="117">
        <v>14</v>
      </c>
      <c r="E555" s="122" t="s">
        <v>33</v>
      </c>
      <c r="F555" s="120" t="s">
        <v>57</v>
      </c>
      <c r="G555" s="29">
        <v>45448</v>
      </c>
      <c r="H555" s="28" t="s">
        <v>2660</v>
      </c>
      <c r="I555" s="114" t="s">
        <v>12400</v>
      </c>
      <c r="J555" s="114" t="s">
        <v>12401</v>
      </c>
    </row>
    <row r="556" spans="1:10" ht="20" customHeight="1" thickBot="1">
      <c r="A556" s="26" t="s">
        <v>2663</v>
      </c>
      <c r="B556" s="26" t="s">
        <v>2663</v>
      </c>
      <c r="C556" s="26" t="s">
        <v>1622</v>
      </c>
      <c r="D556" s="116">
        <v>36</v>
      </c>
      <c r="E556" s="122" t="s">
        <v>34</v>
      </c>
      <c r="F556" s="119" t="s">
        <v>57</v>
      </c>
      <c r="G556" s="27">
        <v>46050</v>
      </c>
      <c r="H556" s="26" t="s">
        <v>2664</v>
      </c>
      <c r="I556" s="113" t="s">
        <v>12400</v>
      </c>
      <c r="J556" s="113" t="s">
        <v>12401</v>
      </c>
    </row>
    <row r="557" spans="1:10" ht="20" customHeight="1" thickBot="1">
      <c r="A557" s="28" t="s">
        <v>2667</v>
      </c>
      <c r="B557" s="28" t="s">
        <v>2667</v>
      </c>
      <c r="C557" s="28" t="s">
        <v>2668</v>
      </c>
      <c r="D557" s="117">
        <v>11</v>
      </c>
      <c r="E557" s="122" t="s">
        <v>34</v>
      </c>
      <c r="F557" s="120" t="s">
        <v>57</v>
      </c>
      <c r="G557" s="29">
        <v>43892</v>
      </c>
      <c r="H557" s="28" t="s">
        <v>2669</v>
      </c>
      <c r="I557" s="114" t="s">
        <v>12400</v>
      </c>
      <c r="J557" s="114" t="s">
        <v>12401</v>
      </c>
    </row>
    <row r="558" spans="1:10" ht="20" customHeight="1" thickBot="1">
      <c r="A558" s="26" t="s">
        <v>2672</v>
      </c>
      <c r="B558" s="26" t="s">
        <v>2672</v>
      </c>
      <c r="C558" s="26" t="s">
        <v>2673</v>
      </c>
      <c r="D558" s="116">
        <v>14</v>
      </c>
      <c r="E558" s="122" t="s">
        <v>34</v>
      </c>
      <c r="F558" s="119" t="s">
        <v>57</v>
      </c>
      <c r="G558" s="27">
        <v>45898</v>
      </c>
      <c r="H558" s="26" t="s">
        <v>2674</v>
      </c>
      <c r="I558" s="113" t="s">
        <v>12400</v>
      </c>
      <c r="J558" s="113" t="s">
        <v>12401</v>
      </c>
    </row>
    <row r="559" spans="1:10" ht="20" customHeight="1" thickBot="1">
      <c r="A559" s="28" t="s">
        <v>2677</v>
      </c>
      <c r="B559" s="28" t="s">
        <v>2677</v>
      </c>
      <c r="C559" s="28" t="s">
        <v>2678</v>
      </c>
      <c r="D559" s="117">
        <v>5</v>
      </c>
      <c r="E559" s="122" t="s">
        <v>29</v>
      </c>
      <c r="F559" s="120" t="s">
        <v>63</v>
      </c>
      <c r="G559" s="29">
        <v>42441</v>
      </c>
      <c r="H559" s="28" t="s">
        <v>2679</v>
      </c>
      <c r="I559" s="114" t="s">
        <v>12400</v>
      </c>
      <c r="J559" s="114" t="s">
        <v>12401</v>
      </c>
    </row>
    <row r="560" spans="1:10" ht="20" customHeight="1" thickBot="1">
      <c r="A560" s="26" t="s">
        <v>2682</v>
      </c>
      <c r="B560" s="26" t="s">
        <v>2682</v>
      </c>
      <c r="C560" s="26" t="s">
        <v>208</v>
      </c>
      <c r="D560" s="116">
        <v>22</v>
      </c>
      <c r="E560" s="122" t="s">
        <v>34</v>
      </c>
      <c r="F560" s="119" t="s">
        <v>57</v>
      </c>
      <c r="G560" s="27">
        <v>45450</v>
      </c>
      <c r="H560" s="26" t="s">
        <v>2683</v>
      </c>
      <c r="I560" s="113" t="s">
        <v>12400</v>
      </c>
      <c r="J560" s="113" t="s">
        <v>12401</v>
      </c>
    </row>
    <row r="561" spans="1:10" ht="20" customHeight="1" thickBot="1">
      <c r="A561" s="28" t="s">
        <v>2686</v>
      </c>
      <c r="B561" s="28" t="s">
        <v>2686</v>
      </c>
      <c r="C561" s="28" t="s">
        <v>2687</v>
      </c>
      <c r="D561" s="117">
        <v>13</v>
      </c>
      <c r="E561" s="122" t="s">
        <v>33</v>
      </c>
      <c r="F561" s="120" t="s">
        <v>57</v>
      </c>
      <c r="G561" s="29">
        <v>44388</v>
      </c>
      <c r="H561" s="28" t="s">
        <v>2688</v>
      </c>
      <c r="I561" s="114" t="s">
        <v>12400</v>
      </c>
      <c r="J561" s="114" t="s">
        <v>12401</v>
      </c>
    </row>
    <row r="562" spans="1:10" ht="20" customHeight="1" thickBot="1">
      <c r="A562" s="26" t="s">
        <v>2691</v>
      </c>
      <c r="B562" s="26" t="s">
        <v>2691</v>
      </c>
      <c r="C562" s="26" t="s">
        <v>2692</v>
      </c>
      <c r="D562" s="116">
        <v>19</v>
      </c>
      <c r="E562" s="122" t="s">
        <v>34</v>
      </c>
      <c r="F562" s="119" t="s">
        <v>57</v>
      </c>
      <c r="G562" s="27">
        <v>45539</v>
      </c>
      <c r="H562" s="26" t="s">
        <v>2693</v>
      </c>
      <c r="I562" s="113" t="s">
        <v>12400</v>
      </c>
      <c r="J562" s="113" t="s">
        <v>12401</v>
      </c>
    </row>
    <row r="563" spans="1:10" ht="20" customHeight="1" thickBot="1">
      <c r="A563" s="28" t="s">
        <v>2696</v>
      </c>
      <c r="B563" s="28" t="s">
        <v>2696</v>
      </c>
      <c r="C563" s="28" t="s">
        <v>1171</v>
      </c>
      <c r="D563" s="117">
        <v>7</v>
      </c>
      <c r="E563" s="122" t="s">
        <v>34</v>
      </c>
      <c r="F563" s="120" t="s">
        <v>57</v>
      </c>
      <c r="G563" s="29">
        <v>44363</v>
      </c>
      <c r="H563" s="28" t="s">
        <v>2697</v>
      </c>
      <c r="I563" s="114" t="s">
        <v>12400</v>
      </c>
      <c r="J563" s="114" t="s">
        <v>12401</v>
      </c>
    </row>
    <row r="564" spans="1:10" ht="20" customHeight="1" thickBot="1">
      <c r="A564" s="26" t="s">
        <v>2700</v>
      </c>
      <c r="B564" s="26" t="s">
        <v>2700</v>
      </c>
      <c r="C564" s="26" t="s">
        <v>2701</v>
      </c>
      <c r="D564" s="116">
        <v>30</v>
      </c>
      <c r="E564" s="122" t="s">
        <v>34</v>
      </c>
      <c r="F564" s="119" t="s">
        <v>57</v>
      </c>
      <c r="G564" s="27">
        <v>45984</v>
      </c>
      <c r="H564" s="26" t="s">
        <v>2702</v>
      </c>
      <c r="I564" s="113" t="s">
        <v>12400</v>
      </c>
      <c r="J564" s="113" t="s">
        <v>12401</v>
      </c>
    </row>
    <row r="565" spans="1:10" ht="20" customHeight="1" thickBot="1">
      <c r="A565" s="28" t="s">
        <v>2705</v>
      </c>
      <c r="B565" s="28" t="s">
        <v>2705</v>
      </c>
      <c r="C565" s="28" t="s">
        <v>2706</v>
      </c>
      <c r="D565" s="117">
        <v>23</v>
      </c>
      <c r="E565" s="122" t="s">
        <v>33</v>
      </c>
      <c r="F565" s="120" t="s">
        <v>57</v>
      </c>
      <c r="G565" s="29">
        <v>44133</v>
      </c>
      <c r="H565" s="28" t="s">
        <v>2707</v>
      </c>
      <c r="I565" s="114" t="s">
        <v>12400</v>
      </c>
      <c r="J565" s="114" t="s">
        <v>12401</v>
      </c>
    </row>
    <row r="566" spans="1:10" ht="20" customHeight="1" thickBot="1">
      <c r="A566" s="26" t="s">
        <v>2710</v>
      </c>
      <c r="B566" s="26" t="s">
        <v>2710</v>
      </c>
      <c r="C566" s="26" t="s">
        <v>2142</v>
      </c>
      <c r="D566" s="116">
        <v>8</v>
      </c>
      <c r="E566" s="122" t="s">
        <v>35</v>
      </c>
      <c r="F566" s="119" t="s">
        <v>57</v>
      </c>
      <c r="G566" s="27">
        <v>43348</v>
      </c>
      <c r="H566" s="26" t="s">
        <v>2711</v>
      </c>
      <c r="I566" s="113" t="s">
        <v>12400</v>
      </c>
      <c r="J566" s="113" t="s">
        <v>12401</v>
      </c>
    </row>
    <row r="567" spans="1:10" ht="20" customHeight="1" thickBot="1">
      <c r="A567" s="28" t="s">
        <v>2714</v>
      </c>
      <c r="B567" s="28" t="s">
        <v>2714</v>
      </c>
      <c r="C567" s="28" t="s">
        <v>2715</v>
      </c>
      <c r="D567" s="117">
        <v>21</v>
      </c>
      <c r="E567" s="122" t="s">
        <v>34</v>
      </c>
      <c r="F567" s="120" t="s">
        <v>57</v>
      </c>
      <c r="G567" s="29">
        <v>44923</v>
      </c>
      <c r="H567" s="28" t="s">
        <v>2716</v>
      </c>
      <c r="I567" s="114" t="s">
        <v>12400</v>
      </c>
      <c r="J567" s="114" t="s">
        <v>12401</v>
      </c>
    </row>
    <row r="568" spans="1:10" ht="20" customHeight="1" thickBot="1">
      <c r="A568" s="26" t="s">
        <v>2719</v>
      </c>
      <c r="B568" s="26" t="s">
        <v>2719</v>
      </c>
      <c r="C568" s="26" t="s">
        <v>2720</v>
      </c>
      <c r="D568" s="116">
        <v>11</v>
      </c>
      <c r="E568" s="122" t="s">
        <v>33</v>
      </c>
      <c r="F568" s="119" t="s">
        <v>57</v>
      </c>
      <c r="G568" s="27">
        <v>44964</v>
      </c>
      <c r="H568" s="26" t="s">
        <v>2721</v>
      </c>
      <c r="I568" s="113" t="s">
        <v>12400</v>
      </c>
      <c r="J568" s="113" t="s">
        <v>12401</v>
      </c>
    </row>
    <row r="569" spans="1:10" ht="20" customHeight="1" thickBot="1">
      <c r="A569" s="28" t="s">
        <v>2724</v>
      </c>
      <c r="B569" s="28" t="s">
        <v>2724</v>
      </c>
      <c r="C569" s="28" t="s">
        <v>2720</v>
      </c>
      <c r="D569" s="117">
        <v>18</v>
      </c>
      <c r="E569" s="122" t="s">
        <v>34</v>
      </c>
      <c r="F569" s="120" t="s">
        <v>57</v>
      </c>
      <c r="G569" s="29">
        <v>45398</v>
      </c>
      <c r="H569" s="28" t="s">
        <v>2725</v>
      </c>
      <c r="I569" s="114" t="s">
        <v>12400</v>
      </c>
      <c r="J569" s="114" t="s">
        <v>12401</v>
      </c>
    </row>
    <row r="570" spans="1:10" ht="20" customHeight="1" thickBot="1">
      <c r="A570" s="26" t="s">
        <v>2728</v>
      </c>
      <c r="B570" s="26" t="s">
        <v>2728</v>
      </c>
      <c r="C570" s="26" t="s">
        <v>62</v>
      </c>
      <c r="D570" s="116">
        <v>0</v>
      </c>
      <c r="E570" s="122" t="s">
        <v>33</v>
      </c>
      <c r="F570" s="119" t="s">
        <v>63</v>
      </c>
      <c r="G570" s="27">
        <v>42686</v>
      </c>
      <c r="H570" s="26" t="s">
        <v>2729</v>
      </c>
      <c r="I570" s="113" t="s">
        <v>12400</v>
      </c>
      <c r="J570" s="113" t="s">
        <v>12401</v>
      </c>
    </row>
    <row r="571" spans="1:10" ht="20" customHeight="1" thickBot="1">
      <c r="A571" s="28" t="s">
        <v>2732</v>
      </c>
      <c r="B571" s="28" t="s">
        <v>2732</v>
      </c>
      <c r="C571" s="28" t="s">
        <v>2733</v>
      </c>
      <c r="D571" s="117">
        <v>7</v>
      </c>
      <c r="E571" s="122" t="s">
        <v>31</v>
      </c>
      <c r="F571" s="120" t="s">
        <v>63</v>
      </c>
      <c r="G571" s="29">
        <v>42426</v>
      </c>
      <c r="H571" s="28" t="s">
        <v>2734</v>
      </c>
      <c r="I571" s="114" t="s">
        <v>12400</v>
      </c>
      <c r="J571" s="114" t="s">
        <v>12401</v>
      </c>
    </row>
    <row r="572" spans="1:10" ht="20" customHeight="1" thickBot="1">
      <c r="A572" s="26" t="s">
        <v>2737</v>
      </c>
      <c r="B572" s="26" t="s">
        <v>2737</v>
      </c>
      <c r="C572" s="26" t="s">
        <v>2738</v>
      </c>
      <c r="D572" s="116">
        <v>0</v>
      </c>
      <c r="E572" s="122" t="s">
        <v>34</v>
      </c>
      <c r="F572" s="119" t="s">
        <v>57</v>
      </c>
      <c r="G572" s="27">
        <v>45161</v>
      </c>
      <c r="H572" s="26" t="s">
        <v>2739</v>
      </c>
      <c r="I572" s="113" t="s">
        <v>12400</v>
      </c>
      <c r="J572" s="113" t="s">
        <v>12401</v>
      </c>
    </row>
    <row r="573" spans="1:10" ht="20" customHeight="1" thickBot="1">
      <c r="A573" s="28" t="s">
        <v>2742</v>
      </c>
      <c r="B573" s="28" t="s">
        <v>2742</v>
      </c>
      <c r="C573" s="28" t="s">
        <v>2396</v>
      </c>
      <c r="D573" s="117">
        <v>12</v>
      </c>
      <c r="E573" s="122" t="s">
        <v>35</v>
      </c>
      <c r="F573" s="120" t="s">
        <v>57</v>
      </c>
      <c r="G573" s="29">
        <v>44013</v>
      </c>
      <c r="H573" s="28" t="s">
        <v>2743</v>
      </c>
      <c r="I573" s="114" t="s">
        <v>12400</v>
      </c>
      <c r="J573" s="114" t="s">
        <v>12401</v>
      </c>
    </row>
    <row r="574" spans="1:10" ht="20" customHeight="1" thickBot="1">
      <c r="A574" s="26" t="s">
        <v>2746</v>
      </c>
      <c r="B574" s="26" t="s">
        <v>2746</v>
      </c>
      <c r="C574" s="26" t="s">
        <v>1389</v>
      </c>
      <c r="D574" s="116">
        <v>0</v>
      </c>
      <c r="E574" s="122" t="s">
        <v>33</v>
      </c>
      <c r="F574" s="119" t="s">
        <v>57</v>
      </c>
      <c r="G574" s="27">
        <v>45662</v>
      </c>
      <c r="H574" s="26" t="s">
        <v>2747</v>
      </c>
      <c r="I574" s="113" t="s">
        <v>12400</v>
      </c>
      <c r="J574" s="113" t="s">
        <v>12401</v>
      </c>
    </row>
    <row r="575" spans="1:10" ht="20" customHeight="1" thickBot="1">
      <c r="A575" s="28" t="s">
        <v>2750</v>
      </c>
      <c r="B575" s="28" t="s">
        <v>2750</v>
      </c>
      <c r="C575" s="28" t="s">
        <v>1306</v>
      </c>
      <c r="D575" s="117">
        <v>7</v>
      </c>
      <c r="E575" s="122" t="s">
        <v>31</v>
      </c>
      <c r="F575" s="120" t="s">
        <v>63</v>
      </c>
      <c r="G575" s="29">
        <v>45020</v>
      </c>
      <c r="H575" s="28" t="s">
        <v>2751</v>
      </c>
      <c r="I575" s="114" t="s">
        <v>12400</v>
      </c>
      <c r="J575" s="114" t="s">
        <v>12401</v>
      </c>
    </row>
    <row r="576" spans="1:10" ht="20" customHeight="1" thickBot="1">
      <c r="A576" s="26" t="s">
        <v>2754</v>
      </c>
      <c r="B576" s="26" t="s">
        <v>2754</v>
      </c>
      <c r="C576" s="26" t="s">
        <v>1306</v>
      </c>
      <c r="D576" s="116">
        <v>7</v>
      </c>
      <c r="E576" s="122" t="s">
        <v>31</v>
      </c>
      <c r="F576" s="119" t="s">
        <v>63</v>
      </c>
      <c r="G576" s="27">
        <v>45076</v>
      </c>
      <c r="H576" s="26" t="s">
        <v>2755</v>
      </c>
      <c r="I576" s="113" t="s">
        <v>12400</v>
      </c>
      <c r="J576" s="113" t="s">
        <v>12401</v>
      </c>
    </row>
    <row r="577" spans="1:10" ht="20" customHeight="1" thickBot="1">
      <c r="A577" s="28" t="s">
        <v>2758</v>
      </c>
      <c r="B577" s="28" t="s">
        <v>2758</v>
      </c>
      <c r="C577" s="28" t="s">
        <v>2646</v>
      </c>
      <c r="D577" s="117">
        <v>2</v>
      </c>
      <c r="E577" s="122" t="s">
        <v>36</v>
      </c>
      <c r="F577" s="120" t="s">
        <v>57</v>
      </c>
      <c r="G577" s="29">
        <v>45637</v>
      </c>
      <c r="H577" s="28" t="s">
        <v>2759</v>
      </c>
      <c r="I577" s="114" t="s">
        <v>12400</v>
      </c>
      <c r="J577" s="114" t="s">
        <v>12401</v>
      </c>
    </row>
    <row r="578" spans="1:10" ht="20" customHeight="1" thickBot="1">
      <c r="A578" s="26" t="s">
        <v>2762</v>
      </c>
      <c r="B578" s="26" t="s">
        <v>2762</v>
      </c>
      <c r="C578" s="26" t="s">
        <v>2763</v>
      </c>
      <c r="D578" s="116">
        <v>12</v>
      </c>
      <c r="E578" s="122" t="s">
        <v>34</v>
      </c>
      <c r="F578" s="119" t="s">
        <v>57</v>
      </c>
      <c r="G578" s="27">
        <v>44721</v>
      </c>
      <c r="H578" s="26" t="s">
        <v>2764</v>
      </c>
      <c r="I578" s="113" t="s">
        <v>12400</v>
      </c>
      <c r="J578" s="113" t="s">
        <v>12401</v>
      </c>
    </row>
    <row r="579" spans="1:10" ht="20" customHeight="1" thickBot="1">
      <c r="A579" s="28" t="s">
        <v>2767</v>
      </c>
      <c r="B579" s="28" t="s">
        <v>2767</v>
      </c>
      <c r="C579" s="28" t="s">
        <v>1622</v>
      </c>
      <c r="D579" s="117">
        <v>19</v>
      </c>
      <c r="E579" s="122" t="s">
        <v>34</v>
      </c>
      <c r="F579" s="120" t="s">
        <v>57</v>
      </c>
      <c r="G579" s="29">
        <v>44942</v>
      </c>
      <c r="H579" s="28" t="s">
        <v>2768</v>
      </c>
      <c r="I579" s="114" t="s">
        <v>12400</v>
      </c>
      <c r="J579" s="114" t="s">
        <v>12401</v>
      </c>
    </row>
    <row r="580" spans="1:10" ht="20" customHeight="1" thickBot="1">
      <c r="A580" s="26" t="s">
        <v>2771</v>
      </c>
      <c r="B580" s="26" t="s">
        <v>2771</v>
      </c>
      <c r="C580" s="26" t="s">
        <v>2772</v>
      </c>
      <c r="D580" s="116">
        <v>32</v>
      </c>
      <c r="E580" s="122" t="s">
        <v>33</v>
      </c>
      <c r="F580" s="119" t="s">
        <v>115</v>
      </c>
      <c r="G580" s="27">
        <v>45797</v>
      </c>
      <c r="H580" s="26" t="s">
        <v>2773</v>
      </c>
      <c r="I580" s="113" t="s">
        <v>12400</v>
      </c>
      <c r="J580" s="113" t="s">
        <v>12401</v>
      </c>
    </row>
    <row r="581" spans="1:10" ht="20" customHeight="1" thickBot="1">
      <c r="A581" s="28" t="s">
        <v>2776</v>
      </c>
      <c r="B581" s="28" t="s">
        <v>2776</v>
      </c>
      <c r="C581" s="28" t="s">
        <v>2777</v>
      </c>
      <c r="D581" s="117">
        <v>27</v>
      </c>
      <c r="E581" s="122" t="s">
        <v>31</v>
      </c>
      <c r="F581" s="120" t="s">
        <v>63</v>
      </c>
      <c r="G581" s="29">
        <v>42807</v>
      </c>
      <c r="H581" s="28" t="s">
        <v>2778</v>
      </c>
      <c r="I581" s="114" t="s">
        <v>12400</v>
      </c>
      <c r="J581" s="114" t="s">
        <v>12401</v>
      </c>
    </row>
    <row r="582" spans="1:10" ht="20" customHeight="1" thickBot="1">
      <c r="A582" s="26" t="s">
        <v>2781</v>
      </c>
      <c r="B582" s="26" t="s">
        <v>2781</v>
      </c>
      <c r="C582" s="26" t="s">
        <v>2782</v>
      </c>
      <c r="D582" s="116">
        <v>28</v>
      </c>
      <c r="E582" s="122" t="s">
        <v>33</v>
      </c>
      <c r="F582" s="119" t="s">
        <v>63</v>
      </c>
      <c r="G582" s="27">
        <v>45895</v>
      </c>
      <c r="H582" s="26" t="s">
        <v>2783</v>
      </c>
      <c r="I582" s="113" t="s">
        <v>12400</v>
      </c>
      <c r="J582" s="113" t="s">
        <v>12401</v>
      </c>
    </row>
    <row r="583" spans="1:10" ht="20" customHeight="1" thickBot="1">
      <c r="A583" s="28" t="s">
        <v>2786</v>
      </c>
      <c r="B583" s="28" t="s">
        <v>2786</v>
      </c>
      <c r="C583" s="28" t="s">
        <v>1570</v>
      </c>
      <c r="D583" s="117">
        <v>11</v>
      </c>
      <c r="E583" s="122" t="s">
        <v>34</v>
      </c>
      <c r="F583" s="120" t="s">
        <v>57</v>
      </c>
      <c r="G583" s="29">
        <v>44198</v>
      </c>
      <c r="H583" s="28" t="s">
        <v>2787</v>
      </c>
      <c r="I583" s="114" t="s">
        <v>12400</v>
      </c>
      <c r="J583" s="114" t="s">
        <v>12401</v>
      </c>
    </row>
    <row r="584" spans="1:10" ht="20" customHeight="1" thickBot="1">
      <c r="A584" s="26" t="s">
        <v>2790</v>
      </c>
      <c r="B584" s="26" t="s">
        <v>2790</v>
      </c>
      <c r="C584" s="26" t="s">
        <v>935</v>
      </c>
      <c r="D584" s="116">
        <v>20</v>
      </c>
      <c r="E584" s="122" t="s">
        <v>34</v>
      </c>
      <c r="F584" s="119" t="s">
        <v>57</v>
      </c>
      <c r="G584" s="27">
        <v>44311</v>
      </c>
      <c r="H584" s="26" t="s">
        <v>2791</v>
      </c>
      <c r="I584" s="113" t="s">
        <v>12400</v>
      </c>
      <c r="J584" s="113" t="s">
        <v>12401</v>
      </c>
    </row>
    <row r="585" spans="1:10" ht="20" customHeight="1" thickBot="1">
      <c r="A585" s="28" t="s">
        <v>2794</v>
      </c>
      <c r="B585" s="28" t="s">
        <v>2794</v>
      </c>
      <c r="C585" s="28" t="s">
        <v>2554</v>
      </c>
      <c r="D585" s="117">
        <v>14</v>
      </c>
      <c r="E585" s="122" t="s">
        <v>36</v>
      </c>
      <c r="F585" s="120" t="s">
        <v>57</v>
      </c>
      <c r="G585" s="29">
        <v>45723</v>
      </c>
      <c r="H585" s="28" t="s">
        <v>2795</v>
      </c>
      <c r="I585" s="114" t="s">
        <v>12400</v>
      </c>
      <c r="J585" s="114" t="s">
        <v>12401</v>
      </c>
    </row>
    <row r="586" spans="1:10" ht="20" customHeight="1" thickBot="1">
      <c r="A586" s="26" t="s">
        <v>2798</v>
      </c>
      <c r="B586" s="26" t="s">
        <v>2798</v>
      </c>
      <c r="C586" s="26" t="s">
        <v>2245</v>
      </c>
      <c r="D586" s="116">
        <v>10</v>
      </c>
      <c r="E586" s="122" t="s">
        <v>33</v>
      </c>
      <c r="F586" s="119" t="s">
        <v>63</v>
      </c>
      <c r="G586" s="27">
        <v>44831</v>
      </c>
      <c r="H586" s="26" t="s">
        <v>2799</v>
      </c>
      <c r="I586" s="113" t="s">
        <v>12400</v>
      </c>
      <c r="J586" s="113" t="s">
        <v>12401</v>
      </c>
    </row>
    <row r="587" spans="1:10" ht="20" customHeight="1" thickBot="1">
      <c r="A587" s="28" t="s">
        <v>2802</v>
      </c>
      <c r="B587" s="28" t="s">
        <v>2802</v>
      </c>
      <c r="C587" s="28" t="s">
        <v>2245</v>
      </c>
      <c r="D587" s="117">
        <v>9</v>
      </c>
      <c r="E587" s="122" t="s">
        <v>33</v>
      </c>
      <c r="F587" s="120" t="s">
        <v>63</v>
      </c>
      <c r="G587" s="29">
        <v>44982</v>
      </c>
      <c r="H587" s="28" t="s">
        <v>2803</v>
      </c>
      <c r="I587" s="114" t="s">
        <v>12400</v>
      </c>
      <c r="J587" s="114" t="s">
        <v>12401</v>
      </c>
    </row>
    <row r="588" spans="1:10" ht="20" customHeight="1" thickBot="1">
      <c r="A588" s="26" t="s">
        <v>2806</v>
      </c>
      <c r="B588" s="26" t="s">
        <v>2806</v>
      </c>
      <c r="C588" s="26" t="s">
        <v>2245</v>
      </c>
      <c r="D588" s="116">
        <v>19</v>
      </c>
      <c r="E588" s="122" t="s">
        <v>34</v>
      </c>
      <c r="F588" s="119" t="s">
        <v>115</v>
      </c>
      <c r="G588" s="27">
        <v>45141</v>
      </c>
      <c r="H588" s="26" t="s">
        <v>2807</v>
      </c>
      <c r="I588" s="113" t="s">
        <v>12400</v>
      </c>
      <c r="J588" s="113" t="s">
        <v>12401</v>
      </c>
    </row>
    <row r="589" spans="1:10" ht="20" customHeight="1" thickBot="1">
      <c r="A589" s="28" t="s">
        <v>2810</v>
      </c>
      <c r="B589" s="28" t="s">
        <v>2810</v>
      </c>
      <c r="C589" s="28" t="s">
        <v>2245</v>
      </c>
      <c r="D589" s="117">
        <v>42</v>
      </c>
      <c r="E589" s="122" t="s">
        <v>34</v>
      </c>
      <c r="F589" s="120" t="s">
        <v>115</v>
      </c>
      <c r="G589" s="29">
        <v>45607</v>
      </c>
      <c r="H589" s="28" t="s">
        <v>2811</v>
      </c>
      <c r="I589" s="114" t="s">
        <v>12400</v>
      </c>
      <c r="J589" s="114" t="s">
        <v>12401</v>
      </c>
    </row>
    <row r="590" spans="1:10" ht="20" customHeight="1" thickBot="1">
      <c r="A590" s="26" t="s">
        <v>2814</v>
      </c>
      <c r="B590" s="26" t="s">
        <v>2814</v>
      </c>
      <c r="C590" s="26" t="s">
        <v>2245</v>
      </c>
      <c r="D590" s="116">
        <v>18</v>
      </c>
      <c r="E590" s="122" t="s">
        <v>33</v>
      </c>
      <c r="F590" s="119" t="s">
        <v>63</v>
      </c>
      <c r="G590" s="27">
        <v>45939</v>
      </c>
      <c r="H590" s="26" t="s">
        <v>2815</v>
      </c>
      <c r="I590" s="113" t="s">
        <v>12400</v>
      </c>
      <c r="J590" s="113" t="s">
        <v>12401</v>
      </c>
    </row>
    <row r="591" spans="1:10" ht="20" customHeight="1" thickBot="1">
      <c r="A591" s="28" t="s">
        <v>2818</v>
      </c>
      <c r="B591" s="28" t="s">
        <v>2818</v>
      </c>
      <c r="C591" s="28" t="s">
        <v>322</v>
      </c>
      <c r="D591" s="117">
        <v>6</v>
      </c>
      <c r="E591" s="122" t="s">
        <v>31</v>
      </c>
      <c r="F591" s="120" t="s">
        <v>63</v>
      </c>
      <c r="G591" s="29">
        <v>41781</v>
      </c>
      <c r="H591" s="28" t="s">
        <v>2819</v>
      </c>
      <c r="I591" s="114" t="s">
        <v>12400</v>
      </c>
      <c r="J591" s="114" t="s">
        <v>12401</v>
      </c>
    </row>
    <row r="592" spans="1:10" ht="20" customHeight="1" thickBot="1">
      <c r="A592" s="26" t="s">
        <v>2822</v>
      </c>
      <c r="B592" s="26" t="s">
        <v>2822</v>
      </c>
      <c r="C592" s="26" t="s">
        <v>2823</v>
      </c>
      <c r="D592" s="116">
        <v>8</v>
      </c>
      <c r="E592" s="122" t="s">
        <v>27</v>
      </c>
      <c r="F592" s="119" t="s">
        <v>63</v>
      </c>
      <c r="G592" s="27">
        <v>41479</v>
      </c>
      <c r="H592" s="26" t="s">
        <v>2824</v>
      </c>
      <c r="I592" s="113" t="s">
        <v>12400</v>
      </c>
      <c r="J592" s="113" t="s">
        <v>12401</v>
      </c>
    </row>
    <row r="593" spans="1:10" ht="20" customHeight="1" thickBot="1">
      <c r="A593" s="28" t="s">
        <v>2827</v>
      </c>
      <c r="B593" s="28" t="s">
        <v>2827</v>
      </c>
      <c r="C593" s="28" t="s">
        <v>2828</v>
      </c>
      <c r="D593" s="117">
        <v>1</v>
      </c>
      <c r="E593" s="122" t="s">
        <v>31</v>
      </c>
      <c r="F593" s="120" t="s">
        <v>571</v>
      </c>
      <c r="G593" s="29">
        <v>43054</v>
      </c>
      <c r="H593" s="28" t="s">
        <v>2829</v>
      </c>
      <c r="I593" s="114" t="s">
        <v>12400</v>
      </c>
      <c r="J593" s="114" t="s">
        <v>12401</v>
      </c>
    </row>
    <row r="594" spans="1:10" ht="20" customHeight="1" thickBot="1">
      <c r="A594" s="26" t="s">
        <v>2832</v>
      </c>
      <c r="B594" s="26" t="s">
        <v>2832</v>
      </c>
      <c r="C594" s="26" t="s">
        <v>2833</v>
      </c>
      <c r="D594" s="116">
        <v>21</v>
      </c>
      <c r="E594" s="122" t="s">
        <v>35</v>
      </c>
      <c r="F594" s="119" t="s">
        <v>57</v>
      </c>
      <c r="G594" s="27">
        <v>43198</v>
      </c>
      <c r="H594" s="26" t="s">
        <v>2834</v>
      </c>
      <c r="I594" s="113" t="s">
        <v>12400</v>
      </c>
      <c r="J594" s="113" t="s">
        <v>12401</v>
      </c>
    </row>
    <row r="595" spans="1:10" ht="20" customHeight="1" thickBot="1">
      <c r="A595" s="28" t="s">
        <v>2837</v>
      </c>
      <c r="B595" s="28" t="s">
        <v>2837</v>
      </c>
      <c r="C595" s="28" t="s">
        <v>2833</v>
      </c>
      <c r="D595" s="117">
        <v>23</v>
      </c>
      <c r="E595" s="122" t="s">
        <v>35</v>
      </c>
      <c r="F595" s="120" t="s">
        <v>57</v>
      </c>
      <c r="G595" s="29">
        <v>43559</v>
      </c>
      <c r="H595" s="28" t="s">
        <v>2838</v>
      </c>
      <c r="I595" s="114" t="s">
        <v>12400</v>
      </c>
      <c r="J595" s="114" t="s">
        <v>12401</v>
      </c>
    </row>
    <row r="596" spans="1:10" ht="20" customHeight="1" thickBot="1">
      <c r="A596" s="26" t="s">
        <v>2841</v>
      </c>
      <c r="B596" s="26" t="s">
        <v>2841</v>
      </c>
      <c r="C596" s="26" t="s">
        <v>2833</v>
      </c>
      <c r="D596" s="116">
        <v>41</v>
      </c>
      <c r="E596" s="122" t="s">
        <v>37</v>
      </c>
      <c r="F596" s="119" t="s">
        <v>57</v>
      </c>
      <c r="G596" s="27">
        <v>45247</v>
      </c>
      <c r="H596" s="26" t="s">
        <v>2842</v>
      </c>
      <c r="I596" s="113" t="s">
        <v>12400</v>
      </c>
      <c r="J596" s="113" t="s">
        <v>12401</v>
      </c>
    </row>
    <row r="597" spans="1:10" ht="20" customHeight="1" thickBot="1">
      <c r="A597" s="28" t="s">
        <v>2845</v>
      </c>
      <c r="B597" s="28" t="s">
        <v>2845</v>
      </c>
      <c r="C597" s="28" t="s">
        <v>2846</v>
      </c>
      <c r="D597" s="117">
        <v>6</v>
      </c>
      <c r="E597" s="122" t="s">
        <v>31</v>
      </c>
      <c r="F597" s="120" t="s">
        <v>57</v>
      </c>
      <c r="G597" s="29">
        <v>44044</v>
      </c>
      <c r="H597" s="28" t="s">
        <v>2847</v>
      </c>
      <c r="I597" s="114" t="s">
        <v>12400</v>
      </c>
      <c r="J597" s="114" t="s">
        <v>12401</v>
      </c>
    </row>
    <row r="598" spans="1:10" ht="20" customHeight="1" thickBot="1">
      <c r="A598" s="26" t="s">
        <v>2850</v>
      </c>
      <c r="B598" s="26" t="s">
        <v>2850</v>
      </c>
      <c r="C598" s="26" t="s">
        <v>2851</v>
      </c>
      <c r="D598" s="116">
        <v>13</v>
      </c>
      <c r="E598" s="122" t="s">
        <v>27</v>
      </c>
      <c r="F598" s="119" t="s">
        <v>63</v>
      </c>
      <c r="G598" s="27">
        <v>41626</v>
      </c>
      <c r="H598" s="26" t="s">
        <v>2852</v>
      </c>
      <c r="I598" s="113" t="s">
        <v>12400</v>
      </c>
      <c r="J598" s="113" t="s">
        <v>12401</v>
      </c>
    </row>
    <row r="599" spans="1:10" ht="20" customHeight="1" thickBot="1">
      <c r="A599" s="28" t="s">
        <v>2855</v>
      </c>
      <c r="B599" s="28" t="s">
        <v>2855</v>
      </c>
      <c r="C599" s="28" t="s">
        <v>2856</v>
      </c>
      <c r="D599" s="117">
        <v>16</v>
      </c>
      <c r="E599" s="122" t="s">
        <v>34</v>
      </c>
      <c r="F599" s="120" t="s">
        <v>57</v>
      </c>
      <c r="G599" s="29">
        <v>45741</v>
      </c>
      <c r="H599" s="28" t="s">
        <v>2857</v>
      </c>
      <c r="I599" s="114" t="s">
        <v>12400</v>
      </c>
      <c r="J599" s="114" t="s">
        <v>12401</v>
      </c>
    </row>
    <row r="600" spans="1:10" ht="20" customHeight="1" thickBot="1">
      <c r="A600" s="26" t="s">
        <v>2860</v>
      </c>
      <c r="B600" s="26" t="s">
        <v>2860</v>
      </c>
      <c r="C600" s="26" t="s">
        <v>1097</v>
      </c>
      <c r="D600" s="116">
        <v>3</v>
      </c>
      <c r="E600" s="122" t="s">
        <v>36</v>
      </c>
      <c r="F600" s="119" t="s">
        <v>571</v>
      </c>
      <c r="G600" s="27">
        <v>45386</v>
      </c>
      <c r="H600" s="26" t="s">
        <v>2861</v>
      </c>
      <c r="I600" s="113" t="s">
        <v>12400</v>
      </c>
      <c r="J600" s="113" t="s">
        <v>12401</v>
      </c>
    </row>
    <row r="601" spans="1:10" ht="20" customHeight="1" thickBot="1">
      <c r="A601" s="28" t="s">
        <v>2864</v>
      </c>
      <c r="B601" s="28" t="s">
        <v>2864</v>
      </c>
      <c r="C601" s="28" t="s">
        <v>2865</v>
      </c>
      <c r="D601" s="117">
        <v>15</v>
      </c>
      <c r="E601" s="122" t="s">
        <v>29</v>
      </c>
      <c r="F601" s="120" t="s">
        <v>63</v>
      </c>
      <c r="G601" s="29">
        <v>42010</v>
      </c>
      <c r="H601" s="28" t="s">
        <v>2866</v>
      </c>
      <c r="I601" s="114" t="s">
        <v>12400</v>
      </c>
      <c r="J601" s="114" t="s">
        <v>12401</v>
      </c>
    </row>
    <row r="602" spans="1:10" ht="20" customHeight="1" thickBot="1">
      <c r="A602" s="26" t="s">
        <v>2869</v>
      </c>
      <c r="B602" s="26" t="s">
        <v>2869</v>
      </c>
      <c r="C602" s="26" t="s">
        <v>2290</v>
      </c>
      <c r="D602" s="116">
        <v>21</v>
      </c>
      <c r="E602" s="122" t="s">
        <v>33</v>
      </c>
      <c r="F602" s="119" t="s">
        <v>57</v>
      </c>
      <c r="G602" s="27">
        <v>46035</v>
      </c>
      <c r="H602" s="26" t="s">
        <v>2870</v>
      </c>
      <c r="I602" s="113" t="s">
        <v>12400</v>
      </c>
      <c r="J602" s="113" t="s">
        <v>12401</v>
      </c>
    </row>
    <row r="603" spans="1:10" ht="20" customHeight="1" thickBot="1">
      <c r="A603" s="28" t="s">
        <v>2873</v>
      </c>
      <c r="B603" s="28" t="s">
        <v>2873</v>
      </c>
      <c r="C603" s="28" t="s">
        <v>2874</v>
      </c>
      <c r="D603" s="117">
        <v>34</v>
      </c>
      <c r="E603" s="122" t="s">
        <v>33</v>
      </c>
      <c r="F603" s="120" t="s">
        <v>63</v>
      </c>
      <c r="G603" s="29">
        <v>44082</v>
      </c>
      <c r="H603" s="28" t="s">
        <v>2875</v>
      </c>
      <c r="I603" s="114" t="s">
        <v>12400</v>
      </c>
      <c r="J603" s="114" t="s">
        <v>12401</v>
      </c>
    </row>
    <row r="604" spans="1:10" ht="20" customHeight="1" thickBot="1">
      <c r="A604" s="26" t="s">
        <v>2878</v>
      </c>
      <c r="B604" s="26" t="s">
        <v>2878</v>
      </c>
      <c r="C604" s="26" t="s">
        <v>2879</v>
      </c>
      <c r="D604" s="116">
        <v>15</v>
      </c>
      <c r="E604" s="122" t="s">
        <v>34</v>
      </c>
      <c r="F604" s="119" t="s">
        <v>57</v>
      </c>
      <c r="G604" s="27">
        <v>45117</v>
      </c>
      <c r="H604" s="26" t="s">
        <v>2880</v>
      </c>
      <c r="I604" s="113" t="s">
        <v>12400</v>
      </c>
      <c r="J604" s="113" t="s">
        <v>12401</v>
      </c>
    </row>
    <row r="605" spans="1:10" ht="20" customHeight="1" thickBot="1">
      <c r="A605" s="28" t="s">
        <v>2883</v>
      </c>
      <c r="B605" s="28" t="s">
        <v>2883</v>
      </c>
      <c r="C605" s="28" t="s">
        <v>1069</v>
      </c>
      <c r="D605" s="117">
        <v>10</v>
      </c>
      <c r="E605" s="122" t="s">
        <v>33</v>
      </c>
      <c r="F605" s="120" t="s">
        <v>57</v>
      </c>
      <c r="G605" s="29">
        <v>44843</v>
      </c>
      <c r="H605" s="28" t="s">
        <v>2884</v>
      </c>
      <c r="I605" s="114" t="s">
        <v>12400</v>
      </c>
      <c r="J605" s="114" t="s">
        <v>12401</v>
      </c>
    </row>
    <row r="606" spans="1:10" ht="20" customHeight="1" thickBot="1">
      <c r="A606" s="26" t="s">
        <v>2887</v>
      </c>
      <c r="B606" s="26" t="s">
        <v>2887</v>
      </c>
      <c r="C606" s="26" t="s">
        <v>2888</v>
      </c>
      <c r="D606" s="116">
        <v>19</v>
      </c>
      <c r="E606" s="122" t="s">
        <v>34</v>
      </c>
      <c r="F606" s="119" t="s">
        <v>57</v>
      </c>
      <c r="G606" s="27">
        <v>44711</v>
      </c>
      <c r="H606" s="26" t="s">
        <v>2889</v>
      </c>
      <c r="I606" s="113" t="s">
        <v>12400</v>
      </c>
      <c r="J606" s="113" t="s">
        <v>12401</v>
      </c>
    </row>
    <row r="607" spans="1:10" ht="20" customHeight="1" thickBot="1">
      <c r="A607" s="28" t="s">
        <v>2892</v>
      </c>
      <c r="B607" s="28" t="s">
        <v>2892</v>
      </c>
      <c r="C607" s="28" t="s">
        <v>452</v>
      </c>
      <c r="D607" s="117">
        <v>1</v>
      </c>
      <c r="E607" s="122" t="s">
        <v>33</v>
      </c>
      <c r="F607" s="120" t="s">
        <v>57</v>
      </c>
      <c r="G607" s="29">
        <v>44543</v>
      </c>
      <c r="H607" s="28" t="s">
        <v>2893</v>
      </c>
      <c r="I607" s="114" t="s">
        <v>12400</v>
      </c>
      <c r="J607" s="114" t="s">
        <v>12401</v>
      </c>
    </row>
    <row r="608" spans="1:10" ht="20" customHeight="1" thickBot="1">
      <c r="A608" s="26" t="s">
        <v>2896</v>
      </c>
      <c r="B608" s="26" t="s">
        <v>2896</v>
      </c>
      <c r="C608" s="26" t="s">
        <v>83</v>
      </c>
      <c r="D608" s="116">
        <v>16</v>
      </c>
      <c r="E608" s="122" t="s">
        <v>33</v>
      </c>
      <c r="F608" s="119" t="s">
        <v>57</v>
      </c>
      <c r="G608" s="27">
        <v>45791</v>
      </c>
      <c r="H608" s="26" t="s">
        <v>2897</v>
      </c>
      <c r="I608" s="113" t="s">
        <v>12400</v>
      </c>
      <c r="J608" s="113" t="s">
        <v>12401</v>
      </c>
    </row>
    <row r="609" spans="1:10" ht="20" customHeight="1" thickBot="1">
      <c r="A609" s="28" t="s">
        <v>2900</v>
      </c>
      <c r="B609" s="28" t="s">
        <v>2900</v>
      </c>
      <c r="C609" s="28" t="s">
        <v>2901</v>
      </c>
      <c r="D609" s="117">
        <v>43</v>
      </c>
      <c r="E609" s="122" t="s">
        <v>31</v>
      </c>
      <c r="F609" s="120" t="s">
        <v>63</v>
      </c>
      <c r="G609" s="29">
        <v>42297</v>
      </c>
      <c r="H609" s="28" t="s">
        <v>2902</v>
      </c>
      <c r="I609" s="114" t="s">
        <v>12400</v>
      </c>
      <c r="J609" s="114" t="s">
        <v>12401</v>
      </c>
    </row>
    <row r="610" spans="1:10" ht="20" customHeight="1" thickBot="1">
      <c r="A610" s="26" t="s">
        <v>2905</v>
      </c>
      <c r="B610" s="26" t="s">
        <v>2905</v>
      </c>
      <c r="C610" s="26" t="s">
        <v>2906</v>
      </c>
      <c r="D610" s="116">
        <v>53</v>
      </c>
      <c r="E610" s="122" t="s">
        <v>31</v>
      </c>
      <c r="F610" s="119" t="s">
        <v>63</v>
      </c>
      <c r="G610" s="27">
        <v>42291</v>
      </c>
      <c r="H610" s="26" t="s">
        <v>2907</v>
      </c>
      <c r="I610" s="113" t="s">
        <v>12400</v>
      </c>
      <c r="J610" s="113" t="s">
        <v>12401</v>
      </c>
    </row>
    <row r="611" spans="1:10" ht="20" customHeight="1" thickBot="1">
      <c r="A611" s="28" t="s">
        <v>2910</v>
      </c>
      <c r="B611" s="28" t="s">
        <v>2910</v>
      </c>
      <c r="C611" s="28" t="s">
        <v>1129</v>
      </c>
      <c r="D611" s="117">
        <v>9</v>
      </c>
      <c r="E611" s="122" t="s">
        <v>29</v>
      </c>
      <c r="F611" s="120" t="s">
        <v>63</v>
      </c>
      <c r="G611" s="29">
        <v>41539</v>
      </c>
      <c r="H611" s="28" t="s">
        <v>2911</v>
      </c>
      <c r="I611" s="114" t="s">
        <v>12400</v>
      </c>
      <c r="J611" s="114" t="s">
        <v>12401</v>
      </c>
    </row>
    <row r="612" spans="1:10" ht="20" customHeight="1" thickBot="1">
      <c r="A612" s="26" t="s">
        <v>2914</v>
      </c>
      <c r="B612" s="26" t="s">
        <v>2914</v>
      </c>
      <c r="C612" s="26" t="s">
        <v>1129</v>
      </c>
      <c r="D612" s="116">
        <v>9</v>
      </c>
      <c r="E612" s="122" t="s">
        <v>31</v>
      </c>
      <c r="F612" s="119" t="s">
        <v>63</v>
      </c>
      <c r="G612" s="27">
        <v>44215</v>
      </c>
      <c r="H612" s="26" t="s">
        <v>2915</v>
      </c>
      <c r="I612" s="113" t="s">
        <v>12400</v>
      </c>
      <c r="J612" s="113" t="s">
        <v>12401</v>
      </c>
    </row>
    <row r="613" spans="1:10" ht="20" customHeight="1" thickBot="1">
      <c r="A613" s="28" t="s">
        <v>2918</v>
      </c>
      <c r="B613" s="28" t="s">
        <v>2918</v>
      </c>
      <c r="C613" s="28" t="s">
        <v>1129</v>
      </c>
      <c r="D613" s="117">
        <v>7</v>
      </c>
      <c r="E613" s="122" t="s">
        <v>29</v>
      </c>
      <c r="F613" s="120" t="s">
        <v>63</v>
      </c>
      <c r="G613" s="29">
        <v>45295</v>
      </c>
      <c r="H613" s="28" t="s">
        <v>2919</v>
      </c>
      <c r="I613" s="114" t="s">
        <v>12400</v>
      </c>
      <c r="J613" s="114" t="s">
        <v>12401</v>
      </c>
    </row>
    <row r="614" spans="1:10" ht="20" customHeight="1" thickBot="1">
      <c r="A614" s="26" t="s">
        <v>2922</v>
      </c>
      <c r="B614" s="26" t="s">
        <v>2922</v>
      </c>
      <c r="C614" s="26" t="s">
        <v>1129</v>
      </c>
      <c r="D614" s="116">
        <v>7</v>
      </c>
      <c r="E614" s="122" t="s">
        <v>33</v>
      </c>
      <c r="F614" s="119" t="s">
        <v>63</v>
      </c>
      <c r="G614" s="27">
        <v>44148</v>
      </c>
      <c r="H614" s="26" t="s">
        <v>2923</v>
      </c>
      <c r="I614" s="113" t="s">
        <v>12400</v>
      </c>
      <c r="J614" s="113" t="s">
        <v>12401</v>
      </c>
    </row>
    <row r="615" spans="1:10" ht="20" customHeight="1" thickBot="1">
      <c r="A615" s="28" t="s">
        <v>2926</v>
      </c>
      <c r="B615" s="28" t="s">
        <v>2926</v>
      </c>
      <c r="C615" s="28" t="s">
        <v>1129</v>
      </c>
      <c r="D615" s="117">
        <v>5</v>
      </c>
      <c r="E615" s="122" t="s">
        <v>31</v>
      </c>
      <c r="F615" s="120" t="s">
        <v>63</v>
      </c>
      <c r="G615" s="29">
        <v>45608</v>
      </c>
      <c r="H615" s="28" t="s">
        <v>2927</v>
      </c>
      <c r="I615" s="114" t="s">
        <v>12400</v>
      </c>
      <c r="J615" s="114" t="s">
        <v>12401</v>
      </c>
    </row>
    <row r="616" spans="1:10" ht="20" customHeight="1" thickBot="1">
      <c r="A616" s="26" t="s">
        <v>2930</v>
      </c>
      <c r="B616" s="26" t="s">
        <v>2930</v>
      </c>
      <c r="C616" s="26" t="s">
        <v>1129</v>
      </c>
      <c r="D616" s="116">
        <v>12</v>
      </c>
      <c r="E616" s="122" t="s">
        <v>31</v>
      </c>
      <c r="F616" s="119" t="s">
        <v>63</v>
      </c>
      <c r="G616" s="27">
        <v>45834</v>
      </c>
      <c r="H616" s="26" t="s">
        <v>2931</v>
      </c>
      <c r="I616" s="113" t="s">
        <v>12400</v>
      </c>
      <c r="J616" s="113" t="s">
        <v>12401</v>
      </c>
    </row>
    <row r="617" spans="1:10" ht="20" customHeight="1" thickBot="1">
      <c r="A617" s="28" t="s">
        <v>2934</v>
      </c>
      <c r="B617" s="28" t="s">
        <v>2934</v>
      </c>
      <c r="C617" s="28" t="s">
        <v>1129</v>
      </c>
      <c r="D617" s="117">
        <v>10</v>
      </c>
      <c r="E617" s="122" t="s">
        <v>31</v>
      </c>
      <c r="F617" s="120" t="s">
        <v>63</v>
      </c>
      <c r="G617" s="29">
        <v>44185</v>
      </c>
      <c r="H617" s="28" t="s">
        <v>2935</v>
      </c>
      <c r="I617" s="114" t="s">
        <v>12400</v>
      </c>
      <c r="J617" s="114" t="s">
        <v>12401</v>
      </c>
    </row>
    <row r="618" spans="1:10" ht="20" customHeight="1" thickBot="1">
      <c r="A618" s="26" t="s">
        <v>2938</v>
      </c>
      <c r="B618" s="26" t="s">
        <v>2938</v>
      </c>
      <c r="C618" s="26" t="s">
        <v>1129</v>
      </c>
      <c r="D618" s="116">
        <v>10</v>
      </c>
      <c r="E618" s="122" t="s">
        <v>31</v>
      </c>
      <c r="F618" s="119" t="s">
        <v>63</v>
      </c>
      <c r="G618" s="27">
        <v>44169</v>
      </c>
      <c r="H618" s="26" t="s">
        <v>2939</v>
      </c>
      <c r="I618" s="113" t="s">
        <v>12400</v>
      </c>
      <c r="J618" s="113" t="s">
        <v>12401</v>
      </c>
    </row>
    <row r="619" spans="1:10" ht="20" customHeight="1" thickBot="1">
      <c r="A619" s="28" t="s">
        <v>2942</v>
      </c>
      <c r="B619" s="28" t="s">
        <v>2942</v>
      </c>
      <c r="C619" s="28" t="s">
        <v>1129</v>
      </c>
      <c r="D619" s="117">
        <v>10</v>
      </c>
      <c r="E619" s="122" t="s">
        <v>31</v>
      </c>
      <c r="F619" s="120" t="s">
        <v>63</v>
      </c>
      <c r="G619" s="29">
        <v>44279</v>
      </c>
      <c r="H619" s="28" t="s">
        <v>2943</v>
      </c>
      <c r="I619" s="114" t="s">
        <v>12400</v>
      </c>
      <c r="J619" s="114" t="s">
        <v>12401</v>
      </c>
    </row>
    <row r="620" spans="1:10" ht="20" customHeight="1" thickBot="1">
      <c r="A620" s="26" t="s">
        <v>2946</v>
      </c>
      <c r="B620" s="26" t="s">
        <v>2946</v>
      </c>
      <c r="C620" s="26" t="s">
        <v>1129</v>
      </c>
      <c r="D620" s="116">
        <v>20</v>
      </c>
      <c r="E620" s="122" t="s">
        <v>31</v>
      </c>
      <c r="F620" s="119" t="s">
        <v>63</v>
      </c>
      <c r="G620" s="27">
        <v>41627</v>
      </c>
      <c r="H620" s="26" t="s">
        <v>2947</v>
      </c>
      <c r="I620" s="113" t="s">
        <v>12400</v>
      </c>
      <c r="J620" s="113" t="s">
        <v>12401</v>
      </c>
    </row>
    <row r="621" spans="1:10" ht="20" customHeight="1" thickBot="1">
      <c r="A621" s="28" t="s">
        <v>2950</v>
      </c>
      <c r="B621" s="28" t="s">
        <v>2950</v>
      </c>
      <c r="C621" s="28" t="s">
        <v>1129</v>
      </c>
      <c r="D621" s="117">
        <v>6</v>
      </c>
      <c r="E621" s="122" t="s">
        <v>31</v>
      </c>
      <c r="F621" s="120" t="s">
        <v>63</v>
      </c>
      <c r="G621" s="29">
        <v>46143</v>
      </c>
      <c r="H621" s="28" t="s">
        <v>2951</v>
      </c>
      <c r="I621" s="114" t="s">
        <v>12400</v>
      </c>
      <c r="J621" s="114" t="s">
        <v>12401</v>
      </c>
    </row>
    <row r="622" spans="1:10" ht="20" customHeight="1" thickBot="1">
      <c r="A622" s="26" t="s">
        <v>2954</v>
      </c>
      <c r="B622" s="26" t="s">
        <v>2954</v>
      </c>
      <c r="C622" s="26" t="s">
        <v>1129</v>
      </c>
      <c r="D622" s="116">
        <v>15</v>
      </c>
      <c r="E622" s="122" t="s">
        <v>29</v>
      </c>
      <c r="F622" s="119" t="s">
        <v>63</v>
      </c>
      <c r="G622" s="27">
        <v>42178</v>
      </c>
      <c r="H622" s="26" t="s">
        <v>2955</v>
      </c>
      <c r="I622" s="113" t="s">
        <v>12400</v>
      </c>
      <c r="J622" s="113" t="s">
        <v>12401</v>
      </c>
    </row>
    <row r="623" spans="1:10" ht="20" customHeight="1" thickBot="1">
      <c r="A623" s="28" t="s">
        <v>2958</v>
      </c>
      <c r="B623" s="28" t="s">
        <v>2958</v>
      </c>
      <c r="C623" s="28" t="s">
        <v>1129</v>
      </c>
      <c r="D623" s="117">
        <v>11</v>
      </c>
      <c r="E623" s="122" t="s">
        <v>29</v>
      </c>
      <c r="F623" s="120" t="s">
        <v>63</v>
      </c>
      <c r="G623" s="29">
        <v>42952</v>
      </c>
      <c r="H623" s="28" t="s">
        <v>2959</v>
      </c>
      <c r="I623" s="114" t="s">
        <v>12400</v>
      </c>
      <c r="J623" s="114" t="s">
        <v>12401</v>
      </c>
    </row>
    <row r="624" spans="1:10" ht="20" customHeight="1" thickBot="1">
      <c r="A624" s="26" t="s">
        <v>2962</v>
      </c>
      <c r="B624" s="26" t="s">
        <v>2962</v>
      </c>
      <c r="C624" s="26" t="s">
        <v>1129</v>
      </c>
      <c r="D624" s="116">
        <v>14</v>
      </c>
      <c r="E624" s="122" t="s">
        <v>29</v>
      </c>
      <c r="F624" s="119" t="s">
        <v>63</v>
      </c>
      <c r="G624" s="27">
        <v>43561</v>
      </c>
      <c r="H624" s="26" t="s">
        <v>2963</v>
      </c>
      <c r="I624" s="113" t="s">
        <v>12400</v>
      </c>
      <c r="J624" s="113" t="s">
        <v>12401</v>
      </c>
    </row>
    <row r="625" spans="1:10" ht="20" customHeight="1" thickBot="1">
      <c r="A625" s="28" t="s">
        <v>2966</v>
      </c>
      <c r="B625" s="28" t="s">
        <v>2966</v>
      </c>
      <c r="C625" s="28" t="s">
        <v>1129</v>
      </c>
      <c r="D625" s="117">
        <v>11</v>
      </c>
      <c r="E625" s="122" t="s">
        <v>31</v>
      </c>
      <c r="F625" s="120" t="s">
        <v>63</v>
      </c>
      <c r="G625" s="29">
        <v>44170</v>
      </c>
      <c r="H625" s="28" t="s">
        <v>2967</v>
      </c>
      <c r="I625" s="114" t="s">
        <v>12400</v>
      </c>
      <c r="J625" s="114" t="s">
        <v>12401</v>
      </c>
    </row>
    <row r="626" spans="1:10" ht="20" customHeight="1" thickBot="1">
      <c r="A626" s="26" t="s">
        <v>2970</v>
      </c>
      <c r="B626" s="26" t="s">
        <v>2970</v>
      </c>
      <c r="C626" s="26" t="s">
        <v>1129</v>
      </c>
      <c r="D626" s="116">
        <v>10</v>
      </c>
      <c r="E626" s="122" t="s">
        <v>31</v>
      </c>
      <c r="F626" s="119" t="s">
        <v>63</v>
      </c>
      <c r="G626" s="27">
        <v>45386</v>
      </c>
      <c r="H626" s="26" t="s">
        <v>2971</v>
      </c>
      <c r="I626" s="113" t="s">
        <v>12400</v>
      </c>
      <c r="J626" s="113" t="s">
        <v>12401</v>
      </c>
    </row>
    <row r="627" spans="1:10" ht="20" customHeight="1" thickBot="1">
      <c r="A627" s="28" t="s">
        <v>2974</v>
      </c>
      <c r="B627" s="28" t="s">
        <v>2974</v>
      </c>
      <c r="C627" s="28" t="s">
        <v>1129</v>
      </c>
      <c r="D627" s="117">
        <v>10</v>
      </c>
      <c r="E627" s="122" t="s">
        <v>31</v>
      </c>
      <c r="F627" s="120" t="s">
        <v>63</v>
      </c>
      <c r="G627" s="29">
        <v>45917</v>
      </c>
      <c r="H627" s="28" t="s">
        <v>2975</v>
      </c>
      <c r="I627" s="114" t="s">
        <v>12400</v>
      </c>
      <c r="J627" s="114" t="s">
        <v>12401</v>
      </c>
    </row>
    <row r="628" spans="1:10" ht="20" customHeight="1" thickBot="1">
      <c r="A628" s="26" t="s">
        <v>2978</v>
      </c>
      <c r="B628" s="26" t="s">
        <v>2978</v>
      </c>
      <c r="C628" s="26" t="s">
        <v>2979</v>
      </c>
      <c r="D628" s="116">
        <v>7</v>
      </c>
      <c r="E628" s="122" t="s">
        <v>35</v>
      </c>
      <c r="F628" s="119" t="s">
        <v>57</v>
      </c>
      <c r="G628" s="27">
        <v>44187</v>
      </c>
      <c r="H628" s="26" t="s">
        <v>2980</v>
      </c>
      <c r="I628" s="113" t="s">
        <v>12400</v>
      </c>
      <c r="J628" s="113" t="s">
        <v>12401</v>
      </c>
    </row>
    <row r="629" spans="1:10" ht="20" customHeight="1" thickBot="1">
      <c r="A629" s="28" t="s">
        <v>2983</v>
      </c>
      <c r="B629" s="28" t="s">
        <v>2983</v>
      </c>
      <c r="C629" s="28" t="s">
        <v>1129</v>
      </c>
      <c r="D629" s="117">
        <v>27</v>
      </c>
      <c r="E629" s="122" t="s">
        <v>31</v>
      </c>
      <c r="F629" s="120" t="s">
        <v>115</v>
      </c>
      <c r="G629" s="29">
        <v>45732</v>
      </c>
      <c r="H629" s="28" t="s">
        <v>2984</v>
      </c>
      <c r="I629" s="114" t="s">
        <v>12400</v>
      </c>
      <c r="J629" s="114" t="s">
        <v>12401</v>
      </c>
    </row>
    <row r="630" spans="1:10" ht="20" customHeight="1" thickBot="1">
      <c r="A630" s="26" t="s">
        <v>2987</v>
      </c>
      <c r="B630" s="26" t="s">
        <v>2987</v>
      </c>
      <c r="C630" s="26" t="s">
        <v>1129</v>
      </c>
      <c r="D630" s="116">
        <v>20</v>
      </c>
      <c r="E630" s="122" t="s">
        <v>31</v>
      </c>
      <c r="F630" s="119" t="s">
        <v>57</v>
      </c>
      <c r="G630" s="27">
        <v>45739</v>
      </c>
      <c r="H630" s="26" t="s">
        <v>2988</v>
      </c>
      <c r="I630" s="113" t="s">
        <v>12400</v>
      </c>
      <c r="J630" s="113" t="s">
        <v>12401</v>
      </c>
    </row>
    <row r="631" spans="1:10" ht="20" customHeight="1" thickBot="1">
      <c r="A631" s="28" t="s">
        <v>2991</v>
      </c>
      <c r="B631" s="28" t="s">
        <v>2991</v>
      </c>
      <c r="C631" s="28" t="s">
        <v>2992</v>
      </c>
      <c r="D631" s="117">
        <v>1</v>
      </c>
      <c r="E631" s="122" t="s">
        <v>35</v>
      </c>
      <c r="F631" s="120" t="s">
        <v>57</v>
      </c>
      <c r="G631" s="29">
        <v>42938</v>
      </c>
      <c r="H631" s="28" t="s">
        <v>2993</v>
      </c>
      <c r="I631" s="114" t="s">
        <v>12400</v>
      </c>
      <c r="J631" s="114" t="s">
        <v>12401</v>
      </c>
    </row>
    <row r="632" spans="1:10" ht="20" customHeight="1" thickBot="1">
      <c r="A632" s="26" t="s">
        <v>2996</v>
      </c>
      <c r="B632" s="26" t="s">
        <v>2996</v>
      </c>
      <c r="C632" s="26" t="s">
        <v>2992</v>
      </c>
      <c r="D632" s="116">
        <v>1</v>
      </c>
      <c r="E632" s="122" t="s">
        <v>35</v>
      </c>
      <c r="F632" s="119" t="s">
        <v>57</v>
      </c>
      <c r="G632" s="27">
        <v>43287</v>
      </c>
      <c r="H632" s="26" t="s">
        <v>2997</v>
      </c>
      <c r="I632" s="113" t="s">
        <v>12400</v>
      </c>
      <c r="J632" s="113" t="s">
        <v>12401</v>
      </c>
    </row>
    <row r="633" spans="1:10" ht="20" customHeight="1" thickBot="1">
      <c r="A633" s="28" t="s">
        <v>3000</v>
      </c>
      <c r="B633" s="28" t="s">
        <v>3000</v>
      </c>
      <c r="C633" s="28" t="s">
        <v>812</v>
      </c>
      <c r="D633" s="117">
        <v>13</v>
      </c>
      <c r="E633" s="122" t="s">
        <v>34</v>
      </c>
      <c r="F633" s="120" t="s">
        <v>57</v>
      </c>
      <c r="G633" s="29">
        <v>45760</v>
      </c>
      <c r="H633" s="28" t="s">
        <v>3001</v>
      </c>
      <c r="I633" s="114" t="s">
        <v>12400</v>
      </c>
      <c r="J633" s="114" t="s">
        <v>12401</v>
      </c>
    </row>
    <row r="634" spans="1:10" ht="20" customHeight="1" thickBot="1">
      <c r="A634" s="26" t="s">
        <v>3004</v>
      </c>
      <c r="B634" s="26" t="s">
        <v>3004</v>
      </c>
      <c r="C634" s="26" t="s">
        <v>812</v>
      </c>
      <c r="D634" s="116">
        <v>23</v>
      </c>
      <c r="E634" s="122" t="s">
        <v>34</v>
      </c>
      <c r="F634" s="119" t="s">
        <v>57</v>
      </c>
      <c r="G634" s="27">
        <v>46087</v>
      </c>
      <c r="H634" s="26" t="s">
        <v>3005</v>
      </c>
      <c r="I634" s="113" t="s">
        <v>12400</v>
      </c>
      <c r="J634" s="113" t="s">
        <v>12401</v>
      </c>
    </row>
    <row r="635" spans="1:10" ht="20" customHeight="1" thickBot="1">
      <c r="A635" s="28" t="s">
        <v>3008</v>
      </c>
      <c r="B635" s="28" t="s">
        <v>3008</v>
      </c>
      <c r="C635" s="28" t="s">
        <v>3009</v>
      </c>
      <c r="D635" s="117">
        <v>5</v>
      </c>
      <c r="E635" s="122" t="s">
        <v>29</v>
      </c>
      <c r="F635" s="120" t="s">
        <v>63</v>
      </c>
      <c r="G635" s="29">
        <v>42213</v>
      </c>
      <c r="H635" s="28" t="s">
        <v>3010</v>
      </c>
      <c r="I635" s="114" t="s">
        <v>12400</v>
      </c>
      <c r="J635" s="114" t="s">
        <v>12401</v>
      </c>
    </row>
    <row r="636" spans="1:10" ht="20" customHeight="1" thickBot="1">
      <c r="A636" s="26" t="s">
        <v>3013</v>
      </c>
      <c r="B636" s="26" t="s">
        <v>3013</v>
      </c>
      <c r="C636" s="26" t="s">
        <v>3014</v>
      </c>
      <c r="D636" s="116">
        <v>14</v>
      </c>
      <c r="E636" s="122" t="s">
        <v>34</v>
      </c>
      <c r="F636" s="119" t="s">
        <v>57</v>
      </c>
      <c r="G636" s="27">
        <v>44606</v>
      </c>
      <c r="H636" s="26" t="s">
        <v>3015</v>
      </c>
      <c r="I636" s="113" t="s">
        <v>12400</v>
      </c>
      <c r="J636" s="113" t="s">
        <v>12401</v>
      </c>
    </row>
    <row r="637" spans="1:10" ht="20" customHeight="1" thickBot="1">
      <c r="A637" s="28" t="s">
        <v>3018</v>
      </c>
      <c r="B637" s="28" t="s">
        <v>3018</v>
      </c>
      <c r="C637" s="28" t="s">
        <v>1129</v>
      </c>
      <c r="D637" s="117">
        <v>7</v>
      </c>
      <c r="E637" s="122" t="s">
        <v>31</v>
      </c>
      <c r="F637" s="120" t="s">
        <v>63</v>
      </c>
      <c r="G637" s="29">
        <v>45825</v>
      </c>
      <c r="H637" s="28" t="s">
        <v>3019</v>
      </c>
      <c r="I637" s="114" t="s">
        <v>12400</v>
      </c>
      <c r="J637" s="114" t="s">
        <v>12401</v>
      </c>
    </row>
    <row r="638" spans="1:10" ht="20" customHeight="1" thickBot="1">
      <c r="A638" s="26" t="s">
        <v>3022</v>
      </c>
      <c r="B638" s="26" t="s">
        <v>3022</v>
      </c>
      <c r="C638" s="26" t="s">
        <v>3023</v>
      </c>
      <c r="D638" s="116">
        <v>3</v>
      </c>
      <c r="E638" s="122" t="s">
        <v>29</v>
      </c>
      <c r="F638" s="119" t="s">
        <v>63</v>
      </c>
      <c r="G638" s="27">
        <v>43871</v>
      </c>
      <c r="H638" s="26" t="s">
        <v>3024</v>
      </c>
      <c r="I638" s="113" t="s">
        <v>12400</v>
      </c>
      <c r="J638" s="113" t="s">
        <v>12401</v>
      </c>
    </row>
    <row r="639" spans="1:10" ht="20" customHeight="1" thickBot="1">
      <c r="A639" s="28" t="s">
        <v>3027</v>
      </c>
      <c r="B639" s="28" t="s">
        <v>3027</v>
      </c>
      <c r="C639" s="28" t="s">
        <v>3028</v>
      </c>
      <c r="D639" s="117">
        <v>8</v>
      </c>
      <c r="E639" s="122" t="s">
        <v>31</v>
      </c>
      <c r="F639" s="120" t="s">
        <v>57</v>
      </c>
      <c r="G639" s="29">
        <v>44489</v>
      </c>
      <c r="H639" s="28" t="s">
        <v>3029</v>
      </c>
      <c r="I639" s="114" t="s">
        <v>12400</v>
      </c>
      <c r="J639" s="114" t="s">
        <v>12401</v>
      </c>
    </row>
    <row r="640" spans="1:10" ht="20" customHeight="1" thickBot="1">
      <c r="A640" s="26" t="s">
        <v>3032</v>
      </c>
      <c r="B640" s="26" t="s">
        <v>3032</v>
      </c>
      <c r="C640" s="26" t="s">
        <v>243</v>
      </c>
      <c r="D640" s="116">
        <v>5</v>
      </c>
      <c r="E640" s="122" t="s">
        <v>33</v>
      </c>
      <c r="F640" s="119" t="s">
        <v>57</v>
      </c>
      <c r="G640" s="27">
        <v>46173</v>
      </c>
      <c r="H640" s="26" t="s">
        <v>3033</v>
      </c>
      <c r="I640" s="113" t="s">
        <v>12400</v>
      </c>
      <c r="J640" s="113" t="s">
        <v>12401</v>
      </c>
    </row>
    <row r="641" spans="1:10" ht="20" customHeight="1" thickBot="1">
      <c r="A641" s="28" t="s">
        <v>3036</v>
      </c>
      <c r="B641" s="28" t="s">
        <v>3036</v>
      </c>
      <c r="C641" s="28" t="s">
        <v>646</v>
      </c>
      <c r="D641" s="117">
        <v>23</v>
      </c>
      <c r="E641" s="122" t="s">
        <v>34</v>
      </c>
      <c r="F641" s="120" t="s">
        <v>57</v>
      </c>
      <c r="G641" s="29">
        <v>46062</v>
      </c>
      <c r="H641" s="28" t="s">
        <v>3037</v>
      </c>
      <c r="I641" s="114" t="s">
        <v>12400</v>
      </c>
      <c r="J641" s="114" t="s">
        <v>12401</v>
      </c>
    </row>
    <row r="642" spans="1:10" ht="20" customHeight="1" thickBot="1">
      <c r="A642" s="26" t="s">
        <v>3040</v>
      </c>
      <c r="B642" s="26" t="s">
        <v>3040</v>
      </c>
      <c r="C642" s="26" t="s">
        <v>646</v>
      </c>
      <c r="D642" s="116">
        <v>12</v>
      </c>
      <c r="E642" s="122" t="s">
        <v>34</v>
      </c>
      <c r="F642" s="119" t="s">
        <v>57</v>
      </c>
      <c r="G642" s="27">
        <v>44832</v>
      </c>
      <c r="H642" s="26" t="s">
        <v>3041</v>
      </c>
      <c r="I642" s="113" t="s">
        <v>12400</v>
      </c>
      <c r="J642" s="113" t="s">
        <v>12401</v>
      </c>
    </row>
    <row r="643" spans="1:10" ht="20" customHeight="1" thickBot="1">
      <c r="A643" s="28" t="s">
        <v>3044</v>
      </c>
      <c r="B643" s="28" t="s">
        <v>3044</v>
      </c>
      <c r="C643" s="28" t="s">
        <v>646</v>
      </c>
      <c r="D643" s="117">
        <v>11</v>
      </c>
      <c r="E643" s="122" t="s">
        <v>34</v>
      </c>
      <c r="F643" s="120" t="s">
        <v>57</v>
      </c>
      <c r="G643" s="29">
        <v>44916</v>
      </c>
      <c r="H643" s="28" t="s">
        <v>3045</v>
      </c>
      <c r="I643" s="114" t="s">
        <v>12400</v>
      </c>
      <c r="J643" s="114" t="s">
        <v>12401</v>
      </c>
    </row>
    <row r="644" spans="1:10" ht="20" customHeight="1" thickBot="1">
      <c r="A644" s="26" t="s">
        <v>3048</v>
      </c>
      <c r="B644" s="26" t="s">
        <v>3048</v>
      </c>
      <c r="C644" s="26" t="s">
        <v>3049</v>
      </c>
      <c r="D644" s="116">
        <v>23</v>
      </c>
      <c r="E644" s="122" t="s">
        <v>33</v>
      </c>
      <c r="F644" s="119" t="s">
        <v>57</v>
      </c>
      <c r="G644" s="27">
        <v>44942</v>
      </c>
      <c r="H644" s="26" t="s">
        <v>3050</v>
      </c>
      <c r="I644" s="113" t="s">
        <v>12400</v>
      </c>
      <c r="J644" s="113" t="s">
        <v>12401</v>
      </c>
    </row>
    <row r="645" spans="1:10" ht="20" customHeight="1" thickBot="1">
      <c r="A645" s="28" t="s">
        <v>3053</v>
      </c>
      <c r="B645" s="28" t="s">
        <v>3053</v>
      </c>
      <c r="C645" s="28" t="s">
        <v>3054</v>
      </c>
      <c r="D645" s="117">
        <v>10</v>
      </c>
      <c r="E645" s="122" t="s">
        <v>33</v>
      </c>
      <c r="F645" s="120" t="s">
        <v>57</v>
      </c>
      <c r="G645" s="29">
        <v>44092</v>
      </c>
      <c r="H645" s="28" t="s">
        <v>3055</v>
      </c>
      <c r="I645" s="114" t="s">
        <v>12400</v>
      </c>
      <c r="J645" s="114" t="s">
        <v>12401</v>
      </c>
    </row>
    <row r="646" spans="1:10" ht="20" customHeight="1" thickBot="1">
      <c r="A646" s="26" t="s">
        <v>3058</v>
      </c>
      <c r="B646" s="26" t="s">
        <v>3058</v>
      </c>
      <c r="C646" s="26" t="s">
        <v>3054</v>
      </c>
      <c r="D646" s="116">
        <v>9</v>
      </c>
      <c r="E646" s="122" t="s">
        <v>33</v>
      </c>
      <c r="F646" s="119" t="s">
        <v>57</v>
      </c>
      <c r="G646" s="27">
        <v>44757</v>
      </c>
      <c r="H646" s="26" t="s">
        <v>3059</v>
      </c>
      <c r="I646" s="113" t="s">
        <v>12400</v>
      </c>
      <c r="J646" s="113" t="s">
        <v>12401</v>
      </c>
    </row>
    <row r="647" spans="1:10" ht="20" customHeight="1" thickBot="1">
      <c r="A647" s="28" t="s">
        <v>3062</v>
      </c>
      <c r="B647" s="28" t="s">
        <v>3062</v>
      </c>
      <c r="C647" s="28" t="s">
        <v>1932</v>
      </c>
      <c r="D647" s="117">
        <v>5</v>
      </c>
      <c r="E647" s="122" t="s">
        <v>36</v>
      </c>
      <c r="F647" s="120" t="s">
        <v>57</v>
      </c>
      <c r="G647" s="29">
        <v>44904</v>
      </c>
      <c r="H647" s="28" t="s">
        <v>3063</v>
      </c>
      <c r="I647" s="114" t="s">
        <v>12400</v>
      </c>
      <c r="J647" s="114" t="s">
        <v>12401</v>
      </c>
    </row>
    <row r="648" spans="1:10" ht="20" customHeight="1" thickBot="1">
      <c r="A648" s="26" t="s">
        <v>3066</v>
      </c>
      <c r="B648" s="26" t="s">
        <v>3066</v>
      </c>
      <c r="C648" s="26" t="s">
        <v>3067</v>
      </c>
      <c r="D648" s="116">
        <v>17</v>
      </c>
      <c r="E648" s="122" t="s">
        <v>35</v>
      </c>
      <c r="F648" s="119" t="s">
        <v>57</v>
      </c>
      <c r="G648" s="27">
        <v>45012</v>
      </c>
      <c r="H648" s="26" t="s">
        <v>3068</v>
      </c>
      <c r="I648" s="113" t="s">
        <v>12400</v>
      </c>
      <c r="J648" s="113" t="s">
        <v>12401</v>
      </c>
    </row>
    <row r="649" spans="1:10" ht="20" customHeight="1" thickBot="1">
      <c r="A649" s="28" t="s">
        <v>3071</v>
      </c>
      <c r="B649" s="28" t="s">
        <v>3071</v>
      </c>
      <c r="C649" s="28" t="s">
        <v>3072</v>
      </c>
      <c r="D649" s="117">
        <v>5</v>
      </c>
      <c r="E649" s="122" t="s">
        <v>33</v>
      </c>
      <c r="F649" s="120" t="s">
        <v>57</v>
      </c>
      <c r="G649" s="29">
        <v>43950</v>
      </c>
      <c r="H649" s="28" t="s">
        <v>3073</v>
      </c>
      <c r="I649" s="114" t="s">
        <v>12400</v>
      </c>
      <c r="J649" s="114" t="s">
        <v>12401</v>
      </c>
    </row>
    <row r="650" spans="1:10" ht="20" customHeight="1" thickBot="1">
      <c r="A650" s="26" t="s">
        <v>3076</v>
      </c>
      <c r="B650" s="26" t="s">
        <v>3076</v>
      </c>
      <c r="C650" s="26" t="s">
        <v>3077</v>
      </c>
      <c r="D650" s="116">
        <v>19</v>
      </c>
      <c r="E650" s="122" t="s">
        <v>33</v>
      </c>
      <c r="F650" s="119" t="s">
        <v>57</v>
      </c>
      <c r="G650" s="27">
        <v>46029</v>
      </c>
      <c r="H650" s="26" t="s">
        <v>3078</v>
      </c>
      <c r="I650" s="113" t="s">
        <v>12400</v>
      </c>
      <c r="J650" s="113" t="s">
        <v>12401</v>
      </c>
    </row>
    <row r="651" spans="1:10" ht="20" customHeight="1" thickBot="1">
      <c r="A651" s="28" t="s">
        <v>3081</v>
      </c>
      <c r="B651" s="28" t="s">
        <v>3081</v>
      </c>
      <c r="C651" s="28" t="s">
        <v>452</v>
      </c>
      <c r="D651" s="117">
        <v>0</v>
      </c>
      <c r="E651" s="122" t="s">
        <v>33</v>
      </c>
      <c r="F651" s="120" t="s">
        <v>57</v>
      </c>
      <c r="G651" s="29">
        <v>44409</v>
      </c>
      <c r="H651" s="28" t="s">
        <v>3082</v>
      </c>
      <c r="I651" s="114" t="s">
        <v>12400</v>
      </c>
      <c r="J651" s="114" t="s">
        <v>12401</v>
      </c>
    </row>
    <row r="652" spans="1:10" ht="20" customHeight="1" thickBot="1">
      <c r="A652" s="26" t="s">
        <v>3085</v>
      </c>
      <c r="B652" s="26" t="s">
        <v>3085</v>
      </c>
      <c r="C652" s="26" t="s">
        <v>452</v>
      </c>
      <c r="D652" s="116">
        <v>0</v>
      </c>
      <c r="E652" s="122" t="s">
        <v>33</v>
      </c>
      <c r="F652" s="119" t="s">
        <v>57</v>
      </c>
      <c r="G652" s="27">
        <v>44460</v>
      </c>
      <c r="H652" s="26" t="s">
        <v>3086</v>
      </c>
      <c r="I652" s="113" t="s">
        <v>12400</v>
      </c>
      <c r="J652" s="113" t="s">
        <v>12401</v>
      </c>
    </row>
    <row r="653" spans="1:10" ht="20" customHeight="1" thickBot="1">
      <c r="A653" s="28" t="s">
        <v>3089</v>
      </c>
      <c r="B653" s="28" t="s">
        <v>3089</v>
      </c>
      <c r="C653" s="28" t="s">
        <v>452</v>
      </c>
      <c r="D653" s="117">
        <v>0</v>
      </c>
      <c r="E653" s="122" t="s">
        <v>33</v>
      </c>
      <c r="F653" s="120" t="s">
        <v>57</v>
      </c>
      <c r="G653" s="29">
        <v>44463</v>
      </c>
      <c r="H653" s="28" t="s">
        <v>3090</v>
      </c>
      <c r="I653" s="114" t="s">
        <v>12400</v>
      </c>
      <c r="J653" s="114" t="s">
        <v>12401</v>
      </c>
    </row>
    <row r="654" spans="1:10" ht="20" customHeight="1" thickBot="1">
      <c r="A654" s="26" t="s">
        <v>3093</v>
      </c>
      <c r="B654" s="26" t="s">
        <v>3093</v>
      </c>
      <c r="C654" s="26" t="s">
        <v>3094</v>
      </c>
      <c r="D654" s="116">
        <v>13</v>
      </c>
      <c r="E654" s="122" t="s">
        <v>33</v>
      </c>
      <c r="F654" s="119" t="s">
        <v>63</v>
      </c>
      <c r="G654" s="27">
        <v>45944</v>
      </c>
      <c r="H654" s="26" t="s">
        <v>3095</v>
      </c>
      <c r="I654" s="113" t="s">
        <v>12400</v>
      </c>
      <c r="J654" s="113" t="s">
        <v>12401</v>
      </c>
    </row>
    <row r="655" spans="1:10" ht="20" customHeight="1" thickBot="1">
      <c r="A655" s="28" t="s">
        <v>3098</v>
      </c>
      <c r="B655" s="28" t="s">
        <v>3098</v>
      </c>
      <c r="C655" s="28" t="s">
        <v>641</v>
      </c>
      <c r="D655" s="117">
        <v>16</v>
      </c>
      <c r="E655" s="122" t="s">
        <v>34</v>
      </c>
      <c r="F655" s="120" t="s">
        <v>57</v>
      </c>
      <c r="G655" s="29">
        <v>44110</v>
      </c>
      <c r="H655" s="28" t="s">
        <v>3099</v>
      </c>
      <c r="I655" s="114" t="s">
        <v>12400</v>
      </c>
      <c r="J655" s="114" t="s">
        <v>12401</v>
      </c>
    </row>
    <row r="656" spans="1:10" ht="20" customHeight="1" thickBot="1">
      <c r="A656" s="26" t="s">
        <v>3102</v>
      </c>
      <c r="B656" s="26" t="s">
        <v>3102</v>
      </c>
      <c r="C656" s="26" t="s">
        <v>1784</v>
      </c>
      <c r="D656" s="116">
        <v>16</v>
      </c>
      <c r="E656" s="122" t="s">
        <v>31</v>
      </c>
      <c r="F656" s="119" t="s">
        <v>571</v>
      </c>
      <c r="G656" s="27">
        <v>41724</v>
      </c>
      <c r="H656" s="26" t="s">
        <v>3103</v>
      </c>
      <c r="I656" s="113" t="s">
        <v>12400</v>
      </c>
      <c r="J656" s="113" t="s">
        <v>12401</v>
      </c>
    </row>
    <row r="657" spans="1:10" ht="20" customHeight="1" thickBot="1">
      <c r="A657" s="28" t="s">
        <v>3106</v>
      </c>
      <c r="B657" s="28" t="s">
        <v>3106</v>
      </c>
      <c r="C657" s="28" t="s">
        <v>3107</v>
      </c>
      <c r="D657" s="117">
        <v>14</v>
      </c>
      <c r="E657" s="122" t="s">
        <v>35</v>
      </c>
      <c r="F657" s="120" t="s">
        <v>57</v>
      </c>
      <c r="G657" s="29">
        <v>45970</v>
      </c>
      <c r="H657" s="28" t="s">
        <v>3108</v>
      </c>
      <c r="I657" s="114" t="s">
        <v>12400</v>
      </c>
      <c r="J657" s="114" t="s">
        <v>12401</v>
      </c>
    </row>
    <row r="658" spans="1:10" ht="20" customHeight="1" thickBot="1">
      <c r="A658" s="26" t="s">
        <v>3111</v>
      </c>
      <c r="B658" s="26" t="s">
        <v>3111</v>
      </c>
      <c r="C658" s="26" t="s">
        <v>355</v>
      </c>
      <c r="D658" s="116">
        <v>12</v>
      </c>
      <c r="E658" s="122" t="s">
        <v>34</v>
      </c>
      <c r="F658" s="119" t="s">
        <v>57</v>
      </c>
      <c r="G658" s="27">
        <v>46130</v>
      </c>
      <c r="H658" s="26" t="s">
        <v>3112</v>
      </c>
      <c r="I658" s="113" t="s">
        <v>12400</v>
      </c>
      <c r="J658" s="113" t="s">
        <v>12401</v>
      </c>
    </row>
    <row r="659" spans="1:10" ht="20" customHeight="1" thickBot="1">
      <c r="A659" s="28" t="s">
        <v>3115</v>
      </c>
      <c r="B659" s="28" t="s">
        <v>3115</v>
      </c>
      <c r="C659" s="28" t="s">
        <v>452</v>
      </c>
      <c r="D659" s="117">
        <v>6</v>
      </c>
      <c r="E659" s="122" t="s">
        <v>34</v>
      </c>
      <c r="F659" s="120" t="s">
        <v>57</v>
      </c>
      <c r="G659" s="29">
        <v>45634</v>
      </c>
      <c r="H659" s="28" t="s">
        <v>3116</v>
      </c>
      <c r="I659" s="114" t="s">
        <v>12400</v>
      </c>
      <c r="J659" s="114" t="s">
        <v>12401</v>
      </c>
    </row>
    <row r="660" spans="1:10" ht="20" customHeight="1" thickBot="1">
      <c r="A660" s="26" t="s">
        <v>3119</v>
      </c>
      <c r="B660" s="26" t="s">
        <v>3119</v>
      </c>
      <c r="C660" s="26" t="s">
        <v>2465</v>
      </c>
      <c r="D660" s="116">
        <v>13</v>
      </c>
      <c r="E660" s="122" t="s">
        <v>33</v>
      </c>
      <c r="F660" s="119" t="s">
        <v>57</v>
      </c>
      <c r="G660" s="27">
        <v>43876</v>
      </c>
      <c r="H660" s="26" t="s">
        <v>3120</v>
      </c>
      <c r="I660" s="113" t="s">
        <v>12400</v>
      </c>
      <c r="J660" s="113" t="s">
        <v>12401</v>
      </c>
    </row>
    <row r="661" spans="1:10" ht="20" customHeight="1" thickBot="1">
      <c r="A661" s="28" t="s">
        <v>3123</v>
      </c>
      <c r="B661" s="28" t="s">
        <v>3123</v>
      </c>
      <c r="C661" s="28" t="s">
        <v>523</v>
      </c>
      <c r="D661" s="117">
        <v>11</v>
      </c>
      <c r="E661" s="122" t="s">
        <v>35</v>
      </c>
      <c r="F661" s="120" t="s">
        <v>57</v>
      </c>
      <c r="G661" s="29">
        <v>44663</v>
      </c>
      <c r="H661" s="28" t="s">
        <v>3124</v>
      </c>
      <c r="I661" s="114" t="s">
        <v>12400</v>
      </c>
      <c r="J661" s="114" t="s">
        <v>12401</v>
      </c>
    </row>
    <row r="662" spans="1:10" ht="20" customHeight="1" thickBot="1">
      <c r="A662" s="26" t="s">
        <v>3127</v>
      </c>
      <c r="B662" s="26" t="s">
        <v>3127</v>
      </c>
      <c r="C662" s="26" t="s">
        <v>355</v>
      </c>
      <c r="D662" s="116">
        <v>20</v>
      </c>
      <c r="E662" s="122" t="s">
        <v>31</v>
      </c>
      <c r="F662" s="119" t="s">
        <v>571</v>
      </c>
      <c r="G662" s="27">
        <v>41956</v>
      </c>
      <c r="H662" s="26" t="s">
        <v>3128</v>
      </c>
      <c r="I662" s="113" t="s">
        <v>12400</v>
      </c>
      <c r="J662" s="113" t="s">
        <v>12401</v>
      </c>
    </row>
    <row r="663" spans="1:10" ht="20" customHeight="1" thickBot="1">
      <c r="A663" s="28" t="s">
        <v>3131</v>
      </c>
      <c r="B663" s="28" t="s">
        <v>3131</v>
      </c>
      <c r="C663" s="28" t="s">
        <v>3132</v>
      </c>
      <c r="D663" s="117">
        <v>7</v>
      </c>
      <c r="E663" s="122" t="s">
        <v>33</v>
      </c>
      <c r="F663" s="120" t="s">
        <v>57</v>
      </c>
      <c r="G663" s="29">
        <v>43551</v>
      </c>
      <c r="H663" s="28" t="s">
        <v>3133</v>
      </c>
      <c r="I663" s="114" t="s">
        <v>12400</v>
      </c>
      <c r="J663" s="114" t="s">
        <v>12401</v>
      </c>
    </row>
    <row r="664" spans="1:10" ht="20" customHeight="1" thickBot="1">
      <c r="A664" s="26" t="s">
        <v>3136</v>
      </c>
      <c r="B664" s="26" t="s">
        <v>3136</v>
      </c>
      <c r="C664" s="26" t="s">
        <v>3137</v>
      </c>
      <c r="D664" s="116">
        <v>13</v>
      </c>
      <c r="E664" s="122" t="s">
        <v>35</v>
      </c>
      <c r="F664" s="119" t="s">
        <v>3138</v>
      </c>
      <c r="G664" s="27">
        <v>44484</v>
      </c>
      <c r="H664" s="26" t="s">
        <v>3139</v>
      </c>
      <c r="I664" s="113" t="s">
        <v>12400</v>
      </c>
      <c r="J664" s="113" t="s">
        <v>12401</v>
      </c>
    </row>
    <row r="665" spans="1:10" ht="20" customHeight="1" thickBot="1">
      <c r="A665" s="28" t="s">
        <v>3142</v>
      </c>
      <c r="B665" s="28" t="s">
        <v>3142</v>
      </c>
      <c r="C665" s="28" t="s">
        <v>3143</v>
      </c>
      <c r="D665" s="117">
        <v>1</v>
      </c>
      <c r="E665" s="122" t="s">
        <v>34</v>
      </c>
      <c r="F665" s="120" t="s">
        <v>57</v>
      </c>
      <c r="G665" s="29">
        <v>44503</v>
      </c>
      <c r="H665" s="28" t="s">
        <v>3144</v>
      </c>
      <c r="I665" s="114" t="s">
        <v>12400</v>
      </c>
      <c r="J665" s="114" t="s">
        <v>12401</v>
      </c>
    </row>
    <row r="666" spans="1:10" ht="20" customHeight="1" thickBot="1">
      <c r="A666" s="26" t="s">
        <v>3147</v>
      </c>
      <c r="B666" s="26" t="s">
        <v>3147</v>
      </c>
      <c r="C666" s="26" t="s">
        <v>1506</v>
      </c>
      <c r="D666" s="116">
        <v>5</v>
      </c>
      <c r="E666" s="122" t="s">
        <v>29</v>
      </c>
      <c r="F666" s="119" t="s">
        <v>63</v>
      </c>
      <c r="G666" s="27">
        <v>42218</v>
      </c>
      <c r="H666" s="26" t="s">
        <v>3148</v>
      </c>
      <c r="I666" s="113" t="s">
        <v>12400</v>
      </c>
      <c r="J666" s="113" t="s">
        <v>12401</v>
      </c>
    </row>
    <row r="667" spans="1:10" ht="20" customHeight="1" thickBot="1">
      <c r="A667" s="28" t="s">
        <v>3151</v>
      </c>
      <c r="B667" s="28" t="s">
        <v>3151</v>
      </c>
      <c r="C667" s="28" t="s">
        <v>3152</v>
      </c>
      <c r="D667" s="117">
        <v>0</v>
      </c>
      <c r="E667" s="122" t="s">
        <v>33</v>
      </c>
      <c r="F667" s="120" t="s">
        <v>57</v>
      </c>
      <c r="G667" s="29">
        <v>45426</v>
      </c>
      <c r="H667" s="28" t="s">
        <v>3153</v>
      </c>
      <c r="I667" s="114" t="s">
        <v>12400</v>
      </c>
      <c r="J667" s="114" t="s">
        <v>12401</v>
      </c>
    </row>
    <row r="668" spans="1:10" ht="20" customHeight="1" thickBot="1">
      <c r="A668" s="26" t="s">
        <v>3156</v>
      </c>
      <c r="B668" s="26" t="s">
        <v>3156</v>
      </c>
      <c r="C668" s="26" t="s">
        <v>3157</v>
      </c>
      <c r="D668" s="116">
        <v>8</v>
      </c>
      <c r="E668" s="122" t="s">
        <v>31</v>
      </c>
      <c r="F668" s="119" t="s">
        <v>571</v>
      </c>
      <c r="G668" s="27">
        <v>43833</v>
      </c>
      <c r="H668" s="26" t="s">
        <v>3158</v>
      </c>
      <c r="I668" s="113" t="s">
        <v>12400</v>
      </c>
      <c r="J668" s="113" t="s">
        <v>12401</v>
      </c>
    </row>
    <row r="669" spans="1:10" ht="20" customHeight="1" thickBot="1">
      <c r="A669" s="28" t="s">
        <v>3161</v>
      </c>
      <c r="B669" s="28" t="s">
        <v>3161</v>
      </c>
      <c r="C669" s="28" t="s">
        <v>3162</v>
      </c>
      <c r="D669" s="117">
        <v>28</v>
      </c>
      <c r="E669" s="122" t="s">
        <v>29</v>
      </c>
      <c r="F669" s="120" t="s">
        <v>63</v>
      </c>
      <c r="G669" s="29">
        <v>44836</v>
      </c>
      <c r="H669" s="28" t="s">
        <v>3163</v>
      </c>
      <c r="I669" s="114" t="s">
        <v>12400</v>
      </c>
      <c r="J669" s="114" t="s">
        <v>12401</v>
      </c>
    </row>
    <row r="670" spans="1:10" ht="20" customHeight="1" thickBot="1">
      <c r="A670" s="26" t="s">
        <v>3166</v>
      </c>
      <c r="B670" s="26" t="s">
        <v>3166</v>
      </c>
      <c r="C670" s="26" t="s">
        <v>2906</v>
      </c>
      <c r="D670" s="116">
        <v>62</v>
      </c>
      <c r="E670" s="122" t="s">
        <v>31</v>
      </c>
      <c r="F670" s="119" t="s">
        <v>63</v>
      </c>
      <c r="G670" s="27">
        <v>42245</v>
      </c>
      <c r="H670" s="26" t="s">
        <v>3167</v>
      </c>
      <c r="I670" s="113" t="s">
        <v>12400</v>
      </c>
      <c r="J670" s="113" t="s">
        <v>12401</v>
      </c>
    </row>
    <row r="671" spans="1:10" ht="20" customHeight="1" thickBot="1">
      <c r="A671" s="28" t="s">
        <v>3170</v>
      </c>
      <c r="B671" s="28" t="s">
        <v>3170</v>
      </c>
      <c r="C671" s="28" t="s">
        <v>2901</v>
      </c>
      <c r="D671" s="117">
        <v>27</v>
      </c>
      <c r="E671" s="122" t="s">
        <v>31</v>
      </c>
      <c r="F671" s="120" t="s">
        <v>63</v>
      </c>
      <c r="G671" s="29">
        <v>42618</v>
      </c>
      <c r="H671" s="28" t="s">
        <v>3171</v>
      </c>
      <c r="I671" s="114" t="s">
        <v>12400</v>
      </c>
      <c r="J671" s="114" t="s">
        <v>12401</v>
      </c>
    </row>
    <row r="672" spans="1:10" ht="20" customHeight="1" thickBot="1">
      <c r="A672" s="26" t="s">
        <v>3174</v>
      </c>
      <c r="B672" s="26" t="s">
        <v>3174</v>
      </c>
      <c r="C672" s="26" t="s">
        <v>2706</v>
      </c>
      <c r="D672" s="116">
        <v>17</v>
      </c>
      <c r="E672" s="122" t="s">
        <v>34</v>
      </c>
      <c r="F672" s="119" t="s">
        <v>57</v>
      </c>
      <c r="G672" s="27">
        <v>44445</v>
      </c>
      <c r="H672" s="26" t="s">
        <v>3175</v>
      </c>
      <c r="I672" s="113" t="s">
        <v>12400</v>
      </c>
      <c r="J672" s="113" t="s">
        <v>12401</v>
      </c>
    </row>
    <row r="673" spans="1:10" ht="20" customHeight="1" thickBot="1">
      <c r="A673" s="28" t="s">
        <v>3178</v>
      </c>
      <c r="B673" s="28" t="s">
        <v>3178</v>
      </c>
      <c r="C673" s="28" t="s">
        <v>3179</v>
      </c>
      <c r="D673" s="117">
        <v>7</v>
      </c>
      <c r="E673" s="122" t="s">
        <v>29</v>
      </c>
      <c r="F673" s="120" t="s">
        <v>63</v>
      </c>
      <c r="G673" s="29">
        <v>42215</v>
      </c>
      <c r="H673" s="28" t="s">
        <v>3180</v>
      </c>
      <c r="I673" s="114" t="s">
        <v>12400</v>
      </c>
      <c r="J673" s="114" t="s">
        <v>12401</v>
      </c>
    </row>
    <row r="674" spans="1:10" ht="20" customHeight="1" thickBot="1">
      <c r="A674" s="26" t="s">
        <v>3183</v>
      </c>
      <c r="B674" s="26" t="s">
        <v>3183</v>
      </c>
      <c r="C674" s="26" t="s">
        <v>570</v>
      </c>
      <c r="D674" s="116">
        <v>1</v>
      </c>
      <c r="E674" s="122" t="s">
        <v>35</v>
      </c>
      <c r="F674" s="119" t="s">
        <v>57</v>
      </c>
      <c r="G674" s="27">
        <v>41976</v>
      </c>
      <c r="H674" s="26" t="s">
        <v>3184</v>
      </c>
      <c r="I674" s="113" t="s">
        <v>12400</v>
      </c>
      <c r="J674" s="113" t="s">
        <v>12401</v>
      </c>
    </row>
    <row r="675" spans="1:10" ht="20" customHeight="1" thickBot="1">
      <c r="A675" s="28" t="s">
        <v>3187</v>
      </c>
      <c r="B675" s="28" t="s">
        <v>3187</v>
      </c>
      <c r="C675" s="28" t="s">
        <v>3188</v>
      </c>
      <c r="D675" s="117">
        <v>28</v>
      </c>
      <c r="E675" s="122" t="s">
        <v>33</v>
      </c>
      <c r="F675" s="120" t="s">
        <v>57</v>
      </c>
      <c r="G675" s="29">
        <v>44642</v>
      </c>
      <c r="H675" s="28" t="s">
        <v>3189</v>
      </c>
      <c r="I675" s="114" t="s">
        <v>12400</v>
      </c>
      <c r="J675" s="114" t="s">
        <v>12401</v>
      </c>
    </row>
    <row r="676" spans="1:10" ht="20" customHeight="1" thickBot="1">
      <c r="A676" s="26" t="s">
        <v>3192</v>
      </c>
      <c r="B676" s="26" t="s">
        <v>3192</v>
      </c>
      <c r="C676" s="26" t="s">
        <v>1745</v>
      </c>
      <c r="D676" s="116">
        <v>3</v>
      </c>
      <c r="E676" s="122" t="s">
        <v>35</v>
      </c>
      <c r="F676" s="119" t="s">
        <v>57</v>
      </c>
      <c r="G676" s="27">
        <v>45671</v>
      </c>
      <c r="H676" s="26" t="s">
        <v>3193</v>
      </c>
      <c r="I676" s="113" t="s">
        <v>12400</v>
      </c>
      <c r="J676" s="113" t="s">
        <v>12401</v>
      </c>
    </row>
    <row r="677" spans="1:10" ht="20" customHeight="1" thickBot="1">
      <c r="A677" s="28" t="s">
        <v>3196</v>
      </c>
      <c r="B677" s="28" t="s">
        <v>3196</v>
      </c>
      <c r="C677" s="28" t="s">
        <v>2879</v>
      </c>
      <c r="D677" s="117">
        <v>14</v>
      </c>
      <c r="E677" s="122" t="s">
        <v>33</v>
      </c>
      <c r="F677" s="120" t="s">
        <v>57</v>
      </c>
      <c r="G677" s="29">
        <v>45246</v>
      </c>
      <c r="H677" s="28" t="s">
        <v>3197</v>
      </c>
      <c r="I677" s="114" t="s">
        <v>12400</v>
      </c>
      <c r="J677" s="114" t="s">
        <v>12401</v>
      </c>
    </row>
    <row r="678" spans="1:10" ht="20" customHeight="1" thickBot="1">
      <c r="A678" s="26" t="s">
        <v>3200</v>
      </c>
      <c r="B678" s="26" t="s">
        <v>3200</v>
      </c>
      <c r="C678" s="26" t="s">
        <v>3201</v>
      </c>
      <c r="D678" s="116">
        <v>28</v>
      </c>
      <c r="E678" s="122" t="s">
        <v>31</v>
      </c>
      <c r="F678" s="119" t="s">
        <v>63</v>
      </c>
      <c r="G678" s="27">
        <v>45334</v>
      </c>
      <c r="H678" s="26" t="s">
        <v>3202</v>
      </c>
      <c r="I678" s="113" t="s">
        <v>12400</v>
      </c>
      <c r="J678" s="113" t="s">
        <v>12401</v>
      </c>
    </row>
    <row r="679" spans="1:10" ht="20" customHeight="1" thickBot="1">
      <c r="A679" s="28" t="s">
        <v>3205</v>
      </c>
      <c r="B679" s="28" t="s">
        <v>3205</v>
      </c>
      <c r="C679" s="28" t="s">
        <v>68</v>
      </c>
      <c r="D679" s="117">
        <v>22</v>
      </c>
      <c r="E679" s="122" t="s">
        <v>29</v>
      </c>
      <c r="F679" s="120" t="s">
        <v>63</v>
      </c>
      <c r="G679" s="29">
        <v>42384</v>
      </c>
      <c r="H679" s="28" t="s">
        <v>3206</v>
      </c>
      <c r="I679" s="114" t="s">
        <v>12400</v>
      </c>
      <c r="J679" s="114" t="s">
        <v>12401</v>
      </c>
    </row>
    <row r="680" spans="1:10" ht="20" customHeight="1" thickBot="1">
      <c r="A680" s="26" t="s">
        <v>3209</v>
      </c>
      <c r="B680" s="26" t="s">
        <v>3209</v>
      </c>
      <c r="C680" s="26" t="s">
        <v>3210</v>
      </c>
      <c r="D680" s="116">
        <v>2</v>
      </c>
      <c r="E680" s="122" t="s">
        <v>27</v>
      </c>
      <c r="F680" s="119" t="s">
        <v>63</v>
      </c>
      <c r="G680" s="27">
        <v>42560</v>
      </c>
      <c r="H680" s="26" t="s">
        <v>3211</v>
      </c>
      <c r="I680" s="113" t="s">
        <v>12400</v>
      </c>
      <c r="J680" s="113" t="s">
        <v>12401</v>
      </c>
    </row>
    <row r="681" spans="1:10" ht="20" customHeight="1" thickBot="1">
      <c r="A681" s="28" t="s">
        <v>3214</v>
      </c>
      <c r="B681" s="28" t="s">
        <v>3214</v>
      </c>
      <c r="C681" s="28" t="s">
        <v>547</v>
      </c>
      <c r="D681" s="117">
        <v>1</v>
      </c>
      <c r="E681" s="122" t="s">
        <v>33</v>
      </c>
      <c r="F681" s="120" t="s">
        <v>115</v>
      </c>
      <c r="G681" s="29">
        <v>45544</v>
      </c>
      <c r="H681" s="28" t="s">
        <v>3215</v>
      </c>
      <c r="I681" s="114" t="s">
        <v>12400</v>
      </c>
      <c r="J681" s="114" t="s">
        <v>12401</v>
      </c>
    </row>
    <row r="682" spans="1:10" ht="20" customHeight="1" thickBot="1">
      <c r="A682" s="26" t="s">
        <v>3218</v>
      </c>
      <c r="B682" s="26" t="s">
        <v>3218</v>
      </c>
      <c r="C682" s="26" t="s">
        <v>3219</v>
      </c>
      <c r="D682" s="116">
        <v>8</v>
      </c>
      <c r="E682" s="122" t="s">
        <v>34</v>
      </c>
      <c r="F682" s="119" t="s">
        <v>57</v>
      </c>
      <c r="G682" s="27">
        <v>45446</v>
      </c>
      <c r="H682" s="26" t="s">
        <v>3220</v>
      </c>
      <c r="I682" s="113" t="s">
        <v>12400</v>
      </c>
      <c r="J682" s="113" t="s">
        <v>12401</v>
      </c>
    </row>
    <row r="683" spans="1:10" ht="20" customHeight="1" thickBot="1">
      <c r="A683" s="28" t="s">
        <v>3223</v>
      </c>
      <c r="B683" s="28" t="s">
        <v>3223</v>
      </c>
      <c r="C683" s="28" t="s">
        <v>998</v>
      </c>
      <c r="D683" s="117">
        <v>20</v>
      </c>
      <c r="E683" s="122" t="s">
        <v>34</v>
      </c>
      <c r="F683" s="120" t="s">
        <v>57</v>
      </c>
      <c r="G683" s="29">
        <v>44317</v>
      </c>
      <c r="H683" s="28" t="s">
        <v>3224</v>
      </c>
      <c r="I683" s="114" t="s">
        <v>12400</v>
      </c>
      <c r="J683" s="114" t="s">
        <v>12401</v>
      </c>
    </row>
    <row r="684" spans="1:10" ht="20" customHeight="1" thickBot="1">
      <c r="A684" s="26" t="s">
        <v>3227</v>
      </c>
      <c r="B684" s="26" t="s">
        <v>3227</v>
      </c>
      <c r="C684" s="26" t="s">
        <v>998</v>
      </c>
      <c r="D684" s="116">
        <v>21</v>
      </c>
      <c r="E684" s="122" t="s">
        <v>34</v>
      </c>
      <c r="F684" s="119" t="s">
        <v>57</v>
      </c>
      <c r="G684" s="27">
        <v>46114</v>
      </c>
      <c r="H684" s="26" t="s">
        <v>3228</v>
      </c>
      <c r="I684" s="113" t="s">
        <v>12400</v>
      </c>
      <c r="J684" s="113" t="s">
        <v>12401</v>
      </c>
    </row>
    <row r="685" spans="1:10" ht="20" customHeight="1" thickBot="1">
      <c r="A685" s="28" t="s">
        <v>3231</v>
      </c>
      <c r="B685" s="28" t="s">
        <v>3231</v>
      </c>
      <c r="C685" s="28" t="s">
        <v>3232</v>
      </c>
      <c r="D685" s="117">
        <v>9</v>
      </c>
      <c r="E685" s="122" t="s">
        <v>29</v>
      </c>
      <c r="F685" s="120" t="s">
        <v>63</v>
      </c>
      <c r="G685" s="29">
        <v>41452</v>
      </c>
      <c r="H685" s="28" t="s">
        <v>3233</v>
      </c>
      <c r="I685" s="114" t="s">
        <v>12400</v>
      </c>
      <c r="J685" s="114" t="s">
        <v>12401</v>
      </c>
    </row>
    <row r="686" spans="1:10" ht="20" customHeight="1" thickBot="1">
      <c r="A686" s="26" t="s">
        <v>3236</v>
      </c>
      <c r="B686" s="26" t="s">
        <v>3236</v>
      </c>
      <c r="C686" s="26" t="s">
        <v>3237</v>
      </c>
      <c r="D686" s="116">
        <v>6</v>
      </c>
      <c r="E686" s="122" t="s">
        <v>27</v>
      </c>
      <c r="F686" s="119" t="s">
        <v>63</v>
      </c>
      <c r="G686" s="27">
        <v>42228</v>
      </c>
      <c r="H686" s="26" t="s">
        <v>3238</v>
      </c>
      <c r="I686" s="113" t="s">
        <v>12400</v>
      </c>
      <c r="J686" s="113" t="s">
        <v>12401</v>
      </c>
    </row>
    <row r="687" spans="1:10" ht="20" customHeight="1" thickBot="1">
      <c r="A687" s="28" t="s">
        <v>3241</v>
      </c>
      <c r="B687" s="28" t="s">
        <v>3241</v>
      </c>
      <c r="C687" s="28" t="s">
        <v>3242</v>
      </c>
      <c r="D687" s="117">
        <v>1</v>
      </c>
      <c r="E687" s="122" t="s">
        <v>29</v>
      </c>
      <c r="F687" s="120" t="s">
        <v>63</v>
      </c>
      <c r="G687" s="29">
        <v>43409</v>
      </c>
      <c r="H687" s="28" t="s">
        <v>3243</v>
      </c>
      <c r="I687" s="114" t="s">
        <v>12400</v>
      </c>
      <c r="J687" s="114" t="s">
        <v>12401</v>
      </c>
    </row>
    <row r="688" spans="1:10" ht="20" customHeight="1" thickBot="1">
      <c r="A688" s="26" t="s">
        <v>3246</v>
      </c>
      <c r="B688" s="26" t="s">
        <v>3246</v>
      </c>
      <c r="C688" s="26" t="s">
        <v>3247</v>
      </c>
      <c r="D688" s="116">
        <v>6</v>
      </c>
      <c r="E688" s="122" t="s">
        <v>34</v>
      </c>
      <c r="F688" s="119" t="s">
        <v>57</v>
      </c>
      <c r="G688" s="27">
        <v>45747</v>
      </c>
      <c r="H688" s="26" t="s">
        <v>3248</v>
      </c>
      <c r="I688" s="113" t="s">
        <v>12400</v>
      </c>
      <c r="J688" s="113" t="s">
        <v>12401</v>
      </c>
    </row>
    <row r="689" spans="1:10" ht="20" customHeight="1" thickBot="1">
      <c r="A689" s="28" t="s">
        <v>3251</v>
      </c>
      <c r="B689" s="28" t="s">
        <v>3251</v>
      </c>
      <c r="C689" s="28" t="s">
        <v>3252</v>
      </c>
      <c r="D689" s="117">
        <v>1</v>
      </c>
      <c r="E689" s="122" t="s">
        <v>29</v>
      </c>
      <c r="F689" s="120" t="s">
        <v>63</v>
      </c>
      <c r="G689" s="29">
        <v>42166</v>
      </c>
      <c r="H689" s="28" t="s">
        <v>3253</v>
      </c>
      <c r="I689" s="114" t="s">
        <v>12400</v>
      </c>
      <c r="J689" s="114" t="s">
        <v>12401</v>
      </c>
    </row>
    <row r="690" spans="1:10" ht="20" customHeight="1" thickBot="1">
      <c r="A690" s="26" t="s">
        <v>3256</v>
      </c>
      <c r="B690" s="26" t="s">
        <v>3256</v>
      </c>
      <c r="C690" s="26" t="s">
        <v>3257</v>
      </c>
      <c r="D690" s="116">
        <v>6</v>
      </c>
      <c r="E690" s="122" t="s">
        <v>34</v>
      </c>
      <c r="F690" s="119" t="s">
        <v>57</v>
      </c>
      <c r="G690" s="27">
        <v>44664</v>
      </c>
      <c r="H690" s="26" t="s">
        <v>3258</v>
      </c>
      <c r="I690" s="113" t="s">
        <v>12400</v>
      </c>
      <c r="J690" s="113" t="s">
        <v>12401</v>
      </c>
    </row>
    <row r="691" spans="1:10" ht="20" customHeight="1" thickBot="1">
      <c r="A691" s="28" t="s">
        <v>3261</v>
      </c>
      <c r="B691" s="28" t="s">
        <v>3261</v>
      </c>
      <c r="C691" s="28" t="s">
        <v>3262</v>
      </c>
      <c r="D691" s="117">
        <v>6</v>
      </c>
      <c r="E691" s="122" t="s">
        <v>29</v>
      </c>
      <c r="F691" s="120" t="s">
        <v>63</v>
      </c>
      <c r="G691" s="29">
        <v>44554</v>
      </c>
      <c r="H691" s="28" t="s">
        <v>3263</v>
      </c>
      <c r="I691" s="114" t="s">
        <v>12400</v>
      </c>
      <c r="J691" s="114" t="s">
        <v>12401</v>
      </c>
    </row>
    <row r="692" spans="1:10" ht="20" customHeight="1" thickBot="1">
      <c r="A692" s="26" t="s">
        <v>3266</v>
      </c>
      <c r="B692" s="26" t="s">
        <v>3266</v>
      </c>
      <c r="C692" s="26" t="s">
        <v>340</v>
      </c>
      <c r="D692" s="116">
        <v>1</v>
      </c>
      <c r="E692" s="122" t="s">
        <v>36</v>
      </c>
      <c r="F692" s="119" t="s">
        <v>57</v>
      </c>
      <c r="G692" s="27">
        <v>45679</v>
      </c>
      <c r="H692" s="26" t="s">
        <v>3267</v>
      </c>
      <c r="I692" s="113" t="s">
        <v>12400</v>
      </c>
      <c r="J692" s="113" t="s">
        <v>12401</v>
      </c>
    </row>
    <row r="693" spans="1:10" ht="20" customHeight="1" thickBot="1">
      <c r="A693" s="28" t="s">
        <v>3270</v>
      </c>
      <c r="B693" s="28" t="s">
        <v>3270</v>
      </c>
      <c r="C693" s="28" t="s">
        <v>940</v>
      </c>
      <c r="D693" s="117">
        <v>11</v>
      </c>
      <c r="E693" s="122" t="s">
        <v>29</v>
      </c>
      <c r="F693" s="120" t="s">
        <v>63</v>
      </c>
      <c r="G693" s="29">
        <v>42221</v>
      </c>
      <c r="H693" s="28" t="s">
        <v>3271</v>
      </c>
      <c r="I693" s="114" t="s">
        <v>12400</v>
      </c>
      <c r="J693" s="114" t="s">
        <v>12401</v>
      </c>
    </row>
    <row r="694" spans="1:10" ht="20" customHeight="1" thickBot="1">
      <c r="A694" s="26" t="s">
        <v>3274</v>
      </c>
      <c r="B694" s="26" t="s">
        <v>3274</v>
      </c>
      <c r="C694" s="26" t="s">
        <v>3275</v>
      </c>
      <c r="D694" s="116">
        <v>25</v>
      </c>
      <c r="E694" s="122" t="s">
        <v>34</v>
      </c>
      <c r="F694" s="119" t="s">
        <v>57</v>
      </c>
      <c r="G694" s="27">
        <v>45147</v>
      </c>
      <c r="H694" s="26" t="s">
        <v>3276</v>
      </c>
      <c r="I694" s="113" t="s">
        <v>12400</v>
      </c>
      <c r="J694" s="113" t="s">
        <v>12401</v>
      </c>
    </row>
    <row r="695" spans="1:10" ht="20" customHeight="1" thickBot="1">
      <c r="A695" s="28" t="s">
        <v>3279</v>
      </c>
      <c r="B695" s="28" t="s">
        <v>3279</v>
      </c>
      <c r="C695" s="28" t="s">
        <v>3280</v>
      </c>
      <c r="D695" s="117">
        <v>10</v>
      </c>
      <c r="E695" s="122" t="s">
        <v>34</v>
      </c>
      <c r="F695" s="120" t="s">
        <v>57</v>
      </c>
      <c r="G695" s="29">
        <v>45785</v>
      </c>
      <c r="H695" s="28" t="s">
        <v>3281</v>
      </c>
      <c r="I695" s="114" t="s">
        <v>12400</v>
      </c>
      <c r="J695" s="114" t="s">
        <v>12401</v>
      </c>
    </row>
    <row r="696" spans="1:10" ht="20" customHeight="1" thickBot="1">
      <c r="A696" s="26" t="s">
        <v>3284</v>
      </c>
      <c r="B696" s="26" t="s">
        <v>3284</v>
      </c>
      <c r="C696" s="26" t="s">
        <v>641</v>
      </c>
      <c r="D696" s="116">
        <v>19</v>
      </c>
      <c r="E696" s="122" t="s">
        <v>35</v>
      </c>
      <c r="F696" s="119" t="s">
        <v>57</v>
      </c>
      <c r="G696" s="27">
        <v>44252</v>
      </c>
      <c r="H696" s="26" t="s">
        <v>3285</v>
      </c>
      <c r="I696" s="113" t="s">
        <v>12400</v>
      </c>
      <c r="J696" s="113" t="s">
        <v>12401</v>
      </c>
    </row>
    <row r="697" spans="1:10" ht="20" customHeight="1" thickBot="1">
      <c r="A697" s="28" t="s">
        <v>3288</v>
      </c>
      <c r="B697" s="28" t="s">
        <v>3288</v>
      </c>
      <c r="C697" s="28" t="s">
        <v>3289</v>
      </c>
      <c r="D697" s="117">
        <v>12</v>
      </c>
      <c r="E697" s="122" t="s">
        <v>29</v>
      </c>
      <c r="F697" s="120" t="s">
        <v>63</v>
      </c>
      <c r="G697" s="29">
        <v>42308</v>
      </c>
      <c r="H697" s="28" t="s">
        <v>3290</v>
      </c>
      <c r="I697" s="114" t="s">
        <v>12400</v>
      </c>
      <c r="J697" s="114" t="s">
        <v>12401</v>
      </c>
    </row>
    <row r="698" spans="1:10" ht="20" customHeight="1" thickBot="1">
      <c r="A698" s="26" t="s">
        <v>3293</v>
      </c>
      <c r="B698" s="26" t="s">
        <v>3293</v>
      </c>
      <c r="C698" s="26" t="s">
        <v>3294</v>
      </c>
      <c r="D698" s="116">
        <v>17</v>
      </c>
      <c r="E698" s="122" t="s">
        <v>35</v>
      </c>
      <c r="F698" s="119" t="s">
        <v>57</v>
      </c>
      <c r="G698" s="27">
        <v>44588</v>
      </c>
      <c r="H698" s="26" t="s">
        <v>3295</v>
      </c>
      <c r="I698" s="113" t="s">
        <v>12400</v>
      </c>
      <c r="J698" s="113" t="s">
        <v>12401</v>
      </c>
    </row>
    <row r="699" spans="1:10" ht="20" customHeight="1" thickBot="1">
      <c r="A699" s="28" t="s">
        <v>3298</v>
      </c>
      <c r="B699" s="28" t="s">
        <v>3298</v>
      </c>
      <c r="C699" s="28" t="s">
        <v>3294</v>
      </c>
      <c r="D699" s="117">
        <v>20</v>
      </c>
      <c r="E699" s="122" t="s">
        <v>35</v>
      </c>
      <c r="F699" s="120" t="s">
        <v>57</v>
      </c>
      <c r="G699" s="29">
        <v>45384</v>
      </c>
      <c r="H699" s="28" t="s">
        <v>3299</v>
      </c>
      <c r="I699" s="114" t="s">
        <v>12400</v>
      </c>
      <c r="J699" s="114" t="s">
        <v>12401</v>
      </c>
    </row>
    <row r="700" spans="1:10" ht="20" customHeight="1" thickBot="1">
      <c r="A700" s="26" t="s">
        <v>3302</v>
      </c>
      <c r="B700" s="26" t="s">
        <v>3302</v>
      </c>
      <c r="C700" s="26" t="s">
        <v>665</v>
      </c>
      <c r="D700" s="116">
        <v>15</v>
      </c>
      <c r="E700" s="122" t="s">
        <v>35</v>
      </c>
      <c r="F700" s="119" t="s">
        <v>57</v>
      </c>
      <c r="G700" s="27">
        <v>45240</v>
      </c>
      <c r="H700" s="26" t="s">
        <v>3303</v>
      </c>
      <c r="I700" s="113" t="s">
        <v>12400</v>
      </c>
      <c r="J700" s="113" t="s">
        <v>12401</v>
      </c>
    </row>
    <row r="701" spans="1:10" ht="20" customHeight="1" thickBot="1">
      <c r="A701" s="28" t="s">
        <v>3306</v>
      </c>
      <c r="B701" s="28" t="s">
        <v>3306</v>
      </c>
      <c r="C701" s="28" t="s">
        <v>665</v>
      </c>
      <c r="D701" s="117">
        <v>12</v>
      </c>
      <c r="E701" s="122" t="s">
        <v>35</v>
      </c>
      <c r="F701" s="120" t="s">
        <v>57</v>
      </c>
      <c r="G701" s="29">
        <v>45938</v>
      </c>
      <c r="H701" s="28" t="s">
        <v>3307</v>
      </c>
      <c r="I701" s="114" t="s">
        <v>12400</v>
      </c>
      <c r="J701" s="114" t="s">
        <v>12401</v>
      </c>
    </row>
    <row r="702" spans="1:10" ht="20" customHeight="1" thickBot="1">
      <c r="A702" s="26" t="s">
        <v>3310</v>
      </c>
      <c r="B702" s="26" t="s">
        <v>3310</v>
      </c>
      <c r="C702" s="26" t="s">
        <v>723</v>
      </c>
      <c r="D702" s="116">
        <v>11</v>
      </c>
      <c r="E702" s="122" t="s">
        <v>34</v>
      </c>
      <c r="F702" s="119" t="s">
        <v>57</v>
      </c>
      <c r="G702" s="27">
        <v>45446</v>
      </c>
      <c r="H702" s="26" t="s">
        <v>3311</v>
      </c>
      <c r="I702" s="113" t="s">
        <v>12400</v>
      </c>
      <c r="J702" s="113" t="s">
        <v>12401</v>
      </c>
    </row>
    <row r="703" spans="1:10" ht="20" customHeight="1" thickBot="1">
      <c r="A703" s="28" t="s">
        <v>3314</v>
      </c>
      <c r="B703" s="28" t="s">
        <v>3314</v>
      </c>
      <c r="C703" s="28" t="s">
        <v>3315</v>
      </c>
      <c r="D703" s="117">
        <v>69</v>
      </c>
      <c r="E703" s="122" t="s">
        <v>34</v>
      </c>
      <c r="F703" s="120" t="s">
        <v>57</v>
      </c>
      <c r="G703" s="29">
        <v>45315</v>
      </c>
      <c r="H703" s="28" t="s">
        <v>3316</v>
      </c>
      <c r="I703" s="114" t="s">
        <v>12400</v>
      </c>
      <c r="J703" s="114" t="s">
        <v>12401</v>
      </c>
    </row>
    <row r="704" spans="1:10" ht="20" customHeight="1" thickBot="1">
      <c r="A704" s="26" t="s">
        <v>3319</v>
      </c>
      <c r="B704" s="26" t="s">
        <v>3319</v>
      </c>
      <c r="C704" s="26" t="s">
        <v>68</v>
      </c>
      <c r="D704" s="116">
        <v>32</v>
      </c>
      <c r="E704" s="122" t="s">
        <v>31</v>
      </c>
      <c r="F704" s="119" t="s">
        <v>63</v>
      </c>
      <c r="G704" s="27">
        <v>41700</v>
      </c>
      <c r="H704" s="26" t="s">
        <v>3320</v>
      </c>
      <c r="I704" s="113" t="s">
        <v>12400</v>
      </c>
      <c r="J704" s="113" t="s">
        <v>12401</v>
      </c>
    </row>
    <row r="705" spans="1:10" ht="20" customHeight="1" thickBot="1">
      <c r="A705" s="28" t="s">
        <v>3323</v>
      </c>
      <c r="B705" s="28" t="s">
        <v>3323</v>
      </c>
      <c r="C705" s="28" t="s">
        <v>3324</v>
      </c>
      <c r="D705" s="117">
        <v>15</v>
      </c>
      <c r="E705" s="122" t="s">
        <v>33</v>
      </c>
      <c r="F705" s="120" t="s">
        <v>57</v>
      </c>
      <c r="G705" s="29">
        <v>44684</v>
      </c>
      <c r="H705" s="28" t="s">
        <v>3325</v>
      </c>
      <c r="I705" s="114" t="s">
        <v>12400</v>
      </c>
      <c r="J705" s="114" t="s">
        <v>12401</v>
      </c>
    </row>
    <row r="706" spans="1:10" ht="20" customHeight="1" thickBot="1">
      <c r="A706" s="26" t="s">
        <v>3328</v>
      </c>
      <c r="B706" s="26" t="s">
        <v>3328</v>
      </c>
      <c r="C706" s="26" t="s">
        <v>3324</v>
      </c>
      <c r="D706" s="116">
        <v>27</v>
      </c>
      <c r="E706" s="122" t="s">
        <v>34</v>
      </c>
      <c r="F706" s="119" t="s">
        <v>57</v>
      </c>
      <c r="G706" s="27">
        <v>45527</v>
      </c>
      <c r="H706" s="26" t="s">
        <v>3329</v>
      </c>
      <c r="I706" s="113" t="s">
        <v>12400</v>
      </c>
      <c r="J706" s="113" t="s">
        <v>12401</v>
      </c>
    </row>
    <row r="707" spans="1:10" ht="20" customHeight="1" thickBot="1">
      <c r="A707" s="28" t="s">
        <v>3332</v>
      </c>
      <c r="B707" s="28" t="s">
        <v>3332</v>
      </c>
      <c r="C707" s="28" t="s">
        <v>3333</v>
      </c>
      <c r="D707" s="117">
        <v>1</v>
      </c>
      <c r="E707" s="122" t="s">
        <v>29</v>
      </c>
      <c r="F707" s="120" t="s">
        <v>63</v>
      </c>
      <c r="G707" s="29">
        <v>44212</v>
      </c>
      <c r="H707" s="28" t="s">
        <v>3334</v>
      </c>
      <c r="I707" s="114" t="s">
        <v>12400</v>
      </c>
      <c r="J707" s="114" t="s">
        <v>12401</v>
      </c>
    </row>
    <row r="708" spans="1:10" ht="20" customHeight="1" thickBot="1">
      <c r="A708" s="26" t="s">
        <v>3337</v>
      </c>
      <c r="B708" s="26" t="s">
        <v>3337</v>
      </c>
      <c r="C708" s="26" t="s">
        <v>3294</v>
      </c>
      <c r="D708" s="116">
        <v>17</v>
      </c>
      <c r="E708" s="122" t="s">
        <v>34</v>
      </c>
      <c r="F708" s="119" t="s">
        <v>57</v>
      </c>
      <c r="G708" s="27">
        <v>44273</v>
      </c>
      <c r="H708" s="26" t="s">
        <v>3338</v>
      </c>
      <c r="I708" s="113" t="s">
        <v>12400</v>
      </c>
      <c r="J708" s="113" t="s">
        <v>12401</v>
      </c>
    </row>
    <row r="709" spans="1:10" ht="20" customHeight="1" thickBot="1">
      <c r="A709" s="28" t="s">
        <v>3341</v>
      </c>
      <c r="B709" s="28" t="s">
        <v>3341</v>
      </c>
      <c r="C709" s="28" t="s">
        <v>2531</v>
      </c>
      <c r="D709" s="117">
        <v>8</v>
      </c>
      <c r="E709" s="122" t="s">
        <v>35</v>
      </c>
      <c r="F709" s="120" t="s">
        <v>57</v>
      </c>
      <c r="G709" s="29">
        <v>44802</v>
      </c>
      <c r="H709" s="28" t="s">
        <v>3342</v>
      </c>
      <c r="I709" s="114" t="s">
        <v>12400</v>
      </c>
      <c r="J709" s="114" t="s">
        <v>12401</v>
      </c>
    </row>
    <row r="710" spans="1:10" ht="20" customHeight="1" thickBot="1">
      <c r="A710" s="26" t="s">
        <v>3345</v>
      </c>
      <c r="B710" s="26" t="s">
        <v>3345</v>
      </c>
      <c r="C710" s="26" t="s">
        <v>3346</v>
      </c>
      <c r="D710" s="116">
        <v>22</v>
      </c>
      <c r="E710" s="122" t="s">
        <v>34</v>
      </c>
      <c r="F710" s="119" t="s">
        <v>57</v>
      </c>
      <c r="G710" s="27">
        <v>43970</v>
      </c>
      <c r="H710" s="26" t="s">
        <v>3347</v>
      </c>
      <c r="I710" s="113" t="s">
        <v>12400</v>
      </c>
      <c r="J710" s="113" t="s">
        <v>12401</v>
      </c>
    </row>
    <row r="711" spans="1:10" ht="20" customHeight="1" thickBot="1">
      <c r="A711" s="28" t="s">
        <v>3350</v>
      </c>
      <c r="B711" s="28" t="s">
        <v>3350</v>
      </c>
      <c r="C711" s="28" t="s">
        <v>3351</v>
      </c>
      <c r="D711" s="117">
        <v>15</v>
      </c>
      <c r="E711" s="122" t="s">
        <v>34</v>
      </c>
      <c r="F711" s="120" t="s">
        <v>57</v>
      </c>
      <c r="G711" s="29">
        <v>44438</v>
      </c>
      <c r="H711" s="28" t="s">
        <v>3352</v>
      </c>
      <c r="I711" s="114" t="s">
        <v>12400</v>
      </c>
      <c r="J711" s="114" t="s">
        <v>12401</v>
      </c>
    </row>
    <row r="712" spans="1:10" ht="20" customHeight="1" thickBot="1">
      <c r="A712" s="26" t="s">
        <v>3355</v>
      </c>
      <c r="B712" s="26" t="s">
        <v>3355</v>
      </c>
      <c r="C712" s="26" t="s">
        <v>3356</v>
      </c>
      <c r="D712" s="116">
        <v>5</v>
      </c>
      <c r="E712" s="122" t="s">
        <v>33</v>
      </c>
      <c r="F712" s="119" t="s">
        <v>57</v>
      </c>
      <c r="G712" s="27">
        <v>44329</v>
      </c>
      <c r="H712" s="26" t="s">
        <v>3357</v>
      </c>
      <c r="I712" s="113" t="s">
        <v>12400</v>
      </c>
      <c r="J712" s="113" t="s">
        <v>12401</v>
      </c>
    </row>
    <row r="713" spans="1:10" ht="20" customHeight="1" thickBot="1">
      <c r="A713" s="28" t="s">
        <v>3360</v>
      </c>
      <c r="B713" s="28" t="s">
        <v>3360</v>
      </c>
      <c r="C713" s="28" t="s">
        <v>1511</v>
      </c>
      <c r="D713" s="117">
        <v>22</v>
      </c>
      <c r="E713" s="122" t="s">
        <v>34</v>
      </c>
      <c r="F713" s="120" t="s">
        <v>57</v>
      </c>
      <c r="G713" s="29">
        <v>43376</v>
      </c>
      <c r="H713" s="28" t="s">
        <v>3361</v>
      </c>
      <c r="I713" s="114" t="s">
        <v>12400</v>
      </c>
      <c r="J713" s="114" t="s">
        <v>12401</v>
      </c>
    </row>
    <row r="714" spans="1:10" ht="20" customHeight="1" thickBot="1">
      <c r="A714" s="26" t="s">
        <v>3364</v>
      </c>
      <c r="B714" s="26" t="s">
        <v>3364</v>
      </c>
      <c r="C714" s="26" t="s">
        <v>2701</v>
      </c>
      <c r="D714" s="116">
        <v>17</v>
      </c>
      <c r="E714" s="122" t="s">
        <v>34</v>
      </c>
      <c r="F714" s="119" t="s">
        <v>57</v>
      </c>
      <c r="G714" s="27">
        <v>46153</v>
      </c>
      <c r="H714" s="26" t="s">
        <v>3365</v>
      </c>
      <c r="I714" s="113" t="s">
        <v>12400</v>
      </c>
      <c r="J714" s="113" t="s">
        <v>12401</v>
      </c>
    </row>
    <row r="715" spans="1:10" ht="20" customHeight="1" thickBot="1">
      <c r="A715" s="28" t="s">
        <v>3368</v>
      </c>
      <c r="B715" s="28" t="s">
        <v>3368</v>
      </c>
      <c r="C715" s="28" t="s">
        <v>603</v>
      </c>
      <c r="D715" s="117">
        <v>41</v>
      </c>
      <c r="E715" s="122" t="s">
        <v>29</v>
      </c>
      <c r="F715" s="120" t="s">
        <v>63</v>
      </c>
      <c r="G715" s="29">
        <v>45806</v>
      </c>
      <c r="H715" s="28" t="s">
        <v>3369</v>
      </c>
      <c r="I715" s="114" t="s">
        <v>12400</v>
      </c>
      <c r="J715" s="114" t="s">
        <v>12401</v>
      </c>
    </row>
    <row r="716" spans="1:10" ht="20" customHeight="1" thickBot="1">
      <c r="A716" s="26" t="s">
        <v>3372</v>
      </c>
      <c r="B716" s="26" t="s">
        <v>3372</v>
      </c>
      <c r="C716" s="26" t="s">
        <v>3373</v>
      </c>
      <c r="D716" s="116">
        <v>1</v>
      </c>
      <c r="E716" s="122" t="s">
        <v>34</v>
      </c>
      <c r="F716" s="119" t="s">
        <v>89</v>
      </c>
      <c r="G716" s="27">
        <v>42141</v>
      </c>
      <c r="H716" s="26" t="s">
        <v>3374</v>
      </c>
      <c r="I716" s="113" t="s">
        <v>12400</v>
      </c>
      <c r="J716" s="113" t="s">
        <v>12401</v>
      </c>
    </row>
    <row r="717" spans="1:10" ht="20" customHeight="1" thickBot="1">
      <c r="A717" s="28" t="s">
        <v>3377</v>
      </c>
      <c r="B717" s="28" t="s">
        <v>3377</v>
      </c>
      <c r="C717" s="28" t="s">
        <v>3373</v>
      </c>
      <c r="D717" s="117">
        <v>1</v>
      </c>
      <c r="E717" s="122" t="s">
        <v>36</v>
      </c>
      <c r="F717" s="120" t="s">
        <v>89</v>
      </c>
      <c r="G717" s="29">
        <v>42080</v>
      </c>
      <c r="H717" s="28" t="s">
        <v>3378</v>
      </c>
      <c r="I717" s="114" t="s">
        <v>12400</v>
      </c>
      <c r="J717" s="114" t="s">
        <v>12401</v>
      </c>
    </row>
    <row r="718" spans="1:10" ht="20" customHeight="1" thickBot="1">
      <c r="A718" s="26" t="s">
        <v>3381</v>
      </c>
      <c r="B718" s="26" t="s">
        <v>3381</v>
      </c>
      <c r="C718" s="26" t="s">
        <v>3346</v>
      </c>
      <c r="D718" s="116">
        <v>14</v>
      </c>
      <c r="E718" s="122" t="s">
        <v>34</v>
      </c>
      <c r="F718" s="119" t="s">
        <v>57</v>
      </c>
      <c r="G718" s="27">
        <v>44334</v>
      </c>
      <c r="H718" s="26" t="s">
        <v>3382</v>
      </c>
      <c r="I718" s="113" t="s">
        <v>12400</v>
      </c>
      <c r="J718" s="113" t="s">
        <v>12401</v>
      </c>
    </row>
    <row r="719" spans="1:10" ht="20" customHeight="1" thickBot="1">
      <c r="A719" s="28" t="s">
        <v>3385</v>
      </c>
      <c r="B719" s="28" t="s">
        <v>3385</v>
      </c>
      <c r="C719" s="28" t="s">
        <v>3315</v>
      </c>
      <c r="D719" s="117">
        <v>10</v>
      </c>
      <c r="E719" s="122" t="s">
        <v>33</v>
      </c>
      <c r="F719" s="120" t="s">
        <v>571</v>
      </c>
      <c r="G719" s="29">
        <v>42999</v>
      </c>
      <c r="H719" s="28" t="s">
        <v>3386</v>
      </c>
      <c r="I719" s="114" t="s">
        <v>12400</v>
      </c>
      <c r="J719" s="114" t="s">
        <v>12401</v>
      </c>
    </row>
    <row r="720" spans="1:10" ht="20" customHeight="1" thickBot="1">
      <c r="A720" s="26" t="s">
        <v>3389</v>
      </c>
      <c r="B720" s="26" t="s">
        <v>3389</v>
      </c>
      <c r="C720" s="26" t="s">
        <v>3390</v>
      </c>
      <c r="D720" s="116">
        <v>8</v>
      </c>
      <c r="E720" s="122" t="s">
        <v>34</v>
      </c>
      <c r="F720" s="119" t="s">
        <v>57</v>
      </c>
      <c r="G720" s="27">
        <v>45397</v>
      </c>
      <c r="H720" s="26" t="s">
        <v>3391</v>
      </c>
      <c r="I720" s="113" t="s">
        <v>12400</v>
      </c>
      <c r="J720" s="113" t="s">
        <v>12401</v>
      </c>
    </row>
    <row r="721" spans="1:10" ht="20" customHeight="1" thickBot="1">
      <c r="A721" s="28" t="s">
        <v>3394</v>
      </c>
      <c r="B721" s="28" t="s">
        <v>3394</v>
      </c>
      <c r="C721" s="28" t="s">
        <v>3395</v>
      </c>
      <c r="D721" s="117">
        <v>14</v>
      </c>
      <c r="E721" s="122" t="s">
        <v>35</v>
      </c>
      <c r="F721" s="120" t="s">
        <v>57</v>
      </c>
      <c r="G721" s="29">
        <v>46180</v>
      </c>
      <c r="H721" s="28" t="s">
        <v>3396</v>
      </c>
      <c r="I721" s="114" t="s">
        <v>12400</v>
      </c>
      <c r="J721" s="114" t="s">
        <v>12401</v>
      </c>
    </row>
    <row r="722" spans="1:10" ht="20" customHeight="1" thickBot="1">
      <c r="A722" s="26" t="s">
        <v>3399</v>
      </c>
      <c r="B722" s="26" t="s">
        <v>3399</v>
      </c>
      <c r="C722" s="26" t="s">
        <v>3400</v>
      </c>
      <c r="D722" s="116">
        <v>43</v>
      </c>
      <c r="E722" s="122" t="s">
        <v>31</v>
      </c>
      <c r="F722" s="119" t="s">
        <v>63</v>
      </c>
      <c r="G722" s="27">
        <v>42255</v>
      </c>
      <c r="H722" s="26" t="s">
        <v>3401</v>
      </c>
      <c r="I722" s="113" t="s">
        <v>12400</v>
      </c>
      <c r="J722" s="113" t="s">
        <v>12401</v>
      </c>
    </row>
    <row r="723" spans="1:10" ht="20" customHeight="1" thickBot="1">
      <c r="A723" s="28" t="s">
        <v>3404</v>
      </c>
      <c r="B723" s="28" t="s">
        <v>3404</v>
      </c>
      <c r="C723" s="28" t="s">
        <v>3405</v>
      </c>
      <c r="D723" s="117">
        <v>35</v>
      </c>
      <c r="E723" s="122" t="s">
        <v>29</v>
      </c>
      <c r="F723" s="120" t="s">
        <v>63</v>
      </c>
      <c r="G723" s="29">
        <v>45411</v>
      </c>
      <c r="H723" s="28" t="s">
        <v>3406</v>
      </c>
      <c r="I723" s="114" t="s">
        <v>12400</v>
      </c>
      <c r="J723" s="114" t="s">
        <v>12401</v>
      </c>
    </row>
    <row r="724" spans="1:10" ht="20" customHeight="1" thickBot="1">
      <c r="A724" s="26" t="s">
        <v>3409</v>
      </c>
      <c r="B724" s="26" t="s">
        <v>3409</v>
      </c>
      <c r="C724" s="26" t="s">
        <v>243</v>
      </c>
      <c r="D724" s="116">
        <v>7</v>
      </c>
      <c r="E724" s="122" t="s">
        <v>34</v>
      </c>
      <c r="F724" s="119" t="s">
        <v>57</v>
      </c>
      <c r="G724" s="27">
        <v>45258</v>
      </c>
      <c r="H724" s="26" t="s">
        <v>3410</v>
      </c>
      <c r="I724" s="113" t="s">
        <v>12400</v>
      </c>
      <c r="J724" s="113" t="s">
        <v>12401</v>
      </c>
    </row>
    <row r="725" spans="1:10" ht="20" customHeight="1" thickBot="1">
      <c r="A725" s="28" t="s">
        <v>3413</v>
      </c>
      <c r="B725" s="28" t="s">
        <v>3413</v>
      </c>
      <c r="C725" s="28" t="s">
        <v>3414</v>
      </c>
      <c r="D725" s="117">
        <v>18</v>
      </c>
      <c r="E725" s="122" t="s">
        <v>29</v>
      </c>
      <c r="F725" s="120" t="s">
        <v>63</v>
      </c>
      <c r="G725" s="29">
        <v>42281</v>
      </c>
      <c r="H725" s="28" t="s">
        <v>3415</v>
      </c>
      <c r="I725" s="114" t="s">
        <v>12400</v>
      </c>
      <c r="J725" s="114" t="s">
        <v>12401</v>
      </c>
    </row>
    <row r="726" spans="1:10" ht="20" customHeight="1" thickBot="1">
      <c r="A726" s="26" t="s">
        <v>3418</v>
      </c>
      <c r="B726" s="26" t="s">
        <v>3418</v>
      </c>
      <c r="C726" s="26" t="s">
        <v>930</v>
      </c>
      <c r="D726" s="116">
        <v>17</v>
      </c>
      <c r="E726" s="122" t="s">
        <v>35</v>
      </c>
      <c r="F726" s="119" t="s">
        <v>57</v>
      </c>
      <c r="G726" s="27">
        <v>44067</v>
      </c>
      <c r="H726" s="26" t="s">
        <v>3419</v>
      </c>
      <c r="I726" s="113" t="s">
        <v>12400</v>
      </c>
      <c r="J726" s="113" t="s">
        <v>12401</v>
      </c>
    </row>
    <row r="727" spans="1:10" ht="20" customHeight="1" thickBot="1">
      <c r="A727" s="28" t="s">
        <v>3422</v>
      </c>
      <c r="B727" s="28" t="s">
        <v>3422</v>
      </c>
      <c r="C727" s="28" t="s">
        <v>930</v>
      </c>
      <c r="D727" s="117">
        <v>25</v>
      </c>
      <c r="E727" s="122" t="s">
        <v>36</v>
      </c>
      <c r="F727" s="120" t="s">
        <v>57</v>
      </c>
      <c r="G727" s="29">
        <v>45653</v>
      </c>
      <c r="H727" s="28" t="s">
        <v>3423</v>
      </c>
      <c r="I727" s="114" t="s">
        <v>12400</v>
      </c>
      <c r="J727" s="114" t="s">
        <v>12401</v>
      </c>
    </row>
    <row r="728" spans="1:10" ht="20" customHeight="1" thickBot="1">
      <c r="A728" s="26" t="s">
        <v>3426</v>
      </c>
      <c r="B728" s="26" t="s">
        <v>3426</v>
      </c>
      <c r="C728" s="26" t="s">
        <v>930</v>
      </c>
      <c r="D728" s="116">
        <v>24</v>
      </c>
      <c r="E728" s="122" t="s">
        <v>34</v>
      </c>
      <c r="F728" s="119" t="s">
        <v>57</v>
      </c>
      <c r="G728" s="27">
        <v>43679</v>
      </c>
      <c r="H728" s="26" t="s">
        <v>3427</v>
      </c>
      <c r="I728" s="113" t="s">
        <v>12400</v>
      </c>
      <c r="J728" s="113" t="s">
        <v>12401</v>
      </c>
    </row>
    <row r="729" spans="1:10" ht="20" customHeight="1" thickBot="1">
      <c r="A729" s="28" t="s">
        <v>3430</v>
      </c>
      <c r="B729" s="28" t="s">
        <v>3430</v>
      </c>
      <c r="C729" s="28" t="s">
        <v>3431</v>
      </c>
      <c r="D729" s="117">
        <v>11</v>
      </c>
      <c r="E729" s="122" t="s">
        <v>29</v>
      </c>
      <c r="F729" s="120" t="s">
        <v>63</v>
      </c>
      <c r="G729" s="29">
        <v>41451</v>
      </c>
      <c r="H729" s="28" t="s">
        <v>3432</v>
      </c>
      <c r="I729" s="114" t="s">
        <v>12400</v>
      </c>
      <c r="J729" s="114" t="s">
        <v>12401</v>
      </c>
    </row>
    <row r="730" spans="1:10" ht="20" customHeight="1" thickBot="1">
      <c r="A730" s="26" t="s">
        <v>3435</v>
      </c>
      <c r="B730" s="26" t="s">
        <v>3435</v>
      </c>
      <c r="C730" s="26" t="s">
        <v>3436</v>
      </c>
      <c r="D730" s="116">
        <v>20</v>
      </c>
      <c r="E730" s="122" t="s">
        <v>33</v>
      </c>
      <c r="F730" s="119" t="s">
        <v>57</v>
      </c>
      <c r="G730" s="27">
        <v>45604</v>
      </c>
      <c r="H730" s="26" t="s">
        <v>3437</v>
      </c>
      <c r="I730" s="113" t="s">
        <v>12400</v>
      </c>
      <c r="J730" s="113" t="s">
        <v>12401</v>
      </c>
    </row>
    <row r="731" spans="1:10" ht="20" customHeight="1" thickBot="1">
      <c r="A731" s="28" t="s">
        <v>3440</v>
      </c>
      <c r="B731" s="28" t="s">
        <v>3440</v>
      </c>
      <c r="C731" s="28" t="s">
        <v>2701</v>
      </c>
      <c r="D731" s="117">
        <v>62</v>
      </c>
      <c r="E731" s="122" t="s">
        <v>31</v>
      </c>
      <c r="F731" s="120" t="s">
        <v>57</v>
      </c>
      <c r="G731" s="29">
        <v>45767</v>
      </c>
      <c r="H731" s="28" t="s">
        <v>3441</v>
      </c>
      <c r="I731" s="114" t="s">
        <v>12400</v>
      </c>
      <c r="J731" s="114" t="s">
        <v>12401</v>
      </c>
    </row>
    <row r="732" spans="1:10" ht="20" customHeight="1" thickBot="1">
      <c r="A732" s="26" t="s">
        <v>3444</v>
      </c>
      <c r="B732" s="26" t="s">
        <v>3444</v>
      </c>
      <c r="C732" s="26" t="s">
        <v>3445</v>
      </c>
      <c r="D732" s="116">
        <v>5</v>
      </c>
      <c r="E732" s="122" t="s">
        <v>33</v>
      </c>
      <c r="F732" s="119" t="s">
        <v>57</v>
      </c>
      <c r="G732" s="27">
        <v>45680</v>
      </c>
      <c r="H732" s="26" t="s">
        <v>3446</v>
      </c>
      <c r="I732" s="113" t="s">
        <v>12400</v>
      </c>
      <c r="J732" s="113" t="s">
        <v>12401</v>
      </c>
    </row>
    <row r="733" spans="1:10" ht="20" customHeight="1" thickBot="1">
      <c r="A733" s="28" t="s">
        <v>3449</v>
      </c>
      <c r="B733" s="28" t="s">
        <v>3449</v>
      </c>
      <c r="C733" s="28" t="s">
        <v>3450</v>
      </c>
      <c r="D733" s="117">
        <v>6</v>
      </c>
      <c r="E733" s="122" t="s">
        <v>29</v>
      </c>
      <c r="F733" s="120" t="s">
        <v>63</v>
      </c>
      <c r="G733" s="29">
        <v>45020</v>
      </c>
      <c r="H733" s="28" t="s">
        <v>3451</v>
      </c>
      <c r="I733" s="114" t="s">
        <v>12400</v>
      </c>
      <c r="J733" s="114" t="s">
        <v>12401</v>
      </c>
    </row>
    <row r="734" spans="1:10" ht="20" customHeight="1" thickBot="1">
      <c r="A734" s="26" t="s">
        <v>3454</v>
      </c>
      <c r="B734" s="26" t="s">
        <v>3454</v>
      </c>
      <c r="C734" s="26" t="s">
        <v>3455</v>
      </c>
      <c r="D734" s="116">
        <v>4</v>
      </c>
      <c r="E734" s="122" t="s">
        <v>31</v>
      </c>
      <c r="F734" s="119" t="s">
        <v>63</v>
      </c>
      <c r="G734" s="27">
        <v>45095</v>
      </c>
      <c r="H734" s="26" t="s">
        <v>3456</v>
      </c>
      <c r="I734" s="113" t="s">
        <v>12400</v>
      </c>
      <c r="J734" s="113" t="s">
        <v>12401</v>
      </c>
    </row>
    <row r="735" spans="1:10" ht="20" customHeight="1" thickBot="1">
      <c r="A735" s="28" t="s">
        <v>3459</v>
      </c>
      <c r="B735" s="28" t="s">
        <v>3459</v>
      </c>
      <c r="C735" s="28" t="s">
        <v>930</v>
      </c>
      <c r="D735" s="117">
        <v>15</v>
      </c>
      <c r="E735" s="122" t="s">
        <v>36</v>
      </c>
      <c r="F735" s="120" t="s">
        <v>57</v>
      </c>
      <c r="G735" s="29">
        <v>45998</v>
      </c>
      <c r="H735" s="28" t="s">
        <v>3460</v>
      </c>
      <c r="I735" s="114" t="s">
        <v>12400</v>
      </c>
      <c r="J735" s="114" t="s">
        <v>12401</v>
      </c>
    </row>
    <row r="736" spans="1:10" ht="20" customHeight="1" thickBot="1">
      <c r="A736" s="26" t="s">
        <v>3463</v>
      </c>
      <c r="B736" s="26" t="s">
        <v>3463</v>
      </c>
      <c r="C736" s="26" t="s">
        <v>3464</v>
      </c>
      <c r="D736" s="116">
        <v>4</v>
      </c>
      <c r="E736" s="122" t="s">
        <v>31</v>
      </c>
      <c r="F736" s="119" t="s">
        <v>63</v>
      </c>
      <c r="G736" s="27">
        <v>45616</v>
      </c>
      <c r="H736" s="26" t="s">
        <v>3465</v>
      </c>
      <c r="I736" s="113" t="s">
        <v>12400</v>
      </c>
      <c r="J736" s="113" t="s">
        <v>12401</v>
      </c>
    </row>
    <row r="737" spans="1:10" ht="20" customHeight="1" thickBot="1">
      <c r="A737" s="28" t="s">
        <v>3468</v>
      </c>
      <c r="B737" s="28" t="s">
        <v>3468</v>
      </c>
      <c r="C737" s="28" t="s">
        <v>1637</v>
      </c>
      <c r="D737" s="117">
        <v>7</v>
      </c>
      <c r="E737" s="122" t="s">
        <v>33</v>
      </c>
      <c r="F737" s="120" t="s">
        <v>57</v>
      </c>
      <c r="G737" s="29">
        <v>44655</v>
      </c>
      <c r="H737" s="28" t="s">
        <v>3469</v>
      </c>
      <c r="I737" s="114" t="s">
        <v>12400</v>
      </c>
      <c r="J737" s="114" t="s">
        <v>12401</v>
      </c>
    </row>
    <row r="738" spans="1:10" ht="20" customHeight="1" thickBot="1">
      <c r="A738" s="26" t="s">
        <v>3472</v>
      </c>
      <c r="B738" s="26" t="s">
        <v>3472</v>
      </c>
      <c r="C738" s="26" t="s">
        <v>3473</v>
      </c>
      <c r="D738" s="116">
        <v>8</v>
      </c>
      <c r="E738" s="122" t="s">
        <v>34</v>
      </c>
      <c r="F738" s="119" t="s">
        <v>57</v>
      </c>
      <c r="G738" s="27">
        <v>45587</v>
      </c>
      <c r="H738" s="26" t="s">
        <v>3474</v>
      </c>
      <c r="I738" s="113" t="s">
        <v>12400</v>
      </c>
      <c r="J738" s="113" t="s">
        <v>12401</v>
      </c>
    </row>
    <row r="739" spans="1:10" ht="20" customHeight="1" thickBot="1">
      <c r="A739" s="28" t="s">
        <v>3477</v>
      </c>
      <c r="B739" s="28" t="s">
        <v>3477</v>
      </c>
      <c r="C739" s="28" t="s">
        <v>3478</v>
      </c>
      <c r="D739" s="117">
        <v>35</v>
      </c>
      <c r="E739" s="122" t="s">
        <v>29</v>
      </c>
      <c r="F739" s="120" t="s">
        <v>63</v>
      </c>
      <c r="G739" s="29">
        <v>43675</v>
      </c>
      <c r="H739" s="28" t="s">
        <v>3479</v>
      </c>
      <c r="I739" s="114" t="s">
        <v>12400</v>
      </c>
      <c r="J739" s="114" t="s">
        <v>12401</v>
      </c>
    </row>
    <row r="740" spans="1:10" ht="20" customHeight="1" thickBot="1">
      <c r="A740" s="26" t="s">
        <v>3482</v>
      </c>
      <c r="B740" s="26" t="s">
        <v>3482</v>
      </c>
      <c r="C740" s="26" t="s">
        <v>3483</v>
      </c>
      <c r="D740" s="116">
        <v>125</v>
      </c>
      <c r="E740" s="122" t="s">
        <v>34</v>
      </c>
      <c r="F740" s="119" t="s">
        <v>63</v>
      </c>
      <c r="G740" s="27">
        <v>42684</v>
      </c>
      <c r="H740" s="26" t="s">
        <v>3484</v>
      </c>
      <c r="I740" s="113" t="s">
        <v>12400</v>
      </c>
      <c r="J740" s="113" t="s">
        <v>12401</v>
      </c>
    </row>
    <row r="741" spans="1:10" ht="20" customHeight="1" thickBot="1">
      <c r="A741" s="28" t="s">
        <v>3487</v>
      </c>
      <c r="B741" s="28" t="s">
        <v>3487</v>
      </c>
      <c r="C741" s="28" t="s">
        <v>2133</v>
      </c>
      <c r="D741" s="117">
        <v>3</v>
      </c>
      <c r="E741" s="122" t="s">
        <v>34</v>
      </c>
      <c r="F741" s="120" t="s">
        <v>57</v>
      </c>
      <c r="G741" s="29">
        <v>45618</v>
      </c>
      <c r="H741" s="28" t="s">
        <v>3488</v>
      </c>
      <c r="I741" s="114" t="s">
        <v>12400</v>
      </c>
      <c r="J741" s="114" t="s">
        <v>12401</v>
      </c>
    </row>
    <row r="742" spans="1:10" ht="20" customHeight="1" thickBot="1">
      <c r="A742" s="26" t="s">
        <v>3491</v>
      </c>
      <c r="B742" s="26" t="s">
        <v>3491</v>
      </c>
      <c r="C742" s="26" t="s">
        <v>2152</v>
      </c>
      <c r="D742" s="116">
        <v>4</v>
      </c>
      <c r="E742" s="122" t="s">
        <v>31</v>
      </c>
      <c r="F742" s="119" t="s">
        <v>63</v>
      </c>
      <c r="G742" s="27">
        <v>42530</v>
      </c>
      <c r="H742" s="26" t="s">
        <v>3492</v>
      </c>
      <c r="I742" s="113" t="s">
        <v>12400</v>
      </c>
      <c r="J742" s="113" t="s">
        <v>12401</v>
      </c>
    </row>
    <row r="743" spans="1:10" ht="20" customHeight="1" thickBot="1">
      <c r="A743" s="28" t="s">
        <v>3495</v>
      </c>
      <c r="B743" s="28" t="s">
        <v>3495</v>
      </c>
      <c r="C743" s="28" t="s">
        <v>208</v>
      </c>
      <c r="D743" s="117">
        <v>25</v>
      </c>
      <c r="E743" s="122" t="s">
        <v>35</v>
      </c>
      <c r="F743" s="120" t="s">
        <v>57</v>
      </c>
      <c r="G743" s="29">
        <v>46215</v>
      </c>
      <c r="H743" s="28" t="s">
        <v>3496</v>
      </c>
      <c r="I743" s="114" t="s">
        <v>12400</v>
      </c>
      <c r="J743" s="114" t="s">
        <v>12401</v>
      </c>
    </row>
    <row r="744" spans="1:10" ht="20" customHeight="1" thickBot="1">
      <c r="A744" s="26" t="s">
        <v>3499</v>
      </c>
      <c r="B744" s="26" t="s">
        <v>3499</v>
      </c>
      <c r="C744" s="26" t="s">
        <v>99</v>
      </c>
      <c r="D744" s="116">
        <v>12</v>
      </c>
      <c r="E744" s="122" t="s">
        <v>35</v>
      </c>
      <c r="F744" s="119" t="s">
        <v>57</v>
      </c>
      <c r="G744" s="27">
        <v>46222</v>
      </c>
      <c r="H744" s="26" t="s">
        <v>3500</v>
      </c>
      <c r="I744" s="113" t="s">
        <v>12400</v>
      </c>
      <c r="J744" s="113" t="s">
        <v>12401</v>
      </c>
    </row>
    <row r="745" spans="1:10" ht="20" customHeight="1" thickBot="1">
      <c r="A745" s="28" t="s">
        <v>3503</v>
      </c>
      <c r="B745" s="28" t="s">
        <v>3503</v>
      </c>
      <c r="C745" s="28" t="s">
        <v>3504</v>
      </c>
      <c r="D745" s="117">
        <v>130</v>
      </c>
      <c r="E745" s="122" t="s">
        <v>33</v>
      </c>
      <c r="F745" s="120" t="s">
        <v>63</v>
      </c>
      <c r="G745" s="29">
        <v>43578</v>
      </c>
      <c r="H745" s="28" t="s">
        <v>3505</v>
      </c>
      <c r="I745" s="114" t="s">
        <v>12400</v>
      </c>
      <c r="J745" s="114" t="s">
        <v>12401</v>
      </c>
    </row>
    <row r="746" spans="1:10" ht="20" customHeight="1" thickBot="1">
      <c r="A746" s="26" t="s">
        <v>3508</v>
      </c>
      <c r="B746" s="26" t="s">
        <v>3508</v>
      </c>
      <c r="C746" s="26" t="s">
        <v>268</v>
      </c>
      <c r="D746" s="116">
        <v>17</v>
      </c>
      <c r="E746" s="122" t="s">
        <v>31</v>
      </c>
      <c r="F746" s="119" t="s">
        <v>63</v>
      </c>
      <c r="G746" s="27">
        <v>44434</v>
      </c>
      <c r="H746" s="26" t="s">
        <v>3509</v>
      </c>
      <c r="I746" s="113" t="s">
        <v>12400</v>
      </c>
      <c r="J746" s="113" t="s">
        <v>12401</v>
      </c>
    </row>
    <row r="747" spans="1:10" ht="20" customHeight="1" thickBot="1">
      <c r="A747" s="28" t="s">
        <v>3512</v>
      </c>
      <c r="B747" s="28" t="s">
        <v>3512</v>
      </c>
      <c r="C747" s="28" t="s">
        <v>3513</v>
      </c>
      <c r="D747" s="117">
        <v>8</v>
      </c>
      <c r="E747" s="122" t="s">
        <v>29</v>
      </c>
      <c r="F747" s="120" t="s">
        <v>63</v>
      </c>
      <c r="G747" s="29">
        <v>42896</v>
      </c>
      <c r="H747" s="28" t="s">
        <v>3514</v>
      </c>
      <c r="I747" s="114" t="s">
        <v>12400</v>
      </c>
      <c r="J747" s="114" t="s">
        <v>12401</v>
      </c>
    </row>
    <row r="748" spans="1:10" ht="20" customHeight="1" thickBot="1">
      <c r="A748" s="26" t="s">
        <v>3517</v>
      </c>
      <c r="B748" s="26" t="s">
        <v>3517</v>
      </c>
      <c r="C748" s="26" t="s">
        <v>3518</v>
      </c>
      <c r="D748" s="116">
        <v>11</v>
      </c>
      <c r="E748" s="122" t="s">
        <v>35</v>
      </c>
      <c r="F748" s="119" t="s">
        <v>57</v>
      </c>
      <c r="G748" s="27">
        <v>44376</v>
      </c>
      <c r="H748" s="26" t="s">
        <v>3519</v>
      </c>
      <c r="I748" s="113" t="s">
        <v>12400</v>
      </c>
      <c r="J748" s="113" t="s">
        <v>12401</v>
      </c>
    </row>
    <row r="749" spans="1:10" ht="20" customHeight="1" thickBot="1">
      <c r="A749" s="28" t="s">
        <v>3522</v>
      </c>
      <c r="B749" s="28" t="s">
        <v>3522</v>
      </c>
      <c r="C749" s="28" t="s">
        <v>3523</v>
      </c>
      <c r="D749" s="117">
        <v>7</v>
      </c>
      <c r="E749" s="122" t="s">
        <v>31</v>
      </c>
      <c r="F749" s="120" t="s">
        <v>63</v>
      </c>
      <c r="G749" s="29">
        <v>42217</v>
      </c>
      <c r="H749" s="28" t="s">
        <v>3524</v>
      </c>
      <c r="I749" s="114" t="s">
        <v>12400</v>
      </c>
      <c r="J749" s="114" t="s">
        <v>12401</v>
      </c>
    </row>
    <row r="750" spans="1:10" ht="20" customHeight="1" thickBot="1">
      <c r="A750" s="26" t="s">
        <v>3527</v>
      </c>
      <c r="B750" s="26" t="s">
        <v>3527</v>
      </c>
      <c r="C750" s="26" t="s">
        <v>641</v>
      </c>
      <c r="D750" s="116">
        <v>10</v>
      </c>
      <c r="E750" s="122" t="s">
        <v>35</v>
      </c>
      <c r="F750" s="119" t="s">
        <v>57</v>
      </c>
      <c r="G750" s="27">
        <v>44768</v>
      </c>
      <c r="H750" s="26" t="s">
        <v>3528</v>
      </c>
      <c r="I750" s="113" t="s">
        <v>12400</v>
      </c>
      <c r="J750" s="113" t="s">
        <v>12401</v>
      </c>
    </row>
    <row r="751" spans="1:10" ht="20" customHeight="1" thickBot="1">
      <c r="A751" s="28" t="s">
        <v>3531</v>
      </c>
      <c r="B751" s="28" t="s">
        <v>3531</v>
      </c>
      <c r="C751" s="28" t="s">
        <v>3532</v>
      </c>
      <c r="D751" s="117">
        <v>11</v>
      </c>
      <c r="E751" s="122" t="s">
        <v>29</v>
      </c>
      <c r="F751" s="120" t="s">
        <v>63</v>
      </c>
      <c r="G751" s="29">
        <v>41645</v>
      </c>
      <c r="H751" s="28" t="s">
        <v>3533</v>
      </c>
      <c r="I751" s="114" t="s">
        <v>12400</v>
      </c>
      <c r="J751" s="114" t="s">
        <v>12401</v>
      </c>
    </row>
    <row r="752" spans="1:10" ht="20" customHeight="1" thickBot="1">
      <c r="A752" s="26" t="s">
        <v>3536</v>
      </c>
      <c r="B752" s="26" t="s">
        <v>3536</v>
      </c>
      <c r="C752" s="26" t="s">
        <v>3537</v>
      </c>
      <c r="D752" s="116">
        <v>6</v>
      </c>
      <c r="E752" s="122" t="s">
        <v>27</v>
      </c>
      <c r="F752" s="119" t="s">
        <v>63</v>
      </c>
      <c r="G752" s="27">
        <v>41525</v>
      </c>
      <c r="H752" s="26" t="s">
        <v>3538</v>
      </c>
      <c r="I752" s="113" t="s">
        <v>12400</v>
      </c>
      <c r="J752" s="113" t="s">
        <v>12401</v>
      </c>
    </row>
    <row r="753" spans="1:10" ht="20" customHeight="1" thickBot="1">
      <c r="A753" s="28" t="s">
        <v>3541</v>
      </c>
      <c r="B753" s="28" t="s">
        <v>3541</v>
      </c>
      <c r="C753" s="28" t="s">
        <v>3478</v>
      </c>
      <c r="D753" s="117">
        <v>12</v>
      </c>
      <c r="E753" s="122" t="s">
        <v>35</v>
      </c>
      <c r="F753" s="120" t="s">
        <v>115</v>
      </c>
      <c r="G753" s="29">
        <v>46074</v>
      </c>
      <c r="H753" s="28" t="s">
        <v>3542</v>
      </c>
      <c r="I753" s="114" t="s">
        <v>12400</v>
      </c>
      <c r="J753" s="114" t="s">
        <v>12401</v>
      </c>
    </row>
    <row r="754" spans="1:10" ht="20" customHeight="1" thickBot="1">
      <c r="A754" s="26" t="s">
        <v>3545</v>
      </c>
      <c r="B754" s="26" t="s">
        <v>3545</v>
      </c>
      <c r="C754" s="26" t="s">
        <v>370</v>
      </c>
      <c r="D754" s="116">
        <v>6</v>
      </c>
      <c r="E754" s="122" t="s">
        <v>33</v>
      </c>
      <c r="F754" s="119" t="s">
        <v>57</v>
      </c>
      <c r="G754" s="27">
        <v>45057</v>
      </c>
      <c r="H754" s="26" t="s">
        <v>3546</v>
      </c>
      <c r="I754" s="113" t="s">
        <v>12400</v>
      </c>
      <c r="J754" s="113" t="s">
        <v>12401</v>
      </c>
    </row>
    <row r="755" spans="1:10" ht="20" customHeight="1" thickBot="1">
      <c r="A755" s="28" t="s">
        <v>3549</v>
      </c>
      <c r="B755" s="28" t="s">
        <v>3549</v>
      </c>
      <c r="C755" s="28" t="s">
        <v>3550</v>
      </c>
      <c r="D755" s="117">
        <v>99</v>
      </c>
      <c r="E755" s="122" t="s">
        <v>31</v>
      </c>
      <c r="F755" s="120" t="s">
        <v>63</v>
      </c>
      <c r="G755" s="29">
        <v>44331</v>
      </c>
      <c r="H755" s="28" t="s">
        <v>3551</v>
      </c>
      <c r="I755" s="114" t="s">
        <v>12400</v>
      </c>
      <c r="J755" s="114" t="s">
        <v>12401</v>
      </c>
    </row>
    <row r="756" spans="1:10" ht="20" customHeight="1" thickBot="1">
      <c r="A756" s="26" t="s">
        <v>3554</v>
      </c>
      <c r="B756" s="26" t="s">
        <v>3554</v>
      </c>
      <c r="C756" s="26" t="s">
        <v>3555</v>
      </c>
      <c r="D756" s="116">
        <v>25</v>
      </c>
      <c r="E756" s="122" t="s">
        <v>31</v>
      </c>
      <c r="F756" s="119" t="s">
        <v>63</v>
      </c>
      <c r="G756" s="27">
        <v>42014</v>
      </c>
      <c r="H756" s="26" t="s">
        <v>3556</v>
      </c>
      <c r="I756" s="113" t="s">
        <v>12400</v>
      </c>
      <c r="J756" s="113" t="s">
        <v>12401</v>
      </c>
    </row>
    <row r="757" spans="1:10" ht="20" customHeight="1" thickBot="1">
      <c r="A757" s="28" t="s">
        <v>3559</v>
      </c>
      <c r="B757" s="28" t="s">
        <v>3559</v>
      </c>
      <c r="C757" s="28" t="s">
        <v>3560</v>
      </c>
      <c r="D757" s="117">
        <v>11</v>
      </c>
      <c r="E757" s="122" t="s">
        <v>29</v>
      </c>
      <c r="F757" s="120" t="s">
        <v>63</v>
      </c>
      <c r="G757" s="29">
        <v>42322</v>
      </c>
      <c r="H757" s="28" t="s">
        <v>3561</v>
      </c>
      <c r="I757" s="114" t="s">
        <v>12400</v>
      </c>
      <c r="J757" s="114" t="s">
        <v>12401</v>
      </c>
    </row>
    <row r="758" spans="1:10" ht="20" customHeight="1" thickBot="1">
      <c r="A758" s="26" t="s">
        <v>3564</v>
      </c>
      <c r="B758" s="26" t="s">
        <v>3564</v>
      </c>
      <c r="C758" s="26" t="s">
        <v>3565</v>
      </c>
      <c r="D758" s="116">
        <v>3</v>
      </c>
      <c r="E758" s="122" t="s">
        <v>31</v>
      </c>
      <c r="F758" s="119" t="s">
        <v>63</v>
      </c>
      <c r="G758" s="27">
        <v>44557</v>
      </c>
      <c r="H758" s="26" t="s">
        <v>3566</v>
      </c>
      <c r="I758" s="113" t="s">
        <v>12400</v>
      </c>
      <c r="J758" s="113" t="s">
        <v>12401</v>
      </c>
    </row>
    <row r="759" spans="1:10" ht="20" customHeight="1" thickBot="1">
      <c r="A759" s="28" t="s">
        <v>3569</v>
      </c>
      <c r="B759" s="28" t="s">
        <v>3569</v>
      </c>
      <c r="C759" s="28" t="s">
        <v>3570</v>
      </c>
      <c r="D759" s="117">
        <v>1</v>
      </c>
      <c r="E759" s="122" t="s">
        <v>34</v>
      </c>
      <c r="F759" s="120" t="s">
        <v>57</v>
      </c>
      <c r="G759" s="29">
        <v>41724</v>
      </c>
      <c r="H759" s="28" t="s">
        <v>3571</v>
      </c>
      <c r="I759" s="114" t="s">
        <v>12400</v>
      </c>
      <c r="J759" s="114" t="s">
        <v>12401</v>
      </c>
    </row>
    <row r="760" spans="1:10" ht="20" customHeight="1" thickBot="1">
      <c r="A760" s="26" t="s">
        <v>3574</v>
      </c>
      <c r="B760" s="26" t="s">
        <v>3574</v>
      </c>
      <c r="C760" s="26" t="s">
        <v>3575</v>
      </c>
      <c r="D760" s="116">
        <v>13</v>
      </c>
      <c r="E760" s="122" t="s">
        <v>31</v>
      </c>
      <c r="F760" s="119" t="s">
        <v>63</v>
      </c>
      <c r="G760" s="27">
        <v>42059</v>
      </c>
      <c r="H760" s="26" t="s">
        <v>3576</v>
      </c>
      <c r="I760" s="113" t="s">
        <v>12400</v>
      </c>
      <c r="J760" s="113" t="s">
        <v>12401</v>
      </c>
    </row>
    <row r="761" spans="1:10" ht="20" customHeight="1" thickBot="1">
      <c r="A761" s="28" t="s">
        <v>3579</v>
      </c>
      <c r="B761" s="28" t="s">
        <v>3579</v>
      </c>
      <c r="C761" s="28" t="s">
        <v>3580</v>
      </c>
      <c r="D761" s="117">
        <v>10</v>
      </c>
      <c r="E761" s="122" t="s">
        <v>34</v>
      </c>
      <c r="F761" s="120" t="s">
        <v>57</v>
      </c>
      <c r="G761" s="29">
        <v>45799</v>
      </c>
      <c r="H761" s="28" t="s">
        <v>3581</v>
      </c>
      <c r="I761" s="114" t="s">
        <v>12400</v>
      </c>
      <c r="J761" s="114" t="s">
        <v>12401</v>
      </c>
    </row>
    <row r="762" spans="1:10" ht="20" customHeight="1" thickBot="1">
      <c r="A762" s="26" t="s">
        <v>57</v>
      </c>
      <c r="B762" s="26" t="s">
        <v>57</v>
      </c>
      <c r="C762" s="26" t="s">
        <v>2979</v>
      </c>
      <c r="D762" s="116">
        <v>5</v>
      </c>
      <c r="E762" s="122" t="s">
        <v>35</v>
      </c>
      <c r="F762" s="119" t="s">
        <v>57</v>
      </c>
      <c r="G762" s="27">
        <v>45523</v>
      </c>
      <c r="H762" s="26" t="s">
        <v>3584</v>
      </c>
      <c r="I762" s="113" t="s">
        <v>12400</v>
      </c>
      <c r="J762" s="113" t="s">
        <v>12401</v>
      </c>
    </row>
    <row r="763" spans="1:10" ht="20" customHeight="1" thickBot="1">
      <c r="A763" s="28" t="s">
        <v>3587</v>
      </c>
      <c r="B763" s="28" t="s">
        <v>3587</v>
      </c>
      <c r="C763" s="28" t="s">
        <v>2979</v>
      </c>
      <c r="D763" s="117">
        <v>5</v>
      </c>
      <c r="E763" s="122" t="s">
        <v>35</v>
      </c>
      <c r="F763" s="120" t="s">
        <v>57</v>
      </c>
      <c r="G763" s="29">
        <v>45561</v>
      </c>
      <c r="H763" s="28" t="s">
        <v>3588</v>
      </c>
      <c r="I763" s="114" t="s">
        <v>12400</v>
      </c>
      <c r="J763" s="114" t="s">
        <v>12401</v>
      </c>
    </row>
    <row r="764" spans="1:10" ht="20" customHeight="1" thickBot="1">
      <c r="A764" s="26" t="s">
        <v>3591</v>
      </c>
      <c r="B764" s="26" t="s">
        <v>3591</v>
      </c>
      <c r="C764" s="26" t="s">
        <v>3592</v>
      </c>
      <c r="D764" s="116">
        <v>10</v>
      </c>
      <c r="E764" s="122" t="s">
        <v>35</v>
      </c>
      <c r="F764" s="119" t="s">
        <v>57</v>
      </c>
      <c r="G764" s="27">
        <v>44523</v>
      </c>
      <c r="H764" s="26" t="s">
        <v>3593</v>
      </c>
      <c r="I764" s="113" t="s">
        <v>12400</v>
      </c>
      <c r="J764" s="113" t="s">
        <v>12401</v>
      </c>
    </row>
    <row r="765" spans="1:10" ht="20" customHeight="1" thickBot="1">
      <c r="A765" s="28" t="s">
        <v>3596</v>
      </c>
      <c r="B765" s="28" t="s">
        <v>3596</v>
      </c>
      <c r="C765" s="28" t="s">
        <v>3597</v>
      </c>
      <c r="D765" s="117">
        <v>8</v>
      </c>
      <c r="E765" s="122" t="s">
        <v>34</v>
      </c>
      <c r="F765" s="120" t="s">
        <v>57</v>
      </c>
      <c r="G765" s="29">
        <v>45550</v>
      </c>
      <c r="H765" s="28" t="s">
        <v>3598</v>
      </c>
      <c r="I765" s="114" t="s">
        <v>12400</v>
      </c>
      <c r="J765" s="114" t="s">
        <v>12401</v>
      </c>
    </row>
    <row r="766" spans="1:10" ht="20" customHeight="1" thickBot="1">
      <c r="A766" s="26" t="s">
        <v>3601</v>
      </c>
      <c r="B766" s="26" t="s">
        <v>3601</v>
      </c>
      <c r="C766" s="26" t="s">
        <v>3602</v>
      </c>
      <c r="D766" s="116">
        <v>12</v>
      </c>
      <c r="E766" s="122" t="s">
        <v>29</v>
      </c>
      <c r="F766" s="119" t="s">
        <v>57</v>
      </c>
      <c r="G766" s="27">
        <v>46222</v>
      </c>
      <c r="H766" s="26" t="s">
        <v>3603</v>
      </c>
      <c r="I766" s="113" t="s">
        <v>12400</v>
      </c>
      <c r="J766" s="113" t="s">
        <v>12401</v>
      </c>
    </row>
    <row r="767" spans="1:10" ht="20" customHeight="1" thickBot="1">
      <c r="A767" s="28" t="s">
        <v>3606</v>
      </c>
      <c r="B767" s="28" t="s">
        <v>3606</v>
      </c>
      <c r="C767" s="28" t="s">
        <v>3607</v>
      </c>
      <c r="D767" s="117">
        <v>36</v>
      </c>
      <c r="E767" s="122" t="s">
        <v>31</v>
      </c>
      <c r="F767" s="120" t="s">
        <v>57</v>
      </c>
      <c r="G767" s="29">
        <v>45777</v>
      </c>
      <c r="H767" s="28" t="s">
        <v>3608</v>
      </c>
      <c r="I767" s="114" t="s">
        <v>12400</v>
      </c>
      <c r="J767" s="114" t="s">
        <v>12401</v>
      </c>
    </row>
    <row r="768" spans="1:10" ht="20" customHeight="1" thickBot="1">
      <c r="A768" s="26" t="s">
        <v>3611</v>
      </c>
      <c r="B768" s="26" t="s">
        <v>3611</v>
      </c>
      <c r="C768" s="26" t="s">
        <v>847</v>
      </c>
      <c r="D768" s="116">
        <v>5</v>
      </c>
      <c r="E768" s="122" t="s">
        <v>35</v>
      </c>
      <c r="F768" s="119" t="s">
        <v>57</v>
      </c>
      <c r="G768" s="27">
        <v>44777</v>
      </c>
      <c r="H768" s="26" t="s">
        <v>3612</v>
      </c>
      <c r="I768" s="113" t="s">
        <v>12400</v>
      </c>
      <c r="J768" s="113" t="s">
        <v>12401</v>
      </c>
    </row>
    <row r="769" spans="1:10" ht="20" customHeight="1" thickBot="1">
      <c r="A769" s="28" t="s">
        <v>3615</v>
      </c>
      <c r="B769" s="28" t="s">
        <v>3615</v>
      </c>
      <c r="C769" s="28" t="s">
        <v>847</v>
      </c>
      <c r="D769" s="117">
        <v>7</v>
      </c>
      <c r="E769" s="122" t="s">
        <v>34</v>
      </c>
      <c r="F769" s="120" t="s">
        <v>57</v>
      </c>
      <c r="G769" s="29">
        <v>45600</v>
      </c>
      <c r="H769" s="28" t="s">
        <v>3616</v>
      </c>
      <c r="I769" s="114" t="s">
        <v>12400</v>
      </c>
      <c r="J769" s="114" t="s">
        <v>12401</v>
      </c>
    </row>
    <row r="770" spans="1:10" ht="20" customHeight="1" thickBot="1">
      <c r="A770" s="26" t="s">
        <v>3619</v>
      </c>
      <c r="B770" s="26" t="s">
        <v>3619</v>
      </c>
      <c r="C770" s="26" t="s">
        <v>3620</v>
      </c>
      <c r="D770" s="116">
        <v>4</v>
      </c>
      <c r="E770" s="122" t="s">
        <v>34</v>
      </c>
      <c r="F770" s="119" t="s">
        <v>57</v>
      </c>
      <c r="G770" s="27">
        <v>44221</v>
      </c>
      <c r="H770" s="26" t="s">
        <v>3621</v>
      </c>
      <c r="I770" s="113" t="s">
        <v>12400</v>
      </c>
      <c r="J770" s="113" t="s">
        <v>12401</v>
      </c>
    </row>
    <row r="771" spans="1:10" ht="20" customHeight="1" thickBot="1">
      <c r="A771" s="28" t="s">
        <v>3624</v>
      </c>
      <c r="B771" s="28" t="s">
        <v>3624</v>
      </c>
      <c r="C771" s="28" t="s">
        <v>3625</v>
      </c>
      <c r="D771" s="117">
        <v>12</v>
      </c>
      <c r="E771" s="122" t="s">
        <v>34</v>
      </c>
      <c r="F771" s="120" t="s">
        <v>57</v>
      </c>
      <c r="G771" s="29">
        <v>43775</v>
      </c>
      <c r="H771" s="28" t="s">
        <v>3626</v>
      </c>
      <c r="I771" s="114" t="s">
        <v>12400</v>
      </c>
      <c r="J771" s="114" t="s">
        <v>12401</v>
      </c>
    </row>
    <row r="772" spans="1:10" ht="20" customHeight="1" thickBot="1">
      <c r="A772" s="26" t="s">
        <v>3629</v>
      </c>
      <c r="B772" s="26" t="s">
        <v>3629</v>
      </c>
      <c r="C772" s="26" t="s">
        <v>3630</v>
      </c>
      <c r="D772" s="116">
        <v>10</v>
      </c>
      <c r="E772" s="122" t="s">
        <v>31</v>
      </c>
      <c r="F772" s="119" t="s">
        <v>57</v>
      </c>
      <c r="G772" s="27">
        <v>44679</v>
      </c>
      <c r="H772" s="26" t="s">
        <v>3631</v>
      </c>
      <c r="I772" s="113" t="s">
        <v>12400</v>
      </c>
      <c r="J772" s="113" t="s">
        <v>12401</v>
      </c>
    </row>
    <row r="773" spans="1:10" ht="20" customHeight="1" thickBot="1">
      <c r="A773" s="28" t="s">
        <v>3634</v>
      </c>
      <c r="B773" s="28" t="s">
        <v>3634</v>
      </c>
      <c r="C773" s="28" t="s">
        <v>3635</v>
      </c>
      <c r="D773" s="117">
        <v>10</v>
      </c>
      <c r="E773" s="122" t="s">
        <v>31</v>
      </c>
      <c r="F773" s="120" t="s">
        <v>57</v>
      </c>
      <c r="G773" s="29">
        <v>44108</v>
      </c>
      <c r="H773" s="28" t="s">
        <v>3636</v>
      </c>
      <c r="I773" s="114" t="s">
        <v>12400</v>
      </c>
      <c r="J773" s="114" t="s">
        <v>12401</v>
      </c>
    </row>
    <row r="774" spans="1:10" ht="20" customHeight="1" thickBot="1">
      <c r="A774" s="26" t="s">
        <v>3639</v>
      </c>
      <c r="B774" s="26" t="s">
        <v>3639</v>
      </c>
      <c r="C774" s="26" t="s">
        <v>1824</v>
      </c>
      <c r="D774" s="116">
        <v>1</v>
      </c>
      <c r="E774" s="122" t="s">
        <v>34</v>
      </c>
      <c r="F774" s="119" t="s">
        <v>57</v>
      </c>
      <c r="G774" s="27">
        <v>44973</v>
      </c>
      <c r="H774" s="26" t="s">
        <v>3640</v>
      </c>
      <c r="I774" s="113" t="s">
        <v>12400</v>
      </c>
      <c r="J774" s="113" t="s">
        <v>12401</v>
      </c>
    </row>
    <row r="775" spans="1:10" ht="20" customHeight="1" thickBot="1">
      <c r="A775" s="28" t="s">
        <v>3643</v>
      </c>
      <c r="B775" s="28" t="s">
        <v>3643</v>
      </c>
      <c r="C775" s="28" t="s">
        <v>3644</v>
      </c>
      <c r="D775" s="117">
        <v>11</v>
      </c>
      <c r="E775" s="122" t="s">
        <v>34</v>
      </c>
      <c r="F775" s="120" t="s">
        <v>57</v>
      </c>
      <c r="G775" s="29">
        <v>42965</v>
      </c>
      <c r="H775" s="28" t="s">
        <v>3645</v>
      </c>
      <c r="I775" s="114" t="s">
        <v>12400</v>
      </c>
      <c r="J775" s="114" t="s">
        <v>12401</v>
      </c>
    </row>
    <row r="776" spans="1:10" ht="20" customHeight="1" thickBot="1">
      <c r="A776" s="26" t="s">
        <v>3648</v>
      </c>
      <c r="B776" s="26" t="s">
        <v>3648</v>
      </c>
      <c r="C776" s="26" t="s">
        <v>3644</v>
      </c>
      <c r="D776" s="116">
        <v>9</v>
      </c>
      <c r="E776" s="122" t="s">
        <v>35</v>
      </c>
      <c r="F776" s="119" t="s">
        <v>57</v>
      </c>
      <c r="G776" s="27">
        <v>42965</v>
      </c>
      <c r="H776" s="26" t="s">
        <v>3649</v>
      </c>
      <c r="I776" s="113" t="s">
        <v>12400</v>
      </c>
      <c r="J776" s="113" t="s">
        <v>12401</v>
      </c>
    </row>
    <row r="777" spans="1:10" ht="20" customHeight="1" thickBot="1">
      <c r="A777" s="28" t="s">
        <v>3652</v>
      </c>
      <c r="B777" s="28" t="s">
        <v>3652</v>
      </c>
      <c r="C777" s="28" t="s">
        <v>3644</v>
      </c>
      <c r="D777" s="117">
        <v>12</v>
      </c>
      <c r="E777" s="122" t="s">
        <v>36</v>
      </c>
      <c r="F777" s="120" t="s">
        <v>57</v>
      </c>
      <c r="G777" s="29">
        <v>42965</v>
      </c>
      <c r="H777" s="28" t="s">
        <v>3653</v>
      </c>
      <c r="I777" s="114" t="s">
        <v>12400</v>
      </c>
      <c r="J777" s="114" t="s">
        <v>12401</v>
      </c>
    </row>
    <row r="778" spans="1:10" ht="20" customHeight="1" thickBot="1">
      <c r="A778" s="26" t="s">
        <v>3656</v>
      </c>
      <c r="B778" s="26" t="s">
        <v>3656</v>
      </c>
      <c r="C778" s="26" t="s">
        <v>2526</v>
      </c>
      <c r="D778" s="116">
        <v>10</v>
      </c>
      <c r="E778" s="122" t="s">
        <v>35</v>
      </c>
      <c r="F778" s="119" t="s">
        <v>57</v>
      </c>
      <c r="G778" s="27">
        <v>46094</v>
      </c>
      <c r="H778" s="26" t="s">
        <v>3657</v>
      </c>
      <c r="I778" s="113" t="s">
        <v>12400</v>
      </c>
      <c r="J778" s="113" t="s">
        <v>12401</v>
      </c>
    </row>
    <row r="779" spans="1:10" ht="20" customHeight="1" thickBot="1">
      <c r="A779" s="28" t="s">
        <v>3660</v>
      </c>
      <c r="B779" s="28" t="s">
        <v>3660</v>
      </c>
      <c r="C779" s="28" t="s">
        <v>3661</v>
      </c>
      <c r="D779" s="117">
        <v>22</v>
      </c>
      <c r="E779" s="122" t="s">
        <v>34</v>
      </c>
      <c r="F779" s="120" t="s">
        <v>57</v>
      </c>
      <c r="G779" s="29">
        <v>43569</v>
      </c>
      <c r="H779" s="28" t="s">
        <v>3662</v>
      </c>
      <c r="I779" s="114" t="s">
        <v>12400</v>
      </c>
      <c r="J779" s="114" t="s">
        <v>12401</v>
      </c>
    </row>
    <row r="780" spans="1:10" ht="20" customHeight="1" thickBot="1">
      <c r="A780" s="26" t="s">
        <v>3665</v>
      </c>
      <c r="B780" s="26" t="s">
        <v>3665</v>
      </c>
      <c r="C780" s="26" t="s">
        <v>3666</v>
      </c>
      <c r="D780" s="116">
        <v>25</v>
      </c>
      <c r="E780" s="122" t="s">
        <v>29</v>
      </c>
      <c r="F780" s="119" t="s">
        <v>63</v>
      </c>
      <c r="G780" s="27">
        <v>42239</v>
      </c>
      <c r="H780" s="26" t="s">
        <v>3667</v>
      </c>
      <c r="I780" s="113" t="s">
        <v>12400</v>
      </c>
      <c r="J780" s="113" t="s">
        <v>12401</v>
      </c>
    </row>
    <row r="781" spans="1:10" ht="20" customHeight="1" thickBot="1">
      <c r="A781" s="28" t="s">
        <v>3670</v>
      </c>
      <c r="B781" s="28" t="s">
        <v>3670</v>
      </c>
      <c r="C781" s="28" t="s">
        <v>504</v>
      </c>
      <c r="D781" s="117">
        <v>82</v>
      </c>
      <c r="E781" s="122" t="s">
        <v>29</v>
      </c>
      <c r="F781" s="120" t="s">
        <v>63</v>
      </c>
      <c r="G781" s="29">
        <v>42284</v>
      </c>
      <c r="H781" s="28" t="s">
        <v>3671</v>
      </c>
      <c r="I781" s="114" t="s">
        <v>12400</v>
      </c>
      <c r="J781" s="114" t="s">
        <v>12401</v>
      </c>
    </row>
    <row r="782" spans="1:10" ht="20" customHeight="1" thickBot="1">
      <c r="A782" s="26" t="s">
        <v>3674</v>
      </c>
      <c r="B782" s="26" t="s">
        <v>3674</v>
      </c>
      <c r="C782" s="26" t="s">
        <v>3675</v>
      </c>
      <c r="D782" s="116">
        <v>10</v>
      </c>
      <c r="E782" s="122" t="s">
        <v>29</v>
      </c>
      <c r="F782" s="119" t="s">
        <v>63</v>
      </c>
      <c r="G782" s="27">
        <v>42349</v>
      </c>
      <c r="H782" s="26" t="s">
        <v>3676</v>
      </c>
      <c r="I782" s="113" t="s">
        <v>12400</v>
      </c>
      <c r="J782" s="113" t="s">
        <v>12401</v>
      </c>
    </row>
    <row r="783" spans="1:10" ht="20" customHeight="1" thickBot="1">
      <c r="A783" s="28" t="s">
        <v>3679</v>
      </c>
      <c r="B783" s="28" t="s">
        <v>3679</v>
      </c>
      <c r="C783" s="28" t="s">
        <v>3680</v>
      </c>
      <c r="D783" s="117">
        <v>28</v>
      </c>
      <c r="E783" s="122" t="s">
        <v>33</v>
      </c>
      <c r="F783" s="120" t="s">
        <v>57</v>
      </c>
      <c r="G783" s="29">
        <v>45233</v>
      </c>
      <c r="H783" s="28" t="s">
        <v>3681</v>
      </c>
      <c r="I783" s="114" t="s">
        <v>12400</v>
      </c>
      <c r="J783" s="114" t="s">
        <v>12401</v>
      </c>
    </row>
    <row r="784" spans="1:10" ht="20" customHeight="1" thickBot="1">
      <c r="A784" s="26" t="s">
        <v>3684</v>
      </c>
      <c r="B784" s="26" t="s">
        <v>3684</v>
      </c>
      <c r="C784" s="26" t="s">
        <v>3685</v>
      </c>
      <c r="D784" s="116">
        <v>42</v>
      </c>
      <c r="E784" s="122" t="s">
        <v>31</v>
      </c>
      <c r="F784" s="119" t="s">
        <v>63</v>
      </c>
      <c r="G784" s="27">
        <v>41517</v>
      </c>
      <c r="H784" s="26" t="s">
        <v>3686</v>
      </c>
      <c r="I784" s="113" t="s">
        <v>12400</v>
      </c>
      <c r="J784" s="113" t="s">
        <v>12401</v>
      </c>
    </row>
    <row r="785" spans="1:10" ht="20" customHeight="1" thickBot="1">
      <c r="A785" s="28" t="s">
        <v>3689</v>
      </c>
      <c r="B785" s="28" t="s">
        <v>3689</v>
      </c>
      <c r="C785" s="28" t="s">
        <v>2359</v>
      </c>
      <c r="D785" s="117">
        <v>13</v>
      </c>
      <c r="E785" s="122" t="s">
        <v>34</v>
      </c>
      <c r="F785" s="120" t="s">
        <v>57</v>
      </c>
      <c r="G785" s="29">
        <v>46123</v>
      </c>
      <c r="H785" s="28" t="s">
        <v>3690</v>
      </c>
      <c r="I785" s="114" t="s">
        <v>12400</v>
      </c>
      <c r="J785" s="114" t="s">
        <v>12401</v>
      </c>
    </row>
    <row r="786" spans="1:10" ht="20" customHeight="1" thickBot="1">
      <c r="A786" s="26" t="s">
        <v>3693</v>
      </c>
      <c r="B786" s="26" t="s">
        <v>3693</v>
      </c>
      <c r="C786" s="26" t="s">
        <v>2225</v>
      </c>
      <c r="D786" s="116">
        <v>35</v>
      </c>
      <c r="E786" s="122" t="s">
        <v>29</v>
      </c>
      <c r="F786" s="119" t="s">
        <v>63</v>
      </c>
      <c r="G786" s="27">
        <v>42057</v>
      </c>
      <c r="H786" s="26" t="s">
        <v>3694</v>
      </c>
      <c r="I786" s="113" t="s">
        <v>12400</v>
      </c>
      <c r="J786" s="113" t="s">
        <v>12401</v>
      </c>
    </row>
    <row r="787" spans="1:10" ht="20" customHeight="1" thickBot="1">
      <c r="A787" s="28" t="s">
        <v>3697</v>
      </c>
      <c r="B787" s="28" t="s">
        <v>3697</v>
      </c>
      <c r="C787" s="28" t="s">
        <v>3698</v>
      </c>
      <c r="D787" s="117">
        <v>13</v>
      </c>
      <c r="E787" s="122" t="s">
        <v>34</v>
      </c>
      <c r="F787" s="120" t="s">
        <v>57</v>
      </c>
      <c r="G787" s="29">
        <v>44022</v>
      </c>
      <c r="H787" s="28" t="s">
        <v>3699</v>
      </c>
      <c r="I787" s="114" t="s">
        <v>12400</v>
      </c>
      <c r="J787" s="114" t="s">
        <v>12401</v>
      </c>
    </row>
    <row r="788" spans="1:10" ht="20" customHeight="1" thickBot="1">
      <c r="A788" s="26" t="s">
        <v>3702</v>
      </c>
      <c r="B788" s="26" t="s">
        <v>3702</v>
      </c>
      <c r="C788" s="26" t="s">
        <v>590</v>
      </c>
      <c r="D788" s="116">
        <v>12</v>
      </c>
      <c r="E788" s="122" t="s">
        <v>33</v>
      </c>
      <c r="F788" s="119" t="s">
        <v>57</v>
      </c>
      <c r="G788" s="27">
        <v>44925</v>
      </c>
      <c r="H788" s="26" t="s">
        <v>3703</v>
      </c>
      <c r="I788" s="113" t="s">
        <v>12400</v>
      </c>
      <c r="J788" s="113" t="s">
        <v>12401</v>
      </c>
    </row>
    <row r="789" spans="1:10" ht="20" customHeight="1" thickBot="1">
      <c r="A789" s="28" t="s">
        <v>3706</v>
      </c>
      <c r="B789" s="28" t="s">
        <v>3706</v>
      </c>
      <c r="C789" s="28" t="s">
        <v>3707</v>
      </c>
      <c r="D789" s="117">
        <v>15</v>
      </c>
      <c r="E789" s="122" t="s">
        <v>34</v>
      </c>
      <c r="F789" s="120" t="s">
        <v>57</v>
      </c>
      <c r="G789" s="29">
        <v>45335</v>
      </c>
      <c r="H789" s="28" t="s">
        <v>3708</v>
      </c>
      <c r="I789" s="114" t="s">
        <v>12400</v>
      </c>
      <c r="J789" s="114" t="s">
        <v>12401</v>
      </c>
    </row>
    <row r="790" spans="1:10" ht="20" customHeight="1" thickBot="1">
      <c r="A790" s="26" t="s">
        <v>3711</v>
      </c>
      <c r="B790" s="26" t="s">
        <v>3711</v>
      </c>
      <c r="C790" s="26" t="s">
        <v>360</v>
      </c>
      <c r="D790" s="116">
        <v>5</v>
      </c>
      <c r="E790" s="122" t="s">
        <v>33</v>
      </c>
      <c r="F790" s="119" t="s">
        <v>63</v>
      </c>
      <c r="G790" s="27">
        <v>43800</v>
      </c>
      <c r="H790" s="26" t="s">
        <v>3712</v>
      </c>
      <c r="I790" s="113" t="s">
        <v>12400</v>
      </c>
      <c r="J790" s="113" t="s">
        <v>12401</v>
      </c>
    </row>
    <row r="791" spans="1:10" ht="20" customHeight="1" thickBot="1">
      <c r="A791" s="28" t="s">
        <v>3715</v>
      </c>
      <c r="B791" s="28" t="s">
        <v>3715</v>
      </c>
      <c r="C791" s="28" t="s">
        <v>3716</v>
      </c>
      <c r="D791" s="117">
        <v>4</v>
      </c>
      <c r="E791" s="122" t="s">
        <v>36</v>
      </c>
      <c r="F791" s="120" t="s">
        <v>57</v>
      </c>
      <c r="G791" s="29">
        <v>45551</v>
      </c>
      <c r="H791" s="28" t="s">
        <v>3717</v>
      </c>
      <c r="I791" s="114" t="s">
        <v>12400</v>
      </c>
      <c r="J791" s="114" t="s">
        <v>12401</v>
      </c>
    </row>
    <row r="792" spans="1:10" ht="20" customHeight="1" thickBot="1">
      <c r="A792" s="26" t="s">
        <v>3720</v>
      </c>
      <c r="B792" s="26" t="s">
        <v>3720</v>
      </c>
      <c r="C792" s="26" t="s">
        <v>3721</v>
      </c>
      <c r="D792" s="116">
        <v>1</v>
      </c>
      <c r="E792" s="122" t="s">
        <v>29</v>
      </c>
      <c r="F792" s="119" t="s">
        <v>63</v>
      </c>
      <c r="G792" s="27">
        <v>42003</v>
      </c>
      <c r="H792" s="26" t="s">
        <v>3722</v>
      </c>
      <c r="I792" s="113" t="s">
        <v>12400</v>
      </c>
      <c r="J792" s="113" t="s">
        <v>12401</v>
      </c>
    </row>
    <row r="793" spans="1:10" ht="20" customHeight="1" thickBot="1">
      <c r="A793" s="28" t="s">
        <v>3725</v>
      </c>
      <c r="B793" s="28" t="s">
        <v>3725</v>
      </c>
      <c r="C793" s="28" t="s">
        <v>3726</v>
      </c>
      <c r="D793" s="117">
        <v>11</v>
      </c>
      <c r="E793" s="122" t="s">
        <v>33</v>
      </c>
      <c r="F793" s="120" t="s">
        <v>57</v>
      </c>
      <c r="G793" s="29">
        <v>44214</v>
      </c>
      <c r="H793" s="28" t="s">
        <v>3727</v>
      </c>
      <c r="I793" s="114" t="s">
        <v>12400</v>
      </c>
      <c r="J793" s="114" t="s">
        <v>12401</v>
      </c>
    </row>
    <row r="794" spans="1:10" ht="20" customHeight="1" thickBot="1">
      <c r="A794" s="26" t="s">
        <v>3730</v>
      </c>
      <c r="B794" s="26" t="s">
        <v>3730</v>
      </c>
      <c r="C794" s="26" t="s">
        <v>680</v>
      </c>
      <c r="D794" s="116">
        <v>6</v>
      </c>
      <c r="E794" s="122" t="s">
        <v>31</v>
      </c>
      <c r="F794" s="119" t="s">
        <v>63</v>
      </c>
      <c r="G794" s="27">
        <v>42176</v>
      </c>
      <c r="H794" s="26" t="s">
        <v>3731</v>
      </c>
      <c r="I794" s="113" t="s">
        <v>12400</v>
      </c>
      <c r="J794" s="113" t="s">
        <v>12401</v>
      </c>
    </row>
    <row r="795" spans="1:10" ht="20" customHeight="1" thickBot="1">
      <c r="A795" s="28" t="s">
        <v>3734</v>
      </c>
      <c r="B795" s="28" t="s">
        <v>3734</v>
      </c>
      <c r="C795" s="28" t="s">
        <v>680</v>
      </c>
      <c r="D795" s="117">
        <v>6</v>
      </c>
      <c r="E795" s="122" t="s">
        <v>29</v>
      </c>
      <c r="F795" s="120" t="s">
        <v>63</v>
      </c>
      <c r="G795" s="29">
        <v>41566</v>
      </c>
      <c r="H795" s="28" t="s">
        <v>3735</v>
      </c>
      <c r="I795" s="114" t="s">
        <v>12400</v>
      </c>
      <c r="J795" s="114" t="s">
        <v>12401</v>
      </c>
    </row>
    <row r="796" spans="1:10" ht="20" customHeight="1" thickBot="1">
      <c r="A796" s="26" t="s">
        <v>3738</v>
      </c>
      <c r="B796" s="26" t="s">
        <v>3738</v>
      </c>
      <c r="C796" s="26" t="s">
        <v>680</v>
      </c>
      <c r="D796" s="116">
        <v>32</v>
      </c>
      <c r="E796" s="122" t="s">
        <v>29</v>
      </c>
      <c r="F796" s="119" t="s">
        <v>63</v>
      </c>
      <c r="G796" s="27">
        <v>42176</v>
      </c>
      <c r="H796" s="26" t="s">
        <v>3739</v>
      </c>
      <c r="I796" s="113" t="s">
        <v>12400</v>
      </c>
      <c r="J796" s="113" t="s">
        <v>12401</v>
      </c>
    </row>
    <row r="797" spans="1:10" ht="20" customHeight="1" thickBot="1">
      <c r="A797" s="28" t="s">
        <v>3742</v>
      </c>
      <c r="B797" s="28" t="s">
        <v>3742</v>
      </c>
      <c r="C797" s="28" t="s">
        <v>680</v>
      </c>
      <c r="D797" s="117">
        <v>13</v>
      </c>
      <c r="E797" s="122" t="s">
        <v>31</v>
      </c>
      <c r="F797" s="120" t="s">
        <v>63</v>
      </c>
      <c r="G797" s="29">
        <v>42176</v>
      </c>
      <c r="H797" s="28" t="s">
        <v>3743</v>
      </c>
      <c r="I797" s="114" t="s">
        <v>12400</v>
      </c>
      <c r="J797" s="114" t="s">
        <v>12401</v>
      </c>
    </row>
    <row r="798" spans="1:10" ht="20" customHeight="1" thickBot="1">
      <c r="A798" s="26" t="s">
        <v>3746</v>
      </c>
      <c r="B798" s="26" t="s">
        <v>3746</v>
      </c>
      <c r="C798" s="26" t="s">
        <v>680</v>
      </c>
      <c r="D798" s="116">
        <v>11</v>
      </c>
      <c r="E798" s="122" t="s">
        <v>27</v>
      </c>
      <c r="F798" s="119" t="s">
        <v>63</v>
      </c>
      <c r="G798" s="27">
        <v>41557</v>
      </c>
      <c r="H798" s="26" t="s">
        <v>3747</v>
      </c>
      <c r="I798" s="113" t="s">
        <v>12400</v>
      </c>
      <c r="J798" s="113" t="s">
        <v>12401</v>
      </c>
    </row>
    <row r="799" spans="1:10" ht="20" customHeight="1" thickBot="1">
      <c r="A799" s="28" t="s">
        <v>3750</v>
      </c>
      <c r="B799" s="28" t="s">
        <v>3750</v>
      </c>
      <c r="C799" s="28" t="s">
        <v>3751</v>
      </c>
      <c r="D799" s="117">
        <v>27</v>
      </c>
      <c r="E799" s="122" t="s">
        <v>34</v>
      </c>
      <c r="F799" s="120" t="s">
        <v>57</v>
      </c>
      <c r="G799" s="29">
        <v>44291</v>
      </c>
      <c r="H799" s="28" t="s">
        <v>3752</v>
      </c>
      <c r="I799" s="114" t="s">
        <v>12400</v>
      </c>
      <c r="J799" s="114" t="s">
        <v>12401</v>
      </c>
    </row>
    <row r="800" spans="1:10" ht="20" customHeight="1" thickBot="1">
      <c r="A800" s="26" t="s">
        <v>3755</v>
      </c>
      <c r="B800" s="26" t="s">
        <v>3755</v>
      </c>
      <c r="C800" s="26" t="s">
        <v>670</v>
      </c>
      <c r="D800" s="116">
        <v>25</v>
      </c>
      <c r="E800" s="122" t="s">
        <v>36</v>
      </c>
      <c r="F800" s="119" t="s">
        <v>57</v>
      </c>
      <c r="G800" s="27">
        <v>44956</v>
      </c>
      <c r="H800" s="26" t="s">
        <v>3756</v>
      </c>
      <c r="I800" s="113" t="s">
        <v>12400</v>
      </c>
      <c r="J800" s="113" t="s">
        <v>12401</v>
      </c>
    </row>
    <row r="801" spans="1:10" ht="20" customHeight="1" thickBot="1">
      <c r="A801" s="28" t="s">
        <v>3759</v>
      </c>
      <c r="B801" s="28" t="s">
        <v>3759</v>
      </c>
      <c r="C801" s="28" t="s">
        <v>3760</v>
      </c>
      <c r="D801" s="117">
        <v>10</v>
      </c>
      <c r="E801" s="122" t="s">
        <v>34</v>
      </c>
      <c r="F801" s="120" t="s">
        <v>57</v>
      </c>
      <c r="G801" s="29">
        <v>44361</v>
      </c>
      <c r="H801" s="28" t="s">
        <v>3761</v>
      </c>
      <c r="I801" s="114" t="s">
        <v>12400</v>
      </c>
      <c r="J801" s="114" t="s">
        <v>12401</v>
      </c>
    </row>
    <row r="802" spans="1:10" ht="20" customHeight="1" thickBot="1">
      <c r="A802" s="26" t="s">
        <v>3764</v>
      </c>
      <c r="B802" s="26" t="s">
        <v>3764</v>
      </c>
      <c r="C802" s="26" t="s">
        <v>945</v>
      </c>
      <c r="D802" s="116">
        <v>16</v>
      </c>
      <c r="E802" s="122" t="s">
        <v>33</v>
      </c>
      <c r="F802" s="119" t="s">
        <v>63</v>
      </c>
      <c r="G802" s="27">
        <v>45730</v>
      </c>
      <c r="H802" s="26" t="s">
        <v>3765</v>
      </c>
      <c r="I802" s="113" t="s">
        <v>12400</v>
      </c>
      <c r="J802" s="113" t="s">
        <v>12401</v>
      </c>
    </row>
    <row r="803" spans="1:10" ht="20" customHeight="1" thickBot="1">
      <c r="A803" s="28" t="s">
        <v>3768</v>
      </c>
      <c r="B803" s="28" t="s">
        <v>3768</v>
      </c>
      <c r="C803" s="28" t="s">
        <v>3769</v>
      </c>
      <c r="D803" s="117">
        <v>29</v>
      </c>
      <c r="E803" s="122" t="s">
        <v>34</v>
      </c>
      <c r="F803" s="120" t="s">
        <v>57</v>
      </c>
      <c r="G803" s="29">
        <v>43446</v>
      </c>
      <c r="H803" s="28" t="s">
        <v>3770</v>
      </c>
      <c r="I803" s="114" t="s">
        <v>12400</v>
      </c>
      <c r="J803" s="114" t="s">
        <v>12401</v>
      </c>
    </row>
    <row r="804" spans="1:10" ht="20" customHeight="1" thickBot="1">
      <c r="A804" s="26" t="s">
        <v>3773</v>
      </c>
      <c r="B804" s="26" t="s">
        <v>3773</v>
      </c>
      <c r="C804" s="26" t="s">
        <v>370</v>
      </c>
      <c r="D804" s="116">
        <v>9</v>
      </c>
      <c r="E804" s="122" t="s">
        <v>34</v>
      </c>
      <c r="F804" s="119" t="s">
        <v>57</v>
      </c>
      <c r="G804" s="27">
        <v>44007</v>
      </c>
      <c r="H804" s="26" t="s">
        <v>3774</v>
      </c>
      <c r="I804" s="113" t="s">
        <v>12400</v>
      </c>
      <c r="J804" s="113" t="s">
        <v>12401</v>
      </c>
    </row>
    <row r="805" spans="1:10" ht="20" customHeight="1" thickBot="1">
      <c r="A805" s="28" t="s">
        <v>3777</v>
      </c>
      <c r="B805" s="28" t="s">
        <v>3777</v>
      </c>
      <c r="C805" s="28" t="s">
        <v>3778</v>
      </c>
      <c r="D805" s="117">
        <v>19</v>
      </c>
      <c r="E805" s="122" t="s">
        <v>29</v>
      </c>
      <c r="F805" s="120" t="s">
        <v>63</v>
      </c>
      <c r="G805" s="29">
        <v>42238</v>
      </c>
      <c r="H805" s="28" t="s">
        <v>3779</v>
      </c>
      <c r="I805" s="114" t="s">
        <v>12400</v>
      </c>
      <c r="J805" s="114" t="s">
        <v>12401</v>
      </c>
    </row>
    <row r="806" spans="1:10" ht="20" customHeight="1" thickBot="1">
      <c r="A806" s="26" t="s">
        <v>3782</v>
      </c>
      <c r="B806" s="26" t="s">
        <v>3782</v>
      </c>
      <c r="C806" s="26" t="s">
        <v>3783</v>
      </c>
      <c r="D806" s="116">
        <v>13</v>
      </c>
      <c r="E806" s="122" t="s">
        <v>33</v>
      </c>
      <c r="F806" s="119" t="s">
        <v>57</v>
      </c>
      <c r="G806" s="27">
        <v>45849</v>
      </c>
      <c r="H806" s="26" t="s">
        <v>3784</v>
      </c>
      <c r="I806" s="113" t="s">
        <v>12400</v>
      </c>
      <c r="J806" s="113" t="s">
        <v>12401</v>
      </c>
    </row>
    <row r="807" spans="1:10" ht="20" customHeight="1" thickBot="1">
      <c r="A807" s="28" t="s">
        <v>3787</v>
      </c>
      <c r="B807" s="28" t="s">
        <v>3787</v>
      </c>
      <c r="C807" s="28" t="s">
        <v>3788</v>
      </c>
      <c r="D807" s="117">
        <v>17</v>
      </c>
      <c r="E807" s="122" t="s">
        <v>33</v>
      </c>
      <c r="F807" s="120" t="s">
        <v>57</v>
      </c>
      <c r="G807" s="29">
        <v>42784</v>
      </c>
      <c r="H807" s="28" t="s">
        <v>3789</v>
      </c>
      <c r="I807" s="114" t="s">
        <v>12400</v>
      </c>
      <c r="J807" s="114" t="s">
        <v>12401</v>
      </c>
    </row>
    <row r="808" spans="1:10" ht="20" customHeight="1" thickBot="1">
      <c r="A808" s="26" t="s">
        <v>3792</v>
      </c>
      <c r="B808" s="26" t="s">
        <v>3792</v>
      </c>
      <c r="C808" s="26" t="s">
        <v>3788</v>
      </c>
      <c r="D808" s="116">
        <v>21</v>
      </c>
      <c r="E808" s="122" t="s">
        <v>34</v>
      </c>
      <c r="F808" s="119" t="s">
        <v>57</v>
      </c>
      <c r="G808" s="27">
        <v>43368</v>
      </c>
      <c r="H808" s="26" t="s">
        <v>3793</v>
      </c>
      <c r="I808" s="113" t="s">
        <v>12400</v>
      </c>
      <c r="J808" s="113" t="s">
        <v>12401</v>
      </c>
    </row>
    <row r="809" spans="1:10" ht="20" customHeight="1" thickBot="1">
      <c r="A809" s="28" t="s">
        <v>3796</v>
      </c>
      <c r="B809" s="28" t="s">
        <v>3796</v>
      </c>
      <c r="C809" s="28" t="s">
        <v>3797</v>
      </c>
      <c r="D809" s="117">
        <v>9</v>
      </c>
      <c r="E809" s="122" t="s">
        <v>33</v>
      </c>
      <c r="F809" s="120" t="s">
        <v>57</v>
      </c>
      <c r="G809" s="29">
        <v>45031</v>
      </c>
      <c r="H809" s="28" t="s">
        <v>3798</v>
      </c>
      <c r="I809" s="114" t="s">
        <v>12400</v>
      </c>
      <c r="J809" s="114" t="s">
        <v>12401</v>
      </c>
    </row>
    <row r="810" spans="1:10" ht="20" customHeight="1" thickBot="1">
      <c r="A810" s="26" t="s">
        <v>3801</v>
      </c>
      <c r="B810" s="26" t="s">
        <v>3801</v>
      </c>
      <c r="C810" s="26" t="s">
        <v>2062</v>
      </c>
      <c r="D810" s="116">
        <v>6</v>
      </c>
      <c r="E810" s="122" t="s">
        <v>34</v>
      </c>
      <c r="F810" s="119" t="s">
        <v>57</v>
      </c>
      <c r="G810" s="27">
        <v>43797</v>
      </c>
      <c r="H810" s="26" t="s">
        <v>3802</v>
      </c>
      <c r="I810" s="113" t="s">
        <v>12400</v>
      </c>
      <c r="J810" s="113" t="s">
        <v>12401</v>
      </c>
    </row>
    <row r="811" spans="1:10" ht="20" customHeight="1" thickBot="1">
      <c r="A811" s="28" t="s">
        <v>3805</v>
      </c>
      <c r="B811" s="28" t="s">
        <v>3805</v>
      </c>
      <c r="C811" s="28" t="s">
        <v>94</v>
      </c>
      <c r="D811" s="117">
        <v>14</v>
      </c>
      <c r="E811" s="122" t="s">
        <v>31</v>
      </c>
      <c r="F811" s="120" t="s">
        <v>63</v>
      </c>
      <c r="G811" s="29">
        <v>43705</v>
      </c>
      <c r="H811" s="28" t="s">
        <v>3806</v>
      </c>
      <c r="I811" s="114" t="s">
        <v>12400</v>
      </c>
      <c r="J811" s="114" t="s">
        <v>12401</v>
      </c>
    </row>
    <row r="812" spans="1:10" ht="20" customHeight="1" thickBot="1">
      <c r="A812" s="26" t="s">
        <v>3809</v>
      </c>
      <c r="B812" s="26" t="s">
        <v>3809</v>
      </c>
      <c r="C812" s="26" t="s">
        <v>3810</v>
      </c>
      <c r="D812" s="116">
        <v>1</v>
      </c>
      <c r="E812" s="122" t="s">
        <v>33</v>
      </c>
      <c r="F812" s="119" t="s">
        <v>63</v>
      </c>
      <c r="G812" s="27">
        <v>44781</v>
      </c>
      <c r="H812" s="26" t="s">
        <v>3811</v>
      </c>
      <c r="I812" s="113" t="s">
        <v>12400</v>
      </c>
      <c r="J812" s="113" t="s">
        <v>12401</v>
      </c>
    </row>
    <row r="813" spans="1:10" ht="20" customHeight="1" thickBot="1">
      <c r="A813" s="28" t="s">
        <v>3814</v>
      </c>
      <c r="B813" s="28" t="s">
        <v>3814</v>
      </c>
      <c r="C813" s="28" t="s">
        <v>3815</v>
      </c>
      <c r="D813" s="117">
        <v>5</v>
      </c>
      <c r="E813" s="122" t="s">
        <v>34</v>
      </c>
      <c r="F813" s="120" t="s">
        <v>57</v>
      </c>
      <c r="G813" s="29">
        <v>45788</v>
      </c>
      <c r="H813" s="28" t="s">
        <v>3816</v>
      </c>
      <c r="I813" s="114" t="s">
        <v>12400</v>
      </c>
      <c r="J813" s="114" t="s">
        <v>12401</v>
      </c>
    </row>
    <row r="814" spans="1:10" ht="20" customHeight="1" thickBot="1">
      <c r="A814" s="26" t="s">
        <v>3819</v>
      </c>
      <c r="B814" s="26" t="s">
        <v>3819</v>
      </c>
      <c r="C814" s="26" t="s">
        <v>3820</v>
      </c>
      <c r="D814" s="116">
        <v>6</v>
      </c>
      <c r="E814" s="122" t="s">
        <v>27</v>
      </c>
      <c r="F814" s="119" t="s">
        <v>63</v>
      </c>
      <c r="G814" s="27">
        <v>42285</v>
      </c>
      <c r="H814" s="26" t="s">
        <v>3821</v>
      </c>
      <c r="I814" s="113" t="s">
        <v>12400</v>
      </c>
      <c r="J814" s="113" t="s">
        <v>12401</v>
      </c>
    </row>
    <row r="815" spans="1:10" ht="20" customHeight="1" thickBot="1">
      <c r="A815" s="28" t="s">
        <v>3824</v>
      </c>
      <c r="B815" s="28" t="s">
        <v>3824</v>
      </c>
      <c r="C815" s="28" t="s">
        <v>1556</v>
      </c>
      <c r="D815" s="117">
        <v>29</v>
      </c>
      <c r="E815" s="122" t="s">
        <v>34</v>
      </c>
      <c r="F815" s="120" t="s">
        <v>571</v>
      </c>
      <c r="G815" s="29">
        <v>42939</v>
      </c>
      <c r="H815" s="28" t="s">
        <v>3825</v>
      </c>
      <c r="I815" s="114" t="s">
        <v>12400</v>
      </c>
      <c r="J815" s="114" t="s">
        <v>12401</v>
      </c>
    </row>
    <row r="816" spans="1:10" ht="20" customHeight="1" thickBot="1">
      <c r="A816" s="26" t="s">
        <v>3828</v>
      </c>
      <c r="B816" s="26" t="s">
        <v>3828</v>
      </c>
      <c r="C816" s="26" t="s">
        <v>1556</v>
      </c>
      <c r="D816" s="116">
        <v>29</v>
      </c>
      <c r="E816" s="122" t="s">
        <v>35</v>
      </c>
      <c r="F816" s="119" t="s">
        <v>571</v>
      </c>
      <c r="G816" s="27">
        <v>44106</v>
      </c>
      <c r="H816" s="26" t="s">
        <v>3829</v>
      </c>
      <c r="I816" s="113" t="s">
        <v>12400</v>
      </c>
      <c r="J816" s="113" t="s">
        <v>12401</v>
      </c>
    </row>
    <row r="817" spans="1:10" ht="20" customHeight="1" thickBot="1">
      <c r="A817" s="28" t="s">
        <v>3832</v>
      </c>
      <c r="B817" s="28" t="s">
        <v>3832</v>
      </c>
      <c r="C817" s="28" t="s">
        <v>3833</v>
      </c>
      <c r="D817" s="117">
        <v>4</v>
      </c>
      <c r="E817" s="122" t="s">
        <v>27</v>
      </c>
      <c r="F817" s="120" t="s">
        <v>63</v>
      </c>
      <c r="G817" s="29">
        <v>41814</v>
      </c>
      <c r="H817" s="28" t="s">
        <v>3834</v>
      </c>
      <c r="I817" s="114" t="s">
        <v>12400</v>
      </c>
      <c r="J817" s="114" t="s">
        <v>12401</v>
      </c>
    </row>
    <row r="818" spans="1:10" ht="20" customHeight="1" thickBot="1">
      <c r="A818" s="26" t="s">
        <v>3837</v>
      </c>
      <c r="B818" s="26" t="s">
        <v>3837</v>
      </c>
      <c r="C818" s="26" t="s">
        <v>1506</v>
      </c>
      <c r="D818" s="116">
        <v>5</v>
      </c>
      <c r="E818" s="122" t="s">
        <v>29</v>
      </c>
      <c r="F818" s="119" t="s">
        <v>63</v>
      </c>
      <c r="G818" s="27">
        <v>42217</v>
      </c>
      <c r="H818" s="26" t="s">
        <v>3838</v>
      </c>
      <c r="I818" s="113" t="s">
        <v>12400</v>
      </c>
      <c r="J818" s="113" t="s">
        <v>12401</v>
      </c>
    </row>
    <row r="819" spans="1:10" ht="20" customHeight="1" thickBot="1">
      <c r="A819" s="28" t="s">
        <v>3841</v>
      </c>
      <c r="B819" s="28" t="s">
        <v>3841</v>
      </c>
      <c r="C819" s="28" t="s">
        <v>3842</v>
      </c>
      <c r="D819" s="117">
        <v>16</v>
      </c>
      <c r="E819" s="122" t="s">
        <v>34</v>
      </c>
      <c r="F819" s="120" t="s">
        <v>57</v>
      </c>
      <c r="G819" s="29">
        <v>44103</v>
      </c>
      <c r="H819" s="28" t="s">
        <v>3843</v>
      </c>
      <c r="I819" s="114" t="s">
        <v>12400</v>
      </c>
      <c r="J819" s="114" t="s">
        <v>12401</v>
      </c>
    </row>
    <row r="820" spans="1:10" ht="20" customHeight="1" thickBot="1">
      <c r="A820" s="26" t="s">
        <v>3846</v>
      </c>
      <c r="B820" s="26" t="s">
        <v>3846</v>
      </c>
      <c r="C820" s="26" t="s">
        <v>1824</v>
      </c>
      <c r="D820" s="116">
        <v>65</v>
      </c>
      <c r="E820" s="122" t="s">
        <v>34</v>
      </c>
      <c r="F820" s="119" t="s">
        <v>115</v>
      </c>
      <c r="G820" s="27">
        <v>44248</v>
      </c>
      <c r="H820" s="26" t="s">
        <v>3847</v>
      </c>
      <c r="I820" s="113" t="s">
        <v>12400</v>
      </c>
      <c r="J820" s="113" t="s">
        <v>12401</v>
      </c>
    </row>
    <row r="821" spans="1:10" ht="20" customHeight="1" thickBot="1">
      <c r="A821" s="28" t="s">
        <v>3850</v>
      </c>
      <c r="B821" s="28" t="s">
        <v>3850</v>
      </c>
      <c r="C821" s="28" t="s">
        <v>3851</v>
      </c>
      <c r="D821" s="117">
        <v>3</v>
      </c>
      <c r="E821" s="122" t="s">
        <v>27</v>
      </c>
      <c r="F821" s="120" t="s">
        <v>63</v>
      </c>
      <c r="G821" s="29">
        <v>45162</v>
      </c>
      <c r="H821" s="28" t="s">
        <v>3852</v>
      </c>
      <c r="I821" s="114" t="s">
        <v>12400</v>
      </c>
      <c r="J821" s="114" t="s">
        <v>12401</v>
      </c>
    </row>
    <row r="822" spans="1:10" ht="20" customHeight="1" thickBot="1">
      <c r="A822" s="26" t="s">
        <v>3855</v>
      </c>
      <c r="B822" s="26" t="s">
        <v>3855</v>
      </c>
      <c r="C822" s="26" t="s">
        <v>3851</v>
      </c>
      <c r="D822" s="116">
        <v>13</v>
      </c>
      <c r="E822" s="122" t="s">
        <v>29</v>
      </c>
      <c r="F822" s="119" t="s">
        <v>63</v>
      </c>
      <c r="G822" s="27">
        <v>45210</v>
      </c>
      <c r="H822" s="26" t="s">
        <v>3856</v>
      </c>
      <c r="I822" s="113" t="s">
        <v>12400</v>
      </c>
      <c r="J822" s="113" t="s">
        <v>12401</v>
      </c>
    </row>
    <row r="823" spans="1:10" ht="20" customHeight="1" thickBot="1">
      <c r="A823" s="28" t="s">
        <v>3859</v>
      </c>
      <c r="B823" s="28" t="s">
        <v>3859</v>
      </c>
      <c r="C823" s="28" t="s">
        <v>3860</v>
      </c>
      <c r="D823" s="117">
        <v>9</v>
      </c>
      <c r="E823" s="122" t="s">
        <v>33</v>
      </c>
      <c r="F823" s="120" t="s">
        <v>57</v>
      </c>
      <c r="G823" s="29">
        <v>45831</v>
      </c>
      <c r="H823" s="28" t="s">
        <v>3861</v>
      </c>
      <c r="I823" s="114" t="s">
        <v>12400</v>
      </c>
      <c r="J823" s="114" t="s">
        <v>12401</v>
      </c>
    </row>
    <row r="824" spans="1:10" ht="20" customHeight="1" thickBot="1">
      <c r="A824" s="26" t="s">
        <v>3864</v>
      </c>
      <c r="B824" s="26" t="s">
        <v>3864</v>
      </c>
      <c r="C824" s="26" t="s">
        <v>3865</v>
      </c>
      <c r="D824" s="116">
        <v>8</v>
      </c>
      <c r="E824" s="122" t="s">
        <v>35</v>
      </c>
      <c r="F824" s="119" t="s">
        <v>57</v>
      </c>
      <c r="G824" s="27">
        <v>45416</v>
      </c>
      <c r="H824" s="26" t="s">
        <v>3866</v>
      </c>
      <c r="I824" s="113" t="s">
        <v>12400</v>
      </c>
      <c r="J824" s="113" t="s">
        <v>12401</v>
      </c>
    </row>
    <row r="825" spans="1:10" ht="20" customHeight="1" thickBot="1">
      <c r="A825" s="28" t="s">
        <v>3869</v>
      </c>
      <c r="B825" s="28" t="s">
        <v>3869</v>
      </c>
      <c r="C825" s="28" t="s">
        <v>3870</v>
      </c>
      <c r="D825" s="117">
        <v>6</v>
      </c>
      <c r="E825" s="122" t="s">
        <v>27</v>
      </c>
      <c r="F825" s="120" t="s">
        <v>63</v>
      </c>
      <c r="G825" s="29">
        <v>42841</v>
      </c>
      <c r="H825" s="28" t="s">
        <v>3871</v>
      </c>
      <c r="I825" s="114" t="s">
        <v>12400</v>
      </c>
      <c r="J825" s="114" t="s">
        <v>12401</v>
      </c>
    </row>
    <row r="826" spans="1:10" ht="20" customHeight="1" thickBot="1">
      <c r="A826" s="26" t="s">
        <v>3874</v>
      </c>
      <c r="B826" s="26" t="s">
        <v>3874</v>
      </c>
      <c r="C826" s="26" t="s">
        <v>3324</v>
      </c>
      <c r="D826" s="116">
        <v>9</v>
      </c>
      <c r="E826" s="122" t="s">
        <v>34</v>
      </c>
      <c r="F826" s="119" t="s">
        <v>57</v>
      </c>
      <c r="G826" s="27">
        <v>46176</v>
      </c>
      <c r="H826" s="26" t="s">
        <v>3875</v>
      </c>
      <c r="I826" s="113" t="s">
        <v>12400</v>
      </c>
      <c r="J826" s="113" t="s">
        <v>12401</v>
      </c>
    </row>
    <row r="827" spans="1:10" ht="20" customHeight="1" thickBot="1">
      <c r="A827" s="28" t="s">
        <v>3878</v>
      </c>
      <c r="B827" s="28" t="s">
        <v>3878</v>
      </c>
      <c r="C827" s="28" t="s">
        <v>3879</v>
      </c>
      <c r="D827" s="117">
        <v>6</v>
      </c>
      <c r="E827" s="122" t="s">
        <v>34</v>
      </c>
      <c r="F827" s="120" t="s">
        <v>57</v>
      </c>
      <c r="G827" s="29">
        <v>45121</v>
      </c>
      <c r="H827" s="28" t="s">
        <v>3880</v>
      </c>
      <c r="I827" s="114" t="s">
        <v>12400</v>
      </c>
      <c r="J827" s="114" t="s">
        <v>12401</v>
      </c>
    </row>
    <row r="828" spans="1:10" ht="20" customHeight="1" thickBot="1">
      <c r="A828" s="26" t="s">
        <v>3883</v>
      </c>
      <c r="B828" s="26" t="s">
        <v>3883</v>
      </c>
      <c r="C828" s="26" t="s">
        <v>3884</v>
      </c>
      <c r="D828" s="116">
        <v>5</v>
      </c>
      <c r="E828" s="122" t="s">
        <v>35</v>
      </c>
      <c r="F828" s="119" t="s">
        <v>57</v>
      </c>
      <c r="G828" s="27">
        <v>45606</v>
      </c>
      <c r="H828" s="26" t="s">
        <v>3885</v>
      </c>
      <c r="I828" s="113" t="s">
        <v>12400</v>
      </c>
      <c r="J828" s="113" t="s">
        <v>12401</v>
      </c>
    </row>
    <row r="829" spans="1:10" ht="20" customHeight="1" thickBot="1">
      <c r="A829" s="28" t="s">
        <v>3888</v>
      </c>
      <c r="B829" s="28" t="s">
        <v>3888</v>
      </c>
      <c r="C829" s="28" t="s">
        <v>1097</v>
      </c>
      <c r="D829" s="117">
        <v>1</v>
      </c>
      <c r="E829" s="122" t="s">
        <v>35</v>
      </c>
      <c r="F829" s="120" t="s">
        <v>57</v>
      </c>
      <c r="G829" s="29">
        <v>45408</v>
      </c>
      <c r="H829" s="28" t="s">
        <v>3889</v>
      </c>
      <c r="I829" s="114" t="s">
        <v>12400</v>
      </c>
      <c r="J829" s="114" t="s">
        <v>12401</v>
      </c>
    </row>
    <row r="830" spans="1:10" ht="20" customHeight="1" thickBot="1">
      <c r="A830" s="26" t="s">
        <v>3892</v>
      </c>
      <c r="B830" s="26" t="s">
        <v>3892</v>
      </c>
      <c r="C830" s="26" t="s">
        <v>3893</v>
      </c>
      <c r="D830" s="116">
        <v>24</v>
      </c>
      <c r="E830" s="122" t="s">
        <v>29</v>
      </c>
      <c r="F830" s="119" t="s">
        <v>63</v>
      </c>
      <c r="G830" s="27">
        <v>45704</v>
      </c>
      <c r="H830" s="26" t="s">
        <v>3894</v>
      </c>
      <c r="I830" s="113" t="s">
        <v>12400</v>
      </c>
      <c r="J830" s="113" t="s">
        <v>12401</v>
      </c>
    </row>
    <row r="831" spans="1:10" ht="20" customHeight="1" thickBot="1">
      <c r="A831" s="28" t="s">
        <v>3897</v>
      </c>
      <c r="B831" s="28" t="s">
        <v>3897</v>
      </c>
      <c r="C831" s="28" t="s">
        <v>3893</v>
      </c>
      <c r="D831" s="117">
        <v>12</v>
      </c>
      <c r="E831" s="122" t="s">
        <v>31</v>
      </c>
      <c r="F831" s="120" t="s">
        <v>63</v>
      </c>
      <c r="G831" s="29">
        <v>44833</v>
      </c>
      <c r="H831" s="28" t="s">
        <v>3898</v>
      </c>
      <c r="I831" s="114" t="s">
        <v>12400</v>
      </c>
      <c r="J831" s="114" t="s">
        <v>12401</v>
      </c>
    </row>
    <row r="832" spans="1:10" ht="20" customHeight="1" thickBot="1">
      <c r="A832" s="26" t="s">
        <v>3901</v>
      </c>
      <c r="B832" s="26" t="s">
        <v>3901</v>
      </c>
      <c r="C832" s="26" t="s">
        <v>3902</v>
      </c>
      <c r="D832" s="116">
        <v>1</v>
      </c>
      <c r="E832" s="122" t="s">
        <v>29</v>
      </c>
      <c r="F832" s="119" t="s">
        <v>63</v>
      </c>
      <c r="G832" s="27">
        <v>45567</v>
      </c>
      <c r="H832" s="26" t="s">
        <v>3903</v>
      </c>
      <c r="I832" s="113" t="s">
        <v>12400</v>
      </c>
      <c r="J832" s="113" t="s">
        <v>12401</v>
      </c>
    </row>
    <row r="833" spans="1:10" ht="20" customHeight="1" thickBot="1">
      <c r="A833" s="28" t="s">
        <v>3906</v>
      </c>
      <c r="B833" s="28" t="s">
        <v>3906</v>
      </c>
      <c r="C833" s="28" t="s">
        <v>62</v>
      </c>
      <c r="D833" s="117">
        <v>91</v>
      </c>
      <c r="E833" s="122" t="s">
        <v>31</v>
      </c>
      <c r="F833" s="120" t="s">
        <v>63</v>
      </c>
      <c r="G833" s="29">
        <v>44583</v>
      </c>
      <c r="H833" s="28" t="s">
        <v>3907</v>
      </c>
      <c r="I833" s="114" t="s">
        <v>12400</v>
      </c>
      <c r="J833" s="114" t="s">
        <v>12401</v>
      </c>
    </row>
    <row r="834" spans="1:10" ht="20" customHeight="1" thickBot="1">
      <c r="A834" s="26" t="s">
        <v>3910</v>
      </c>
      <c r="B834" s="26" t="s">
        <v>3910</v>
      </c>
      <c r="C834" s="26" t="s">
        <v>62</v>
      </c>
      <c r="D834" s="116">
        <v>59</v>
      </c>
      <c r="E834" s="122" t="s">
        <v>31</v>
      </c>
      <c r="F834" s="119" t="s">
        <v>63</v>
      </c>
      <c r="G834" s="27">
        <v>44543</v>
      </c>
      <c r="H834" s="26" t="s">
        <v>3911</v>
      </c>
      <c r="I834" s="113" t="s">
        <v>12400</v>
      </c>
      <c r="J834" s="113" t="s">
        <v>12401</v>
      </c>
    </row>
    <row r="835" spans="1:10" ht="20" customHeight="1" thickBot="1">
      <c r="A835" s="28" t="s">
        <v>3914</v>
      </c>
      <c r="B835" s="28" t="s">
        <v>3914</v>
      </c>
      <c r="C835" s="28" t="s">
        <v>3324</v>
      </c>
      <c r="D835" s="117">
        <v>8</v>
      </c>
      <c r="E835" s="122" t="s">
        <v>33</v>
      </c>
      <c r="F835" s="120" t="s">
        <v>57</v>
      </c>
      <c r="G835" s="29">
        <v>45699</v>
      </c>
      <c r="H835" s="28" t="s">
        <v>3915</v>
      </c>
      <c r="I835" s="114" t="s">
        <v>12400</v>
      </c>
      <c r="J835" s="114" t="s">
        <v>12401</v>
      </c>
    </row>
    <row r="836" spans="1:10" ht="20" customHeight="1" thickBot="1">
      <c r="A836" s="26" t="s">
        <v>3918</v>
      </c>
      <c r="B836" s="26" t="s">
        <v>3918</v>
      </c>
      <c r="C836" s="26" t="s">
        <v>1958</v>
      </c>
      <c r="D836" s="116">
        <v>6</v>
      </c>
      <c r="E836" s="122" t="s">
        <v>35</v>
      </c>
      <c r="F836" s="119" t="s">
        <v>57</v>
      </c>
      <c r="G836" s="27">
        <v>44633</v>
      </c>
      <c r="H836" s="26" t="s">
        <v>3919</v>
      </c>
      <c r="I836" s="113" t="s">
        <v>12400</v>
      </c>
      <c r="J836" s="113" t="s">
        <v>12401</v>
      </c>
    </row>
    <row r="837" spans="1:10" ht="20" customHeight="1" thickBot="1">
      <c r="A837" s="28" t="s">
        <v>3922</v>
      </c>
      <c r="B837" s="28" t="s">
        <v>3922</v>
      </c>
      <c r="C837" s="28" t="s">
        <v>3923</v>
      </c>
      <c r="D837" s="117">
        <v>12</v>
      </c>
      <c r="E837" s="122" t="s">
        <v>34</v>
      </c>
      <c r="F837" s="120" t="s">
        <v>57</v>
      </c>
      <c r="G837" s="29">
        <v>45866</v>
      </c>
      <c r="H837" s="28" t="s">
        <v>3924</v>
      </c>
      <c r="I837" s="114" t="s">
        <v>12400</v>
      </c>
      <c r="J837" s="114" t="s">
        <v>12401</v>
      </c>
    </row>
    <row r="838" spans="1:10" ht="20" customHeight="1" thickBot="1">
      <c r="A838" s="26" t="s">
        <v>3927</v>
      </c>
      <c r="B838" s="26" t="s">
        <v>3927</v>
      </c>
      <c r="C838" s="26" t="s">
        <v>3928</v>
      </c>
      <c r="D838" s="116">
        <v>68</v>
      </c>
      <c r="E838" s="122" t="s">
        <v>33</v>
      </c>
      <c r="F838" s="119" t="s">
        <v>57</v>
      </c>
      <c r="G838" s="27">
        <v>46159</v>
      </c>
      <c r="H838" s="26" t="s">
        <v>3929</v>
      </c>
      <c r="I838" s="113" t="s">
        <v>12400</v>
      </c>
      <c r="J838" s="113" t="s">
        <v>12401</v>
      </c>
    </row>
    <row r="839" spans="1:10" ht="20" customHeight="1" thickBot="1">
      <c r="A839" s="28" t="s">
        <v>3932</v>
      </c>
      <c r="B839" s="28" t="s">
        <v>3932</v>
      </c>
      <c r="C839" s="28" t="s">
        <v>1369</v>
      </c>
      <c r="D839" s="117">
        <v>5</v>
      </c>
      <c r="E839" s="122" t="s">
        <v>31</v>
      </c>
      <c r="F839" s="120" t="s">
        <v>57</v>
      </c>
      <c r="G839" s="29">
        <v>45833</v>
      </c>
      <c r="H839" s="28" t="s">
        <v>3933</v>
      </c>
      <c r="I839" s="114" t="s">
        <v>12400</v>
      </c>
      <c r="J839" s="114" t="s">
        <v>12401</v>
      </c>
    </row>
    <row r="840" spans="1:10" ht="20" customHeight="1" thickBot="1">
      <c r="A840" s="26" t="s">
        <v>3936</v>
      </c>
      <c r="B840" s="26" t="s">
        <v>3936</v>
      </c>
      <c r="C840" s="26" t="s">
        <v>3937</v>
      </c>
      <c r="D840" s="116">
        <v>64</v>
      </c>
      <c r="E840" s="122" t="s">
        <v>34</v>
      </c>
      <c r="F840" s="119" t="s">
        <v>57</v>
      </c>
      <c r="G840" s="27">
        <v>45600</v>
      </c>
      <c r="H840" s="26" t="s">
        <v>3938</v>
      </c>
      <c r="I840" s="113" t="s">
        <v>12400</v>
      </c>
      <c r="J840" s="113" t="s">
        <v>12401</v>
      </c>
    </row>
    <row r="841" spans="1:10" ht="20" customHeight="1" thickBot="1">
      <c r="A841" s="28" t="s">
        <v>3941</v>
      </c>
      <c r="B841" s="28" t="s">
        <v>3941</v>
      </c>
      <c r="C841" s="28" t="s">
        <v>3942</v>
      </c>
      <c r="D841" s="117">
        <v>16</v>
      </c>
      <c r="E841" s="122" t="s">
        <v>29</v>
      </c>
      <c r="F841" s="120" t="s">
        <v>63</v>
      </c>
      <c r="G841" s="29">
        <v>41560</v>
      </c>
      <c r="H841" s="28" t="s">
        <v>3943</v>
      </c>
      <c r="I841" s="114" t="s">
        <v>12400</v>
      </c>
      <c r="J841" s="114" t="s">
        <v>12401</v>
      </c>
    </row>
    <row r="842" spans="1:10" ht="20" customHeight="1" thickBot="1">
      <c r="A842" s="26" t="s">
        <v>3946</v>
      </c>
      <c r="B842" s="26" t="s">
        <v>3946</v>
      </c>
      <c r="C842" s="26" t="s">
        <v>3947</v>
      </c>
      <c r="D842" s="116">
        <v>25</v>
      </c>
      <c r="E842" s="122" t="s">
        <v>33</v>
      </c>
      <c r="F842" s="119" t="s">
        <v>57</v>
      </c>
      <c r="G842" s="27">
        <v>43131</v>
      </c>
      <c r="H842" s="26" t="s">
        <v>3948</v>
      </c>
      <c r="I842" s="113" t="s">
        <v>12400</v>
      </c>
      <c r="J842" s="113" t="s">
        <v>12401</v>
      </c>
    </row>
    <row r="843" spans="1:10" ht="20" customHeight="1" thickBot="1">
      <c r="A843" s="28" t="s">
        <v>3951</v>
      </c>
      <c r="B843" s="28" t="s">
        <v>3951</v>
      </c>
      <c r="C843" s="28" t="s">
        <v>3952</v>
      </c>
      <c r="D843" s="117">
        <v>7</v>
      </c>
      <c r="E843" s="122" t="s">
        <v>34</v>
      </c>
      <c r="F843" s="120" t="s">
        <v>57</v>
      </c>
      <c r="G843" s="29">
        <v>44753</v>
      </c>
      <c r="H843" s="28" t="s">
        <v>3953</v>
      </c>
      <c r="I843" s="114" t="s">
        <v>12400</v>
      </c>
      <c r="J843" s="114" t="s">
        <v>12401</v>
      </c>
    </row>
    <row r="844" spans="1:10" ht="20" customHeight="1" thickBot="1">
      <c r="A844" s="26" t="s">
        <v>3956</v>
      </c>
      <c r="B844" s="26" t="s">
        <v>3956</v>
      </c>
      <c r="C844" s="26" t="s">
        <v>3957</v>
      </c>
      <c r="D844" s="116">
        <v>47</v>
      </c>
      <c r="E844" s="122" t="s">
        <v>33</v>
      </c>
      <c r="F844" s="119" t="s">
        <v>63</v>
      </c>
      <c r="G844" s="27">
        <v>41823</v>
      </c>
      <c r="H844" s="26" t="s">
        <v>3958</v>
      </c>
      <c r="I844" s="113" t="s">
        <v>12400</v>
      </c>
      <c r="J844" s="113" t="s">
        <v>12401</v>
      </c>
    </row>
    <row r="845" spans="1:10" ht="20" customHeight="1" thickBot="1">
      <c r="A845" s="28" t="s">
        <v>3961</v>
      </c>
      <c r="B845" s="28" t="s">
        <v>3961</v>
      </c>
      <c r="C845" s="28" t="s">
        <v>223</v>
      </c>
      <c r="D845" s="117">
        <v>7</v>
      </c>
      <c r="E845" s="122" t="s">
        <v>31</v>
      </c>
      <c r="F845" s="120" t="s">
        <v>63</v>
      </c>
      <c r="G845" s="29">
        <v>43977</v>
      </c>
      <c r="H845" s="28" t="s">
        <v>3962</v>
      </c>
      <c r="I845" s="114" t="s">
        <v>12400</v>
      </c>
      <c r="J845" s="114" t="s">
        <v>12401</v>
      </c>
    </row>
    <row r="846" spans="1:10" ht="20" customHeight="1" thickBot="1">
      <c r="A846" s="26" t="s">
        <v>3965</v>
      </c>
      <c r="B846" s="26" t="s">
        <v>3965</v>
      </c>
      <c r="C846" s="26" t="s">
        <v>3137</v>
      </c>
      <c r="D846" s="116">
        <v>27</v>
      </c>
      <c r="E846" s="122" t="s">
        <v>34</v>
      </c>
      <c r="F846" s="119" t="s">
        <v>57</v>
      </c>
      <c r="G846" s="27">
        <v>43971</v>
      </c>
      <c r="H846" s="26" t="s">
        <v>3966</v>
      </c>
      <c r="I846" s="113" t="s">
        <v>12400</v>
      </c>
      <c r="J846" s="113" t="s">
        <v>12401</v>
      </c>
    </row>
    <row r="847" spans="1:10" ht="20" customHeight="1" thickBot="1">
      <c r="A847" s="28" t="s">
        <v>3969</v>
      </c>
      <c r="B847" s="28" t="s">
        <v>3969</v>
      </c>
      <c r="C847" s="28" t="s">
        <v>3137</v>
      </c>
      <c r="D847" s="117">
        <v>34</v>
      </c>
      <c r="E847" s="122" t="s">
        <v>35</v>
      </c>
      <c r="F847" s="120" t="s">
        <v>57</v>
      </c>
      <c r="G847" s="29">
        <v>44853</v>
      </c>
      <c r="H847" s="28" t="s">
        <v>3970</v>
      </c>
      <c r="I847" s="114" t="s">
        <v>12400</v>
      </c>
      <c r="J847" s="114" t="s">
        <v>12401</v>
      </c>
    </row>
    <row r="848" spans="1:10" ht="20" customHeight="1" thickBot="1">
      <c r="A848" s="26" t="s">
        <v>3973</v>
      </c>
      <c r="B848" s="26" t="s">
        <v>3973</v>
      </c>
      <c r="C848" s="26" t="s">
        <v>2573</v>
      </c>
      <c r="D848" s="116">
        <v>34</v>
      </c>
      <c r="E848" s="122" t="s">
        <v>35</v>
      </c>
      <c r="F848" s="119" t="s">
        <v>57</v>
      </c>
      <c r="G848" s="27">
        <v>46196</v>
      </c>
      <c r="H848" s="26" t="s">
        <v>3974</v>
      </c>
      <c r="I848" s="113" t="s">
        <v>12400</v>
      </c>
      <c r="J848" s="113" t="s">
        <v>12401</v>
      </c>
    </row>
    <row r="849" spans="1:10" ht="20" customHeight="1" thickBot="1">
      <c r="A849" s="28" t="s">
        <v>3977</v>
      </c>
      <c r="B849" s="28" t="s">
        <v>3977</v>
      </c>
      <c r="C849" s="28" t="s">
        <v>3978</v>
      </c>
      <c r="D849" s="117">
        <v>8</v>
      </c>
      <c r="E849" s="122" t="s">
        <v>35</v>
      </c>
      <c r="F849" s="120" t="s">
        <v>57</v>
      </c>
      <c r="G849" s="29">
        <v>44102</v>
      </c>
      <c r="H849" s="28" t="s">
        <v>3979</v>
      </c>
      <c r="I849" s="114" t="s">
        <v>12400</v>
      </c>
      <c r="J849" s="114" t="s">
        <v>12401</v>
      </c>
    </row>
    <row r="850" spans="1:10" ht="20" customHeight="1" thickBot="1">
      <c r="A850" s="26" t="s">
        <v>3982</v>
      </c>
      <c r="B850" s="26" t="s">
        <v>3982</v>
      </c>
      <c r="C850" s="26" t="s">
        <v>1097</v>
      </c>
      <c r="D850" s="116">
        <v>1</v>
      </c>
      <c r="E850" s="122" t="s">
        <v>35</v>
      </c>
      <c r="F850" s="119" t="s">
        <v>571</v>
      </c>
      <c r="G850" s="27">
        <v>45406</v>
      </c>
      <c r="H850" s="26" t="s">
        <v>3983</v>
      </c>
      <c r="I850" s="113" t="s">
        <v>12400</v>
      </c>
      <c r="J850" s="113" t="s">
        <v>12401</v>
      </c>
    </row>
    <row r="851" spans="1:10" ht="20" customHeight="1" thickBot="1">
      <c r="A851" s="28" t="s">
        <v>3986</v>
      </c>
      <c r="B851" s="28" t="s">
        <v>3986</v>
      </c>
      <c r="C851" s="28" t="s">
        <v>3987</v>
      </c>
      <c r="D851" s="117">
        <v>15</v>
      </c>
      <c r="E851" s="122" t="s">
        <v>27</v>
      </c>
      <c r="F851" s="120" t="s">
        <v>63</v>
      </c>
      <c r="G851" s="29">
        <v>46055</v>
      </c>
      <c r="H851" s="28" t="s">
        <v>3988</v>
      </c>
      <c r="I851" s="114" t="s">
        <v>12400</v>
      </c>
      <c r="J851" s="114" t="s">
        <v>12401</v>
      </c>
    </row>
    <row r="852" spans="1:10" ht="20" customHeight="1" thickBot="1">
      <c r="A852" s="26" t="s">
        <v>3991</v>
      </c>
      <c r="B852" s="26" t="s">
        <v>3991</v>
      </c>
      <c r="C852" s="26" t="s">
        <v>920</v>
      </c>
      <c r="D852" s="116">
        <v>8</v>
      </c>
      <c r="E852" s="122" t="s">
        <v>33</v>
      </c>
      <c r="F852" s="119" t="s">
        <v>63</v>
      </c>
      <c r="G852" s="27">
        <v>43940</v>
      </c>
      <c r="H852" s="26" t="s">
        <v>3992</v>
      </c>
      <c r="I852" s="113" t="s">
        <v>12400</v>
      </c>
      <c r="J852" s="113" t="s">
        <v>12401</v>
      </c>
    </row>
    <row r="853" spans="1:10" ht="20" customHeight="1" thickBot="1">
      <c r="A853" s="28" t="s">
        <v>3995</v>
      </c>
      <c r="B853" s="28" t="s">
        <v>3995</v>
      </c>
      <c r="C853" s="28" t="s">
        <v>3996</v>
      </c>
      <c r="D853" s="117">
        <v>1</v>
      </c>
      <c r="E853" s="122" t="s">
        <v>33</v>
      </c>
      <c r="F853" s="120" t="s">
        <v>571</v>
      </c>
      <c r="G853" s="29">
        <v>41817</v>
      </c>
      <c r="H853" s="28" t="s">
        <v>3997</v>
      </c>
      <c r="I853" s="114" t="s">
        <v>12400</v>
      </c>
      <c r="J853" s="114" t="s">
        <v>12401</v>
      </c>
    </row>
    <row r="854" spans="1:10" ht="20" customHeight="1" thickBot="1">
      <c r="A854" s="26" t="s">
        <v>4000</v>
      </c>
      <c r="B854" s="26" t="s">
        <v>4000</v>
      </c>
      <c r="C854" s="26" t="s">
        <v>3289</v>
      </c>
      <c r="D854" s="116">
        <v>51</v>
      </c>
      <c r="E854" s="122" t="s">
        <v>29</v>
      </c>
      <c r="F854" s="119" t="s">
        <v>63</v>
      </c>
      <c r="G854" s="27">
        <v>42315</v>
      </c>
      <c r="H854" s="26" t="s">
        <v>4001</v>
      </c>
      <c r="I854" s="113" t="s">
        <v>12400</v>
      </c>
      <c r="J854" s="113" t="s">
        <v>12401</v>
      </c>
    </row>
    <row r="855" spans="1:10" ht="20" customHeight="1" thickBot="1">
      <c r="A855" s="28" t="s">
        <v>4004</v>
      </c>
      <c r="B855" s="28" t="s">
        <v>4004</v>
      </c>
      <c r="C855" s="28" t="s">
        <v>4005</v>
      </c>
      <c r="D855" s="117">
        <v>4</v>
      </c>
      <c r="E855" s="122" t="s">
        <v>31</v>
      </c>
      <c r="F855" s="120" t="s">
        <v>57</v>
      </c>
      <c r="G855" s="29">
        <v>43486</v>
      </c>
      <c r="H855" s="28" t="s">
        <v>4006</v>
      </c>
      <c r="I855" s="114" t="s">
        <v>12400</v>
      </c>
      <c r="J855" s="114" t="s">
        <v>12401</v>
      </c>
    </row>
    <row r="856" spans="1:10" ht="20" customHeight="1" thickBot="1">
      <c r="A856" s="26" t="s">
        <v>4009</v>
      </c>
      <c r="B856" s="26" t="s">
        <v>4009</v>
      </c>
      <c r="C856" s="26" t="s">
        <v>4010</v>
      </c>
      <c r="D856" s="116">
        <v>10</v>
      </c>
      <c r="E856" s="122" t="s">
        <v>27</v>
      </c>
      <c r="F856" s="119" t="s">
        <v>63</v>
      </c>
      <c r="G856" s="27">
        <v>42039</v>
      </c>
      <c r="H856" s="26" t="s">
        <v>4011</v>
      </c>
      <c r="I856" s="113" t="s">
        <v>12400</v>
      </c>
      <c r="J856" s="113" t="s">
        <v>12401</v>
      </c>
    </row>
    <row r="857" spans="1:10" ht="20" customHeight="1" thickBot="1">
      <c r="A857" s="28" t="s">
        <v>4014</v>
      </c>
      <c r="B857" s="28" t="s">
        <v>4014</v>
      </c>
      <c r="C857" s="28" t="s">
        <v>83</v>
      </c>
      <c r="D857" s="117">
        <v>15</v>
      </c>
      <c r="E857" s="122" t="s">
        <v>33</v>
      </c>
      <c r="F857" s="120" t="s">
        <v>57</v>
      </c>
      <c r="G857" s="29">
        <v>44966</v>
      </c>
      <c r="H857" s="28" t="s">
        <v>4015</v>
      </c>
      <c r="I857" s="114" t="s">
        <v>12400</v>
      </c>
      <c r="J857" s="114" t="s">
        <v>12401</v>
      </c>
    </row>
    <row r="858" spans="1:10" ht="20" customHeight="1" thickBot="1">
      <c r="A858" s="26" t="s">
        <v>4018</v>
      </c>
      <c r="B858" s="26" t="s">
        <v>4018</v>
      </c>
      <c r="C858" s="26" t="s">
        <v>1665</v>
      </c>
      <c r="D858" s="116">
        <v>9</v>
      </c>
      <c r="E858" s="122" t="s">
        <v>34</v>
      </c>
      <c r="F858" s="119" t="s">
        <v>57</v>
      </c>
      <c r="G858" s="27">
        <v>45550</v>
      </c>
      <c r="H858" s="26" t="s">
        <v>4019</v>
      </c>
      <c r="I858" s="113" t="s">
        <v>12400</v>
      </c>
      <c r="J858" s="113" t="s">
        <v>12401</v>
      </c>
    </row>
    <row r="859" spans="1:10" ht="20" customHeight="1" thickBot="1">
      <c r="A859" s="28" t="s">
        <v>4022</v>
      </c>
      <c r="B859" s="28" t="s">
        <v>4022</v>
      </c>
      <c r="C859" s="28" t="s">
        <v>2269</v>
      </c>
      <c r="D859" s="117">
        <v>1</v>
      </c>
      <c r="E859" s="122" t="s">
        <v>35</v>
      </c>
      <c r="F859" s="120" t="s">
        <v>89</v>
      </c>
      <c r="G859" s="29">
        <v>44127</v>
      </c>
      <c r="H859" s="28" t="s">
        <v>4023</v>
      </c>
      <c r="I859" s="114" t="s">
        <v>12400</v>
      </c>
      <c r="J859" s="114" t="s">
        <v>12401</v>
      </c>
    </row>
    <row r="860" spans="1:10" ht="20" customHeight="1" thickBot="1">
      <c r="A860" s="26" t="s">
        <v>4026</v>
      </c>
      <c r="B860" s="26" t="s">
        <v>4026</v>
      </c>
      <c r="C860" s="26" t="s">
        <v>4027</v>
      </c>
      <c r="D860" s="116">
        <v>23</v>
      </c>
      <c r="E860" s="122" t="s">
        <v>33</v>
      </c>
      <c r="F860" s="119" t="s">
        <v>57</v>
      </c>
      <c r="G860" s="27">
        <v>44104</v>
      </c>
      <c r="H860" s="26" t="s">
        <v>4028</v>
      </c>
      <c r="I860" s="113" t="s">
        <v>12400</v>
      </c>
      <c r="J860" s="113" t="s">
        <v>12401</v>
      </c>
    </row>
    <row r="861" spans="1:10" ht="20" customHeight="1" thickBot="1">
      <c r="A861" s="28" t="s">
        <v>4031</v>
      </c>
      <c r="B861" s="28" t="s">
        <v>4031</v>
      </c>
      <c r="C861" s="28" t="s">
        <v>4032</v>
      </c>
      <c r="D861" s="117">
        <v>1</v>
      </c>
      <c r="E861" s="122" t="s">
        <v>36</v>
      </c>
      <c r="F861" s="120" t="s">
        <v>57</v>
      </c>
      <c r="G861" s="29">
        <v>45403</v>
      </c>
      <c r="H861" s="28" t="s">
        <v>4033</v>
      </c>
      <c r="I861" s="114" t="s">
        <v>12400</v>
      </c>
      <c r="J861" s="114" t="s">
        <v>12401</v>
      </c>
    </row>
    <row r="862" spans="1:10" ht="20" customHeight="1" thickBot="1">
      <c r="A862" s="26" t="s">
        <v>4036</v>
      </c>
      <c r="B862" s="26" t="s">
        <v>4036</v>
      </c>
      <c r="C862" s="26" t="s">
        <v>1580</v>
      </c>
      <c r="D862" s="116">
        <v>23</v>
      </c>
      <c r="E862" s="122" t="s">
        <v>34</v>
      </c>
      <c r="F862" s="119" t="s">
        <v>57</v>
      </c>
      <c r="G862" s="27">
        <v>43300</v>
      </c>
      <c r="H862" s="26" t="s">
        <v>4037</v>
      </c>
      <c r="I862" s="113" t="s">
        <v>12400</v>
      </c>
      <c r="J862" s="113" t="s">
        <v>12401</v>
      </c>
    </row>
    <row r="863" spans="1:10" ht="20" customHeight="1" thickBot="1">
      <c r="A863" s="28" t="s">
        <v>4040</v>
      </c>
      <c r="B863" s="28" t="s">
        <v>4040</v>
      </c>
      <c r="C863" s="28" t="s">
        <v>4041</v>
      </c>
      <c r="D863" s="117">
        <v>16</v>
      </c>
      <c r="E863" s="122" t="s">
        <v>27</v>
      </c>
      <c r="F863" s="120" t="s">
        <v>63</v>
      </c>
      <c r="G863" s="29">
        <v>42243</v>
      </c>
      <c r="H863" s="28" t="s">
        <v>4042</v>
      </c>
      <c r="I863" s="114" t="s">
        <v>12400</v>
      </c>
      <c r="J863" s="114" t="s">
        <v>12401</v>
      </c>
    </row>
    <row r="864" spans="1:10" ht="20" customHeight="1" thickBot="1">
      <c r="A864" s="26" t="s">
        <v>4045</v>
      </c>
      <c r="B864" s="26" t="s">
        <v>4045</v>
      </c>
      <c r="C864" s="26" t="s">
        <v>4046</v>
      </c>
      <c r="D864" s="116">
        <v>13</v>
      </c>
      <c r="E864" s="122" t="s">
        <v>27</v>
      </c>
      <c r="F864" s="119" t="s">
        <v>63</v>
      </c>
      <c r="G864" s="27">
        <v>42233</v>
      </c>
      <c r="H864" s="26" t="s">
        <v>4047</v>
      </c>
      <c r="I864" s="113" t="s">
        <v>12400</v>
      </c>
      <c r="J864" s="113" t="s">
        <v>12401</v>
      </c>
    </row>
    <row r="865" spans="1:10" ht="20" customHeight="1" thickBot="1">
      <c r="A865" s="28" t="s">
        <v>4050</v>
      </c>
      <c r="B865" s="28" t="s">
        <v>4050</v>
      </c>
      <c r="C865" s="28" t="s">
        <v>4051</v>
      </c>
      <c r="D865" s="117">
        <v>9</v>
      </c>
      <c r="E865" s="122" t="s">
        <v>29</v>
      </c>
      <c r="F865" s="120" t="s">
        <v>63</v>
      </c>
      <c r="G865" s="29">
        <v>41694</v>
      </c>
      <c r="H865" s="28" t="s">
        <v>4052</v>
      </c>
      <c r="I865" s="114" t="s">
        <v>12400</v>
      </c>
      <c r="J865" s="114" t="s">
        <v>12401</v>
      </c>
    </row>
    <row r="866" spans="1:10" ht="20" customHeight="1" thickBot="1">
      <c r="A866" s="26" t="s">
        <v>4055</v>
      </c>
      <c r="B866" s="26" t="s">
        <v>4055</v>
      </c>
      <c r="C866" s="26" t="s">
        <v>1210</v>
      </c>
      <c r="D866" s="116">
        <v>111</v>
      </c>
      <c r="E866" s="122" t="s">
        <v>31</v>
      </c>
      <c r="F866" s="119" t="s">
        <v>63</v>
      </c>
      <c r="G866" s="27">
        <v>43316</v>
      </c>
      <c r="H866" s="26" t="s">
        <v>4056</v>
      </c>
      <c r="I866" s="113" t="s">
        <v>12400</v>
      </c>
      <c r="J866" s="113" t="s">
        <v>12401</v>
      </c>
    </row>
    <row r="867" spans="1:10" ht="20" customHeight="1" thickBot="1">
      <c r="A867" s="28" t="s">
        <v>4059</v>
      </c>
      <c r="B867" s="28" t="s">
        <v>4059</v>
      </c>
      <c r="C867" s="28" t="s">
        <v>4060</v>
      </c>
      <c r="D867" s="117">
        <v>5</v>
      </c>
      <c r="E867" s="122" t="s">
        <v>27</v>
      </c>
      <c r="F867" s="120" t="s">
        <v>63</v>
      </c>
      <c r="G867" s="29">
        <v>42238</v>
      </c>
      <c r="H867" s="28" t="s">
        <v>4061</v>
      </c>
      <c r="I867" s="114" t="s">
        <v>12400</v>
      </c>
      <c r="J867" s="114" t="s">
        <v>12401</v>
      </c>
    </row>
    <row r="868" spans="1:10" ht="20" customHeight="1" thickBot="1">
      <c r="A868" s="26" t="s">
        <v>4064</v>
      </c>
      <c r="B868" s="26" t="s">
        <v>4064</v>
      </c>
      <c r="C868" s="26" t="s">
        <v>4065</v>
      </c>
      <c r="D868" s="116">
        <v>21</v>
      </c>
      <c r="E868" s="122" t="s">
        <v>29</v>
      </c>
      <c r="F868" s="119" t="s">
        <v>63</v>
      </c>
      <c r="G868" s="27">
        <v>41837</v>
      </c>
      <c r="H868" s="26" t="s">
        <v>4066</v>
      </c>
      <c r="I868" s="113" t="s">
        <v>12400</v>
      </c>
      <c r="J868" s="113" t="s">
        <v>12401</v>
      </c>
    </row>
    <row r="869" spans="1:10" ht="20" customHeight="1" thickBot="1">
      <c r="A869" s="28" t="s">
        <v>4069</v>
      </c>
      <c r="B869" s="28" t="s">
        <v>4069</v>
      </c>
      <c r="C869" s="28" t="s">
        <v>4070</v>
      </c>
      <c r="D869" s="117">
        <v>3</v>
      </c>
      <c r="E869" s="122" t="s">
        <v>27</v>
      </c>
      <c r="F869" s="120" t="s">
        <v>63</v>
      </c>
      <c r="G869" s="29">
        <v>42163</v>
      </c>
      <c r="H869" s="28" t="s">
        <v>4071</v>
      </c>
      <c r="I869" s="114" t="s">
        <v>12400</v>
      </c>
      <c r="J869" s="114" t="s">
        <v>12401</v>
      </c>
    </row>
    <row r="870" spans="1:10" ht="20" customHeight="1" thickBot="1">
      <c r="A870" s="26" t="s">
        <v>4074</v>
      </c>
      <c r="B870" s="26" t="s">
        <v>4074</v>
      </c>
      <c r="C870" s="26" t="s">
        <v>4075</v>
      </c>
      <c r="D870" s="116">
        <v>80</v>
      </c>
      <c r="E870" s="122" t="s">
        <v>33</v>
      </c>
      <c r="F870" s="119" t="s">
        <v>63</v>
      </c>
      <c r="G870" s="27">
        <v>46048</v>
      </c>
      <c r="H870" s="26" t="s">
        <v>4076</v>
      </c>
      <c r="I870" s="113" t="s">
        <v>12400</v>
      </c>
      <c r="J870" s="113" t="s">
        <v>12401</v>
      </c>
    </row>
    <row r="871" spans="1:10" ht="20" customHeight="1" thickBot="1">
      <c r="A871" s="28" t="s">
        <v>4079</v>
      </c>
      <c r="B871" s="28" t="s">
        <v>4079</v>
      </c>
      <c r="C871" s="28" t="s">
        <v>4080</v>
      </c>
      <c r="D871" s="117">
        <v>6</v>
      </c>
      <c r="E871" s="122" t="s">
        <v>34</v>
      </c>
      <c r="F871" s="120" t="s">
        <v>57</v>
      </c>
      <c r="G871" s="29">
        <v>44308</v>
      </c>
      <c r="H871" s="28" t="s">
        <v>4081</v>
      </c>
      <c r="I871" s="114" t="s">
        <v>12400</v>
      </c>
      <c r="J871" s="114" t="s">
        <v>12401</v>
      </c>
    </row>
    <row r="872" spans="1:10" ht="20" customHeight="1" thickBot="1">
      <c r="A872" s="26" t="s">
        <v>4084</v>
      </c>
      <c r="B872" s="26" t="s">
        <v>4084</v>
      </c>
      <c r="C872" s="26" t="s">
        <v>1996</v>
      </c>
      <c r="D872" s="116">
        <v>47</v>
      </c>
      <c r="E872" s="122" t="s">
        <v>31</v>
      </c>
      <c r="F872" s="119" t="s">
        <v>63</v>
      </c>
      <c r="G872" s="27">
        <v>42902</v>
      </c>
      <c r="H872" s="26" t="s">
        <v>4085</v>
      </c>
      <c r="I872" s="113" t="s">
        <v>12400</v>
      </c>
      <c r="J872" s="113" t="s">
        <v>12401</v>
      </c>
    </row>
    <row r="873" spans="1:10" ht="20" customHeight="1" thickBot="1">
      <c r="A873" s="28" t="s">
        <v>4088</v>
      </c>
      <c r="B873" s="28" t="s">
        <v>4088</v>
      </c>
      <c r="C873" s="28" t="s">
        <v>452</v>
      </c>
      <c r="D873" s="117">
        <v>18</v>
      </c>
      <c r="E873" s="122" t="s">
        <v>31</v>
      </c>
      <c r="F873" s="120" t="s">
        <v>57</v>
      </c>
      <c r="G873" s="29">
        <v>45847</v>
      </c>
      <c r="H873" s="28" t="s">
        <v>4089</v>
      </c>
      <c r="I873" s="114" t="s">
        <v>12400</v>
      </c>
      <c r="J873" s="114" t="s">
        <v>12401</v>
      </c>
    </row>
    <row r="874" spans="1:10" ht="20" customHeight="1" thickBot="1">
      <c r="A874" s="26" t="s">
        <v>4092</v>
      </c>
      <c r="B874" s="26" t="s">
        <v>4092</v>
      </c>
      <c r="C874" s="26" t="s">
        <v>2687</v>
      </c>
      <c r="D874" s="116">
        <v>17</v>
      </c>
      <c r="E874" s="122" t="s">
        <v>31</v>
      </c>
      <c r="F874" s="119" t="s">
        <v>57</v>
      </c>
      <c r="G874" s="27">
        <v>44690</v>
      </c>
      <c r="H874" s="26" t="s">
        <v>4093</v>
      </c>
      <c r="I874" s="113" t="s">
        <v>12400</v>
      </c>
      <c r="J874" s="113" t="s">
        <v>12401</v>
      </c>
    </row>
    <row r="875" spans="1:10" ht="20" customHeight="1" thickBot="1">
      <c r="A875" s="28" t="s">
        <v>4096</v>
      </c>
      <c r="B875" s="28" t="s">
        <v>4096</v>
      </c>
      <c r="C875" s="28" t="s">
        <v>452</v>
      </c>
      <c r="D875" s="117">
        <v>6</v>
      </c>
      <c r="E875" s="122" t="s">
        <v>33</v>
      </c>
      <c r="F875" s="120" t="s">
        <v>57</v>
      </c>
      <c r="G875" s="29">
        <v>44869</v>
      </c>
      <c r="H875" s="28" t="s">
        <v>4097</v>
      </c>
      <c r="I875" s="114" t="s">
        <v>12400</v>
      </c>
      <c r="J875" s="114" t="s">
        <v>12401</v>
      </c>
    </row>
    <row r="876" spans="1:10" ht="20" customHeight="1" thickBot="1">
      <c r="A876" s="26" t="s">
        <v>4100</v>
      </c>
      <c r="B876" s="26" t="s">
        <v>4100</v>
      </c>
      <c r="C876" s="26" t="s">
        <v>1176</v>
      </c>
      <c r="D876" s="116">
        <v>56</v>
      </c>
      <c r="E876" s="122" t="s">
        <v>31</v>
      </c>
      <c r="F876" s="119" t="s">
        <v>63</v>
      </c>
      <c r="G876" s="27">
        <v>43844</v>
      </c>
      <c r="H876" s="26" t="s">
        <v>4101</v>
      </c>
      <c r="I876" s="113" t="s">
        <v>12400</v>
      </c>
      <c r="J876" s="113" t="s">
        <v>12401</v>
      </c>
    </row>
    <row r="877" spans="1:10" ht="20" customHeight="1" thickBot="1">
      <c r="A877" s="28" t="s">
        <v>4104</v>
      </c>
      <c r="B877" s="28" t="s">
        <v>4104</v>
      </c>
      <c r="C877" s="28" t="s">
        <v>827</v>
      </c>
      <c r="D877" s="117">
        <v>5</v>
      </c>
      <c r="E877" s="122" t="s">
        <v>27</v>
      </c>
      <c r="F877" s="120" t="s">
        <v>63</v>
      </c>
      <c r="G877" s="29">
        <v>44730</v>
      </c>
      <c r="H877" s="28" t="s">
        <v>4105</v>
      </c>
      <c r="I877" s="114" t="s">
        <v>12400</v>
      </c>
      <c r="J877" s="114" t="s">
        <v>12401</v>
      </c>
    </row>
    <row r="878" spans="1:10" ht="20" customHeight="1" thickBot="1">
      <c r="A878" s="26" t="s">
        <v>4108</v>
      </c>
      <c r="B878" s="26" t="s">
        <v>4108</v>
      </c>
      <c r="C878" s="26" t="s">
        <v>2401</v>
      </c>
      <c r="D878" s="116">
        <v>93</v>
      </c>
      <c r="E878" s="122" t="s">
        <v>29</v>
      </c>
      <c r="F878" s="119" t="s">
        <v>63</v>
      </c>
      <c r="G878" s="27">
        <v>42727</v>
      </c>
      <c r="H878" s="26" t="s">
        <v>4109</v>
      </c>
      <c r="I878" s="113" t="s">
        <v>12400</v>
      </c>
      <c r="J878" s="113" t="s">
        <v>12401</v>
      </c>
    </row>
    <row r="879" spans="1:10" ht="20" customHeight="1" thickBot="1">
      <c r="A879" s="28" t="s">
        <v>4112</v>
      </c>
      <c r="B879" s="28" t="s">
        <v>4112</v>
      </c>
      <c r="C879" s="28" t="s">
        <v>4113</v>
      </c>
      <c r="D879" s="117">
        <v>10</v>
      </c>
      <c r="E879" s="122" t="s">
        <v>29</v>
      </c>
      <c r="F879" s="120" t="s">
        <v>63</v>
      </c>
      <c r="G879" s="29">
        <v>45704</v>
      </c>
      <c r="H879" s="28" t="s">
        <v>4114</v>
      </c>
      <c r="I879" s="114" t="s">
        <v>12400</v>
      </c>
      <c r="J879" s="114" t="s">
        <v>12401</v>
      </c>
    </row>
    <row r="880" spans="1:10" ht="20" customHeight="1" thickBot="1">
      <c r="A880" s="26" t="s">
        <v>4117</v>
      </c>
      <c r="B880" s="26" t="s">
        <v>4117</v>
      </c>
      <c r="C880" s="26" t="s">
        <v>4118</v>
      </c>
      <c r="D880" s="116">
        <v>8</v>
      </c>
      <c r="E880" s="122" t="s">
        <v>27</v>
      </c>
      <c r="F880" s="119" t="s">
        <v>63</v>
      </c>
      <c r="G880" s="27">
        <v>42271</v>
      </c>
      <c r="H880" s="26" t="s">
        <v>4119</v>
      </c>
      <c r="I880" s="113" t="s">
        <v>12400</v>
      </c>
      <c r="J880" s="113" t="s">
        <v>12401</v>
      </c>
    </row>
    <row r="881" spans="1:10" ht="20" customHeight="1" thickBot="1">
      <c r="A881" s="28" t="s">
        <v>4122</v>
      </c>
      <c r="B881" s="28" t="s">
        <v>4122</v>
      </c>
      <c r="C881" s="28" t="s">
        <v>3346</v>
      </c>
      <c r="D881" s="117">
        <v>13</v>
      </c>
      <c r="E881" s="122" t="s">
        <v>34</v>
      </c>
      <c r="F881" s="120" t="s">
        <v>57</v>
      </c>
      <c r="G881" s="29">
        <v>43692</v>
      </c>
      <c r="H881" s="28" t="s">
        <v>4123</v>
      </c>
      <c r="I881" s="114" t="s">
        <v>12400</v>
      </c>
      <c r="J881" s="114" t="s">
        <v>12401</v>
      </c>
    </row>
    <row r="882" spans="1:10" ht="20" customHeight="1" thickBot="1">
      <c r="A882" s="26" t="s">
        <v>4126</v>
      </c>
      <c r="B882" s="26" t="s">
        <v>4126</v>
      </c>
      <c r="C882" s="26" t="s">
        <v>4127</v>
      </c>
      <c r="D882" s="116">
        <v>10</v>
      </c>
      <c r="E882" s="122" t="s">
        <v>27</v>
      </c>
      <c r="F882" s="119" t="s">
        <v>63</v>
      </c>
      <c r="G882" s="27">
        <v>42312</v>
      </c>
      <c r="H882" s="26" t="s">
        <v>4128</v>
      </c>
      <c r="I882" s="113" t="s">
        <v>12400</v>
      </c>
      <c r="J882" s="113" t="s">
        <v>12401</v>
      </c>
    </row>
    <row r="883" spans="1:10" ht="20" customHeight="1" thickBot="1">
      <c r="A883" s="28" t="s">
        <v>4131</v>
      </c>
      <c r="B883" s="28" t="s">
        <v>4131</v>
      </c>
      <c r="C883" s="28" t="s">
        <v>4132</v>
      </c>
      <c r="D883" s="117">
        <v>65</v>
      </c>
      <c r="E883" s="122" t="s">
        <v>31</v>
      </c>
      <c r="F883" s="120" t="s">
        <v>63</v>
      </c>
      <c r="G883" s="29">
        <v>44222</v>
      </c>
      <c r="H883" s="28" t="s">
        <v>4133</v>
      </c>
      <c r="I883" s="114" t="s">
        <v>12400</v>
      </c>
      <c r="J883" s="114" t="s">
        <v>12401</v>
      </c>
    </row>
    <row r="884" spans="1:10" ht="20" customHeight="1" thickBot="1">
      <c r="A884" s="26" t="s">
        <v>4136</v>
      </c>
      <c r="B884" s="26" t="s">
        <v>4136</v>
      </c>
      <c r="C884" s="26" t="s">
        <v>4137</v>
      </c>
      <c r="D884" s="116">
        <v>97</v>
      </c>
      <c r="E884" s="122" t="s">
        <v>34</v>
      </c>
      <c r="F884" s="119" t="s">
        <v>63</v>
      </c>
      <c r="G884" s="27">
        <v>44392</v>
      </c>
      <c r="H884" s="26" t="s">
        <v>4138</v>
      </c>
      <c r="I884" s="113" t="s">
        <v>12400</v>
      </c>
      <c r="J884" s="113" t="s">
        <v>12401</v>
      </c>
    </row>
    <row r="885" spans="1:10" ht="20" customHeight="1" thickBot="1">
      <c r="A885" s="28" t="s">
        <v>4141</v>
      </c>
      <c r="B885" s="28" t="s">
        <v>4141</v>
      </c>
      <c r="C885" s="28" t="s">
        <v>4137</v>
      </c>
      <c r="D885" s="117">
        <v>30</v>
      </c>
      <c r="E885" s="122" t="s">
        <v>29</v>
      </c>
      <c r="F885" s="120" t="s">
        <v>63</v>
      </c>
      <c r="G885" s="29">
        <v>41497</v>
      </c>
      <c r="H885" s="28" t="s">
        <v>4142</v>
      </c>
      <c r="I885" s="114" t="s">
        <v>12400</v>
      </c>
      <c r="J885" s="114" t="s">
        <v>12401</v>
      </c>
    </row>
    <row r="886" spans="1:10" ht="20" customHeight="1" thickBot="1">
      <c r="A886" s="26" t="s">
        <v>4145</v>
      </c>
      <c r="B886" s="26" t="s">
        <v>4145</v>
      </c>
      <c r="C886" s="26" t="s">
        <v>4137</v>
      </c>
      <c r="D886" s="116">
        <v>87</v>
      </c>
      <c r="E886" s="122" t="s">
        <v>33</v>
      </c>
      <c r="F886" s="119" t="s">
        <v>63</v>
      </c>
      <c r="G886" s="27">
        <v>45219</v>
      </c>
      <c r="H886" s="26" t="s">
        <v>4146</v>
      </c>
      <c r="I886" s="113" t="s">
        <v>12400</v>
      </c>
      <c r="J886" s="113" t="s">
        <v>12401</v>
      </c>
    </row>
    <row r="887" spans="1:10" ht="20" customHeight="1" thickBot="1">
      <c r="A887" s="28" t="s">
        <v>4149</v>
      </c>
      <c r="B887" s="28" t="s">
        <v>4149</v>
      </c>
      <c r="C887" s="28" t="s">
        <v>4137</v>
      </c>
      <c r="D887" s="117">
        <v>9</v>
      </c>
      <c r="E887" s="122" t="s">
        <v>35</v>
      </c>
      <c r="F887" s="120" t="s">
        <v>63</v>
      </c>
      <c r="G887" s="29">
        <v>44392</v>
      </c>
      <c r="H887" s="28" t="s">
        <v>4150</v>
      </c>
      <c r="I887" s="114" t="s">
        <v>12400</v>
      </c>
      <c r="J887" s="114" t="s">
        <v>12401</v>
      </c>
    </row>
    <row r="888" spans="1:10" ht="20" customHeight="1" thickBot="1">
      <c r="A888" s="26" t="s">
        <v>4153</v>
      </c>
      <c r="B888" s="26" t="s">
        <v>4153</v>
      </c>
      <c r="C888" s="26" t="s">
        <v>4154</v>
      </c>
      <c r="D888" s="116">
        <v>7</v>
      </c>
      <c r="E888" s="122" t="s">
        <v>29</v>
      </c>
      <c r="F888" s="119" t="s">
        <v>63</v>
      </c>
      <c r="G888" s="27">
        <v>41509</v>
      </c>
      <c r="H888" s="26" t="s">
        <v>4155</v>
      </c>
      <c r="I888" s="113" t="s">
        <v>12400</v>
      </c>
      <c r="J888" s="113" t="s">
        <v>12401</v>
      </c>
    </row>
    <row r="889" spans="1:10" ht="20" customHeight="1" thickBot="1">
      <c r="A889" s="28" t="s">
        <v>4158</v>
      </c>
      <c r="B889" s="28" t="s">
        <v>4158</v>
      </c>
      <c r="C889" s="28" t="s">
        <v>4159</v>
      </c>
      <c r="D889" s="117">
        <v>6</v>
      </c>
      <c r="E889" s="122" t="s">
        <v>29</v>
      </c>
      <c r="F889" s="120" t="s">
        <v>63</v>
      </c>
      <c r="G889" s="29">
        <v>42267</v>
      </c>
      <c r="H889" s="28" t="s">
        <v>4160</v>
      </c>
      <c r="I889" s="114" t="s">
        <v>12400</v>
      </c>
      <c r="J889" s="114" t="s">
        <v>12401</v>
      </c>
    </row>
    <row r="890" spans="1:10" ht="20" customHeight="1" thickBot="1">
      <c r="A890" s="26" t="s">
        <v>4163</v>
      </c>
      <c r="B890" s="26" t="s">
        <v>4163</v>
      </c>
      <c r="C890" s="26" t="s">
        <v>4164</v>
      </c>
      <c r="D890" s="116">
        <v>15</v>
      </c>
      <c r="E890" s="122" t="s">
        <v>27</v>
      </c>
      <c r="F890" s="119" t="s">
        <v>63</v>
      </c>
      <c r="G890" s="27">
        <v>42291</v>
      </c>
      <c r="H890" s="26" t="s">
        <v>4165</v>
      </c>
      <c r="I890" s="113" t="s">
        <v>12400</v>
      </c>
      <c r="J890" s="113" t="s">
        <v>12401</v>
      </c>
    </row>
    <row r="891" spans="1:10" ht="20" customHeight="1" thickBot="1">
      <c r="A891" s="28" t="s">
        <v>4168</v>
      </c>
      <c r="B891" s="28" t="s">
        <v>4168</v>
      </c>
      <c r="C891" s="28" t="s">
        <v>4169</v>
      </c>
      <c r="D891" s="117">
        <v>4</v>
      </c>
      <c r="E891" s="122" t="s">
        <v>34</v>
      </c>
      <c r="F891" s="120" t="s">
        <v>57</v>
      </c>
      <c r="G891" s="29">
        <v>43065</v>
      </c>
      <c r="H891" s="28" t="s">
        <v>4170</v>
      </c>
      <c r="I891" s="114" t="s">
        <v>12400</v>
      </c>
      <c r="J891" s="114" t="s">
        <v>12401</v>
      </c>
    </row>
    <row r="892" spans="1:10" ht="20" customHeight="1" thickBot="1">
      <c r="A892" s="26" t="s">
        <v>4173</v>
      </c>
      <c r="B892" s="26" t="s">
        <v>4173</v>
      </c>
      <c r="C892" s="26" t="s">
        <v>4169</v>
      </c>
      <c r="D892" s="116">
        <v>9</v>
      </c>
      <c r="E892" s="122" t="s">
        <v>34</v>
      </c>
      <c r="F892" s="119" t="s">
        <v>57</v>
      </c>
      <c r="G892" s="27">
        <v>44833</v>
      </c>
      <c r="H892" s="26" t="s">
        <v>4174</v>
      </c>
      <c r="I892" s="113" t="s">
        <v>12400</v>
      </c>
      <c r="J892" s="113" t="s">
        <v>12401</v>
      </c>
    </row>
    <row r="893" spans="1:10" ht="20" customHeight="1" thickBot="1">
      <c r="A893" s="28" t="s">
        <v>4177</v>
      </c>
      <c r="B893" s="28" t="s">
        <v>4177</v>
      </c>
      <c r="C893" s="28" t="s">
        <v>4169</v>
      </c>
      <c r="D893" s="117">
        <v>8</v>
      </c>
      <c r="E893" s="122" t="s">
        <v>34</v>
      </c>
      <c r="F893" s="120" t="s">
        <v>57</v>
      </c>
      <c r="G893" s="29">
        <v>44850</v>
      </c>
      <c r="H893" s="28" t="s">
        <v>4178</v>
      </c>
      <c r="I893" s="114" t="s">
        <v>12400</v>
      </c>
      <c r="J893" s="114" t="s">
        <v>12401</v>
      </c>
    </row>
    <row r="894" spans="1:10" ht="20" customHeight="1" thickBot="1">
      <c r="A894" s="26" t="s">
        <v>4181</v>
      </c>
      <c r="B894" s="26" t="s">
        <v>4181</v>
      </c>
      <c r="C894" s="26" t="s">
        <v>4182</v>
      </c>
      <c r="D894" s="116">
        <v>108</v>
      </c>
      <c r="E894" s="122" t="s">
        <v>29</v>
      </c>
      <c r="F894" s="119" t="s">
        <v>63</v>
      </c>
      <c r="G894" s="27">
        <v>42924</v>
      </c>
      <c r="H894" s="26" t="s">
        <v>4183</v>
      </c>
      <c r="I894" s="113" t="s">
        <v>12400</v>
      </c>
      <c r="J894" s="113" t="s">
        <v>12401</v>
      </c>
    </row>
    <row r="895" spans="1:10" ht="20" customHeight="1" thickBot="1">
      <c r="A895" s="28" t="s">
        <v>4186</v>
      </c>
      <c r="B895" s="28" t="s">
        <v>4186</v>
      </c>
      <c r="C895" s="28" t="s">
        <v>4182</v>
      </c>
      <c r="D895" s="117">
        <v>103</v>
      </c>
      <c r="E895" s="122" t="s">
        <v>31</v>
      </c>
      <c r="F895" s="120" t="s">
        <v>63</v>
      </c>
      <c r="G895" s="29">
        <v>43281</v>
      </c>
      <c r="H895" s="28" t="s">
        <v>4187</v>
      </c>
      <c r="I895" s="114" t="s">
        <v>12400</v>
      </c>
      <c r="J895" s="114" t="s">
        <v>12401</v>
      </c>
    </row>
    <row r="896" spans="1:10" ht="20" customHeight="1" thickBot="1">
      <c r="A896" s="26" t="s">
        <v>4190</v>
      </c>
      <c r="B896" s="26" t="s">
        <v>4190</v>
      </c>
      <c r="C896" s="26" t="s">
        <v>4182</v>
      </c>
      <c r="D896" s="116">
        <v>108</v>
      </c>
      <c r="E896" s="122" t="s">
        <v>31</v>
      </c>
      <c r="F896" s="119" t="s">
        <v>63</v>
      </c>
      <c r="G896" s="27">
        <v>43882</v>
      </c>
      <c r="H896" s="26" t="s">
        <v>4191</v>
      </c>
      <c r="I896" s="113" t="s">
        <v>12400</v>
      </c>
      <c r="J896" s="113" t="s">
        <v>12401</v>
      </c>
    </row>
    <row r="897" spans="1:10" ht="20" customHeight="1" thickBot="1">
      <c r="A897" s="28" t="s">
        <v>4194</v>
      </c>
      <c r="B897" s="28" t="s">
        <v>4194</v>
      </c>
      <c r="C897" s="28" t="s">
        <v>4182</v>
      </c>
      <c r="D897" s="117">
        <v>105</v>
      </c>
      <c r="E897" s="122" t="s">
        <v>31</v>
      </c>
      <c r="F897" s="120" t="s">
        <v>63</v>
      </c>
      <c r="G897" s="29">
        <v>44760</v>
      </c>
      <c r="H897" s="28" t="s">
        <v>4195</v>
      </c>
      <c r="I897" s="114" t="s">
        <v>12400</v>
      </c>
      <c r="J897" s="114" t="s">
        <v>12401</v>
      </c>
    </row>
    <row r="898" spans="1:10" ht="20" customHeight="1" thickBot="1">
      <c r="A898" s="26" t="s">
        <v>4198</v>
      </c>
      <c r="B898" s="26" t="s">
        <v>4198</v>
      </c>
      <c r="C898" s="26" t="s">
        <v>4182</v>
      </c>
      <c r="D898" s="116">
        <v>112</v>
      </c>
      <c r="E898" s="122" t="s">
        <v>31</v>
      </c>
      <c r="F898" s="119" t="s">
        <v>63</v>
      </c>
      <c r="G898" s="27">
        <v>45222</v>
      </c>
      <c r="H898" s="26" t="s">
        <v>4199</v>
      </c>
      <c r="I898" s="113" t="s">
        <v>12400</v>
      </c>
      <c r="J898" s="113" t="s">
        <v>12401</v>
      </c>
    </row>
    <row r="899" spans="1:10" ht="20" customHeight="1" thickBot="1">
      <c r="A899" s="28" t="s">
        <v>4202</v>
      </c>
      <c r="B899" s="28" t="s">
        <v>4202</v>
      </c>
      <c r="C899" s="28" t="s">
        <v>4182</v>
      </c>
      <c r="D899" s="117">
        <v>103</v>
      </c>
      <c r="E899" s="122" t="s">
        <v>31</v>
      </c>
      <c r="F899" s="120" t="s">
        <v>63</v>
      </c>
      <c r="G899" s="29">
        <v>45739</v>
      </c>
      <c r="H899" s="28" t="s">
        <v>4203</v>
      </c>
      <c r="I899" s="114" t="s">
        <v>12400</v>
      </c>
      <c r="J899" s="114" t="s">
        <v>12401</v>
      </c>
    </row>
    <row r="900" spans="1:10" ht="20" customHeight="1" thickBot="1">
      <c r="A900" s="26" t="s">
        <v>4206</v>
      </c>
      <c r="B900" s="26" t="s">
        <v>4206</v>
      </c>
      <c r="C900" s="26" t="s">
        <v>4207</v>
      </c>
      <c r="D900" s="116">
        <v>18</v>
      </c>
      <c r="E900" s="122" t="s">
        <v>31</v>
      </c>
      <c r="F900" s="119" t="s">
        <v>63</v>
      </c>
      <c r="G900" s="27">
        <v>45349</v>
      </c>
      <c r="H900" s="26" t="s">
        <v>4208</v>
      </c>
      <c r="I900" s="113" t="s">
        <v>12400</v>
      </c>
      <c r="J900" s="113" t="s">
        <v>12401</v>
      </c>
    </row>
    <row r="901" spans="1:10" ht="20" customHeight="1" thickBot="1">
      <c r="A901" s="28" t="s">
        <v>4211</v>
      </c>
      <c r="B901" s="28" t="s">
        <v>4211</v>
      </c>
      <c r="C901" s="28" t="s">
        <v>4212</v>
      </c>
      <c r="D901" s="117">
        <v>7</v>
      </c>
      <c r="E901" s="122" t="s">
        <v>29</v>
      </c>
      <c r="F901" s="120" t="s">
        <v>63</v>
      </c>
      <c r="G901" s="29">
        <v>42503</v>
      </c>
      <c r="H901" s="28" t="s">
        <v>4213</v>
      </c>
      <c r="I901" s="114" t="s">
        <v>12400</v>
      </c>
      <c r="J901" s="114" t="s">
        <v>12401</v>
      </c>
    </row>
    <row r="902" spans="1:10" ht="20" customHeight="1" thickBot="1">
      <c r="A902" s="26" t="s">
        <v>4216</v>
      </c>
      <c r="B902" s="26" t="s">
        <v>4216</v>
      </c>
      <c r="C902" s="26" t="s">
        <v>4217</v>
      </c>
      <c r="D902" s="116">
        <v>12</v>
      </c>
      <c r="E902" s="122" t="s">
        <v>29</v>
      </c>
      <c r="F902" s="119" t="s">
        <v>63</v>
      </c>
      <c r="G902" s="27">
        <v>44021</v>
      </c>
      <c r="H902" s="26" t="s">
        <v>4218</v>
      </c>
      <c r="I902" s="113" t="s">
        <v>12400</v>
      </c>
      <c r="J902" s="113" t="s">
        <v>12401</v>
      </c>
    </row>
    <row r="903" spans="1:10" ht="20" customHeight="1" thickBot="1">
      <c r="A903" s="28" t="s">
        <v>4221</v>
      </c>
      <c r="B903" s="28" t="s">
        <v>4221</v>
      </c>
      <c r="C903" s="28" t="s">
        <v>4222</v>
      </c>
      <c r="D903" s="117">
        <v>11</v>
      </c>
      <c r="E903" s="122" t="s">
        <v>27</v>
      </c>
      <c r="F903" s="120" t="s">
        <v>63</v>
      </c>
      <c r="G903" s="29">
        <v>42224</v>
      </c>
      <c r="H903" s="28" t="s">
        <v>4223</v>
      </c>
      <c r="I903" s="114" t="s">
        <v>12400</v>
      </c>
      <c r="J903" s="114" t="s">
        <v>12401</v>
      </c>
    </row>
    <row r="904" spans="1:10" ht="20" customHeight="1" thickBot="1">
      <c r="A904" s="26" t="s">
        <v>4226</v>
      </c>
      <c r="B904" s="26" t="s">
        <v>4226</v>
      </c>
      <c r="C904" s="26" t="s">
        <v>4227</v>
      </c>
      <c r="D904" s="116">
        <v>50</v>
      </c>
      <c r="E904" s="122" t="s">
        <v>29</v>
      </c>
      <c r="F904" s="119" t="s">
        <v>63</v>
      </c>
      <c r="G904" s="27">
        <v>42298</v>
      </c>
      <c r="H904" s="26" t="s">
        <v>4228</v>
      </c>
      <c r="I904" s="113" t="s">
        <v>12400</v>
      </c>
      <c r="J904" s="113" t="s">
        <v>12401</v>
      </c>
    </row>
    <row r="905" spans="1:10" ht="20" customHeight="1" thickBot="1">
      <c r="A905" s="28" t="s">
        <v>4231</v>
      </c>
      <c r="B905" s="28" t="s">
        <v>4231</v>
      </c>
      <c r="C905" s="28" t="s">
        <v>4232</v>
      </c>
      <c r="D905" s="117">
        <v>16</v>
      </c>
      <c r="E905" s="122" t="s">
        <v>34</v>
      </c>
      <c r="F905" s="120" t="s">
        <v>57</v>
      </c>
      <c r="G905" s="29">
        <v>44539</v>
      </c>
      <c r="H905" s="28" t="s">
        <v>4233</v>
      </c>
      <c r="I905" s="114" t="s">
        <v>12400</v>
      </c>
      <c r="J905" s="114" t="s">
        <v>12401</v>
      </c>
    </row>
    <row r="906" spans="1:10" ht="20" customHeight="1" thickBot="1">
      <c r="A906" s="26" t="s">
        <v>4236</v>
      </c>
      <c r="B906" s="26" t="s">
        <v>4236</v>
      </c>
      <c r="C906" s="26" t="s">
        <v>307</v>
      </c>
      <c r="D906" s="116">
        <v>27</v>
      </c>
      <c r="E906" s="122" t="s">
        <v>29</v>
      </c>
      <c r="F906" s="119" t="s">
        <v>63</v>
      </c>
      <c r="G906" s="27">
        <v>41762</v>
      </c>
      <c r="H906" s="26" t="s">
        <v>4237</v>
      </c>
      <c r="I906" s="113" t="s">
        <v>12400</v>
      </c>
      <c r="J906" s="113" t="s">
        <v>12401</v>
      </c>
    </row>
    <row r="907" spans="1:10" ht="20" customHeight="1" thickBot="1">
      <c r="A907" s="28" t="s">
        <v>4240</v>
      </c>
      <c r="B907" s="28" t="s">
        <v>4240</v>
      </c>
      <c r="C907" s="28" t="s">
        <v>307</v>
      </c>
      <c r="D907" s="117">
        <v>4</v>
      </c>
      <c r="E907" s="122" t="s">
        <v>27</v>
      </c>
      <c r="F907" s="120" t="s">
        <v>63</v>
      </c>
      <c r="G907" s="29">
        <v>41528</v>
      </c>
      <c r="H907" s="28" t="s">
        <v>4241</v>
      </c>
      <c r="I907" s="114" t="s">
        <v>12400</v>
      </c>
      <c r="J907" s="114" t="s">
        <v>12401</v>
      </c>
    </row>
    <row r="908" spans="1:10" ht="20" customHeight="1" thickBot="1">
      <c r="A908" s="26" t="s">
        <v>4244</v>
      </c>
      <c r="B908" s="26" t="s">
        <v>4244</v>
      </c>
      <c r="C908" s="26" t="s">
        <v>4245</v>
      </c>
      <c r="D908" s="116">
        <v>7</v>
      </c>
      <c r="E908" s="122" t="s">
        <v>29</v>
      </c>
      <c r="F908" s="119" t="s">
        <v>63</v>
      </c>
      <c r="G908" s="27">
        <v>42205</v>
      </c>
      <c r="H908" s="26" t="s">
        <v>4246</v>
      </c>
      <c r="I908" s="113" t="s">
        <v>12400</v>
      </c>
      <c r="J908" s="113" t="s">
        <v>12401</v>
      </c>
    </row>
    <row r="909" spans="1:10" ht="20" customHeight="1" thickBot="1">
      <c r="A909" s="28" t="s">
        <v>4249</v>
      </c>
      <c r="B909" s="28" t="s">
        <v>4249</v>
      </c>
      <c r="C909" s="28" t="s">
        <v>4250</v>
      </c>
      <c r="D909" s="117">
        <v>10</v>
      </c>
      <c r="E909" s="122" t="s">
        <v>31</v>
      </c>
      <c r="F909" s="120" t="s">
        <v>63</v>
      </c>
      <c r="G909" s="29">
        <v>42163</v>
      </c>
      <c r="H909" s="28" t="s">
        <v>4251</v>
      </c>
      <c r="I909" s="114" t="s">
        <v>12400</v>
      </c>
      <c r="J909" s="114" t="s">
        <v>12401</v>
      </c>
    </row>
    <row r="910" spans="1:10" ht="20" customHeight="1" thickBot="1">
      <c r="A910" s="26" t="s">
        <v>4254</v>
      </c>
      <c r="B910" s="26" t="s">
        <v>4254</v>
      </c>
      <c r="C910" s="26" t="s">
        <v>4255</v>
      </c>
      <c r="D910" s="116">
        <v>59</v>
      </c>
      <c r="E910" s="122" t="s">
        <v>33</v>
      </c>
      <c r="F910" s="119" t="s">
        <v>57</v>
      </c>
      <c r="G910" s="27">
        <v>45011</v>
      </c>
      <c r="H910" s="26" t="s">
        <v>4256</v>
      </c>
      <c r="I910" s="113" t="s">
        <v>12400</v>
      </c>
      <c r="J910" s="113" t="s">
        <v>12401</v>
      </c>
    </row>
    <row r="911" spans="1:10" ht="20" customHeight="1" thickBot="1">
      <c r="A911" s="28" t="s">
        <v>4259</v>
      </c>
      <c r="B911" s="28" t="s">
        <v>4259</v>
      </c>
      <c r="C911" s="28" t="s">
        <v>4260</v>
      </c>
      <c r="D911" s="117">
        <v>20</v>
      </c>
      <c r="E911" s="122" t="s">
        <v>35</v>
      </c>
      <c r="F911" s="120" t="s">
        <v>57</v>
      </c>
      <c r="G911" s="29">
        <v>44634</v>
      </c>
      <c r="H911" s="28" t="s">
        <v>4261</v>
      </c>
      <c r="I911" s="114" t="s">
        <v>12400</v>
      </c>
      <c r="J911" s="114" t="s">
        <v>12401</v>
      </c>
    </row>
    <row r="912" spans="1:10" ht="20" customHeight="1" thickBot="1">
      <c r="A912" s="26" t="s">
        <v>4264</v>
      </c>
      <c r="B912" s="26" t="s">
        <v>4264</v>
      </c>
      <c r="C912" s="26" t="s">
        <v>1824</v>
      </c>
      <c r="D912" s="116">
        <v>21</v>
      </c>
      <c r="E912" s="122" t="s">
        <v>34</v>
      </c>
      <c r="F912" s="119" t="s">
        <v>57</v>
      </c>
      <c r="G912" s="27">
        <v>44072</v>
      </c>
      <c r="H912" s="26" t="s">
        <v>4265</v>
      </c>
      <c r="I912" s="113" t="s">
        <v>12400</v>
      </c>
      <c r="J912" s="113" t="s">
        <v>12401</v>
      </c>
    </row>
    <row r="913" spans="1:10" ht="20" customHeight="1" thickBot="1">
      <c r="A913" s="28" t="s">
        <v>4268</v>
      </c>
      <c r="B913" s="28" t="s">
        <v>4268</v>
      </c>
      <c r="C913" s="28" t="s">
        <v>1464</v>
      </c>
      <c r="D913" s="117">
        <v>16</v>
      </c>
      <c r="E913" s="122" t="s">
        <v>33</v>
      </c>
      <c r="F913" s="120" t="s">
        <v>57</v>
      </c>
      <c r="G913" s="29">
        <v>45791</v>
      </c>
      <c r="H913" s="28" t="s">
        <v>4269</v>
      </c>
      <c r="I913" s="114" t="s">
        <v>12400</v>
      </c>
      <c r="J913" s="114" t="s">
        <v>12401</v>
      </c>
    </row>
    <row r="914" spans="1:10" ht="20" customHeight="1" thickBot="1">
      <c r="A914" s="26" t="s">
        <v>4272</v>
      </c>
      <c r="B914" s="26" t="s">
        <v>4272</v>
      </c>
      <c r="C914" s="26" t="s">
        <v>4273</v>
      </c>
      <c r="D914" s="116">
        <v>70</v>
      </c>
      <c r="E914" s="122" t="s">
        <v>31</v>
      </c>
      <c r="F914" s="119" t="s">
        <v>63</v>
      </c>
      <c r="G914" s="27">
        <v>44497</v>
      </c>
      <c r="H914" s="26" t="s">
        <v>4274</v>
      </c>
      <c r="I914" s="113" t="s">
        <v>12400</v>
      </c>
      <c r="J914" s="113" t="s">
        <v>12401</v>
      </c>
    </row>
    <row r="915" spans="1:10" ht="20" customHeight="1" thickBot="1">
      <c r="A915" s="28" t="s">
        <v>4277</v>
      </c>
      <c r="B915" s="28" t="s">
        <v>4277</v>
      </c>
      <c r="C915" s="28" t="s">
        <v>4278</v>
      </c>
      <c r="D915" s="117">
        <v>17</v>
      </c>
      <c r="E915" s="122" t="s">
        <v>33</v>
      </c>
      <c r="F915" s="120" t="s">
        <v>57</v>
      </c>
      <c r="G915" s="29">
        <v>44278</v>
      </c>
      <c r="H915" s="28" t="s">
        <v>4279</v>
      </c>
      <c r="I915" s="114" t="s">
        <v>12400</v>
      </c>
      <c r="J915" s="114" t="s">
        <v>12401</v>
      </c>
    </row>
    <row r="916" spans="1:10" ht="20" customHeight="1" thickBot="1">
      <c r="A916" s="26" t="s">
        <v>4282</v>
      </c>
      <c r="B916" s="26" t="s">
        <v>4282</v>
      </c>
      <c r="C916" s="26" t="s">
        <v>4283</v>
      </c>
      <c r="D916" s="116">
        <v>13</v>
      </c>
      <c r="E916" s="122" t="s">
        <v>33</v>
      </c>
      <c r="F916" s="119" t="s">
        <v>57</v>
      </c>
      <c r="G916" s="27">
        <v>45479</v>
      </c>
      <c r="H916" s="26" t="s">
        <v>4284</v>
      </c>
      <c r="I916" s="113" t="s">
        <v>12400</v>
      </c>
      <c r="J916" s="113" t="s">
        <v>12401</v>
      </c>
    </row>
    <row r="917" spans="1:10" ht="20" customHeight="1" thickBot="1">
      <c r="A917" s="28" t="s">
        <v>4287</v>
      </c>
      <c r="B917" s="28" t="s">
        <v>4287</v>
      </c>
      <c r="C917" s="28" t="s">
        <v>4288</v>
      </c>
      <c r="D917" s="117">
        <v>8</v>
      </c>
      <c r="E917" s="122" t="s">
        <v>27</v>
      </c>
      <c r="F917" s="120" t="s">
        <v>63</v>
      </c>
      <c r="G917" s="29">
        <v>42279</v>
      </c>
      <c r="H917" s="28" t="s">
        <v>4289</v>
      </c>
      <c r="I917" s="114" t="s">
        <v>12400</v>
      </c>
      <c r="J917" s="114" t="s">
        <v>12401</v>
      </c>
    </row>
    <row r="918" spans="1:10" ht="20" customHeight="1" thickBot="1">
      <c r="A918" s="26" t="s">
        <v>4292</v>
      </c>
      <c r="B918" s="26" t="s">
        <v>4293</v>
      </c>
      <c r="C918" s="26" t="s">
        <v>4294</v>
      </c>
      <c r="D918" s="116">
        <v>7</v>
      </c>
      <c r="E918" s="122" t="s">
        <v>27</v>
      </c>
      <c r="F918" s="119" t="s">
        <v>63</v>
      </c>
      <c r="G918" s="27">
        <v>41714</v>
      </c>
      <c r="H918" s="26" t="s">
        <v>4295</v>
      </c>
      <c r="I918" s="113" t="s">
        <v>12400</v>
      </c>
      <c r="J918" s="113" t="s">
        <v>12401</v>
      </c>
    </row>
    <row r="919" spans="1:10" ht="20" customHeight="1" thickBot="1">
      <c r="A919" s="28" t="s">
        <v>4298</v>
      </c>
      <c r="B919" s="28" t="s">
        <v>4299</v>
      </c>
      <c r="C919" s="28" t="s">
        <v>4300</v>
      </c>
      <c r="D919" s="117">
        <v>5</v>
      </c>
      <c r="E919" s="122" t="s">
        <v>27</v>
      </c>
      <c r="F919" s="120" t="s">
        <v>63</v>
      </c>
      <c r="G919" s="29">
        <v>42237</v>
      </c>
      <c r="H919" s="28" t="s">
        <v>4301</v>
      </c>
      <c r="I919" s="114" t="s">
        <v>12400</v>
      </c>
      <c r="J919" s="114" t="s">
        <v>12401</v>
      </c>
    </row>
    <row r="920" spans="1:10" ht="20" customHeight="1" thickBot="1">
      <c r="A920" s="26" t="s">
        <v>4304</v>
      </c>
      <c r="B920" s="26" t="s">
        <v>4304</v>
      </c>
      <c r="C920" s="26" t="s">
        <v>4305</v>
      </c>
      <c r="D920" s="116">
        <v>21</v>
      </c>
      <c r="E920" s="122" t="s">
        <v>29</v>
      </c>
      <c r="F920" s="119" t="s">
        <v>63</v>
      </c>
      <c r="G920" s="27">
        <v>45648</v>
      </c>
      <c r="H920" s="26" t="s">
        <v>4306</v>
      </c>
      <c r="I920" s="113" t="s">
        <v>12400</v>
      </c>
      <c r="J920" s="113" t="s">
        <v>12401</v>
      </c>
    </row>
    <row r="921" spans="1:10" ht="20" customHeight="1" thickBot="1">
      <c r="A921" s="28" t="s">
        <v>4309</v>
      </c>
      <c r="B921" s="28" t="s">
        <v>4309</v>
      </c>
      <c r="C921" s="28" t="s">
        <v>4310</v>
      </c>
      <c r="D921" s="117">
        <v>26</v>
      </c>
      <c r="E921" s="122" t="s">
        <v>29</v>
      </c>
      <c r="F921" s="120" t="s">
        <v>63</v>
      </c>
      <c r="G921" s="29">
        <v>41821</v>
      </c>
      <c r="H921" s="28" t="s">
        <v>4311</v>
      </c>
      <c r="I921" s="114" t="s">
        <v>12400</v>
      </c>
      <c r="J921" s="114" t="s">
        <v>12401</v>
      </c>
    </row>
    <row r="922" spans="1:10" ht="20" customHeight="1" thickBot="1">
      <c r="A922" s="26" t="s">
        <v>4314</v>
      </c>
      <c r="B922" s="26" t="s">
        <v>4314</v>
      </c>
      <c r="C922" s="26" t="s">
        <v>4315</v>
      </c>
      <c r="D922" s="116">
        <v>7</v>
      </c>
      <c r="E922" s="122" t="s">
        <v>29</v>
      </c>
      <c r="F922" s="119" t="s">
        <v>63</v>
      </c>
      <c r="G922" s="27">
        <v>44676</v>
      </c>
      <c r="H922" s="26" t="s">
        <v>4316</v>
      </c>
      <c r="I922" s="113" t="s">
        <v>12400</v>
      </c>
      <c r="J922" s="113" t="s">
        <v>12401</v>
      </c>
    </row>
    <row r="923" spans="1:10" ht="20" customHeight="1" thickBot="1">
      <c r="A923" s="28" t="s">
        <v>4319</v>
      </c>
      <c r="B923" s="28" t="s">
        <v>4319</v>
      </c>
      <c r="C923" s="28" t="s">
        <v>4320</v>
      </c>
      <c r="D923" s="117">
        <v>6</v>
      </c>
      <c r="E923" s="122" t="s">
        <v>27</v>
      </c>
      <c r="F923" s="120" t="s">
        <v>63</v>
      </c>
      <c r="G923" s="29">
        <v>42108</v>
      </c>
      <c r="H923" s="28" t="s">
        <v>4321</v>
      </c>
      <c r="I923" s="114" t="s">
        <v>12400</v>
      </c>
      <c r="J923" s="114" t="s">
        <v>12401</v>
      </c>
    </row>
    <row r="924" spans="1:10" ht="20" customHeight="1" thickBot="1">
      <c r="A924" s="26" t="s">
        <v>4324</v>
      </c>
      <c r="B924" s="26" t="s">
        <v>4324</v>
      </c>
      <c r="C924" s="26" t="s">
        <v>4325</v>
      </c>
      <c r="D924" s="116">
        <v>5</v>
      </c>
      <c r="E924" s="122" t="s">
        <v>27</v>
      </c>
      <c r="F924" s="119" t="s">
        <v>63</v>
      </c>
      <c r="G924" s="27">
        <v>42229</v>
      </c>
      <c r="H924" s="26" t="s">
        <v>4326</v>
      </c>
      <c r="I924" s="113" t="s">
        <v>12400</v>
      </c>
      <c r="J924" s="113" t="s">
        <v>12401</v>
      </c>
    </row>
    <row r="925" spans="1:10" ht="20" customHeight="1" thickBot="1">
      <c r="A925" s="28" t="s">
        <v>4329</v>
      </c>
      <c r="B925" s="28" t="s">
        <v>4329</v>
      </c>
      <c r="C925" s="28" t="s">
        <v>504</v>
      </c>
      <c r="D925" s="117">
        <v>86</v>
      </c>
      <c r="E925" s="122" t="s">
        <v>29</v>
      </c>
      <c r="F925" s="120" t="s">
        <v>63</v>
      </c>
      <c r="G925" s="29">
        <v>42939</v>
      </c>
      <c r="H925" s="28" t="s">
        <v>4330</v>
      </c>
      <c r="I925" s="114" t="s">
        <v>12400</v>
      </c>
      <c r="J925" s="114" t="s">
        <v>12401</v>
      </c>
    </row>
    <row r="926" spans="1:10" ht="20" customHeight="1" thickBot="1">
      <c r="A926" s="26" t="s">
        <v>4333</v>
      </c>
      <c r="B926" s="26" t="s">
        <v>4333</v>
      </c>
      <c r="C926" s="26" t="s">
        <v>1819</v>
      </c>
      <c r="D926" s="116">
        <v>16</v>
      </c>
      <c r="E926" s="122" t="s">
        <v>31</v>
      </c>
      <c r="F926" s="119" t="s">
        <v>63</v>
      </c>
      <c r="G926" s="27">
        <v>43373</v>
      </c>
      <c r="H926" s="26" t="s">
        <v>4334</v>
      </c>
      <c r="I926" s="113" t="s">
        <v>12400</v>
      </c>
      <c r="J926" s="113" t="s">
        <v>12401</v>
      </c>
    </row>
    <row r="927" spans="1:10" ht="20" customHeight="1" thickBot="1">
      <c r="A927" s="28" t="s">
        <v>4337</v>
      </c>
      <c r="B927" s="28" t="s">
        <v>4337</v>
      </c>
      <c r="C927" s="28" t="s">
        <v>504</v>
      </c>
      <c r="D927" s="117">
        <v>44</v>
      </c>
      <c r="E927" s="122" t="s">
        <v>29</v>
      </c>
      <c r="F927" s="120" t="s">
        <v>63</v>
      </c>
      <c r="G927" s="29">
        <v>42334</v>
      </c>
      <c r="H927" s="28" t="s">
        <v>4338</v>
      </c>
      <c r="I927" s="114" t="s">
        <v>12400</v>
      </c>
      <c r="J927" s="114" t="s">
        <v>12401</v>
      </c>
    </row>
    <row r="928" spans="1:10" ht="20" customHeight="1" thickBot="1">
      <c r="A928" s="26" t="s">
        <v>4341</v>
      </c>
      <c r="B928" s="26" t="s">
        <v>4341</v>
      </c>
      <c r="C928" s="26" t="s">
        <v>4342</v>
      </c>
      <c r="D928" s="116">
        <v>28</v>
      </c>
      <c r="E928" s="122" t="s">
        <v>29</v>
      </c>
      <c r="F928" s="119" t="s">
        <v>63</v>
      </c>
      <c r="G928" s="27">
        <v>42217</v>
      </c>
      <c r="H928" s="26" t="s">
        <v>4343</v>
      </c>
      <c r="I928" s="113" t="s">
        <v>12400</v>
      </c>
      <c r="J928" s="113" t="s">
        <v>12401</v>
      </c>
    </row>
    <row r="929" spans="1:10" ht="20" customHeight="1" thickBot="1">
      <c r="A929" s="28" t="s">
        <v>4346</v>
      </c>
      <c r="B929" s="28" t="s">
        <v>4346</v>
      </c>
      <c r="C929" s="28" t="s">
        <v>4347</v>
      </c>
      <c r="D929" s="117">
        <v>8</v>
      </c>
      <c r="E929" s="122" t="s">
        <v>27</v>
      </c>
      <c r="F929" s="120" t="s">
        <v>63</v>
      </c>
      <c r="G929" s="29">
        <v>41528</v>
      </c>
      <c r="H929" s="28" t="s">
        <v>4348</v>
      </c>
      <c r="I929" s="114" t="s">
        <v>12400</v>
      </c>
      <c r="J929" s="114" t="s">
        <v>12401</v>
      </c>
    </row>
    <row r="930" spans="1:10" ht="20" customHeight="1" thickBot="1">
      <c r="A930" s="26" t="s">
        <v>4351</v>
      </c>
      <c r="B930" s="26" t="s">
        <v>4351</v>
      </c>
      <c r="C930" s="26" t="s">
        <v>4352</v>
      </c>
      <c r="D930" s="116">
        <v>6</v>
      </c>
      <c r="E930" s="122" t="s">
        <v>31</v>
      </c>
      <c r="F930" s="119" t="s">
        <v>63</v>
      </c>
      <c r="G930" s="27">
        <v>42217</v>
      </c>
      <c r="H930" s="26" t="s">
        <v>4353</v>
      </c>
      <c r="I930" s="113" t="s">
        <v>12400</v>
      </c>
      <c r="J930" s="113" t="s">
        <v>12401</v>
      </c>
    </row>
    <row r="931" spans="1:10" ht="20" customHeight="1" thickBot="1">
      <c r="A931" s="28" t="s">
        <v>4356</v>
      </c>
      <c r="B931" s="28" t="s">
        <v>4356</v>
      </c>
      <c r="C931" s="28" t="s">
        <v>3262</v>
      </c>
      <c r="D931" s="117">
        <v>35</v>
      </c>
      <c r="E931" s="122" t="s">
        <v>29</v>
      </c>
      <c r="F931" s="120" t="s">
        <v>63</v>
      </c>
      <c r="G931" s="29">
        <v>45349</v>
      </c>
      <c r="H931" s="28" t="s">
        <v>4357</v>
      </c>
      <c r="I931" s="114" t="s">
        <v>12400</v>
      </c>
      <c r="J931" s="114" t="s">
        <v>12401</v>
      </c>
    </row>
    <row r="932" spans="1:10" ht="20" customHeight="1" thickBot="1">
      <c r="A932" s="26" t="s">
        <v>4360</v>
      </c>
      <c r="B932" s="26" t="s">
        <v>4360</v>
      </c>
      <c r="C932" s="26" t="s">
        <v>4305</v>
      </c>
      <c r="D932" s="116">
        <v>1</v>
      </c>
      <c r="E932" s="122" t="s">
        <v>29</v>
      </c>
      <c r="F932" s="119" t="s">
        <v>63</v>
      </c>
      <c r="G932" s="27">
        <v>44565</v>
      </c>
      <c r="H932" s="26" t="s">
        <v>4361</v>
      </c>
      <c r="I932" s="113" t="s">
        <v>12400</v>
      </c>
      <c r="J932" s="113" t="s">
        <v>12401</v>
      </c>
    </row>
    <row r="933" spans="1:10" ht="20" customHeight="1" thickBot="1">
      <c r="A933" s="28" t="s">
        <v>4364</v>
      </c>
      <c r="B933" s="28" t="s">
        <v>4364</v>
      </c>
      <c r="C933" s="28" t="s">
        <v>4365</v>
      </c>
      <c r="D933" s="117">
        <v>1</v>
      </c>
      <c r="E933" s="122" t="s">
        <v>33</v>
      </c>
      <c r="F933" s="120" t="s">
        <v>57</v>
      </c>
      <c r="G933" s="29">
        <v>44492</v>
      </c>
      <c r="H933" s="28" t="s">
        <v>4366</v>
      </c>
      <c r="I933" s="114" t="s">
        <v>12400</v>
      </c>
      <c r="J933" s="114" t="s">
        <v>12401</v>
      </c>
    </row>
    <row r="934" spans="1:10" ht="20" customHeight="1" thickBot="1">
      <c r="A934" s="26" t="s">
        <v>4369</v>
      </c>
      <c r="B934" s="26" t="s">
        <v>4370</v>
      </c>
      <c r="C934" s="26" t="s">
        <v>4371</v>
      </c>
      <c r="D934" s="116">
        <v>12</v>
      </c>
      <c r="E934" s="122" t="s">
        <v>29</v>
      </c>
      <c r="F934" s="119" t="s">
        <v>63</v>
      </c>
      <c r="G934" s="27">
        <v>44012</v>
      </c>
      <c r="H934" s="26" t="s">
        <v>4372</v>
      </c>
      <c r="I934" s="113" t="s">
        <v>12400</v>
      </c>
      <c r="J934" s="113" t="s">
        <v>12401</v>
      </c>
    </row>
    <row r="935" spans="1:10" ht="20" customHeight="1" thickBot="1">
      <c r="A935" s="28" t="s">
        <v>4375</v>
      </c>
      <c r="B935" s="28" t="s">
        <v>4370</v>
      </c>
      <c r="C935" s="28" t="s">
        <v>4371</v>
      </c>
      <c r="D935" s="117">
        <v>33</v>
      </c>
      <c r="E935" s="122" t="s">
        <v>29</v>
      </c>
      <c r="F935" s="120" t="s">
        <v>63</v>
      </c>
      <c r="G935" s="29">
        <v>45109</v>
      </c>
      <c r="H935" s="28" t="s">
        <v>4376</v>
      </c>
      <c r="I935" s="114" t="s">
        <v>12400</v>
      </c>
      <c r="J935" s="114" t="s">
        <v>12401</v>
      </c>
    </row>
    <row r="936" spans="1:10" ht="20" customHeight="1" thickBot="1">
      <c r="A936" s="26" t="s">
        <v>4379</v>
      </c>
      <c r="B936" s="26" t="s">
        <v>4370</v>
      </c>
      <c r="C936" s="26" t="s">
        <v>4371</v>
      </c>
      <c r="D936" s="116">
        <v>40</v>
      </c>
      <c r="E936" s="122" t="s">
        <v>31</v>
      </c>
      <c r="F936" s="119" t="s">
        <v>63</v>
      </c>
      <c r="G936" s="27">
        <v>45851</v>
      </c>
      <c r="H936" s="26" t="s">
        <v>4380</v>
      </c>
      <c r="I936" s="113" t="s">
        <v>12400</v>
      </c>
      <c r="J936" s="113" t="s">
        <v>12401</v>
      </c>
    </row>
    <row r="937" spans="1:10" ht="20" customHeight="1" thickBot="1">
      <c r="A937" s="28" t="s">
        <v>4383</v>
      </c>
      <c r="B937" s="28" t="s">
        <v>4383</v>
      </c>
      <c r="C937" s="28" t="s">
        <v>4384</v>
      </c>
      <c r="D937" s="117">
        <v>6</v>
      </c>
      <c r="E937" s="122" t="s">
        <v>29</v>
      </c>
      <c r="F937" s="120" t="s">
        <v>63</v>
      </c>
      <c r="G937" s="29">
        <v>42338</v>
      </c>
      <c r="H937" s="28" t="s">
        <v>4385</v>
      </c>
      <c r="I937" s="114" t="s">
        <v>12400</v>
      </c>
      <c r="J937" s="114" t="s">
        <v>12401</v>
      </c>
    </row>
    <row r="938" spans="1:10" ht="20" customHeight="1" thickBot="1">
      <c r="A938" s="26" t="s">
        <v>4388</v>
      </c>
      <c r="B938" s="26" t="s">
        <v>4388</v>
      </c>
      <c r="C938" s="26" t="s">
        <v>4389</v>
      </c>
      <c r="D938" s="116">
        <v>8</v>
      </c>
      <c r="E938" s="122" t="s">
        <v>29</v>
      </c>
      <c r="F938" s="119" t="s">
        <v>63</v>
      </c>
      <c r="G938" s="27">
        <v>42872</v>
      </c>
      <c r="H938" s="26" t="s">
        <v>4390</v>
      </c>
      <c r="I938" s="113" t="s">
        <v>12400</v>
      </c>
      <c r="J938" s="113" t="s">
        <v>12401</v>
      </c>
    </row>
    <row r="939" spans="1:10" ht="20" customHeight="1" thickBot="1">
      <c r="A939" s="28" t="s">
        <v>4393</v>
      </c>
      <c r="B939" s="28" t="s">
        <v>4393</v>
      </c>
      <c r="C939" s="28" t="s">
        <v>1506</v>
      </c>
      <c r="D939" s="117">
        <v>6</v>
      </c>
      <c r="E939" s="122" t="s">
        <v>29</v>
      </c>
      <c r="F939" s="120" t="s">
        <v>63</v>
      </c>
      <c r="G939" s="29">
        <v>42214</v>
      </c>
      <c r="H939" s="28" t="s">
        <v>4394</v>
      </c>
      <c r="I939" s="114" t="s">
        <v>12400</v>
      </c>
      <c r="J939" s="114" t="s">
        <v>12401</v>
      </c>
    </row>
    <row r="940" spans="1:10" ht="20" customHeight="1" thickBot="1">
      <c r="A940" s="26" t="s">
        <v>4397</v>
      </c>
      <c r="B940" s="26" t="s">
        <v>4397</v>
      </c>
      <c r="C940" s="26" t="s">
        <v>4398</v>
      </c>
      <c r="D940" s="116">
        <v>3</v>
      </c>
      <c r="E940" s="122" t="s">
        <v>29</v>
      </c>
      <c r="F940" s="119" t="s">
        <v>63</v>
      </c>
      <c r="G940" s="27">
        <v>42153</v>
      </c>
      <c r="H940" s="26" t="s">
        <v>4399</v>
      </c>
      <c r="I940" s="113" t="s">
        <v>12400</v>
      </c>
      <c r="J940" s="113" t="s">
        <v>12401</v>
      </c>
    </row>
    <row r="941" spans="1:10" ht="20" customHeight="1" thickBot="1">
      <c r="A941" s="28" t="s">
        <v>4402</v>
      </c>
      <c r="B941" s="28" t="s">
        <v>4402</v>
      </c>
      <c r="C941" s="28" t="s">
        <v>1244</v>
      </c>
      <c r="D941" s="117">
        <v>8</v>
      </c>
      <c r="E941" s="122" t="s">
        <v>31</v>
      </c>
      <c r="F941" s="120" t="s">
        <v>63</v>
      </c>
      <c r="G941" s="29">
        <v>45725</v>
      </c>
      <c r="H941" s="28" t="s">
        <v>4403</v>
      </c>
      <c r="I941" s="114" t="s">
        <v>12400</v>
      </c>
      <c r="J941" s="114" t="s">
        <v>12401</v>
      </c>
    </row>
    <row r="942" spans="1:10" ht="20" customHeight="1" thickBot="1">
      <c r="A942" s="26" t="s">
        <v>4406</v>
      </c>
      <c r="B942" s="26" t="s">
        <v>4406</v>
      </c>
      <c r="C942" s="26" t="s">
        <v>4407</v>
      </c>
      <c r="D942" s="116">
        <v>5</v>
      </c>
      <c r="E942" s="122" t="s">
        <v>29</v>
      </c>
      <c r="F942" s="119" t="s">
        <v>63</v>
      </c>
      <c r="G942" s="27">
        <v>42236</v>
      </c>
      <c r="H942" s="26" t="s">
        <v>4408</v>
      </c>
      <c r="I942" s="113" t="s">
        <v>12400</v>
      </c>
      <c r="J942" s="113" t="s">
        <v>12401</v>
      </c>
    </row>
    <row r="943" spans="1:10" ht="20" customHeight="1" thickBot="1">
      <c r="A943" s="28" t="s">
        <v>4411</v>
      </c>
      <c r="B943" s="28" t="s">
        <v>4411</v>
      </c>
      <c r="C943" s="28" t="s">
        <v>1244</v>
      </c>
      <c r="D943" s="117">
        <v>7</v>
      </c>
      <c r="E943" s="122" t="s">
        <v>31</v>
      </c>
      <c r="F943" s="120" t="s">
        <v>63</v>
      </c>
      <c r="G943" s="29">
        <v>46075</v>
      </c>
      <c r="H943" s="28" t="s">
        <v>4412</v>
      </c>
      <c r="I943" s="114" t="s">
        <v>12400</v>
      </c>
      <c r="J943" s="114" t="s">
        <v>12401</v>
      </c>
    </row>
    <row r="944" spans="1:10" ht="20" customHeight="1" thickBot="1">
      <c r="A944" s="26" t="s">
        <v>4415</v>
      </c>
      <c r="B944" s="26" t="s">
        <v>4415</v>
      </c>
      <c r="C944" s="26" t="s">
        <v>4416</v>
      </c>
      <c r="D944" s="116">
        <v>11</v>
      </c>
      <c r="E944" s="122" t="s">
        <v>27</v>
      </c>
      <c r="F944" s="119" t="s">
        <v>63</v>
      </c>
      <c r="G944" s="27">
        <v>42091</v>
      </c>
      <c r="H944" s="26" t="s">
        <v>4417</v>
      </c>
      <c r="I944" s="113" t="s">
        <v>12400</v>
      </c>
      <c r="J944" s="113" t="s">
        <v>12401</v>
      </c>
    </row>
    <row r="945" spans="1:10" ht="20" customHeight="1" thickBot="1">
      <c r="A945" s="28" t="s">
        <v>4420</v>
      </c>
      <c r="B945" s="28" t="s">
        <v>4420</v>
      </c>
      <c r="C945" s="28" t="s">
        <v>4421</v>
      </c>
      <c r="D945" s="117">
        <v>18</v>
      </c>
      <c r="E945" s="122" t="s">
        <v>33</v>
      </c>
      <c r="F945" s="120" t="s">
        <v>57</v>
      </c>
      <c r="G945" s="29">
        <v>43957</v>
      </c>
      <c r="H945" s="28" t="s">
        <v>4422</v>
      </c>
      <c r="I945" s="114" t="s">
        <v>12400</v>
      </c>
      <c r="J945" s="114" t="s">
        <v>12401</v>
      </c>
    </row>
    <row r="946" spans="1:10" ht="20" customHeight="1" thickBot="1">
      <c r="A946" s="26" t="s">
        <v>4425</v>
      </c>
      <c r="B946" s="26" t="s">
        <v>4425</v>
      </c>
      <c r="C946" s="26" t="s">
        <v>4426</v>
      </c>
      <c r="D946" s="116">
        <v>8</v>
      </c>
      <c r="E946" s="122" t="s">
        <v>29</v>
      </c>
      <c r="F946" s="119" t="s">
        <v>63</v>
      </c>
      <c r="G946" s="27">
        <v>42315</v>
      </c>
      <c r="H946" s="26" t="s">
        <v>4427</v>
      </c>
      <c r="I946" s="113" t="s">
        <v>12400</v>
      </c>
      <c r="J946" s="113" t="s">
        <v>12401</v>
      </c>
    </row>
    <row r="947" spans="1:10" ht="20" customHeight="1" thickBot="1">
      <c r="A947" s="28" t="s">
        <v>4430</v>
      </c>
      <c r="B947" s="28" t="s">
        <v>4430</v>
      </c>
      <c r="C947" s="28" t="s">
        <v>4431</v>
      </c>
      <c r="D947" s="117">
        <v>12</v>
      </c>
      <c r="E947" s="122" t="s">
        <v>29</v>
      </c>
      <c r="F947" s="120" t="s">
        <v>63</v>
      </c>
      <c r="G947" s="29">
        <v>42224</v>
      </c>
      <c r="H947" s="28" t="s">
        <v>4432</v>
      </c>
      <c r="I947" s="114" t="s">
        <v>12400</v>
      </c>
      <c r="J947" s="114" t="s">
        <v>12401</v>
      </c>
    </row>
    <row r="948" spans="1:10" ht="20" customHeight="1" thickBot="1">
      <c r="A948" s="26" t="s">
        <v>4435</v>
      </c>
      <c r="B948" s="26" t="s">
        <v>4435</v>
      </c>
      <c r="C948" s="26" t="s">
        <v>4436</v>
      </c>
      <c r="D948" s="116">
        <v>10</v>
      </c>
      <c r="E948" s="122" t="s">
        <v>29</v>
      </c>
      <c r="F948" s="119" t="s">
        <v>63</v>
      </c>
      <c r="G948" s="27">
        <v>41569</v>
      </c>
      <c r="H948" s="26" t="s">
        <v>4437</v>
      </c>
      <c r="I948" s="113" t="s">
        <v>12400</v>
      </c>
      <c r="J948" s="113" t="s">
        <v>12401</v>
      </c>
    </row>
    <row r="949" spans="1:10" ht="20" customHeight="1" thickBot="1">
      <c r="A949" s="28" t="s">
        <v>4440</v>
      </c>
      <c r="B949" s="28" t="s">
        <v>4440</v>
      </c>
      <c r="C949" s="28" t="s">
        <v>4441</v>
      </c>
      <c r="D949" s="117">
        <v>7</v>
      </c>
      <c r="E949" s="122" t="s">
        <v>29</v>
      </c>
      <c r="F949" s="120" t="s">
        <v>63</v>
      </c>
      <c r="G949" s="29">
        <v>41998</v>
      </c>
      <c r="H949" s="28" t="s">
        <v>4442</v>
      </c>
      <c r="I949" s="114" t="s">
        <v>12400</v>
      </c>
      <c r="J949" s="114" t="s">
        <v>12401</v>
      </c>
    </row>
    <row r="950" spans="1:10" ht="20" customHeight="1" thickBot="1">
      <c r="A950" s="26" t="s">
        <v>4445</v>
      </c>
      <c r="B950" s="26" t="s">
        <v>4445</v>
      </c>
      <c r="C950" s="26" t="s">
        <v>4446</v>
      </c>
      <c r="D950" s="116">
        <v>4</v>
      </c>
      <c r="E950" s="122" t="s">
        <v>31</v>
      </c>
      <c r="F950" s="119" t="s">
        <v>63</v>
      </c>
      <c r="G950" s="27">
        <v>42163</v>
      </c>
      <c r="H950" s="26" t="s">
        <v>4447</v>
      </c>
      <c r="I950" s="113" t="s">
        <v>12400</v>
      </c>
      <c r="J950" s="113" t="s">
        <v>12401</v>
      </c>
    </row>
    <row r="951" spans="1:10" ht="20" customHeight="1" thickBot="1">
      <c r="A951" s="28" t="s">
        <v>4450</v>
      </c>
      <c r="B951" s="28" t="s">
        <v>4450</v>
      </c>
      <c r="C951" s="28" t="s">
        <v>4451</v>
      </c>
      <c r="D951" s="117">
        <v>6</v>
      </c>
      <c r="E951" s="122" t="s">
        <v>27</v>
      </c>
      <c r="F951" s="120" t="s">
        <v>63</v>
      </c>
      <c r="G951" s="29">
        <v>42264</v>
      </c>
      <c r="H951" s="28" t="s">
        <v>4452</v>
      </c>
      <c r="I951" s="114" t="s">
        <v>12400</v>
      </c>
      <c r="J951" s="114" t="s">
        <v>12401</v>
      </c>
    </row>
    <row r="952" spans="1:10" ht="20" customHeight="1" thickBot="1">
      <c r="A952" s="26" t="s">
        <v>4455</v>
      </c>
      <c r="B952" s="26" t="s">
        <v>4455</v>
      </c>
      <c r="C952" s="26" t="s">
        <v>4310</v>
      </c>
      <c r="D952" s="116">
        <v>7</v>
      </c>
      <c r="E952" s="122" t="s">
        <v>29</v>
      </c>
      <c r="F952" s="119" t="s">
        <v>63</v>
      </c>
      <c r="G952" s="27">
        <v>43435</v>
      </c>
      <c r="H952" s="26" t="s">
        <v>4456</v>
      </c>
      <c r="I952" s="113" t="s">
        <v>12400</v>
      </c>
      <c r="J952" s="113" t="s">
        <v>12401</v>
      </c>
    </row>
    <row r="953" spans="1:10" ht="20" customHeight="1" thickBot="1">
      <c r="A953" s="28" t="s">
        <v>4459</v>
      </c>
      <c r="B953" s="28" t="s">
        <v>4459</v>
      </c>
      <c r="C953" s="28" t="s">
        <v>4460</v>
      </c>
      <c r="D953" s="117">
        <v>5</v>
      </c>
      <c r="E953" s="122" t="s">
        <v>31</v>
      </c>
      <c r="F953" s="120" t="s">
        <v>63</v>
      </c>
      <c r="G953" s="29">
        <v>42208</v>
      </c>
      <c r="H953" s="28" t="s">
        <v>4461</v>
      </c>
      <c r="I953" s="114" t="s">
        <v>12400</v>
      </c>
      <c r="J953" s="114" t="s">
        <v>12401</v>
      </c>
    </row>
    <row r="954" spans="1:10" ht="20" customHeight="1" thickBot="1">
      <c r="A954" s="26" t="s">
        <v>4464</v>
      </c>
      <c r="B954" s="26" t="s">
        <v>4464</v>
      </c>
      <c r="C954" s="26" t="s">
        <v>4465</v>
      </c>
      <c r="D954" s="116">
        <v>3</v>
      </c>
      <c r="E954" s="122" t="s">
        <v>29</v>
      </c>
      <c r="F954" s="119" t="s">
        <v>63</v>
      </c>
      <c r="G954" s="27">
        <v>42135</v>
      </c>
      <c r="H954" s="26" t="s">
        <v>4466</v>
      </c>
      <c r="I954" s="113" t="s">
        <v>12400</v>
      </c>
      <c r="J954" s="113" t="s">
        <v>12401</v>
      </c>
    </row>
    <row r="955" spans="1:10" ht="20" customHeight="1" thickBot="1">
      <c r="A955" s="28" t="s">
        <v>4469</v>
      </c>
      <c r="B955" s="28" t="s">
        <v>4469</v>
      </c>
      <c r="C955" s="28" t="s">
        <v>2245</v>
      </c>
      <c r="D955" s="117">
        <v>8</v>
      </c>
      <c r="E955" s="122" t="s">
        <v>29</v>
      </c>
      <c r="F955" s="120" t="s">
        <v>63</v>
      </c>
      <c r="G955" s="29">
        <v>43548</v>
      </c>
      <c r="H955" s="28" t="s">
        <v>4470</v>
      </c>
      <c r="I955" s="114" t="s">
        <v>12400</v>
      </c>
      <c r="J955" s="114" t="s">
        <v>12401</v>
      </c>
    </row>
    <row r="956" spans="1:10" ht="20" customHeight="1" thickBot="1">
      <c r="A956" s="26" t="s">
        <v>4473</v>
      </c>
      <c r="B956" s="26" t="s">
        <v>4473</v>
      </c>
      <c r="C956" s="26" t="s">
        <v>2245</v>
      </c>
      <c r="D956" s="116">
        <v>32</v>
      </c>
      <c r="E956" s="122" t="s">
        <v>29</v>
      </c>
      <c r="F956" s="119" t="s">
        <v>63</v>
      </c>
      <c r="G956" s="27">
        <v>43747</v>
      </c>
      <c r="H956" s="26" t="s">
        <v>4474</v>
      </c>
      <c r="I956" s="113" t="s">
        <v>12400</v>
      </c>
      <c r="J956" s="113" t="s">
        <v>12401</v>
      </c>
    </row>
    <row r="957" spans="1:10" ht="20" customHeight="1" thickBot="1">
      <c r="A957" s="28" t="s">
        <v>4477</v>
      </c>
      <c r="B957" s="28" t="s">
        <v>4477</v>
      </c>
      <c r="C957" s="28" t="s">
        <v>4478</v>
      </c>
      <c r="D957" s="117">
        <v>7</v>
      </c>
      <c r="E957" s="122" t="s">
        <v>29</v>
      </c>
      <c r="F957" s="120" t="s">
        <v>63</v>
      </c>
      <c r="G957" s="29">
        <v>42338</v>
      </c>
      <c r="H957" s="28" t="s">
        <v>4479</v>
      </c>
      <c r="I957" s="114" t="s">
        <v>12400</v>
      </c>
      <c r="J957" s="114" t="s">
        <v>12401</v>
      </c>
    </row>
    <row r="958" spans="1:10" ht="20" customHeight="1" thickBot="1">
      <c r="A958" s="26" t="s">
        <v>4482</v>
      </c>
      <c r="B958" s="26" t="s">
        <v>4482</v>
      </c>
      <c r="C958" s="26" t="s">
        <v>4483</v>
      </c>
      <c r="D958" s="116">
        <v>17</v>
      </c>
      <c r="E958" s="122" t="s">
        <v>29</v>
      </c>
      <c r="F958" s="119" t="s">
        <v>63</v>
      </c>
      <c r="G958" s="27">
        <v>42252</v>
      </c>
      <c r="H958" s="26" t="s">
        <v>4484</v>
      </c>
      <c r="I958" s="113" t="s">
        <v>12400</v>
      </c>
      <c r="J958" s="113" t="s">
        <v>12401</v>
      </c>
    </row>
    <row r="959" spans="1:10" ht="20" customHeight="1" thickBot="1">
      <c r="A959" s="28" t="s">
        <v>4487</v>
      </c>
      <c r="B959" s="28" t="s">
        <v>4487</v>
      </c>
      <c r="C959" s="28" t="s">
        <v>4483</v>
      </c>
      <c r="D959" s="117">
        <v>6</v>
      </c>
      <c r="E959" s="122" t="s">
        <v>27</v>
      </c>
      <c r="F959" s="120" t="s">
        <v>63</v>
      </c>
      <c r="G959" s="29">
        <v>42293</v>
      </c>
      <c r="H959" s="28" t="s">
        <v>4488</v>
      </c>
      <c r="I959" s="114" t="s">
        <v>12400</v>
      </c>
      <c r="J959" s="114" t="s">
        <v>12401</v>
      </c>
    </row>
    <row r="960" spans="1:10" ht="20" customHeight="1" thickBot="1">
      <c r="A960" s="26" t="s">
        <v>4491</v>
      </c>
      <c r="B960" s="26" t="s">
        <v>4491</v>
      </c>
      <c r="C960" s="26" t="s">
        <v>4492</v>
      </c>
      <c r="D960" s="116">
        <v>60</v>
      </c>
      <c r="E960" s="122" t="s">
        <v>27</v>
      </c>
      <c r="F960" s="119" t="s">
        <v>63</v>
      </c>
      <c r="G960" s="27">
        <v>42286</v>
      </c>
      <c r="H960" s="26" t="s">
        <v>4493</v>
      </c>
      <c r="I960" s="113" t="s">
        <v>12400</v>
      </c>
      <c r="J960" s="113" t="s">
        <v>12401</v>
      </c>
    </row>
    <row r="961" spans="1:10" ht="20" customHeight="1" thickBot="1">
      <c r="A961" s="28" t="s">
        <v>4496</v>
      </c>
      <c r="B961" s="28" t="s">
        <v>4496</v>
      </c>
      <c r="C961" s="28" t="s">
        <v>2133</v>
      </c>
      <c r="D961" s="117">
        <v>11</v>
      </c>
      <c r="E961" s="122" t="s">
        <v>31</v>
      </c>
      <c r="F961" s="120" t="s">
        <v>63</v>
      </c>
      <c r="G961" s="29">
        <v>42231</v>
      </c>
      <c r="H961" s="28" t="s">
        <v>4497</v>
      </c>
      <c r="I961" s="114" t="s">
        <v>12400</v>
      </c>
      <c r="J961" s="114" t="s">
        <v>12401</v>
      </c>
    </row>
    <row r="962" spans="1:10" ht="20" customHeight="1" thickBot="1">
      <c r="A962" s="26" t="s">
        <v>4500</v>
      </c>
      <c r="B962" s="26" t="s">
        <v>4500</v>
      </c>
      <c r="C962" s="26" t="s">
        <v>4501</v>
      </c>
      <c r="D962" s="116">
        <v>3</v>
      </c>
      <c r="E962" s="122" t="s">
        <v>33</v>
      </c>
      <c r="F962" s="119" t="s">
        <v>57</v>
      </c>
      <c r="G962" s="27">
        <v>44584</v>
      </c>
      <c r="H962" s="26" t="s">
        <v>4502</v>
      </c>
      <c r="I962" s="113" t="s">
        <v>12400</v>
      </c>
      <c r="J962" s="113" t="s">
        <v>12401</v>
      </c>
    </row>
    <row r="963" spans="1:10" ht="20" customHeight="1" thickBot="1">
      <c r="A963" s="28" t="s">
        <v>4505</v>
      </c>
      <c r="B963" s="28" t="s">
        <v>4505</v>
      </c>
      <c r="C963" s="28" t="s">
        <v>4506</v>
      </c>
      <c r="D963" s="117">
        <v>12</v>
      </c>
      <c r="E963" s="122" t="s">
        <v>29</v>
      </c>
      <c r="F963" s="120" t="s">
        <v>63</v>
      </c>
      <c r="G963" s="29">
        <v>46035</v>
      </c>
      <c r="H963" s="28" t="s">
        <v>4507</v>
      </c>
      <c r="I963" s="114" t="s">
        <v>12400</v>
      </c>
      <c r="J963" s="114" t="s">
        <v>12401</v>
      </c>
    </row>
    <row r="964" spans="1:10" ht="20" customHeight="1" thickBot="1">
      <c r="A964" s="26" t="s">
        <v>4510</v>
      </c>
      <c r="B964" s="26" t="s">
        <v>4510</v>
      </c>
      <c r="C964" s="26" t="s">
        <v>2460</v>
      </c>
      <c r="D964" s="116">
        <v>7</v>
      </c>
      <c r="E964" s="122" t="s">
        <v>31</v>
      </c>
      <c r="F964" s="119" t="s">
        <v>63</v>
      </c>
      <c r="G964" s="27">
        <v>42003</v>
      </c>
      <c r="H964" s="26" t="s">
        <v>4511</v>
      </c>
      <c r="I964" s="113" t="s">
        <v>12400</v>
      </c>
      <c r="J964" s="113" t="s">
        <v>12401</v>
      </c>
    </row>
    <row r="965" spans="1:10" ht="20" customHeight="1" thickBot="1">
      <c r="A965" s="28" t="s">
        <v>4514</v>
      </c>
      <c r="B965" s="28" t="s">
        <v>4514</v>
      </c>
      <c r="C965" s="28" t="s">
        <v>4515</v>
      </c>
      <c r="D965" s="117">
        <v>16</v>
      </c>
      <c r="E965" s="122" t="s">
        <v>31</v>
      </c>
      <c r="F965" s="120" t="s">
        <v>63</v>
      </c>
      <c r="G965" s="29">
        <v>42255</v>
      </c>
      <c r="H965" s="28" t="s">
        <v>4516</v>
      </c>
      <c r="I965" s="114" t="s">
        <v>12400</v>
      </c>
      <c r="J965" s="114" t="s">
        <v>12401</v>
      </c>
    </row>
    <row r="966" spans="1:10" ht="20" customHeight="1" thickBot="1">
      <c r="A966" s="26" t="s">
        <v>4519</v>
      </c>
      <c r="B966" s="26" t="s">
        <v>4519</v>
      </c>
      <c r="C966" s="26" t="s">
        <v>130</v>
      </c>
      <c r="D966" s="116">
        <v>86</v>
      </c>
      <c r="E966" s="122" t="s">
        <v>31</v>
      </c>
      <c r="F966" s="119" t="s">
        <v>63</v>
      </c>
      <c r="G966" s="27">
        <v>44255</v>
      </c>
      <c r="H966" s="26" t="s">
        <v>4520</v>
      </c>
      <c r="I966" s="113" t="s">
        <v>12400</v>
      </c>
      <c r="J966" s="113" t="s">
        <v>12401</v>
      </c>
    </row>
    <row r="967" spans="1:10" ht="20" customHeight="1" thickBot="1">
      <c r="A967" s="28" t="s">
        <v>4523</v>
      </c>
      <c r="B967" s="28" t="s">
        <v>4523</v>
      </c>
      <c r="C967" s="28" t="s">
        <v>130</v>
      </c>
      <c r="D967" s="117">
        <v>95</v>
      </c>
      <c r="E967" s="122" t="s">
        <v>31</v>
      </c>
      <c r="F967" s="120" t="s">
        <v>63</v>
      </c>
      <c r="G967" s="29">
        <v>44395</v>
      </c>
      <c r="H967" s="28" t="s">
        <v>4524</v>
      </c>
      <c r="I967" s="114" t="s">
        <v>12400</v>
      </c>
      <c r="J967" s="114" t="s">
        <v>12401</v>
      </c>
    </row>
    <row r="968" spans="1:10" ht="20" customHeight="1" thickBot="1">
      <c r="A968" s="26" t="s">
        <v>4527</v>
      </c>
      <c r="B968" s="26" t="s">
        <v>4527</v>
      </c>
      <c r="C968" s="26" t="s">
        <v>130</v>
      </c>
      <c r="D968" s="116">
        <v>95</v>
      </c>
      <c r="E968" s="122" t="s">
        <v>31</v>
      </c>
      <c r="F968" s="119" t="s">
        <v>63</v>
      </c>
      <c r="G968" s="27">
        <v>42349</v>
      </c>
      <c r="H968" s="26" t="s">
        <v>4528</v>
      </c>
      <c r="I968" s="113" t="s">
        <v>12400</v>
      </c>
      <c r="J968" s="113" t="s">
        <v>12401</v>
      </c>
    </row>
    <row r="969" spans="1:10" ht="20" customHeight="1" thickBot="1">
      <c r="A969" s="28" t="s">
        <v>4531</v>
      </c>
      <c r="B969" s="28" t="s">
        <v>4531</v>
      </c>
      <c r="C969" s="28" t="s">
        <v>4532</v>
      </c>
      <c r="D969" s="117">
        <v>18</v>
      </c>
      <c r="E969" s="122" t="s">
        <v>29</v>
      </c>
      <c r="F969" s="120" t="s">
        <v>63</v>
      </c>
      <c r="G969" s="29">
        <v>45848</v>
      </c>
      <c r="H969" s="28" t="s">
        <v>4533</v>
      </c>
      <c r="I969" s="114" t="s">
        <v>12400</v>
      </c>
      <c r="J969" s="114" t="s">
        <v>12401</v>
      </c>
    </row>
    <row r="970" spans="1:10" ht="20" customHeight="1" thickBot="1">
      <c r="A970" s="26" t="s">
        <v>4536</v>
      </c>
      <c r="B970" s="26" t="s">
        <v>4536</v>
      </c>
      <c r="C970" s="26" t="s">
        <v>4537</v>
      </c>
      <c r="D970" s="116">
        <v>5</v>
      </c>
      <c r="E970" s="122" t="s">
        <v>29</v>
      </c>
      <c r="F970" s="119" t="s">
        <v>63</v>
      </c>
      <c r="G970" s="27">
        <v>43454</v>
      </c>
      <c r="H970" s="26" t="s">
        <v>4538</v>
      </c>
      <c r="I970" s="113" t="s">
        <v>12400</v>
      </c>
      <c r="J970" s="113" t="s">
        <v>12401</v>
      </c>
    </row>
    <row r="971" spans="1:10" ht="20" customHeight="1" thickBot="1">
      <c r="A971" s="28" t="s">
        <v>4541</v>
      </c>
      <c r="B971" s="28" t="s">
        <v>4541</v>
      </c>
      <c r="C971" s="28" t="s">
        <v>4542</v>
      </c>
      <c r="D971" s="117">
        <v>11</v>
      </c>
      <c r="E971" s="122" t="s">
        <v>33</v>
      </c>
      <c r="F971" s="120" t="s">
        <v>63</v>
      </c>
      <c r="G971" s="29">
        <v>44891</v>
      </c>
      <c r="H971" s="28" t="s">
        <v>4543</v>
      </c>
      <c r="I971" s="114" t="s">
        <v>12400</v>
      </c>
      <c r="J971" s="114" t="s">
        <v>12401</v>
      </c>
    </row>
    <row r="972" spans="1:10" ht="20" customHeight="1" thickBot="1">
      <c r="A972" s="26" t="s">
        <v>4546</v>
      </c>
      <c r="B972" s="26" t="s">
        <v>4546</v>
      </c>
      <c r="C972" s="26" t="s">
        <v>4547</v>
      </c>
      <c r="D972" s="116">
        <v>5</v>
      </c>
      <c r="E972" s="122" t="s">
        <v>29</v>
      </c>
      <c r="F972" s="119" t="s">
        <v>63</v>
      </c>
      <c r="G972" s="27">
        <v>42255</v>
      </c>
      <c r="H972" s="26" t="s">
        <v>4548</v>
      </c>
      <c r="I972" s="113" t="s">
        <v>12400</v>
      </c>
      <c r="J972" s="113" t="s">
        <v>12401</v>
      </c>
    </row>
    <row r="973" spans="1:10" ht="20" customHeight="1" thickBot="1">
      <c r="A973" s="28" t="s">
        <v>4551</v>
      </c>
      <c r="B973" s="28" t="s">
        <v>4551</v>
      </c>
      <c r="C973" s="28" t="s">
        <v>4552</v>
      </c>
      <c r="D973" s="117">
        <v>56</v>
      </c>
      <c r="E973" s="122" t="s">
        <v>31</v>
      </c>
      <c r="F973" s="120" t="s">
        <v>63</v>
      </c>
      <c r="G973" s="29">
        <v>45828</v>
      </c>
      <c r="H973" s="28" t="s">
        <v>4553</v>
      </c>
      <c r="I973" s="114" t="s">
        <v>12400</v>
      </c>
      <c r="J973" s="114" t="s">
        <v>12401</v>
      </c>
    </row>
    <row r="974" spans="1:10" ht="20" customHeight="1" thickBot="1">
      <c r="A974" s="26" t="s">
        <v>4556</v>
      </c>
      <c r="B974" s="26" t="s">
        <v>4556</v>
      </c>
      <c r="C974" s="26" t="s">
        <v>4557</v>
      </c>
      <c r="D974" s="116">
        <v>13</v>
      </c>
      <c r="E974" s="122" t="s">
        <v>29</v>
      </c>
      <c r="F974" s="119" t="s">
        <v>63</v>
      </c>
      <c r="G974" s="27">
        <v>44826</v>
      </c>
      <c r="H974" s="26" t="s">
        <v>4558</v>
      </c>
      <c r="I974" s="113" t="s">
        <v>12400</v>
      </c>
      <c r="J974" s="113" t="s">
        <v>12401</v>
      </c>
    </row>
    <row r="975" spans="1:10" ht="20" customHeight="1" thickBot="1">
      <c r="A975" s="28" t="s">
        <v>4561</v>
      </c>
      <c r="B975" s="28" t="s">
        <v>4561</v>
      </c>
      <c r="C975" s="28" t="s">
        <v>4562</v>
      </c>
      <c r="D975" s="117">
        <v>10</v>
      </c>
      <c r="E975" s="122" t="s">
        <v>27</v>
      </c>
      <c r="F975" s="120" t="s">
        <v>63</v>
      </c>
      <c r="G975" s="29">
        <v>42268</v>
      </c>
      <c r="H975" s="28" t="s">
        <v>4563</v>
      </c>
      <c r="I975" s="114" t="s">
        <v>12400</v>
      </c>
      <c r="J975" s="114" t="s">
        <v>12401</v>
      </c>
    </row>
    <row r="976" spans="1:10" ht="20" customHeight="1" thickBot="1">
      <c r="A976" s="26" t="s">
        <v>4566</v>
      </c>
      <c r="B976" s="26" t="s">
        <v>4566</v>
      </c>
      <c r="C976" s="26" t="s">
        <v>4567</v>
      </c>
      <c r="D976" s="116">
        <v>6</v>
      </c>
      <c r="E976" s="122" t="s">
        <v>29</v>
      </c>
      <c r="F976" s="119" t="s">
        <v>63</v>
      </c>
      <c r="G976" s="27">
        <v>42314</v>
      </c>
      <c r="H976" s="26" t="s">
        <v>4568</v>
      </c>
      <c r="I976" s="113" t="s">
        <v>12400</v>
      </c>
      <c r="J976" s="113" t="s">
        <v>12401</v>
      </c>
    </row>
    <row r="977" spans="1:10" ht="20" customHeight="1" thickBot="1">
      <c r="A977" s="28" t="s">
        <v>4571</v>
      </c>
      <c r="B977" s="28" t="s">
        <v>4571</v>
      </c>
      <c r="C977" s="28" t="s">
        <v>4572</v>
      </c>
      <c r="D977" s="117">
        <v>5</v>
      </c>
      <c r="E977" s="122" t="s">
        <v>29</v>
      </c>
      <c r="F977" s="120" t="s">
        <v>63</v>
      </c>
      <c r="G977" s="29">
        <v>42288</v>
      </c>
      <c r="H977" s="28" t="s">
        <v>4573</v>
      </c>
      <c r="I977" s="114" t="s">
        <v>12400</v>
      </c>
      <c r="J977" s="114" t="s">
        <v>12401</v>
      </c>
    </row>
    <row r="978" spans="1:10" ht="20" customHeight="1" thickBot="1">
      <c r="A978" s="26" t="s">
        <v>4576</v>
      </c>
      <c r="B978" s="26" t="s">
        <v>4576</v>
      </c>
      <c r="C978" s="26" t="s">
        <v>2979</v>
      </c>
      <c r="D978" s="116">
        <v>7</v>
      </c>
      <c r="E978" s="122" t="s">
        <v>27</v>
      </c>
      <c r="F978" s="119" t="s">
        <v>63</v>
      </c>
      <c r="G978" s="27">
        <v>42482</v>
      </c>
      <c r="H978" s="26" t="s">
        <v>4577</v>
      </c>
      <c r="I978" s="113" t="s">
        <v>12400</v>
      </c>
      <c r="J978" s="113" t="s">
        <v>12401</v>
      </c>
    </row>
    <row r="979" spans="1:10" ht="20" customHeight="1" thickBot="1">
      <c r="A979" s="28" t="s">
        <v>4580</v>
      </c>
      <c r="B979" s="28" t="s">
        <v>4580</v>
      </c>
      <c r="C979" s="28" t="s">
        <v>4581</v>
      </c>
      <c r="D979" s="117">
        <v>6</v>
      </c>
      <c r="E979" s="122" t="s">
        <v>27</v>
      </c>
      <c r="F979" s="120" t="s">
        <v>63</v>
      </c>
      <c r="G979" s="29">
        <v>42228</v>
      </c>
      <c r="H979" s="28" t="s">
        <v>4582</v>
      </c>
      <c r="I979" s="114" t="s">
        <v>12400</v>
      </c>
      <c r="J979" s="114" t="s">
        <v>12401</v>
      </c>
    </row>
    <row r="980" spans="1:10" ht="20" customHeight="1" thickBot="1">
      <c r="A980" s="26" t="s">
        <v>4585</v>
      </c>
      <c r="B980" s="26" t="s">
        <v>4585</v>
      </c>
      <c r="C980" s="26" t="s">
        <v>243</v>
      </c>
      <c r="D980" s="116">
        <v>9</v>
      </c>
      <c r="E980" s="122" t="s">
        <v>31</v>
      </c>
      <c r="F980" s="119" t="s">
        <v>63</v>
      </c>
      <c r="G980" s="27">
        <v>43909</v>
      </c>
      <c r="H980" s="26" t="s">
        <v>4586</v>
      </c>
      <c r="I980" s="113" t="s">
        <v>12400</v>
      </c>
      <c r="J980" s="113" t="s">
        <v>12401</v>
      </c>
    </row>
    <row r="981" spans="1:10" ht="20" customHeight="1" thickBot="1">
      <c r="A981" s="28" t="s">
        <v>4589</v>
      </c>
      <c r="B981" s="28" t="s">
        <v>4589</v>
      </c>
      <c r="C981" s="28" t="s">
        <v>4590</v>
      </c>
      <c r="D981" s="117">
        <v>20</v>
      </c>
      <c r="E981" s="122" t="s">
        <v>35</v>
      </c>
      <c r="F981" s="120" t="s">
        <v>571</v>
      </c>
      <c r="G981" s="29">
        <v>45510</v>
      </c>
      <c r="H981" s="28" t="s">
        <v>4591</v>
      </c>
      <c r="I981" s="114" t="s">
        <v>12400</v>
      </c>
      <c r="J981" s="114" t="s">
        <v>12401</v>
      </c>
    </row>
    <row r="982" spans="1:10" ht="20" customHeight="1" thickBot="1">
      <c r="A982" s="26" t="s">
        <v>4594</v>
      </c>
      <c r="B982" s="26" t="s">
        <v>4594</v>
      </c>
      <c r="C982" s="26" t="s">
        <v>1603</v>
      </c>
      <c r="D982" s="116">
        <v>85</v>
      </c>
      <c r="E982" s="122" t="s">
        <v>31</v>
      </c>
      <c r="F982" s="119" t="s">
        <v>63</v>
      </c>
      <c r="G982" s="27">
        <v>42285</v>
      </c>
      <c r="H982" s="26" t="s">
        <v>4595</v>
      </c>
      <c r="I982" s="113" t="s">
        <v>12400</v>
      </c>
      <c r="J982" s="113" t="s">
        <v>12401</v>
      </c>
    </row>
    <row r="983" spans="1:10" ht="20" customHeight="1" thickBot="1">
      <c r="A983" s="28" t="s">
        <v>4598</v>
      </c>
      <c r="B983" s="28" t="s">
        <v>4598</v>
      </c>
      <c r="C983" s="28" t="s">
        <v>1244</v>
      </c>
      <c r="D983" s="117">
        <v>32</v>
      </c>
      <c r="E983" s="122" t="s">
        <v>33</v>
      </c>
      <c r="F983" s="120" t="s">
        <v>63</v>
      </c>
      <c r="G983" s="29">
        <v>44102</v>
      </c>
      <c r="H983" s="28" t="s">
        <v>4599</v>
      </c>
      <c r="I983" s="114" t="s">
        <v>12400</v>
      </c>
      <c r="J983" s="114" t="s">
        <v>12401</v>
      </c>
    </row>
    <row r="984" spans="1:10" ht="20" customHeight="1" thickBot="1">
      <c r="A984" s="26" t="s">
        <v>4602</v>
      </c>
      <c r="B984" s="26" t="s">
        <v>4602</v>
      </c>
      <c r="C984" s="26" t="s">
        <v>1244</v>
      </c>
      <c r="D984" s="116">
        <v>13</v>
      </c>
      <c r="E984" s="122" t="s">
        <v>31</v>
      </c>
      <c r="F984" s="119" t="s">
        <v>63</v>
      </c>
      <c r="G984" s="27">
        <v>44193</v>
      </c>
      <c r="H984" s="26" t="s">
        <v>4603</v>
      </c>
      <c r="I984" s="113" t="s">
        <v>12400</v>
      </c>
      <c r="J984" s="113" t="s">
        <v>12401</v>
      </c>
    </row>
    <row r="985" spans="1:10" ht="20" customHeight="1" thickBot="1">
      <c r="A985" s="28" t="s">
        <v>4606</v>
      </c>
      <c r="B985" s="28" t="s">
        <v>4606</v>
      </c>
      <c r="C985" s="28" t="s">
        <v>1244</v>
      </c>
      <c r="D985" s="117">
        <v>42</v>
      </c>
      <c r="E985" s="122" t="s">
        <v>33</v>
      </c>
      <c r="F985" s="120" t="s">
        <v>63</v>
      </c>
      <c r="G985" s="29">
        <v>44452</v>
      </c>
      <c r="H985" s="28" t="s">
        <v>4607</v>
      </c>
      <c r="I985" s="114" t="s">
        <v>12400</v>
      </c>
      <c r="J985" s="114" t="s">
        <v>12401</v>
      </c>
    </row>
    <row r="986" spans="1:10" ht="20" customHeight="1" thickBot="1">
      <c r="A986" s="26" t="s">
        <v>4610</v>
      </c>
      <c r="B986" s="26" t="s">
        <v>4610</v>
      </c>
      <c r="C986" s="26" t="s">
        <v>1244</v>
      </c>
      <c r="D986" s="116">
        <v>50</v>
      </c>
      <c r="E986" s="122" t="s">
        <v>33</v>
      </c>
      <c r="F986" s="119" t="s">
        <v>63</v>
      </c>
      <c r="G986" s="27">
        <v>45320</v>
      </c>
      <c r="H986" s="26" t="s">
        <v>4611</v>
      </c>
      <c r="I986" s="113" t="s">
        <v>12400</v>
      </c>
      <c r="J986" s="113" t="s">
        <v>12401</v>
      </c>
    </row>
    <row r="987" spans="1:10" ht="20" customHeight="1" thickBot="1">
      <c r="A987" s="28" t="s">
        <v>4614</v>
      </c>
      <c r="B987" s="28" t="s">
        <v>4614</v>
      </c>
      <c r="C987" s="28" t="s">
        <v>1244</v>
      </c>
      <c r="D987" s="117">
        <v>4</v>
      </c>
      <c r="E987" s="122" t="s">
        <v>31</v>
      </c>
      <c r="F987" s="120" t="s">
        <v>63</v>
      </c>
      <c r="G987" s="29">
        <v>45540</v>
      </c>
      <c r="H987" s="28" t="s">
        <v>4615</v>
      </c>
      <c r="I987" s="114" t="s">
        <v>12400</v>
      </c>
      <c r="J987" s="114" t="s">
        <v>12401</v>
      </c>
    </row>
    <row r="988" spans="1:10" ht="20" customHeight="1" thickBot="1">
      <c r="A988" s="26" t="s">
        <v>4618</v>
      </c>
      <c r="B988" s="26" t="s">
        <v>4618</v>
      </c>
      <c r="C988" s="26" t="s">
        <v>4619</v>
      </c>
      <c r="D988" s="116">
        <v>5</v>
      </c>
      <c r="E988" s="122" t="s">
        <v>33</v>
      </c>
      <c r="F988" s="119" t="s">
        <v>63</v>
      </c>
      <c r="G988" s="27">
        <v>42629</v>
      </c>
      <c r="H988" s="26" t="s">
        <v>4620</v>
      </c>
      <c r="I988" s="113" t="s">
        <v>12400</v>
      </c>
      <c r="J988" s="113" t="s">
        <v>12401</v>
      </c>
    </row>
    <row r="989" spans="1:10" ht="20" customHeight="1" thickBot="1">
      <c r="A989" s="28" t="s">
        <v>4623</v>
      </c>
      <c r="B989" s="28" t="s">
        <v>4623</v>
      </c>
      <c r="C989" s="28" t="s">
        <v>4371</v>
      </c>
      <c r="D989" s="117">
        <v>11</v>
      </c>
      <c r="E989" s="122" t="s">
        <v>29</v>
      </c>
      <c r="F989" s="120" t="s">
        <v>63</v>
      </c>
      <c r="G989" s="29">
        <v>43907</v>
      </c>
      <c r="H989" s="28" t="s">
        <v>4624</v>
      </c>
      <c r="I989" s="114" t="s">
        <v>12400</v>
      </c>
      <c r="J989" s="114" t="s">
        <v>12401</v>
      </c>
    </row>
    <row r="990" spans="1:10" ht="20" customHeight="1" thickBot="1">
      <c r="A990" s="26" t="s">
        <v>4627</v>
      </c>
      <c r="B990" s="26" t="s">
        <v>4627</v>
      </c>
      <c r="C990" s="26" t="s">
        <v>4628</v>
      </c>
      <c r="D990" s="116">
        <v>26</v>
      </c>
      <c r="E990" s="122" t="s">
        <v>29</v>
      </c>
      <c r="F990" s="119" t="s">
        <v>63</v>
      </c>
      <c r="G990" s="27">
        <v>42339</v>
      </c>
      <c r="H990" s="26" t="s">
        <v>4629</v>
      </c>
      <c r="I990" s="113" t="s">
        <v>12400</v>
      </c>
      <c r="J990" s="113" t="s">
        <v>12401</v>
      </c>
    </row>
    <row r="991" spans="1:10" ht="20" customHeight="1" thickBot="1">
      <c r="A991" s="28" t="s">
        <v>4632</v>
      </c>
      <c r="B991" s="28" t="s">
        <v>4632</v>
      </c>
      <c r="C991" s="28" t="s">
        <v>4633</v>
      </c>
      <c r="D991" s="117">
        <v>8</v>
      </c>
      <c r="E991" s="122" t="s">
        <v>29</v>
      </c>
      <c r="F991" s="120" t="s">
        <v>63</v>
      </c>
      <c r="G991" s="29">
        <v>41450</v>
      </c>
      <c r="H991" s="28" t="s">
        <v>4634</v>
      </c>
      <c r="I991" s="114" t="s">
        <v>12400</v>
      </c>
      <c r="J991" s="114" t="s">
        <v>12401</v>
      </c>
    </row>
    <row r="992" spans="1:10" ht="20" customHeight="1" thickBot="1">
      <c r="A992" s="26" t="s">
        <v>4637</v>
      </c>
      <c r="B992" s="26" t="s">
        <v>4637</v>
      </c>
      <c r="C992" s="26" t="s">
        <v>4638</v>
      </c>
      <c r="D992" s="116">
        <v>8</v>
      </c>
      <c r="E992" s="122" t="s">
        <v>31</v>
      </c>
      <c r="F992" s="119" t="s">
        <v>63</v>
      </c>
      <c r="G992" s="27">
        <v>42691</v>
      </c>
      <c r="H992" s="26" t="s">
        <v>4639</v>
      </c>
      <c r="I992" s="113" t="s">
        <v>12400</v>
      </c>
      <c r="J992" s="113" t="s">
        <v>12401</v>
      </c>
    </row>
    <row r="993" spans="1:10" ht="20" customHeight="1" thickBot="1">
      <c r="A993" s="28" t="s">
        <v>4642</v>
      </c>
      <c r="B993" s="28" t="s">
        <v>4642</v>
      </c>
      <c r="C993" s="28" t="s">
        <v>4643</v>
      </c>
      <c r="D993" s="117">
        <v>96</v>
      </c>
      <c r="E993" s="122" t="s">
        <v>29</v>
      </c>
      <c r="F993" s="120" t="s">
        <v>63</v>
      </c>
      <c r="G993" s="29">
        <v>42010</v>
      </c>
      <c r="H993" s="28" t="s">
        <v>4644</v>
      </c>
      <c r="I993" s="114" t="s">
        <v>12400</v>
      </c>
      <c r="J993" s="114" t="s">
        <v>12401</v>
      </c>
    </row>
    <row r="994" spans="1:10" ht="20" customHeight="1" thickBot="1">
      <c r="A994" s="26" t="s">
        <v>4647</v>
      </c>
      <c r="B994" s="26" t="s">
        <v>4647</v>
      </c>
      <c r="C994" s="26" t="s">
        <v>4547</v>
      </c>
      <c r="D994" s="116">
        <v>52</v>
      </c>
      <c r="E994" s="122" t="s">
        <v>29</v>
      </c>
      <c r="F994" s="119" t="s">
        <v>63</v>
      </c>
      <c r="G994" s="27">
        <v>45351</v>
      </c>
      <c r="H994" s="26" t="s">
        <v>4648</v>
      </c>
      <c r="I994" s="113" t="s">
        <v>12400</v>
      </c>
      <c r="J994" s="113" t="s">
        <v>12401</v>
      </c>
    </row>
    <row r="995" spans="1:10" ht="20" customHeight="1" thickBot="1">
      <c r="A995" s="28" t="s">
        <v>4651</v>
      </c>
      <c r="B995" s="28" t="s">
        <v>4651</v>
      </c>
      <c r="C995" s="28" t="s">
        <v>4652</v>
      </c>
      <c r="D995" s="117">
        <v>3</v>
      </c>
      <c r="E995" s="122" t="s">
        <v>27</v>
      </c>
      <c r="F995" s="120" t="s">
        <v>63</v>
      </c>
      <c r="G995" s="29">
        <v>42135</v>
      </c>
      <c r="H995" s="28" t="s">
        <v>4653</v>
      </c>
      <c r="I995" s="114" t="s">
        <v>12400</v>
      </c>
      <c r="J995" s="114" t="s">
        <v>12401</v>
      </c>
    </row>
    <row r="996" spans="1:10" ht="20" customHeight="1" thickBot="1">
      <c r="A996" s="26" t="s">
        <v>4656</v>
      </c>
      <c r="B996" s="26" t="s">
        <v>4656</v>
      </c>
      <c r="C996" s="26" t="s">
        <v>504</v>
      </c>
      <c r="D996" s="116">
        <v>90</v>
      </c>
      <c r="E996" s="122" t="s">
        <v>29</v>
      </c>
      <c r="F996" s="119" t="s">
        <v>63</v>
      </c>
      <c r="G996" s="27">
        <v>42939</v>
      </c>
      <c r="H996" s="26" t="s">
        <v>4657</v>
      </c>
      <c r="I996" s="113" t="s">
        <v>12400</v>
      </c>
      <c r="J996" s="113" t="s">
        <v>12401</v>
      </c>
    </row>
    <row r="997" spans="1:10" ht="20" customHeight="1" thickBot="1">
      <c r="A997" s="28" t="s">
        <v>4660</v>
      </c>
      <c r="B997" s="28" t="s">
        <v>4660</v>
      </c>
      <c r="C997" s="28" t="s">
        <v>2197</v>
      </c>
      <c r="D997" s="117">
        <v>13</v>
      </c>
      <c r="E997" s="122" t="s">
        <v>27</v>
      </c>
      <c r="F997" s="120" t="s">
        <v>63</v>
      </c>
      <c r="G997" s="29">
        <v>42306</v>
      </c>
      <c r="H997" s="28" t="s">
        <v>4661</v>
      </c>
      <c r="I997" s="114" t="s">
        <v>12400</v>
      </c>
      <c r="J997" s="114" t="s">
        <v>12401</v>
      </c>
    </row>
    <row r="998" spans="1:10" ht="20" customHeight="1" thickBot="1">
      <c r="A998" s="26" t="s">
        <v>4664</v>
      </c>
      <c r="B998" s="26" t="s">
        <v>4664</v>
      </c>
      <c r="C998" s="26" t="s">
        <v>4665</v>
      </c>
      <c r="D998" s="116">
        <v>9</v>
      </c>
      <c r="E998" s="122" t="s">
        <v>33</v>
      </c>
      <c r="F998" s="119" t="s">
        <v>571</v>
      </c>
      <c r="G998" s="27">
        <v>42960</v>
      </c>
      <c r="H998" s="26" t="s">
        <v>4666</v>
      </c>
      <c r="I998" s="113" t="s">
        <v>12400</v>
      </c>
      <c r="J998" s="113" t="s">
        <v>12401</v>
      </c>
    </row>
    <row r="999" spans="1:10" ht="20" customHeight="1" thickBot="1">
      <c r="A999" s="28" t="s">
        <v>4669</v>
      </c>
      <c r="B999" s="28" t="s">
        <v>4669</v>
      </c>
      <c r="C999" s="28" t="s">
        <v>4670</v>
      </c>
      <c r="D999" s="117">
        <v>4</v>
      </c>
      <c r="E999" s="122" t="s">
        <v>27</v>
      </c>
      <c r="F999" s="120" t="s">
        <v>63</v>
      </c>
      <c r="G999" s="29">
        <v>42125</v>
      </c>
      <c r="H999" s="28" t="s">
        <v>4671</v>
      </c>
      <c r="I999" s="114" t="s">
        <v>12400</v>
      </c>
      <c r="J999" s="114" t="s">
        <v>12401</v>
      </c>
    </row>
    <row r="1000" spans="1:10" ht="20" customHeight="1" thickBot="1">
      <c r="A1000" s="26" t="s">
        <v>4674</v>
      </c>
      <c r="B1000" s="26" t="s">
        <v>4674</v>
      </c>
      <c r="C1000" s="26" t="s">
        <v>1784</v>
      </c>
      <c r="D1000" s="116">
        <v>12</v>
      </c>
      <c r="E1000" s="122" t="s">
        <v>36</v>
      </c>
      <c r="F1000" s="119" t="s">
        <v>57</v>
      </c>
      <c r="G1000" s="27">
        <v>42722</v>
      </c>
      <c r="H1000" s="26" t="s">
        <v>4675</v>
      </c>
      <c r="I1000" s="113" t="s">
        <v>12400</v>
      </c>
      <c r="J1000" s="113" t="s">
        <v>12401</v>
      </c>
    </row>
    <row r="1001" spans="1:10" ht="20" customHeight="1" thickBot="1">
      <c r="A1001" s="28" t="s">
        <v>4678</v>
      </c>
      <c r="B1001" s="28" t="s">
        <v>4678</v>
      </c>
      <c r="C1001" s="28" t="s">
        <v>4679</v>
      </c>
      <c r="D1001" s="117">
        <v>18</v>
      </c>
      <c r="E1001" s="122" t="s">
        <v>34</v>
      </c>
      <c r="F1001" s="120" t="s">
        <v>57</v>
      </c>
      <c r="G1001" s="29">
        <v>44880</v>
      </c>
      <c r="H1001" s="28" t="s">
        <v>4680</v>
      </c>
      <c r="I1001" s="114" t="s">
        <v>12400</v>
      </c>
      <c r="J1001" s="114" t="s">
        <v>12401</v>
      </c>
    </row>
    <row r="1002" spans="1:10" ht="20" customHeight="1" thickBot="1">
      <c r="A1002" s="26" t="s">
        <v>4683</v>
      </c>
      <c r="B1002" s="26" t="s">
        <v>4683</v>
      </c>
      <c r="C1002" s="26" t="s">
        <v>641</v>
      </c>
      <c r="D1002" s="116">
        <v>6</v>
      </c>
      <c r="E1002" s="122" t="s">
        <v>35</v>
      </c>
      <c r="F1002" s="119" t="s">
        <v>57</v>
      </c>
      <c r="G1002" s="27">
        <v>44620</v>
      </c>
      <c r="H1002" s="26" t="s">
        <v>4684</v>
      </c>
      <c r="I1002" s="113" t="s">
        <v>12400</v>
      </c>
      <c r="J1002" s="113" t="s">
        <v>12401</v>
      </c>
    </row>
    <row r="1003" spans="1:10" ht="20" customHeight="1" thickBot="1">
      <c r="A1003" s="28" t="s">
        <v>4687</v>
      </c>
      <c r="B1003" s="28" t="s">
        <v>4687</v>
      </c>
      <c r="C1003" s="28" t="s">
        <v>3346</v>
      </c>
      <c r="D1003" s="117">
        <v>4</v>
      </c>
      <c r="E1003" s="122" t="s">
        <v>34</v>
      </c>
      <c r="F1003" s="120" t="s">
        <v>57</v>
      </c>
      <c r="G1003" s="29">
        <v>43459</v>
      </c>
      <c r="H1003" s="28" t="s">
        <v>4688</v>
      </c>
      <c r="I1003" s="114" t="s">
        <v>12400</v>
      </c>
      <c r="J1003" s="114" t="s">
        <v>12401</v>
      </c>
    </row>
    <row r="1004" spans="1:10" ht="20" customHeight="1" thickBot="1">
      <c r="A1004" s="26" t="s">
        <v>4691</v>
      </c>
      <c r="B1004" s="26" t="s">
        <v>4691</v>
      </c>
      <c r="C1004" s="26" t="s">
        <v>312</v>
      </c>
      <c r="D1004" s="116">
        <v>20</v>
      </c>
      <c r="E1004" s="122" t="s">
        <v>34</v>
      </c>
      <c r="F1004" s="119" t="s">
        <v>57</v>
      </c>
      <c r="G1004" s="27">
        <v>43984</v>
      </c>
      <c r="H1004" s="26" t="s">
        <v>4692</v>
      </c>
      <c r="I1004" s="113" t="s">
        <v>12400</v>
      </c>
      <c r="J1004" s="113" t="s">
        <v>12401</v>
      </c>
    </row>
    <row r="1005" spans="1:10" ht="20" customHeight="1" thickBot="1">
      <c r="A1005" s="28" t="s">
        <v>4695</v>
      </c>
      <c r="B1005" s="28" t="s">
        <v>4695</v>
      </c>
      <c r="C1005" s="28" t="s">
        <v>1296</v>
      </c>
      <c r="D1005" s="117">
        <v>11</v>
      </c>
      <c r="E1005" s="122" t="s">
        <v>29</v>
      </c>
      <c r="F1005" s="120" t="s">
        <v>63</v>
      </c>
      <c r="G1005" s="29">
        <v>42062</v>
      </c>
      <c r="H1005" s="28" t="s">
        <v>4696</v>
      </c>
      <c r="I1005" s="114" t="s">
        <v>12400</v>
      </c>
      <c r="J1005" s="114" t="s">
        <v>12401</v>
      </c>
    </row>
    <row r="1006" spans="1:10" ht="20" customHeight="1" thickBot="1">
      <c r="A1006" s="26" t="s">
        <v>4699</v>
      </c>
      <c r="B1006" s="26" t="s">
        <v>4700</v>
      </c>
      <c r="C1006" s="26" t="s">
        <v>3132</v>
      </c>
      <c r="D1006" s="116">
        <v>10</v>
      </c>
      <c r="E1006" s="122" t="s">
        <v>34</v>
      </c>
      <c r="F1006" s="119" t="s">
        <v>57</v>
      </c>
      <c r="G1006" s="27">
        <v>43870</v>
      </c>
      <c r="H1006" s="26" t="s">
        <v>4701</v>
      </c>
      <c r="I1006" s="113" t="s">
        <v>12400</v>
      </c>
      <c r="J1006" s="113" t="s">
        <v>12401</v>
      </c>
    </row>
    <row r="1007" spans="1:10" ht="20" customHeight="1" thickBot="1">
      <c r="A1007" s="28" t="s">
        <v>4704</v>
      </c>
      <c r="B1007" s="28" t="s">
        <v>4700</v>
      </c>
      <c r="C1007" s="28" t="s">
        <v>4705</v>
      </c>
      <c r="D1007" s="117">
        <v>15</v>
      </c>
      <c r="E1007" s="122" t="s">
        <v>31</v>
      </c>
      <c r="F1007" s="120" t="s">
        <v>63</v>
      </c>
      <c r="G1007" s="29">
        <v>45144</v>
      </c>
      <c r="H1007" s="28" t="s">
        <v>4706</v>
      </c>
      <c r="I1007" s="114" t="s">
        <v>12400</v>
      </c>
      <c r="J1007" s="114" t="s">
        <v>12401</v>
      </c>
    </row>
    <row r="1008" spans="1:10" ht="20" customHeight="1" thickBot="1">
      <c r="A1008" s="26" t="s">
        <v>4709</v>
      </c>
      <c r="B1008" s="26" t="s">
        <v>4709</v>
      </c>
      <c r="C1008" s="26" t="s">
        <v>4710</v>
      </c>
      <c r="D1008" s="116">
        <v>8</v>
      </c>
      <c r="E1008" s="122" t="s">
        <v>31</v>
      </c>
      <c r="F1008" s="119" t="s">
        <v>63</v>
      </c>
      <c r="G1008" s="27">
        <v>43383</v>
      </c>
      <c r="H1008" s="26" t="s">
        <v>4711</v>
      </c>
      <c r="I1008" s="113" t="s">
        <v>12400</v>
      </c>
      <c r="J1008" s="113" t="s">
        <v>12401</v>
      </c>
    </row>
    <row r="1009" spans="1:10" ht="20" customHeight="1" thickBot="1">
      <c r="A1009" s="28" t="s">
        <v>4714</v>
      </c>
      <c r="B1009" s="28" t="s">
        <v>4714</v>
      </c>
      <c r="C1009" s="28" t="s">
        <v>2526</v>
      </c>
      <c r="D1009" s="117">
        <v>10</v>
      </c>
      <c r="E1009" s="122" t="s">
        <v>35</v>
      </c>
      <c r="F1009" s="120" t="s">
        <v>57</v>
      </c>
      <c r="G1009" s="29">
        <v>44386</v>
      </c>
      <c r="H1009" s="28" t="s">
        <v>4715</v>
      </c>
      <c r="I1009" s="114" t="s">
        <v>12400</v>
      </c>
      <c r="J1009" s="114" t="s">
        <v>12401</v>
      </c>
    </row>
    <row r="1010" spans="1:10" ht="20" customHeight="1" thickBot="1">
      <c r="A1010" s="26" t="s">
        <v>4718</v>
      </c>
      <c r="B1010" s="26" t="s">
        <v>4718</v>
      </c>
      <c r="C1010" s="26" t="s">
        <v>4719</v>
      </c>
      <c r="D1010" s="116">
        <v>4</v>
      </c>
      <c r="E1010" s="122" t="s">
        <v>33</v>
      </c>
      <c r="F1010" s="119" t="s">
        <v>57</v>
      </c>
      <c r="G1010" s="27">
        <v>45938</v>
      </c>
      <c r="H1010" s="26" t="s">
        <v>4720</v>
      </c>
      <c r="I1010" s="113" t="s">
        <v>12400</v>
      </c>
      <c r="J1010" s="113" t="s">
        <v>12401</v>
      </c>
    </row>
    <row r="1011" spans="1:10" ht="20" customHeight="1" thickBot="1">
      <c r="A1011" s="28" t="s">
        <v>4723</v>
      </c>
      <c r="B1011" s="28" t="s">
        <v>4723</v>
      </c>
      <c r="C1011" s="28" t="s">
        <v>4724</v>
      </c>
      <c r="D1011" s="117">
        <v>15</v>
      </c>
      <c r="E1011" s="122" t="s">
        <v>36</v>
      </c>
      <c r="F1011" s="120" t="s">
        <v>57</v>
      </c>
      <c r="G1011" s="29">
        <v>44952</v>
      </c>
      <c r="H1011" s="28" t="s">
        <v>4725</v>
      </c>
      <c r="I1011" s="114" t="s">
        <v>12400</v>
      </c>
      <c r="J1011" s="114" t="s">
        <v>12401</v>
      </c>
    </row>
    <row r="1012" spans="1:10" ht="20" customHeight="1" thickBot="1">
      <c r="A1012" s="26" t="s">
        <v>4728</v>
      </c>
      <c r="B1012" s="26" t="s">
        <v>4728</v>
      </c>
      <c r="C1012" s="26" t="s">
        <v>4724</v>
      </c>
      <c r="D1012" s="116">
        <v>15</v>
      </c>
      <c r="E1012" s="122" t="s">
        <v>34</v>
      </c>
      <c r="F1012" s="119" t="s">
        <v>57</v>
      </c>
      <c r="G1012" s="27">
        <v>44984</v>
      </c>
      <c r="H1012" s="26" t="s">
        <v>4729</v>
      </c>
      <c r="I1012" s="113" t="s">
        <v>12400</v>
      </c>
      <c r="J1012" s="113" t="s">
        <v>12401</v>
      </c>
    </row>
    <row r="1013" spans="1:10" ht="20" customHeight="1" thickBot="1">
      <c r="A1013" s="28" t="s">
        <v>4732</v>
      </c>
      <c r="B1013" s="28" t="s">
        <v>4732</v>
      </c>
      <c r="C1013" s="28" t="s">
        <v>4733</v>
      </c>
      <c r="D1013" s="117">
        <v>7</v>
      </c>
      <c r="E1013" s="122" t="s">
        <v>33</v>
      </c>
      <c r="F1013" s="120" t="s">
        <v>57</v>
      </c>
      <c r="G1013" s="29">
        <v>44243</v>
      </c>
      <c r="H1013" s="28" t="s">
        <v>4734</v>
      </c>
      <c r="I1013" s="114" t="s">
        <v>12400</v>
      </c>
      <c r="J1013" s="114" t="s">
        <v>12401</v>
      </c>
    </row>
    <row r="1014" spans="1:10" ht="20" customHeight="1" thickBot="1">
      <c r="A1014" s="26" t="s">
        <v>4737</v>
      </c>
      <c r="B1014" s="26" t="s">
        <v>4737</v>
      </c>
      <c r="C1014" s="26" t="s">
        <v>1784</v>
      </c>
      <c r="D1014" s="116">
        <v>9</v>
      </c>
      <c r="E1014" s="122" t="s">
        <v>33</v>
      </c>
      <c r="F1014" s="119" t="s">
        <v>571</v>
      </c>
      <c r="G1014" s="27">
        <v>41917</v>
      </c>
      <c r="H1014" s="26" t="s">
        <v>4738</v>
      </c>
      <c r="I1014" s="113" t="s">
        <v>12400</v>
      </c>
      <c r="J1014" s="113" t="s">
        <v>12401</v>
      </c>
    </row>
    <row r="1015" spans="1:10" ht="20" customHeight="1" thickBot="1">
      <c r="A1015" s="28" t="s">
        <v>4741</v>
      </c>
      <c r="B1015" s="28" t="s">
        <v>4741</v>
      </c>
      <c r="C1015" s="28" t="s">
        <v>1784</v>
      </c>
      <c r="D1015" s="117">
        <v>9</v>
      </c>
      <c r="E1015" s="122" t="s">
        <v>34</v>
      </c>
      <c r="F1015" s="120" t="s">
        <v>571</v>
      </c>
      <c r="G1015" s="29">
        <v>42557</v>
      </c>
      <c r="H1015" s="28" t="s">
        <v>4742</v>
      </c>
      <c r="I1015" s="114" t="s">
        <v>12400</v>
      </c>
      <c r="J1015" s="114" t="s">
        <v>12401</v>
      </c>
    </row>
    <row r="1016" spans="1:10" ht="20" customHeight="1" thickBot="1">
      <c r="A1016" s="26" t="s">
        <v>4745</v>
      </c>
      <c r="B1016" s="26" t="s">
        <v>4745</v>
      </c>
      <c r="C1016" s="26" t="s">
        <v>743</v>
      </c>
      <c r="D1016" s="116">
        <v>18</v>
      </c>
      <c r="E1016" s="122" t="s">
        <v>35</v>
      </c>
      <c r="F1016" s="119" t="s">
        <v>57</v>
      </c>
      <c r="G1016" s="27">
        <v>45705</v>
      </c>
      <c r="H1016" s="26" t="s">
        <v>4746</v>
      </c>
      <c r="I1016" s="113" t="s">
        <v>12400</v>
      </c>
      <c r="J1016" s="113" t="s">
        <v>12401</v>
      </c>
    </row>
    <row r="1017" spans="1:10" ht="20" customHeight="1" thickBot="1">
      <c r="A1017" s="28" t="s">
        <v>4749</v>
      </c>
      <c r="B1017" s="28" t="s">
        <v>4749</v>
      </c>
      <c r="C1017" s="28" t="s">
        <v>4750</v>
      </c>
      <c r="D1017" s="117">
        <v>2</v>
      </c>
      <c r="E1017" s="122" t="s">
        <v>31</v>
      </c>
      <c r="F1017" s="120" t="s">
        <v>571</v>
      </c>
      <c r="G1017" s="29">
        <v>44142</v>
      </c>
      <c r="H1017" s="28" t="s">
        <v>4751</v>
      </c>
      <c r="I1017" s="114" t="s">
        <v>12400</v>
      </c>
      <c r="J1017" s="114" t="s">
        <v>12401</v>
      </c>
    </row>
    <row r="1018" spans="1:10" ht="20" customHeight="1" thickBot="1">
      <c r="A1018" s="26" t="s">
        <v>4754</v>
      </c>
      <c r="B1018" s="26" t="s">
        <v>4754</v>
      </c>
      <c r="C1018" s="26" t="s">
        <v>4755</v>
      </c>
      <c r="D1018" s="116">
        <v>6</v>
      </c>
      <c r="E1018" s="122" t="s">
        <v>29</v>
      </c>
      <c r="F1018" s="119" t="s">
        <v>63</v>
      </c>
      <c r="G1018" s="27">
        <v>42256</v>
      </c>
      <c r="H1018" s="26" t="s">
        <v>4756</v>
      </c>
      <c r="I1018" s="113" t="s">
        <v>12400</v>
      </c>
      <c r="J1018" s="113" t="s">
        <v>12401</v>
      </c>
    </row>
    <row r="1019" spans="1:10" ht="20" customHeight="1" thickBot="1">
      <c r="A1019" s="28" t="s">
        <v>4759</v>
      </c>
      <c r="B1019" s="28" t="s">
        <v>4759</v>
      </c>
      <c r="C1019" s="28" t="s">
        <v>2165</v>
      </c>
      <c r="D1019" s="117">
        <v>2</v>
      </c>
      <c r="E1019" s="122" t="s">
        <v>33</v>
      </c>
      <c r="F1019" s="120" t="s">
        <v>57</v>
      </c>
      <c r="G1019" s="29">
        <v>44456</v>
      </c>
      <c r="H1019" s="28" t="s">
        <v>4760</v>
      </c>
      <c r="I1019" s="114" t="s">
        <v>12400</v>
      </c>
      <c r="J1019" s="114" t="s">
        <v>12401</v>
      </c>
    </row>
    <row r="1020" spans="1:10" ht="20" customHeight="1" thickBot="1">
      <c r="A1020" s="26" t="s">
        <v>4763</v>
      </c>
      <c r="B1020" s="26" t="s">
        <v>4763</v>
      </c>
      <c r="C1020" s="26" t="s">
        <v>4764</v>
      </c>
      <c r="D1020" s="116">
        <v>17</v>
      </c>
      <c r="E1020" s="122" t="s">
        <v>34</v>
      </c>
      <c r="F1020" s="119" t="s">
        <v>57</v>
      </c>
      <c r="G1020" s="27">
        <v>44753</v>
      </c>
      <c r="H1020" s="26" t="s">
        <v>4765</v>
      </c>
      <c r="I1020" s="113" t="s">
        <v>12400</v>
      </c>
      <c r="J1020" s="113" t="s">
        <v>12401</v>
      </c>
    </row>
    <row r="1021" spans="1:10" ht="20" customHeight="1" thickBot="1">
      <c r="A1021" s="28" t="s">
        <v>4768</v>
      </c>
      <c r="B1021" s="28" t="s">
        <v>4768</v>
      </c>
      <c r="C1021" s="28" t="s">
        <v>4764</v>
      </c>
      <c r="D1021" s="117">
        <v>16</v>
      </c>
      <c r="E1021" s="122" t="s">
        <v>34</v>
      </c>
      <c r="F1021" s="120" t="s">
        <v>57</v>
      </c>
      <c r="G1021" s="29">
        <v>45991</v>
      </c>
      <c r="H1021" s="28" t="s">
        <v>4769</v>
      </c>
      <c r="I1021" s="114" t="s">
        <v>12400</v>
      </c>
      <c r="J1021" s="114" t="s">
        <v>12401</v>
      </c>
    </row>
    <row r="1022" spans="1:10" ht="20" customHeight="1" thickBot="1">
      <c r="A1022" s="26" t="s">
        <v>4772</v>
      </c>
      <c r="B1022" s="26" t="s">
        <v>4772</v>
      </c>
      <c r="C1022" s="26" t="s">
        <v>1017</v>
      </c>
      <c r="D1022" s="116">
        <v>9</v>
      </c>
      <c r="E1022" s="122" t="s">
        <v>27</v>
      </c>
      <c r="F1022" s="119" t="s">
        <v>63</v>
      </c>
      <c r="G1022" s="27">
        <v>44018</v>
      </c>
      <c r="H1022" s="26" t="s">
        <v>4773</v>
      </c>
      <c r="I1022" s="113" t="s">
        <v>12400</v>
      </c>
      <c r="J1022" s="113" t="s">
        <v>12401</v>
      </c>
    </row>
    <row r="1023" spans="1:10" ht="20" customHeight="1" thickBot="1">
      <c r="A1023" s="28" t="s">
        <v>4776</v>
      </c>
      <c r="B1023" s="28" t="s">
        <v>4776</v>
      </c>
      <c r="C1023" s="28" t="s">
        <v>243</v>
      </c>
      <c r="D1023" s="117">
        <v>33</v>
      </c>
      <c r="E1023" s="122" t="s">
        <v>31</v>
      </c>
      <c r="F1023" s="120" t="s">
        <v>63</v>
      </c>
      <c r="G1023" s="29">
        <v>44923</v>
      </c>
      <c r="H1023" s="28" t="s">
        <v>4777</v>
      </c>
      <c r="I1023" s="114" t="s">
        <v>12400</v>
      </c>
      <c r="J1023" s="114" t="s">
        <v>12401</v>
      </c>
    </row>
    <row r="1024" spans="1:10" ht="20" customHeight="1" thickBot="1">
      <c r="A1024" s="26" t="s">
        <v>4780</v>
      </c>
      <c r="B1024" s="26" t="s">
        <v>4780</v>
      </c>
      <c r="C1024" s="26" t="s">
        <v>243</v>
      </c>
      <c r="D1024" s="116">
        <v>42</v>
      </c>
      <c r="E1024" s="122" t="s">
        <v>29</v>
      </c>
      <c r="F1024" s="119" t="s">
        <v>63</v>
      </c>
      <c r="G1024" s="27">
        <v>43690</v>
      </c>
      <c r="H1024" s="26" t="s">
        <v>4781</v>
      </c>
      <c r="I1024" s="113" t="s">
        <v>12400</v>
      </c>
      <c r="J1024" s="113" t="s">
        <v>12401</v>
      </c>
    </row>
    <row r="1025" spans="1:10" ht="20" customHeight="1" thickBot="1">
      <c r="A1025" s="28" t="s">
        <v>4784</v>
      </c>
      <c r="B1025" s="28" t="s">
        <v>4784</v>
      </c>
      <c r="C1025" s="28" t="s">
        <v>4785</v>
      </c>
      <c r="D1025" s="117">
        <v>12</v>
      </c>
      <c r="E1025" s="122" t="s">
        <v>27</v>
      </c>
      <c r="F1025" s="120" t="s">
        <v>63</v>
      </c>
      <c r="G1025" s="29">
        <v>41626</v>
      </c>
      <c r="H1025" s="28" t="s">
        <v>4786</v>
      </c>
      <c r="I1025" s="114" t="s">
        <v>12400</v>
      </c>
      <c r="J1025" s="114" t="s">
        <v>12401</v>
      </c>
    </row>
    <row r="1026" spans="1:10" ht="20" customHeight="1" thickBot="1">
      <c r="A1026" s="26" t="s">
        <v>4789</v>
      </c>
      <c r="B1026" s="26" t="s">
        <v>4789</v>
      </c>
      <c r="C1026" s="26" t="s">
        <v>243</v>
      </c>
      <c r="D1026" s="116">
        <v>13</v>
      </c>
      <c r="E1026" s="122" t="s">
        <v>29</v>
      </c>
      <c r="F1026" s="119" t="s">
        <v>63</v>
      </c>
      <c r="G1026" s="27">
        <v>43823</v>
      </c>
      <c r="H1026" s="26" t="s">
        <v>4790</v>
      </c>
      <c r="I1026" s="113" t="s">
        <v>12400</v>
      </c>
      <c r="J1026" s="113" t="s">
        <v>12401</v>
      </c>
    </row>
    <row r="1027" spans="1:10" ht="20" customHeight="1" thickBot="1">
      <c r="A1027" s="28" t="s">
        <v>4793</v>
      </c>
      <c r="B1027" s="28" t="s">
        <v>4793</v>
      </c>
      <c r="C1027" s="28" t="s">
        <v>1017</v>
      </c>
      <c r="D1027" s="117">
        <v>10</v>
      </c>
      <c r="E1027" s="122" t="s">
        <v>31</v>
      </c>
      <c r="F1027" s="120" t="s">
        <v>63</v>
      </c>
      <c r="G1027" s="29">
        <v>44537</v>
      </c>
      <c r="H1027" s="28" t="s">
        <v>4794</v>
      </c>
      <c r="I1027" s="114" t="s">
        <v>12400</v>
      </c>
      <c r="J1027" s="114" t="s">
        <v>12401</v>
      </c>
    </row>
    <row r="1028" spans="1:10" ht="20" customHeight="1" thickBot="1">
      <c r="A1028" s="26" t="s">
        <v>4797</v>
      </c>
      <c r="B1028" s="26" t="s">
        <v>4797</v>
      </c>
      <c r="C1028" s="26" t="s">
        <v>1017</v>
      </c>
      <c r="D1028" s="116">
        <v>17</v>
      </c>
      <c r="E1028" s="122" t="s">
        <v>29</v>
      </c>
      <c r="F1028" s="119" t="s">
        <v>63</v>
      </c>
      <c r="G1028" s="27">
        <v>45020</v>
      </c>
      <c r="H1028" s="26" t="s">
        <v>4798</v>
      </c>
      <c r="I1028" s="113" t="s">
        <v>12400</v>
      </c>
      <c r="J1028" s="113" t="s">
        <v>12401</v>
      </c>
    </row>
    <row r="1029" spans="1:10" ht="20" customHeight="1" thickBot="1">
      <c r="A1029" s="28" t="s">
        <v>4801</v>
      </c>
      <c r="B1029" s="28" t="s">
        <v>4801</v>
      </c>
      <c r="C1029" s="28" t="s">
        <v>1017</v>
      </c>
      <c r="D1029" s="117">
        <v>9</v>
      </c>
      <c r="E1029" s="122" t="s">
        <v>29</v>
      </c>
      <c r="F1029" s="120" t="s">
        <v>63</v>
      </c>
      <c r="G1029" s="29">
        <v>44610</v>
      </c>
      <c r="H1029" s="28" t="s">
        <v>4802</v>
      </c>
      <c r="I1029" s="114" t="s">
        <v>12400</v>
      </c>
      <c r="J1029" s="114" t="s">
        <v>12401</v>
      </c>
    </row>
    <row r="1030" spans="1:10" ht="20" customHeight="1" thickBot="1">
      <c r="A1030" s="26" t="s">
        <v>4805</v>
      </c>
      <c r="B1030" s="26" t="s">
        <v>4805</v>
      </c>
      <c r="C1030" s="26" t="s">
        <v>4806</v>
      </c>
      <c r="D1030" s="116">
        <v>16</v>
      </c>
      <c r="E1030" s="122" t="s">
        <v>29</v>
      </c>
      <c r="F1030" s="119" t="s">
        <v>63</v>
      </c>
      <c r="G1030" s="27">
        <v>44613</v>
      </c>
      <c r="H1030" s="26" t="s">
        <v>4807</v>
      </c>
      <c r="I1030" s="113" t="s">
        <v>12400</v>
      </c>
      <c r="J1030" s="113" t="s">
        <v>12401</v>
      </c>
    </row>
    <row r="1031" spans="1:10" ht="20" customHeight="1" thickBot="1">
      <c r="A1031" s="28" t="s">
        <v>4810</v>
      </c>
      <c r="B1031" s="28" t="s">
        <v>4810</v>
      </c>
      <c r="C1031" s="28" t="s">
        <v>1017</v>
      </c>
      <c r="D1031" s="117">
        <v>10</v>
      </c>
      <c r="E1031" s="122" t="s">
        <v>29</v>
      </c>
      <c r="F1031" s="120" t="s">
        <v>63</v>
      </c>
      <c r="G1031" s="29">
        <v>44448</v>
      </c>
      <c r="H1031" s="28" t="s">
        <v>4811</v>
      </c>
      <c r="I1031" s="114" t="s">
        <v>12400</v>
      </c>
      <c r="J1031" s="114" t="s">
        <v>12401</v>
      </c>
    </row>
    <row r="1032" spans="1:10" ht="20" customHeight="1" thickBot="1">
      <c r="A1032" s="26" t="s">
        <v>4814</v>
      </c>
      <c r="B1032" s="26" t="s">
        <v>4814</v>
      </c>
      <c r="C1032" s="26" t="s">
        <v>1017</v>
      </c>
      <c r="D1032" s="116">
        <v>9</v>
      </c>
      <c r="E1032" s="122" t="s">
        <v>29</v>
      </c>
      <c r="F1032" s="119" t="s">
        <v>63</v>
      </c>
      <c r="G1032" s="27">
        <v>44951</v>
      </c>
      <c r="H1032" s="26" t="s">
        <v>4815</v>
      </c>
      <c r="I1032" s="113" t="s">
        <v>12400</v>
      </c>
      <c r="J1032" s="113" t="s">
        <v>12401</v>
      </c>
    </row>
    <row r="1033" spans="1:10" ht="20" customHeight="1" thickBot="1">
      <c r="A1033" s="28" t="s">
        <v>4818</v>
      </c>
      <c r="B1033" s="28" t="s">
        <v>4818</v>
      </c>
      <c r="C1033" s="28" t="s">
        <v>1017</v>
      </c>
      <c r="D1033" s="117">
        <v>9</v>
      </c>
      <c r="E1033" s="122" t="s">
        <v>29</v>
      </c>
      <c r="F1033" s="120" t="s">
        <v>63</v>
      </c>
      <c r="G1033" s="29">
        <v>43668</v>
      </c>
      <c r="H1033" s="28" t="s">
        <v>4819</v>
      </c>
      <c r="I1033" s="114" t="s">
        <v>12400</v>
      </c>
      <c r="J1033" s="114" t="s">
        <v>12401</v>
      </c>
    </row>
    <row r="1034" spans="1:10" ht="20" customHeight="1" thickBot="1">
      <c r="A1034" s="26" t="s">
        <v>4822</v>
      </c>
      <c r="B1034" s="26" t="s">
        <v>4822</v>
      </c>
      <c r="C1034" s="26" t="s">
        <v>1017</v>
      </c>
      <c r="D1034" s="116">
        <v>9</v>
      </c>
      <c r="E1034" s="122" t="s">
        <v>29</v>
      </c>
      <c r="F1034" s="119" t="s">
        <v>63</v>
      </c>
      <c r="G1034" s="27">
        <v>44641</v>
      </c>
      <c r="H1034" s="26" t="s">
        <v>4823</v>
      </c>
      <c r="I1034" s="113" t="s">
        <v>12400</v>
      </c>
      <c r="J1034" s="113" t="s">
        <v>12401</v>
      </c>
    </row>
    <row r="1035" spans="1:10" ht="20" customHeight="1" thickBot="1">
      <c r="A1035" s="28" t="s">
        <v>4826</v>
      </c>
      <c r="B1035" s="28" t="s">
        <v>4826</v>
      </c>
      <c r="C1035" s="28" t="s">
        <v>1017</v>
      </c>
      <c r="D1035" s="117">
        <v>14</v>
      </c>
      <c r="E1035" s="122" t="s">
        <v>31</v>
      </c>
      <c r="F1035" s="120" t="s">
        <v>63</v>
      </c>
      <c r="G1035" s="29">
        <v>45462</v>
      </c>
      <c r="H1035" s="28" t="s">
        <v>4827</v>
      </c>
      <c r="I1035" s="114" t="s">
        <v>12400</v>
      </c>
      <c r="J1035" s="114" t="s">
        <v>12401</v>
      </c>
    </row>
    <row r="1036" spans="1:10" ht="20" customHeight="1" thickBot="1">
      <c r="A1036" s="26" t="s">
        <v>4830</v>
      </c>
      <c r="B1036" s="26" t="s">
        <v>4830</v>
      </c>
      <c r="C1036" s="26" t="s">
        <v>4831</v>
      </c>
      <c r="D1036" s="116">
        <v>7</v>
      </c>
      <c r="E1036" s="122" t="s">
        <v>29</v>
      </c>
      <c r="F1036" s="119" t="s">
        <v>63</v>
      </c>
      <c r="G1036" s="27">
        <v>42256</v>
      </c>
      <c r="H1036" s="26" t="s">
        <v>4832</v>
      </c>
      <c r="I1036" s="113" t="s">
        <v>12400</v>
      </c>
      <c r="J1036" s="113" t="s">
        <v>12401</v>
      </c>
    </row>
    <row r="1037" spans="1:10" ht="20" customHeight="1" thickBot="1">
      <c r="A1037" s="28" t="s">
        <v>4835</v>
      </c>
      <c r="B1037" s="28" t="s">
        <v>4835</v>
      </c>
      <c r="C1037" s="28" t="s">
        <v>452</v>
      </c>
      <c r="D1037" s="117">
        <v>21</v>
      </c>
      <c r="E1037" s="122" t="s">
        <v>31</v>
      </c>
      <c r="F1037" s="120" t="s">
        <v>57</v>
      </c>
      <c r="G1037" s="29">
        <v>44390</v>
      </c>
      <c r="H1037" s="28" t="s">
        <v>4836</v>
      </c>
      <c r="I1037" s="114" t="s">
        <v>12400</v>
      </c>
      <c r="J1037" s="114" t="s">
        <v>12401</v>
      </c>
    </row>
    <row r="1038" spans="1:10" ht="20" customHeight="1" thickBot="1">
      <c r="A1038" s="26" t="s">
        <v>4839</v>
      </c>
      <c r="B1038" s="26" t="s">
        <v>4839</v>
      </c>
      <c r="C1038" s="26" t="s">
        <v>4840</v>
      </c>
      <c r="D1038" s="116">
        <v>8</v>
      </c>
      <c r="E1038" s="122" t="s">
        <v>33</v>
      </c>
      <c r="F1038" s="119" t="s">
        <v>57</v>
      </c>
      <c r="G1038" s="27">
        <v>44010</v>
      </c>
      <c r="H1038" s="26" t="s">
        <v>4841</v>
      </c>
      <c r="I1038" s="113" t="s">
        <v>12400</v>
      </c>
      <c r="J1038" s="113" t="s">
        <v>12401</v>
      </c>
    </row>
    <row r="1039" spans="1:10" ht="20" customHeight="1" thickBot="1">
      <c r="A1039" s="28" t="s">
        <v>4844</v>
      </c>
      <c r="B1039" s="28" t="s">
        <v>4844</v>
      </c>
      <c r="C1039" s="28" t="s">
        <v>287</v>
      </c>
      <c r="D1039" s="117">
        <v>17</v>
      </c>
      <c r="E1039" s="122" t="s">
        <v>27</v>
      </c>
      <c r="F1039" s="120" t="s">
        <v>63</v>
      </c>
      <c r="G1039" s="29">
        <v>42215</v>
      </c>
      <c r="H1039" s="28" t="s">
        <v>4845</v>
      </c>
      <c r="I1039" s="114" t="s">
        <v>12400</v>
      </c>
      <c r="J1039" s="114" t="s">
        <v>12401</v>
      </c>
    </row>
    <row r="1040" spans="1:10" ht="20" customHeight="1" thickBot="1">
      <c r="A1040" s="26" t="s">
        <v>4848</v>
      </c>
      <c r="B1040" s="26" t="s">
        <v>4848</v>
      </c>
      <c r="C1040" s="26" t="s">
        <v>4849</v>
      </c>
      <c r="D1040" s="116">
        <v>7</v>
      </c>
      <c r="E1040" s="122" t="s">
        <v>29</v>
      </c>
      <c r="F1040" s="119" t="s">
        <v>63</v>
      </c>
      <c r="G1040" s="27">
        <v>42062</v>
      </c>
      <c r="H1040" s="26" t="s">
        <v>4850</v>
      </c>
      <c r="I1040" s="113" t="s">
        <v>12400</v>
      </c>
      <c r="J1040" s="113" t="s">
        <v>12401</v>
      </c>
    </row>
    <row r="1041" spans="1:10" ht="20" customHeight="1" thickBot="1">
      <c r="A1041" s="28" t="s">
        <v>4853</v>
      </c>
      <c r="B1041" s="28" t="s">
        <v>4853</v>
      </c>
      <c r="C1041" s="28" t="s">
        <v>4854</v>
      </c>
      <c r="D1041" s="117">
        <v>7</v>
      </c>
      <c r="E1041" s="122" t="s">
        <v>29</v>
      </c>
      <c r="F1041" s="120" t="s">
        <v>63</v>
      </c>
      <c r="G1041" s="29">
        <v>44189</v>
      </c>
      <c r="H1041" s="28" t="s">
        <v>4855</v>
      </c>
      <c r="I1041" s="114" t="s">
        <v>12400</v>
      </c>
      <c r="J1041" s="114" t="s">
        <v>12401</v>
      </c>
    </row>
    <row r="1042" spans="1:10" ht="20" customHeight="1" thickBot="1">
      <c r="A1042" s="26" t="s">
        <v>4858</v>
      </c>
      <c r="B1042" s="26" t="s">
        <v>4858</v>
      </c>
      <c r="C1042" s="26" t="s">
        <v>4859</v>
      </c>
      <c r="D1042" s="116">
        <v>21</v>
      </c>
      <c r="E1042" s="122" t="s">
        <v>29</v>
      </c>
      <c r="F1042" s="119" t="s">
        <v>63</v>
      </c>
      <c r="G1042" s="27">
        <v>42594</v>
      </c>
      <c r="H1042" s="26" t="s">
        <v>4860</v>
      </c>
      <c r="I1042" s="113" t="s">
        <v>12400</v>
      </c>
      <c r="J1042" s="113" t="s">
        <v>12401</v>
      </c>
    </row>
    <row r="1043" spans="1:10" ht="20" customHeight="1" thickBot="1">
      <c r="A1043" s="28" t="s">
        <v>4863</v>
      </c>
      <c r="B1043" s="28" t="s">
        <v>4863</v>
      </c>
      <c r="C1043" s="28" t="s">
        <v>4864</v>
      </c>
      <c r="D1043" s="117">
        <v>34</v>
      </c>
      <c r="E1043" s="122" t="s">
        <v>31</v>
      </c>
      <c r="F1043" s="120" t="s">
        <v>63</v>
      </c>
      <c r="G1043" s="29">
        <v>44159</v>
      </c>
      <c r="H1043" s="28" t="s">
        <v>4865</v>
      </c>
      <c r="I1043" s="114" t="s">
        <v>12400</v>
      </c>
      <c r="J1043" s="114" t="s">
        <v>12401</v>
      </c>
    </row>
    <row r="1044" spans="1:10" ht="20" customHeight="1" thickBot="1">
      <c r="A1044" s="26" t="s">
        <v>4868</v>
      </c>
      <c r="B1044" s="26" t="s">
        <v>4868</v>
      </c>
      <c r="C1044" s="26" t="s">
        <v>4869</v>
      </c>
      <c r="D1044" s="116">
        <v>6</v>
      </c>
      <c r="E1044" s="122" t="s">
        <v>27</v>
      </c>
      <c r="F1044" s="119" t="s">
        <v>63</v>
      </c>
      <c r="G1044" s="27">
        <v>42680</v>
      </c>
      <c r="H1044" s="26" t="s">
        <v>4870</v>
      </c>
      <c r="I1044" s="113" t="s">
        <v>12400</v>
      </c>
      <c r="J1044" s="113" t="s">
        <v>12401</v>
      </c>
    </row>
    <row r="1045" spans="1:10" ht="20" customHeight="1" thickBot="1">
      <c r="A1045" s="28" t="s">
        <v>4873</v>
      </c>
      <c r="B1045" s="28" t="s">
        <v>4873</v>
      </c>
      <c r="C1045" s="28" t="s">
        <v>4182</v>
      </c>
      <c r="D1045" s="117">
        <v>80</v>
      </c>
      <c r="E1045" s="122" t="s">
        <v>29</v>
      </c>
      <c r="F1045" s="120" t="s">
        <v>63</v>
      </c>
      <c r="G1045" s="29">
        <v>41806</v>
      </c>
      <c r="H1045" s="28" t="s">
        <v>4874</v>
      </c>
      <c r="I1045" s="114" t="s">
        <v>12400</v>
      </c>
      <c r="J1045" s="114" t="s">
        <v>12401</v>
      </c>
    </row>
    <row r="1046" spans="1:10" ht="20" customHeight="1" thickBot="1">
      <c r="A1046" s="26" t="s">
        <v>4877</v>
      </c>
      <c r="B1046" s="26" t="s">
        <v>4877</v>
      </c>
      <c r="C1046" s="26" t="s">
        <v>4878</v>
      </c>
      <c r="D1046" s="116">
        <v>35</v>
      </c>
      <c r="E1046" s="122" t="s">
        <v>29</v>
      </c>
      <c r="F1046" s="119" t="s">
        <v>63</v>
      </c>
      <c r="G1046" s="27">
        <v>42207</v>
      </c>
      <c r="H1046" s="26" t="s">
        <v>4879</v>
      </c>
      <c r="I1046" s="113" t="s">
        <v>12400</v>
      </c>
      <c r="J1046" s="113" t="s">
        <v>12401</v>
      </c>
    </row>
    <row r="1047" spans="1:10" ht="20" customHeight="1" thickBot="1">
      <c r="A1047" s="28" t="s">
        <v>4882</v>
      </c>
      <c r="B1047" s="28" t="s">
        <v>4882</v>
      </c>
      <c r="C1047" s="28" t="s">
        <v>4859</v>
      </c>
      <c r="D1047" s="117">
        <v>18</v>
      </c>
      <c r="E1047" s="122" t="s">
        <v>31</v>
      </c>
      <c r="F1047" s="120" t="s">
        <v>63</v>
      </c>
      <c r="G1047" s="29">
        <v>42188</v>
      </c>
      <c r="H1047" s="28" t="s">
        <v>4883</v>
      </c>
      <c r="I1047" s="114" t="s">
        <v>12400</v>
      </c>
      <c r="J1047" s="114" t="s">
        <v>12401</v>
      </c>
    </row>
    <row r="1048" spans="1:10" ht="20" customHeight="1" thickBot="1">
      <c r="A1048" s="26" t="s">
        <v>4886</v>
      </c>
      <c r="B1048" s="26" t="s">
        <v>4886</v>
      </c>
      <c r="C1048" s="26" t="s">
        <v>4887</v>
      </c>
      <c r="D1048" s="116">
        <v>60</v>
      </c>
      <c r="E1048" s="122" t="s">
        <v>33</v>
      </c>
      <c r="F1048" s="119" t="s">
        <v>63</v>
      </c>
      <c r="G1048" s="27">
        <v>44987</v>
      </c>
      <c r="H1048" s="26" t="s">
        <v>4888</v>
      </c>
      <c r="I1048" s="113" t="s">
        <v>12400</v>
      </c>
      <c r="J1048" s="113" t="s">
        <v>12401</v>
      </c>
    </row>
    <row r="1049" spans="1:10" ht="20" customHeight="1" thickBot="1">
      <c r="A1049" s="28" t="s">
        <v>4891</v>
      </c>
      <c r="B1049" s="28" t="s">
        <v>4891</v>
      </c>
      <c r="C1049" s="28" t="s">
        <v>4892</v>
      </c>
      <c r="D1049" s="117">
        <v>3</v>
      </c>
      <c r="E1049" s="122" t="s">
        <v>29</v>
      </c>
      <c r="F1049" s="120" t="s">
        <v>63</v>
      </c>
      <c r="G1049" s="29">
        <v>42148</v>
      </c>
      <c r="H1049" s="28" t="s">
        <v>4893</v>
      </c>
      <c r="I1049" s="114" t="s">
        <v>12400</v>
      </c>
      <c r="J1049" s="114" t="s">
        <v>12401</v>
      </c>
    </row>
    <row r="1050" spans="1:10" ht="20" customHeight="1" thickBot="1">
      <c r="A1050" s="26" t="s">
        <v>4896</v>
      </c>
      <c r="B1050" s="26" t="s">
        <v>4896</v>
      </c>
      <c r="C1050" s="26" t="s">
        <v>287</v>
      </c>
      <c r="D1050" s="116">
        <v>2</v>
      </c>
      <c r="E1050" s="122" t="s">
        <v>29</v>
      </c>
      <c r="F1050" s="119" t="s">
        <v>63</v>
      </c>
      <c r="G1050" s="27">
        <v>42003</v>
      </c>
      <c r="H1050" s="26" t="s">
        <v>4897</v>
      </c>
      <c r="I1050" s="113" t="s">
        <v>12400</v>
      </c>
      <c r="J1050" s="113" t="s">
        <v>12401</v>
      </c>
    </row>
    <row r="1051" spans="1:10" ht="20" customHeight="1" thickBot="1">
      <c r="A1051" s="28" t="s">
        <v>4900</v>
      </c>
      <c r="B1051" s="28" t="s">
        <v>4900</v>
      </c>
      <c r="C1051" s="28" t="s">
        <v>504</v>
      </c>
      <c r="D1051" s="117">
        <v>9</v>
      </c>
      <c r="E1051" s="122" t="s">
        <v>27</v>
      </c>
      <c r="F1051" s="120" t="s">
        <v>63</v>
      </c>
      <c r="G1051" s="29">
        <v>41466</v>
      </c>
      <c r="H1051" s="28" t="s">
        <v>4901</v>
      </c>
      <c r="I1051" s="114" t="s">
        <v>12400</v>
      </c>
      <c r="J1051" s="114" t="s">
        <v>12401</v>
      </c>
    </row>
    <row r="1052" spans="1:10" ht="20" customHeight="1" thickBot="1">
      <c r="A1052" s="26" t="s">
        <v>4904</v>
      </c>
      <c r="B1052" s="26" t="s">
        <v>4904</v>
      </c>
      <c r="C1052" s="26" t="s">
        <v>4905</v>
      </c>
      <c r="D1052" s="116">
        <v>16</v>
      </c>
      <c r="E1052" s="122" t="s">
        <v>29</v>
      </c>
      <c r="F1052" s="119" t="s">
        <v>63</v>
      </c>
      <c r="G1052" s="27">
        <v>42312</v>
      </c>
      <c r="H1052" s="26" t="s">
        <v>4906</v>
      </c>
      <c r="I1052" s="113" t="s">
        <v>12400</v>
      </c>
      <c r="J1052" s="113" t="s">
        <v>12401</v>
      </c>
    </row>
    <row r="1053" spans="1:10" ht="20" customHeight="1" thickBot="1">
      <c r="A1053" s="28" t="s">
        <v>4909</v>
      </c>
      <c r="B1053" s="28" t="s">
        <v>4909</v>
      </c>
      <c r="C1053" s="28" t="s">
        <v>4910</v>
      </c>
      <c r="D1053" s="117">
        <v>10</v>
      </c>
      <c r="E1053" s="122" t="s">
        <v>29</v>
      </c>
      <c r="F1053" s="120" t="s">
        <v>63</v>
      </c>
      <c r="G1053" s="29">
        <v>45250</v>
      </c>
      <c r="H1053" s="28" t="s">
        <v>4911</v>
      </c>
      <c r="I1053" s="114" t="s">
        <v>12400</v>
      </c>
      <c r="J1053" s="114" t="s">
        <v>12401</v>
      </c>
    </row>
    <row r="1054" spans="1:10" ht="20" customHeight="1" thickBot="1">
      <c r="A1054" s="26" t="s">
        <v>4914</v>
      </c>
      <c r="B1054" s="26" t="s">
        <v>4914</v>
      </c>
      <c r="C1054" s="26" t="s">
        <v>4915</v>
      </c>
      <c r="D1054" s="116">
        <v>5</v>
      </c>
      <c r="E1054" s="122" t="s">
        <v>27</v>
      </c>
      <c r="F1054" s="119" t="s">
        <v>63</v>
      </c>
      <c r="G1054" s="27">
        <v>42219</v>
      </c>
      <c r="H1054" s="26" t="s">
        <v>4916</v>
      </c>
      <c r="I1054" s="113" t="s">
        <v>12400</v>
      </c>
      <c r="J1054" s="113" t="s">
        <v>12401</v>
      </c>
    </row>
    <row r="1055" spans="1:10" ht="20" customHeight="1" thickBot="1">
      <c r="A1055" s="28" t="s">
        <v>4919</v>
      </c>
      <c r="B1055" s="28" t="s">
        <v>4919</v>
      </c>
      <c r="C1055" s="28" t="s">
        <v>4920</v>
      </c>
      <c r="D1055" s="117">
        <v>88</v>
      </c>
      <c r="E1055" s="122" t="s">
        <v>33</v>
      </c>
      <c r="F1055" s="120" t="s">
        <v>63</v>
      </c>
      <c r="G1055" s="29">
        <v>42433</v>
      </c>
      <c r="H1055" s="28" t="s">
        <v>4921</v>
      </c>
      <c r="I1055" s="114" t="s">
        <v>12400</v>
      </c>
      <c r="J1055" s="114" t="s">
        <v>12401</v>
      </c>
    </row>
    <row r="1056" spans="1:10" ht="20" customHeight="1" thickBot="1">
      <c r="A1056" s="26" t="s">
        <v>4924</v>
      </c>
      <c r="B1056" s="26" t="s">
        <v>4924</v>
      </c>
      <c r="C1056" s="26" t="s">
        <v>4925</v>
      </c>
      <c r="D1056" s="116">
        <v>85</v>
      </c>
      <c r="E1056" s="122" t="s">
        <v>31</v>
      </c>
      <c r="F1056" s="119" t="s">
        <v>63</v>
      </c>
      <c r="G1056" s="27">
        <v>41445</v>
      </c>
      <c r="H1056" s="26" t="s">
        <v>4926</v>
      </c>
      <c r="I1056" s="113" t="s">
        <v>12400</v>
      </c>
      <c r="J1056" s="113" t="s">
        <v>12401</v>
      </c>
    </row>
    <row r="1057" spans="1:10" ht="20" customHeight="1" thickBot="1">
      <c r="A1057" s="28" t="s">
        <v>4929</v>
      </c>
      <c r="B1057" s="28" t="s">
        <v>4929</v>
      </c>
      <c r="C1057" s="28" t="s">
        <v>4930</v>
      </c>
      <c r="D1057" s="117">
        <v>8</v>
      </c>
      <c r="E1057" s="122" t="s">
        <v>27</v>
      </c>
      <c r="F1057" s="120" t="s">
        <v>63</v>
      </c>
      <c r="G1057" s="29">
        <v>42044</v>
      </c>
      <c r="H1057" s="28" t="s">
        <v>4931</v>
      </c>
      <c r="I1057" s="114" t="s">
        <v>12400</v>
      </c>
      <c r="J1057" s="114" t="s">
        <v>12401</v>
      </c>
    </row>
    <row r="1058" spans="1:10" ht="20" customHeight="1" thickBot="1">
      <c r="A1058" s="26" t="s">
        <v>4934</v>
      </c>
      <c r="B1058" s="26" t="s">
        <v>4934</v>
      </c>
      <c r="C1058" s="26" t="s">
        <v>4567</v>
      </c>
      <c r="D1058" s="116">
        <v>5</v>
      </c>
      <c r="E1058" s="122" t="s">
        <v>29</v>
      </c>
      <c r="F1058" s="119" t="s">
        <v>63</v>
      </c>
      <c r="G1058" s="27">
        <v>42329</v>
      </c>
      <c r="H1058" s="26" t="s">
        <v>4935</v>
      </c>
      <c r="I1058" s="113" t="s">
        <v>12400</v>
      </c>
      <c r="J1058" s="113" t="s">
        <v>12401</v>
      </c>
    </row>
    <row r="1059" spans="1:10" ht="20" customHeight="1" thickBot="1">
      <c r="A1059" s="28" t="s">
        <v>4938</v>
      </c>
      <c r="B1059" s="28" t="s">
        <v>4938</v>
      </c>
      <c r="C1059" s="28" t="s">
        <v>4939</v>
      </c>
      <c r="D1059" s="117">
        <v>15</v>
      </c>
      <c r="E1059" s="122" t="s">
        <v>31</v>
      </c>
      <c r="F1059" s="120" t="s">
        <v>63</v>
      </c>
      <c r="G1059" s="29">
        <v>41554</v>
      </c>
      <c r="H1059" s="28" t="s">
        <v>4940</v>
      </c>
      <c r="I1059" s="114" t="s">
        <v>12400</v>
      </c>
      <c r="J1059" s="114" t="s">
        <v>12401</v>
      </c>
    </row>
    <row r="1060" spans="1:10" ht="20" customHeight="1" thickBot="1">
      <c r="A1060" s="26" t="s">
        <v>4943</v>
      </c>
      <c r="B1060" s="26" t="s">
        <v>4943</v>
      </c>
      <c r="C1060" s="26" t="s">
        <v>2401</v>
      </c>
      <c r="D1060" s="116">
        <v>105</v>
      </c>
      <c r="E1060" s="122" t="s">
        <v>29</v>
      </c>
      <c r="F1060" s="119" t="s">
        <v>63</v>
      </c>
      <c r="G1060" s="27">
        <v>42545</v>
      </c>
      <c r="H1060" s="26" t="s">
        <v>4944</v>
      </c>
      <c r="I1060" s="113" t="s">
        <v>12400</v>
      </c>
      <c r="J1060" s="113" t="s">
        <v>12401</v>
      </c>
    </row>
    <row r="1061" spans="1:10" ht="20" customHeight="1" thickBot="1">
      <c r="A1061" s="28" t="s">
        <v>4947</v>
      </c>
      <c r="B1061" s="28" t="s">
        <v>4947</v>
      </c>
      <c r="C1061" s="28" t="s">
        <v>2401</v>
      </c>
      <c r="D1061" s="117">
        <v>15</v>
      </c>
      <c r="E1061" s="122" t="s">
        <v>33</v>
      </c>
      <c r="F1061" s="120" t="s">
        <v>63</v>
      </c>
      <c r="G1061" s="29">
        <v>43046</v>
      </c>
      <c r="H1061" s="28" t="s">
        <v>4948</v>
      </c>
      <c r="I1061" s="114" t="s">
        <v>12400</v>
      </c>
      <c r="J1061" s="114" t="s">
        <v>12401</v>
      </c>
    </row>
    <row r="1062" spans="1:10" ht="20" customHeight="1" thickBot="1">
      <c r="A1062" s="26" t="s">
        <v>4951</v>
      </c>
      <c r="B1062" s="26" t="s">
        <v>4951</v>
      </c>
      <c r="C1062" s="26" t="s">
        <v>1784</v>
      </c>
      <c r="D1062" s="116">
        <v>4</v>
      </c>
      <c r="E1062" s="122" t="s">
        <v>34</v>
      </c>
      <c r="F1062" s="119" t="s">
        <v>571</v>
      </c>
      <c r="G1062" s="27">
        <v>42190</v>
      </c>
      <c r="H1062" s="26" t="s">
        <v>4952</v>
      </c>
      <c r="I1062" s="113" t="s">
        <v>12400</v>
      </c>
      <c r="J1062" s="113" t="s">
        <v>12401</v>
      </c>
    </row>
    <row r="1063" spans="1:10" ht="20" customHeight="1" thickBot="1">
      <c r="A1063" s="28" t="s">
        <v>4955</v>
      </c>
      <c r="B1063" s="28" t="s">
        <v>4955</v>
      </c>
      <c r="C1063" s="28" t="s">
        <v>4638</v>
      </c>
      <c r="D1063" s="117">
        <v>11</v>
      </c>
      <c r="E1063" s="122" t="s">
        <v>31</v>
      </c>
      <c r="F1063" s="120" t="s">
        <v>63</v>
      </c>
      <c r="G1063" s="29">
        <v>43002</v>
      </c>
      <c r="H1063" s="28" t="s">
        <v>4956</v>
      </c>
      <c r="I1063" s="114" t="s">
        <v>12400</v>
      </c>
      <c r="J1063" s="114" t="s">
        <v>12401</v>
      </c>
    </row>
    <row r="1064" spans="1:10" ht="20" customHeight="1" thickBot="1">
      <c r="A1064" s="26" t="s">
        <v>4959</v>
      </c>
      <c r="B1064" s="26" t="s">
        <v>4959</v>
      </c>
      <c r="C1064" s="26" t="s">
        <v>4960</v>
      </c>
      <c r="D1064" s="116">
        <v>13</v>
      </c>
      <c r="E1064" s="122" t="s">
        <v>29</v>
      </c>
      <c r="F1064" s="119" t="s">
        <v>63</v>
      </c>
      <c r="G1064" s="27">
        <v>42270</v>
      </c>
      <c r="H1064" s="26" t="s">
        <v>4961</v>
      </c>
      <c r="I1064" s="113" t="s">
        <v>12400</v>
      </c>
      <c r="J1064" s="113" t="s">
        <v>12401</v>
      </c>
    </row>
    <row r="1065" spans="1:10" ht="20" customHeight="1" thickBot="1">
      <c r="A1065" s="28" t="s">
        <v>4964</v>
      </c>
      <c r="B1065" s="28" t="s">
        <v>4964</v>
      </c>
      <c r="C1065" s="28" t="s">
        <v>4965</v>
      </c>
      <c r="D1065" s="117">
        <v>1</v>
      </c>
      <c r="E1065" s="122" t="s">
        <v>34</v>
      </c>
      <c r="F1065" s="120" t="s">
        <v>57</v>
      </c>
      <c r="G1065" s="29">
        <v>44378</v>
      </c>
      <c r="H1065" s="28" t="s">
        <v>4966</v>
      </c>
      <c r="I1065" s="114" t="s">
        <v>12400</v>
      </c>
      <c r="J1065" s="114" t="s">
        <v>12401</v>
      </c>
    </row>
    <row r="1066" spans="1:10" ht="20" customHeight="1" thickBot="1">
      <c r="A1066" s="26" t="s">
        <v>4969</v>
      </c>
      <c r="B1066" s="26" t="s">
        <v>4969</v>
      </c>
      <c r="C1066" s="26" t="s">
        <v>4965</v>
      </c>
      <c r="D1066" s="116">
        <v>1</v>
      </c>
      <c r="E1066" s="122" t="s">
        <v>35</v>
      </c>
      <c r="F1066" s="119" t="s">
        <v>57</v>
      </c>
      <c r="G1066" s="27">
        <v>44384</v>
      </c>
      <c r="H1066" s="26" t="s">
        <v>4970</v>
      </c>
      <c r="I1066" s="113" t="s">
        <v>12400</v>
      </c>
      <c r="J1066" s="113" t="s">
        <v>12401</v>
      </c>
    </row>
    <row r="1067" spans="1:10" ht="20" customHeight="1" thickBot="1">
      <c r="A1067" s="28" t="s">
        <v>4973</v>
      </c>
      <c r="B1067" s="28" t="s">
        <v>4973</v>
      </c>
      <c r="C1067" s="28" t="s">
        <v>4974</v>
      </c>
      <c r="D1067" s="117">
        <v>20</v>
      </c>
      <c r="E1067" s="122" t="s">
        <v>29</v>
      </c>
      <c r="F1067" s="120" t="s">
        <v>63</v>
      </c>
      <c r="G1067" s="29">
        <v>42312</v>
      </c>
      <c r="H1067" s="28" t="s">
        <v>4975</v>
      </c>
      <c r="I1067" s="114" t="s">
        <v>12400</v>
      </c>
      <c r="J1067" s="114" t="s">
        <v>12401</v>
      </c>
    </row>
    <row r="1068" spans="1:10" ht="20" customHeight="1" thickBot="1">
      <c r="A1068" s="26" t="s">
        <v>4978</v>
      </c>
      <c r="B1068" s="26" t="s">
        <v>4978</v>
      </c>
      <c r="C1068" s="26" t="s">
        <v>4979</v>
      </c>
      <c r="D1068" s="116">
        <v>6</v>
      </c>
      <c r="E1068" s="122" t="s">
        <v>27</v>
      </c>
      <c r="F1068" s="119" t="s">
        <v>63</v>
      </c>
      <c r="G1068" s="27">
        <v>42229</v>
      </c>
      <c r="H1068" s="26" t="s">
        <v>4980</v>
      </c>
      <c r="I1068" s="113" t="s">
        <v>12400</v>
      </c>
      <c r="J1068" s="113" t="s">
        <v>12401</v>
      </c>
    </row>
    <row r="1069" spans="1:10" ht="20" customHeight="1" thickBot="1">
      <c r="A1069" s="28" t="s">
        <v>4983</v>
      </c>
      <c r="B1069" s="28" t="s">
        <v>4983</v>
      </c>
      <c r="C1069" s="28" t="s">
        <v>4984</v>
      </c>
      <c r="D1069" s="117">
        <v>19</v>
      </c>
      <c r="E1069" s="122" t="s">
        <v>29</v>
      </c>
      <c r="F1069" s="120" t="s">
        <v>63</v>
      </c>
      <c r="G1069" s="29">
        <v>43731</v>
      </c>
      <c r="H1069" s="28" t="s">
        <v>4985</v>
      </c>
      <c r="I1069" s="114" t="s">
        <v>12400</v>
      </c>
      <c r="J1069" s="114" t="s">
        <v>12401</v>
      </c>
    </row>
    <row r="1070" spans="1:10" ht="20" customHeight="1" thickBot="1">
      <c r="A1070" s="26" t="s">
        <v>4988</v>
      </c>
      <c r="B1070" s="26" t="s">
        <v>4988</v>
      </c>
      <c r="C1070" s="26" t="s">
        <v>4989</v>
      </c>
      <c r="D1070" s="116">
        <v>74</v>
      </c>
      <c r="E1070" s="122" t="s">
        <v>31</v>
      </c>
      <c r="F1070" s="119" t="s">
        <v>63</v>
      </c>
      <c r="G1070" s="27">
        <v>42239</v>
      </c>
      <c r="H1070" s="26" t="s">
        <v>4990</v>
      </c>
      <c r="I1070" s="113" t="s">
        <v>12400</v>
      </c>
      <c r="J1070" s="113" t="s">
        <v>12401</v>
      </c>
    </row>
    <row r="1071" spans="1:10" ht="20" customHeight="1" thickBot="1">
      <c r="A1071" s="28" t="s">
        <v>4993</v>
      </c>
      <c r="B1071" s="28" t="s">
        <v>4993</v>
      </c>
      <c r="C1071" s="28" t="s">
        <v>1784</v>
      </c>
      <c r="D1071" s="117">
        <v>15</v>
      </c>
      <c r="E1071" s="122" t="s">
        <v>33</v>
      </c>
      <c r="F1071" s="120" t="s">
        <v>571</v>
      </c>
      <c r="G1071" s="29">
        <v>45742</v>
      </c>
      <c r="H1071" s="28" t="s">
        <v>4994</v>
      </c>
      <c r="I1071" s="114" t="s">
        <v>12400</v>
      </c>
      <c r="J1071" s="114" t="s">
        <v>12401</v>
      </c>
    </row>
    <row r="1072" spans="1:10" ht="20" customHeight="1" thickBot="1">
      <c r="A1072" s="26" t="s">
        <v>4997</v>
      </c>
      <c r="B1072" s="26" t="s">
        <v>4997</v>
      </c>
      <c r="C1072" s="26" t="s">
        <v>4998</v>
      </c>
      <c r="D1072" s="116">
        <v>1</v>
      </c>
      <c r="E1072" s="122" t="s">
        <v>31</v>
      </c>
      <c r="F1072" s="119" t="s">
        <v>63</v>
      </c>
      <c r="G1072" s="27">
        <v>42155</v>
      </c>
      <c r="H1072" s="26" t="s">
        <v>4999</v>
      </c>
      <c r="I1072" s="113" t="s">
        <v>12400</v>
      </c>
      <c r="J1072" s="113" t="s">
        <v>12401</v>
      </c>
    </row>
    <row r="1073" spans="1:10" ht="20" customHeight="1" thickBot="1">
      <c r="A1073" s="28" t="s">
        <v>5002</v>
      </c>
      <c r="B1073" s="28" t="s">
        <v>5002</v>
      </c>
      <c r="C1073" s="28" t="s">
        <v>4347</v>
      </c>
      <c r="D1073" s="117">
        <v>87</v>
      </c>
      <c r="E1073" s="122" t="s">
        <v>29</v>
      </c>
      <c r="F1073" s="120" t="s">
        <v>63</v>
      </c>
      <c r="G1073" s="29">
        <v>42003</v>
      </c>
      <c r="H1073" s="28" t="s">
        <v>5003</v>
      </c>
      <c r="I1073" s="114" t="s">
        <v>12400</v>
      </c>
      <c r="J1073" s="114" t="s">
        <v>12401</v>
      </c>
    </row>
    <row r="1074" spans="1:10" ht="20" customHeight="1" thickBot="1">
      <c r="A1074" s="26" t="s">
        <v>5006</v>
      </c>
      <c r="B1074" s="26" t="s">
        <v>5007</v>
      </c>
      <c r="C1074" s="26" t="s">
        <v>1765</v>
      </c>
      <c r="D1074" s="116">
        <v>21</v>
      </c>
      <c r="E1074" s="122" t="s">
        <v>29</v>
      </c>
      <c r="F1074" s="119" t="s">
        <v>63</v>
      </c>
      <c r="G1074" s="27">
        <v>42286</v>
      </c>
      <c r="H1074" s="26" t="s">
        <v>5008</v>
      </c>
      <c r="I1074" s="113" t="s">
        <v>12400</v>
      </c>
      <c r="J1074" s="113" t="s">
        <v>12401</v>
      </c>
    </row>
    <row r="1075" spans="1:10" ht="20" customHeight="1" thickBot="1">
      <c r="A1075" s="28" t="s">
        <v>5011</v>
      </c>
      <c r="B1075" s="28" t="s">
        <v>5007</v>
      </c>
      <c r="C1075" s="28" t="s">
        <v>4638</v>
      </c>
      <c r="D1075" s="117">
        <v>17</v>
      </c>
      <c r="E1075" s="122" t="s">
        <v>33</v>
      </c>
      <c r="F1075" s="120" t="s">
        <v>63</v>
      </c>
      <c r="G1075" s="29">
        <v>45397</v>
      </c>
      <c r="H1075" s="28" t="s">
        <v>5012</v>
      </c>
      <c r="I1075" s="114" t="s">
        <v>12400</v>
      </c>
      <c r="J1075" s="114" t="s">
        <v>12401</v>
      </c>
    </row>
    <row r="1076" spans="1:10" ht="20" customHeight="1" thickBot="1">
      <c r="A1076" s="26" t="s">
        <v>5015</v>
      </c>
      <c r="B1076" s="26" t="s">
        <v>5015</v>
      </c>
      <c r="C1076" s="26" t="s">
        <v>5016</v>
      </c>
      <c r="D1076" s="116">
        <v>5</v>
      </c>
      <c r="E1076" s="122" t="s">
        <v>31</v>
      </c>
      <c r="F1076" s="119" t="s">
        <v>571</v>
      </c>
      <c r="G1076" s="27">
        <v>45347</v>
      </c>
      <c r="H1076" s="26" t="s">
        <v>5017</v>
      </c>
      <c r="I1076" s="113" t="s">
        <v>12400</v>
      </c>
      <c r="J1076" s="113" t="s">
        <v>12401</v>
      </c>
    </row>
    <row r="1077" spans="1:10" ht="20" customHeight="1" thickBot="1">
      <c r="A1077" s="28" t="s">
        <v>5020</v>
      </c>
      <c r="B1077" s="28" t="s">
        <v>5020</v>
      </c>
      <c r="C1077" s="28" t="s">
        <v>5021</v>
      </c>
      <c r="D1077" s="117">
        <v>7</v>
      </c>
      <c r="E1077" s="122" t="s">
        <v>29</v>
      </c>
      <c r="F1077" s="120" t="s">
        <v>63</v>
      </c>
      <c r="G1077" s="29">
        <v>41491</v>
      </c>
      <c r="H1077" s="28" t="s">
        <v>5022</v>
      </c>
      <c r="I1077" s="114" t="s">
        <v>12400</v>
      </c>
      <c r="J1077" s="114" t="s">
        <v>12401</v>
      </c>
    </row>
    <row r="1078" spans="1:10" ht="20" customHeight="1" thickBot="1">
      <c r="A1078" s="26" t="s">
        <v>5025</v>
      </c>
      <c r="B1078" s="26" t="s">
        <v>5025</v>
      </c>
      <c r="C1078" s="26" t="s">
        <v>5026</v>
      </c>
      <c r="D1078" s="116">
        <v>8</v>
      </c>
      <c r="E1078" s="122" t="s">
        <v>29</v>
      </c>
      <c r="F1078" s="119" t="s">
        <v>63</v>
      </c>
      <c r="G1078" s="27">
        <v>42550</v>
      </c>
      <c r="H1078" s="26" t="s">
        <v>5027</v>
      </c>
      <c r="I1078" s="113" t="s">
        <v>12400</v>
      </c>
      <c r="J1078" s="113" t="s">
        <v>12401</v>
      </c>
    </row>
    <row r="1079" spans="1:10" ht="20" customHeight="1" thickBot="1">
      <c r="A1079" s="28" t="s">
        <v>5030</v>
      </c>
      <c r="B1079" s="28" t="s">
        <v>5030</v>
      </c>
      <c r="C1079" s="28" t="s">
        <v>704</v>
      </c>
      <c r="D1079" s="117">
        <v>8</v>
      </c>
      <c r="E1079" s="122" t="s">
        <v>33</v>
      </c>
      <c r="F1079" s="120" t="s">
        <v>63</v>
      </c>
      <c r="G1079" s="29">
        <v>42315</v>
      </c>
      <c r="H1079" s="28" t="s">
        <v>5031</v>
      </c>
      <c r="I1079" s="114" t="s">
        <v>12400</v>
      </c>
      <c r="J1079" s="114" t="s">
        <v>12401</v>
      </c>
    </row>
    <row r="1080" spans="1:10" ht="20" customHeight="1" thickBot="1">
      <c r="A1080" s="26" t="s">
        <v>5034</v>
      </c>
      <c r="B1080" s="26" t="s">
        <v>5034</v>
      </c>
      <c r="C1080" s="26" t="s">
        <v>827</v>
      </c>
      <c r="D1080" s="116">
        <v>40</v>
      </c>
      <c r="E1080" s="122" t="s">
        <v>29</v>
      </c>
      <c r="F1080" s="119" t="s">
        <v>63</v>
      </c>
      <c r="G1080" s="27">
        <v>44793</v>
      </c>
      <c r="H1080" s="26" t="s">
        <v>5035</v>
      </c>
      <c r="I1080" s="113" t="s">
        <v>12400</v>
      </c>
      <c r="J1080" s="113" t="s">
        <v>12401</v>
      </c>
    </row>
    <row r="1081" spans="1:10" ht="20" customHeight="1" thickBot="1">
      <c r="A1081" s="28" t="s">
        <v>5038</v>
      </c>
      <c r="B1081" s="28" t="s">
        <v>5038</v>
      </c>
      <c r="C1081" s="28" t="s">
        <v>827</v>
      </c>
      <c r="D1081" s="117">
        <v>21</v>
      </c>
      <c r="E1081" s="122" t="s">
        <v>29</v>
      </c>
      <c r="F1081" s="120" t="s">
        <v>63</v>
      </c>
      <c r="G1081" s="29">
        <v>44574</v>
      </c>
      <c r="H1081" s="28" t="s">
        <v>5039</v>
      </c>
      <c r="I1081" s="114" t="s">
        <v>12400</v>
      </c>
      <c r="J1081" s="114" t="s">
        <v>12401</v>
      </c>
    </row>
    <row r="1082" spans="1:10" ht="20" customHeight="1" thickBot="1">
      <c r="A1082" s="26" t="s">
        <v>5042</v>
      </c>
      <c r="B1082" s="26" t="s">
        <v>5042</v>
      </c>
      <c r="C1082" s="26" t="s">
        <v>827</v>
      </c>
      <c r="D1082" s="116">
        <v>7</v>
      </c>
      <c r="E1082" s="122" t="s">
        <v>29</v>
      </c>
      <c r="F1082" s="119" t="s">
        <v>63</v>
      </c>
      <c r="G1082" s="27">
        <v>44407</v>
      </c>
      <c r="H1082" s="26" t="s">
        <v>5043</v>
      </c>
      <c r="I1082" s="113" t="s">
        <v>12400</v>
      </c>
      <c r="J1082" s="113" t="s">
        <v>12401</v>
      </c>
    </row>
    <row r="1083" spans="1:10" ht="20" customHeight="1" thickBot="1">
      <c r="A1083" s="28" t="s">
        <v>5046</v>
      </c>
      <c r="B1083" s="28" t="s">
        <v>5046</v>
      </c>
      <c r="C1083" s="28" t="s">
        <v>827</v>
      </c>
      <c r="D1083" s="117">
        <v>6</v>
      </c>
      <c r="E1083" s="122" t="s">
        <v>27</v>
      </c>
      <c r="F1083" s="120" t="s">
        <v>63</v>
      </c>
      <c r="G1083" s="29">
        <v>44434</v>
      </c>
      <c r="H1083" s="28" t="s">
        <v>5047</v>
      </c>
      <c r="I1083" s="114" t="s">
        <v>12400</v>
      </c>
      <c r="J1083" s="114" t="s">
        <v>12401</v>
      </c>
    </row>
    <row r="1084" spans="1:10" ht="20" customHeight="1" thickBot="1">
      <c r="A1084" s="26" t="s">
        <v>5050</v>
      </c>
      <c r="B1084" s="26" t="s">
        <v>5050</v>
      </c>
      <c r="C1084" s="26" t="s">
        <v>5051</v>
      </c>
      <c r="D1084" s="116">
        <v>5</v>
      </c>
      <c r="E1084" s="122" t="s">
        <v>27</v>
      </c>
      <c r="F1084" s="119" t="s">
        <v>63</v>
      </c>
      <c r="G1084" s="27">
        <v>42255</v>
      </c>
      <c r="H1084" s="26" t="s">
        <v>5052</v>
      </c>
      <c r="I1084" s="113" t="s">
        <v>12400</v>
      </c>
      <c r="J1084" s="113" t="s">
        <v>12401</v>
      </c>
    </row>
    <row r="1085" spans="1:10" ht="20" customHeight="1" thickBot="1">
      <c r="A1085" s="28" t="s">
        <v>5055</v>
      </c>
      <c r="B1085" s="28" t="s">
        <v>5055</v>
      </c>
      <c r="C1085" s="28" t="s">
        <v>4164</v>
      </c>
      <c r="D1085" s="117">
        <v>17</v>
      </c>
      <c r="E1085" s="122" t="s">
        <v>31</v>
      </c>
      <c r="F1085" s="120" t="s">
        <v>63</v>
      </c>
      <c r="G1085" s="29">
        <v>41572</v>
      </c>
      <c r="H1085" s="28" t="s">
        <v>5056</v>
      </c>
      <c r="I1085" s="114" t="s">
        <v>12400</v>
      </c>
      <c r="J1085" s="114" t="s">
        <v>12401</v>
      </c>
    </row>
    <row r="1086" spans="1:10" ht="20" customHeight="1" thickBot="1">
      <c r="A1086" s="26" t="s">
        <v>5059</v>
      </c>
      <c r="B1086" s="26" t="s">
        <v>5059</v>
      </c>
      <c r="C1086" s="26" t="s">
        <v>5060</v>
      </c>
      <c r="D1086" s="116">
        <v>34</v>
      </c>
      <c r="E1086" s="122" t="s">
        <v>29</v>
      </c>
      <c r="F1086" s="119" t="s">
        <v>63</v>
      </c>
      <c r="G1086" s="27">
        <v>41814</v>
      </c>
      <c r="H1086" s="26" t="s">
        <v>5061</v>
      </c>
      <c r="I1086" s="113" t="s">
        <v>12400</v>
      </c>
      <c r="J1086" s="113" t="s">
        <v>12401</v>
      </c>
    </row>
    <row r="1087" spans="1:10" ht="20" customHeight="1" thickBot="1">
      <c r="A1087" s="28" t="s">
        <v>5064</v>
      </c>
      <c r="B1087" s="28" t="s">
        <v>5064</v>
      </c>
      <c r="C1087" s="28" t="s">
        <v>5065</v>
      </c>
      <c r="D1087" s="117">
        <v>51</v>
      </c>
      <c r="E1087" s="122" t="s">
        <v>29</v>
      </c>
      <c r="F1087" s="120" t="s">
        <v>2433</v>
      </c>
      <c r="G1087" s="29">
        <v>41589</v>
      </c>
      <c r="H1087" s="28" t="s">
        <v>5066</v>
      </c>
      <c r="I1087" s="114" t="s">
        <v>12400</v>
      </c>
      <c r="J1087" s="114" t="s">
        <v>12401</v>
      </c>
    </row>
    <row r="1088" spans="1:10" ht="20" customHeight="1" thickBot="1">
      <c r="A1088" s="26" t="s">
        <v>5069</v>
      </c>
      <c r="B1088" s="26" t="s">
        <v>5069</v>
      </c>
      <c r="C1088" s="26" t="s">
        <v>5065</v>
      </c>
      <c r="D1088" s="116">
        <v>37</v>
      </c>
      <c r="E1088" s="122" t="s">
        <v>29</v>
      </c>
      <c r="F1088" s="119" t="s">
        <v>2433</v>
      </c>
      <c r="G1088" s="27">
        <v>42925</v>
      </c>
      <c r="H1088" s="26" t="s">
        <v>5070</v>
      </c>
      <c r="I1088" s="113" t="s">
        <v>12400</v>
      </c>
      <c r="J1088" s="113" t="s">
        <v>12401</v>
      </c>
    </row>
    <row r="1089" spans="1:10" ht="20" customHeight="1" thickBot="1">
      <c r="A1089" s="28" t="s">
        <v>5073</v>
      </c>
      <c r="B1089" s="28" t="s">
        <v>5073</v>
      </c>
      <c r="C1089" s="28" t="s">
        <v>4638</v>
      </c>
      <c r="D1089" s="117">
        <v>20</v>
      </c>
      <c r="E1089" s="122" t="s">
        <v>31</v>
      </c>
      <c r="F1089" s="120" t="s">
        <v>63</v>
      </c>
      <c r="G1089" s="29">
        <v>42658</v>
      </c>
      <c r="H1089" s="28" t="s">
        <v>5074</v>
      </c>
      <c r="I1089" s="114" t="s">
        <v>12400</v>
      </c>
      <c r="J1089" s="114" t="s">
        <v>12401</v>
      </c>
    </row>
    <row r="1090" spans="1:10" ht="20" customHeight="1" thickBot="1">
      <c r="A1090" s="26" t="s">
        <v>5077</v>
      </c>
      <c r="B1090" s="26" t="s">
        <v>5077</v>
      </c>
      <c r="C1090" s="26" t="s">
        <v>5078</v>
      </c>
      <c r="D1090" s="116">
        <v>7</v>
      </c>
      <c r="E1090" s="122" t="s">
        <v>29</v>
      </c>
      <c r="F1090" s="119" t="s">
        <v>63</v>
      </c>
      <c r="G1090" s="27">
        <v>41543</v>
      </c>
      <c r="H1090" s="26" t="s">
        <v>5079</v>
      </c>
      <c r="I1090" s="113" t="s">
        <v>12400</v>
      </c>
      <c r="J1090" s="113" t="s">
        <v>12401</v>
      </c>
    </row>
    <row r="1091" spans="1:10" ht="20" customHeight="1" thickBot="1">
      <c r="A1091" s="28" t="s">
        <v>5082</v>
      </c>
      <c r="B1091" s="28" t="s">
        <v>5082</v>
      </c>
      <c r="C1091" s="28" t="s">
        <v>5083</v>
      </c>
      <c r="D1091" s="117">
        <v>27</v>
      </c>
      <c r="E1091" s="122" t="s">
        <v>31</v>
      </c>
      <c r="F1091" s="120" t="s">
        <v>63</v>
      </c>
      <c r="G1091" s="29">
        <v>41457</v>
      </c>
      <c r="H1091" s="28" t="s">
        <v>5084</v>
      </c>
      <c r="I1091" s="114" t="s">
        <v>12400</v>
      </c>
      <c r="J1091" s="114" t="s">
        <v>12401</v>
      </c>
    </row>
    <row r="1092" spans="1:10" ht="20" customHeight="1" thickBot="1">
      <c r="A1092" s="26" t="s">
        <v>5087</v>
      </c>
      <c r="B1092" s="26" t="s">
        <v>5087</v>
      </c>
      <c r="C1092" s="26" t="s">
        <v>5088</v>
      </c>
      <c r="D1092" s="116">
        <v>50</v>
      </c>
      <c r="E1092" s="122" t="s">
        <v>31</v>
      </c>
      <c r="F1092" s="119" t="s">
        <v>63</v>
      </c>
      <c r="G1092" s="27">
        <v>45554</v>
      </c>
      <c r="H1092" s="26" t="s">
        <v>5089</v>
      </c>
      <c r="I1092" s="113" t="s">
        <v>12400</v>
      </c>
      <c r="J1092" s="113" t="s">
        <v>12401</v>
      </c>
    </row>
    <row r="1093" spans="1:10" ht="20" customHeight="1" thickBot="1">
      <c r="A1093" s="28" t="s">
        <v>5092</v>
      </c>
      <c r="B1093" s="28" t="s">
        <v>5092</v>
      </c>
      <c r="C1093" s="28" t="s">
        <v>130</v>
      </c>
      <c r="D1093" s="117">
        <v>25</v>
      </c>
      <c r="E1093" s="122" t="s">
        <v>31</v>
      </c>
      <c r="F1093" s="120" t="s">
        <v>63</v>
      </c>
      <c r="G1093" s="29">
        <v>42209</v>
      </c>
      <c r="H1093" s="28" t="s">
        <v>5093</v>
      </c>
      <c r="I1093" s="114" t="s">
        <v>12400</v>
      </c>
      <c r="J1093" s="114" t="s">
        <v>12401</v>
      </c>
    </row>
    <row r="1094" spans="1:10" ht="20" customHeight="1" thickBot="1">
      <c r="A1094" s="26" t="s">
        <v>5096</v>
      </c>
      <c r="B1094" s="26" t="s">
        <v>5096</v>
      </c>
      <c r="C1094" s="26" t="s">
        <v>5097</v>
      </c>
      <c r="D1094" s="116">
        <v>98</v>
      </c>
      <c r="E1094" s="122" t="s">
        <v>29</v>
      </c>
      <c r="F1094" s="119" t="s">
        <v>63</v>
      </c>
      <c r="G1094" s="27">
        <v>46024</v>
      </c>
      <c r="H1094" s="26" t="s">
        <v>5098</v>
      </c>
      <c r="I1094" s="113" t="s">
        <v>12400</v>
      </c>
      <c r="J1094" s="113" t="s">
        <v>12401</v>
      </c>
    </row>
    <row r="1095" spans="1:10" ht="20" customHeight="1" thickBot="1">
      <c r="A1095" s="28" t="s">
        <v>5101</v>
      </c>
      <c r="B1095" s="28" t="s">
        <v>5101</v>
      </c>
      <c r="C1095" s="28" t="s">
        <v>5097</v>
      </c>
      <c r="D1095" s="117">
        <v>98</v>
      </c>
      <c r="E1095" s="122" t="s">
        <v>29</v>
      </c>
      <c r="F1095" s="120" t="s">
        <v>63</v>
      </c>
      <c r="G1095" s="29">
        <v>45508</v>
      </c>
      <c r="H1095" s="28" t="s">
        <v>5102</v>
      </c>
      <c r="I1095" s="114" t="s">
        <v>12400</v>
      </c>
      <c r="J1095" s="114" t="s">
        <v>12401</v>
      </c>
    </row>
    <row r="1096" spans="1:10" ht="20" customHeight="1" thickBot="1">
      <c r="A1096" s="26" t="s">
        <v>5105</v>
      </c>
      <c r="B1096" s="26" t="s">
        <v>5105</v>
      </c>
      <c r="C1096" s="26" t="s">
        <v>4227</v>
      </c>
      <c r="D1096" s="116">
        <v>49</v>
      </c>
      <c r="E1096" s="122" t="s">
        <v>31</v>
      </c>
      <c r="F1096" s="119" t="s">
        <v>63</v>
      </c>
      <c r="G1096" s="27">
        <v>42333</v>
      </c>
      <c r="H1096" s="26" t="s">
        <v>5106</v>
      </c>
      <c r="I1096" s="113" t="s">
        <v>12400</v>
      </c>
      <c r="J1096" s="113" t="s">
        <v>12401</v>
      </c>
    </row>
    <row r="1097" spans="1:10" ht="20" customHeight="1" thickBot="1">
      <c r="A1097" s="28" t="s">
        <v>5109</v>
      </c>
      <c r="B1097" s="28" t="s">
        <v>5109</v>
      </c>
      <c r="C1097" s="28" t="s">
        <v>5110</v>
      </c>
      <c r="D1097" s="117">
        <v>7</v>
      </c>
      <c r="E1097" s="122" t="s">
        <v>33</v>
      </c>
      <c r="F1097" s="120" t="s">
        <v>571</v>
      </c>
      <c r="G1097" s="29">
        <v>41748</v>
      </c>
      <c r="H1097" s="28" t="s">
        <v>5111</v>
      </c>
      <c r="I1097" s="114" t="s">
        <v>12400</v>
      </c>
      <c r="J1097" s="114" t="s">
        <v>12401</v>
      </c>
    </row>
    <row r="1098" spans="1:10" ht="20" customHeight="1" thickBot="1">
      <c r="A1098" s="26" t="s">
        <v>5114</v>
      </c>
      <c r="B1098" s="26" t="s">
        <v>5114</v>
      </c>
      <c r="C1098" s="26" t="s">
        <v>5115</v>
      </c>
      <c r="D1098" s="116">
        <v>1</v>
      </c>
      <c r="E1098" s="122" t="s">
        <v>33</v>
      </c>
      <c r="F1098" s="119" t="s">
        <v>63</v>
      </c>
      <c r="G1098" s="27">
        <v>43992</v>
      </c>
      <c r="H1098" s="26" t="s">
        <v>5116</v>
      </c>
      <c r="I1098" s="113" t="s">
        <v>12400</v>
      </c>
      <c r="J1098" s="113" t="s">
        <v>12401</v>
      </c>
    </row>
    <row r="1099" spans="1:10" ht="20" customHeight="1" thickBot="1">
      <c r="A1099" s="28" t="s">
        <v>5119</v>
      </c>
      <c r="B1099" s="28" t="s">
        <v>5119</v>
      </c>
      <c r="C1099" s="28" t="s">
        <v>2240</v>
      </c>
      <c r="D1099" s="117">
        <v>10</v>
      </c>
      <c r="E1099" s="122" t="s">
        <v>29</v>
      </c>
      <c r="F1099" s="120" t="s">
        <v>63</v>
      </c>
      <c r="G1099" s="29">
        <v>41545</v>
      </c>
      <c r="H1099" s="28" t="s">
        <v>5120</v>
      </c>
      <c r="I1099" s="114" t="s">
        <v>12400</v>
      </c>
      <c r="J1099" s="114" t="s">
        <v>12401</v>
      </c>
    </row>
    <row r="1100" spans="1:10" ht="20" customHeight="1" thickBot="1">
      <c r="A1100" s="26" t="s">
        <v>5123</v>
      </c>
      <c r="B1100" s="26" t="s">
        <v>5123</v>
      </c>
      <c r="C1100" s="26" t="s">
        <v>380</v>
      </c>
      <c r="D1100" s="116">
        <v>5</v>
      </c>
      <c r="E1100" s="122" t="s">
        <v>29</v>
      </c>
      <c r="F1100" s="119" t="s">
        <v>63</v>
      </c>
      <c r="G1100" s="27">
        <v>42215</v>
      </c>
      <c r="H1100" s="26" t="s">
        <v>5124</v>
      </c>
      <c r="I1100" s="113" t="s">
        <v>12400</v>
      </c>
      <c r="J1100" s="113" t="s">
        <v>12401</v>
      </c>
    </row>
    <row r="1101" spans="1:10" ht="20" customHeight="1" thickBot="1">
      <c r="A1101" s="28" t="s">
        <v>5127</v>
      </c>
      <c r="B1101" s="28" t="s">
        <v>5127</v>
      </c>
      <c r="C1101" s="28" t="s">
        <v>243</v>
      </c>
      <c r="D1101" s="117">
        <v>10</v>
      </c>
      <c r="E1101" s="122" t="s">
        <v>31</v>
      </c>
      <c r="F1101" s="120" t="s">
        <v>63</v>
      </c>
      <c r="G1101" s="29">
        <v>44233</v>
      </c>
      <c r="H1101" s="28" t="s">
        <v>5128</v>
      </c>
      <c r="I1101" s="114" t="s">
        <v>12400</v>
      </c>
      <c r="J1101" s="114" t="s">
        <v>12401</v>
      </c>
    </row>
    <row r="1102" spans="1:10" ht="20" customHeight="1" thickBot="1">
      <c r="A1102" s="26" t="s">
        <v>5131</v>
      </c>
      <c r="B1102" s="26" t="s">
        <v>5131</v>
      </c>
      <c r="C1102" s="26" t="s">
        <v>5132</v>
      </c>
      <c r="D1102" s="116">
        <v>11</v>
      </c>
      <c r="E1102" s="122" t="s">
        <v>27</v>
      </c>
      <c r="F1102" s="119" t="s">
        <v>63</v>
      </c>
      <c r="G1102" s="27">
        <v>42412</v>
      </c>
      <c r="H1102" s="26" t="s">
        <v>5133</v>
      </c>
      <c r="I1102" s="113" t="s">
        <v>12400</v>
      </c>
      <c r="J1102" s="113" t="s">
        <v>12401</v>
      </c>
    </row>
    <row r="1103" spans="1:10" ht="20" customHeight="1" thickBot="1">
      <c r="A1103" s="28" t="s">
        <v>5136</v>
      </c>
      <c r="B1103" s="28" t="s">
        <v>5136</v>
      </c>
      <c r="C1103" s="28" t="s">
        <v>5137</v>
      </c>
      <c r="D1103" s="117">
        <v>7</v>
      </c>
      <c r="E1103" s="122" t="s">
        <v>29</v>
      </c>
      <c r="F1103" s="120" t="s">
        <v>63</v>
      </c>
      <c r="G1103" s="29">
        <v>42044</v>
      </c>
      <c r="H1103" s="28" t="s">
        <v>5138</v>
      </c>
      <c r="I1103" s="114" t="s">
        <v>12400</v>
      </c>
      <c r="J1103" s="114" t="s">
        <v>12401</v>
      </c>
    </row>
    <row r="1104" spans="1:10" ht="20" customHeight="1" thickBot="1">
      <c r="A1104" s="26" t="s">
        <v>5141</v>
      </c>
      <c r="B1104" s="26" t="s">
        <v>5141</v>
      </c>
      <c r="C1104" s="26" t="s">
        <v>5142</v>
      </c>
      <c r="D1104" s="116">
        <v>4</v>
      </c>
      <c r="E1104" s="122" t="s">
        <v>31</v>
      </c>
      <c r="F1104" s="119" t="s">
        <v>63</v>
      </c>
      <c r="G1104" s="27">
        <v>43219</v>
      </c>
      <c r="H1104" s="26" t="s">
        <v>5143</v>
      </c>
      <c r="I1104" s="113" t="s">
        <v>12400</v>
      </c>
      <c r="J1104" s="113" t="s">
        <v>12401</v>
      </c>
    </row>
    <row r="1105" spans="1:10" ht="20" customHeight="1" thickBot="1">
      <c r="A1105" s="28" t="s">
        <v>5146</v>
      </c>
      <c r="B1105" s="28" t="s">
        <v>5146</v>
      </c>
      <c r="C1105" s="28" t="s">
        <v>5147</v>
      </c>
      <c r="D1105" s="117">
        <v>21</v>
      </c>
      <c r="E1105" s="122" t="s">
        <v>31</v>
      </c>
      <c r="F1105" s="120" t="s">
        <v>63</v>
      </c>
      <c r="G1105" s="29">
        <v>43483</v>
      </c>
      <c r="H1105" s="28" t="s">
        <v>5148</v>
      </c>
      <c r="I1105" s="114" t="s">
        <v>12400</v>
      </c>
      <c r="J1105" s="114" t="s">
        <v>12401</v>
      </c>
    </row>
    <row r="1106" spans="1:10" ht="20" customHeight="1" thickBot="1">
      <c r="A1106" s="26" t="s">
        <v>5151</v>
      </c>
      <c r="B1106" s="26" t="s">
        <v>5151</v>
      </c>
      <c r="C1106" s="26" t="s">
        <v>1996</v>
      </c>
      <c r="D1106" s="116">
        <v>48</v>
      </c>
      <c r="E1106" s="122" t="s">
        <v>29</v>
      </c>
      <c r="F1106" s="119" t="s">
        <v>63</v>
      </c>
      <c r="G1106" s="27">
        <v>42662</v>
      </c>
      <c r="H1106" s="26" t="s">
        <v>5152</v>
      </c>
      <c r="I1106" s="113" t="s">
        <v>12400</v>
      </c>
      <c r="J1106" s="113" t="s">
        <v>12401</v>
      </c>
    </row>
    <row r="1107" spans="1:10" ht="20" customHeight="1" thickBot="1">
      <c r="A1107" s="28" t="s">
        <v>5155</v>
      </c>
      <c r="B1107" s="28" t="s">
        <v>5155</v>
      </c>
      <c r="C1107" s="28" t="s">
        <v>243</v>
      </c>
      <c r="D1107" s="117">
        <v>17</v>
      </c>
      <c r="E1107" s="122" t="s">
        <v>31</v>
      </c>
      <c r="F1107" s="120" t="s">
        <v>63</v>
      </c>
      <c r="G1107" s="29">
        <v>45103</v>
      </c>
      <c r="H1107" s="28" t="s">
        <v>5156</v>
      </c>
      <c r="I1107" s="114" t="s">
        <v>12400</v>
      </c>
      <c r="J1107" s="114" t="s">
        <v>12401</v>
      </c>
    </row>
    <row r="1108" spans="1:10" ht="20" customHeight="1" thickBot="1">
      <c r="A1108" s="26" t="s">
        <v>5159</v>
      </c>
      <c r="B1108" s="26" t="s">
        <v>5159</v>
      </c>
      <c r="C1108" s="26" t="s">
        <v>5160</v>
      </c>
      <c r="D1108" s="116">
        <v>28</v>
      </c>
      <c r="E1108" s="122" t="s">
        <v>31</v>
      </c>
      <c r="F1108" s="119" t="s">
        <v>63</v>
      </c>
      <c r="G1108" s="27">
        <v>43683</v>
      </c>
      <c r="H1108" s="26" t="s">
        <v>5161</v>
      </c>
      <c r="I1108" s="113" t="s">
        <v>12400</v>
      </c>
      <c r="J1108" s="113" t="s">
        <v>12401</v>
      </c>
    </row>
    <row r="1109" spans="1:10" ht="20" customHeight="1" thickBot="1">
      <c r="A1109" s="28" t="s">
        <v>5164</v>
      </c>
      <c r="B1109" s="28" t="s">
        <v>5164</v>
      </c>
      <c r="C1109" s="28" t="s">
        <v>694</v>
      </c>
      <c r="D1109" s="117">
        <v>7</v>
      </c>
      <c r="E1109" s="122" t="s">
        <v>31</v>
      </c>
      <c r="F1109" s="120" t="s">
        <v>63</v>
      </c>
      <c r="G1109" s="29">
        <v>42374</v>
      </c>
      <c r="H1109" s="28" t="s">
        <v>5165</v>
      </c>
      <c r="I1109" s="114" t="s">
        <v>12400</v>
      </c>
      <c r="J1109" s="114" t="s">
        <v>12401</v>
      </c>
    </row>
    <row r="1110" spans="1:10" ht="20" customHeight="1" thickBot="1">
      <c r="A1110" s="26" t="s">
        <v>5168</v>
      </c>
      <c r="B1110" s="26" t="s">
        <v>5168</v>
      </c>
      <c r="C1110" s="26" t="s">
        <v>3137</v>
      </c>
      <c r="D1110" s="116">
        <v>12</v>
      </c>
      <c r="E1110" s="122" t="s">
        <v>34</v>
      </c>
      <c r="F1110" s="119" t="s">
        <v>57</v>
      </c>
      <c r="G1110" s="27">
        <v>44217</v>
      </c>
      <c r="H1110" s="26" t="s">
        <v>5169</v>
      </c>
      <c r="I1110" s="113" t="s">
        <v>12400</v>
      </c>
      <c r="J1110" s="113" t="s">
        <v>12401</v>
      </c>
    </row>
    <row r="1111" spans="1:10" ht="20" customHeight="1" thickBot="1">
      <c r="A1111" s="28" t="s">
        <v>5172</v>
      </c>
      <c r="B1111" s="28" t="s">
        <v>5172</v>
      </c>
      <c r="C1111" s="28" t="s">
        <v>5173</v>
      </c>
      <c r="D1111" s="117">
        <v>17</v>
      </c>
      <c r="E1111" s="122" t="s">
        <v>29</v>
      </c>
      <c r="F1111" s="120" t="s">
        <v>63</v>
      </c>
      <c r="G1111" s="29">
        <v>41862</v>
      </c>
      <c r="H1111" s="28" t="s">
        <v>5174</v>
      </c>
      <c r="I1111" s="114" t="s">
        <v>12400</v>
      </c>
      <c r="J1111" s="114" t="s">
        <v>12401</v>
      </c>
    </row>
    <row r="1112" spans="1:10" ht="20" customHeight="1" thickBot="1">
      <c r="A1112" s="26" t="s">
        <v>5177</v>
      </c>
      <c r="B1112" s="26" t="s">
        <v>5177</v>
      </c>
      <c r="C1112" s="26" t="s">
        <v>5178</v>
      </c>
      <c r="D1112" s="116">
        <v>87</v>
      </c>
      <c r="E1112" s="122" t="s">
        <v>29</v>
      </c>
      <c r="F1112" s="119" t="s">
        <v>63</v>
      </c>
      <c r="G1112" s="27">
        <v>43601</v>
      </c>
      <c r="H1112" s="26" t="s">
        <v>5179</v>
      </c>
      <c r="I1112" s="113" t="s">
        <v>12400</v>
      </c>
      <c r="J1112" s="113" t="s">
        <v>12401</v>
      </c>
    </row>
    <row r="1113" spans="1:10" ht="20" customHeight="1" thickBot="1">
      <c r="A1113" s="28" t="s">
        <v>5182</v>
      </c>
      <c r="B1113" s="28" t="s">
        <v>5182</v>
      </c>
      <c r="C1113" s="28" t="s">
        <v>5178</v>
      </c>
      <c r="D1113" s="117">
        <v>88</v>
      </c>
      <c r="E1113" s="122" t="s">
        <v>31</v>
      </c>
      <c r="F1113" s="120" t="s">
        <v>63</v>
      </c>
      <c r="G1113" s="29">
        <v>42232</v>
      </c>
      <c r="H1113" s="28" t="s">
        <v>5183</v>
      </c>
      <c r="I1113" s="114" t="s">
        <v>12400</v>
      </c>
      <c r="J1113" s="114" t="s">
        <v>12401</v>
      </c>
    </row>
    <row r="1114" spans="1:10" ht="20" customHeight="1" thickBot="1">
      <c r="A1114" s="26" t="s">
        <v>5186</v>
      </c>
      <c r="B1114" s="26" t="s">
        <v>5186</v>
      </c>
      <c r="C1114" s="26" t="s">
        <v>1945</v>
      </c>
      <c r="D1114" s="116">
        <v>31</v>
      </c>
      <c r="E1114" s="122" t="s">
        <v>29</v>
      </c>
      <c r="F1114" s="119" t="s">
        <v>63</v>
      </c>
      <c r="G1114" s="27">
        <v>45010</v>
      </c>
      <c r="H1114" s="26" t="s">
        <v>5187</v>
      </c>
      <c r="I1114" s="113" t="s">
        <v>12400</v>
      </c>
      <c r="J1114" s="113" t="s">
        <v>12401</v>
      </c>
    </row>
    <row r="1115" spans="1:10" ht="20" customHeight="1" thickBot="1">
      <c r="A1115" s="28" t="s">
        <v>5190</v>
      </c>
      <c r="B1115" s="28" t="s">
        <v>5190</v>
      </c>
      <c r="C1115" s="28" t="s">
        <v>5191</v>
      </c>
      <c r="D1115" s="117">
        <v>96</v>
      </c>
      <c r="E1115" s="122" t="s">
        <v>29</v>
      </c>
      <c r="F1115" s="120" t="s">
        <v>63</v>
      </c>
      <c r="G1115" s="29">
        <v>41445</v>
      </c>
      <c r="H1115" s="28" t="s">
        <v>5192</v>
      </c>
      <c r="I1115" s="114" t="s">
        <v>12400</v>
      </c>
      <c r="J1115" s="114" t="s">
        <v>12401</v>
      </c>
    </row>
    <row r="1116" spans="1:10" ht="20" customHeight="1" thickBot="1">
      <c r="A1116" s="26" t="s">
        <v>5195</v>
      </c>
      <c r="B1116" s="26" t="s">
        <v>5195</v>
      </c>
      <c r="C1116" s="26" t="s">
        <v>5191</v>
      </c>
      <c r="D1116" s="116">
        <v>59</v>
      </c>
      <c r="E1116" s="122" t="s">
        <v>29</v>
      </c>
      <c r="F1116" s="119" t="s">
        <v>63</v>
      </c>
      <c r="G1116" s="27">
        <v>43060</v>
      </c>
      <c r="H1116" s="26" t="s">
        <v>5196</v>
      </c>
      <c r="I1116" s="113" t="s">
        <v>12400</v>
      </c>
      <c r="J1116" s="113" t="s">
        <v>12401</v>
      </c>
    </row>
    <row r="1117" spans="1:10" ht="20" customHeight="1" thickBot="1">
      <c r="A1117" s="28" t="s">
        <v>5199</v>
      </c>
      <c r="B1117" s="28" t="s">
        <v>5199</v>
      </c>
      <c r="C1117" s="28" t="s">
        <v>910</v>
      </c>
      <c r="D1117" s="117">
        <v>1</v>
      </c>
      <c r="E1117" s="122" t="s">
        <v>29</v>
      </c>
      <c r="F1117" s="120" t="s">
        <v>63</v>
      </c>
      <c r="G1117" s="29">
        <v>42283</v>
      </c>
      <c r="H1117" s="28" t="s">
        <v>5200</v>
      </c>
      <c r="I1117" s="114" t="s">
        <v>12400</v>
      </c>
      <c r="J1117" s="114" t="s">
        <v>12401</v>
      </c>
    </row>
    <row r="1118" spans="1:10" ht="20" customHeight="1" thickBot="1">
      <c r="A1118" s="26" t="s">
        <v>5203</v>
      </c>
      <c r="B1118" s="26" t="s">
        <v>5203</v>
      </c>
      <c r="C1118" s="26" t="s">
        <v>5204</v>
      </c>
      <c r="D1118" s="116">
        <v>14</v>
      </c>
      <c r="E1118" s="122" t="s">
        <v>29</v>
      </c>
      <c r="F1118" s="119" t="s">
        <v>63</v>
      </c>
      <c r="G1118" s="27">
        <v>41492</v>
      </c>
      <c r="H1118" s="26" t="s">
        <v>5205</v>
      </c>
      <c r="I1118" s="113" t="s">
        <v>12400</v>
      </c>
      <c r="J1118" s="113" t="s">
        <v>12401</v>
      </c>
    </row>
    <row r="1119" spans="1:10" ht="20" customHeight="1" thickBot="1">
      <c r="A1119" s="28" t="s">
        <v>5208</v>
      </c>
      <c r="B1119" s="28" t="s">
        <v>5208</v>
      </c>
      <c r="C1119" s="28" t="s">
        <v>5209</v>
      </c>
      <c r="D1119" s="117">
        <v>10</v>
      </c>
      <c r="E1119" s="122" t="s">
        <v>31</v>
      </c>
      <c r="F1119" s="120" t="s">
        <v>63</v>
      </c>
      <c r="G1119" s="29">
        <v>42308</v>
      </c>
      <c r="H1119" s="28" t="s">
        <v>5210</v>
      </c>
      <c r="I1119" s="114" t="s">
        <v>12400</v>
      </c>
      <c r="J1119" s="114" t="s">
        <v>12401</v>
      </c>
    </row>
    <row r="1120" spans="1:10" ht="20" customHeight="1" thickBot="1">
      <c r="A1120" s="26" t="s">
        <v>5213</v>
      </c>
      <c r="B1120" s="26" t="s">
        <v>5213</v>
      </c>
      <c r="C1120" s="26" t="s">
        <v>5214</v>
      </c>
      <c r="D1120" s="116">
        <v>79</v>
      </c>
      <c r="E1120" s="122" t="s">
        <v>31</v>
      </c>
      <c r="F1120" s="119" t="s">
        <v>63</v>
      </c>
      <c r="G1120" s="27">
        <v>41604</v>
      </c>
      <c r="H1120" s="26" t="s">
        <v>5215</v>
      </c>
      <c r="I1120" s="113" t="s">
        <v>12400</v>
      </c>
      <c r="J1120" s="113" t="s">
        <v>12401</v>
      </c>
    </row>
    <row r="1121" spans="1:10" ht="20" customHeight="1" thickBot="1">
      <c r="A1121" s="28" t="s">
        <v>5218</v>
      </c>
      <c r="B1121" s="28" t="s">
        <v>5218</v>
      </c>
      <c r="C1121" s="28" t="s">
        <v>5219</v>
      </c>
      <c r="D1121" s="117">
        <v>9</v>
      </c>
      <c r="E1121" s="122" t="s">
        <v>29</v>
      </c>
      <c r="F1121" s="120" t="s">
        <v>63</v>
      </c>
      <c r="G1121" s="29">
        <v>42267</v>
      </c>
      <c r="H1121" s="28" t="s">
        <v>5220</v>
      </c>
      <c r="I1121" s="114" t="s">
        <v>12400</v>
      </c>
      <c r="J1121" s="114" t="s">
        <v>12401</v>
      </c>
    </row>
    <row r="1122" spans="1:10" ht="20" customHeight="1" thickBot="1">
      <c r="A1122" s="26" t="s">
        <v>5223</v>
      </c>
      <c r="B1122" s="26" t="s">
        <v>5223</v>
      </c>
      <c r="C1122" s="26" t="s">
        <v>4070</v>
      </c>
      <c r="D1122" s="116">
        <v>6</v>
      </c>
      <c r="E1122" s="122" t="s">
        <v>29</v>
      </c>
      <c r="F1122" s="119" t="s">
        <v>63</v>
      </c>
      <c r="G1122" s="27">
        <v>45275</v>
      </c>
      <c r="H1122" s="26" t="s">
        <v>5224</v>
      </c>
      <c r="I1122" s="113" t="s">
        <v>12400</v>
      </c>
      <c r="J1122" s="113" t="s">
        <v>12401</v>
      </c>
    </row>
    <row r="1123" spans="1:10" ht="20" customHeight="1" thickBot="1">
      <c r="A1123" s="28" t="s">
        <v>5227</v>
      </c>
      <c r="B1123" s="28" t="s">
        <v>5227</v>
      </c>
      <c r="C1123" s="28" t="s">
        <v>4638</v>
      </c>
      <c r="D1123" s="117">
        <v>7</v>
      </c>
      <c r="E1123" s="122" t="s">
        <v>29</v>
      </c>
      <c r="F1123" s="120" t="s">
        <v>63</v>
      </c>
      <c r="G1123" s="29">
        <v>42345</v>
      </c>
      <c r="H1123" s="28" t="s">
        <v>5228</v>
      </c>
      <c r="I1123" s="114" t="s">
        <v>12400</v>
      </c>
      <c r="J1123" s="114" t="s">
        <v>12401</v>
      </c>
    </row>
    <row r="1124" spans="1:10" ht="20" customHeight="1" thickBot="1">
      <c r="A1124" s="26" t="s">
        <v>5231</v>
      </c>
      <c r="B1124" s="26" t="s">
        <v>5231</v>
      </c>
      <c r="C1124" s="26" t="s">
        <v>4638</v>
      </c>
      <c r="D1124" s="116">
        <v>5</v>
      </c>
      <c r="E1124" s="122" t="s">
        <v>29</v>
      </c>
      <c r="F1124" s="119" t="s">
        <v>63</v>
      </c>
      <c r="G1124" s="27">
        <v>42356</v>
      </c>
      <c r="H1124" s="26" t="s">
        <v>5232</v>
      </c>
      <c r="I1124" s="113" t="s">
        <v>12400</v>
      </c>
      <c r="J1124" s="113" t="s">
        <v>12401</v>
      </c>
    </row>
    <row r="1125" spans="1:10" ht="20" customHeight="1" thickBot="1">
      <c r="A1125" s="28" t="s">
        <v>5235</v>
      </c>
      <c r="B1125" s="28" t="s">
        <v>5235</v>
      </c>
      <c r="C1125" s="28" t="s">
        <v>4638</v>
      </c>
      <c r="D1125" s="117">
        <v>66</v>
      </c>
      <c r="E1125" s="122" t="s">
        <v>31</v>
      </c>
      <c r="F1125" s="120" t="s">
        <v>63</v>
      </c>
      <c r="G1125" s="29">
        <v>42730</v>
      </c>
      <c r="H1125" s="28" t="s">
        <v>5236</v>
      </c>
      <c r="I1125" s="114" t="s">
        <v>12400</v>
      </c>
      <c r="J1125" s="114" t="s">
        <v>12401</v>
      </c>
    </row>
    <row r="1126" spans="1:10" ht="20" customHeight="1" thickBot="1">
      <c r="A1126" s="26" t="s">
        <v>5239</v>
      </c>
      <c r="B1126" s="26" t="s">
        <v>5239</v>
      </c>
      <c r="C1126" s="26" t="s">
        <v>5240</v>
      </c>
      <c r="D1126" s="116">
        <v>10</v>
      </c>
      <c r="E1126" s="122" t="s">
        <v>27</v>
      </c>
      <c r="F1126" s="119" t="s">
        <v>63</v>
      </c>
      <c r="G1126" s="27">
        <v>42242</v>
      </c>
      <c r="H1126" s="26" t="s">
        <v>5241</v>
      </c>
      <c r="I1126" s="113" t="s">
        <v>12400</v>
      </c>
      <c r="J1126" s="113" t="s">
        <v>12401</v>
      </c>
    </row>
    <row r="1127" spans="1:10" ht="20" customHeight="1" thickBot="1">
      <c r="A1127" s="28" t="s">
        <v>5244</v>
      </c>
      <c r="B1127" s="28" t="s">
        <v>5244</v>
      </c>
      <c r="C1127" s="28" t="s">
        <v>5245</v>
      </c>
      <c r="D1127" s="117">
        <v>7</v>
      </c>
      <c r="E1127" s="122" t="s">
        <v>27</v>
      </c>
      <c r="F1127" s="120" t="s">
        <v>63</v>
      </c>
      <c r="G1127" s="29">
        <v>42248</v>
      </c>
      <c r="H1127" s="28" t="s">
        <v>5246</v>
      </c>
      <c r="I1127" s="114" t="s">
        <v>12400</v>
      </c>
      <c r="J1127" s="114" t="s">
        <v>12401</v>
      </c>
    </row>
    <row r="1128" spans="1:10" ht="20" customHeight="1" thickBot="1">
      <c r="A1128" s="26" t="s">
        <v>5249</v>
      </c>
      <c r="B1128" s="26" t="s">
        <v>5249</v>
      </c>
      <c r="C1128" s="26" t="s">
        <v>1804</v>
      </c>
      <c r="D1128" s="116">
        <v>4</v>
      </c>
      <c r="E1128" s="122" t="s">
        <v>33</v>
      </c>
      <c r="F1128" s="119" t="s">
        <v>57</v>
      </c>
      <c r="G1128" s="27">
        <v>43433</v>
      </c>
      <c r="H1128" s="26" t="s">
        <v>5250</v>
      </c>
      <c r="I1128" s="113" t="s">
        <v>12400</v>
      </c>
      <c r="J1128" s="113" t="s">
        <v>12401</v>
      </c>
    </row>
    <row r="1129" spans="1:10" ht="20" customHeight="1" thickBot="1">
      <c r="A1129" s="28" t="s">
        <v>5253</v>
      </c>
      <c r="B1129" s="28" t="s">
        <v>5253</v>
      </c>
      <c r="C1129" s="28" t="s">
        <v>5191</v>
      </c>
      <c r="D1129" s="117">
        <v>64</v>
      </c>
      <c r="E1129" s="122" t="s">
        <v>29</v>
      </c>
      <c r="F1129" s="120" t="s">
        <v>63</v>
      </c>
      <c r="G1129" s="29">
        <v>41598</v>
      </c>
      <c r="H1129" s="28" t="s">
        <v>5254</v>
      </c>
      <c r="I1129" s="114" t="s">
        <v>12400</v>
      </c>
      <c r="J1129" s="114" t="s">
        <v>12401</v>
      </c>
    </row>
    <row r="1130" spans="1:10" ht="20" customHeight="1" thickBot="1">
      <c r="A1130" s="26" t="s">
        <v>5257</v>
      </c>
      <c r="B1130" s="26" t="s">
        <v>5257</v>
      </c>
      <c r="C1130" s="26" t="s">
        <v>5191</v>
      </c>
      <c r="D1130" s="116">
        <v>75</v>
      </c>
      <c r="E1130" s="122" t="s">
        <v>29</v>
      </c>
      <c r="F1130" s="119" t="s">
        <v>63</v>
      </c>
      <c r="G1130" s="27">
        <v>41600</v>
      </c>
      <c r="H1130" s="26" t="s">
        <v>5258</v>
      </c>
      <c r="I1130" s="113" t="s">
        <v>12400</v>
      </c>
      <c r="J1130" s="113" t="s">
        <v>12401</v>
      </c>
    </row>
    <row r="1131" spans="1:10" ht="20" customHeight="1" thickBot="1">
      <c r="A1131" s="28" t="s">
        <v>5261</v>
      </c>
      <c r="B1131" s="28" t="s">
        <v>5261</v>
      </c>
      <c r="C1131" s="28" t="s">
        <v>4915</v>
      </c>
      <c r="D1131" s="117">
        <v>9</v>
      </c>
      <c r="E1131" s="122" t="s">
        <v>29</v>
      </c>
      <c r="F1131" s="120" t="s">
        <v>63</v>
      </c>
      <c r="G1131" s="29">
        <v>41545</v>
      </c>
      <c r="H1131" s="28" t="s">
        <v>5262</v>
      </c>
      <c r="I1131" s="114" t="s">
        <v>12400</v>
      </c>
      <c r="J1131" s="114" t="s">
        <v>12401</v>
      </c>
    </row>
    <row r="1132" spans="1:10" ht="20" customHeight="1" thickBot="1">
      <c r="A1132" s="26" t="s">
        <v>5265</v>
      </c>
      <c r="B1132" s="26" t="s">
        <v>5265</v>
      </c>
      <c r="C1132" s="26" t="s">
        <v>5266</v>
      </c>
      <c r="D1132" s="116">
        <v>24</v>
      </c>
      <c r="E1132" s="122" t="s">
        <v>29</v>
      </c>
      <c r="F1132" s="119" t="s">
        <v>63</v>
      </c>
      <c r="G1132" s="27">
        <v>41856</v>
      </c>
      <c r="H1132" s="26" t="s">
        <v>5267</v>
      </c>
      <c r="I1132" s="113" t="s">
        <v>12400</v>
      </c>
      <c r="J1132" s="113" t="s">
        <v>12401</v>
      </c>
    </row>
    <row r="1133" spans="1:10" ht="20" customHeight="1" thickBot="1">
      <c r="A1133" s="28" t="s">
        <v>5270</v>
      </c>
      <c r="B1133" s="28" t="s">
        <v>5270</v>
      </c>
      <c r="C1133" s="28" t="s">
        <v>5271</v>
      </c>
      <c r="D1133" s="117">
        <v>15</v>
      </c>
      <c r="E1133" s="122" t="s">
        <v>27</v>
      </c>
      <c r="F1133" s="120" t="s">
        <v>63</v>
      </c>
      <c r="G1133" s="29">
        <v>41560</v>
      </c>
      <c r="H1133" s="28" t="s">
        <v>5272</v>
      </c>
      <c r="I1133" s="114" t="s">
        <v>12400</v>
      </c>
      <c r="J1133" s="114" t="s">
        <v>12401</v>
      </c>
    </row>
    <row r="1134" spans="1:10" ht="20" customHeight="1" thickBot="1">
      <c r="A1134" s="26" t="s">
        <v>5275</v>
      </c>
      <c r="B1134" s="26" t="s">
        <v>5275</v>
      </c>
      <c r="C1134" s="26" t="s">
        <v>5276</v>
      </c>
      <c r="D1134" s="116">
        <v>5</v>
      </c>
      <c r="E1134" s="122" t="s">
        <v>34</v>
      </c>
      <c r="F1134" s="119" t="s">
        <v>57</v>
      </c>
      <c r="G1134" s="27">
        <v>42458</v>
      </c>
      <c r="H1134" s="26" t="s">
        <v>5277</v>
      </c>
      <c r="I1134" s="113" t="s">
        <v>12400</v>
      </c>
      <c r="J1134" s="113" t="s">
        <v>12401</v>
      </c>
    </row>
    <row r="1135" spans="1:10" ht="20" customHeight="1" thickBot="1">
      <c r="A1135" s="28" t="s">
        <v>5280</v>
      </c>
      <c r="B1135" s="28" t="s">
        <v>5280</v>
      </c>
      <c r="C1135" s="28" t="s">
        <v>130</v>
      </c>
      <c r="D1135" s="117">
        <v>53</v>
      </c>
      <c r="E1135" s="122" t="s">
        <v>31</v>
      </c>
      <c r="F1135" s="120" t="s">
        <v>63</v>
      </c>
      <c r="G1135" s="29">
        <v>43695</v>
      </c>
      <c r="H1135" s="28" t="s">
        <v>5281</v>
      </c>
      <c r="I1135" s="114" t="s">
        <v>12400</v>
      </c>
      <c r="J1135" s="114" t="s">
        <v>12401</v>
      </c>
    </row>
    <row r="1136" spans="1:10" ht="20" customHeight="1" thickBot="1">
      <c r="A1136" s="26" t="s">
        <v>5284</v>
      </c>
      <c r="B1136" s="26" t="s">
        <v>5284</v>
      </c>
      <c r="C1136" s="26" t="s">
        <v>5285</v>
      </c>
      <c r="D1136" s="116">
        <v>4</v>
      </c>
      <c r="E1136" s="122" t="s">
        <v>29</v>
      </c>
      <c r="F1136" s="119" t="s">
        <v>63</v>
      </c>
      <c r="G1136" s="27">
        <v>42111</v>
      </c>
      <c r="H1136" s="26" t="s">
        <v>5286</v>
      </c>
      <c r="I1136" s="113" t="s">
        <v>12400</v>
      </c>
      <c r="J1136" s="113" t="s">
        <v>12401</v>
      </c>
    </row>
    <row r="1137" spans="1:10" ht="20" customHeight="1" thickBot="1">
      <c r="A1137" s="28" t="s">
        <v>5289</v>
      </c>
      <c r="B1137" s="28" t="s">
        <v>5289</v>
      </c>
      <c r="C1137" s="28" t="s">
        <v>5290</v>
      </c>
      <c r="D1137" s="117">
        <v>5</v>
      </c>
      <c r="E1137" s="122" t="s">
        <v>29</v>
      </c>
      <c r="F1137" s="120" t="s">
        <v>63</v>
      </c>
      <c r="G1137" s="29">
        <v>42040</v>
      </c>
      <c r="H1137" s="28" t="s">
        <v>5291</v>
      </c>
      <c r="I1137" s="114" t="s">
        <v>12400</v>
      </c>
      <c r="J1137" s="114" t="s">
        <v>12401</v>
      </c>
    </row>
    <row r="1138" spans="1:10" ht="20" customHeight="1" thickBot="1">
      <c r="A1138" s="26" t="s">
        <v>5294</v>
      </c>
      <c r="B1138" s="26" t="s">
        <v>5294</v>
      </c>
      <c r="C1138" s="26" t="s">
        <v>5295</v>
      </c>
      <c r="D1138" s="116">
        <v>4</v>
      </c>
      <c r="E1138" s="122" t="s">
        <v>29</v>
      </c>
      <c r="F1138" s="119" t="s">
        <v>63</v>
      </c>
      <c r="G1138" s="27">
        <v>42314</v>
      </c>
      <c r="H1138" s="26" t="s">
        <v>5296</v>
      </c>
      <c r="I1138" s="113" t="s">
        <v>12400</v>
      </c>
      <c r="J1138" s="113" t="s">
        <v>12401</v>
      </c>
    </row>
    <row r="1139" spans="1:10" ht="20" customHeight="1" thickBot="1">
      <c r="A1139" s="28" t="s">
        <v>5299</v>
      </c>
      <c r="B1139" s="28" t="s">
        <v>5299</v>
      </c>
      <c r="C1139" s="28" t="s">
        <v>5300</v>
      </c>
      <c r="D1139" s="117">
        <v>23</v>
      </c>
      <c r="E1139" s="122" t="s">
        <v>27</v>
      </c>
      <c r="F1139" s="120" t="s">
        <v>63</v>
      </c>
      <c r="G1139" s="29">
        <v>42512</v>
      </c>
      <c r="H1139" s="28" t="s">
        <v>5301</v>
      </c>
      <c r="I1139" s="114" t="s">
        <v>12400</v>
      </c>
      <c r="J1139" s="114" t="s">
        <v>12401</v>
      </c>
    </row>
    <row r="1140" spans="1:10" ht="20" customHeight="1" thickBot="1">
      <c r="A1140" s="26" t="s">
        <v>5304</v>
      </c>
      <c r="B1140" s="26" t="s">
        <v>5304</v>
      </c>
      <c r="C1140" s="26" t="s">
        <v>5204</v>
      </c>
      <c r="D1140" s="116">
        <v>8</v>
      </c>
      <c r="E1140" s="122" t="s">
        <v>29</v>
      </c>
      <c r="F1140" s="119" t="s">
        <v>63</v>
      </c>
      <c r="G1140" s="27">
        <v>42311</v>
      </c>
      <c r="H1140" s="26" t="s">
        <v>5305</v>
      </c>
      <c r="I1140" s="113" t="s">
        <v>12400</v>
      </c>
      <c r="J1140" s="113" t="s">
        <v>12401</v>
      </c>
    </row>
    <row r="1141" spans="1:10" ht="20" customHeight="1" thickBot="1">
      <c r="A1141" s="28" t="s">
        <v>5308</v>
      </c>
      <c r="B1141" s="28" t="s">
        <v>5308</v>
      </c>
      <c r="C1141" s="28" t="s">
        <v>3143</v>
      </c>
      <c r="D1141" s="117">
        <v>35</v>
      </c>
      <c r="E1141" s="122" t="s">
        <v>31</v>
      </c>
      <c r="F1141" s="120" t="s">
        <v>57</v>
      </c>
      <c r="G1141" s="29">
        <v>43785</v>
      </c>
      <c r="H1141" s="28" t="s">
        <v>5309</v>
      </c>
      <c r="I1141" s="114" t="s">
        <v>12400</v>
      </c>
      <c r="J1141" s="114" t="s">
        <v>12401</v>
      </c>
    </row>
    <row r="1142" spans="1:10" ht="20" customHeight="1" thickBot="1">
      <c r="A1142" s="26" t="s">
        <v>5312</v>
      </c>
      <c r="B1142" s="26" t="s">
        <v>5312</v>
      </c>
      <c r="C1142" s="26" t="s">
        <v>5313</v>
      </c>
      <c r="D1142" s="116">
        <v>21</v>
      </c>
      <c r="E1142" s="122" t="s">
        <v>29</v>
      </c>
      <c r="F1142" s="119" t="s">
        <v>63</v>
      </c>
      <c r="G1142" s="27">
        <v>43157</v>
      </c>
      <c r="H1142" s="26" t="s">
        <v>5314</v>
      </c>
      <c r="I1142" s="113" t="s">
        <v>12400</v>
      </c>
      <c r="J1142" s="113" t="s">
        <v>12401</v>
      </c>
    </row>
    <row r="1143" spans="1:10" ht="20" customHeight="1" thickBot="1">
      <c r="A1143" s="28" t="s">
        <v>5317</v>
      </c>
      <c r="B1143" s="28" t="s">
        <v>5317</v>
      </c>
      <c r="C1143" s="28" t="s">
        <v>1464</v>
      </c>
      <c r="D1143" s="117">
        <v>5</v>
      </c>
      <c r="E1143" s="122" t="s">
        <v>31</v>
      </c>
      <c r="F1143" s="120" t="s">
        <v>57</v>
      </c>
      <c r="G1143" s="29">
        <v>45654</v>
      </c>
      <c r="H1143" s="28" t="s">
        <v>5318</v>
      </c>
      <c r="I1143" s="114" t="s">
        <v>12400</v>
      </c>
      <c r="J1143" s="114" t="s">
        <v>12401</v>
      </c>
    </row>
    <row r="1144" spans="1:10" ht="20" customHeight="1" thickBot="1">
      <c r="A1144" s="26" t="s">
        <v>5321</v>
      </c>
      <c r="B1144" s="26" t="s">
        <v>5321</v>
      </c>
      <c r="C1144" s="26" t="s">
        <v>1464</v>
      </c>
      <c r="D1144" s="116">
        <v>5</v>
      </c>
      <c r="E1144" s="122" t="s">
        <v>31</v>
      </c>
      <c r="F1144" s="119" t="s">
        <v>57</v>
      </c>
      <c r="G1144" s="27">
        <v>45990</v>
      </c>
      <c r="H1144" s="26" t="s">
        <v>5322</v>
      </c>
      <c r="I1144" s="113" t="s">
        <v>12400</v>
      </c>
      <c r="J1144" s="113" t="s">
        <v>12401</v>
      </c>
    </row>
    <row r="1145" spans="1:10" ht="20" customHeight="1" thickBot="1">
      <c r="A1145" s="28" t="s">
        <v>5325</v>
      </c>
      <c r="B1145" s="28" t="s">
        <v>5325</v>
      </c>
      <c r="C1145" s="28" t="s">
        <v>1464</v>
      </c>
      <c r="D1145" s="117">
        <v>10</v>
      </c>
      <c r="E1145" s="122" t="s">
        <v>31</v>
      </c>
      <c r="F1145" s="120" t="s">
        <v>57</v>
      </c>
      <c r="G1145" s="29">
        <v>45455</v>
      </c>
      <c r="H1145" s="28" t="s">
        <v>5326</v>
      </c>
      <c r="I1145" s="114" t="s">
        <v>12400</v>
      </c>
      <c r="J1145" s="114" t="s">
        <v>12401</v>
      </c>
    </row>
    <row r="1146" spans="1:10" ht="20" customHeight="1" thickBot="1">
      <c r="A1146" s="26" t="s">
        <v>5329</v>
      </c>
      <c r="B1146" s="26" t="s">
        <v>5329</v>
      </c>
      <c r="C1146" s="26" t="s">
        <v>1464</v>
      </c>
      <c r="D1146" s="116">
        <v>16</v>
      </c>
      <c r="E1146" s="122" t="s">
        <v>31</v>
      </c>
      <c r="F1146" s="119" t="s">
        <v>57</v>
      </c>
      <c r="G1146" s="27">
        <v>45569</v>
      </c>
      <c r="H1146" s="26" t="s">
        <v>5330</v>
      </c>
      <c r="I1146" s="113" t="s">
        <v>12400</v>
      </c>
      <c r="J1146" s="113" t="s">
        <v>12401</v>
      </c>
    </row>
    <row r="1147" spans="1:10" ht="20" customHeight="1" thickBot="1">
      <c r="A1147" s="28" t="s">
        <v>5333</v>
      </c>
      <c r="B1147" s="28" t="s">
        <v>5333</v>
      </c>
      <c r="C1147" s="28" t="s">
        <v>1464</v>
      </c>
      <c r="D1147" s="117">
        <v>13</v>
      </c>
      <c r="E1147" s="122" t="s">
        <v>31</v>
      </c>
      <c r="F1147" s="120" t="s">
        <v>57</v>
      </c>
      <c r="G1147" s="29">
        <v>45869</v>
      </c>
      <c r="H1147" s="28" t="s">
        <v>5334</v>
      </c>
      <c r="I1147" s="114" t="s">
        <v>12400</v>
      </c>
      <c r="J1147" s="114" t="s">
        <v>12401</v>
      </c>
    </row>
    <row r="1148" spans="1:10" ht="20" customHeight="1" thickBot="1">
      <c r="A1148" s="26" t="s">
        <v>5337</v>
      </c>
      <c r="B1148" s="26" t="s">
        <v>5337</v>
      </c>
      <c r="C1148" s="26" t="s">
        <v>4227</v>
      </c>
      <c r="D1148" s="116">
        <v>22</v>
      </c>
      <c r="E1148" s="122" t="s">
        <v>29</v>
      </c>
      <c r="F1148" s="119" t="s">
        <v>63</v>
      </c>
      <c r="G1148" s="27">
        <v>42294</v>
      </c>
      <c r="H1148" s="26" t="s">
        <v>5338</v>
      </c>
      <c r="I1148" s="113" t="s">
        <v>12400</v>
      </c>
      <c r="J1148" s="113" t="s">
        <v>12401</v>
      </c>
    </row>
    <row r="1149" spans="1:10" ht="20" customHeight="1" thickBot="1">
      <c r="A1149" s="28" t="s">
        <v>5341</v>
      </c>
      <c r="B1149" s="28" t="s">
        <v>5341</v>
      </c>
      <c r="C1149" s="28" t="s">
        <v>4137</v>
      </c>
      <c r="D1149" s="117">
        <v>80</v>
      </c>
      <c r="E1149" s="122" t="s">
        <v>33</v>
      </c>
      <c r="F1149" s="120" t="s">
        <v>63</v>
      </c>
      <c r="G1149" s="29">
        <v>42336</v>
      </c>
      <c r="H1149" s="28" t="s">
        <v>5342</v>
      </c>
      <c r="I1149" s="114" t="s">
        <v>12400</v>
      </c>
      <c r="J1149" s="114" t="s">
        <v>12401</v>
      </c>
    </row>
    <row r="1150" spans="1:10" ht="20" customHeight="1" thickBot="1">
      <c r="A1150" s="26" t="s">
        <v>5345</v>
      </c>
      <c r="B1150" s="26" t="s">
        <v>5345</v>
      </c>
      <c r="C1150" s="26" t="s">
        <v>1804</v>
      </c>
      <c r="D1150" s="116">
        <v>6</v>
      </c>
      <c r="E1150" s="122" t="s">
        <v>33</v>
      </c>
      <c r="F1150" s="119" t="s">
        <v>63</v>
      </c>
      <c r="G1150" s="27">
        <v>44601</v>
      </c>
      <c r="H1150" s="26" t="s">
        <v>5346</v>
      </c>
      <c r="I1150" s="113" t="s">
        <v>12400</v>
      </c>
      <c r="J1150" s="113" t="s">
        <v>12401</v>
      </c>
    </row>
    <row r="1151" spans="1:10" ht="20" customHeight="1" thickBot="1">
      <c r="A1151" s="28" t="s">
        <v>5349</v>
      </c>
      <c r="B1151" s="28" t="s">
        <v>5349</v>
      </c>
      <c r="C1151" s="28" t="s">
        <v>1804</v>
      </c>
      <c r="D1151" s="117">
        <v>8</v>
      </c>
      <c r="E1151" s="122" t="s">
        <v>33</v>
      </c>
      <c r="F1151" s="120" t="s">
        <v>63</v>
      </c>
      <c r="G1151" s="29">
        <v>44565</v>
      </c>
      <c r="H1151" s="28" t="s">
        <v>5350</v>
      </c>
      <c r="I1151" s="114" t="s">
        <v>12400</v>
      </c>
      <c r="J1151" s="114" t="s">
        <v>12401</v>
      </c>
    </row>
    <row r="1152" spans="1:10" ht="20" customHeight="1" thickBot="1">
      <c r="A1152" s="26" t="s">
        <v>5353</v>
      </c>
      <c r="B1152" s="26" t="s">
        <v>5353</v>
      </c>
      <c r="C1152" s="26" t="s">
        <v>1804</v>
      </c>
      <c r="D1152" s="116">
        <v>8</v>
      </c>
      <c r="E1152" s="122" t="s">
        <v>34</v>
      </c>
      <c r="F1152" s="119" t="s">
        <v>57</v>
      </c>
      <c r="G1152" s="27">
        <v>45811</v>
      </c>
      <c r="H1152" s="26" t="s">
        <v>5354</v>
      </c>
      <c r="I1152" s="113" t="s">
        <v>12400</v>
      </c>
      <c r="J1152" s="113" t="s">
        <v>12401</v>
      </c>
    </row>
    <row r="1153" spans="1:10" ht="20" customHeight="1" thickBot="1">
      <c r="A1153" s="28" t="s">
        <v>5357</v>
      </c>
      <c r="B1153" s="28" t="s">
        <v>5357</v>
      </c>
      <c r="C1153" s="28" t="s">
        <v>1804</v>
      </c>
      <c r="D1153" s="117">
        <v>5</v>
      </c>
      <c r="E1153" s="122" t="s">
        <v>33</v>
      </c>
      <c r="F1153" s="120" t="s">
        <v>63</v>
      </c>
      <c r="G1153" s="29">
        <v>44390</v>
      </c>
      <c r="H1153" s="28" t="s">
        <v>5358</v>
      </c>
      <c r="I1153" s="114" t="s">
        <v>12400</v>
      </c>
      <c r="J1153" s="114" t="s">
        <v>12401</v>
      </c>
    </row>
    <row r="1154" spans="1:10" ht="20" customHeight="1" thickBot="1">
      <c r="A1154" s="26" t="s">
        <v>5361</v>
      </c>
      <c r="B1154" s="26" t="s">
        <v>5361</v>
      </c>
      <c r="C1154" s="26" t="s">
        <v>5362</v>
      </c>
      <c r="D1154" s="116">
        <v>35</v>
      </c>
      <c r="E1154" s="122" t="s">
        <v>29</v>
      </c>
      <c r="F1154" s="119" t="s">
        <v>63</v>
      </c>
      <c r="G1154" s="27">
        <v>44904</v>
      </c>
      <c r="H1154" s="26" t="s">
        <v>5363</v>
      </c>
      <c r="I1154" s="113" t="s">
        <v>12400</v>
      </c>
      <c r="J1154" s="113" t="s">
        <v>12401</v>
      </c>
    </row>
    <row r="1155" spans="1:10" ht="20" customHeight="1" thickBot="1">
      <c r="A1155" s="28" t="s">
        <v>5366</v>
      </c>
      <c r="B1155" s="28" t="s">
        <v>5366</v>
      </c>
      <c r="C1155" s="28" t="s">
        <v>83</v>
      </c>
      <c r="D1155" s="117">
        <v>7</v>
      </c>
      <c r="E1155" s="122" t="s">
        <v>29</v>
      </c>
      <c r="F1155" s="120" t="s">
        <v>63</v>
      </c>
      <c r="G1155" s="29">
        <v>41644</v>
      </c>
      <c r="H1155" s="28" t="s">
        <v>5367</v>
      </c>
      <c r="I1155" s="114" t="s">
        <v>12400</v>
      </c>
      <c r="J1155" s="114" t="s">
        <v>12401</v>
      </c>
    </row>
    <row r="1156" spans="1:10" ht="20" customHeight="1" thickBot="1">
      <c r="A1156" s="26" t="s">
        <v>5370</v>
      </c>
      <c r="B1156" s="26" t="s">
        <v>5370</v>
      </c>
      <c r="C1156" s="26" t="s">
        <v>641</v>
      </c>
      <c r="D1156" s="116">
        <v>16</v>
      </c>
      <c r="E1156" s="122" t="s">
        <v>35</v>
      </c>
      <c r="F1156" s="119" t="s">
        <v>57</v>
      </c>
      <c r="G1156" s="27">
        <v>44586</v>
      </c>
      <c r="H1156" s="26" t="s">
        <v>5371</v>
      </c>
      <c r="I1156" s="113" t="s">
        <v>12400</v>
      </c>
      <c r="J1156" s="113" t="s">
        <v>12401</v>
      </c>
    </row>
    <row r="1157" spans="1:10" ht="20" customHeight="1" thickBot="1">
      <c r="A1157" s="28" t="s">
        <v>5374</v>
      </c>
      <c r="B1157" s="28" t="s">
        <v>5374</v>
      </c>
      <c r="C1157" s="28" t="s">
        <v>5375</v>
      </c>
      <c r="D1157" s="117">
        <v>62</v>
      </c>
      <c r="E1157" s="122" t="s">
        <v>35</v>
      </c>
      <c r="F1157" s="120" t="s">
        <v>57</v>
      </c>
      <c r="G1157" s="29">
        <v>45951</v>
      </c>
      <c r="H1157" s="28" t="s">
        <v>5376</v>
      </c>
      <c r="I1157" s="114" t="s">
        <v>12400</v>
      </c>
      <c r="J1157" s="114" t="s">
        <v>12401</v>
      </c>
    </row>
    <row r="1158" spans="1:10" ht="20" customHeight="1" thickBot="1">
      <c r="A1158" s="26" t="s">
        <v>5379</v>
      </c>
      <c r="B1158" s="26" t="s">
        <v>5379</v>
      </c>
      <c r="C1158" s="26" t="s">
        <v>1848</v>
      </c>
      <c r="D1158" s="116">
        <v>15</v>
      </c>
      <c r="E1158" s="122" t="s">
        <v>34</v>
      </c>
      <c r="F1158" s="119" t="s">
        <v>57</v>
      </c>
      <c r="G1158" s="27">
        <v>45673</v>
      </c>
      <c r="H1158" s="26" t="s">
        <v>5380</v>
      </c>
      <c r="I1158" s="113" t="s">
        <v>12400</v>
      </c>
      <c r="J1158" s="113" t="s">
        <v>12401</v>
      </c>
    </row>
    <row r="1159" spans="1:10" ht="20" customHeight="1" thickBot="1">
      <c r="A1159" s="28" t="s">
        <v>5383</v>
      </c>
      <c r="B1159" s="28" t="s">
        <v>5383</v>
      </c>
      <c r="C1159" s="28" t="s">
        <v>1848</v>
      </c>
      <c r="D1159" s="117">
        <v>15</v>
      </c>
      <c r="E1159" s="122" t="s">
        <v>35</v>
      </c>
      <c r="F1159" s="120" t="s">
        <v>57</v>
      </c>
      <c r="G1159" s="29">
        <v>45968</v>
      </c>
      <c r="H1159" s="28" t="s">
        <v>5384</v>
      </c>
      <c r="I1159" s="114" t="s">
        <v>12400</v>
      </c>
      <c r="J1159" s="114" t="s">
        <v>12401</v>
      </c>
    </row>
    <row r="1160" spans="1:10" ht="20" customHeight="1" thickBot="1">
      <c r="A1160" s="26" t="s">
        <v>5387</v>
      </c>
      <c r="B1160" s="26" t="s">
        <v>5387</v>
      </c>
      <c r="C1160" s="26" t="s">
        <v>5388</v>
      </c>
      <c r="D1160" s="116">
        <v>46</v>
      </c>
      <c r="E1160" s="122" t="s">
        <v>29</v>
      </c>
      <c r="F1160" s="119" t="s">
        <v>63</v>
      </c>
      <c r="G1160" s="27">
        <v>41590</v>
      </c>
      <c r="H1160" s="26" t="s">
        <v>5389</v>
      </c>
      <c r="I1160" s="113" t="s">
        <v>12400</v>
      </c>
      <c r="J1160" s="113" t="s">
        <v>12401</v>
      </c>
    </row>
    <row r="1161" spans="1:10" ht="20" customHeight="1" thickBot="1">
      <c r="A1161" s="28" t="s">
        <v>5392</v>
      </c>
      <c r="B1161" s="28" t="s">
        <v>5392</v>
      </c>
      <c r="C1161" s="28" t="s">
        <v>504</v>
      </c>
      <c r="D1161" s="117">
        <v>16</v>
      </c>
      <c r="E1161" s="122" t="s">
        <v>29</v>
      </c>
      <c r="F1161" s="120" t="s">
        <v>63</v>
      </c>
      <c r="G1161" s="29">
        <v>42209</v>
      </c>
      <c r="H1161" s="28" t="s">
        <v>5393</v>
      </c>
      <c r="I1161" s="114" t="s">
        <v>12400</v>
      </c>
      <c r="J1161" s="114" t="s">
        <v>12401</v>
      </c>
    </row>
    <row r="1162" spans="1:10" ht="20" customHeight="1" thickBot="1">
      <c r="A1162" s="26" t="s">
        <v>5396</v>
      </c>
      <c r="B1162" s="26" t="s">
        <v>5396</v>
      </c>
      <c r="C1162" s="26" t="s">
        <v>5397</v>
      </c>
      <c r="D1162" s="116">
        <v>6</v>
      </c>
      <c r="E1162" s="122" t="s">
        <v>31</v>
      </c>
      <c r="F1162" s="119" t="s">
        <v>63</v>
      </c>
      <c r="G1162" s="27">
        <v>45377</v>
      </c>
      <c r="H1162" s="26" t="s">
        <v>5398</v>
      </c>
      <c r="I1162" s="113" t="s">
        <v>12400</v>
      </c>
      <c r="J1162" s="113" t="s">
        <v>12401</v>
      </c>
    </row>
    <row r="1163" spans="1:10" ht="20" customHeight="1" thickBot="1">
      <c r="A1163" s="28" t="s">
        <v>5401</v>
      </c>
      <c r="B1163" s="28" t="s">
        <v>5401</v>
      </c>
      <c r="C1163" s="28" t="s">
        <v>5402</v>
      </c>
      <c r="D1163" s="117">
        <v>11</v>
      </c>
      <c r="E1163" s="122" t="s">
        <v>31</v>
      </c>
      <c r="F1163" s="120" t="s">
        <v>63</v>
      </c>
      <c r="G1163" s="29">
        <v>45022</v>
      </c>
      <c r="H1163" s="28" t="s">
        <v>5403</v>
      </c>
      <c r="I1163" s="114" t="s">
        <v>12400</v>
      </c>
      <c r="J1163" s="114" t="s">
        <v>12401</v>
      </c>
    </row>
    <row r="1164" spans="1:10" ht="20" customHeight="1" thickBot="1">
      <c r="A1164" s="26" t="s">
        <v>5406</v>
      </c>
      <c r="B1164" s="26" t="s">
        <v>5406</v>
      </c>
      <c r="C1164" s="26" t="s">
        <v>5407</v>
      </c>
      <c r="D1164" s="116">
        <v>6</v>
      </c>
      <c r="E1164" s="122" t="s">
        <v>27</v>
      </c>
      <c r="F1164" s="119" t="s">
        <v>63</v>
      </c>
      <c r="G1164" s="27">
        <v>42252</v>
      </c>
      <c r="H1164" s="26" t="s">
        <v>5408</v>
      </c>
      <c r="I1164" s="113" t="s">
        <v>12400</v>
      </c>
      <c r="J1164" s="113" t="s">
        <v>12401</v>
      </c>
    </row>
    <row r="1165" spans="1:10" ht="20" customHeight="1" thickBot="1">
      <c r="A1165" s="28" t="s">
        <v>5411</v>
      </c>
      <c r="B1165" s="28" t="s">
        <v>5411</v>
      </c>
      <c r="C1165" s="28" t="s">
        <v>5412</v>
      </c>
      <c r="D1165" s="117">
        <v>15</v>
      </c>
      <c r="E1165" s="122" t="s">
        <v>29</v>
      </c>
      <c r="F1165" s="120" t="s">
        <v>63</v>
      </c>
      <c r="G1165" s="29">
        <v>42213</v>
      </c>
      <c r="H1165" s="28" t="s">
        <v>5413</v>
      </c>
      <c r="I1165" s="114" t="s">
        <v>12400</v>
      </c>
      <c r="J1165" s="114" t="s">
        <v>12401</v>
      </c>
    </row>
    <row r="1166" spans="1:10" ht="20" customHeight="1" thickBot="1">
      <c r="A1166" s="26" t="s">
        <v>5416</v>
      </c>
      <c r="B1166" s="26" t="s">
        <v>5416</v>
      </c>
      <c r="C1166" s="26" t="s">
        <v>5417</v>
      </c>
      <c r="D1166" s="116">
        <v>77</v>
      </c>
      <c r="E1166" s="122" t="s">
        <v>31</v>
      </c>
      <c r="F1166" s="119" t="s">
        <v>63</v>
      </c>
      <c r="G1166" s="27">
        <v>45438</v>
      </c>
      <c r="H1166" s="26" t="s">
        <v>5418</v>
      </c>
      <c r="I1166" s="113" t="s">
        <v>12400</v>
      </c>
      <c r="J1166" s="113" t="s">
        <v>12401</v>
      </c>
    </row>
    <row r="1167" spans="1:10" ht="20" customHeight="1" thickBot="1">
      <c r="A1167" s="28" t="s">
        <v>5421</v>
      </c>
      <c r="B1167" s="28" t="s">
        <v>5421</v>
      </c>
      <c r="C1167" s="28" t="s">
        <v>5417</v>
      </c>
      <c r="D1167" s="117">
        <v>59</v>
      </c>
      <c r="E1167" s="122" t="s">
        <v>29</v>
      </c>
      <c r="F1167" s="120" t="s">
        <v>63</v>
      </c>
      <c r="G1167" s="29">
        <v>43281</v>
      </c>
      <c r="H1167" s="28" t="s">
        <v>5422</v>
      </c>
      <c r="I1167" s="114" t="s">
        <v>12400</v>
      </c>
      <c r="J1167" s="114" t="s">
        <v>12401</v>
      </c>
    </row>
    <row r="1168" spans="1:10" ht="20" customHeight="1" thickBot="1">
      <c r="A1168" s="26" t="s">
        <v>5425</v>
      </c>
      <c r="B1168" s="26" t="s">
        <v>5426</v>
      </c>
      <c r="C1168" s="26" t="s">
        <v>5427</v>
      </c>
      <c r="D1168" s="116">
        <v>8</v>
      </c>
      <c r="E1168" s="122" t="s">
        <v>27</v>
      </c>
      <c r="F1168" s="119" t="s">
        <v>63</v>
      </c>
      <c r="G1168" s="27">
        <v>42221</v>
      </c>
      <c r="H1168" s="26" t="s">
        <v>5428</v>
      </c>
      <c r="I1168" s="113" t="s">
        <v>12400</v>
      </c>
      <c r="J1168" s="113" t="s">
        <v>12401</v>
      </c>
    </row>
    <row r="1169" spans="1:10" ht="20" customHeight="1" thickBot="1">
      <c r="A1169" s="28" t="s">
        <v>5431</v>
      </c>
      <c r="B1169" s="28" t="s">
        <v>5426</v>
      </c>
      <c r="C1169" s="28" t="s">
        <v>2401</v>
      </c>
      <c r="D1169" s="117">
        <v>27</v>
      </c>
      <c r="E1169" s="122" t="s">
        <v>29</v>
      </c>
      <c r="F1169" s="120" t="s">
        <v>63</v>
      </c>
      <c r="G1169" s="29">
        <v>42237</v>
      </c>
      <c r="H1169" s="28" t="s">
        <v>5432</v>
      </c>
      <c r="I1169" s="114" t="s">
        <v>12400</v>
      </c>
      <c r="J1169" s="114" t="s">
        <v>12401</v>
      </c>
    </row>
    <row r="1170" spans="1:10" ht="20" customHeight="1" thickBot="1">
      <c r="A1170" s="26" t="s">
        <v>5435</v>
      </c>
      <c r="B1170" s="26" t="s">
        <v>5435</v>
      </c>
      <c r="C1170" s="26" t="s">
        <v>2401</v>
      </c>
      <c r="D1170" s="116">
        <v>6</v>
      </c>
      <c r="E1170" s="122" t="s">
        <v>27</v>
      </c>
      <c r="F1170" s="119" t="s">
        <v>63</v>
      </c>
      <c r="G1170" s="27">
        <v>42587</v>
      </c>
      <c r="H1170" s="26" t="s">
        <v>5436</v>
      </c>
      <c r="I1170" s="113" t="s">
        <v>12400</v>
      </c>
      <c r="J1170" s="113" t="s">
        <v>12401</v>
      </c>
    </row>
    <row r="1171" spans="1:10" ht="20" customHeight="1" thickBot="1">
      <c r="A1171" s="28" t="s">
        <v>5439</v>
      </c>
      <c r="B1171" s="28" t="s">
        <v>5439</v>
      </c>
      <c r="C1171" s="28" t="s">
        <v>5440</v>
      </c>
      <c r="D1171" s="117">
        <v>1</v>
      </c>
      <c r="E1171" s="122" t="s">
        <v>31</v>
      </c>
      <c r="F1171" s="120" t="s">
        <v>63</v>
      </c>
      <c r="G1171" s="29">
        <v>42005</v>
      </c>
      <c r="H1171" s="28" t="s">
        <v>5441</v>
      </c>
      <c r="I1171" s="114" t="s">
        <v>12400</v>
      </c>
      <c r="J1171" s="114" t="s">
        <v>12401</v>
      </c>
    </row>
    <row r="1172" spans="1:10" ht="20" customHeight="1" thickBot="1">
      <c r="A1172" s="26" t="s">
        <v>5444</v>
      </c>
      <c r="B1172" s="26" t="s">
        <v>5444</v>
      </c>
      <c r="C1172" s="26" t="s">
        <v>278</v>
      </c>
      <c r="D1172" s="116">
        <v>17</v>
      </c>
      <c r="E1172" s="122" t="s">
        <v>33</v>
      </c>
      <c r="F1172" s="119" t="s">
        <v>57</v>
      </c>
      <c r="G1172" s="27">
        <v>45182</v>
      </c>
      <c r="H1172" s="26" t="s">
        <v>5445</v>
      </c>
      <c r="I1172" s="113" t="s">
        <v>12400</v>
      </c>
      <c r="J1172" s="113" t="s">
        <v>12401</v>
      </c>
    </row>
    <row r="1173" spans="1:10" ht="20" customHeight="1" thickBot="1">
      <c r="A1173" s="28" t="s">
        <v>5448</v>
      </c>
      <c r="B1173" s="28" t="s">
        <v>5448</v>
      </c>
      <c r="C1173" s="28" t="s">
        <v>2359</v>
      </c>
      <c r="D1173" s="117">
        <v>19</v>
      </c>
      <c r="E1173" s="122" t="s">
        <v>34</v>
      </c>
      <c r="F1173" s="120" t="s">
        <v>57</v>
      </c>
      <c r="G1173" s="29">
        <v>45399</v>
      </c>
      <c r="H1173" s="28" t="s">
        <v>5449</v>
      </c>
      <c r="I1173" s="114" t="s">
        <v>12400</v>
      </c>
      <c r="J1173" s="114" t="s">
        <v>12401</v>
      </c>
    </row>
    <row r="1174" spans="1:10" ht="20" customHeight="1" thickBot="1">
      <c r="A1174" s="26" t="s">
        <v>5452</v>
      </c>
      <c r="B1174" s="26" t="s">
        <v>5452</v>
      </c>
      <c r="C1174" s="26" t="s">
        <v>646</v>
      </c>
      <c r="D1174" s="116">
        <v>10</v>
      </c>
      <c r="E1174" s="122" t="s">
        <v>35</v>
      </c>
      <c r="F1174" s="119" t="s">
        <v>57</v>
      </c>
      <c r="G1174" s="27">
        <v>45022</v>
      </c>
      <c r="H1174" s="26" t="s">
        <v>5453</v>
      </c>
      <c r="I1174" s="113" t="s">
        <v>12400</v>
      </c>
      <c r="J1174" s="113" t="s">
        <v>12401</v>
      </c>
    </row>
    <row r="1175" spans="1:10" ht="20" customHeight="1" thickBot="1">
      <c r="A1175" s="28" t="s">
        <v>5456</v>
      </c>
      <c r="B1175" s="28" t="s">
        <v>5456</v>
      </c>
      <c r="C1175" s="28" t="s">
        <v>1976</v>
      </c>
      <c r="D1175" s="117">
        <v>7</v>
      </c>
      <c r="E1175" s="122" t="s">
        <v>33</v>
      </c>
      <c r="F1175" s="120" t="s">
        <v>57</v>
      </c>
      <c r="G1175" s="29">
        <v>44502</v>
      </c>
      <c r="H1175" s="28" t="s">
        <v>5457</v>
      </c>
      <c r="I1175" s="114" t="s">
        <v>12400</v>
      </c>
      <c r="J1175" s="114" t="s">
        <v>12401</v>
      </c>
    </row>
    <row r="1176" spans="1:10" ht="20" customHeight="1" thickBot="1">
      <c r="A1176" s="26" t="s">
        <v>5460</v>
      </c>
      <c r="B1176" s="26" t="s">
        <v>5460</v>
      </c>
      <c r="C1176" s="26" t="s">
        <v>5461</v>
      </c>
      <c r="D1176" s="116">
        <v>0</v>
      </c>
      <c r="E1176" s="122" t="s">
        <v>29</v>
      </c>
      <c r="F1176" s="119" t="s">
        <v>63</v>
      </c>
      <c r="G1176" s="27">
        <v>42113</v>
      </c>
      <c r="H1176" s="26" t="s">
        <v>5462</v>
      </c>
      <c r="I1176" s="113" t="s">
        <v>12400</v>
      </c>
      <c r="J1176" s="113" t="s">
        <v>12401</v>
      </c>
    </row>
    <row r="1177" spans="1:10" ht="20" customHeight="1" thickBot="1">
      <c r="A1177" s="28" t="s">
        <v>5465</v>
      </c>
      <c r="B1177" s="28" t="s">
        <v>5465</v>
      </c>
      <c r="C1177" s="28" t="s">
        <v>5466</v>
      </c>
      <c r="D1177" s="117">
        <v>25</v>
      </c>
      <c r="E1177" s="122" t="s">
        <v>33</v>
      </c>
      <c r="F1177" s="120" t="s">
        <v>57</v>
      </c>
      <c r="G1177" s="29">
        <v>45350</v>
      </c>
      <c r="H1177" s="28" t="s">
        <v>5467</v>
      </c>
      <c r="I1177" s="114" t="s">
        <v>12400</v>
      </c>
      <c r="J1177" s="114" t="s">
        <v>12401</v>
      </c>
    </row>
    <row r="1178" spans="1:10" ht="20" customHeight="1" thickBot="1">
      <c r="A1178" s="26" t="s">
        <v>5470</v>
      </c>
      <c r="B1178" s="26" t="s">
        <v>5470</v>
      </c>
      <c r="C1178" s="26" t="s">
        <v>5471</v>
      </c>
      <c r="D1178" s="116">
        <v>7</v>
      </c>
      <c r="E1178" s="122" t="s">
        <v>36</v>
      </c>
      <c r="F1178" s="119" t="s">
        <v>57</v>
      </c>
      <c r="G1178" s="27">
        <v>44148</v>
      </c>
      <c r="H1178" s="26" t="s">
        <v>5472</v>
      </c>
      <c r="I1178" s="113" t="s">
        <v>12400</v>
      </c>
      <c r="J1178" s="113" t="s">
        <v>12401</v>
      </c>
    </row>
    <row r="1179" spans="1:10" ht="20" customHeight="1" thickBot="1">
      <c r="A1179" s="28" t="s">
        <v>5475</v>
      </c>
      <c r="B1179" s="28" t="s">
        <v>5475</v>
      </c>
      <c r="C1179" s="28" t="s">
        <v>2706</v>
      </c>
      <c r="D1179" s="117">
        <v>26</v>
      </c>
      <c r="E1179" s="122" t="s">
        <v>34</v>
      </c>
      <c r="F1179" s="120" t="s">
        <v>57</v>
      </c>
      <c r="G1179" s="29">
        <v>45436</v>
      </c>
      <c r="H1179" s="28" t="s">
        <v>5476</v>
      </c>
      <c r="I1179" s="114" t="s">
        <v>12400</v>
      </c>
      <c r="J1179" s="114" t="s">
        <v>12401</v>
      </c>
    </row>
    <row r="1180" spans="1:10" ht="20" customHeight="1" thickBot="1">
      <c r="A1180" s="26" t="s">
        <v>5479</v>
      </c>
      <c r="B1180" s="26" t="s">
        <v>5479</v>
      </c>
      <c r="C1180" s="26" t="s">
        <v>5480</v>
      </c>
      <c r="D1180" s="116">
        <v>12</v>
      </c>
      <c r="E1180" s="122" t="s">
        <v>35</v>
      </c>
      <c r="F1180" s="119" t="s">
        <v>57</v>
      </c>
      <c r="G1180" s="27">
        <v>44373</v>
      </c>
      <c r="H1180" s="26" t="s">
        <v>5481</v>
      </c>
      <c r="I1180" s="113" t="s">
        <v>12400</v>
      </c>
      <c r="J1180" s="113" t="s">
        <v>12401</v>
      </c>
    </row>
    <row r="1181" spans="1:10" ht="20" customHeight="1" thickBot="1">
      <c r="A1181" s="28" t="s">
        <v>5484</v>
      </c>
      <c r="B1181" s="28" t="s">
        <v>5484</v>
      </c>
      <c r="C1181" s="28" t="s">
        <v>2165</v>
      </c>
      <c r="D1181" s="117">
        <v>0</v>
      </c>
      <c r="E1181" s="122" t="s">
        <v>33</v>
      </c>
      <c r="F1181" s="120" t="s">
        <v>57</v>
      </c>
      <c r="G1181" s="29">
        <v>44370</v>
      </c>
      <c r="H1181" s="28" t="s">
        <v>5485</v>
      </c>
      <c r="I1181" s="114" t="s">
        <v>12400</v>
      </c>
      <c r="J1181" s="114" t="s">
        <v>12401</v>
      </c>
    </row>
    <row r="1182" spans="1:10" ht="20" customHeight="1" thickBot="1">
      <c r="A1182" s="26" t="s">
        <v>5488</v>
      </c>
      <c r="B1182" s="26" t="s">
        <v>5488</v>
      </c>
      <c r="C1182" s="26" t="s">
        <v>3315</v>
      </c>
      <c r="D1182" s="116">
        <v>12</v>
      </c>
      <c r="E1182" s="122" t="s">
        <v>35</v>
      </c>
      <c r="F1182" s="119" t="s">
        <v>3138</v>
      </c>
      <c r="G1182" s="27">
        <v>44145</v>
      </c>
      <c r="H1182" s="26" t="s">
        <v>5489</v>
      </c>
      <c r="I1182" s="113" t="s">
        <v>12400</v>
      </c>
      <c r="J1182" s="113" t="s">
        <v>12401</v>
      </c>
    </row>
    <row r="1183" spans="1:10" ht="20" customHeight="1" thickBot="1">
      <c r="A1183" s="28" t="s">
        <v>5492</v>
      </c>
      <c r="B1183" s="28" t="s">
        <v>5492</v>
      </c>
      <c r="C1183" s="28" t="s">
        <v>4217</v>
      </c>
      <c r="D1183" s="117">
        <v>8</v>
      </c>
      <c r="E1183" s="122" t="s">
        <v>29</v>
      </c>
      <c r="F1183" s="120" t="s">
        <v>63</v>
      </c>
      <c r="G1183" s="29">
        <v>44873</v>
      </c>
      <c r="H1183" s="28" t="s">
        <v>5493</v>
      </c>
      <c r="I1183" s="114" t="s">
        <v>12400</v>
      </c>
      <c r="J1183" s="114" t="s">
        <v>12401</v>
      </c>
    </row>
    <row r="1184" spans="1:10" ht="20" customHeight="1" thickBot="1">
      <c r="A1184" s="26" t="s">
        <v>5496</v>
      </c>
      <c r="B1184" s="26" t="s">
        <v>5496</v>
      </c>
      <c r="C1184" s="26" t="s">
        <v>5497</v>
      </c>
      <c r="D1184" s="116">
        <v>4</v>
      </c>
      <c r="E1184" s="122" t="s">
        <v>31</v>
      </c>
      <c r="F1184" s="119" t="s">
        <v>57</v>
      </c>
      <c r="G1184" s="27">
        <v>44944</v>
      </c>
      <c r="H1184" s="26" t="s">
        <v>5498</v>
      </c>
      <c r="I1184" s="113" t="s">
        <v>12400</v>
      </c>
      <c r="J1184" s="113" t="s">
        <v>12401</v>
      </c>
    </row>
    <row r="1185" spans="1:10" ht="20" customHeight="1" thickBot="1">
      <c r="A1185" s="28" t="s">
        <v>5501</v>
      </c>
      <c r="B1185" s="28" t="s">
        <v>5501</v>
      </c>
      <c r="C1185" s="28" t="s">
        <v>2245</v>
      </c>
      <c r="D1185" s="117">
        <v>13</v>
      </c>
      <c r="E1185" s="122" t="s">
        <v>33</v>
      </c>
      <c r="F1185" s="120" t="s">
        <v>63</v>
      </c>
      <c r="G1185" s="29">
        <v>44134</v>
      </c>
      <c r="H1185" s="28" t="s">
        <v>5502</v>
      </c>
      <c r="I1185" s="114" t="s">
        <v>12400</v>
      </c>
      <c r="J1185" s="114" t="s">
        <v>12401</v>
      </c>
    </row>
    <row r="1186" spans="1:10" ht="20" customHeight="1" thickBot="1">
      <c r="A1186" s="26" t="s">
        <v>5505</v>
      </c>
      <c r="B1186" s="26" t="s">
        <v>5505</v>
      </c>
      <c r="C1186" s="26" t="s">
        <v>2030</v>
      </c>
      <c r="D1186" s="116">
        <v>6</v>
      </c>
      <c r="E1186" s="122" t="s">
        <v>33</v>
      </c>
      <c r="F1186" s="119" t="s">
        <v>63</v>
      </c>
      <c r="G1186" s="27">
        <v>45470</v>
      </c>
      <c r="H1186" s="26" t="s">
        <v>5506</v>
      </c>
      <c r="I1186" s="113" t="s">
        <v>12400</v>
      </c>
      <c r="J1186" s="113" t="s">
        <v>12401</v>
      </c>
    </row>
    <row r="1187" spans="1:10" ht="20" customHeight="1" thickBot="1">
      <c r="A1187" s="28" t="s">
        <v>5509</v>
      </c>
      <c r="B1187" s="28" t="s">
        <v>5509</v>
      </c>
      <c r="C1187" s="28" t="s">
        <v>2483</v>
      </c>
      <c r="D1187" s="117">
        <v>1</v>
      </c>
      <c r="E1187" s="122" t="s">
        <v>33</v>
      </c>
      <c r="F1187" s="120" t="s">
        <v>89</v>
      </c>
      <c r="G1187" s="29">
        <v>42772</v>
      </c>
      <c r="H1187" s="28" t="s">
        <v>5510</v>
      </c>
      <c r="I1187" s="114" t="s">
        <v>12400</v>
      </c>
      <c r="J1187" s="114" t="s">
        <v>12401</v>
      </c>
    </row>
    <row r="1188" spans="1:10" ht="20" customHeight="1" thickBot="1">
      <c r="A1188" s="26" t="s">
        <v>5513</v>
      </c>
      <c r="B1188" s="26" t="s">
        <v>5513</v>
      </c>
      <c r="C1188" s="26" t="s">
        <v>1996</v>
      </c>
      <c r="D1188" s="116">
        <v>13</v>
      </c>
      <c r="E1188" s="122" t="s">
        <v>29</v>
      </c>
      <c r="F1188" s="119" t="s">
        <v>63</v>
      </c>
      <c r="G1188" s="27">
        <v>42741</v>
      </c>
      <c r="H1188" s="26" t="s">
        <v>5514</v>
      </c>
      <c r="I1188" s="113" t="s">
        <v>12400</v>
      </c>
      <c r="J1188" s="113" t="s">
        <v>12401</v>
      </c>
    </row>
    <row r="1189" spans="1:10" ht="20" customHeight="1" thickBot="1">
      <c r="A1189" s="28" t="s">
        <v>5517</v>
      </c>
      <c r="B1189" s="28" t="s">
        <v>5517</v>
      </c>
      <c r="C1189" s="28" t="s">
        <v>5518</v>
      </c>
      <c r="D1189" s="117">
        <v>18</v>
      </c>
      <c r="E1189" s="122" t="s">
        <v>33</v>
      </c>
      <c r="F1189" s="120" t="s">
        <v>57</v>
      </c>
      <c r="G1189" s="29">
        <v>44183</v>
      </c>
      <c r="H1189" s="28" t="s">
        <v>5519</v>
      </c>
      <c r="I1189" s="114" t="s">
        <v>12400</v>
      </c>
      <c r="J1189" s="114" t="s">
        <v>12401</v>
      </c>
    </row>
    <row r="1190" spans="1:10" ht="20" customHeight="1" thickBot="1">
      <c r="A1190" s="26" t="s">
        <v>5522</v>
      </c>
      <c r="B1190" s="26" t="s">
        <v>5522</v>
      </c>
      <c r="C1190" s="26" t="s">
        <v>2573</v>
      </c>
      <c r="D1190" s="116">
        <v>10</v>
      </c>
      <c r="E1190" s="122" t="s">
        <v>35</v>
      </c>
      <c r="F1190" s="119" t="s">
        <v>57</v>
      </c>
      <c r="G1190" s="27">
        <v>45370</v>
      </c>
      <c r="H1190" s="26" t="s">
        <v>5523</v>
      </c>
      <c r="I1190" s="113" t="s">
        <v>12400</v>
      </c>
      <c r="J1190" s="113" t="s">
        <v>12401</v>
      </c>
    </row>
    <row r="1191" spans="1:10" ht="20" customHeight="1" thickBot="1">
      <c r="A1191" s="28" t="s">
        <v>5526</v>
      </c>
      <c r="B1191" s="28" t="s">
        <v>5526</v>
      </c>
      <c r="C1191" s="28" t="s">
        <v>2465</v>
      </c>
      <c r="D1191" s="117">
        <v>15</v>
      </c>
      <c r="E1191" s="122" t="s">
        <v>33</v>
      </c>
      <c r="F1191" s="120" t="s">
        <v>57</v>
      </c>
      <c r="G1191" s="29">
        <v>44054</v>
      </c>
      <c r="H1191" s="28" t="s">
        <v>5527</v>
      </c>
      <c r="I1191" s="114" t="s">
        <v>12400</v>
      </c>
      <c r="J1191" s="114" t="s">
        <v>12401</v>
      </c>
    </row>
    <row r="1192" spans="1:10" ht="20" customHeight="1" thickBot="1">
      <c r="A1192" s="26" t="s">
        <v>5530</v>
      </c>
      <c r="B1192" s="26" t="s">
        <v>5530</v>
      </c>
      <c r="C1192" s="26" t="s">
        <v>1932</v>
      </c>
      <c r="D1192" s="116">
        <v>3</v>
      </c>
      <c r="E1192" s="122" t="s">
        <v>35</v>
      </c>
      <c r="F1192" s="119" t="s">
        <v>57</v>
      </c>
      <c r="G1192" s="27">
        <v>45118</v>
      </c>
      <c r="H1192" s="26" t="s">
        <v>5531</v>
      </c>
      <c r="I1192" s="113" t="s">
        <v>12400</v>
      </c>
      <c r="J1192" s="113" t="s">
        <v>12401</v>
      </c>
    </row>
    <row r="1193" spans="1:10" ht="20" customHeight="1" thickBot="1">
      <c r="A1193" s="28" t="s">
        <v>5534</v>
      </c>
      <c r="B1193" s="28" t="s">
        <v>5534</v>
      </c>
      <c r="C1193" s="28" t="s">
        <v>5471</v>
      </c>
      <c r="D1193" s="117">
        <v>1</v>
      </c>
      <c r="E1193" s="122" t="s">
        <v>36</v>
      </c>
      <c r="F1193" s="120" t="s">
        <v>57</v>
      </c>
      <c r="G1193" s="29">
        <v>44467</v>
      </c>
      <c r="H1193" s="28" t="s">
        <v>5535</v>
      </c>
      <c r="I1193" s="114" t="s">
        <v>12400</v>
      </c>
      <c r="J1193" s="114" t="s">
        <v>12401</v>
      </c>
    </row>
    <row r="1194" spans="1:10" ht="20" customHeight="1" thickBot="1">
      <c r="A1194" s="26" t="s">
        <v>5538</v>
      </c>
      <c r="B1194" s="26" t="s">
        <v>5538</v>
      </c>
      <c r="C1194" s="26" t="s">
        <v>5539</v>
      </c>
      <c r="D1194" s="116">
        <v>5</v>
      </c>
      <c r="E1194" s="122" t="s">
        <v>31</v>
      </c>
      <c r="F1194" s="119" t="s">
        <v>115</v>
      </c>
      <c r="G1194" s="27">
        <v>43917</v>
      </c>
      <c r="H1194" s="26" t="s">
        <v>5540</v>
      </c>
      <c r="I1194" s="113" t="s">
        <v>12400</v>
      </c>
      <c r="J1194" s="113" t="s">
        <v>12401</v>
      </c>
    </row>
    <row r="1195" spans="1:10" ht="20" customHeight="1" thickBot="1">
      <c r="A1195" s="28" t="s">
        <v>5543</v>
      </c>
      <c r="B1195" s="28" t="s">
        <v>5543</v>
      </c>
      <c r="C1195" s="28" t="s">
        <v>243</v>
      </c>
      <c r="D1195" s="117">
        <v>6</v>
      </c>
      <c r="E1195" s="122" t="s">
        <v>29</v>
      </c>
      <c r="F1195" s="120" t="s">
        <v>63</v>
      </c>
      <c r="G1195" s="29">
        <v>43432</v>
      </c>
      <c r="H1195" s="28" t="s">
        <v>5544</v>
      </c>
      <c r="I1195" s="114" t="s">
        <v>12400</v>
      </c>
      <c r="J1195" s="114" t="s">
        <v>12401</v>
      </c>
    </row>
    <row r="1196" spans="1:10" ht="20" customHeight="1" thickBot="1">
      <c r="A1196" s="26" t="s">
        <v>5547</v>
      </c>
      <c r="B1196" s="26" t="s">
        <v>5547</v>
      </c>
      <c r="C1196" s="26" t="s">
        <v>243</v>
      </c>
      <c r="D1196" s="116">
        <v>12</v>
      </c>
      <c r="E1196" s="122" t="s">
        <v>29</v>
      </c>
      <c r="F1196" s="119" t="s">
        <v>63</v>
      </c>
      <c r="G1196" s="27">
        <v>43385</v>
      </c>
      <c r="H1196" s="26" t="s">
        <v>5548</v>
      </c>
      <c r="I1196" s="113" t="s">
        <v>12400</v>
      </c>
      <c r="J1196" s="113" t="s">
        <v>12401</v>
      </c>
    </row>
    <row r="1197" spans="1:10" ht="20" customHeight="1" thickBot="1">
      <c r="A1197" s="28" t="s">
        <v>5551</v>
      </c>
      <c r="B1197" s="28" t="s">
        <v>5551</v>
      </c>
      <c r="C1197" s="28" t="s">
        <v>243</v>
      </c>
      <c r="D1197" s="117">
        <v>10</v>
      </c>
      <c r="E1197" s="122" t="s">
        <v>29</v>
      </c>
      <c r="F1197" s="120" t="s">
        <v>63</v>
      </c>
      <c r="G1197" s="29">
        <v>43474</v>
      </c>
      <c r="H1197" s="28" t="s">
        <v>5552</v>
      </c>
      <c r="I1197" s="114" t="s">
        <v>12400</v>
      </c>
      <c r="J1197" s="114" t="s">
        <v>12401</v>
      </c>
    </row>
    <row r="1198" spans="1:10" ht="20" customHeight="1" thickBot="1">
      <c r="A1198" s="26" t="s">
        <v>5555</v>
      </c>
      <c r="B1198" s="26" t="s">
        <v>5555</v>
      </c>
      <c r="C1198" s="26" t="s">
        <v>243</v>
      </c>
      <c r="D1198" s="116">
        <v>11</v>
      </c>
      <c r="E1198" s="122" t="s">
        <v>29</v>
      </c>
      <c r="F1198" s="119" t="s">
        <v>63</v>
      </c>
      <c r="G1198" s="27">
        <v>43586</v>
      </c>
      <c r="H1198" s="26" t="s">
        <v>5556</v>
      </c>
      <c r="I1198" s="113" t="s">
        <v>12400</v>
      </c>
      <c r="J1198" s="113" t="s">
        <v>12401</v>
      </c>
    </row>
    <row r="1199" spans="1:10" ht="20" customHeight="1" thickBot="1">
      <c r="A1199" s="28" t="s">
        <v>5559</v>
      </c>
      <c r="B1199" s="28" t="s">
        <v>5559</v>
      </c>
      <c r="C1199" s="28" t="s">
        <v>2011</v>
      </c>
      <c r="D1199" s="117">
        <v>20</v>
      </c>
      <c r="E1199" s="122" t="s">
        <v>35</v>
      </c>
      <c r="F1199" s="120" t="s">
        <v>57</v>
      </c>
      <c r="G1199" s="29">
        <v>44208</v>
      </c>
      <c r="H1199" s="28" t="s">
        <v>5560</v>
      </c>
      <c r="I1199" s="114" t="s">
        <v>12400</v>
      </c>
      <c r="J1199" s="114" t="s">
        <v>12401</v>
      </c>
    </row>
    <row r="1200" spans="1:10" ht="20" customHeight="1" thickBot="1">
      <c r="A1200" s="26" t="s">
        <v>5563</v>
      </c>
      <c r="B1200" s="26" t="s">
        <v>5563</v>
      </c>
      <c r="C1200" s="26" t="s">
        <v>5564</v>
      </c>
      <c r="D1200" s="116">
        <v>40</v>
      </c>
      <c r="E1200" s="122" t="s">
        <v>29</v>
      </c>
      <c r="F1200" s="119" t="s">
        <v>2433</v>
      </c>
      <c r="G1200" s="27">
        <v>45537</v>
      </c>
      <c r="H1200" s="26" t="s">
        <v>5565</v>
      </c>
      <c r="I1200" s="113" t="s">
        <v>12400</v>
      </c>
      <c r="J1200" s="113" t="s">
        <v>12401</v>
      </c>
    </row>
    <row r="1201" spans="1:10" ht="20" customHeight="1" thickBot="1">
      <c r="A1201" s="28" t="s">
        <v>5568</v>
      </c>
      <c r="B1201" s="28" t="s">
        <v>5568</v>
      </c>
      <c r="C1201" s="28" t="s">
        <v>5569</v>
      </c>
      <c r="D1201" s="117">
        <v>43</v>
      </c>
      <c r="E1201" s="122" t="s">
        <v>33</v>
      </c>
      <c r="F1201" s="120" t="s">
        <v>63</v>
      </c>
      <c r="G1201" s="29">
        <v>43217</v>
      </c>
      <c r="H1201" s="28" t="s">
        <v>5570</v>
      </c>
      <c r="I1201" s="114" t="s">
        <v>12400</v>
      </c>
      <c r="J1201" s="114" t="s">
        <v>12401</v>
      </c>
    </row>
    <row r="1202" spans="1:10" ht="20" customHeight="1" thickBot="1">
      <c r="A1202" s="26" t="s">
        <v>5573</v>
      </c>
      <c r="B1202" s="26" t="s">
        <v>5573</v>
      </c>
      <c r="C1202" s="26" t="s">
        <v>5574</v>
      </c>
      <c r="D1202" s="116">
        <v>8</v>
      </c>
      <c r="E1202" s="122" t="s">
        <v>27</v>
      </c>
      <c r="F1202" s="119" t="s">
        <v>63</v>
      </c>
      <c r="G1202" s="27">
        <v>42232</v>
      </c>
      <c r="H1202" s="26" t="s">
        <v>5575</v>
      </c>
      <c r="I1202" s="113" t="s">
        <v>12400</v>
      </c>
      <c r="J1202" s="113" t="s">
        <v>12401</v>
      </c>
    </row>
    <row r="1203" spans="1:10" ht="20" customHeight="1" thickBot="1">
      <c r="A1203" s="28" t="s">
        <v>5578</v>
      </c>
      <c r="B1203" s="28" t="s">
        <v>5578</v>
      </c>
      <c r="C1203" s="28" t="s">
        <v>2573</v>
      </c>
      <c r="D1203" s="117">
        <v>17</v>
      </c>
      <c r="E1203" s="122" t="s">
        <v>35</v>
      </c>
      <c r="F1203" s="120" t="s">
        <v>57</v>
      </c>
      <c r="G1203" s="29">
        <v>44173</v>
      </c>
      <c r="H1203" s="28" t="s">
        <v>5579</v>
      </c>
      <c r="I1203" s="114" t="s">
        <v>12400</v>
      </c>
      <c r="J1203" s="114" t="s">
        <v>12401</v>
      </c>
    </row>
    <row r="1204" spans="1:10" ht="20" customHeight="1" thickBot="1">
      <c r="A1204" s="26" t="s">
        <v>5582</v>
      </c>
      <c r="B1204" s="26" t="s">
        <v>5582</v>
      </c>
      <c r="C1204" s="26" t="s">
        <v>1369</v>
      </c>
      <c r="D1204" s="116">
        <v>8</v>
      </c>
      <c r="E1204" s="122" t="s">
        <v>34</v>
      </c>
      <c r="F1204" s="119" t="s">
        <v>57</v>
      </c>
      <c r="G1204" s="27">
        <v>45800</v>
      </c>
      <c r="H1204" s="26" t="s">
        <v>5583</v>
      </c>
      <c r="I1204" s="113" t="s">
        <v>12400</v>
      </c>
      <c r="J1204" s="113" t="s">
        <v>12401</v>
      </c>
    </row>
    <row r="1205" spans="1:10" ht="20" customHeight="1" thickBot="1">
      <c r="A1205" s="28" t="s">
        <v>5586</v>
      </c>
      <c r="B1205" s="28" t="s">
        <v>5586</v>
      </c>
      <c r="C1205" s="28" t="s">
        <v>5587</v>
      </c>
      <c r="D1205" s="117">
        <v>4</v>
      </c>
      <c r="E1205" s="122" t="s">
        <v>29</v>
      </c>
      <c r="F1205" s="120" t="s">
        <v>63</v>
      </c>
      <c r="G1205" s="29">
        <v>46202</v>
      </c>
      <c r="H1205" s="28" t="s">
        <v>5588</v>
      </c>
      <c r="I1205" s="114" t="s">
        <v>12400</v>
      </c>
      <c r="J1205" s="114" t="s">
        <v>12401</v>
      </c>
    </row>
    <row r="1206" spans="1:10" ht="20" customHeight="1" thickBot="1">
      <c r="A1206" s="26" t="s">
        <v>5591</v>
      </c>
      <c r="B1206" s="26" t="s">
        <v>5591</v>
      </c>
      <c r="C1206" s="26" t="s">
        <v>5592</v>
      </c>
      <c r="D1206" s="116">
        <v>8</v>
      </c>
      <c r="E1206" s="122" t="s">
        <v>29</v>
      </c>
      <c r="F1206" s="119" t="s">
        <v>63</v>
      </c>
      <c r="G1206" s="27">
        <v>43796</v>
      </c>
      <c r="H1206" s="26" t="s">
        <v>5593</v>
      </c>
      <c r="I1206" s="113" t="s">
        <v>12400</v>
      </c>
      <c r="J1206" s="113" t="s">
        <v>12401</v>
      </c>
    </row>
    <row r="1207" spans="1:10" ht="20" customHeight="1" thickBot="1">
      <c r="A1207" s="28" t="s">
        <v>5596</v>
      </c>
      <c r="B1207" s="28" t="s">
        <v>5596</v>
      </c>
      <c r="C1207" s="28" t="s">
        <v>370</v>
      </c>
      <c r="D1207" s="117">
        <v>6</v>
      </c>
      <c r="E1207" s="122" t="s">
        <v>33</v>
      </c>
      <c r="F1207" s="120" t="s">
        <v>57</v>
      </c>
      <c r="G1207" s="29">
        <v>44336</v>
      </c>
      <c r="H1207" s="28" t="s">
        <v>5597</v>
      </c>
      <c r="I1207" s="114" t="s">
        <v>12400</v>
      </c>
      <c r="J1207" s="114" t="s">
        <v>12401</v>
      </c>
    </row>
    <row r="1208" spans="1:10" ht="20" customHeight="1" thickBot="1">
      <c r="A1208" s="26" t="s">
        <v>5600</v>
      </c>
      <c r="B1208" s="26" t="s">
        <v>5600</v>
      </c>
      <c r="C1208" s="26" t="s">
        <v>370</v>
      </c>
      <c r="D1208" s="116">
        <v>11</v>
      </c>
      <c r="E1208" s="122" t="s">
        <v>34</v>
      </c>
      <c r="F1208" s="119" t="s">
        <v>57</v>
      </c>
      <c r="G1208" s="27">
        <v>43875</v>
      </c>
      <c r="H1208" s="26" t="s">
        <v>5601</v>
      </c>
      <c r="I1208" s="113" t="s">
        <v>12400</v>
      </c>
      <c r="J1208" s="113" t="s">
        <v>12401</v>
      </c>
    </row>
    <row r="1209" spans="1:10" ht="20" customHeight="1" thickBot="1">
      <c r="A1209" s="28" t="s">
        <v>5604</v>
      </c>
      <c r="B1209" s="28" t="s">
        <v>5604</v>
      </c>
      <c r="C1209" s="28" t="s">
        <v>1119</v>
      </c>
      <c r="D1209" s="117">
        <v>25</v>
      </c>
      <c r="E1209" s="122" t="s">
        <v>31</v>
      </c>
      <c r="F1209" s="120" t="s">
        <v>63</v>
      </c>
      <c r="G1209" s="29">
        <v>42926</v>
      </c>
      <c r="H1209" s="28" t="s">
        <v>5605</v>
      </c>
      <c r="I1209" s="114" t="s">
        <v>12400</v>
      </c>
      <c r="J1209" s="114" t="s">
        <v>12401</v>
      </c>
    </row>
    <row r="1210" spans="1:10" ht="20" customHeight="1" thickBot="1">
      <c r="A1210" s="26" t="s">
        <v>5608</v>
      </c>
      <c r="B1210" s="26" t="s">
        <v>5608</v>
      </c>
      <c r="C1210" s="26" t="s">
        <v>1296</v>
      </c>
      <c r="D1210" s="116">
        <v>7</v>
      </c>
      <c r="E1210" s="122" t="s">
        <v>29</v>
      </c>
      <c r="F1210" s="119" t="s">
        <v>63</v>
      </c>
      <c r="G1210" s="27">
        <v>41781</v>
      </c>
      <c r="H1210" s="26" t="s">
        <v>5609</v>
      </c>
      <c r="I1210" s="113" t="s">
        <v>12400</v>
      </c>
      <c r="J1210" s="113" t="s">
        <v>12401</v>
      </c>
    </row>
    <row r="1211" spans="1:10" ht="20" customHeight="1" thickBot="1">
      <c r="A1211" s="28" t="s">
        <v>5612</v>
      </c>
      <c r="B1211" s="28" t="s">
        <v>5612</v>
      </c>
      <c r="C1211" s="28" t="s">
        <v>130</v>
      </c>
      <c r="D1211" s="117">
        <v>66</v>
      </c>
      <c r="E1211" s="122" t="s">
        <v>31</v>
      </c>
      <c r="F1211" s="120" t="s">
        <v>63</v>
      </c>
      <c r="G1211" s="29">
        <v>44641</v>
      </c>
      <c r="H1211" s="28" t="s">
        <v>5613</v>
      </c>
      <c r="I1211" s="114" t="s">
        <v>12400</v>
      </c>
      <c r="J1211" s="114" t="s">
        <v>12401</v>
      </c>
    </row>
    <row r="1212" spans="1:10" ht="20" customHeight="1" thickBot="1">
      <c r="A1212" s="26" t="s">
        <v>5616</v>
      </c>
      <c r="B1212" s="26" t="s">
        <v>5616</v>
      </c>
      <c r="C1212" s="26" t="s">
        <v>130</v>
      </c>
      <c r="D1212" s="116">
        <v>89</v>
      </c>
      <c r="E1212" s="122" t="s">
        <v>31</v>
      </c>
      <c r="F1212" s="119" t="s">
        <v>63</v>
      </c>
      <c r="G1212" s="27">
        <v>44771</v>
      </c>
      <c r="H1212" s="26" t="s">
        <v>5617</v>
      </c>
      <c r="I1212" s="113" t="s">
        <v>12400</v>
      </c>
      <c r="J1212" s="113" t="s">
        <v>12401</v>
      </c>
    </row>
    <row r="1213" spans="1:10" ht="20" customHeight="1" thickBot="1">
      <c r="A1213" s="28" t="s">
        <v>5620</v>
      </c>
      <c r="B1213" s="28" t="s">
        <v>5620</v>
      </c>
      <c r="C1213" s="28" t="s">
        <v>5621</v>
      </c>
      <c r="D1213" s="117">
        <v>17</v>
      </c>
      <c r="E1213" s="122" t="s">
        <v>34</v>
      </c>
      <c r="F1213" s="120" t="s">
        <v>57</v>
      </c>
      <c r="G1213" s="29">
        <v>44158</v>
      </c>
      <c r="H1213" s="28" t="s">
        <v>5622</v>
      </c>
      <c r="I1213" s="114" t="s">
        <v>12400</v>
      </c>
      <c r="J1213" s="114" t="s">
        <v>12401</v>
      </c>
    </row>
    <row r="1214" spans="1:10" ht="20" customHeight="1" thickBot="1">
      <c r="A1214" s="26" t="s">
        <v>5625</v>
      </c>
      <c r="B1214" s="26" t="s">
        <v>5625</v>
      </c>
      <c r="C1214" s="26" t="s">
        <v>5626</v>
      </c>
      <c r="D1214" s="116">
        <v>3</v>
      </c>
      <c r="E1214" s="122" t="s">
        <v>29</v>
      </c>
      <c r="F1214" s="119" t="s">
        <v>63</v>
      </c>
      <c r="G1214" s="27">
        <v>43669</v>
      </c>
      <c r="H1214" s="26" t="s">
        <v>5627</v>
      </c>
      <c r="I1214" s="113" t="s">
        <v>12400</v>
      </c>
      <c r="J1214" s="113" t="s">
        <v>12401</v>
      </c>
    </row>
    <row r="1215" spans="1:10" ht="20" customHeight="1" thickBot="1">
      <c r="A1215" s="28" t="s">
        <v>5630</v>
      </c>
      <c r="B1215" s="28" t="s">
        <v>5630</v>
      </c>
      <c r="C1215" s="28" t="s">
        <v>5631</v>
      </c>
      <c r="D1215" s="117">
        <v>16</v>
      </c>
      <c r="E1215" s="122" t="s">
        <v>34</v>
      </c>
      <c r="F1215" s="120" t="s">
        <v>5632</v>
      </c>
      <c r="G1215" s="29">
        <v>45944</v>
      </c>
      <c r="H1215" s="28" t="s">
        <v>5633</v>
      </c>
      <c r="I1215" s="114" t="s">
        <v>12400</v>
      </c>
      <c r="J1215" s="114" t="s">
        <v>12401</v>
      </c>
    </row>
    <row r="1216" spans="1:10" ht="20" customHeight="1" thickBot="1">
      <c r="A1216" s="26" t="s">
        <v>5636</v>
      </c>
      <c r="B1216" s="26" t="s">
        <v>5636</v>
      </c>
      <c r="C1216" s="26" t="s">
        <v>3716</v>
      </c>
      <c r="D1216" s="116">
        <v>8</v>
      </c>
      <c r="E1216" s="122" t="s">
        <v>35</v>
      </c>
      <c r="F1216" s="119" t="s">
        <v>57</v>
      </c>
      <c r="G1216" s="27">
        <v>45033</v>
      </c>
      <c r="H1216" s="26" t="s">
        <v>5637</v>
      </c>
      <c r="I1216" s="113" t="s">
        <v>12400</v>
      </c>
      <c r="J1216" s="113" t="s">
        <v>12401</v>
      </c>
    </row>
    <row r="1217" spans="1:10" ht="20" customHeight="1" thickBot="1">
      <c r="A1217" s="28" t="s">
        <v>5640</v>
      </c>
      <c r="B1217" s="28" t="s">
        <v>5640</v>
      </c>
      <c r="C1217" s="28" t="s">
        <v>5641</v>
      </c>
      <c r="D1217" s="117">
        <v>69</v>
      </c>
      <c r="E1217" s="122" t="s">
        <v>36</v>
      </c>
      <c r="F1217" s="120" t="s">
        <v>57</v>
      </c>
      <c r="G1217" s="29">
        <v>45818</v>
      </c>
      <c r="H1217" s="28" t="s">
        <v>5642</v>
      </c>
      <c r="I1217" s="114" t="s">
        <v>12400</v>
      </c>
      <c r="J1217" s="114" t="s">
        <v>12401</v>
      </c>
    </row>
    <row r="1218" spans="1:10" ht="20" customHeight="1" thickBot="1">
      <c r="A1218" s="26" t="s">
        <v>5645</v>
      </c>
      <c r="B1218" s="26" t="s">
        <v>5645</v>
      </c>
      <c r="C1218" s="26" t="s">
        <v>5646</v>
      </c>
      <c r="D1218" s="116">
        <v>1</v>
      </c>
      <c r="E1218" s="122" t="s">
        <v>29</v>
      </c>
      <c r="F1218" s="119" t="s">
        <v>63</v>
      </c>
      <c r="G1218" s="27">
        <v>44163</v>
      </c>
      <c r="H1218" s="26" t="s">
        <v>5647</v>
      </c>
      <c r="I1218" s="113" t="s">
        <v>12400</v>
      </c>
      <c r="J1218" s="113" t="s">
        <v>12401</v>
      </c>
    </row>
    <row r="1219" spans="1:10" ht="20" customHeight="1" thickBot="1">
      <c r="A1219" s="28" t="s">
        <v>5650</v>
      </c>
      <c r="B1219" s="28" t="s">
        <v>5650</v>
      </c>
      <c r="C1219" s="28" t="s">
        <v>5651</v>
      </c>
      <c r="D1219" s="117">
        <v>38</v>
      </c>
      <c r="E1219" s="122" t="s">
        <v>31</v>
      </c>
      <c r="F1219" s="120" t="s">
        <v>5652</v>
      </c>
      <c r="G1219" s="29">
        <v>42374</v>
      </c>
      <c r="H1219" s="28" t="s">
        <v>5653</v>
      </c>
      <c r="I1219" s="114" t="s">
        <v>12400</v>
      </c>
      <c r="J1219" s="114" t="s">
        <v>12401</v>
      </c>
    </row>
    <row r="1220" spans="1:10" ht="20" customHeight="1" thickBot="1">
      <c r="A1220" s="26" t="s">
        <v>5656</v>
      </c>
      <c r="B1220" s="26" t="s">
        <v>5656</v>
      </c>
      <c r="C1220" s="26" t="s">
        <v>5657</v>
      </c>
      <c r="D1220" s="116">
        <v>57</v>
      </c>
      <c r="E1220" s="122" t="s">
        <v>33</v>
      </c>
      <c r="F1220" s="119" t="s">
        <v>5652</v>
      </c>
      <c r="G1220" s="27">
        <v>42751</v>
      </c>
      <c r="H1220" s="26" t="s">
        <v>5658</v>
      </c>
      <c r="I1220" s="113" t="s">
        <v>12400</v>
      </c>
      <c r="J1220" s="113" t="s">
        <v>12401</v>
      </c>
    </row>
    <row r="1221" spans="1:10" ht="20" customHeight="1" thickBot="1">
      <c r="A1221" s="28" t="s">
        <v>5661</v>
      </c>
      <c r="B1221" s="28" t="s">
        <v>5661</v>
      </c>
      <c r="C1221" s="28" t="s">
        <v>5651</v>
      </c>
      <c r="D1221" s="117">
        <v>64</v>
      </c>
      <c r="E1221" s="122" t="s">
        <v>33</v>
      </c>
      <c r="F1221" s="120" t="s">
        <v>5652</v>
      </c>
      <c r="G1221" s="29">
        <v>42750</v>
      </c>
      <c r="H1221" s="28" t="s">
        <v>5662</v>
      </c>
      <c r="I1221" s="114" t="s">
        <v>12400</v>
      </c>
      <c r="J1221" s="114" t="s">
        <v>12401</v>
      </c>
    </row>
    <row r="1222" spans="1:10" ht="20" customHeight="1" thickBot="1">
      <c r="A1222" s="26" t="s">
        <v>5665</v>
      </c>
      <c r="B1222" s="26" t="s">
        <v>5665</v>
      </c>
      <c r="C1222" s="26" t="s">
        <v>1389</v>
      </c>
      <c r="D1222" s="116">
        <v>10</v>
      </c>
      <c r="E1222" s="122" t="s">
        <v>33</v>
      </c>
      <c r="F1222" s="119" t="s">
        <v>57</v>
      </c>
      <c r="G1222" s="27">
        <v>45596</v>
      </c>
      <c r="H1222" s="26" t="s">
        <v>5666</v>
      </c>
      <c r="I1222" s="113" t="s">
        <v>12400</v>
      </c>
      <c r="J1222" s="113" t="s">
        <v>12401</v>
      </c>
    </row>
    <row r="1223" spans="1:10" ht="20" customHeight="1" thickBot="1">
      <c r="A1223" s="28" t="s">
        <v>5669</v>
      </c>
      <c r="B1223" s="28" t="s">
        <v>5669</v>
      </c>
      <c r="C1223" s="28" t="s">
        <v>945</v>
      </c>
      <c r="D1223" s="117">
        <v>24</v>
      </c>
      <c r="E1223" s="122" t="s">
        <v>33</v>
      </c>
      <c r="F1223" s="120" t="s">
        <v>63</v>
      </c>
      <c r="G1223" s="29">
        <v>45697</v>
      </c>
      <c r="H1223" s="28" t="s">
        <v>5670</v>
      </c>
      <c r="I1223" s="114" t="s">
        <v>12400</v>
      </c>
      <c r="J1223" s="114" t="s">
        <v>12401</v>
      </c>
    </row>
    <row r="1224" spans="1:10" ht="20" customHeight="1" thickBot="1">
      <c r="A1224" s="26" t="s">
        <v>5673</v>
      </c>
      <c r="B1224" s="26" t="s">
        <v>5673</v>
      </c>
      <c r="C1224" s="26" t="s">
        <v>253</v>
      </c>
      <c r="D1224" s="116">
        <v>17</v>
      </c>
      <c r="E1224" s="122" t="s">
        <v>34</v>
      </c>
      <c r="F1224" s="119" t="s">
        <v>57</v>
      </c>
      <c r="G1224" s="27">
        <v>44629</v>
      </c>
      <c r="H1224" s="26" t="s">
        <v>5674</v>
      </c>
      <c r="I1224" s="113" t="s">
        <v>12400</v>
      </c>
      <c r="J1224" s="113" t="s">
        <v>12401</v>
      </c>
    </row>
    <row r="1225" spans="1:10" ht="20" customHeight="1" thickBot="1">
      <c r="A1225" s="28" t="s">
        <v>5677</v>
      </c>
      <c r="B1225" s="28" t="s">
        <v>5677</v>
      </c>
      <c r="C1225" s="28" t="s">
        <v>5678</v>
      </c>
      <c r="D1225" s="117">
        <v>13</v>
      </c>
      <c r="E1225" s="122" t="s">
        <v>33</v>
      </c>
      <c r="F1225" s="120" t="s">
        <v>57</v>
      </c>
      <c r="G1225" s="29">
        <v>45218</v>
      </c>
      <c r="H1225" s="28" t="s">
        <v>5679</v>
      </c>
      <c r="I1225" s="114" t="s">
        <v>12400</v>
      </c>
      <c r="J1225" s="114" t="s">
        <v>12401</v>
      </c>
    </row>
    <row r="1226" spans="1:10" ht="20" customHeight="1" thickBot="1">
      <c r="A1226" s="26" t="s">
        <v>5682</v>
      </c>
      <c r="B1226" s="26" t="s">
        <v>5682</v>
      </c>
      <c r="C1226" s="26" t="s">
        <v>5683</v>
      </c>
      <c r="D1226" s="116">
        <v>25</v>
      </c>
      <c r="E1226" s="122" t="s">
        <v>29</v>
      </c>
      <c r="F1226" s="119" t="s">
        <v>63</v>
      </c>
      <c r="G1226" s="27">
        <v>42347</v>
      </c>
      <c r="H1226" s="26" t="s">
        <v>5684</v>
      </c>
      <c r="I1226" s="113" t="s">
        <v>12400</v>
      </c>
      <c r="J1226" s="113" t="s">
        <v>12401</v>
      </c>
    </row>
    <row r="1227" spans="1:10" ht="20" customHeight="1" thickBot="1">
      <c r="A1227" s="28" t="s">
        <v>5687</v>
      </c>
      <c r="B1227" s="28" t="s">
        <v>5687</v>
      </c>
      <c r="C1227" s="28" t="s">
        <v>5688</v>
      </c>
      <c r="D1227" s="117">
        <v>4</v>
      </c>
      <c r="E1227" s="122" t="s">
        <v>27</v>
      </c>
      <c r="F1227" s="120" t="s">
        <v>63</v>
      </c>
      <c r="G1227" s="29">
        <v>42257</v>
      </c>
      <c r="H1227" s="28" t="s">
        <v>5689</v>
      </c>
      <c r="I1227" s="114" t="s">
        <v>12400</v>
      </c>
      <c r="J1227" s="114" t="s">
        <v>12401</v>
      </c>
    </row>
    <row r="1228" spans="1:10" ht="20" customHeight="1" thickBot="1">
      <c r="A1228" s="26" t="s">
        <v>5692</v>
      </c>
      <c r="B1228" s="26" t="s">
        <v>5692</v>
      </c>
      <c r="C1228" s="26" t="s">
        <v>104</v>
      </c>
      <c r="D1228" s="116">
        <v>1</v>
      </c>
      <c r="E1228" s="122" t="s">
        <v>34</v>
      </c>
      <c r="F1228" s="119" t="s">
        <v>115</v>
      </c>
      <c r="G1228" s="27">
        <v>45527</v>
      </c>
      <c r="H1228" s="26" t="s">
        <v>5693</v>
      </c>
      <c r="I1228" s="113" t="s">
        <v>12400</v>
      </c>
      <c r="J1228" s="113" t="s">
        <v>12401</v>
      </c>
    </row>
    <row r="1229" spans="1:10" ht="20" customHeight="1" thickBot="1">
      <c r="A1229" s="28" t="s">
        <v>5696</v>
      </c>
      <c r="B1229" s="28" t="s">
        <v>5696</v>
      </c>
      <c r="C1229" s="28" t="s">
        <v>5697</v>
      </c>
      <c r="D1229" s="117">
        <v>11</v>
      </c>
      <c r="E1229" s="122" t="s">
        <v>34</v>
      </c>
      <c r="F1229" s="120" t="s">
        <v>57</v>
      </c>
      <c r="G1229" s="29">
        <v>44972</v>
      </c>
      <c r="H1229" s="28" t="s">
        <v>5698</v>
      </c>
      <c r="I1229" s="114" t="s">
        <v>12400</v>
      </c>
      <c r="J1229" s="114" t="s">
        <v>12401</v>
      </c>
    </row>
    <row r="1230" spans="1:10" ht="20" customHeight="1" thickBot="1">
      <c r="A1230" s="26" t="s">
        <v>5701</v>
      </c>
      <c r="B1230" s="26" t="s">
        <v>5701</v>
      </c>
      <c r="C1230" s="26" t="s">
        <v>2782</v>
      </c>
      <c r="D1230" s="116">
        <v>8</v>
      </c>
      <c r="E1230" s="122" t="s">
        <v>29</v>
      </c>
      <c r="F1230" s="119" t="s">
        <v>63</v>
      </c>
      <c r="G1230" s="27">
        <v>45291</v>
      </c>
      <c r="H1230" s="26" t="s">
        <v>5702</v>
      </c>
      <c r="I1230" s="113" t="s">
        <v>12400</v>
      </c>
      <c r="J1230" s="113" t="s">
        <v>12401</v>
      </c>
    </row>
    <row r="1231" spans="1:10" ht="20" customHeight="1" thickBot="1">
      <c r="A1231" s="28" t="s">
        <v>5705</v>
      </c>
      <c r="B1231" s="28" t="s">
        <v>5705</v>
      </c>
      <c r="C1231" s="28" t="s">
        <v>5706</v>
      </c>
      <c r="D1231" s="117">
        <v>15</v>
      </c>
      <c r="E1231" s="122" t="s">
        <v>33</v>
      </c>
      <c r="F1231" s="120" t="s">
        <v>63</v>
      </c>
      <c r="G1231" s="29">
        <v>43521</v>
      </c>
      <c r="H1231" s="28" t="s">
        <v>5707</v>
      </c>
      <c r="I1231" s="114" t="s">
        <v>12400</v>
      </c>
      <c r="J1231" s="114" t="s">
        <v>12401</v>
      </c>
    </row>
    <row r="1232" spans="1:10" ht="20" customHeight="1" thickBot="1">
      <c r="A1232" s="26" t="s">
        <v>5710</v>
      </c>
      <c r="B1232" s="26" t="s">
        <v>5710</v>
      </c>
      <c r="C1232" s="26" t="s">
        <v>5711</v>
      </c>
      <c r="D1232" s="116">
        <v>15</v>
      </c>
      <c r="E1232" s="122" t="s">
        <v>29</v>
      </c>
      <c r="F1232" s="119" t="s">
        <v>63</v>
      </c>
      <c r="G1232" s="27">
        <v>41480</v>
      </c>
      <c r="H1232" s="26" t="s">
        <v>5712</v>
      </c>
      <c r="I1232" s="113" t="s">
        <v>12400</v>
      </c>
      <c r="J1232" s="113" t="s">
        <v>12401</v>
      </c>
    </row>
    <row r="1233" spans="1:10" ht="20" customHeight="1" thickBot="1">
      <c r="A1233" s="28" t="s">
        <v>5715</v>
      </c>
      <c r="B1233" s="28" t="s">
        <v>5715</v>
      </c>
      <c r="C1233" s="28" t="s">
        <v>842</v>
      </c>
      <c r="D1233" s="117">
        <v>34</v>
      </c>
      <c r="E1233" s="122" t="s">
        <v>34</v>
      </c>
      <c r="F1233" s="120" t="s">
        <v>57</v>
      </c>
      <c r="G1233" s="29">
        <v>46137</v>
      </c>
      <c r="H1233" s="28" t="s">
        <v>5716</v>
      </c>
      <c r="I1233" s="114" t="s">
        <v>12400</v>
      </c>
      <c r="J1233" s="114" t="s">
        <v>12401</v>
      </c>
    </row>
    <row r="1234" spans="1:10" ht="20" customHeight="1" thickBot="1">
      <c r="A1234" s="26" t="s">
        <v>5719</v>
      </c>
      <c r="B1234" s="26" t="s">
        <v>5719</v>
      </c>
      <c r="C1234" s="26" t="s">
        <v>370</v>
      </c>
      <c r="D1234" s="116">
        <v>6</v>
      </c>
      <c r="E1234" s="122" t="s">
        <v>34</v>
      </c>
      <c r="F1234" s="119" t="s">
        <v>57</v>
      </c>
      <c r="G1234" s="27">
        <v>44745</v>
      </c>
      <c r="H1234" s="26" t="s">
        <v>5720</v>
      </c>
      <c r="I1234" s="113" t="s">
        <v>12400</v>
      </c>
      <c r="J1234" s="113" t="s">
        <v>12401</v>
      </c>
    </row>
    <row r="1235" spans="1:10" ht="20" customHeight="1" thickBot="1">
      <c r="A1235" s="28" t="s">
        <v>5723</v>
      </c>
      <c r="B1235" s="28" t="s">
        <v>5723</v>
      </c>
      <c r="C1235" s="28" t="s">
        <v>370</v>
      </c>
      <c r="D1235" s="117">
        <v>5</v>
      </c>
      <c r="E1235" s="122" t="s">
        <v>31</v>
      </c>
      <c r="F1235" s="120" t="s">
        <v>57</v>
      </c>
      <c r="G1235" s="29">
        <v>44772</v>
      </c>
      <c r="H1235" s="28" t="s">
        <v>5724</v>
      </c>
      <c r="I1235" s="114" t="s">
        <v>12400</v>
      </c>
      <c r="J1235" s="114" t="s">
        <v>12401</v>
      </c>
    </row>
    <row r="1236" spans="1:10" ht="20" customHeight="1" thickBot="1">
      <c r="A1236" s="26" t="s">
        <v>5727</v>
      </c>
      <c r="B1236" s="26" t="s">
        <v>5727</v>
      </c>
      <c r="C1236" s="26" t="s">
        <v>370</v>
      </c>
      <c r="D1236" s="116">
        <v>1</v>
      </c>
      <c r="E1236" s="122" t="s">
        <v>33</v>
      </c>
      <c r="F1236" s="119" t="s">
        <v>57</v>
      </c>
      <c r="G1236" s="27">
        <v>44937</v>
      </c>
      <c r="H1236" s="26" t="s">
        <v>5728</v>
      </c>
      <c r="I1236" s="113" t="s">
        <v>12400</v>
      </c>
      <c r="J1236" s="113" t="s">
        <v>12401</v>
      </c>
    </row>
    <row r="1237" spans="1:10" ht="20" customHeight="1" thickBot="1">
      <c r="A1237" s="28" t="s">
        <v>5731</v>
      </c>
      <c r="B1237" s="28" t="s">
        <v>5731</v>
      </c>
      <c r="C1237" s="28" t="s">
        <v>5732</v>
      </c>
      <c r="D1237" s="117">
        <v>7</v>
      </c>
      <c r="E1237" s="122" t="s">
        <v>34</v>
      </c>
      <c r="F1237" s="120" t="s">
        <v>57</v>
      </c>
      <c r="G1237" s="29">
        <v>44930</v>
      </c>
      <c r="H1237" s="28" t="s">
        <v>5733</v>
      </c>
      <c r="I1237" s="114" t="s">
        <v>12400</v>
      </c>
      <c r="J1237" s="114" t="s">
        <v>12401</v>
      </c>
    </row>
    <row r="1238" spans="1:10" ht="20" customHeight="1" thickBot="1">
      <c r="A1238" s="26" t="s">
        <v>5736</v>
      </c>
      <c r="B1238" s="26" t="s">
        <v>5736</v>
      </c>
      <c r="C1238" s="26" t="s">
        <v>5737</v>
      </c>
      <c r="D1238" s="116">
        <v>116</v>
      </c>
      <c r="E1238" s="122" t="s">
        <v>34</v>
      </c>
      <c r="F1238" s="119" t="s">
        <v>63</v>
      </c>
      <c r="G1238" s="27">
        <v>45337</v>
      </c>
      <c r="H1238" s="26" t="s">
        <v>5738</v>
      </c>
      <c r="I1238" s="113" t="s">
        <v>12400</v>
      </c>
      <c r="J1238" s="113" t="s">
        <v>12401</v>
      </c>
    </row>
    <row r="1239" spans="1:10" ht="20" customHeight="1" thickBot="1">
      <c r="A1239" s="28" t="s">
        <v>5741</v>
      </c>
      <c r="B1239" s="28" t="s">
        <v>5741</v>
      </c>
      <c r="C1239" s="28" t="s">
        <v>180</v>
      </c>
      <c r="D1239" s="117">
        <v>12</v>
      </c>
      <c r="E1239" s="122" t="s">
        <v>34</v>
      </c>
      <c r="F1239" s="120" t="s">
        <v>57</v>
      </c>
      <c r="G1239" s="29">
        <v>45042</v>
      </c>
      <c r="H1239" s="28" t="s">
        <v>5742</v>
      </c>
      <c r="I1239" s="114" t="s">
        <v>12400</v>
      </c>
      <c r="J1239" s="114" t="s">
        <v>12401</v>
      </c>
    </row>
    <row r="1240" spans="1:10" ht="20" customHeight="1" thickBot="1">
      <c r="A1240" s="26" t="s">
        <v>5745</v>
      </c>
      <c r="B1240" s="26" t="s">
        <v>5745</v>
      </c>
      <c r="C1240" s="26" t="s">
        <v>278</v>
      </c>
      <c r="D1240" s="116">
        <v>16</v>
      </c>
      <c r="E1240" s="122" t="s">
        <v>31</v>
      </c>
      <c r="F1240" s="119" t="s">
        <v>57</v>
      </c>
      <c r="G1240" s="27">
        <v>45648</v>
      </c>
      <c r="H1240" s="26" t="s">
        <v>5746</v>
      </c>
      <c r="I1240" s="113" t="s">
        <v>12400</v>
      </c>
      <c r="J1240" s="113" t="s">
        <v>12401</v>
      </c>
    </row>
    <row r="1241" spans="1:10" ht="20" customHeight="1" thickBot="1">
      <c r="A1241" s="28" t="s">
        <v>5749</v>
      </c>
      <c r="B1241" s="28" t="s">
        <v>5749</v>
      </c>
      <c r="C1241" s="28" t="s">
        <v>5750</v>
      </c>
      <c r="D1241" s="117">
        <v>8</v>
      </c>
      <c r="E1241" s="122" t="s">
        <v>29</v>
      </c>
      <c r="F1241" s="120" t="s">
        <v>63</v>
      </c>
      <c r="G1241" s="29">
        <v>42225</v>
      </c>
      <c r="H1241" s="28" t="s">
        <v>5751</v>
      </c>
      <c r="I1241" s="114" t="s">
        <v>12400</v>
      </c>
      <c r="J1241" s="114" t="s">
        <v>12401</v>
      </c>
    </row>
    <row r="1242" spans="1:10" ht="20" customHeight="1" thickBot="1">
      <c r="A1242" s="26" t="s">
        <v>5754</v>
      </c>
      <c r="B1242" s="26" t="s">
        <v>5754</v>
      </c>
      <c r="C1242" s="26" t="s">
        <v>5755</v>
      </c>
      <c r="D1242" s="116">
        <v>16</v>
      </c>
      <c r="E1242" s="122" t="s">
        <v>34</v>
      </c>
      <c r="F1242" s="119" t="s">
        <v>57</v>
      </c>
      <c r="G1242" s="27">
        <v>44665</v>
      </c>
      <c r="H1242" s="26" t="s">
        <v>5756</v>
      </c>
      <c r="I1242" s="113" t="s">
        <v>12400</v>
      </c>
      <c r="J1242" s="113" t="s">
        <v>12401</v>
      </c>
    </row>
    <row r="1243" spans="1:10" ht="20" customHeight="1" thickBot="1">
      <c r="A1243" s="28" t="s">
        <v>5759</v>
      </c>
      <c r="B1243" s="28" t="s">
        <v>5759</v>
      </c>
      <c r="C1243" s="28" t="s">
        <v>5760</v>
      </c>
      <c r="D1243" s="117">
        <v>6</v>
      </c>
      <c r="E1243" s="122" t="s">
        <v>27</v>
      </c>
      <c r="F1243" s="120" t="s">
        <v>63</v>
      </c>
      <c r="G1243" s="29">
        <v>42316</v>
      </c>
      <c r="H1243" s="28" t="s">
        <v>5761</v>
      </c>
      <c r="I1243" s="114" t="s">
        <v>12400</v>
      </c>
      <c r="J1243" s="114" t="s">
        <v>12401</v>
      </c>
    </row>
    <row r="1244" spans="1:10" ht="20" customHeight="1" thickBot="1">
      <c r="A1244" s="26" t="s">
        <v>5764</v>
      </c>
      <c r="B1244" s="26" t="s">
        <v>5764</v>
      </c>
      <c r="C1244" s="26" t="s">
        <v>5765</v>
      </c>
      <c r="D1244" s="116">
        <v>8</v>
      </c>
      <c r="E1244" s="122" t="s">
        <v>29</v>
      </c>
      <c r="F1244" s="119" t="s">
        <v>63</v>
      </c>
      <c r="G1244" s="27">
        <v>42825</v>
      </c>
      <c r="H1244" s="26" t="s">
        <v>5766</v>
      </c>
      <c r="I1244" s="113" t="s">
        <v>12400</v>
      </c>
      <c r="J1244" s="113" t="s">
        <v>12401</v>
      </c>
    </row>
    <row r="1245" spans="1:10" ht="20" customHeight="1" thickBot="1">
      <c r="A1245" s="28" t="s">
        <v>5769</v>
      </c>
      <c r="B1245" s="28" t="s">
        <v>5769</v>
      </c>
      <c r="C1245" s="28" t="s">
        <v>5770</v>
      </c>
      <c r="D1245" s="117">
        <v>94</v>
      </c>
      <c r="E1245" s="122" t="s">
        <v>33</v>
      </c>
      <c r="F1245" s="120" t="s">
        <v>63</v>
      </c>
      <c r="G1245" s="29">
        <v>42840</v>
      </c>
      <c r="H1245" s="28" t="s">
        <v>5771</v>
      </c>
      <c r="I1245" s="114" t="s">
        <v>12400</v>
      </c>
      <c r="J1245" s="114" t="s">
        <v>12401</v>
      </c>
    </row>
    <row r="1246" spans="1:10" ht="20" customHeight="1" thickBot="1">
      <c r="A1246" s="26" t="s">
        <v>5774</v>
      </c>
      <c r="B1246" s="26" t="s">
        <v>5774</v>
      </c>
      <c r="C1246" s="26" t="s">
        <v>452</v>
      </c>
      <c r="D1246" s="116">
        <v>1</v>
      </c>
      <c r="E1246" s="122" t="s">
        <v>33</v>
      </c>
      <c r="F1246" s="119" t="s">
        <v>57</v>
      </c>
      <c r="G1246" s="27">
        <v>44992</v>
      </c>
      <c r="H1246" s="26" t="s">
        <v>5775</v>
      </c>
      <c r="I1246" s="113" t="s">
        <v>12400</v>
      </c>
      <c r="J1246" s="113" t="s">
        <v>12401</v>
      </c>
    </row>
    <row r="1247" spans="1:10" ht="20" customHeight="1" thickBot="1">
      <c r="A1247" s="28" t="s">
        <v>5778</v>
      </c>
      <c r="B1247" s="28" t="s">
        <v>5778</v>
      </c>
      <c r="C1247" s="28" t="s">
        <v>452</v>
      </c>
      <c r="D1247" s="117">
        <v>2</v>
      </c>
      <c r="E1247" s="122" t="s">
        <v>33</v>
      </c>
      <c r="F1247" s="120" t="s">
        <v>57</v>
      </c>
      <c r="G1247" s="29">
        <v>45001</v>
      </c>
      <c r="H1247" s="28" t="s">
        <v>5779</v>
      </c>
      <c r="I1247" s="114" t="s">
        <v>12400</v>
      </c>
      <c r="J1247" s="114" t="s">
        <v>12401</v>
      </c>
    </row>
    <row r="1248" spans="1:10" ht="20" customHeight="1" thickBot="1">
      <c r="A1248" s="26" t="s">
        <v>5782</v>
      </c>
      <c r="B1248" s="26" t="s">
        <v>5782</v>
      </c>
      <c r="C1248" s="26" t="s">
        <v>452</v>
      </c>
      <c r="D1248" s="116">
        <v>2</v>
      </c>
      <c r="E1248" s="122" t="s">
        <v>33</v>
      </c>
      <c r="F1248" s="119" t="s">
        <v>57</v>
      </c>
      <c r="G1248" s="27">
        <v>45014</v>
      </c>
      <c r="H1248" s="26" t="s">
        <v>5783</v>
      </c>
      <c r="I1248" s="113" t="s">
        <v>12400</v>
      </c>
      <c r="J1248" s="113" t="s">
        <v>12401</v>
      </c>
    </row>
    <row r="1249" spans="1:10" ht="20" customHeight="1" thickBot="1">
      <c r="A1249" s="28" t="s">
        <v>5786</v>
      </c>
      <c r="B1249" s="28" t="s">
        <v>5786</v>
      </c>
      <c r="C1249" s="28" t="s">
        <v>452</v>
      </c>
      <c r="D1249" s="117">
        <v>2</v>
      </c>
      <c r="E1249" s="122" t="s">
        <v>33</v>
      </c>
      <c r="F1249" s="120" t="s">
        <v>57</v>
      </c>
      <c r="G1249" s="29">
        <v>45035</v>
      </c>
      <c r="H1249" s="28" t="s">
        <v>5787</v>
      </c>
      <c r="I1249" s="114" t="s">
        <v>12400</v>
      </c>
      <c r="J1249" s="114" t="s">
        <v>12401</v>
      </c>
    </row>
    <row r="1250" spans="1:10" ht="20" customHeight="1" thickBot="1">
      <c r="A1250" s="26" t="s">
        <v>5790</v>
      </c>
      <c r="B1250" s="26" t="s">
        <v>5790</v>
      </c>
      <c r="C1250" s="26" t="s">
        <v>452</v>
      </c>
      <c r="D1250" s="116">
        <v>3</v>
      </c>
      <c r="E1250" s="122" t="s">
        <v>33</v>
      </c>
      <c r="F1250" s="119" t="s">
        <v>57</v>
      </c>
      <c r="G1250" s="27">
        <v>45205</v>
      </c>
      <c r="H1250" s="26" t="s">
        <v>5791</v>
      </c>
      <c r="I1250" s="113" t="s">
        <v>12400</v>
      </c>
      <c r="J1250" s="113" t="s">
        <v>12401</v>
      </c>
    </row>
    <row r="1251" spans="1:10" ht="20" customHeight="1" thickBot="1">
      <c r="A1251" s="28" t="s">
        <v>5794</v>
      </c>
      <c r="B1251" s="28" t="s">
        <v>5794</v>
      </c>
      <c r="C1251" s="28" t="s">
        <v>5795</v>
      </c>
      <c r="D1251" s="117">
        <v>32</v>
      </c>
      <c r="E1251" s="122" t="s">
        <v>29</v>
      </c>
      <c r="F1251" s="120" t="s">
        <v>63</v>
      </c>
      <c r="G1251" s="29">
        <v>42226</v>
      </c>
      <c r="H1251" s="28" t="s">
        <v>5796</v>
      </c>
      <c r="I1251" s="114" t="s">
        <v>12400</v>
      </c>
      <c r="J1251" s="114" t="s">
        <v>12401</v>
      </c>
    </row>
    <row r="1252" spans="1:10" ht="20" customHeight="1" thickBot="1">
      <c r="A1252" s="26" t="s">
        <v>5799</v>
      </c>
      <c r="B1252" s="26" t="s">
        <v>5799</v>
      </c>
      <c r="C1252" s="26" t="s">
        <v>1017</v>
      </c>
      <c r="D1252" s="116">
        <v>9</v>
      </c>
      <c r="E1252" s="122" t="s">
        <v>31</v>
      </c>
      <c r="F1252" s="119" t="s">
        <v>63</v>
      </c>
      <c r="G1252" s="27">
        <v>43894</v>
      </c>
      <c r="H1252" s="26" t="s">
        <v>5800</v>
      </c>
      <c r="I1252" s="113" t="s">
        <v>12400</v>
      </c>
      <c r="J1252" s="113" t="s">
        <v>12401</v>
      </c>
    </row>
    <row r="1253" spans="1:10" ht="20" customHeight="1" thickBot="1">
      <c r="A1253" s="28" t="s">
        <v>5803</v>
      </c>
      <c r="B1253" s="28" t="s">
        <v>5803</v>
      </c>
      <c r="C1253" s="28" t="s">
        <v>945</v>
      </c>
      <c r="D1253" s="117">
        <v>14</v>
      </c>
      <c r="E1253" s="122" t="s">
        <v>34</v>
      </c>
      <c r="F1253" s="120" t="s">
        <v>57</v>
      </c>
      <c r="G1253" s="29">
        <v>45267</v>
      </c>
      <c r="H1253" s="28" t="s">
        <v>5804</v>
      </c>
      <c r="I1253" s="114" t="s">
        <v>12400</v>
      </c>
      <c r="J1253" s="114" t="s">
        <v>12401</v>
      </c>
    </row>
    <row r="1254" spans="1:10" ht="20" customHeight="1" thickBot="1">
      <c r="A1254" s="26" t="s">
        <v>5807</v>
      </c>
      <c r="B1254" s="26" t="s">
        <v>5807</v>
      </c>
      <c r="C1254" s="26" t="s">
        <v>3346</v>
      </c>
      <c r="D1254" s="116">
        <v>24</v>
      </c>
      <c r="E1254" s="122" t="s">
        <v>34</v>
      </c>
      <c r="F1254" s="119" t="s">
        <v>57</v>
      </c>
      <c r="G1254" s="27">
        <v>43537</v>
      </c>
      <c r="H1254" s="26" t="s">
        <v>5808</v>
      </c>
      <c r="I1254" s="113" t="s">
        <v>12400</v>
      </c>
      <c r="J1254" s="113" t="s">
        <v>12401</v>
      </c>
    </row>
    <row r="1255" spans="1:10" ht="20" customHeight="1" thickBot="1">
      <c r="A1255" s="28" t="s">
        <v>5811</v>
      </c>
      <c r="B1255" s="28" t="s">
        <v>5811</v>
      </c>
      <c r="C1255" s="28" t="s">
        <v>5812</v>
      </c>
      <c r="D1255" s="117">
        <v>9</v>
      </c>
      <c r="E1255" s="122" t="s">
        <v>27</v>
      </c>
      <c r="F1255" s="120" t="s">
        <v>63</v>
      </c>
      <c r="G1255" s="29">
        <v>42057</v>
      </c>
      <c r="H1255" s="28" t="s">
        <v>5813</v>
      </c>
      <c r="I1255" s="114" t="s">
        <v>12400</v>
      </c>
      <c r="J1255" s="114" t="s">
        <v>12401</v>
      </c>
    </row>
    <row r="1256" spans="1:10" ht="20" customHeight="1" thickBot="1">
      <c r="A1256" s="26" t="s">
        <v>5816</v>
      </c>
      <c r="B1256" s="26" t="s">
        <v>5816</v>
      </c>
      <c r="C1256" s="26" t="s">
        <v>5817</v>
      </c>
      <c r="D1256" s="116">
        <v>21</v>
      </c>
      <c r="E1256" s="122" t="s">
        <v>29</v>
      </c>
      <c r="F1256" s="119" t="s">
        <v>63</v>
      </c>
      <c r="G1256" s="27">
        <v>43051</v>
      </c>
      <c r="H1256" s="26" t="s">
        <v>5818</v>
      </c>
      <c r="I1256" s="113" t="s">
        <v>12400</v>
      </c>
      <c r="J1256" s="113" t="s">
        <v>12401</v>
      </c>
    </row>
    <row r="1257" spans="1:10" ht="20" customHeight="1" thickBot="1">
      <c r="A1257" s="28" t="s">
        <v>5821</v>
      </c>
      <c r="B1257" s="28" t="s">
        <v>5821</v>
      </c>
      <c r="C1257" s="28" t="s">
        <v>5822</v>
      </c>
      <c r="D1257" s="117">
        <v>6</v>
      </c>
      <c r="E1257" s="122" t="s">
        <v>27</v>
      </c>
      <c r="F1257" s="120" t="s">
        <v>63</v>
      </c>
      <c r="G1257" s="29">
        <v>42104</v>
      </c>
      <c r="H1257" s="28" t="s">
        <v>5823</v>
      </c>
      <c r="I1257" s="114" t="s">
        <v>12400</v>
      </c>
      <c r="J1257" s="114" t="s">
        <v>12401</v>
      </c>
    </row>
    <row r="1258" spans="1:10" ht="20" customHeight="1" thickBot="1">
      <c r="A1258" s="26" t="s">
        <v>5826</v>
      </c>
      <c r="B1258" s="26" t="s">
        <v>5826</v>
      </c>
      <c r="C1258" s="26" t="s">
        <v>5827</v>
      </c>
      <c r="D1258" s="116">
        <v>17</v>
      </c>
      <c r="E1258" s="122" t="s">
        <v>27</v>
      </c>
      <c r="F1258" s="119" t="s">
        <v>63</v>
      </c>
      <c r="G1258" s="27">
        <v>42252</v>
      </c>
      <c r="H1258" s="26" t="s">
        <v>5828</v>
      </c>
      <c r="I1258" s="113" t="s">
        <v>12400</v>
      </c>
      <c r="J1258" s="113" t="s">
        <v>12401</v>
      </c>
    </row>
    <row r="1259" spans="1:10" ht="20" customHeight="1" thickBot="1">
      <c r="A1259" s="28" t="s">
        <v>5831</v>
      </c>
      <c r="B1259" s="28" t="s">
        <v>5831</v>
      </c>
      <c r="C1259" s="28" t="s">
        <v>1017</v>
      </c>
      <c r="D1259" s="117">
        <v>11</v>
      </c>
      <c r="E1259" s="122" t="s">
        <v>31</v>
      </c>
      <c r="F1259" s="120" t="s">
        <v>63</v>
      </c>
      <c r="G1259" s="29">
        <v>43701</v>
      </c>
      <c r="H1259" s="28" t="s">
        <v>5832</v>
      </c>
      <c r="I1259" s="114" t="s">
        <v>12400</v>
      </c>
      <c r="J1259" s="114" t="s">
        <v>12401</v>
      </c>
    </row>
    <row r="1260" spans="1:10" ht="20" customHeight="1" thickBot="1">
      <c r="A1260" s="26" t="s">
        <v>5835</v>
      </c>
      <c r="B1260" s="26" t="s">
        <v>5835</v>
      </c>
      <c r="C1260" s="26" t="s">
        <v>4169</v>
      </c>
      <c r="D1260" s="116">
        <v>11</v>
      </c>
      <c r="E1260" s="122" t="s">
        <v>34</v>
      </c>
      <c r="F1260" s="119" t="s">
        <v>57</v>
      </c>
      <c r="G1260" s="27">
        <v>43679</v>
      </c>
      <c r="H1260" s="26" t="s">
        <v>5836</v>
      </c>
      <c r="I1260" s="113" t="s">
        <v>12400</v>
      </c>
      <c r="J1260" s="113" t="s">
        <v>12401</v>
      </c>
    </row>
    <row r="1261" spans="1:10" ht="20" customHeight="1" thickBot="1">
      <c r="A1261" s="28" t="s">
        <v>5839</v>
      </c>
      <c r="B1261" s="28" t="s">
        <v>5839</v>
      </c>
      <c r="C1261" s="28" t="s">
        <v>5840</v>
      </c>
      <c r="D1261" s="117">
        <v>112</v>
      </c>
      <c r="E1261" s="122" t="s">
        <v>31</v>
      </c>
      <c r="F1261" s="120" t="s">
        <v>63</v>
      </c>
      <c r="G1261" s="29">
        <v>42610</v>
      </c>
      <c r="H1261" s="28" t="s">
        <v>5841</v>
      </c>
      <c r="I1261" s="114" t="s">
        <v>12400</v>
      </c>
      <c r="J1261" s="114" t="s">
        <v>12401</v>
      </c>
    </row>
    <row r="1262" spans="1:10" ht="20" customHeight="1" thickBot="1">
      <c r="A1262" s="26" t="s">
        <v>5844</v>
      </c>
      <c r="B1262" s="26" t="s">
        <v>5844</v>
      </c>
      <c r="C1262" s="26" t="s">
        <v>5840</v>
      </c>
      <c r="D1262" s="116">
        <v>112</v>
      </c>
      <c r="E1262" s="122" t="s">
        <v>31</v>
      </c>
      <c r="F1262" s="119" t="s">
        <v>63</v>
      </c>
      <c r="G1262" s="27">
        <v>45184</v>
      </c>
      <c r="H1262" s="26" t="s">
        <v>5845</v>
      </c>
      <c r="I1262" s="113" t="s">
        <v>12400</v>
      </c>
      <c r="J1262" s="113" t="s">
        <v>12401</v>
      </c>
    </row>
    <row r="1263" spans="1:10" ht="20" customHeight="1" thickBot="1">
      <c r="A1263" s="28" t="s">
        <v>5848</v>
      </c>
      <c r="B1263" s="28" t="s">
        <v>5848</v>
      </c>
      <c r="C1263" s="28" t="s">
        <v>5840</v>
      </c>
      <c r="D1263" s="117">
        <v>119</v>
      </c>
      <c r="E1263" s="122" t="s">
        <v>33</v>
      </c>
      <c r="F1263" s="120" t="s">
        <v>63</v>
      </c>
      <c r="G1263" s="29">
        <v>43809</v>
      </c>
      <c r="H1263" s="28" t="s">
        <v>5849</v>
      </c>
      <c r="I1263" s="114" t="s">
        <v>12400</v>
      </c>
      <c r="J1263" s="114" t="s">
        <v>12401</v>
      </c>
    </row>
    <row r="1264" spans="1:10" ht="20" customHeight="1" thickBot="1">
      <c r="A1264" s="26" t="s">
        <v>5852</v>
      </c>
      <c r="B1264" s="26" t="s">
        <v>5852</v>
      </c>
      <c r="C1264" s="26" t="s">
        <v>1402</v>
      </c>
      <c r="D1264" s="116">
        <v>100</v>
      </c>
      <c r="E1264" s="122" t="s">
        <v>29</v>
      </c>
      <c r="F1264" s="119" t="s">
        <v>63</v>
      </c>
      <c r="G1264" s="27">
        <v>45487</v>
      </c>
      <c r="H1264" s="26" t="s">
        <v>5853</v>
      </c>
      <c r="I1264" s="113" t="s">
        <v>12400</v>
      </c>
      <c r="J1264" s="113" t="s">
        <v>12401</v>
      </c>
    </row>
    <row r="1265" spans="1:10" ht="20" customHeight="1" thickBot="1">
      <c r="A1265" s="28" t="s">
        <v>5856</v>
      </c>
      <c r="B1265" s="28" t="s">
        <v>5856</v>
      </c>
      <c r="C1265" s="28" t="s">
        <v>5857</v>
      </c>
      <c r="D1265" s="117">
        <v>15</v>
      </c>
      <c r="E1265" s="122" t="s">
        <v>29</v>
      </c>
      <c r="F1265" s="120" t="s">
        <v>63</v>
      </c>
      <c r="G1265" s="29">
        <v>45020</v>
      </c>
      <c r="H1265" s="28" t="s">
        <v>5858</v>
      </c>
      <c r="I1265" s="114" t="s">
        <v>12400</v>
      </c>
      <c r="J1265" s="114" t="s">
        <v>12401</v>
      </c>
    </row>
    <row r="1266" spans="1:10" ht="20" customHeight="1" thickBot="1">
      <c r="A1266" s="26" t="s">
        <v>5861</v>
      </c>
      <c r="B1266" s="26" t="s">
        <v>5861</v>
      </c>
      <c r="C1266" s="26" t="s">
        <v>5862</v>
      </c>
      <c r="D1266" s="116">
        <v>17</v>
      </c>
      <c r="E1266" s="122" t="s">
        <v>29</v>
      </c>
      <c r="F1266" s="119" t="s">
        <v>63</v>
      </c>
      <c r="G1266" s="27">
        <v>41556</v>
      </c>
      <c r="H1266" s="26" t="s">
        <v>5863</v>
      </c>
      <c r="I1266" s="113" t="s">
        <v>12400</v>
      </c>
      <c r="J1266" s="113" t="s">
        <v>12401</v>
      </c>
    </row>
    <row r="1267" spans="1:10" ht="20" customHeight="1" thickBot="1">
      <c r="A1267" s="28" t="s">
        <v>5866</v>
      </c>
      <c r="B1267" s="28" t="s">
        <v>5866</v>
      </c>
      <c r="C1267" s="28" t="s">
        <v>5867</v>
      </c>
      <c r="D1267" s="117">
        <v>8</v>
      </c>
      <c r="E1267" s="122" t="s">
        <v>29</v>
      </c>
      <c r="F1267" s="120" t="s">
        <v>63</v>
      </c>
      <c r="G1267" s="29">
        <v>43320</v>
      </c>
      <c r="H1267" s="28" t="s">
        <v>5868</v>
      </c>
      <c r="I1267" s="114" t="s">
        <v>12400</v>
      </c>
      <c r="J1267" s="114" t="s">
        <v>12401</v>
      </c>
    </row>
    <row r="1268" spans="1:10" ht="20" customHeight="1" thickBot="1">
      <c r="A1268" s="26" t="s">
        <v>5871</v>
      </c>
      <c r="B1268" s="26" t="s">
        <v>5871</v>
      </c>
      <c r="C1268" s="26" t="s">
        <v>547</v>
      </c>
      <c r="D1268" s="116">
        <v>11</v>
      </c>
      <c r="E1268" s="122" t="s">
        <v>31</v>
      </c>
      <c r="F1268" s="119" t="s">
        <v>63</v>
      </c>
      <c r="G1268" s="27">
        <v>42555</v>
      </c>
      <c r="H1268" s="26" t="s">
        <v>5872</v>
      </c>
      <c r="I1268" s="113" t="s">
        <v>12400</v>
      </c>
      <c r="J1268" s="113" t="s">
        <v>12401</v>
      </c>
    </row>
    <row r="1269" spans="1:10" ht="20" customHeight="1" thickBot="1">
      <c r="A1269" s="28" t="s">
        <v>5875</v>
      </c>
      <c r="B1269" s="28" t="s">
        <v>5875</v>
      </c>
      <c r="C1269" s="28" t="s">
        <v>5876</v>
      </c>
      <c r="D1269" s="117">
        <v>1</v>
      </c>
      <c r="E1269" s="122" t="s">
        <v>31</v>
      </c>
      <c r="F1269" s="120" t="s">
        <v>63</v>
      </c>
      <c r="G1269" s="29">
        <v>43841</v>
      </c>
      <c r="H1269" s="28" t="s">
        <v>5877</v>
      </c>
      <c r="I1269" s="114" t="s">
        <v>12400</v>
      </c>
      <c r="J1269" s="114" t="s">
        <v>12401</v>
      </c>
    </row>
    <row r="1270" spans="1:10" ht="20" customHeight="1" thickBot="1">
      <c r="A1270" s="26" t="s">
        <v>5880</v>
      </c>
      <c r="B1270" s="26" t="s">
        <v>5880</v>
      </c>
      <c r="C1270" s="26" t="s">
        <v>743</v>
      </c>
      <c r="D1270" s="116">
        <v>11</v>
      </c>
      <c r="E1270" s="122" t="s">
        <v>33</v>
      </c>
      <c r="F1270" s="119" t="s">
        <v>57</v>
      </c>
      <c r="G1270" s="27">
        <v>44573</v>
      </c>
      <c r="H1270" s="26" t="s">
        <v>5881</v>
      </c>
      <c r="I1270" s="113" t="s">
        <v>12400</v>
      </c>
      <c r="J1270" s="113" t="s">
        <v>12401</v>
      </c>
    </row>
    <row r="1271" spans="1:10" ht="20" customHeight="1" thickBot="1">
      <c r="A1271" s="28" t="s">
        <v>5884</v>
      </c>
      <c r="B1271" s="28" t="s">
        <v>5884</v>
      </c>
      <c r="C1271" s="28" t="s">
        <v>5885</v>
      </c>
      <c r="D1271" s="117">
        <v>7</v>
      </c>
      <c r="E1271" s="122" t="s">
        <v>29</v>
      </c>
      <c r="F1271" s="120" t="s">
        <v>63</v>
      </c>
      <c r="G1271" s="29">
        <v>44754</v>
      </c>
      <c r="H1271" s="28" t="s">
        <v>5886</v>
      </c>
      <c r="I1271" s="114" t="s">
        <v>12400</v>
      </c>
      <c r="J1271" s="114" t="s">
        <v>12401</v>
      </c>
    </row>
    <row r="1272" spans="1:10" ht="20" customHeight="1" thickBot="1">
      <c r="A1272" s="26" t="s">
        <v>5889</v>
      </c>
      <c r="B1272" s="26" t="s">
        <v>5889</v>
      </c>
      <c r="C1272" s="26" t="s">
        <v>5885</v>
      </c>
      <c r="D1272" s="116">
        <v>6</v>
      </c>
      <c r="E1272" s="122" t="s">
        <v>29</v>
      </c>
      <c r="F1272" s="119" t="s">
        <v>63</v>
      </c>
      <c r="G1272" s="27">
        <v>44573</v>
      </c>
      <c r="H1272" s="26" t="s">
        <v>5890</v>
      </c>
      <c r="I1272" s="113" t="s">
        <v>12400</v>
      </c>
      <c r="J1272" s="113" t="s">
        <v>12401</v>
      </c>
    </row>
    <row r="1273" spans="1:10" ht="20" customHeight="1" thickBot="1">
      <c r="A1273" s="28" t="s">
        <v>5893</v>
      </c>
      <c r="B1273" s="28" t="s">
        <v>5893</v>
      </c>
      <c r="C1273" s="28" t="s">
        <v>5894</v>
      </c>
      <c r="D1273" s="117">
        <v>6</v>
      </c>
      <c r="E1273" s="122" t="s">
        <v>31</v>
      </c>
      <c r="F1273" s="120" t="s">
        <v>57</v>
      </c>
      <c r="G1273" s="29">
        <v>45975</v>
      </c>
      <c r="H1273" s="28" t="s">
        <v>5895</v>
      </c>
      <c r="I1273" s="114" t="s">
        <v>12400</v>
      </c>
      <c r="J1273" s="114" t="s">
        <v>12401</v>
      </c>
    </row>
    <row r="1274" spans="1:10" ht="20" customHeight="1" thickBot="1">
      <c r="A1274" s="26" t="s">
        <v>5898</v>
      </c>
      <c r="B1274" s="26" t="s">
        <v>5898</v>
      </c>
      <c r="C1274" s="26" t="s">
        <v>5894</v>
      </c>
      <c r="D1274" s="116">
        <v>10</v>
      </c>
      <c r="E1274" s="122" t="s">
        <v>34</v>
      </c>
      <c r="F1274" s="119" t="s">
        <v>57</v>
      </c>
      <c r="G1274" s="27">
        <v>45761</v>
      </c>
      <c r="H1274" s="26" t="s">
        <v>5899</v>
      </c>
      <c r="I1274" s="113" t="s">
        <v>12400</v>
      </c>
      <c r="J1274" s="113" t="s">
        <v>12401</v>
      </c>
    </row>
    <row r="1275" spans="1:10" ht="20" customHeight="1" thickBot="1">
      <c r="A1275" s="28" t="s">
        <v>5902</v>
      </c>
      <c r="B1275" s="28" t="s">
        <v>5902</v>
      </c>
      <c r="C1275" s="28" t="s">
        <v>452</v>
      </c>
      <c r="D1275" s="117">
        <v>0</v>
      </c>
      <c r="E1275" s="122" t="s">
        <v>31</v>
      </c>
      <c r="F1275" s="120" t="s">
        <v>57</v>
      </c>
      <c r="G1275" s="29">
        <v>44331</v>
      </c>
      <c r="H1275" s="28" t="s">
        <v>5903</v>
      </c>
      <c r="I1275" s="114" t="s">
        <v>12400</v>
      </c>
      <c r="J1275" s="114" t="s">
        <v>12401</v>
      </c>
    </row>
    <row r="1276" spans="1:10" ht="20" customHeight="1" thickBot="1">
      <c r="A1276" s="26" t="s">
        <v>5906</v>
      </c>
      <c r="B1276" s="26" t="s">
        <v>5906</v>
      </c>
      <c r="C1276" s="26" t="s">
        <v>452</v>
      </c>
      <c r="D1276" s="116">
        <v>1</v>
      </c>
      <c r="E1276" s="122" t="s">
        <v>33</v>
      </c>
      <c r="F1276" s="119" t="s">
        <v>57</v>
      </c>
      <c r="G1276" s="27">
        <v>45491</v>
      </c>
      <c r="H1276" s="26" t="s">
        <v>5907</v>
      </c>
      <c r="I1276" s="113" t="s">
        <v>12400</v>
      </c>
      <c r="J1276" s="113" t="s">
        <v>12401</v>
      </c>
    </row>
    <row r="1277" spans="1:10" ht="20" customHeight="1" thickBot="1">
      <c r="A1277" s="28" t="s">
        <v>5910</v>
      </c>
      <c r="B1277" s="28" t="s">
        <v>5910</v>
      </c>
      <c r="C1277" s="28" t="s">
        <v>452</v>
      </c>
      <c r="D1277" s="117">
        <v>0</v>
      </c>
      <c r="E1277" s="122" t="s">
        <v>31</v>
      </c>
      <c r="F1277" s="120" t="s">
        <v>57</v>
      </c>
      <c r="G1277" s="29">
        <v>44398</v>
      </c>
      <c r="H1277" s="28" t="s">
        <v>5911</v>
      </c>
      <c r="I1277" s="114" t="s">
        <v>12400</v>
      </c>
      <c r="J1277" s="114" t="s">
        <v>12401</v>
      </c>
    </row>
    <row r="1278" spans="1:10" ht="20" customHeight="1" thickBot="1">
      <c r="A1278" s="26" t="s">
        <v>5914</v>
      </c>
      <c r="B1278" s="26" t="s">
        <v>5914</v>
      </c>
      <c r="C1278" s="26" t="s">
        <v>452</v>
      </c>
      <c r="D1278" s="116">
        <v>0</v>
      </c>
      <c r="E1278" s="122" t="s">
        <v>31</v>
      </c>
      <c r="F1278" s="119" t="s">
        <v>57</v>
      </c>
      <c r="G1278" s="27">
        <v>44398</v>
      </c>
      <c r="H1278" s="26" t="s">
        <v>5915</v>
      </c>
      <c r="I1278" s="113" t="s">
        <v>12400</v>
      </c>
      <c r="J1278" s="113" t="s">
        <v>12401</v>
      </c>
    </row>
    <row r="1279" spans="1:10" ht="20" customHeight="1" thickBot="1">
      <c r="A1279" s="28" t="s">
        <v>5918</v>
      </c>
      <c r="B1279" s="28" t="s">
        <v>5918</v>
      </c>
      <c r="C1279" s="28" t="s">
        <v>452</v>
      </c>
      <c r="D1279" s="117">
        <v>0</v>
      </c>
      <c r="E1279" s="122" t="s">
        <v>31</v>
      </c>
      <c r="F1279" s="120" t="s">
        <v>57</v>
      </c>
      <c r="G1279" s="29">
        <v>44398</v>
      </c>
      <c r="H1279" s="28" t="s">
        <v>5919</v>
      </c>
      <c r="I1279" s="114" t="s">
        <v>12400</v>
      </c>
      <c r="J1279" s="114" t="s">
        <v>12401</v>
      </c>
    </row>
    <row r="1280" spans="1:10" ht="20" customHeight="1" thickBot="1">
      <c r="A1280" s="26" t="s">
        <v>5922</v>
      </c>
      <c r="B1280" s="26" t="s">
        <v>5922</v>
      </c>
      <c r="C1280" s="26" t="s">
        <v>452</v>
      </c>
      <c r="D1280" s="116">
        <v>0</v>
      </c>
      <c r="E1280" s="122" t="s">
        <v>31</v>
      </c>
      <c r="F1280" s="119" t="s">
        <v>57</v>
      </c>
      <c r="G1280" s="27">
        <v>44398</v>
      </c>
      <c r="H1280" s="26" t="s">
        <v>5923</v>
      </c>
      <c r="I1280" s="113" t="s">
        <v>12400</v>
      </c>
      <c r="J1280" s="113" t="s">
        <v>12401</v>
      </c>
    </row>
    <row r="1281" spans="1:10" ht="20" customHeight="1" thickBot="1">
      <c r="A1281" s="28" t="s">
        <v>5926</v>
      </c>
      <c r="B1281" s="28" t="s">
        <v>5926</v>
      </c>
      <c r="C1281" s="28" t="s">
        <v>452</v>
      </c>
      <c r="D1281" s="117">
        <v>1</v>
      </c>
      <c r="E1281" s="122" t="s">
        <v>33</v>
      </c>
      <c r="F1281" s="120" t="s">
        <v>57</v>
      </c>
      <c r="G1281" s="29">
        <v>45458</v>
      </c>
      <c r="H1281" s="28" t="s">
        <v>5927</v>
      </c>
      <c r="I1281" s="114" t="s">
        <v>12400</v>
      </c>
      <c r="J1281" s="114" t="s">
        <v>12401</v>
      </c>
    </row>
    <row r="1282" spans="1:10" ht="20" customHeight="1" thickBot="1">
      <c r="A1282" s="26" t="s">
        <v>5930</v>
      </c>
      <c r="B1282" s="26" t="s">
        <v>5930</v>
      </c>
      <c r="C1282" s="26" t="s">
        <v>452</v>
      </c>
      <c r="D1282" s="116">
        <v>1</v>
      </c>
      <c r="E1282" s="122" t="s">
        <v>33</v>
      </c>
      <c r="F1282" s="119" t="s">
        <v>57</v>
      </c>
      <c r="G1282" s="27">
        <v>45641</v>
      </c>
      <c r="H1282" s="26" t="s">
        <v>5931</v>
      </c>
      <c r="I1282" s="113" t="s">
        <v>12400</v>
      </c>
      <c r="J1282" s="113" t="s">
        <v>12401</v>
      </c>
    </row>
    <row r="1283" spans="1:10" ht="20" customHeight="1" thickBot="1">
      <c r="A1283" s="28" t="s">
        <v>5934</v>
      </c>
      <c r="B1283" s="28" t="s">
        <v>5934</v>
      </c>
      <c r="C1283" s="28" t="s">
        <v>452</v>
      </c>
      <c r="D1283" s="117">
        <v>0</v>
      </c>
      <c r="E1283" s="122" t="s">
        <v>31</v>
      </c>
      <c r="F1283" s="120" t="s">
        <v>57</v>
      </c>
      <c r="G1283" s="29">
        <v>44396</v>
      </c>
      <c r="H1283" s="28" t="s">
        <v>5935</v>
      </c>
      <c r="I1283" s="114" t="s">
        <v>12400</v>
      </c>
      <c r="J1283" s="114" t="s">
        <v>12401</v>
      </c>
    </row>
    <row r="1284" spans="1:10" ht="20" customHeight="1" thickBot="1">
      <c r="A1284" s="26" t="s">
        <v>5938</v>
      </c>
      <c r="B1284" s="26" t="s">
        <v>5938</v>
      </c>
      <c r="C1284" s="26" t="s">
        <v>452</v>
      </c>
      <c r="D1284" s="116">
        <v>0</v>
      </c>
      <c r="E1284" s="122" t="s">
        <v>31</v>
      </c>
      <c r="F1284" s="119" t="s">
        <v>57</v>
      </c>
      <c r="G1284" s="27">
        <v>44396</v>
      </c>
      <c r="H1284" s="26" t="s">
        <v>5939</v>
      </c>
      <c r="I1284" s="113" t="s">
        <v>12400</v>
      </c>
      <c r="J1284" s="113" t="s">
        <v>12401</v>
      </c>
    </row>
    <row r="1285" spans="1:10" ht="20" customHeight="1" thickBot="1">
      <c r="A1285" s="28" t="s">
        <v>5942</v>
      </c>
      <c r="B1285" s="28" t="s">
        <v>5942</v>
      </c>
      <c r="C1285" s="28" t="s">
        <v>452</v>
      </c>
      <c r="D1285" s="117">
        <v>0</v>
      </c>
      <c r="E1285" s="122" t="s">
        <v>31</v>
      </c>
      <c r="F1285" s="120" t="s">
        <v>57</v>
      </c>
      <c r="G1285" s="29">
        <v>44398</v>
      </c>
      <c r="H1285" s="28" t="s">
        <v>5943</v>
      </c>
      <c r="I1285" s="114" t="s">
        <v>12400</v>
      </c>
      <c r="J1285" s="114" t="s">
        <v>12401</v>
      </c>
    </row>
    <row r="1286" spans="1:10" ht="20" customHeight="1" thickBot="1">
      <c r="A1286" s="26" t="s">
        <v>5946</v>
      </c>
      <c r="B1286" s="26" t="s">
        <v>5946</v>
      </c>
      <c r="C1286" s="26" t="s">
        <v>452</v>
      </c>
      <c r="D1286" s="116">
        <v>0</v>
      </c>
      <c r="E1286" s="122" t="s">
        <v>31</v>
      </c>
      <c r="F1286" s="119" t="s">
        <v>57</v>
      </c>
      <c r="G1286" s="27">
        <v>44398</v>
      </c>
      <c r="H1286" s="26" t="s">
        <v>5947</v>
      </c>
      <c r="I1286" s="113" t="s">
        <v>12400</v>
      </c>
      <c r="J1286" s="113" t="s">
        <v>12401</v>
      </c>
    </row>
    <row r="1287" spans="1:10" ht="20" customHeight="1" thickBot="1">
      <c r="A1287" s="28" t="s">
        <v>5950</v>
      </c>
      <c r="B1287" s="28" t="s">
        <v>5950</v>
      </c>
      <c r="C1287" s="28" t="s">
        <v>452</v>
      </c>
      <c r="D1287" s="117">
        <v>0</v>
      </c>
      <c r="E1287" s="122" t="s">
        <v>31</v>
      </c>
      <c r="F1287" s="120" t="s">
        <v>57</v>
      </c>
      <c r="G1287" s="29">
        <v>44398</v>
      </c>
      <c r="H1287" s="28" t="s">
        <v>5951</v>
      </c>
      <c r="I1287" s="114" t="s">
        <v>12400</v>
      </c>
      <c r="J1287" s="114" t="s">
        <v>12401</v>
      </c>
    </row>
    <row r="1288" spans="1:10" ht="20" customHeight="1" thickBot="1">
      <c r="A1288" s="26" t="s">
        <v>5954</v>
      </c>
      <c r="B1288" s="26" t="s">
        <v>5954</v>
      </c>
      <c r="C1288" s="26" t="s">
        <v>2215</v>
      </c>
      <c r="D1288" s="116">
        <v>16</v>
      </c>
      <c r="E1288" s="122" t="s">
        <v>34</v>
      </c>
      <c r="F1288" s="119" t="s">
        <v>57</v>
      </c>
      <c r="G1288" s="27">
        <v>44712</v>
      </c>
      <c r="H1288" s="26" t="s">
        <v>5955</v>
      </c>
      <c r="I1288" s="113" t="s">
        <v>12400</v>
      </c>
      <c r="J1288" s="113" t="s">
        <v>12401</v>
      </c>
    </row>
    <row r="1289" spans="1:10" ht="20" customHeight="1" thickBot="1">
      <c r="A1289" s="28" t="s">
        <v>5958</v>
      </c>
      <c r="B1289" s="28" t="s">
        <v>5958</v>
      </c>
      <c r="C1289" s="28" t="s">
        <v>253</v>
      </c>
      <c r="D1289" s="117">
        <v>16</v>
      </c>
      <c r="E1289" s="122" t="s">
        <v>33</v>
      </c>
      <c r="F1289" s="120" t="s">
        <v>57</v>
      </c>
      <c r="G1289" s="29">
        <v>43386</v>
      </c>
      <c r="H1289" s="28" t="s">
        <v>5959</v>
      </c>
      <c r="I1289" s="114" t="s">
        <v>12400</v>
      </c>
      <c r="J1289" s="114" t="s">
        <v>12401</v>
      </c>
    </row>
    <row r="1290" spans="1:10" ht="20" customHeight="1" thickBot="1">
      <c r="A1290" s="26" t="s">
        <v>5962</v>
      </c>
      <c r="B1290" s="26" t="s">
        <v>5962</v>
      </c>
      <c r="C1290" s="26" t="s">
        <v>253</v>
      </c>
      <c r="D1290" s="116">
        <v>20</v>
      </c>
      <c r="E1290" s="122" t="s">
        <v>34</v>
      </c>
      <c r="F1290" s="119" t="s">
        <v>57</v>
      </c>
      <c r="G1290" s="27">
        <v>43680</v>
      </c>
      <c r="H1290" s="26" t="s">
        <v>5963</v>
      </c>
      <c r="I1290" s="113" t="s">
        <v>12400</v>
      </c>
      <c r="J1290" s="113" t="s">
        <v>12401</v>
      </c>
    </row>
    <row r="1291" spans="1:10" ht="20" customHeight="1" thickBot="1">
      <c r="A1291" s="28" t="s">
        <v>5966</v>
      </c>
      <c r="B1291" s="28" t="s">
        <v>5966</v>
      </c>
      <c r="C1291" s="28" t="s">
        <v>253</v>
      </c>
      <c r="D1291" s="117">
        <v>12</v>
      </c>
      <c r="E1291" s="122" t="s">
        <v>34</v>
      </c>
      <c r="F1291" s="120" t="s">
        <v>57</v>
      </c>
      <c r="G1291" s="29">
        <v>43963</v>
      </c>
      <c r="H1291" s="28" t="s">
        <v>5967</v>
      </c>
      <c r="I1291" s="114" t="s">
        <v>12400</v>
      </c>
      <c r="J1291" s="114" t="s">
        <v>12401</v>
      </c>
    </row>
    <row r="1292" spans="1:10" ht="20" customHeight="1" thickBot="1">
      <c r="A1292" s="26" t="s">
        <v>5970</v>
      </c>
      <c r="B1292" s="26" t="s">
        <v>5970</v>
      </c>
      <c r="C1292" s="26" t="s">
        <v>5971</v>
      </c>
      <c r="D1292" s="116">
        <v>14</v>
      </c>
      <c r="E1292" s="122" t="s">
        <v>33</v>
      </c>
      <c r="F1292" s="119" t="s">
        <v>63</v>
      </c>
      <c r="G1292" s="27">
        <v>46029</v>
      </c>
      <c r="H1292" s="26" t="s">
        <v>5972</v>
      </c>
      <c r="I1292" s="113" t="s">
        <v>12400</v>
      </c>
      <c r="J1292" s="113" t="s">
        <v>12401</v>
      </c>
    </row>
    <row r="1293" spans="1:10" ht="20" customHeight="1" thickBot="1">
      <c r="A1293" s="28" t="s">
        <v>5975</v>
      </c>
      <c r="B1293" s="28" t="s">
        <v>5975</v>
      </c>
      <c r="C1293" s="28" t="s">
        <v>452</v>
      </c>
      <c r="D1293" s="117">
        <v>27</v>
      </c>
      <c r="E1293" s="122" t="s">
        <v>31</v>
      </c>
      <c r="F1293" s="120" t="s">
        <v>57</v>
      </c>
      <c r="G1293" s="29">
        <v>44405</v>
      </c>
      <c r="H1293" s="28" t="s">
        <v>5976</v>
      </c>
      <c r="I1293" s="114" t="s">
        <v>12400</v>
      </c>
      <c r="J1293" s="114" t="s">
        <v>12401</v>
      </c>
    </row>
    <row r="1294" spans="1:10" ht="20" customHeight="1" thickBot="1">
      <c r="A1294" s="26" t="s">
        <v>5979</v>
      </c>
      <c r="B1294" s="26" t="s">
        <v>5979</v>
      </c>
      <c r="C1294" s="26" t="s">
        <v>452</v>
      </c>
      <c r="D1294" s="116">
        <v>19</v>
      </c>
      <c r="E1294" s="122" t="s">
        <v>34</v>
      </c>
      <c r="F1294" s="119" t="s">
        <v>57</v>
      </c>
      <c r="G1294" s="27">
        <v>45305</v>
      </c>
      <c r="H1294" s="26" t="s">
        <v>5980</v>
      </c>
      <c r="I1294" s="113" t="s">
        <v>12400</v>
      </c>
      <c r="J1294" s="113" t="s">
        <v>12401</v>
      </c>
    </row>
    <row r="1295" spans="1:10" ht="20" customHeight="1" thickBot="1">
      <c r="A1295" s="28" t="s">
        <v>5983</v>
      </c>
      <c r="B1295" s="28" t="s">
        <v>5983</v>
      </c>
      <c r="C1295" s="28" t="s">
        <v>865</v>
      </c>
      <c r="D1295" s="117">
        <v>20</v>
      </c>
      <c r="E1295" s="122" t="s">
        <v>34</v>
      </c>
      <c r="F1295" s="120" t="s">
        <v>57</v>
      </c>
      <c r="G1295" s="29">
        <v>46212</v>
      </c>
      <c r="H1295" s="28" t="s">
        <v>5984</v>
      </c>
      <c r="I1295" s="114" t="s">
        <v>12400</v>
      </c>
      <c r="J1295" s="114" t="s">
        <v>12401</v>
      </c>
    </row>
    <row r="1296" spans="1:10" ht="20" customHeight="1" thickBot="1">
      <c r="A1296" s="26" t="s">
        <v>5987</v>
      </c>
      <c r="B1296" s="26" t="s">
        <v>5987</v>
      </c>
      <c r="C1296" s="26" t="s">
        <v>5988</v>
      </c>
      <c r="D1296" s="116">
        <v>17</v>
      </c>
      <c r="E1296" s="122" t="s">
        <v>34</v>
      </c>
      <c r="F1296" s="119" t="s">
        <v>57</v>
      </c>
      <c r="G1296" s="27">
        <v>44445</v>
      </c>
      <c r="H1296" s="26" t="s">
        <v>5989</v>
      </c>
      <c r="I1296" s="113" t="s">
        <v>12400</v>
      </c>
      <c r="J1296" s="113" t="s">
        <v>12401</v>
      </c>
    </row>
    <row r="1297" spans="1:10" ht="20" customHeight="1" thickBot="1">
      <c r="A1297" s="28" t="s">
        <v>5992</v>
      </c>
      <c r="B1297" s="28" t="s">
        <v>5992</v>
      </c>
      <c r="C1297" s="28" t="s">
        <v>5993</v>
      </c>
      <c r="D1297" s="117">
        <v>1</v>
      </c>
      <c r="E1297" s="122" t="s">
        <v>33</v>
      </c>
      <c r="F1297" s="120" t="s">
        <v>57</v>
      </c>
      <c r="G1297" s="29">
        <v>44263</v>
      </c>
      <c r="H1297" s="28" t="s">
        <v>5994</v>
      </c>
      <c r="I1297" s="114" t="s">
        <v>12400</v>
      </c>
      <c r="J1297" s="114" t="s">
        <v>12401</v>
      </c>
    </row>
    <row r="1298" spans="1:10" ht="20" customHeight="1" thickBot="1">
      <c r="A1298" s="26" t="s">
        <v>5997</v>
      </c>
      <c r="B1298" s="26" t="s">
        <v>5997</v>
      </c>
      <c r="C1298" s="26" t="s">
        <v>5998</v>
      </c>
      <c r="D1298" s="116">
        <v>12</v>
      </c>
      <c r="E1298" s="122" t="s">
        <v>34</v>
      </c>
      <c r="F1298" s="119" t="s">
        <v>57</v>
      </c>
      <c r="G1298" s="27">
        <v>44840</v>
      </c>
      <c r="H1298" s="26" t="s">
        <v>5999</v>
      </c>
      <c r="I1298" s="113" t="s">
        <v>12400</v>
      </c>
      <c r="J1298" s="113" t="s">
        <v>12401</v>
      </c>
    </row>
    <row r="1299" spans="1:10" ht="20" customHeight="1" thickBot="1">
      <c r="A1299" s="28" t="s">
        <v>6002</v>
      </c>
      <c r="B1299" s="28" t="s">
        <v>6002</v>
      </c>
      <c r="C1299" s="28" t="s">
        <v>704</v>
      </c>
      <c r="D1299" s="117">
        <v>9</v>
      </c>
      <c r="E1299" s="122" t="s">
        <v>33</v>
      </c>
      <c r="F1299" s="120" t="s">
        <v>115</v>
      </c>
      <c r="G1299" s="29">
        <v>44586</v>
      </c>
      <c r="H1299" s="28" t="s">
        <v>6003</v>
      </c>
      <c r="I1299" s="114" t="s">
        <v>12400</v>
      </c>
      <c r="J1299" s="114" t="s">
        <v>12401</v>
      </c>
    </row>
    <row r="1300" spans="1:10" ht="20" customHeight="1" thickBot="1">
      <c r="A1300" s="26" t="s">
        <v>6006</v>
      </c>
      <c r="B1300" s="26" t="s">
        <v>6006</v>
      </c>
      <c r="C1300" s="26" t="s">
        <v>2269</v>
      </c>
      <c r="D1300" s="116">
        <v>4</v>
      </c>
      <c r="E1300" s="122" t="s">
        <v>35</v>
      </c>
      <c r="F1300" s="119" t="s">
        <v>6007</v>
      </c>
      <c r="G1300" s="27">
        <v>45799</v>
      </c>
      <c r="H1300" s="26" t="s">
        <v>6008</v>
      </c>
      <c r="I1300" s="113" t="s">
        <v>12400</v>
      </c>
      <c r="J1300" s="113" t="s">
        <v>12401</v>
      </c>
    </row>
    <row r="1301" spans="1:10" ht="20" customHeight="1" thickBot="1">
      <c r="A1301" s="28" t="s">
        <v>6011</v>
      </c>
      <c r="B1301" s="28" t="s">
        <v>6011</v>
      </c>
      <c r="C1301" s="28" t="s">
        <v>6012</v>
      </c>
      <c r="D1301" s="117">
        <v>5</v>
      </c>
      <c r="E1301" s="122" t="s">
        <v>34</v>
      </c>
      <c r="F1301" s="120" t="s">
        <v>57</v>
      </c>
      <c r="G1301" s="29">
        <v>45003</v>
      </c>
      <c r="H1301" s="28" t="s">
        <v>6013</v>
      </c>
      <c r="I1301" s="114" t="s">
        <v>12400</v>
      </c>
      <c r="J1301" s="114" t="s">
        <v>12401</v>
      </c>
    </row>
    <row r="1302" spans="1:10" ht="20" customHeight="1" thickBot="1">
      <c r="A1302" s="26" t="s">
        <v>6016</v>
      </c>
      <c r="B1302" s="26" t="s">
        <v>6016</v>
      </c>
      <c r="C1302" s="26" t="s">
        <v>870</v>
      </c>
      <c r="D1302" s="116">
        <v>1</v>
      </c>
      <c r="E1302" s="122" t="s">
        <v>36</v>
      </c>
      <c r="F1302" s="119" t="s">
        <v>89</v>
      </c>
      <c r="G1302" s="27">
        <v>45403</v>
      </c>
      <c r="H1302" s="26" t="s">
        <v>6017</v>
      </c>
      <c r="I1302" s="113" t="s">
        <v>12400</v>
      </c>
      <c r="J1302" s="113" t="s">
        <v>12401</v>
      </c>
    </row>
    <row r="1303" spans="1:10" ht="20" customHeight="1" thickBot="1">
      <c r="A1303" s="28" t="s">
        <v>6020</v>
      </c>
      <c r="B1303" s="28" t="s">
        <v>6020</v>
      </c>
      <c r="C1303" s="28" t="s">
        <v>6021</v>
      </c>
      <c r="D1303" s="117">
        <v>119</v>
      </c>
      <c r="E1303" s="122" t="s">
        <v>34</v>
      </c>
      <c r="F1303" s="120" t="s">
        <v>63</v>
      </c>
      <c r="G1303" s="29">
        <v>45433</v>
      </c>
      <c r="H1303" s="28" t="s">
        <v>6022</v>
      </c>
      <c r="I1303" s="114" t="s">
        <v>12400</v>
      </c>
      <c r="J1303" s="114" t="s">
        <v>12401</v>
      </c>
    </row>
    <row r="1304" spans="1:10" ht="20" customHeight="1" thickBot="1">
      <c r="A1304" s="26" t="s">
        <v>6025</v>
      </c>
      <c r="B1304" s="26" t="s">
        <v>6025</v>
      </c>
      <c r="C1304" s="26" t="s">
        <v>1097</v>
      </c>
      <c r="D1304" s="116">
        <v>20</v>
      </c>
      <c r="E1304" s="122" t="s">
        <v>31</v>
      </c>
      <c r="F1304" s="119" t="s">
        <v>63</v>
      </c>
      <c r="G1304" s="27">
        <v>43136</v>
      </c>
      <c r="H1304" s="26" t="s">
        <v>6026</v>
      </c>
      <c r="I1304" s="113" t="s">
        <v>12400</v>
      </c>
      <c r="J1304" s="113" t="s">
        <v>12401</v>
      </c>
    </row>
    <row r="1305" spans="1:10" ht="20" customHeight="1" thickBot="1">
      <c r="A1305" s="28" t="s">
        <v>6029</v>
      </c>
      <c r="B1305" s="28" t="s">
        <v>6029</v>
      </c>
      <c r="C1305" s="28" t="s">
        <v>2142</v>
      </c>
      <c r="D1305" s="117">
        <v>0</v>
      </c>
      <c r="E1305" s="122" t="s">
        <v>35</v>
      </c>
      <c r="F1305" s="120" t="s">
        <v>57</v>
      </c>
      <c r="G1305" s="29">
        <v>43774</v>
      </c>
      <c r="H1305" s="28" t="s">
        <v>6030</v>
      </c>
      <c r="I1305" s="114" t="s">
        <v>12400</v>
      </c>
      <c r="J1305" s="114" t="s">
        <v>12401</v>
      </c>
    </row>
    <row r="1306" spans="1:10" ht="20" customHeight="1" thickBot="1">
      <c r="A1306" s="26" t="s">
        <v>6033</v>
      </c>
      <c r="B1306" s="26" t="s">
        <v>6033</v>
      </c>
      <c r="C1306" s="26" t="s">
        <v>2493</v>
      </c>
      <c r="D1306" s="116">
        <v>22</v>
      </c>
      <c r="E1306" s="122" t="s">
        <v>33</v>
      </c>
      <c r="F1306" s="119" t="s">
        <v>63</v>
      </c>
      <c r="G1306" s="27">
        <v>43114</v>
      </c>
      <c r="H1306" s="26" t="s">
        <v>6034</v>
      </c>
      <c r="I1306" s="113" t="s">
        <v>12400</v>
      </c>
      <c r="J1306" s="113" t="s">
        <v>12401</v>
      </c>
    </row>
    <row r="1307" spans="1:10" ht="20" customHeight="1" thickBot="1">
      <c r="A1307" s="28" t="s">
        <v>6037</v>
      </c>
      <c r="B1307" s="28" t="s">
        <v>6037</v>
      </c>
      <c r="C1307" s="28" t="s">
        <v>6038</v>
      </c>
      <c r="D1307" s="117">
        <v>19</v>
      </c>
      <c r="E1307" s="122" t="s">
        <v>31</v>
      </c>
      <c r="F1307" s="120" t="s">
        <v>63</v>
      </c>
      <c r="G1307" s="29">
        <v>44266</v>
      </c>
      <c r="H1307" s="28" t="s">
        <v>6039</v>
      </c>
      <c r="I1307" s="114" t="s">
        <v>12400</v>
      </c>
      <c r="J1307" s="114" t="s">
        <v>12401</v>
      </c>
    </row>
    <row r="1308" spans="1:10" ht="20" customHeight="1" thickBot="1">
      <c r="A1308" s="26" t="s">
        <v>6042</v>
      </c>
      <c r="B1308" s="26" t="s">
        <v>6042</v>
      </c>
      <c r="C1308" s="26" t="s">
        <v>4638</v>
      </c>
      <c r="D1308" s="116">
        <v>32</v>
      </c>
      <c r="E1308" s="122" t="s">
        <v>31</v>
      </c>
      <c r="F1308" s="119" t="s">
        <v>63</v>
      </c>
      <c r="G1308" s="27">
        <v>42699</v>
      </c>
      <c r="H1308" s="26" t="s">
        <v>6043</v>
      </c>
      <c r="I1308" s="113" t="s">
        <v>12400</v>
      </c>
      <c r="J1308" s="113" t="s">
        <v>12401</v>
      </c>
    </row>
    <row r="1309" spans="1:10" ht="20" customHeight="1" thickBot="1">
      <c r="A1309" s="28" t="s">
        <v>6046</v>
      </c>
      <c r="B1309" s="28" t="s">
        <v>6046</v>
      </c>
      <c r="C1309" s="28" t="s">
        <v>4638</v>
      </c>
      <c r="D1309" s="117">
        <v>5</v>
      </c>
      <c r="E1309" s="122" t="s">
        <v>31</v>
      </c>
      <c r="F1309" s="120" t="s">
        <v>63</v>
      </c>
      <c r="G1309" s="29">
        <v>42709</v>
      </c>
      <c r="H1309" s="28" t="s">
        <v>6047</v>
      </c>
      <c r="I1309" s="114" t="s">
        <v>12400</v>
      </c>
      <c r="J1309" s="114" t="s">
        <v>12401</v>
      </c>
    </row>
    <row r="1310" spans="1:10" ht="20" customHeight="1" thickBot="1">
      <c r="A1310" s="26" t="s">
        <v>6050</v>
      </c>
      <c r="B1310" s="26" t="s">
        <v>6050</v>
      </c>
      <c r="C1310" s="26" t="s">
        <v>233</v>
      </c>
      <c r="D1310" s="116">
        <v>12</v>
      </c>
      <c r="E1310" s="122" t="s">
        <v>31</v>
      </c>
      <c r="F1310" s="119" t="s">
        <v>63</v>
      </c>
      <c r="G1310" s="27">
        <v>44843</v>
      </c>
      <c r="H1310" s="26" t="s">
        <v>6051</v>
      </c>
      <c r="I1310" s="113" t="s">
        <v>12400</v>
      </c>
      <c r="J1310" s="113" t="s">
        <v>12401</v>
      </c>
    </row>
    <row r="1311" spans="1:10" ht="20" customHeight="1" thickBot="1">
      <c r="A1311" s="28" t="s">
        <v>6054</v>
      </c>
      <c r="B1311" s="28" t="s">
        <v>6054</v>
      </c>
      <c r="C1311" s="28" t="s">
        <v>6055</v>
      </c>
      <c r="D1311" s="117">
        <v>22</v>
      </c>
      <c r="E1311" s="122" t="s">
        <v>33</v>
      </c>
      <c r="F1311" s="120" t="s">
        <v>57</v>
      </c>
      <c r="G1311" s="29">
        <v>45399</v>
      </c>
      <c r="H1311" s="28" t="s">
        <v>6056</v>
      </c>
      <c r="I1311" s="114" t="s">
        <v>12400</v>
      </c>
      <c r="J1311" s="114" t="s">
        <v>12401</v>
      </c>
    </row>
    <row r="1312" spans="1:10" ht="20" customHeight="1" thickBot="1">
      <c r="A1312" s="26" t="s">
        <v>6059</v>
      </c>
      <c r="B1312" s="26" t="s">
        <v>6059</v>
      </c>
      <c r="C1312" s="26" t="s">
        <v>4619</v>
      </c>
      <c r="D1312" s="116">
        <v>39</v>
      </c>
      <c r="E1312" s="122" t="s">
        <v>33</v>
      </c>
      <c r="F1312" s="119" t="s">
        <v>63</v>
      </c>
      <c r="G1312" s="27">
        <v>42671</v>
      </c>
      <c r="H1312" s="26" t="s">
        <v>6060</v>
      </c>
      <c r="I1312" s="113" t="s">
        <v>12400</v>
      </c>
      <c r="J1312" s="113" t="s">
        <v>12401</v>
      </c>
    </row>
    <row r="1313" spans="1:10" ht="20" customHeight="1" thickBot="1">
      <c r="A1313" s="28" t="s">
        <v>6063</v>
      </c>
      <c r="B1313" s="28" t="s">
        <v>6063</v>
      </c>
      <c r="C1313" s="28" t="s">
        <v>6064</v>
      </c>
      <c r="D1313" s="117">
        <v>28</v>
      </c>
      <c r="E1313" s="122" t="s">
        <v>34</v>
      </c>
      <c r="F1313" s="120" t="s">
        <v>57</v>
      </c>
      <c r="G1313" s="29">
        <v>44425</v>
      </c>
      <c r="H1313" s="28" t="s">
        <v>6065</v>
      </c>
      <c r="I1313" s="114" t="s">
        <v>12400</v>
      </c>
      <c r="J1313" s="114" t="s">
        <v>12401</v>
      </c>
    </row>
    <row r="1314" spans="1:10" ht="20" customHeight="1" thickBot="1">
      <c r="A1314" s="26" t="s">
        <v>6068</v>
      </c>
      <c r="B1314" s="26" t="s">
        <v>6068</v>
      </c>
      <c r="C1314" s="26" t="s">
        <v>6064</v>
      </c>
      <c r="D1314" s="116">
        <v>28</v>
      </c>
      <c r="E1314" s="122" t="s">
        <v>34</v>
      </c>
      <c r="F1314" s="119" t="s">
        <v>57</v>
      </c>
      <c r="G1314" s="27">
        <v>44964</v>
      </c>
      <c r="H1314" s="26" t="s">
        <v>6069</v>
      </c>
      <c r="I1314" s="113" t="s">
        <v>12400</v>
      </c>
      <c r="J1314" s="113" t="s">
        <v>12401</v>
      </c>
    </row>
    <row r="1315" spans="1:10" ht="20" customHeight="1" thickBot="1">
      <c r="A1315" s="28" t="s">
        <v>6072</v>
      </c>
      <c r="B1315" s="28" t="s">
        <v>6072</v>
      </c>
      <c r="C1315" s="28" t="s">
        <v>6073</v>
      </c>
      <c r="D1315" s="117">
        <v>15</v>
      </c>
      <c r="E1315" s="122" t="s">
        <v>34</v>
      </c>
      <c r="F1315" s="120" t="s">
        <v>57</v>
      </c>
      <c r="G1315" s="29">
        <v>46173</v>
      </c>
      <c r="H1315" s="28" t="s">
        <v>6074</v>
      </c>
      <c r="I1315" s="114" t="s">
        <v>12400</v>
      </c>
      <c r="J1315" s="114" t="s">
        <v>12401</v>
      </c>
    </row>
    <row r="1316" spans="1:10" ht="20" customHeight="1" thickBot="1">
      <c r="A1316" s="26" t="s">
        <v>6077</v>
      </c>
      <c r="B1316" s="26" t="s">
        <v>6077</v>
      </c>
      <c r="C1316" s="26" t="s">
        <v>1306</v>
      </c>
      <c r="D1316" s="116">
        <v>26</v>
      </c>
      <c r="E1316" s="122" t="s">
        <v>33</v>
      </c>
      <c r="F1316" s="119" t="s">
        <v>115</v>
      </c>
      <c r="G1316" s="27">
        <v>44595</v>
      </c>
      <c r="H1316" s="26" t="s">
        <v>6078</v>
      </c>
      <c r="I1316" s="113" t="s">
        <v>12400</v>
      </c>
      <c r="J1316" s="113" t="s">
        <v>12401</v>
      </c>
    </row>
    <row r="1317" spans="1:10" ht="20" customHeight="1" thickBot="1">
      <c r="A1317" s="28" t="s">
        <v>6081</v>
      </c>
      <c r="B1317" s="28" t="s">
        <v>6081</v>
      </c>
      <c r="C1317" s="28" t="s">
        <v>723</v>
      </c>
      <c r="D1317" s="117">
        <v>14</v>
      </c>
      <c r="E1317" s="122" t="s">
        <v>34</v>
      </c>
      <c r="F1317" s="120" t="s">
        <v>57</v>
      </c>
      <c r="G1317" s="29">
        <v>46017</v>
      </c>
      <c r="H1317" s="28" t="s">
        <v>6082</v>
      </c>
      <c r="I1317" s="114" t="s">
        <v>12400</v>
      </c>
      <c r="J1317" s="114" t="s">
        <v>12401</v>
      </c>
    </row>
    <row r="1318" spans="1:10" ht="20" customHeight="1" thickBot="1">
      <c r="A1318" s="26" t="s">
        <v>6085</v>
      </c>
      <c r="B1318" s="26" t="s">
        <v>6085</v>
      </c>
      <c r="C1318" s="26" t="s">
        <v>6086</v>
      </c>
      <c r="D1318" s="116">
        <v>7</v>
      </c>
      <c r="E1318" s="122" t="s">
        <v>31</v>
      </c>
      <c r="F1318" s="119" t="s">
        <v>57</v>
      </c>
      <c r="G1318" s="27">
        <v>45317</v>
      </c>
      <c r="H1318" s="26" t="s">
        <v>6087</v>
      </c>
      <c r="I1318" s="113" t="s">
        <v>12400</v>
      </c>
      <c r="J1318" s="113" t="s">
        <v>12401</v>
      </c>
    </row>
    <row r="1319" spans="1:10" ht="20" customHeight="1" thickBot="1">
      <c r="A1319" s="28" t="s">
        <v>6090</v>
      </c>
      <c r="B1319" s="28" t="s">
        <v>6090</v>
      </c>
      <c r="C1319" s="28" t="s">
        <v>6091</v>
      </c>
      <c r="D1319" s="117">
        <v>6</v>
      </c>
      <c r="E1319" s="122" t="s">
        <v>27</v>
      </c>
      <c r="F1319" s="120" t="s">
        <v>63</v>
      </c>
      <c r="G1319" s="29">
        <v>41461</v>
      </c>
      <c r="H1319" s="28" t="s">
        <v>6092</v>
      </c>
      <c r="I1319" s="114" t="s">
        <v>12400</v>
      </c>
      <c r="J1319" s="114" t="s">
        <v>12401</v>
      </c>
    </row>
    <row r="1320" spans="1:10" ht="20" customHeight="1" thickBot="1">
      <c r="A1320" s="26" t="s">
        <v>6095</v>
      </c>
      <c r="B1320" s="26" t="s">
        <v>6095</v>
      </c>
      <c r="C1320" s="26" t="s">
        <v>6096</v>
      </c>
      <c r="D1320" s="116">
        <v>28</v>
      </c>
      <c r="E1320" s="122" t="s">
        <v>35</v>
      </c>
      <c r="F1320" s="119" t="s">
        <v>57</v>
      </c>
      <c r="G1320" s="27">
        <v>45202</v>
      </c>
      <c r="H1320" s="26" t="s">
        <v>6097</v>
      </c>
      <c r="I1320" s="113" t="s">
        <v>12400</v>
      </c>
      <c r="J1320" s="113" t="s">
        <v>12401</v>
      </c>
    </row>
    <row r="1321" spans="1:10" ht="20" customHeight="1" thickBot="1">
      <c r="A1321" s="28" t="s">
        <v>6100</v>
      </c>
      <c r="B1321" s="28" t="s">
        <v>6100</v>
      </c>
      <c r="C1321" s="28" t="s">
        <v>6101</v>
      </c>
      <c r="D1321" s="117">
        <v>26</v>
      </c>
      <c r="E1321" s="122" t="s">
        <v>35</v>
      </c>
      <c r="F1321" s="120" t="s">
        <v>57</v>
      </c>
      <c r="G1321" s="29">
        <v>45654</v>
      </c>
      <c r="H1321" s="28" t="s">
        <v>6102</v>
      </c>
      <c r="I1321" s="114" t="s">
        <v>12400</v>
      </c>
      <c r="J1321" s="114" t="s">
        <v>12401</v>
      </c>
    </row>
    <row r="1322" spans="1:10" ht="20" customHeight="1" thickBot="1">
      <c r="A1322" s="26" t="s">
        <v>6105</v>
      </c>
      <c r="B1322" s="26" t="s">
        <v>6105</v>
      </c>
      <c r="C1322" s="26" t="s">
        <v>3028</v>
      </c>
      <c r="D1322" s="116">
        <v>6</v>
      </c>
      <c r="E1322" s="122" t="s">
        <v>31</v>
      </c>
      <c r="F1322" s="119" t="s">
        <v>57</v>
      </c>
      <c r="G1322" s="27">
        <v>44426</v>
      </c>
      <c r="H1322" s="26" t="s">
        <v>6106</v>
      </c>
      <c r="I1322" s="113" t="s">
        <v>12400</v>
      </c>
      <c r="J1322" s="113" t="s">
        <v>12401</v>
      </c>
    </row>
    <row r="1323" spans="1:10" ht="20" customHeight="1" thickBot="1">
      <c r="A1323" s="28" t="s">
        <v>6109</v>
      </c>
      <c r="B1323" s="28" t="s">
        <v>6109</v>
      </c>
      <c r="C1323" s="28" t="s">
        <v>6110</v>
      </c>
      <c r="D1323" s="117">
        <v>7</v>
      </c>
      <c r="E1323" s="122" t="s">
        <v>31</v>
      </c>
      <c r="F1323" s="120" t="s">
        <v>63</v>
      </c>
      <c r="G1323" s="29">
        <v>44025</v>
      </c>
      <c r="H1323" s="28" t="s">
        <v>6111</v>
      </c>
      <c r="I1323" s="114" t="s">
        <v>12400</v>
      </c>
      <c r="J1323" s="114" t="s">
        <v>12401</v>
      </c>
    </row>
    <row r="1324" spans="1:10" ht="20" customHeight="1" thickBot="1">
      <c r="A1324" s="26" t="s">
        <v>6114</v>
      </c>
      <c r="B1324" s="26" t="s">
        <v>6114</v>
      </c>
      <c r="C1324" s="26" t="s">
        <v>3865</v>
      </c>
      <c r="D1324" s="116">
        <v>3</v>
      </c>
      <c r="E1324" s="122" t="s">
        <v>35</v>
      </c>
      <c r="F1324" s="119" t="s">
        <v>57</v>
      </c>
      <c r="G1324" s="27">
        <v>44673</v>
      </c>
      <c r="H1324" s="26" t="s">
        <v>6115</v>
      </c>
      <c r="I1324" s="113" t="s">
        <v>12400</v>
      </c>
      <c r="J1324" s="113" t="s">
        <v>12401</v>
      </c>
    </row>
    <row r="1325" spans="1:10" ht="20" customHeight="1" thickBot="1">
      <c r="A1325" s="28" t="s">
        <v>6118</v>
      </c>
      <c r="B1325" s="28" t="s">
        <v>6118</v>
      </c>
      <c r="C1325" s="28" t="s">
        <v>6119</v>
      </c>
      <c r="D1325" s="117">
        <v>15</v>
      </c>
      <c r="E1325" s="122" t="s">
        <v>33</v>
      </c>
      <c r="F1325" s="120" t="s">
        <v>57</v>
      </c>
      <c r="G1325" s="29">
        <v>45424</v>
      </c>
      <c r="H1325" s="28" t="s">
        <v>6120</v>
      </c>
      <c r="I1325" s="114" t="s">
        <v>12400</v>
      </c>
      <c r="J1325" s="114" t="s">
        <v>12401</v>
      </c>
    </row>
    <row r="1326" spans="1:10" ht="20" customHeight="1" thickBot="1">
      <c r="A1326" s="26" t="s">
        <v>6123</v>
      </c>
      <c r="B1326" s="26" t="s">
        <v>6123</v>
      </c>
      <c r="C1326" s="26" t="s">
        <v>1870</v>
      </c>
      <c r="D1326" s="116">
        <v>16</v>
      </c>
      <c r="E1326" s="122" t="s">
        <v>35</v>
      </c>
      <c r="F1326" s="119" t="s">
        <v>57</v>
      </c>
      <c r="G1326" s="27">
        <v>45740</v>
      </c>
      <c r="H1326" s="26" t="s">
        <v>6124</v>
      </c>
      <c r="I1326" s="113" t="s">
        <v>12400</v>
      </c>
      <c r="J1326" s="113" t="s">
        <v>12401</v>
      </c>
    </row>
    <row r="1327" spans="1:10" ht="20" customHeight="1" thickBot="1">
      <c r="A1327" s="28" t="s">
        <v>6127</v>
      </c>
      <c r="B1327" s="28" t="s">
        <v>6127</v>
      </c>
      <c r="C1327" s="28" t="s">
        <v>2081</v>
      </c>
      <c r="D1327" s="117">
        <v>6</v>
      </c>
      <c r="E1327" s="122" t="s">
        <v>33</v>
      </c>
      <c r="F1327" s="120" t="s">
        <v>57</v>
      </c>
      <c r="G1327" s="29">
        <v>45468</v>
      </c>
      <c r="H1327" s="28" t="s">
        <v>6128</v>
      </c>
      <c r="I1327" s="114" t="s">
        <v>12400</v>
      </c>
      <c r="J1327" s="114" t="s">
        <v>12401</v>
      </c>
    </row>
    <row r="1328" spans="1:10" ht="20" customHeight="1" thickBot="1">
      <c r="A1328" s="26" t="s">
        <v>6131</v>
      </c>
      <c r="B1328" s="26" t="s">
        <v>6131</v>
      </c>
      <c r="C1328" s="26" t="s">
        <v>6132</v>
      </c>
      <c r="D1328" s="116">
        <v>8</v>
      </c>
      <c r="E1328" s="122" t="s">
        <v>35</v>
      </c>
      <c r="F1328" s="119" t="s">
        <v>57</v>
      </c>
      <c r="G1328" s="27">
        <v>46117</v>
      </c>
      <c r="H1328" s="26" t="s">
        <v>6133</v>
      </c>
      <c r="I1328" s="113" t="s">
        <v>12400</v>
      </c>
      <c r="J1328" s="113" t="s">
        <v>12401</v>
      </c>
    </row>
    <row r="1329" spans="1:10" ht="20" customHeight="1" thickBot="1">
      <c r="A1329" s="28" t="s">
        <v>6136</v>
      </c>
      <c r="B1329" s="28" t="s">
        <v>6136</v>
      </c>
      <c r="C1329" s="28" t="s">
        <v>6137</v>
      </c>
      <c r="D1329" s="117">
        <v>14</v>
      </c>
      <c r="E1329" s="122" t="s">
        <v>33</v>
      </c>
      <c r="F1329" s="120" t="s">
        <v>57</v>
      </c>
      <c r="G1329" s="29">
        <v>45336</v>
      </c>
      <c r="H1329" s="28" t="s">
        <v>6138</v>
      </c>
      <c r="I1329" s="114" t="s">
        <v>12400</v>
      </c>
      <c r="J1329" s="114" t="s">
        <v>12401</v>
      </c>
    </row>
    <row r="1330" spans="1:10" ht="20" customHeight="1" thickBot="1">
      <c r="A1330" s="26" t="s">
        <v>6141</v>
      </c>
      <c r="B1330" s="26" t="s">
        <v>6141</v>
      </c>
      <c r="C1330" s="26" t="s">
        <v>1575</v>
      </c>
      <c r="D1330" s="116">
        <v>14</v>
      </c>
      <c r="E1330" s="122" t="s">
        <v>33</v>
      </c>
      <c r="F1330" s="119" t="s">
        <v>57</v>
      </c>
      <c r="G1330" s="27">
        <v>45885</v>
      </c>
      <c r="H1330" s="26" t="s">
        <v>6142</v>
      </c>
      <c r="I1330" s="113" t="s">
        <v>12400</v>
      </c>
      <c r="J1330" s="113" t="s">
        <v>12401</v>
      </c>
    </row>
    <row r="1331" spans="1:10" ht="20" customHeight="1" thickBot="1">
      <c r="A1331" s="28" t="s">
        <v>6145</v>
      </c>
      <c r="B1331" s="28" t="s">
        <v>6145</v>
      </c>
      <c r="C1331" s="28" t="s">
        <v>6146</v>
      </c>
      <c r="D1331" s="117">
        <v>10</v>
      </c>
      <c r="E1331" s="122" t="s">
        <v>34</v>
      </c>
      <c r="F1331" s="120" t="s">
        <v>63</v>
      </c>
      <c r="G1331" s="29">
        <v>45687</v>
      </c>
      <c r="H1331" s="28" t="s">
        <v>6147</v>
      </c>
      <c r="I1331" s="114" t="s">
        <v>12400</v>
      </c>
      <c r="J1331" s="114" t="s">
        <v>12401</v>
      </c>
    </row>
    <row r="1332" spans="1:10" ht="20" customHeight="1" thickBot="1">
      <c r="A1332" s="26" t="s">
        <v>6150</v>
      </c>
      <c r="B1332" s="26" t="s">
        <v>6150</v>
      </c>
      <c r="C1332" s="26" t="s">
        <v>6151</v>
      </c>
      <c r="D1332" s="116">
        <v>1</v>
      </c>
      <c r="E1332" s="122" t="s">
        <v>31</v>
      </c>
      <c r="F1332" s="119" t="s">
        <v>57</v>
      </c>
      <c r="G1332" s="27">
        <v>43021</v>
      </c>
      <c r="H1332" s="26" t="s">
        <v>6152</v>
      </c>
      <c r="I1332" s="113" t="s">
        <v>12400</v>
      </c>
      <c r="J1332" s="113" t="s">
        <v>12401</v>
      </c>
    </row>
    <row r="1333" spans="1:10" ht="20" customHeight="1" thickBot="1">
      <c r="A1333" s="28" t="s">
        <v>6155</v>
      </c>
      <c r="B1333" s="28" t="s">
        <v>6155</v>
      </c>
      <c r="C1333" s="28" t="s">
        <v>2152</v>
      </c>
      <c r="D1333" s="117">
        <v>46</v>
      </c>
      <c r="E1333" s="122" t="s">
        <v>31</v>
      </c>
      <c r="F1333" s="120" t="s">
        <v>63</v>
      </c>
      <c r="G1333" s="29">
        <v>45649</v>
      </c>
      <c r="H1333" s="28" t="s">
        <v>6156</v>
      </c>
      <c r="I1333" s="114" t="s">
        <v>12400</v>
      </c>
      <c r="J1333" s="114" t="s">
        <v>12401</v>
      </c>
    </row>
    <row r="1334" spans="1:10" ht="20" customHeight="1" thickBot="1">
      <c r="A1334" s="26" t="s">
        <v>6159</v>
      </c>
      <c r="B1334" s="26" t="s">
        <v>6159</v>
      </c>
      <c r="C1334" s="26" t="s">
        <v>2152</v>
      </c>
      <c r="D1334" s="116">
        <v>92</v>
      </c>
      <c r="E1334" s="122" t="s">
        <v>31</v>
      </c>
      <c r="F1334" s="119" t="s">
        <v>63</v>
      </c>
      <c r="G1334" s="27">
        <v>45417</v>
      </c>
      <c r="H1334" s="26" t="s">
        <v>6160</v>
      </c>
      <c r="I1334" s="113" t="s">
        <v>12400</v>
      </c>
      <c r="J1334" s="113" t="s">
        <v>12401</v>
      </c>
    </row>
    <row r="1335" spans="1:10" ht="20" customHeight="1" thickBot="1">
      <c r="A1335" s="28" t="s">
        <v>6163</v>
      </c>
      <c r="B1335" s="28" t="s">
        <v>6163</v>
      </c>
      <c r="C1335" s="28" t="s">
        <v>2879</v>
      </c>
      <c r="D1335" s="117">
        <v>1</v>
      </c>
      <c r="E1335" s="122" t="s">
        <v>31</v>
      </c>
      <c r="F1335" s="120" t="s">
        <v>63</v>
      </c>
      <c r="G1335" s="29">
        <v>45146</v>
      </c>
      <c r="H1335" s="28" t="s">
        <v>6164</v>
      </c>
      <c r="I1335" s="114" t="s">
        <v>12400</v>
      </c>
      <c r="J1335" s="114" t="s">
        <v>12401</v>
      </c>
    </row>
    <row r="1336" spans="1:10" ht="20" customHeight="1" thickBot="1">
      <c r="A1336" s="26" t="s">
        <v>6167</v>
      </c>
      <c r="B1336" s="26" t="s">
        <v>6167</v>
      </c>
      <c r="C1336" s="26" t="s">
        <v>6168</v>
      </c>
      <c r="D1336" s="116">
        <v>18</v>
      </c>
      <c r="E1336" s="122" t="s">
        <v>27</v>
      </c>
      <c r="F1336" s="119" t="s">
        <v>63</v>
      </c>
      <c r="G1336" s="27">
        <v>42381</v>
      </c>
      <c r="H1336" s="26" t="s">
        <v>6169</v>
      </c>
      <c r="I1336" s="113" t="s">
        <v>12400</v>
      </c>
      <c r="J1336" s="113" t="s">
        <v>12401</v>
      </c>
    </row>
    <row r="1337" spans="1:10" ht="20" customHeight="1" thickBot="1">
      <c r="A1337" s="28" t="s">
        <v>6172</v>
      </c>
      <c r="B1337" s="28" t="s">
        <v>6172</v>
      </c>
      <c r="C1337" s="28" t="s">
        <v>6173</v>
      </c>
      <c r="D1337" s="117">
        <v>82</v>
      </c>
      <c r="E1337" s="122" t="s">
        <v>35</v>
      </c>
      <c r="F1337" s="120" t="s">
        <v>115</v>
      </c>
      <c r="G1337" s="29">
        <v>45403</v>
      </c>
      <c r="H1337" s="28" t="s">
        <v>6174</v>
      </c>
      <c r="I1337" s="114" t="s">
        <v>12400</v>
      </c>
      <c r="J1337" s="114" t="s">
        <v>12401</v>
      </c>
    </row>
    <row r="1338" spans="1:10" ht="20" customHeight="1" thickBot="1">
      <c r="A1338" s="26" t="s">
        <v>6177</v>
      </c>
      <c r="B1338" s="26" t="s">
        <v>6177</v>
      </c>
      <c r="C1338" s="26" t="s">
        <v>6178</v>
      </c>
      <c r="D1338" s="116">
        <v>4</v>
      </c>
      <c r="E1338" s="122" t="s">
        <v>35</v>
      </c>
      <c r="F1338" s="119" t="s">
        <v>57</v>
      </c>
      <c r="G1338" s="27">
        <v>43426</v>
      </c>
      <c r="H1338" s="26" t="s">
        <v>6179</v>
      </c>
      <c r="I1338" s="113" t="s">
        <v>12400</v>
      </c>
      <c r="J1338" s="113" t="s">
        <v>12401</v>
      </c>
    </row>
    <row r="1339" spans="1:10" ht="20" customHeight="1" thickBot="1">
      <c r="A1339" s="28" t="s">
        <v>6182</v>
      </c>
      <c r="B1339" s="28" t="s">
        <v>6182</v>
      </c>
      <c r="C1339" s="28" t="s">
        <v>494</v>
      </c>
      <c r="D1339" s="117">
        <v>5</v>
      </c>
      <c r="E1339" s="122" t="s">
        <v>29</v>
      </c>
      <c r="F1339" s="120" t="s">
        <v>57</v>
      </c>
      <c r="G1339" s="29">
        <v>45060</v>
      </c>
      <c r="H1339" s="28" t="s">
        <v>6183</v>
      </c>
      <c r="I1339" s="114" t="s">
        <v>12400</v>
      </c>
      <c r="J1339" s="114" t="s">
        <v>12401</v>
      </c>
    </row>
    <row r="1340" spans="1:10" ht="20" customHeight="1" thickBot="1">
      <c r="A1340" s="26" t="s">
        <v>6186</v>
      </c>
      <c r="B1340" s="26" t="s">
        <v>6186</v>
      </c>
      <c r="C1340" s="26" t="s">
        <v>5641</v>
      </c>
      <c r="D1340" s="116">
        <v>8</v>
      </c>
      <c r="E1340" s="122" t="s">
        <v>36</v>
      </c>
      <c r="F1340" s="119" t="s">
        <v>57</v>
      </c>
      <c r="G1340" s="27">
        <v>44466</v>
      </c>
      <c r="H1340" s="26" t="s">
        <v>6187</v>
      </c>
      <c r="I1340" s="113" t="s">
        <v>12400</v>
      </c>
      <c r="J1340" s="113" t="s">
        <v>12401</v>
      </c>
    </row>
    <row r="1341" spans="1:10" ht="20" customHeight="1" thickBot="1">
      <c r="A1341" s="28" t="s">
        <v>6190</v>
      </c>
      <c r="B1341" s="28" t="s">
        <v>6190</v>
      </c>
      <c r="C1341" s="28" t="s">
        <v>2979</v>
      </c>
      <c r="D1341" s="117">
        <v>7</v>
      </c>
      <c r="E1341" s="122" t="s">
        <v>33</v>
      </c>
      <c r="F1341" s="120" t="s">
        <v>57</v>
      </c>
      <c r="G1341" s="29">
        <v>45779</v>
      </c>
      <c r="H1341" s="28" t="s">
        <v>6191</v>
      </c>
      <c r="I1341" s="114" t="s">
        <v>12400</v>
      </c>
      <c r="J1341" s="114" t="s">
        <v>12401</v>
      </c>
    </row>
    <row r="1342" spans="1:10" ht="20" customHeight="1" thickBot="1">
      <c r="A1342" s="26" t="s">
        <v>6194</v>
      </c>
      <c r="B1342" s="26" t="s">
        <v>6194</v>
      </c>
      <c r="C1342" s="26" t="s">
        <v>6195</v>
      </c>
      <c r="D1342" s="116">
        <v>7</v>
      </c>
      <c r="E1342" s="122" t="s">
        <v>35</v>
      </c>
      <c r="F1342" s="119" t="s">
        <v>57</v>
      </c>
      <c r="G1342" s="27">
        <v>45135</v>
      </c>
      <c r="H1342" s="26" t="s">
        <v>6196</v>
      </c>
      <c r="I1342" s="113" t="s">
        <v>12400</v>
      </c>
      <c r="J1342" s="113" t="s">
        <v>12401</v>
      </c>
    </row>
    <row r="1343" spans="1:10" ht="20" customHeight="1" thickBot="1">
      <c r="A1343" s="28" t="s">
        <v>6199</v>
      </c>
      <c r="B1343" s="28" t="s">
        <v>6199</v>
      </c>
      <c r="C1343" s="28" t="s">
        <v>1575</v>
      </c>
      <c r="D1343" s="117">
        <v>25</v>
      </c>
      <c r="E1343" s="122" t="s">
        <v>33</v>
      </c>
      <c r="F1343" s="120" t="s">
        <v>57</v>
      </c>
      <c r="G1343" s="29">
        <v>44400</v>
      </c>
      <c r="H1343" s="28" t="s">
        <v>6200</v>
      </c>
      <c r="I1343" s="114" t="s">
        <v>12400</v>
      </c>
      <c r="J1343" s="114" t="s">
        <v>12401</v>
      </c>
    </row>
    <row r="1344" spans="1:10" ht="20" customHeight="1" thickBot="1">
      <c r="A1344" s="26" t="s">
        <v>6203</v>
      </c>
      <c r="B1344" s="26" t="s">
        <v>6203</v>
      </c>
      <c r="C1344" s="26" t="s">
        <v>6204</v>
      </c>
      <c r="D1344" s="116">
        <v>15</v>
      </c>
      <c r="E1344" s="122" t="s">
        <v>33</v>
      </c>
      <c r="F1344" s="119" t="s">
        <v>57</v>
      </c>
      <c r="G1344" s="27">
        <v>44417</v>
      </c>
      <c r="H1344" s="26" t="s">
        <v>6205</v>
      </c>
      <c r="I1344" s="113" t="s">
        <v>12400</v>
      </c>
      <c r="J1344" s="113" t="s">
        <v>12401</v>
      </c>
    </row>
    <row r="1345" spans="1:10" ht="20" customHeight="1" thickBot="1">
      <c r="A1345" s="28" t="s">
        <v>6208</v>
      </c>
      <c r="B1345" s="28" t="s">
        <v>6208</v>
      </c>
      <c r="C1345" s="28" t="s">
        <v>199</v>
      </c>
      <c r="D1345" s="117">
        <v>4</v>
      </c>
      <c r="E1345" s="122" t="s">
        <v>34</v>
      </c>
      <c r="F1345" s="120" t="s">
        <v>57</v>
      </c>
      <c r="G1345" s="29">
        <v>44972</v>
      </c>
      <c r="H1345" s="28" t="s">
        <v>6209</v>
      </c>
      <c r="I1345" s="114" t="s">
        <v>12400</v>
      </c>
      <c r="J1345" s="114" t="s">
        <v>12401</v>
      </c>
    </row>
    <row r="1346" spans="1:10" ht="20" customHeight="1" thickBot="1">
      <c r="A1346" s="26" t="s">
        <v>6212</v>
      </c>
      <c r="B1346" s="26" t="s">
        <v>6212</v>
      </c>
      <c r="C1346" s="26" t="s">
        <v>6213</v>
      </c>
      <c r="D1346" s="116">
        <v>12</v>
      </c>
      <c r="E1346" s="122" t="s">
        <v>29</v>
      </c>
      <c r="F1346" s="119" t="s">
        <v>63</v>
      </c>
      <c r="G1346" s="27">
        <v>42314</v>
      </c>
      <c r="H1346" s="26" t="s">
        <v>6214</v>
      </c>
      <c r="I1346" s="113" t="s">
        <v>12400</v>
      </c>
      <c r="J1346" s="113" t="s">
        <v>12401</v>
      </c>
    </row>
    <row r="1347" spans="1:10" ht="20" customHeight="1" thickBot="1">
      <c r="A1347" s="28" t="s">
        <v>6217</v>
      </c>
      <c r="B1347" s="28" t="s">
        <v>6217</v>
      </c>
      <c r="C1347" s="28" t="s">
        <v>704</v>
      </c>
      <c r="D1347" s="117">
        <v>1</v>
      </c>
      <c r="E1347" s="122" t="s">
        <v>29</v>
      </c>
      <c r="F1347" s="120" t="s">
        <v>6218</v>
      </c>
      <c r="G1347" s="29">
        <v>45512</v>
      </c>
      <c r="H1347" s="28" t="s">
        <v>6219</v>
      </c>
      <c r="I1347" s="114" t="s">
        <v>12400</v>
      </c>
      <c r="J1347" s="114" t="s">
        <v>12401</v>
      </c>
    </row>
    <row r="1348" spans="1:10" ht="20" customHeight="1" thickBot="1">
      <c r="A1348" s="26" t="s">
        <v>6222</v>
      </c>
      <c r="B1348" s="26" t="s">
        <v>6222</v>
      </c>
      <c r="C1348" s="26" t="s">
        <v>6223</v>
      </c>
      <c r="D1348" s="116">
        <v>16</v>
      </c>
      <c r="E1348" s="122" t="s">
        <v>34</v>
      </c>
      <c r="F1348" s="119" t="s">
        <v>57</v>
      </c>
      <c r="G1348" s="27">
        <v>45035</v>
      </c>
      <c r="H1348" s="26" t="s">
        <v>6224</v>
      </c>
      <c r="I1348" s="113" t="s">
        <v>12400</v>
      </c>
      <c r="J1348" s="113" t="s">
        <v>12401</v>
      </c>
    </row>
    <row r="1349" spans="1:10" ht="20" customHeight="1" thickBot="1">
      <c r="A1349" s="28" t="s">
        <v>6227</v>
      </c>
      <c r="B1349" s="28" t="s">
        <v>6227</v>
      </c>
      <c r="C1349" s="28" t="s">
        <v>6228</v>
      </c>
      <c r="D1349" s="117">
        <v>29</v>
      </c>
      <c r="E1349" s="122" t="s">
        <v>34</v>
      </c>
      <c r="F1349" s="120" t="s">
        <v>57</v>
      </c>
      <c r="G1349" s="29">
        <v>46206</v>
      </c>
      <c r="H1349" s="28" t="s">
        <v>6229</v>
      </c>
      <c r="I1349" s="114" t="s">
        <v>12400</v>
      </c>
      <c r="J1349" s="114" t="s">
        <v>12401</v>
      </c>
    </row>
    <row r="1350" spans="1:10" ht="20" customHeight="1" thickBot="1">
      <c r="A1350" s="26" t="s">
        <v>6232</v>
      </c>
      <c r="B1350" s="26" t="s">
        <v>6232</v>
      </c>
      <c r="C1350" s="26" t="s">
        <v>704</v>
      </c>
      <c r="D1350" s="116">
        <v>5</v>
      </c>
      <c r="E1350" s="122" t="s">
        <v>29</v>
      </c>
      <c r="F1350" s="119" t="s">
        <v>63</v>
      </c>
      <c r="G1350" s="27">
        <v>41856</v>
      </c>
      <c r="H1350" s="26" t="s">
        <v>6233</v>
      </c>
      <c r="I1350" s="113" t="s">
        <v>12400</v>
      </c>
      <c r="J1350" s="113" t="s">
        <v>12401</v>
      </c>
    </row>
    <row r="1351" spans="1:10" ht="20" customHeight="1" thickBot="1">
      <c r="A1351" s="28" t="s">
        <v>6236</v>
      </c>
      <c r="B1351" s="28" t="s">
        <v>6236</v>
      </c>
      <c r="C1351" s="28" t="s">
        <v>5876</v>
      </c>
      <c r="D1351" s="117">
        <v>41</v>
      </c>
      <c r="E1351" s="122" t="s">
        <v>31</v>
      </c>
      <c r="F1351" s="120" t="s">
        <v>63</v>
      </c>
      <c r="G1351" s="29">
        <v>44863</v>
      </c>
      <c r="H1351" s="28" t="s">
        <v>6237</v>
      </c>
      <c r="I1351" s="114" t="s">
        <v>12400</v>
      </c>
      <c r="J1351" s="114" t="s">
        <v>12401</v>
      </c>
    </row>
    <row r="1352" spans="1:10" ht="20" customHeight="1" thickBot="1">
      <c r="A1352" s="26" t="s">
        <v>6240</v>
      </c>
      <c r="B1352" s="26" t="s">
        <v>6240</v>
      </c>
      <c r="C1352" s="26" t="s">
        <v>590</v>
      </c>
      <c r="D1352" s="116">
        <v>11</v>
      </c>
      <c r="E1352" s="122" t="s">
        <v>33</v>
      </c>
      <c r="F1352" s="119" t="s">
        <v>57</v>
      </c>
      <c r="G1352" s="27">
        <v>44708</v>
      </c>
      <c r="H1352" s="26" t="s">
        <v>6241</v>
      </c>
      <c r="I1352" s="113" t="s">
        <v>12400</v>
      </c>
      <c r="J1352" s="113" t="s">
        <v>12401</v>
      </c>
    </row>
    <row r="1353" spans="1:10" ht="20" customHeight="1" thickBot="1">
      <c r="A1353" s="28" t="s">
        <v>6244</v>
      </c>
      <c r="B1353" s="28" t="s">
        <v>6244</v>
      </c>
      <c r="C1353" s="28" t="s">
        <v>6245</v>
      </c>
      <c r="D1353" s="117">
        <v>7</v>
      </c>
      <c r="E1353" s="122" t="s">
        <v>35</v>
      </c>
      <c r="F1353" s="120" t="s">
        <v>57</v>
      </c>
      <c r="G1353" s="29">
        <v>45699</v>
      </c>
      <c r="H1353" s="28" t="s">
        <v>6246</v>
      </c>
      <c r="I1353" s="114" t="s">
        <v>12400</v>
      </c>
      <c r="J1353" s="114" t="s">
        <v>12401</v>
      </c>
    </row>
    <row r="1354" spans="1:10" ht="20" customHeight="1" thickBot="1">
      <c r="A1354" s="26" t="s">
        <v>6249</v>
      </c>
      <c r="B1354" s="26" t="s">
        <v>6249</v>
      </c>
      <c r="C1354" s="26" t="s">
        <v>1570</v>
      </c>
      <c r="D1354" s="116">
        <v>2</v>
      </c>
      <c r="E1354" s="122" t="s">
        <v>35</v>
      </c>
      <c r="F1354" s="119" t="s">
        <v>57</v>
      </c>
      <c r="G1354" s="27">
        <v>45740</v>
      </c>
      <c r="H1354" s="26" t="s">
        <v>6250</v>
      </c>
      <c r="I1354" s="113" t="s">
        <v>12400</v>
      </c>
      <c r="J1354" s="113" t="s">
        <v>12401</v>
      </c>
    </row>
    <row r="1355" spans="1:10" ht="20" customHeight="1" thickBot="1">
      <c r="A1355" s="28" t="s">
        <v>6253</v>
      </c>
      <c r="B1355" s="28" t="s">
        <v>6253</v>
      </c>
      <c r="C1355" s="28" t="s">
        <v>6254</v>
      </c>
      <c r="D1355" s="117">
        <v>14</v>
      </c>
      <c r="E1355" s="122" t="s">
        <v>34</v>
      </c>
      <c r="F1355" s="120" t="s">
        <v>57</v>
      </c>
      <c r="G1355" s="29">
        <v>45709</v>
      </c>
      <c r="H1355" s="28" t="s">
        <v>6255</v>
      </c>
      <c r="I1355" s="114" t="s">
        <v>12400</v>
      </c>
      <c r="J1355" s="114" t="s">
        <v>12401</v>
      </c>
    </row>
    <row r="1356" spans="1:10" ht="20" customHeight="1" thickBot="1">
      <c r="A1356" s="26" t="s">
        <v>6258</v>
      </c>
      <c r="B1356" s="26" t="s">
        <v>6258</v>
      </c>
      <c r="C1356" s="26" t="s">
        <v>6259</v>
      </c>
      <c r="D1356" s="116">
        <v>20</v>
      </c>
      <c r="E1356" s="122" t="s">
        <v>29</v>
      </c>
      <c r="F1356" s="119" t="s">
        <v>63</v>
      </c>
      <c r="G1356" s="27">
        <v>42044</v>
      </c>
      <c r="H1356" s="26" t="s">
        <v>6260</v>
      </c>
      <c r="I1356" s="113" t="s">
        <v>12400</v>
      </c>
      <c r="J1356" s="113" t="s">
        <v>12401</v>
      </c>
    </row>
    <row r="1357" spans="1:10" ht="20" customHeight="1" thickBot="1">
      <c r="A1357" s="28" t="s">
        <v>6263</v>
      </c>
      <c r="B1357" s="28" t="s">
        <v>6263</v>
      </c>
      <c r="C1357" s="28" t="s">
        <v>6259</v>
      </c>
      <c r="D1357" s="117">
        <v>42</v>
      </c>
      <c r="E1357" s="122" t="s">
        <v>31</v>
      </c>
      <c r="F1357" s="120" t="s">
        <v>63</v>
      </c>
      <c r="G1357" s="29">
        <v>42224</v>
      </c>
      <c r="H1357" s="28" t="s">
        <v>6264</v>
      </c>
      <c r="I1357" s="114" t="s">
        <v>12400</v>
      </c>
      <c r="J1357" s="114" t="s">
        <v>12401</v>
      </c>
    </row>
    <row r="1358" spans="1:10" ht="20" customHeight="1" thickBot="1">
      <c r="A1358" s="26" t="s">
        <v>6267</v>
      </c>
      <c r="B1358" s="26" t="s">
        <v>6267</v>
      </c>
      <c r="C1358" s="26" t="s">
        <v>6268</v>
      </c>
      <c r="D1358" s="116">
        <v>1</v>
      </c>
      <c r="E1358" s="122" t="s">
        <v>33</v>
      </c>
      <c r="F1358" s="119" t="s">
        <v>571</v>
      </c>
      <c r="G1358" s="27">
        <v>42560</v>
      </c>
      <c r="H1358" s="26" t="s">
        <v>6269</v>
      </c>
      <c r="I1358" s="113" t="s">
        <v>12400</v>
      </c>
      <c r="J1358" s="113" t="s">
        <v>12401</v>
      </c>
    </row>
    <row r="1359" spans="1:10" ht="20" customHeight="1" thickBot="1">
      <c r="A1359" s="28" t="s">
        <v>6272</v>
      </c>
      <c r="B1359" s="28" t="s">
        <v>6272</v>
      </c>
      <c r="C1359" s="28" t="s">
        <v>3373</v>
      </c>
      <c r="D1359" s="117">
        <v>40</v>
      </c>
      <c r="E1359" s="122" t="s">
        <v>34</v>
      </c>
      <c r="F1359" s="120" t="s">
        <v>57</v>
      </c>
      <c r="G1359" s="29">
        <v>43630</v>
      </c>
      <c r="H1359" s="28" t="s">
        <v>6273</v>
      </c>
      <c r="I1359" s="114" t="s">
        <v>12400</v>
      </c>
      <c r="J1359" s="114" t="s">
        <v>12401</v>
      </c>
    </row>
    <row r="1360" spans="1:10" ht="20" customHeight="1" thickBot="1">
      <c r="A1360" s="26" t="s">
        <v>6276</v>
      </c>
      <c r="B1360" s="26" t="s">
        <v>6276</v>
      </c>
      <c r="C1360" s="26" t="s">
        <v>6277</v>
      </c>
      <c r="D1360" s="116">
        <v>58</v>
      </c>
      <c r="E1360" s="122" t="s">
        <v>29</v>
      </c>
      <c r="F1360" s="119" t="s">
        <v>63</v>
      </c>
      <c r="G1360" s="27">
        <v>43882</v>
      </c>
      <c r="H1360" s="26" t="s">
        <v>6278</v>
      </c>
      <c r="I1360" s="113" t="s">
        <v>12400</v>
      </c>
      <c r="J1360" s="113" t="s">
        <v>12401</v>
      </c>
    </row>
    <row r="1361" spans="1:10" ht="20" customHeight="1" thickBot="1">
      <c r="A1361" s="28" t="s">
        <v>6281</v>
      </c>
      <c r="B1361" s="28" t="s">
        <v>6281</v>
      </c>
      <c r="C1361" s="28" t="s">
        <v>6277</v>
      </c>
      <c r="D1361" s="117">
        <v>66</v>
      </c>
      <c r="E1361" s="122" t="s">
        <v>29</v>
      </c>
      <c r="F1361" s="120" t="s">
        <v>63</v>
      </c>
      <c r="G1361" s="29">
        <v>44435</v>
      </c>
      <c r="H1361" s="28" t="s">
        <v>6282</v>
      </c>
      <c r="I1361" s="114" t="s">
        <v>12400</v>
      </c>
      <c r="J1361" s="114" t="s">
        <v>12401</v>
      </c>
    </row>
    <row r="1362" spans="1:10" ht="20" customHeight="1" thickBot="1">
      <c r="A1362" s="26" t="s">
        <v>6285</v>
      </c>
      <c r="B1362" s="26" t="s">
        <v>6285</v>
      </c>
      <c r="C1362" s="26" t="s">
        <v>253</v>
      </c>
      <c r="D1362" s="116">
        <v>14</v>
      </c>
      <c r="E1362" s="122" t="s">
        <v>34</v>
      </c>
      <c r="F1362" s="119" t="s">
        <v>57</v>
      </c>
      <c r="G1362" s="27">
        <v>44409</v>
      </c>
      <c r="H1362" s="26" t="s">
        <v>6286</v>
      </c>
      <c r="I1362" s="113" t="s">
        <v>12400</v>
      </c>
      <c r="J1362" s="113" t="s">
        <v>12401</v>
      </c>
    </row>
    <row r="1363" spans="1:10" ht="20" customHeight="1" thickBot="1">
      <c r="A1363" s="28" t="s">
        <v>6289</v>
      </c>
      <c r="B1363" s="28" t="s">
        <v>6289</v>
      </c>
      <c r="C1363" s="28" t="s">
        <v>6290</v>
      </c>
      <c r="D1363" s="117">
        <v>6</v>
      </c>
      <c r="E1363" s="122" t="s">
        <v>29</v>
      </c>
      <c r="F1363" s="120" t="s">
        <v>63</v>
      </c>
      <c r="G1363" s="29">
        <v>43109</v>
      </c>
      <c r="H1363" s="28" t="s">
        <v>6291</v>
      </c>
      <c r="I1363" s="114" t="s">
        <v>12400</v>
      </c>
      <c r="J1363" s="114" t="s">
        <v>12401</v>
      </c>
    </row>
    <row r="1364" spans="1:10" ht="20" customHeight="1" thickBot="1">
      <c r="A1364" s="26" t="s">
        <v>6294</v>
      </c>
      <c r="B1364" s="26" t="s">
        <v>6294</v>
      </c>
      <c r="C1364" s="26" t="s">
        <v>6295</v>
      </c>
      <c r="D1364" s="116">
        <v>16</v>
      </c>
      <c r="E1364" s="122" t="s">
        <v>34</v>
      </c>
      <c r="F1364" s="119" t="s">
        <v>57</v>
      </c>
      <c r="G1364" s="27">
        <v>45158</v>
      </c>
      <c r="H1364" s="26" t="s">
        <v>6296</v>
      </c>
      <c r="I1364" s="113" t="s">
        <v>12400</v>
      </c>
      <c r="J1364" s="113" t="s">
        <v>12401</v>
      </c>
    </row>
    <row r="1365" spans="1:10" ht="20" customHeight="1" thickBot="1">
      <c r="A1365" s="28" t="s">
        <v>6299</v>
      </c>
      <c r="B1365" s="28" t="s">
        <v>6299</v>
      </c>
      <c r="C1365" s="28" t="s">
        <v>3513</v>
      </c>
      <c r="D1365" s="117">
        <v>22</v>
      </c>
      <c r="E1365" s="122" t="s">
        <v>33</v>
      </c>
      <c r="F1365" s="120" t="s">
        <v>63</v>
      </c>
      <c r="G1365" s="29">
        <v>45898</v>
      </c>
      <c r="H1365" s="28" t="s">
        <v>6300</v>
      </c>
      <c r="I1365" s="114" t="s">
        <v>12400</v>
      </c>
      <c r="J1365" s="114" t="s">
        <v>12401</v>
      </c>
    </row>
    <row r="1366" spans="1:10" ht="20" customHeight="1" thickBot="1">
      <c r="A1366" s="26" t="s">
        <v>6303</v>
      </c>
      <c r="B1366" s="26" t="s">
        <v>6303</v>
      </c>
      <c r="C1366" s="26" t="s">
        <v>2109</v>
      </c>
      <c r="D1366" s="116">
        <v>5</v>
      </c>
      <c r="E1366" s="122" t="s">
        <v>31</v>
      </c>
      <c r="F1366" s="119" t="s">
        <v>6304</v>
      </c>
      <c r="G1366" s="27">
        <v>46092</v>
      </c>
      <c r="H1366" s="26" t="s">
        <v>6305</v>
      </c>
      <c r="I1366" s="113" t="s">
        <v>12400</v>
      </c>
      <c r="J1366" s="113" t="s">
        <v>12401</v>
      </c>
    </row>
    <row r="1367" spans="1:10" ht="20" customHeight="1" thickBot="1">
      <c r="A1367" s="28" t="s">
        <v>6308</v>
      </c>
      <c r="B1367" s="28" t="s">
        <v>6308</v>
      </c>
      <c r="C1367" s="28" t="s">
        <v>6119</v>
      </c>
      <c r="D1367" s="117">
        <v>18</v>
      </c>
      <c r="E1367" s="122" t="s">
        <v>34</v>
      </c>
      <c r="F1367" s="120" t="s">
        <v>57</v>
      </c>
      <c r="G1367" s="29">
        <v>46136</v>
      </c>
      <c r="H1367" s="28" t="s">
        <v>6309</v>
      </c>
      <c r="I1367" s="114" t="s">
        <v>12400</v>
      </c>
      <c r="J1367" s="114" t="s">
        <v>12401</v>
      </c>
    </row>
    <row r="1368" spans="1:10" ht="20" customHeight="1" thickBot="1">
      <c r="A1368" s="26" t="s">
        <v>6312</v>
      </c>
      <c r="B1368" s="26" t="s">
        <v>6312</v>
      </c>
      <c r="C1368" s="26" t="s">
        <v>5876</v>
      </c>
      <c r="D1368" s="116">
        <v>12</v>
      </c>
      <c r="E1368" s="122" t="s">
        <v>29</v>
      </c>
      <c r="F1368" s="119" t="s">
        <v>63</v>
      </c>
      <c r="G1368" s="27">
        <v>43372</v>
      </c>
      <c r="H1368" s="26" t="s">
        <v>6313</v>
      </c>
      <c r="I1368" s="113" t="s">
        <v>12400</v>
      </c>
      <c r="J1368" s="113" t="s">
        <v>12401</v>
      </c>
    </row>
    <row r="1369" spans="1:10" ht="20" customHeight="1" thickBot="1">
      <c r="A1369" s="28" t="s">
        <v>6316</v>
      </c>
      <c r="B1369" s="28" t="s">
        <v>6316</v>
      </c>
      <c r="C1369" s="28" t="s">
        <v>6317</v>
      </c>
      <c r="D1369" s="117">
        <v>7</v>
      </c>
      <c r="E1369" s="122" t="s">
        <v>29</v>
      </c>
      <c r="F1369" s="120" t="s">
        <v>63</v>
      </c>
      <c r="G1369" s="29">
        <v>42255</v>
      </c>
      <c r="H1369" s="28" t="s">
        <v>6318</v>
      </c>
      <c r="I1369" s="114" t="s">
        <v>12400</v>
      </c>
      <c r="J1369" s="114" t="s">
        <v>12401</v>
      </c>
    </row>
    <row r="1370" spans="1:10" ht="20" customHeight="1" thickBot="1">
      <c r="A1370" s="26" t="s">
        <v>6321</v>
      </c>
      <c r="B1370" s="26" t="s">
        <v>6321</v>
      </c>
      <c r="C1370" s="26" t="s">
        <v>4310</v>
      </c>
      <c r="D1370" s="116">
        <v>77</v>
      </c>
      <c r="E1370" s="122" t="s">
        <v>31</v>
      </c>
      <c r="F1370" s="119" t="s">
        <v>63</v>
      </c>
      <c r="G1370" s="27">
        <v>42764</v>
      </c>
      <c r="H1370" s="26" t="s">
        <v>6322</v>
      </c>
      <c r="I1370" s="113" t="s">
        <v>12400</v>
      </c>
      <c r="J1370" s="113" t="s">
        <v>12401</v>
      </c>
    </row>
    <row r="1371" spans="1:10" ht="20" customHeight="1" thickBot="1">
      <c r="A1371" s="28" t="s">
        <v>6325</v>
      </c>
      <c r="B1371" s="28" t="s">
        <v>6325</v>
      </c>
      <c r="C1371" s="28" t="s">
        <v>6326</v>
      </c>
      <c r="D1371" s="117">
        <v>12</v>
      </c>
      <c r="E1371" s="122" t="s">
        <v>29</v>
      </c>
      <c r="F1371" s="120" t="s">
        <v>63</v>
      </c>
      <c r="G1371" s="29">
        <v>42309</v>
      </c>
      <c r="H1371" s="28" t="s">
        <v>6327</v>
      </c>
      <c r="I1371" s="114" t="s">
        <v>12400</v>
      </c>
      <c r="J1371" s="114" t="s">
        <v>12401</v>
      </c>
    </row>
    <row r="1372" spans="1:10" ht="20" customHeight="1" thickBot="1">
      <c r="A1372" s="26" t="s">
        <v>6330</v>
      </c>
      <c r="B1372" s="26" t="s">
        <v>6330</v>
      </c>
      <c r="C1372" s="26" t="s">
        <v>6331</v>
      </c>
      <c r="D1372" s="116">
        <v>29</v>
      </c>
      <c r="E1372" s="122" t="s">
        <v>34</v>
      </c>
      <c r="F1372" s="119" t="s">
        <v>57</v>
      </c>
      <c r="G1372" s="27">
        <v>44054</v>
      </c>
      <c r="H1372" s="26" t="s">
        <v>6332</v>
      </c>
      <c r="I1372" s="113" t="s">
        <v>12400</v>
      </c>
      <c r="J1372" s="113" t="s">
        <v>12401</v>
      </c>
    </row>
    <row r="1373" spans="1:10" ht="20" customHeight="1" thickBot="1">
      <c r="A1373" s="28" t="s">
        <v>6335</v>
      </c>
      <c r="B1373" s="28" t="s">
        <v>6335</v>
      </c>
      <c r="C1373" s="28" t="s">
        <v>6331</v>
      </c>
      <c r="D1373" s="117">
        <v>44</v>
      </c>
      <c r="E1373" s="122" t="s">
        <v>34</v>
      </c>
      <c r="F1373" s="120" t="s">
        <v>57</v>
      </c>
      <c r="G1373" s="29">
        <v>45857</v>
      </c>
      <c r="H1373" s="28" t="s">
        <v>6336</v>
      </c>
      <c r="I1373" s="114" t="s">
        <v>12400</v>
      </c>
      <c r="J1373" s="114" t="s">
        <v>12401</v>
      </c>
    </row>
    <row r="1374" spans="1:10" ht="20" customHeight="1" thickBot="1">
      <c r="A1374" s="26" t="s">
        <v>6339</v>
      </c>
      <c r="B1374" s="26" t="s">
        <v>6339</v>
      </c>
      <c r="C1374" s="26" t="s">
        <v>6340</v>
      </c>
      <c r="D1374" s="116">
        <v>36</v>
      </c>
      <c r="E1374" s="122" t="s">
        <v>35</v>
      </c>
      <c r="F1374" s="119" t="s">
        <v>57</v>
      </c>
      <c r="G1374" s="27">
        <v>45664</v>
      </c>
      <c r="H1374" s="26" t="s">
        <v>6341</v>
      </c>
      <c r="I1374" s="113" t="s">
        <v>12400</v>
      </c>
      <c r="J1374" s="113" t="s">
        <v>12401</v>
      </c>
    </row>
    <row r="1375" spans="1:10" ht="20" customHeight="1" thickBot="1">
      <c r="A1375" s="28" t="s">
        <v>6344</v>
      </c>
      <c r="B1375" s="28" t="s">
        <v>6344</v>
      </c>
      <c r="C1375" s="28" t="s">
        <v>4590</v>
      </c>
      <c r="D1375" s="117">
        <v>8</v>
      </c>
      <c r="E1375" s="122" t="s">
        <v>35</v>
      </c>
      <c r="F1375" s="120" t="s">
        <v>571</v>
      </c>
      <c r="G1375" s="29">
        <v>44561</v>
      </c>
      <c r="H1375" s="28" t="s">
        <v>6345</v>
      </c>
      <c r="I1375" s="114" t="s">
        <v>12400</v>
      </c>
      <c r="J1375" s="114" t="s">
        <v>12401</v>
      </c>
    </row>
    <row r="1376" spans="1:10" ht="20" customHeight="1" thickBot="1">
      <c r="A1376" s="26" t="s">
        <v>6348</v>
      </c>
      <c r="B1376" s="26" t="s">
        <v>6348</v>
      </c>
      <c r="C1376" s="26" t="s">
        <v>2382</v>
      </c>
      <c r="D1376" s="116">
        <v>12</v>
      </c>
      <c r="E1376" s="122" t="s">
        <v>34</v>
      </c>
      <c r="F1376" s="119" t="s">
        <v>57</v>
      </c>
      <c r="G1376" s="27">
        <v>43493</v>
      </c>
      <c r="H1376" s="26" t="s">
        <v>6349</v>
      </c>
      <c r="I1376" s="113" t="s">
        <v>12400</v>
      </c>
      <c r="J1376" s="113" t="s">
        <v>12401</v>
      </c>
    </row>
    <row r="1377" spans="1:10" ht="20" customHeight="1" thickBot="1">
      <c r="A1377" s="28" t="s">
        <v>6352</v>
      </c>
      <c r="B1377" s="28" t="s">
        <v>6352</v>
      </c>
      <c r="C1377" s="28" t="s">
        <v>6353</v>
      </c>
      <c r="D1377" s="117">
        <v>1</v>
      </c>
      <c r="E1377" s="122" t="s">
        <v>27</v>
      </c>
      <c r="F1377" s="120" t="s">
        <v>63</v>
      </c>
      <c r="G1377" s="29">
        <v>41814</v>
      </c>
      <c r="H1377" s="28" t="s">
        <v>6354</v>
      </c>
      <c r="I1377" s="114" t="s">
        <v>12400</v>
      </c>
      <c r="J1377" s="114" t="s">
        <v>12401</v>
      </c>
    </row>
    <row r="1378" spans="1:10" ht="20" customHeight="1" thickBot="1">
      <c r="A1378" s="26" t="s">
        <v>6357</v>
      </c>
      <c r="B1378" s="26" t="s">
        <v>6357</v>
      </c>
      <c r="C1378" s="26" t="s">
        <v>547</v>
      </c>
      <c r="D1378" s="116">
        <v>11</v>
      </c>
      <c r="E1378" s="122" t="s">
        <v>29</v>
      </c>
      <c r="F1378" s="119" t="s">
        <v>63</v>
      </c>
      <c r="G1378" s="27">
        <v>42728</v>
      </c>
      <c r="H1378" s="26" t="s">
        <v>6358</v>
      </c>
      <c r="I1378" s="113" t="s">
        <v>12400</v>
      </c>
      <c r="J1378" s="113" t="s">
        <v>12401</v>
      </c>
    </row>
    <row r="1379" spans="1:10" ht="20" customHeight="1" thickBot="1">
      <c r="A1379" s="28" t="s">
        <v>6361</v>
      </c>
      <c r="B1379" s="28" t="s">
        <v>6361</v>
      </c>
      <c r="C1379" s="28" t="s">
        <v>6362</v>
      </c>
      <c r="D1379" s="117">
        <v>19</v>
      </c>
      <c r="E1379" s="122" t="s">
        <v>29</v>
      </c>
      <c r="F1379" s="120" t="s">
        <v>63</v>
      </c>
      <c r="G1379" s="29">
        <v>42855</v>
      </c>
      <c r="H1379" s="28" t="s">
        <v>6363</v>
      </c>
      <c r="I1379" s="114" t="s">
        <v>12400</v>
      </c>
      <c r="J1379" s="114" t="s">
        <v>12401</v>
      </c>
    </row>
    <row r="1380" spans="1:10" ht="20" customHeight="1" thickBot="1">
      <c r="A1380" s="26" t="s">
        <v>6366</v>
      </c>
      <c r="B1380" s="26" t="s">
        <v>6366</v>
      </c>
      <c r="C1380" s="26" t="s">
        <v>56</v>
      </c>
      <c r="D1380" s="116">
        <v>14</v>
      </c>
      <c r="E1380" s="122" t="s">
        <v>34</v>
      </c>
      <c r="F1380" s="119" t="s">
        <v>57</v>
      </c>
      <c r="G1380" s="27">
        <v>44991</v>
      </c>
      <c r="H1380" s="26" t="s">
        <v>6367</v>
      </c>
      <c r="I1380" s="113" t="s">
        <v>12400</v>
      </c>
      <c r="J1380" s="113" t="s">
        <v>12401</v>
      </c>
    </row>
    <row r="1381" spans="1:10" ht="20" customHeight="1" thickBot="1">
      <c r="A1381" s="28" t="s">
        <v>6370</v>
      </c>
      <c r="B1381" s="28" t="s">
        <v>6370</v>
      </c>
      <c r="C1381" s="28" t="s">
        <v>56</v>
      </c>
      <c r="D1381" s="117">
        <v>25</v>
      </c>
      <c r="E1381" s="122" t="s">
        <v>34</v>
      </c>
      <c r="F1381" s="120" t="s">
        <v>57</v>
      </c>
      <c r="G1381" s="29">
        <v>46143</v>
      </c>
      <c r="H1381" s="28" t="s">
        <v>6371</v>
      </c>
      <c r="I1381" s="114" t="s">
        <v>12400</v>
      </c>
      <c r="J1381" s="114" t="s">
        <v>12401</v>
      </c>
    </row>
    <row r="1382" spans="1:10" ht="20" customHeight="1" thickBot="1">
      <c r="A1382" s="26" t="s">
        <v>6374</v>
      </c>
      <c r="B1382" s="26" t="s">
        <v>6374</v>
      </c>
      <c r="C1382" s="26" t="s">
        <v>6375</v>
      </c>
      <c r="D1382" s="116">
        <v>4</v>
      </c>
      <c r="E1382" s="122" t="s">
        <v>31</v>
      </c>
      <c r="F1382" s="119" t="s">
        <v>57</v>
      </c>
      <c r="G1382" s="27">
        <v>45690</v>
      </c>
      <c r="H1382" s="26" t="s">
        <v>6376</v>
      </c>
      <c r="I1382" s="113" t="s">
        <v>12400</v>
      </c>
      <c r="J1382" s="113" t="s">
        <v>12401</v>
      </c>
    </row>
    <row r="1383" spans="1:10" ht="20" customHeight="1" thickBot="1">
      <c r="A1383" s="28" t="s">
        <v>6379</v>
      </c>
      <c r="B1383" s="28" t="s">
        <v>6379</v>
      </c>
      <c r="C1383" s="28" t="s">
        <v>6295</v>
      </c>
      <c r="D1383" s="117">
        <v>8</v>
      </c>
      <c r="E1383" s="122" t="s">
        <v>34</v>
      </c>
      <c r="F1383" s="120" t="s">
        <v>57</v>
      </c>
      <c r="G1383" s="29">
        <v>45998</v>
      </c>
      <c r="H1383" s="28" t="s">
        <v>6380</v>
      </c>
      <c r="I1383" s="114" t="s">
        <v>12400</v>
      </c>
      <c r="J1383" s="114" t="s">
        <v>12401</v>
      </c>
    </row>
    <row r="1384" spans="1:10" ht="20" customHeight="1" thickBot="1">
      <c r="A1384" s="26" t="s">
        <v>6383</v>
      </c>
      <c r="B1384" s="26" t="s">
        <v>6383</v>
      </c>
      <c r="C1384" s="26" t="s">
        <v>1996</v>
      </c>
      <c r="D1384" s="116">
        <v>21</v>
      </c>
      <c r="E1384" s="122" t="s">
        <v>31</v>
      </c>
      <c r="F1384" s="119" t="s">
        <v>63</v>
      </c>
      <c r="G1384" s="27">
        <v>42784</v>
      </c>
      <c r="H1384" s="26" t="s">
        <v>6384</v>
      </c>
      <c r="I1384" s="113" t="s">
        <v>12400</v>
      </c>
      <c r="J1384" s="113" t="s">
        <v>12401</v>
      </c>
    </row>
    <row r="1385" spans="1:10" ht="20" customHeight="1" thickBot="1">
      <c r="A1385" s="28" t="s">
        <v>6387</v>
      </c>
      <c r="B1385" s="28" t="s">
        <v>6387</v>
      </c>
      <c r="C1385" s="28" t="s">
        <v>6388</v>
      </c>
      <c r="D1385" s="117">
        <v>10</v>
      </c>
      <c r="E1385" s="122" t="s">
        <v>31</v>
      </c>
      <c r="F1385" s="120" t="s">
        <v>63</v>
      </c>
      <c r="G1385" s="29">
        <v>44766</v>
      </c>
      <c r="H1385" s="28" t="s">
        <v>6389</v>
      </c>
      <c r="I1385" s="114" t="s">
        <v>12400</v>
      </c>
      <c r="J1385" s="114" t="s">
        <v>12401</v>
      </c>
    </row>
    <row r="1386" spans="1:10" ht="20" customHeight="1" thickBot="1">
      <c r="A1386" s="26" t="s">
        <v>6392</v>
      </c>
      <c r="B1386" s="26" t="s">
        <v>6392</v>
      </c>
      <c r="C1386" s="26" t="s">
        <v>1932</v>
      </c>
      <c r="D1386" s="116">
        <v>1</v>
      </c>
      <c r="E1386" s="122" t="s">
        <v>34</v>
      </c>
      <c r="F1386" s="119" t="s">
        <v>89</v>
      </c>
      <c r="G1386" s="27">
        <v>44912</v>
      </c>
      <c r="H1386" s="26" t="s">
        <v>6393</v>
      </c>
      <c r="I1386" s="113" t="s">
        <v>12400</v>
      </c>
      <c r="J1386" s="113" t="s">
        <v>12401</v>
      </c>
    </row>
    <row r="1387" spans="1:10" ht="20" customHeight="1" thickBot="1">
      <c r="A1387" s="28" t="s">
        <v>6396</v>
      </c>
      <c r="B1387" s="28" t="s">
        <v>6396</v>
      </c>
      <c r="C1387" s="28" t="s">
        <v>6397</v>
      </c>
      <c r="D1387" s="117">
        <v>1</v>
      </c>
      <c r="E1387" s="122" t="s">
        <v>36</v>
      </c>
      <c r="F1387" s="120" t="s">
        <v>89</v>
      </c>
      <c r="G1387" s="29">
        <v>43458</v>
      </c>
      <c r="H1387" s="28" t="s">
        <v>6398</v>
      </c>
      <c r="I1387" s="114" t="s">
        <v>12400</v>
      </c>
      <c r="J1387" s="114" t="s">
        <v>12401</v>
      </c>
    </row>
    <row r="1388" spans="1:10" ht="20" customHeight="1" thickBot="1">
      <c r="A1388" s="26" t="s">
        <v>6401</v>
      </c>
      <c r="B1388" s="26" t="s">
        <v>6401</v>
      </c>
      <c r="C1388" s="26" t="s">
        <v>6402</v>
      </c>
      <c r="D1388" s="116">
        <v>1</v>
      </c>
      <c r="E1388" s="122" t="s">
        <v>34</v>
      </c>
      <c r="F1388" s="119" t="s">
        <v>89</v>
      </c>
      <c r="G1388" s="27">
        <v>46211</v>
      </c>
      <c r="H1388" s="26" t="s">
        <v>6403</v>
      </c>
      <c r="I1388" s="113" t="s">
        <v>12400</v>
      </c>
      <c r="J1388" s="113" t="s">
        <v>12401</v>
      </c>
    </row>
    <row r="1389" spans="1:10" ht="20" customHeight="1" thickBot="1">
      <c r="A1389" s="28" t="s">
        <v>6406</v>
      </c>
      <c r="B1389" s="28" t="s">
        <v>6406</v>
      </c>
      <c r="C1389" s="28" t="s">
        <v>6407</v>
      </c>
      <c r="D1389" s="117">
        <v>1</v>
      </c>
      <c r="E1389" s="122" t="s">
        <v>35</v>
      </c>
      <c r="F1389" s="120" t="s">
        <v>89</v>
      </c>
      <c r="G1389" s="29">
        <v>43155</v>
      </c>
      <c r="H1389" s="28" t="s">
        <v>6408</v>
      </c>
      <c r="I1389" s="114" t="s">
        <v>12400</v>
      </c>
      <c r="J1389" s="114" t="s">
        <v>12401</v>
      </c>
    </row>
    <row r="1390" spans="1:10" ht="20" customHeight="1" thickBot="1">
      <c r="A1390" s="26" t="s">
        <v>6411</v>
      </c>
      <c r="B1390" s="26" t="s">
        <v>6411</v>
      </c>
      <c r="C1390" s="26" t="s">
        <v>6407</v>
      </c>
      <c r="D1390" s="116">
        <v>1</v>
      </c>
      <c r="E1390" s="122" t="s">
        <v>36</v>
      </c>
      <c r="F1390" s="119" t="s">
        <v>89</v>
      </c>
      <c r="G1390" s="27">
        <v>43109</v>
      </c>
      <c r="H1390" s="26" t="s">
        <v>6412</v>
      </c>
      <c r="I1390" s="113" t="s">
        <v>12400</v>
      </c>
      <c r="J1390" s="113" t="s">
        <v>12401</v>
      </c>
    </row>
    <row r="1391" spans="1:10" ht="20" customHeight="1" thickBot="1">
      <c r="A1391" s="28" t="s">
        <v>6415</v>
      </c>
      <c r="B1391" s="28" t="s">
        <v>6415</v>
      </c>
      <c r="C1391" s="28" t="s">
        <v>930</v>
      </c>
      <c r="D1391" s="117">
        <v>6</v>
      </c>
      <c r="E1391" s="122" t="s">
        <v>34</v>
      </c>
      <c r="F1391" s="120" t="s">
        <v>57</v>
      </c>
      <c r="G1391" s="29">
        <v>45222</v>
      </c>
      <c r="H1391" s="28" t="s">
        <v>6416</v>
      </c>
      <c r="I1391" s="114" t="s">
        <v>12400</v>
      </c>
      <c r="J1391" s="114" t="s">
        <v>12401</v>
      </c>
    </row>
    <row r="1392" spans="1:10" ht="20" customHeight="1" thickBot="1">
      <c r="A1392" s="26" t="s">
        <v>6419</v>
      </c>
      <c r="B1392" s="26" t="s">
        <v>6419</v>
      </c>
      <c r="C1392" s="26" t="s">
        <v>3884</v>
      </c>
      <c r="D1392" s="116">
        <v>9</v>
      </c>
      <c r="E1392" s="122" t="s">
        <v>34</v>
      </c>
      <c r="F1392" s="119" t="s">
        <v>57</v>
      </c>
      <c r="G1392" s="27">
        <v>45420</v>
      </c>
      <c r="H1392" s="26" t="s">
        <v>6420</v>
      </c>
      <c r="I1392" s="113" t="s">
        <v>12400</v>
      </c>
      <c r="J1392" s="113" t="s">
        <v>12401</v>
      </c>
    </row>
    <row r="1393" spans="1:10" ht="20" customHeight="1" thickBot="1">
      <c r="A1393" s="28" t="s">
        <v>6423</v>
      </c>
      <c r="B1393" s="28" t="s">
        <v>6423</v>
      </c>
      <c r="C1393" s="28" t="s">
        <v>5621</v>
      </c>
      <c r="D1393" s="117">
        <v>24</v>
      </c>
      <c r="E1393" s="122" t="s">
        <v>34</v>
      </c>
      <c r="F1393" s="120" t="s">
        <v>57</v>
      </c>
      <c r="G1393" s="29">
        <v>45089</v>
      </c>
      <c r="H1393" s="28" t="s">
        <v>6424</v>
      </c>
      <c r="I1393" s="114" t="s">
        <v>12400</v>
      </c>
      <c r="J1393" s="114" t="s">
        <v>12401</v>
      </c>
    </row>
    <row r="1394" spans="1:10" ht="20" customHeight="1" thickBot="1">
      <c r="A1394" s="26" t="s">
        <v>6427</v>
      </c>
      <c r="B1394" s="26" t="s">
        <v>6427</v>
      </c>
      <c r="C1394" s="26" t="s">
        <v>253</v>
      </c>
      <c r="D1394" s="116">
        <v>9</v>
      </c>
      <c r="E1394" s="122" t="s">
        <v>34</v>
      </c>
      <c r="F1394" s="119" t="s">
        <v>57</v>
      </c>
      <c r="G1394" s="27">
        <v>44901</v>
      </c>
      <c r="H1394" s="26" t="s">
        <v>6428</v>
      </c>
      <c r="I1394" s="113" t="s">
        <v>12400</v>
      </c>
      <c r="J1394" s="113" t="s">
        <v>12401</v>
      </c>
    </row>
    <row r="1395" spans="1:10" ht="20" customHeight="1" thickBot="1">
      <c r="A1395" s="28" t="s">
        <v>6431</v>
      </c>
      <c r="B1395" s="28" t="s">
        <v>6431</v>
      </c>
      <c r="C1395" s="28" t="s">
        <v>3262</v>
      </c>
      <c r="D1395" s="117">
        <v>32</v>
      </c>
      <c r="E1395" s="122" t="s">
        <v>29</v>
      </c>
      <c r="F1395" s="120" t="s">
        <v>63</v>
      </c>
      <c r="G1395" s="29">
        <v>45232</v>
      </c>
      <c r="H1395" s="28" t="s">
        <v>6432</v>
      </c>
      <c r="I1395" s="114" t="s">
        <v>12400</v>
      </c>
      <c r="J1395" s="114" t="s">
        <v>12401</v>
      </c>
    </row>
    <row r="1396" spans="1:10" ht="20" customHeight="1" thickBot="1">
      <c r="A1396" s="26" t="s">
        <v>6435</v>
      </c>
      <c r="B1396" s="26" t="s">
        <v>6435</v>
      </c>
      <c r="C1396" s="26" t="s">
        <v>590</v>
      </c>
      <c r="D1396" s="116">
        <v>6</v>
      </c>
      <c r="E1396" s="122" t="s">
        <v>29</v>
      </c>
      <c r="F1396" s="119" t="s">
        <v>57</v>
      </c>
      <c r="G1396" s="27">
        <v>46066</v>
      </c>
      <c r="H1396" s="26" t="s">
        <v>6436</v>
      </c>
      <c r="I1396" s="113" t="s">
        <v>12400</v>
      </c>
      <c r="J1396" s="113" t="s">
        <v>12401</v>
      </c>
    </row>
    <row r="1397" spans="1:10" ht="20" customHeight="1" thickBot="1">
      <c r="A1397" s="28" t="s">
        <v>6439</v>
      </c>
      <c r="B1397" s="28" t="s">
        <v>6439</v>
      </c>
      <c r="C1397" s="28" t="s">
        <v>590</v>
      </c>
      <c r="D1397" s="117">
        <v>8</v>
      </c>
      <c r="E1397" s="122" t="s">
        <v>29</v>
      </c>
      <c r="F1397" s="120" t="s">
        <v>57</v>
      </c>
      <c r="G1397" s="29">
        <v>46126</v>
      </c>
      <c r="H1397" s="28" t="s">
        <v>6440</v>
      </c>
      <c r="I1397" s="114" t="s">
        <v>12400</v>
      </c>
      <c r="J1397" s="114" t="s">
        <v>12401</v>
      </c>
    </row>
    <row r="1398" spans="1:10" ht="20" customHeight="1" thickBot="1">
      <c r="A1398" s="26" t="s">
        <v>6443</v>
      </c>
      <c r="B1398" s="26" t="s">
        <v>6443</v>
      </c>
      <c r="C1398" s="26" t="s">
        <v>1478</v>
      </c>
      <c r="D1398" s="116">
        <v>17</v>
      </c>
      <c r="E1398" s="122" t="s">
        <v>34</v>
      </c>
      <c r="F1398" s="119" t="s">
        <v>57</v>
      </c>
      <c r="G1398" s="27">
        <v>46196</v>
      </c>
      <c r="H1398" s="26" t="s">
        <v>6444</v>
      </c>
      <c r="I1398" s="113" t="s">
        <v>12400</v>
      </c>
      <c r="J1398" s="113" t="s">
        <v>12401</v>
      </c>
    </row>
    <row r="1399" spans="1:10" ht="20" customHeight="1" thickBot="1">
      <c r="A1399" s="28" t="s">
        <v>6447</v>
      </c>
      <c r="B1399" s="28" t="s">
        <v>6447</v>
      </c>
      <c r="C1399" s="28" t="s">
        <v>6448</v>
      </c>
      <c r="D1399" s="117">
        <v>8</v>
      </c>
      <c r="E1399" s="122" t="s">
        <v>33</v>
      </c>
      <c r="F1399" s="120" t="s">
        <v>63</v>
      </c>
      <c r="G1399" s="29">
        <v>44068</v>
      </c>
      <c r="H1399" s="28" t="s">
        <v>6449</v>
      </c>
      <c r="I1399" s="114" t="s">
        <v>12400</v>
      </c>
      <c r="J1399" s="114" t="s">
        <v>12401</v>
      </c>
    </row>
    <row r="1400" spans="1:10" ht="20" customHeight="1" thickBot="1">
      <c r="A1400" s="26" t="s">
        <v>6452</v>
      </c>
      <c r="B1400" s="26" t="s">
        <v>6452</v>
      </c>
      <c r="C1400" s="26" t="s">
        <v>6453</v>
      </c>
      <c r="D1400" s="116">
        <v>12</v>
      </c>
      <c r="E1400" s="122" t="s">
        <v>27</v>
      </c>
      <c r="F1400" s="119" t="s">
        <v>63</v>
      </c>
      <c r="G1400" s="27">
        <v>42742</v>
      </c>
      <c r="H1400" s="26" t="s">
        <v>6454</v>
      </c>
      <c r="I1400" s="113" t="s">
        <v>12400</v>
      </c>
      <c r="J1400" s="113" t="s">
        <v>12401</v>
      </c>
    </row>
    <row r="1401" spans="1:10" ht="20" customHeight="1" thickBot="1">
      <c r="A1401" s="28" t="s">
        <v>6457</v>
      </c>
      <c r="B1401" s="28" t="s">
        <v>6457</v>
      </c>
      <c r="C1401" s="28" t="s">
        <v>6458</v>
      </c>
      <c r="D1401" s="117">
        <v>12</v>
      </c>
      <c r="E1401" s="122" t="s">
        <v>33</v>
      </c>
      <c r="F1401" s="120" t="s">
        <v>57</v>
      </c>
      <c r="G1401" s="29">
        <v>46219</v>
      </c>
      <c r="H1401" s="28" t="s">
        <v>6459</v>
      </c>
      <c r="I1401" s="114" t="s">
        <v>12400</v>
      </c>
      <c r="J1401" s="114" t="s">
        <v>12401</v>
      </c>
    </row>
    <row r="1402" spans="1:10" ht="20" customHeight="1" thickBot="1">
      <c r="A1402" s="26" t="s">
        <v>6462</v>
      </c>
      <c r="B1402" s="26" t="s">
        <v>6462</v>
      </c>
      <c r="C1402" s="26" t="s">
        <v>6463</v>
      </c>
      <c r="D1402" s="116">
        <v>3</v>
      </c>
      <c r="E1402" s="122" t="s">
        <v>31</v>
      </c>
      <c r="F1402" s="119" t="s">
        <v>115</v>
      </c>
      <c r="G1402" s="27">
        <v>45699</v>
      </c>
      <c r="H1402" s="26" t="s">
        <v>6464</v>
      </c>
      <c r="I1402" s="113" t="s">
        <v>12400</v>
      </c>
      <c r="J1402" s="113" t="s">
        <v>12401</v>
      </c>
    </row>
    <row r="1403" spans="1:10" ht="20" customHeight="1" thickBot="1">
      <c r="A1403" s="28" t="s">
        <v>6467</v>
      </c>
      <c r="B1403" s="28" t="s">
        <v>6467</v>
      </c>
      <c r="C1403" s="28" t="s">
        <v>408</v>
      </c>
      <c r="D1403" s="117">
        <v>7</v>
      </c>
      <c r="E1403" s="122" t="s">
        <v>27</v>
      </c>
      <c r="F1403" s="120" t="s">
        <v>63</v>
      </c>
      <c r="G1403" s="29">
        <v>41464</v>
      </c>
      <c r="H1403" s="28" t="s">
        <v>6468</v>
      </c>
      <c r="I1403" s="114" t="s">
        <v>12400</v>
      </c>
      <c r="J1403" s="114" t="s">
        <v>12401</v>
      </c>
    </row>
    <row r="1404" spans="1:10" ht="20" customHeight="1" thickBot="1">
      <c r="A1404" s="26" t="s">
        <v>6471</v>
      </c>
      <c r="B1404" s="26" t="s">
        <v>6471</v>
      </c>
      <c r="C1404" s="26" t="s">
        <v>5711</v>
      </c>
      <c r="D1404" s="116">
        <v>50</v>
      </c>
      <c r="E1404" s="122" t="s">
        <v>29</v>
      </c>
      <c r="F1404" s="119" t="s">
        <v>63</v>
      </c>
      <c r="G1404" s="27">
        <v>42286</v>
      </c>
      <c r="H1404" s="26" t="s">
        <v>6472</v>
      </c>
      <c r="I1404" s="113" t="s">
        <v>12400</v>
      </c>
      <c r="J1404" s="113" t="s">
        <v>12401</v>
      </c>
    </row>
    <row r="1405" spans="1:10" ht="20" customHeight="1" thickBot="1">
      <c r="A1405" s="28" t="s">
        <v>6475</v>
      </c>
      <c r="B1405" s="28" t="s">
        <v>6475</v>
      </c>
      <c r="C1405" s="28" t="s">
        <v>6476</v>
      </c>
      <c r="D1405" s="117">
        <v>24</v>
      </c>
      <c r="E1405" s="122" t="s">
        <v>33</v>
      </c>
      <c r="F1405" s="120" t="s">
        <v>115</v>
      </c>
      <c r="G1405" s="29">
        <v>44423</v>
      </c>
      <c r="H1405" s="28" t="s">
        <v>6477</v>
      </c>
      <c r="I1405" s="114" t="s">
        <v>12400</v>
      </c>
      <c r="J1405" s="114" t="s">
        <v>12401</v>
      </c>
    </row>
    <row r="1406" spans="1:10" ht="20" customHeight="1" thickBot="1">
      <c r="A1406" s="26" t="s">
        <v>6480</v>
      </c>
      <c r="B1406" s="26" t="s">
        <v>6480</v>
      </c>
      <c r="C1406" s="26" t="s">
        <v>6481</v>
      </c>
      <c r="D1406" s="116">
        <v>75</v>
      </c>
      <c r="E1406" s="122" t="s">
        <v>36</v>
      </c>
      <c r="F1406" s="119" t="s">
        <v>57</v>
      </c>
      <c r="G1406" s="27">
        <v>45474</v>
      </c>
      <c r="H1406" s="26" t="s">
        <v>6482</v>
      </c>
      <c r="I1406" s="113" t="s">
        <v>12400</v>
      </c>
      <c r="J1406" s="113" t="s">
        <v>12401</v>
      </c>
    </row>
    <row r="1407" spans="1:10" ht="20" customHeight="1" thickBot="1">
      <c r="A1407" s="28" t="s">
        <v>6485</v>
      </c>
      <c r="B1407" s="28" t="s">
        <v>6485</v>
      </c>
      <c r="C1407" s="28" t="s">
        <v>6486</v>
      </c>
      <c r="D1407" s="117">
        <v>1</v>
      </c>
      <c r="E1407" s="122" t="s">
        <v>35</v>
      </c>
      <c r="F1407" s="120" t="s">
        <v>57</v>
      </c>
      <c r="G1407" s="29">
        <v>45500</v>
      </c>
      <c r="H1407" s="28" t="s">
        <v>6487</v>
      </c>
      <c r="I1407" s="114" t="s">
        <v>12400</v>
      </c>
      <c r="J1407" s="114" t="s">
        <v>12401</v>
      </c>
    </row>
    <row r="1408" spans="1:10" ht="20" customHeight="1" thickBot="1">
      <c r="A1408" s="26" t="s">
        <v>6490</v>
      </c>
      <c r="B1408" s="26" t="s">
        <v>6490</v>
      </c>
      <c r="C1408" s="26" t="s">
        <v>1069</v>
      </c>
      <c r="D1408" s="116">
        <v>5</v>
      </c>
      <c r="E1408" s="122" t="s">
        <v>33</v>
      </c>
      <c r="F1408" s="119" t="s">
        <v>57</v>
      </c>
      <c r="G1408" s="27">
        <v>44628</v>
      </c>
      <c r="H1408" s="26" t="s">
        <v>6491</v>
      </c>
      <c r="I1408" s="113" t="s">
        <v>12400</v>
      </c>
      <c r="J1408" s="113" t="s">
        <v>12401</v>
      </c>
    </row>
    <row r="1409" spans="1:10" ht="20" customHeight="1" thickBot="1">
      <c r="A1409" s="28" t="s">
        <v>6494</v>
      </c>
      <c r="B1409" s="28" t="s">
        <v>6494</v>
      </c>
      <c r="C1409" s="28" t="s">
        <v>1069</v>
      </c>
      <c r="D1409" s="117">
        <v>10</v>
      </c>
      <c r="E1409" s="122" t="s">
        <v>33</v>
      </c>
      <c r="F1409" s="120" t="s">
        <v>57</v>
      </c>
      <c r="G1409" s="29">
        <v>44677</v>
      </c>
      <c r="H1409" s="28" t="s">
        <v>6495</v>
      </c>
      <c r="I1409" s="114" t="s">
        <v>12400</v>
      </c>
      <c r="J1409" s="114" t="s">
        <v>12401</v>
      </c>
    </row>
    <row r="1410" spans="1:10" ht="20" customHeight="1" thickBot="1">
      <c r="A1410" s="26" t="s">
        <v>6498</v>
      </c>
      <c r="B1410" s="26" t="s">
        <v>6498</v>
      </c>
      <c r="C1410" s="26" t="s">
        <v>1379</v>
      </c>
      <c r="D1410" s="116">
        <v>9</v>
      </c>
      <c r="E1410" s="122" t="s">
        <v>33</v>
      </c>
      <c r="F1410" s="119" t="s">
        <v>57</v>
      </c>
      <c r="G1410" s="27">
        <v>45673</v>
      </c>
      <c r="H1410" s="26" t="s">
        <v>6499</v>
      </c>
      <c r="I1410" s="113" t="s">
        <v>12400</v>
      </c>
      <c r="J1410" s="113" t="s">
        <v>12401</v>
      </c>
    </row>
    <row r="1411" spans="1:10" ht="20" customHeight="1" thickBot="1">
      <c r="A1411" s="28" t="s">
        <v>6502</v>
      </c>
      <c r="B1411" s="28" t="s">
        <v>6502</v>
      </c>
      <c r="C1411" s="28" t="s">
        <v>2119</v>
      </c>
      <c r="D1411" s="117">
        <v>30</v>
      </c>
      <c r="E1411" s="122" t="s">
        <v>31</v>
      </c>
      <c r="F1411" s="120" t="s">
        <v>63</v>
      </c>
      <c r="G1411" s="29">
        <v>45153</v>
      </c>
      <c r="H1411" s="28" t="s">
        <v>6503</v>
      </c>
      <c r="I1411" s="114" t="s">
        <v>12400</v>
      </c>
      <c r="J1411" s="114" t="s">
        <v>12401</v>
      </c>
    </row>
    <row r="1412" spans="1:10" ht="20" customHeight="1" thickBot="1">
      <c r="A1412" s="26" t="s">
        <v>6506</v>
      </c>
      <c r="B1412" s="26" t="s">
        <v>6506</v>
      </c>
      <c r="C1412" s="26" t="s">
        <v>4710</v>
      </c>
      <c r="D1412" s="116">
        <v>12</v>
      </c>
      <c r="E1412" s="122" t="s">
        <v>31</v>
      </c>
      <c r="F1412" s="119" t="s">
        <v>63</v>
      </c>
      <c r="G1412" s="27">
        <v>44173</v>
      </c>
      <c r="H1412" s="26" t="s">
        <v>6507</v>
      </c>
      <c r="I1412" s="113" t="s">
        <v>12400</v>
      </c>
      <c r="J1412" s="113" t="s">
        <v>12401</v>
      </c>
    </row>
    <row r="1413" spans="1:10" ht="20" customHeight="1" thickBot="1">
      <c r="A1413" s="28" t="s">
        <v>6510</v>
      </c>
      <c r="B1413" s="28" t="s">
        <v>6510</v>
      </c>
      <c r="C1413" s="28" t="s">
        <v>6511</v>
      </c>
      <c r="D1413" s="117">
        <v>2</v>
      </c>
      <c r="E1413" s="122" t="s">
        <v>31</v>
      </c>
      <c r="F1413" s="120" t="s">
        <v>57</v>
      </c>
      <c r="G1413" s="29">
        <v>45397</v>
      </c>
      <c r="H1413" s="28" t="s">
        <v>6512</v>
      </c>
      <c r="I1413" s="114" t="s">
        <v>12400</v>
      </c>
      <c r="J1413" s="114" t="s">
        <v>12401</v>
      </c>
    </row>
    <row r="1414" spans="1:10" ht="20" customHeight="1" thickBot="1">
      <c r="A1414" s="26" t="s">
        <v>6515</v>
      </c>
      <c r="B1414" s="26" t="s">
        <v>6515</v>
      </c>
      <c r="C1414" s="26" t="s">
        <v>6516</v>
      </c>
      <c r="D1414" s="116">
        <v>15</v>
      </c>
      <c r="E1414" s="122" t="s">
        <v>29</v>
      </c>
      <c r="F1414" s="119" t="s">
        <v>63</v>
      </c>
      <c r="G1414" s="27">
        <v>42288</v>
      </c>
      <c r="H1414" s="26" t="s">
        <v>6517</v>
      </c>
      <c r="I1414" s="113" t="s">
        <v>12400</v>
      </c>
      <c r="J1414" s="113" t="s">
        <v>12401</v>
      </c>
    </row>
    <row r="1415" spans="1:10" ht="20" customHeight="1" thickBot="1">
      <c r="A1415" s="28" t="s">
        <v>6520</v>
      </c>
      <c r="B1415" s="28" t="s">
        <v>6520</v>
      </c>
      <c r="C1415" s="28" t="s">
        <v>88</v>
      </c>
      <c r="D1415" s="117">
        <v>1</v>
      </c>
      <c r="E1415" s="122" t="s">
        <v>36</v>
      </c>
      <c r="F1415" s="120" t="s">
        <v>89</v>
      </c>
      <c r="G1415" s="29">
        <v>42839</v>
      </c>
      <c r="H1415" s="28" t="s">
        <v>6521</v>
      </c>
      <c r="I1415" s="114" t="s">
        <v>12400</v>
      </c>
      <c r="J1415" s="114" t="s">
        <v>12401</v>
      </c>
    </row>
    <row r="1416" spans="1:10" ht="20" customHeight="1" thickBot="1">
      <c r="A1416" s="26" t="s">
        <v>6524</v>
      </c>
      <c r="B1416" s="26" t="s">
        <v>6524</v>
      </c>
      <c r="C1416" s="26" t="s">
        <v>930</v>
      </c>
      <c r="D1416" s="116">
        <v>3</v>
      </c>
      <c r="E1416" s="122" t="s">
        <v>35</v>
      </c>
      <c r="F1416" s="119" t="s">
        <v>57</v>
      </c>
      <c r="G1416" s="27">
        <v>43892</v>
      </c>
      <c r="H1416" s="26" t="s">
        <v>6525</v>
      </c>
      <c r="I1416" s="113" t="s">
        <v>12400</v>
      </c>
      <c r="J1416" s="113" t="s">
        <v>12401</v>
      </c>
    </row>
    <row r="1417" spans="1:10" ht="20" customHeight="1" thickBot="1">
      <c r="A1417" s="28" t="s">
        <v>6528</v>
      </c>
      <c r="B1417" s="28" t="s">
        <v>6528</v>
      </c>
      <c r="C1417" s="28" t="s">
        <v>930</v>
      </c>
      <c r="D1417" s="117">
        <v>7</v>
      </c>
      <c r="E1417" s="122" t="s">
        <v>35</v>
      </c>
      <c r="F1417" s="120" t="s">
        <v>57</v>
      </c>
      <c r="G1417" s="29">
        <v>46137</v>
      </c>
      <c r="H1417" s="28" t="s">
        <v>6529</v>
      </c>
      <c r="I1417" s="114" t="s">
        <v>12400</v>
      </c>
      <c r="J1417" s="114" t="s">
        <v>12401</v>
      </c>
    </row>
    <row r="1418" spans="1:10" ht="20" customHeight="1" thickBot="1">
      <c r="A1418" s="26" t="s">
        <v>6532</v>
      </c>
      <c r="B1418" s="26" t="s">
        <v>6532</v>
      </c>
      <c r="C1418" s="26" t="s">
        <v>6533</v>
      </c>
      <c r="D1418" s="116">
        <v>9</v>
      </c>
      <c r="E1418" s="122" t="s">
        <v>33</v>
      </c>
      <c r="F1418" s="119" t="s">
        <v>57</v>
      </c>
      <c r="G1418" s="27">
        <v>45334</v>
      </c>
      <c r="H1418" s="26" t="s">
        <v>6534</v>
      </c>
      <c r="I1418" s="113" t="s">
        <v>12400</v>
      </c>
      <c r="J1418" s="113" t="s">
        <v>12401</v>
      </c>
    </row>
    <row r="1419" spans="1:10" ht="20" customHeight="1" thickBot="1">
      <c r="A1419" s="28" t="s">
        <v>6537</v>
      </c>
      <c r="B1419" s="28" t="s">
        <v>6537</v>
      </c>
      <c r="C1419" s="28" t="s">
        <v>6538</v>
      </c>
      <c r="D1419" s="117">
        <v>44</v>
      </c>
      <c r="E1419" s="122" t="s">
        <v>27</v>
      </c>
      <c r="F1419" s="120" t="s">
        <v>63</v>
      </c>
      <c r="G1419" s="29">
        <v>42275</v>
      </c>
      <c r="H1419" s="28" t="s">
        <v>6539</v>
      </c>
      <c r="I1419" s="114" t="s">
        <v>12400</v>
      </c>
      <c r="J1419" s="114" t="s">
        <v>12401</v>
      </c>
    </row>
    <row r="1420" spans="1:10" ht="20" customHeight="1" thickBot="1">
      <c r="A1420" s="26" t="s">
        <v>6542</v>
      </c>
      <c r="B1420" s="26" t="s">
        <v>6542</v>
      </c>
      <c r="C1420" s="26" t="s">
        <v>2340</v>
      </c>
      <c r="D1420" s="116">
        <v>18</v>
      </c>
      <c r="E1420" s="122" t="s">
        <v>35</v>
      </c>
      <c r="F1420" s="119" t="s">
        <v>57</v>
      </c>
      <c r="G1420" s="27">
        <v>44870</v>
      </c>
      <c r="H1420" s="26" t="s">
        <v>6543</v>
      </c>
      <c r="I1420" s="113" t="s">
        <v>12400</v>
      </c>
      <c r="J1420" s="113" t="s">
        <v>12401</v>
      </c>
    </row>
    <row r="1421" spans="1:10" ht="20" customHeight="1" thickBot="1">
      <c r="A1421" s="28" t="s">
        <v>6546</v>
      </c>
      <c r="B1421" s="28" t="s">
        <v>6546</v>
      </c>
      <c r="C1421" s="28" t="s">
        <v>6547</v>
      </c>
      <c r="D1421" s="117">
        <v>14</v>
      </c>
      <c r="E1421" s="122" t="s">
        <v>33</v>
      </c>
      <c r="F1421" s="120" t="s">
        <v>57</v>
      </c>
      <c r="G1421" s="29">
        <v>43274</v>
      </c>
      <c r="H1421" s="28" t="s">
        <v>6548</v>
      </c>
      <c r="I1421" s="114" t="s">
        <v>12400</v>
      </c>
      <c r="J1421" s="114" t="s">
        <v>12401</v>
      </c>
    </row>
    <row r="1422" spans="1:10" ht="20" customHeight="1" thickBot="1">
      <c r="A1422" s="26" t="s">
        <v>6551</v>
      </c>
      <c r="B1422" s="26" t="s">
        <v>6551</v>
      </c>
      <c r="C1422" s="26" t="s">
        <v>718</v>
      </c>
      <c r="D1422" s="116">
        <v>1</v>
      </c>
      <c r="E1422" s="122" t="s">
        <v>35</v>
      </c>
      <c r="F1422" s="119" t="s">
        <v>57</v>
      </c>
      <c r="G1422" s="27">
        <v>43775</v>
      </c>
      <c r="H1422" s="26" t="s">
        <v>6552</v>
      </c>
      <c r="I1422" s="113" t="s">
        <v>12400</v>
      </c>
      <c r="J1422" s="113" t="s">
        <v>12401</v>
      </c>
    </row>
    <row r="1423" spans="1:10" ht="20" customHeight="1" thickBot="1">
      <c r="A1423" s="28" t="s">
        <v>6555</v>
      </c>
      <c r="B1423" s="28" t="s">
        <v>6555</v>
      </c>
      <c r="C1423" s="28" t="s">
        <v>2260</v>
      </c>
      <c r="D1423" s="117">
        <v>8</v>
      </c>
      <c r="E1423" s="122" t="s">
        <v>29</v>
      </c>
      <c r="F1423" s="120" t="s">
        <v>63</v>
      </c>
      <c r="G1423" s="29">
        <v>44509</v>
      </c>
      <c r="H1423" s="28" t="s">
        <v>6556</v>
      </c>
      <c r="I1423" s="114" t="s">
        <v>12400</v>
      </c>
      <c r="J1423" s="114" t="s">
        <v>12401</v>
      </c>
    </row>
    <row r="1424" spans="1:10" ht="20" customHeight="1" thickBot="1">
      <c r="A1424" s="26" t="s">
        <v>6559</v>
      </c>
      <c r="B1424" s="26" t="s">
        <v>6559</v>
      </c>
      <c r="C1424" s="26" t="s">
        <v>6560</v>
      </c>
      <c r="D1424" s="116">
        <v>16</v>
      </c>
      <c r="E1424" s="122" t="s">
        <v>29</v>
      </c>
      <c r="F1424" s="119" t="s">
        <v>63</v>
      </c>
      <c r="G1424" s="27">
        <v>43464</v>
      </c>
      <c r="H1424" s="26" t="s">
        <v>6561</v>
      </c>
      <c r="I1424" s="113" t="s">
        <v>12400</v>
      </c>
      <c r="J1424" s="113" t="s">
        <v>12401</v>
      </c>
    </row>
    <row r="1425" spans="1:10" ht="20" customHeight="1" thickBot="1">
      <c r="A1425" s="28" t="s">
        <v>6564</v>
      </c>
      <c r="B1425" s="28" t="s">
        <v>6564</v>
      </c>
      <c r="C1425" s="28" t="s">
        <v>6560</v>
      </c>
      <c r="D1425" s="117">
        <v>39</v>
      </c>
      <c r="E1425" s="122" t="s">
        <v>31</v>
      </c>
      <c r="F1425" s="120" t="s">
        <v>63</v>
      </c>
      <c r="G1425" s="29">
        <v>43308</v>
      </c>
      <c r="H1425" s="28" t="s">
        <v>6565</v>
      </c>
      <c r="I1425" s="114" t="s">
        <v>12400</v>
      </c>
      <c r="J1425" s="114" t="s">
        <v>12401</v>
      </c>
    </row>
    <row r="1426" spans="1:10" ht="20" customHeight="1" thickBot="1">
      <c r="A1426" s="26" t="s">
        <v>6568</v>
      </c>
      <c r="B1426" s="26" t="s">
        <v>6568</v>
      </c>
      <c r="C1426" s="26" t="s">
        <v>6569</v>
      </c>
      <c r="D1426" s="116">
        <v>5</v>
      </c>
      <c r="E1426" s="122" t="s">
        <v>29</v>
      </c>
      <c r="F1426" s="119" t="s">
        <v>63</v>
      </c>
      <c r="G1426" s="27">
        <v>43081</v>
      </c>
      <c r="H1426" s="26" t="s">
        <v>6570</v>
      </c>
      <c r="I1426" s="113" t="s">
        <v>12400</v>
      </c>
      <c r="J1426" s="113" t="s">
        <v>12401</v>
      </c>
    </row>
    <row r="1427" spans="1:10" ht="20" customHeight="1" thickBot="1">
      <c r="A1427" s="28" t="s">
        <v>6573</v>
      </c>
      <c r="B1427" s="28" t="s">
        <v>6573</v>
      </c>
      <c r="C1427" s="28" t="s">
        <v>6574</v>
      </c>
      <c r="D1427" s="117">
        <v>10</v>
      </c>
      <c r="E1427" s="122" t="s">
        <v>29</v>
      </c>
      <c r="F1427" s="120" t="s">
        <v>63</v>
      </c>
      <c r="G1427" s="29">
        <v>44446</v>
      </c>
      <c r="H1427" s="28" t="s">
        <v>6575</v>
      </c>
      <c r="I1427" s="114" t="s">
        <v>12400</v>
      </c>
      <c r="J1427" s="114" t="s">
        <v>12401</v>
      </c>
    </row>
    <row r="1428" spans="1:10" ht="20" customHeight="1" thickBot="1">
      <c r="A1428" s="26" t="s">
        <v>6578</v>
      </c>
      <c r="B1428" s="26" t="s">
        <v>6578</v>
      </c>
      <c r="C1428" s="26" t="s">
        <v>6579</v>
      </c>
      <c r="D1428" s="116">
        <v>17</v>
      </c>
      <c r="E1428" s="122" t="s">
        <v>31</v>
      </c>
      <c r="F1428" s="119" t="s">
        <v>63</v>
      </c>
      <c r="G1428" s="27">
        <v>45731</v>
      </c>
      <c r="H1428" s="26" t="s">
        <v>6580</v>
      </c>
      <c r="I1428" s="113" t="s">
        <v>12400</v>
      </c>
      <c r="J1428" s="113" t="s">
        <v>12401</v>
      </c>
    </row>
    <row r="1429" spans="1:10" ht="20" customHeight="1" thickBot="1">
      <c r="A1429" s="28" t="s">
        <v>6583</v>
      </c>
      <c r="B1429" s="28" t="s">
        <v>6583</v>
      </c>
      <c r="C1429" s="28" t="s">
        <v>494</v>
      </c>
      <c r="D1429" s="117">
        <v>0</v>
      </c>
      <c r="E1429" s="122" t="s">
        <v>35</v>
      </c>
      <c r="F1429" s="120" t="s">
        <v>57</v>
      </c>
      <c r="G1429" s="29">
        <v>45307</v>
      </c>
      <c r="H1429" s="28" t="s">
        <v>6584</v>
      </c>
      <c r="I1429" s="114" t="s">
        <v>12400</v>
      </c>
      <c r="J1429" s="114" t="s">
        <v>12401</v>
      </c>
    </row>
    <row r="1430" spans="1:10" ht="20" customHeight="1" thickBot="1">
      <c r="A1430" s="26" t="s">
        <v>6587</v>
      </c>
      <c r="B1430" s="26" t="s">
        <v>6587</v>
      </c>
      <c r="C1430" s="26" t="s">
        <v>3769</v>
      </c>
      <c r="D1430" s="116">
        <v>1</v>
      </c>
      <c r="E1430" s="122" t="s">
        <v>34</v>
      </c>
      <c r="F1430" s="119" t="s">
        <v>57</v>
      </c>
      <c r="G1430" s="27">
        <v>43404</v>
      </c>
      <c r="H1430" s="26" t="s">
        <v>6588</v>
      </c>
      <c r="I1430" s="113" t="s">
        <v>12400</v>
      </c>
      <c r="J1430" s="113" t="s">
        <v>12401</v>
      </c>
    </row>
    <row r="1431" spans="1:10" ht="20" customHeight="1" thickBot="1">
      <c r="A1431" s="28" t="s">
        <v>6591</v>
      </c>
      <c r="B1431" s="28" t="s">
        <v>6591</v>
      </c>
      <c r="C1431" s="28" t="s">
        <v>1784</v>
      </c>
      <c r="D1431" s="117">
        <v>2</v>
      </c>
      <c r="E1431" s="122" t="s">
        <v>33</v>
      </c>
      <c r="F1431" s="120" t="s">
        <v>571</v>
      </c>
      <c r="G1431" s="29">
        <v>42199</v>
      </c>
      <c r="H1431" s="28" t="s">
        <v>6592</v>
      </c>
      <c r="I1431" s="114" t="s">
        <v>12400</v>
      </c>
      <c r="J1431" s="114" t="s">
        <v>12401</v>
      </c>
    </row>
    <row r="1432" spans="1:10" ht="20" customHeight="1" thickBot="1">
      <c r="A1432" s="26" t="s">
        <v>6595</v>
      </c>
      <c r="B1432" s="26" t="s">
        <v>6595</v>
      </c>
      <c r="C1432" s="26" t="s">
        <v>1784</v>
      </c>
      <c r="D1432" s="116">
        <v>1</v>
      </c>
      <c r="E1432" s="122" t="s">
        <v>33</v>
      </c>
      <c r="F1432" s="119" t="s">
        <v>571</v>
      </c>
      <c r="G1432" s="27">
        <v>45158</v>
      </c>
      <c r="H1432" s="26" t="s">
        <v>6596</v>
      </c>
      <c r="I1432" s="113" t="s">
        <v>12400</v>
      </c>
      <c r="J1432" s="113" t="s">
        <v>12401</v>
      </c>
    </row>
    <row r="1433" spans="1:10" ht="20" customHeight="1" thickBot="1">
      <c r="A1433" s="28" t="s">
        <v>6599</v>
      </c>
      <c r="B1433" s="28" t="s">
        <v>6599</v>
      </c>
      <c r="C1433" s="28" t="s">
        <v>109</v>
      </c>
      <c r="D1433" s="117">
        <v>21</v>
      </c>
      <c r="E1433" s="122" t="s">
        <v>34</v>
      </c>
      <c r="F1433" s="120" t="s">
        <v>57</v>
      </c>
      <c r="G1433" s="29">
        <v>44462</v>
      </c>
      <c r="H1433" s="28" t="s">
        <v>6600</v>
      </c>
      <c r="I1433" s="114" t="s">
        <v>12400</v>
      </c>
      <c r="J1433" s="114" t="s">
        <v>12401</v>
      </c>
    </row>
    <row r="1434" spans="1:10" ht="20" customHeight="1" thickBot="1">
      <c r="A1434" s="26" t="s">
        <v>6603</v>
      </c>
      <c r="B1434" s="26" t="s">
        <v>6603</v>
      </c>
      <c r="C1434" s="26" t="s">
        <v>6604</v>
      </c>
      <c r="D1434" s="116">
        <v>18</v>
      </c>
      <c r="E1434" s="122" t="s">
        <v>33</v>
      </c>
      <c r="F1434" s="119" t="s">
        <v>57</v>
      </c>
      <c r="G1434" s="27">
        <v>44168</v>
      </c>
      <c r="H1434" s="26" t="s">
        <v>6605</v>
      </c>
      <c r="I1434" s="113" t="s">
        <v>12400</v>
      </c>
      <c r="J1434" s="113" t="s">
        <v>12401</v>
      </c>
    </row>
    <row r="1435" spans="1:10" ht="20" customHeight="1" thickBot="1">
      <c r="A1435" s="28" t="s">
        <v>6608</v>
      </c>
      <c r="B1435" s="28" t="s">
        <v>6608</v>
      </c>
      <c r="C1435" s="28" t="s">
        <v>452</v>
      </c>
      <c r="D1435" s="117">
        <v>6</v>
      </c>
      <c r="E1435" s="122" t="s">
        <v>31</v>
      </c>
      <c r="F1435" s="120" t="s">
        <v>57</v>
      </c>
      <c r="G1435" s="29">
        <v>44868</v>
      </c>
      <c r="H1435" s="28" t="s">
        <v>6609</v>
      </c>
      <c r="I1435" s="114" t="s">
        <v>12400</v>
      </c>
      <c r="J1435" s="114" t="s">
        <v>12401</v>
      </c>
    </row>
    <row r="1436" spans="1:10" ht="20" customHeight="1" thickBot="1">
      <c r="A1436" s="26" t="s">
        <v>6612</v>
      </c>
      <c r="B1436" s="26" t="s">
        <v>6612</v>
      </c>
      <c r="C1436" s="26" t="s">
        <v>6613</v>
      </c>
      <c r="D1436" s="116">
        <v>4</v>
      </c>
      <c r="E1436" s="122" t="s">
        <v>33</v>
      </c>
      <c r="F1436" s="119" t="s">
        <v>57</v>
      </c>
      <c r="G1436" s="27">
        <v>44196</v>
      </c>
      <c r="H1436" s="26" t="s">
        <v>6614</v>
      </c>
      <c r="I1436" s="113" t="s">
        <v>12400</v>
      </c>
      <c r="J1436" s="113" t="s">
        <v>12401</v>
      </c>
    </row>
    <row r="1437" spans="1:10" ht="20" customHeight="1" thickBot="1">
      <c r="A1437" s="28" t="s">
        <v>6617</v>
      </c>
      <c r="B1437" s="28" t="s">
        <v>6617</v>
      </c>
      <c r="C1437" s="28" t="s">
        <v>6618</v>
      </c>
      <c r="D1437" s="117">
        <v>23</v>
      </c>
      <c r="E1437" s="122" t="s">
        <v>31</v>
      </c>
      <c r="F1437" s="120" t="s">
        <v>63</v>
      </c>
      <c r="G1437" s="29">
        <v>42227</v>
      </c>
      <c r="H1437" s="28" t="s">
        <v>6619</v>
      </c>
      <c r="I1437" s="114" t="s">
        <v>12400</v>
      </c>
      <c r="J1437" s="114" t="s">
        <v>12401</v>
      </c>
    </row>
    <row r="1438" spans="1:10" ht="20" customHeight="1" thickBot="1">
      <c r="A1438" s="26" t="s">
        <v>6622</v>
      </c>
      <c r="B1438" s="26" t="s">
        <v>6622</v>
      </c>
      <c r="C1438" s="26" t="s">
        <v>6623</v>
      </c>
      <c r="D1438" s="116">
        <v>32</v>
      </c>
      <c r="E1438" s="122" t="s">
        <v>31</v>
      </c>
      <c r="F1438" s="119" t="s">
        <v>63</v>
      </c>
      <c r="G1438" s="27">
        <v>41530</v>
      </c>
      <c r="H1438" s="26" t="s">
        <v>6624</v>
      </c>
      <c r="I1438" s="113" t="s">
        <v>12400</v>
      </c>
      <c r="J1438" s="113" t="s">
        <v>12401</v>
      </c>
    </row>
    <row r="1439" spans="1:10" ht="20" customHeight="1" thickBot="1">
      <c r="A1439" s="28" t="s">
        <v>6627</v>
      </c>
      <c r="B1439" s="28" t="s">
        <v>6627</v>
      </c>
      <c r="C1439" s="28" t="s">
        <v>6628</v>
      </c>
      <c r="D1439" s="117">
        <v>32</v>
      </c>
      <c r="E1439" s="122" t="s">
        <v>31</v>
      </c>
      <c r="F1439" s="120" t="s">
        <v>63</v>
      </c>
      <c r="G1439" s="29">
        <v>45138</v>
      </c>
      <c r="H1439" s="28" t="s">
        <v>6629</v>
      </c>
      <c r="I1439" s="114" t="s">
        <v>12400</v>
      </c>
      <c r="J1439" s="114" t="s">
        <v>12401</v>
      </c>
    </row>
    <row r="1440" spans="1:10" ht="20" customHeight="1" thickBot="1">
      <c r="A1440" s="26" t="s">
        <v>6632</v>
      </c>
      <c r="B1440" s="26" t="s">
        <v>6632</v>
      </c>
      <c r="C1440" s="26" t="s">
        <v>6633</v>
      </c>
      <c r="D1440" s="116">
        <v>4</v>
      </c>
      <c r="E1440" s="122" t="s">
        <v>29</v>
      </c>
      <c r="F1440" s="119" t="s">
        <v>63</v>
      </c>
      <c r="G1440" s="27">
        <v>42276</v>
      </c>
      <c r="H1440" s="26" t="s">
        <v>6634</v>
      </c>
      <c r="I1440" s="113" t="s">
        <v>12400</v>
      </c>
      <c r="J1440" s="113" t="s">
        <v>12401</v>
      </c>
    </row>
    <row r="1441" spans="1:10" ht="20" customHeight="1" thickBot="1">
      <c r="A1441" s="28" t="s">
        <v>6637</v>
      </c>
      <c r="B1441" s="28" t="s">
        <v>6637</v>
      </c>
      <c r="C1441" s="28" t="s">
        <v>6638</v>
      </c>
      <c r="D1441" s="117">
        <v>14</v>
      </c>
      <c r="E1441" s="122" t="s">
        <v>33</v>
      </c>
      <c r="F1441" s="120" t="s">
        <v>57</v>
      </c>
      <c r="G1441" s="29">
        <v>43214</v>
      </c>
      <c r="H1441" s="28" t="s">
        <v>6639</v>
      </c>
      <c r="I1441" s="114" t="s">
        <v>12400</v>
      </c>
      <c r="J1441" s="114" t="s">
        <v>12401</v>
      </c>
    </row>
    <row r="1442" spans="1:10" ht="20" customHeight="1" thickBot="1">
      <c r="A1442" s="26" t="s">
        <v>6642</v>
      </c>
      <c r="B1442" s="26" t="s">
        <v>6642</v>
      </c>
      <c r="C1442" s="26" t="s">
        <v>6638</v>
      </c>
      <c r="D1442" s="116">
        <v>22</v>
      </c>
      <c r="E1442" s="122" t="s">
        <v>31</v>
      </c>
      <c r="F1442" s="119" t="s">
        <v>57</v>
      </c>
      <c r="G1442" s="27">
        <v>43532</v>
      </c>
      <c r="H1442" s="26" t="s">
        <v>6643</v>
      </c>
      <c r="I1442" s="113" t="s">
        <v>12400</v>
      </c>
      <c r="J1442" s="113" t="s">
        <v>12401</v>
      </c>
    </row>
    <row r="1443" spans="1:10" ht="20" customHeight="1" thickBot="1">
      <c r="A1443" s="28" t="s">
        <v>6646</v>
      </c>
      <c r="B1443" s="28" t="s">
        <v>6646</v>
      </c>
      <c r="C1443" s="28" t="s">
        <v>6638</v>
      </c>
      <c r="D1443" s="117">
        <v>9</v>
      </c>
      <c r="E1443" s="122" t="s">
        <v>33</v>
      </c>
      <c r="F1443" s="120" t="s">
        <v>57</v>
      </c>
      <c r="G1443" s="29">
        <v>44599</v>
      </c>
      <c r="H1443" s="28" t="s">
        <v>6647</v>
      </c>
      <c r="I1443" s="114" t="s">
        <v>12400</v>
      </c>
      <c r="J1443" s="114" t="s">
        <v>12401</v>
      </c>
    </row>
    <row r="1444" spans="1:10" ht="20" customHeight="1" thickBot="1">
      <c r="A1444" s="26" t="s">
        <v>6650</v>
      </c>
      <c r="B1444" s="26" t="s">
        <v>6650</v>
      </c>
      <c r="C1444" s="26" t="s">
        <v>6651</v>
      </c>
      <c r="D1444" s="116">
        <v>20</v>
      </c>
      <c r="E1444" s="122" t="s">
        <v>29</v>
      </c>
      <c r="F1444" s="119" t="s">
        <v>63</v>
      </c>
      <c r="G1444" s="27">
        <v>45379</v>
      </c>
      <c r="H1444" s="26" t="s">
        <v>6652</v>
      </c>
      <c r="I1444" s="113" t="s">
        <v>12400</v>
      </c>
      <c r="J1444" s="113" t="s">
        <v>12401</v>
      </c>
    </row>
    <row r="1445" spans="1:10" ht="20" customHeight="1" thickBot="1">
      <c r="A1445" s="28" t="s">
        <v>6655</v>
      </c>
      <c r="B1445" s="28" t="s">
        <v>6655</v>
      </c>
      <c r="C1445" s="28" t="s">
        <v>6656</v>
      </c>
      <c r="D1445" s="117">
        <v>50</v>
      </c>
      <c r="E1445" s="122" t="s">
        <v>33</v>
      </c>
      <c r="F1445" s="120" t="s">
        <v>63</v>
      </c>
      <c r="G1445" s="29">
        <v>44334</v>
      </c>
      <c r="H1445" s="28" t="s">
        <v>6657</v>
      </c>
      <c r="I1445" s="114" t="s">
        <v>12400</v>
      </c>
      <c r="J1445" s="114" t="s">
        <v>12401</v>
      </c>
    </row>
    <row r="1446" spans="1:10" ht="20" customHeight="1" thickBot="1">
      <c r="A1446" s="26" t="s">
        <v>6660</v>
      </c>
      <c r="B1446" s="26" t="s">
        <v>6660</v>
      </c>
      <c r="C1446" s="26" t="s">
        <v>452</v>
      </c>
      <c r="D1446" s="116">
        <v>0</v>
      </c>
      <c r="E1446" s="122" t="s">
        <v>33</v>
      </c>
      <c r="F1446" s="119" t="s">
        <v>57</v>
      </c>
      <c r="G1446" s="27">
        <v>44894</v>
      </c>
      <c r="H1446" s="26" t="s">
        <v>6661</v>
      </c>
      <c r="I1446" s="113" t="s">
        <v>12400</v>
      </c>
      <c r="J1446" s="113" t="s">
        <v>12401</v>
      </c>
    </row>
    <row r="1447" spans="1:10" ht="20" customHeight="1" thickBot="1">
      <c r="A1447" s="28" t="s">
        <v>6664</v>
      </c>
      <c r="B1447" s="28" t="s">
        <v>6664</v>
      </c>
      <c r="C1447" s="28" t="s">
        <v>6665</v>
      </c>
      <c r="D1447" s="117">
        <v>13</v>
      </c>
      <c r="E1447" s="122" t="s">
        <v>29</v>
      </c>
      <c r="F1447" s="120" t="s">
        <v>63</v>
      </c>
      <c r="G1447" s="29">
        <v>42293</v>
      </c>
      <c r="H1447" s="28" t="s">
        <v>6666</v>
      </c>
      <c r="I1447" s="114" t="s">
        <v>12400</v>
      </c>
      <c r="J1447" s="114" t="s">
        <v>12401</v>
      </c>
    </row>
    <row r="1448" spans="1:10" ht="20" customHeight="1" thickBot="1">
      <c r="A1448" s="26" t="s">
        <v>6669</v>
      </c>
      <c r="B1448" s="26" t="s">
        <v>6669</v>
      </c>
      <c r="C1448" s="26" t="s">
        <v>6670</v>
      </c>
      <c r="D1448" s="116">
        <v>85</v>
      </c>
      <c r="E1448" s="122" t="s">
        <v>36</v>
      </c>
      <c r="F1448" s="119" t="s">
        <v>115</v>
      </c>
      <c r="G1448" s="27">
        <v>44722</v>
      </c>
      <c r="H1448" s="26" t="s">
        <v>6671</v>
      </c>
      <c r="I1448" s="113" t="s">
        <v>12400</v>
      </c>
      <c r="J1448" s="113" t="s">
        <v>12401</v>
      </c>
    </row>
    <row r="1449" spans="1:10" ht="20" customHeight="1" thickBot="1">
      <c r="A1449" s="28" t="s">
        <v>6674</v>
      </c>
      <c r="B1449" s="28" t="s">
        <v>6674</v>
      </c>
      <c r="C1449" s="28" t="s">
        <v>5750</v>
      </c>
      <c r="D1449" s="117">
        <v>8</v>
      </c>
      <c r="E1449" s="122" t="s">
        <v>29</v>
      </c>
      <c r="F1449" s="120" t="s">
        <v>63</v>
      </c>
      <c r="G1449" s="29">
        <v>42104</v>
      </c>
      <c r="H1449" s="28" t="s">
        <v>6675</v>
      </c>
      <c r="I1449" s="114" t="s">
        <v>12400</v>
      </c>
      <c r="J1449" s="114" t="s">
        <v>12401</v>
      </c>
    </row>
    <row r="1450" spans="1:10" ht="20" customHeight="1" thickBot="1">
      <c r="A1450" s="26" t="s">
        <v>6678</v>
      </c>
      <c r="B1450" s="26" t="s">
        <v>6678</v>
      </c>
      <c r="C1450" s="26" t="s">
        <v>6679</v>
      </c>
      <c r="D1450" s="116">
        <v>5</v>
      </c>
      <c r="E1450" s="122" t="s">
        <v>35</v>
      </c>
      <c r="F1450" s="119" t="s">
        <v>63</v>
      </c>
      <c r="G1450" s="27">
        <v>45450</v>
      </c>
      <c r="H1450" s="26" t="s">
        <v>6680</v>
      </c>
      <c r="I1450" s="113" t="s">
        <v>12400</v>
      </c>
      <c r="J1450" s="113" t="s">
        <v>12401</v>
      </c>
    </row>
    <row r="1451" spans="1:10" ht="20" customHeight="1" thickBot="1">
      <c r="A1451" s="28" t="s">
        <v>6683</v>
      </c>
      <c r="B1451" s="28" t="s">
        <v>6683</v>
      </c>
      <c r="C1451" s="28" t="s">
        <v>5894</v>
      </c>
      <c r="D1451" s="117">
        <v>12</v>
      </c>
      <c r="E1451" s="122" t="s">
        <v>35</v>
      </c>
      <c r="F1451" s="120" t="s">
        <v>57</v>
      </c>
      <c r="G1451" s="29">
        <v>45219</v>
      </c>
      <c r="H1451" s="28" t="s">
        <v>6684</v>
      </c>
      <c r="I1451" s="114" t="s">
        <v>12400</v>
      </c>
      <c r="J1451" s="114" t="s">
        <v>12401</v>
      </c>
    </row>
    <row r="1452" spans="1:10" ht="20" customHeight="1" thickBot="1">
      <c r="A1452" s="26" t="s">
        <v>6687</v>
      </c>
      <c r="B1452" s="26" t="s">
        <v>6687</v>
      </c>
      <c r="C1452" s="26" t="s">
        <v>6688</v>
      </c>
      <c r="D1452" s="116">
        <v>10</v>
      </c>
      <c r="E1452" s="122" t="s">
        <v>34</v>
      </c>
      <c r="F1452" s="119" t="s">
        <v>57</v>
      </c>
      <c r="G1452" s="27">
        <v>45092</v>
      </c>
      <c r="H1452" s="26" t="s">
        <v>6689</v>
      </c>
      <c r="I1452" s="113" t="s">
        <v>12400</v>
      </c>
      <c r="J1452" s="113" t="s">
        <v>12401</v>
      </c>
    </row>
    <row r="1453" spans="1:10" ht="20" customHeight="1" thickBot="1">
      <c r="A1453" s="28" t="s">
        <v>6692</v>
      </c>
      <c r="B1453" s="28" t="s">
        <v>6692</v>
      </c>
      <c r="C1453" s="28" t="s">
        <v>6693</v>
      </c>
      <c r="D1453" s="117">
        <v>14</v>
      </c>
      <c r="E1453" s="122" t="s">
        <v>36</v>
      </c>
      <c r="F1453" s="120" t="s">
        <v>115</v>
      </c>
      <c r="G1453" s="29">
        <v>46099</v>
      </c>
      <c r="H1453" s="28" t="s">
        <v>6694</v>
      </c>
      <c r="I1453" s="114" t="s">
        <v>12400</v>
      </c>
      <c r="J1453" s="114" t="s">
        <v>12401</v>
      </c>
    </row>
    <row r="1454" spans="1:10" ht="20" customHeight="1" thickBot="1">
      <c r="A1454" s="26" t="s">
        <v>6697</v>
      </c>
      <c r="B1454" s="26" t="s">
        <v>6697</v>
      </c>
      <c r="C1454" s="26" t="s">
        <v>1958</v>
      </c>
      <c r="D1454" s="116">
        <v>7</v>
      </c>
      <c r="E1454" s="122" t="s">
        <v>35</v>
      </c>
      <c r="F1454" s="119" t="s">
        <v>57</v>
      </c>
      <c r="G1454" s="27">
        <v>45279</v>
      </c>
      <c r="H1454" s="26" t="s">
        <v>6698</v>
      </c>
      <c r="I1454" s="113" t="s">
        <v>12400</v>
      </c>
      <c r="J1454" s="113" t="s">
        <v>12401</v>
      </c>
    </row>
    <row r="1455" spans="1:10" ht="20" customHeight="1" thickBot="1">
      <c r="A1455" s="28" t="s">
        <v>6701</v>
      </c>
      <c r="B1455" s="28" t="s">
        <v>6701</v>
      </c>
      <c r="C1455" s="28" t="s">
        <v>2521</v>
      </c>
      <c r="D1455" s="117">
        <v>29</v>
      </c>
      <c r="E1455" s="122" t="s">
        <v>34</v>
      </c>
      <c r="F1455" s="120" t="s">
        <v>57</v>
      </c>
      <c r="G1455" s="29">
        <v>45348</v>
      </c>
      <c r="H1455" s="28" t="s">
        <v>6702</v>
      </c>
      <c r="I1455" s="114" t="s">
        <v>12400</v>
      </c>
      <c r="J1455" s="114" t="s">
        <v>12401</v>
      </c>
    </row>
    <row r="1456" spans="1:10" ht="20" customHeight="1" thickBot="1">
      <c r="A1456" s="26" t="s">
        <v>6705</v>
      </c>
      <c r="B1456" s="26" t="s">
        <v>6705</v>
      </c>
      <c r="C1456" s="26" t="s">
        <v>2521</v>
      </c>
      <c r="D1456" s="116">
        <v>20</v>
      </c>
      <c r="E1456" s="122" t="s">
        <v>34</v>
      </c>
      <c r="F1456" s="119" t="s">
        <v>57</v>
      </c>
      <c r="G1456" s="27">
        <v>45007</v>
      </c>
      <c r="H1456" s="26" t="s">
        <v>6706</v>
      </c>
      <c r="I1456" s="113" t="s">
        <v>12400</v>
      </c>
      <c r="J1456" s="113" t="s">
        <v>12401</v>
      </c>
    </row>
    <row r="1457" spans="1:10" ht="20" customHeight="1" thickBot="1">
      <c r="A1457" s="28" t="s">
        <v>6709</v>
      </c>
      <c r="B1457" s="28" t="s">
        <v>6709</v>
      </c>
      <c r="C1457" s="28" t="s">
        <v>2521</v>
      </c>
      <c r="D1457" s="117">
        <v>17</v>
      </c>
      <c r="E1457" s="122" t="s">
        <v>34</v>
      </c>
      <c r="F1457" s="120" t="s">
        <v>57</v>
      </c>
      <c r="G1457" s="29">
        <v>45152</v>
      </c>
      <c r="H1457" s="28" t="s">
        <v>6710</v>
      </c>
      <c r="I1457" s="114" t="s">
        <v>12400</v>
      </c>
      <c r="J1457" s="114" t="s">
        <v>12401</v>
      </c>
    </row>
    <row r="1458" spans="1:10" ht="20" customHeight="1" thickBot="1">
      <c r="A1458" s="26" t="s">
        <v>6713</v>
      </c>
      <c r="B1458" s="26" t="s">
        <v>6713</v>
      </c>
      <c r="C1458" s="26" t="s">
        <v>6714</v>
      </c>
      <c r="D1458" s="116">
        <v>4</v>
      </c>
      <c r="E1458" s="122" t="s">
        <v>29</v>
      </c>
      <c r="F1458" s="119" t="s">
        <v>63</v>
      </c>
      <c r="G1458" s="27">
        <v>42333</v>
      </c>
      <c r="H1458" s="26" t="s">
        <v>6715</v>
      </c>
      <c r="I1458" s="113" t="s">
        <v>12400</v>
      </c>
      <c r="J1458" s="113" t="s">
        <v>12401</v>
      </c>
    </row>
    <row r="1459" spans="1:10" ht="20" customHeight="1" thickBot="1">
      <c r="A1459" s="28" t="s">
        <v>6718</v>
      </c>
      <c r="B1459" s="28" t="s">
        <v>6718</v>
      </c>
      <c r="C1459" s="28" t="s">
        <v>4515</v>
      </c>
      <c r="D1459" s="117">
        <v>1</v>
      </c>
      <c r="E1459" s="122" t="s">
        <v>31</v>
      </c>
      <c r="F1459" s="120" t="s">
        <v>63</v>
      </c>
      <c r="G1459" s="29">
        <v>45291</v>
      </c>
      <c r="H1459" s="28" t="s">
        <v>6719</v>
      </c>
      <c r="I1459" s="114" t="s">
        <v>12400</v>
      </c>
      <c r="J1459" s="114" t="s">
        <v>12401</v>
      </c>
    </row>
    <row r="1460" spans="1:10" ht="20" customHeight="1" thickBot="1">
      <c r="A1460" s="26" t="s">
        <v>6722</v>
      </c>
      <c r="B1460" s="26" t="s">
        <v>6722</v>
      </c>
      <c r="C1460" s="26" t="s">
        <v>6723</v>
      </c>
      <c r="D1460" s="116">
        <v>1</v>
      </c>
      <c r="E1460" s="122" t="s">
        <v>31</v>
      </c>
      <c r="F1460" s="119" t="s">
        <v>63</v>
      </c>
      <c r="G1460" s="27">
        <v>42057</v>
      </c>
      <c r="H1460" s="26" t="s">
        <v>6724</v>
      </c>
      <c r="I1460" s="113" t="s">
        <v>12400</v>
      </c>
      <c r="J1460" s="113" t="s">
        <v>12401</v>
      </c>
    </row>
    <row r="1461" spans="1:10" ht="20" customHeight="1" thickBot="1">
      <c r="A1461" s="28" t="s">
        <v>6727</v>
      </c>
      <c r="B1461" s="28" t="s">
        <v>6727</v>
      </c>
      <c r="C1461" s="28" t="s">
        <v>427</v>
      </c>
      <c r="D1461" s="117">
        <v>1</v>
      </c>
      <c r="E1461" s="122" t="s">
        <v>35</v>
      </c>
      <c r="F1461" s="120" t="s">
        <v>57</v>
      </c>
      <c r="G1461" s="29">
        <v>44317</v>
      </c>
      <c r="H1461" s="28" t="s">
        <v>6728</v>
      </c>
      <c r="I1461" s="114" t="s">
        <v>12400</v>
      </c>
      <c r="J1461" s="114" t="s">
        <v>12401</v>
      </c>
    </row>
    <row r="1462" spans="1:10" ht="20" customHeight="1" thickBot="1">
      <c r="A1462" s="26" t="s">
        <v>6731</v>
      </c>
      <c r="B1462" s="26" t="s">
        <v>6731</v>
      </c>
      <c r="C1462" s="26" t="s">
        <v>6732</v>
      </c>
      <c r="D1462" s="116">
        <v>12</v>
      </c>
      <c r="E1462" s="122" t="s">
        <v>34</v>
      </c>
      <c r="F1462" s="119" t="s">
        <v>57</v>
      </c>
      <c r="G1462" s="27">
        <v>45532</v>
      </c>
      <c r="H1462" s="26" t="s">
        <v>6733</v>
      </c>
      <c r="I1462" s="113" t="s">
        <v>12400</v>
      </c>
      <c r="J1462" s="113" t="s">
        <v>12401</v>
      </c>
    </row>
    <row r="1463" spans="1:10" ht="20" customHeight="1" thickBot="1">
      <c r="A1463" s="28" t="s">
        <v>6736</v>
      </c>
      <c r="B1463" s="28" t="s">
        <v>6736</v>
      </c>
      <c r="C1463" s="28" t="s">
        <v>3289</v>
      </c>
      <c r="D1463" s="117">
        <v>10</v>
      </c>
      <c r="E1463" s="122" t="s">
        <v>29</v>
      </c>
      <c r="F1463" s="120" t="s">
        <v>63</v>
      </c>
      <c r="G1463" s="29">
        <v>42010</v>
      </c>
      <c r="H1463" s="28" t="s">
        <v>6737</v>
      </c>
      <c r="I1463" s="114" t="s">
        <v>12400</v>
      </c>
      <c r="J1463" s="114" t="s">
        <v>12401</v>
      </c>
    </row>
    <row r="1464" spans="1:10" ht="20" customHeight="1" thickBot="1">
      <c r="A1464" s="26" t="s">
        <v>6740</v>
      </c>
      <c r="B1464" s="26" t="s">
        <v>6740</v>
      </c>
      <c r="C1464" s="26" t="s">
        <v>2359</v>
      </c>
      <c r="D1464" s="116">
        <v>11</v>
      </c>
      <c r="E1464" s="122" t="s">
        <v>34</v>
      </c>
      <c r="F1464" s="119" t="s">
        <v>57</v>
      </c>
      <c r="G1464" s="27">
        <v>45993</v>
      </c>
      <c r="H1464" s="26" t="s">
        <v>6741</v>
      </c>
      <c r="I1464" s="113" t="s">
        <v>12400</v>
      </c>
      <c r="J1464" s="113" t="s">
        <v>12401</v>
      </c>
    </row>
    <row r="1465" spans="1:10" ht="20" customHeight="1" thickBot="1">
      <c r="A1465" s="28" t="s">
        <v>6744</v>
      </c>
      <c r="B1465" s="28" t="s">
        <v>6744</v>
      </c>
      <c r="C1465" s="28" t="s">
        <v>6745</v>
      </c>
      <c r="D1465" s="117">
        <v>80</v>
      </c>
      <c r="E1465" s="122" t="s">
        <v>29</v>
      </c>
      <c r="F1465" s="120" t="s">
        <v>63</v>
      </c>
      <c r="G1465" s="29">
        <v>42217</v>
      </c>
      <c r="H1465" s="28" t="s">
        <v>6746</v>
      </c>
      <c r="I1465" s="114" t="s">
        <v>12400</v>
      </c>
      <c r="J1465" s="114" t="s">
        <v>12401</v>
      </c>
    </row>
    <row r="1466" spans="1:10" ht="20" customHeight="1" thickBot="1">
      <c r="A1466" s="26" t="s">
        <v>6749</v>
      </c>
      <c r="B1466" s="26" t="s">
        <v>6749</v>
      </c>
      <c r="C1466" s="26" t="s">
        <v>6750</v>
      </c>
      <c r="D1466" s="116">
        <v>5</v>
      </c>
      <c r="E1466" s="122" t="s">
        <v>27</v>
      </c>
      <c r="F1466" s="119" t="s">
        <v>63</v>
      </c>
      <c r="G1466" s="27">
        <v>42280</v>
      </c>
      <c r="H1466" s="26" t="s">
        <v>6751</v>
      </c>
      <c r="I1466" s="113" t="s">
        <v>12400</v>
      </c>
      <c r="J1466" s="113" t="s">
        <v>12401</v>
      </c>
    </row>
    <row r="1467" spans="1:10" ht="20" customHeight="1" thickBot="1">
      <c r="A1467" s="28" t="s">
        <v>6754</v>
      </c>
      <c r="B1467" s="28" t="s">
        <v>6754</v>
      </c>
      <c r="C1467" s="28" t="s">
        <v>6755</v>
      </c>
      <c r="D1467" s="117">
        <v>32</v>
      </c>
      <c r="E1467" s="122" t="s">
        <v>27</v>
      </c>
      <c r="F1467" s="120" t="s">
        <v>63</v>
      </c>
      <c r="G1467" s="29">
        <v>42384</v>
      </c>
      <c r="H1467" s="28" t="s">
        <v>6756</v>
      </c>
      <c r="I1467" s="114" t="s">
        <v>12400</v>
      </c>
      <c r="J1467" s="114" t="s">
        <v>12401</v>
      </c>
    </row>
    <row r="1468" spans="1:10" ht="20" customHeight="1" thickBot="1">
      <c r="A1468" s="26" t="s">
        <v>6759</v>
      </c>
      <c r="B1468" s="26" t="s">
        <v>6759</v>
      </c>
      <c r="C1468" s="26" t="s">
        <v>6760</v>
      </c>
      <c r="D1468" s="116">
        <v>10</v>
      </c>
      <c r="E1468" s="122" t="s">
        <v>33</v>
      </c>
      <c r="F1468" s="119" t="s">
        <v>57</v>
      </c>
      <c r="G1468" s="27">
        <v>45572</v>
      </c>
      <c r="H1468" s="26" t="s">
        <v>6761</v>
      </c>
      <c r="I1468" s="113" t="s">
        <v>12400</v>
      </c>
      <c r="J1468" s="113" t="s">
        <v>12401</v>
      </c>
    </row>
    <row r="1469" spans="1:10" ht="20" customHeight="1" thickBot="1">
      <c r="A1469" s="28" t="s">
        <v>6764</v>
      </c>
      <c r="B1469" s="28" t="s">
        <v>6764</v>
      </c>
      <c r="C1469" s="28" t="s">
        <v>494</v>
      </c>
      <c r="D1469" s="117">
        <v>0</v>
      </c>
      <c r="E1469" s="122" t="s">
        <v>34</v>
      </c>
      <c r="F1469" s="120" t="s">
        <v>57</v>
      </c>
      <c r="G1469" s="29">
        <v>45198</v>
      </c>
      <c r="H1469" s="28" t="s">
        <v>6765</v>
      </c>
      <c r="I1469" s="114" t="s">
        <v>12400</v>
      </c>
      <c r="J1469" s="114" t="s">
        <v>12401</v>
      </c>
    </row>
    <row r="1470" spans="1:10" ht="20" customHeight="1" thickBot="1">
      <c r="A1470" s="26" t="s">
        <v>6768</v>
      </c>
      <c r="B1470" s="26" t="s">
        <v>6768</v>
      </c>
      <c r="C1470" s="26" t="s">
        <v>1686</v>
      </c>
      <c r="D1470" s="116">
        <v>5</v>
      </c>
      <c r="E1470" s="122" t="s">
        <v>27</v>
      </c>
      <c r="F1470" s="119" t="s">
        <v>63</v>
      </c>
      <c r="G1470" s="27">
        <v>42565</v>
      </c>
      <c r="H1470" s="26" t="s">
        <v>6769</v>
      </c>
      <c r="I1470" s="113" t="s">
        <v>12400</v>
      </c>
      <c r="J1470" s="113" t="s">
        <v>12401</v>
      </c>
    </row>
    <row r="1471" spans="1:10" ht="20" customHeight="1" thickBot="1">
      <c r="A1471" s="28" t="s">
        <v>6772</v>
      </c>
      <c r="B1471" s="28" t="s">
        <v>6772</v>
      </c>
      <c r="C1471" s="28" t="s">
        <v>4619</v>
      </c>
      <c r="D1471" s="117">
        <v>28</v>
      </c>
      <c r="E1471" s="122" t="s">
        <v>31</v>
      </c>
      <c r="F1471" s="120" t="s">
        <v>63</v>
      </c>
      <c r="G1471" s="29">
        <v>42614</v>
      </c>
      <c r="H1471" s="28" t="s">
        <v>6773</v>
      </c>
      <c r="I1471" s="114" t="s">
        <v>12400</v>
      </c>
      <c r="J1471" s="114" t="s">
        <v>12401</v>
      </c>
    </row>
    <row r="1472" spans="1:10" ht="20" customHeight="1" thickBot="1">
      <c r="A1472" s="26" t="s">
        <v>6776</v>
      </c>
      <c r="B1472" s="26" t="s">
        <v>6776</v>
      </c>
      <c r="C1472" s="26" t="s">
        <v>68</v>
      </c>
      <c r="D1472" s="116">
        <v>33</v>
      </c>
      <c r="E1472" s="122" t="s">
        <v>31</v>
      </c>
      <c r="F1472" s="119" t="s">
        <v>63</v>
      </c>
      <c r="G1472" s="27">
        <v>43896</v>
      </c>
      <c r="H1472" s="26" t="s">
        <v>6777</v>
      </c>
      <c r="I1472" s="113" t="s">
        <v>12400</v>
      </c>
      <c r="J1472" s="113" t="s">
        <v>12401</v>
      </c>
    </row>
    <row r="1473" spans="1:10" ht="20" customHeight="1" thickBot="1">
      <c r="A1473" s="28" t="s">
        <v>6780</v>
      </c>
      <c r="B1473" s="28" t="s">
        <v>6780</v>
      </c>
      <c r="C1473" s="28" t="s">
        <v>5427</v>
      </c>
      <c r="D1473" s="117">
        <v>9</v>
      </c>
      <c r="E1473" s="122" t="s">
        <v>27</v>
      </c>
      <c r="F1473" s="120" t="s">
        <v>63</v>
      </c>
      <c r="G1473" s="29">
        <v>41501</v>
      </c>
      <c r="H1473" s="28" t="s">
        <v>6781</v>
      </c>
      <c r="I1473" s="114" t="s">
        <v>12400</v>
      </c>
      <c r="J1473" s="114" t="s">
        <v>12401</v>
      </c>
    </row>
    <row r="1474" spans="1:10" ht="20" customHeight="1" thickBot="1">
      <c r="A1474" s="26" t="s">
        <v>6784</v>
      </c>
      <c r="B1474" s="26" t="s">
        <v>6784</v>
      </c>
      <c r="C1474" s="26" t="s">
        <v>6785</v>
      </c>
      <c r="D1474" s="116">
        <v>4</v>
      </c>
      <c r="E1474" s="122" t="s">
        <v>33</v>
      </c>
      <c r="F1474" s="119" t="s">
        <v>63</v>
      </c>
      <c r="G1474" s="27">
        <v>45702</v>
      </c>
      <c r="H1474" s="26" t="s">
        <v>6786</v>
      </c>
      <c r="I1474" s="113" t="s">
        <v>12400</v>
      </c>
      <c r="J1474" s="113" t="s">
        <v>12401</v>
      </c>
    </row>
    <row r="1475" spans="1:10" ht="20" customHeight="1" thickBot="1">
      <c r="A1475" s="28" t="s">
        <v>6789</v>
      </c>
      <c r="B1475" s="28" t="s">
        <v>6789</v>
      </c>
      <c r="C1475" s="28" t="s">
        <v>6790</v>
      </c>
      <c r="D1475" s="117">
        <v>2</v>
      </c>
      <c r="E1475" s="122" t="s">
        <v>29</v>
      </c>
      <c r="F1475" s="120" t="s">
        <v>2433</v>
      </c>
      <c r="G1475" s="29">
        <v>46005</v>
      </c>
      <c r="H1475" s="28" t="s">
        <v>6791</v>
      </c>
      <c r="I1475" s="114" t="s">
        <v>12400</v>
      </c>
      <c r="J1475" s="114" t="s">
        <v>12401</v>
      </c>
    </row>
    <row r="1476" spans="1:10" ht="20" customHeight="1" thickBot="1">
      <c r="A1476" s="26" t="s">
        <v>6794</v>
      </c>
      <c r="B1476" s="26" t="s">
        <v>6794</v>
      </c>
      <c r="C1476" s="26" t="s">
        <v>6795</v>
      </c>
      <c r="D1476" s="116">
        <v>32</v>
      </c>
      <c r="E1476" s="122" t="s">
        <v>35</v>
      </c>
      <c r="F1476" s="119" t="s">
        <v>57</v>
      </c>
      <c r="G1476" s="27">
        <v>44226</v>
      </c>
      <c r="H1476" s="26" t="s">
        <v>6796</v>
      </c>
      <c r="I1476" s="113" t="s">
        <v>12400</v>
      </c>
      <c r="J1476" s="113" t="s">
        <v>12401</v>
      </c>
    </row>
    <row r="1477" spans="1:10" ht="20" customHeight="1" thickBot="1">
      <c r="A1477" s="28" t="s">
        <v>6799</v>
      </c>
      <c r="B1477" s="28" t="s">
        <v>6799</v>
      </c>
      <c r="C1477" s="28" t="s">
        <v>665</v>
      </c>
      <c r="D1477" s="117">
        <v>12</v>
      </c>
      <c r="E1477" s="122" t="s">
        <v>35</v>
      </c>
      <c r="F1477" s="120" t="s">
        <v>57</v>
      </c>
      <c r="G1477" s="29">
        <v>44859</v>
      </c>
      <c r="H1477" s="28" t="s">
        <v>6800</v>
      </c>
      <c r="I1477" s="114" t="s">
        <v>12400</v>
      </c>
      <c r="J1477" s="114" t="s">
        <v>12401</v>
      </c>
    </row>
    <row r="1478" spans="1:10" ht="20" customHeight="1" thickBot="1">
      <c r="A1478" s="26" t="s">
        <v>6803</v>
      </c>
      <c r="B1478" s="26" t="s">
        <v>6803</v>
      </c>
      <c r="C1478" s="26" t="s">
        <v>2620</v>
      </c>
      <c r="D1478" s="116">
        <v>2</v>
      </c>
      <c r="E1478" s="122" t="s">
        <v>31</v>
      </c>
      <c r="F1478" s="119" t="s">
        <v>571</v>
      </c>
      <c r="G1478" s="27">
        <v>44802</v>
      </c>
      <c r="H1478" s="26" t="s">
        <v>6804</v>
      </c>
      <c r="I1478" s="113" t="s">
        <v>12400</v>
      </c>
      <c r="J1478" s="113" t="s">
        <v>12401</v>
      </c>
    </row>
    <row r="1479" spans="1:10" ht="20" customHeight="1" thickBot="1">
      <c r="A1479" s="28" t="s">
        <v>6807</v>
      </c>
      <c r="B1479" s="28" t="s">
        <v>6807</v>
      </c>
      <c r="C1479" s="28" t="s">
        <v>6808</v>
      </c>
      <c r="D1479" s="117">
        <v>53</v>
      </c>
      <c r="E1479" s="122" t="s">
        <v>31</v>
      </c>
      <c r="F1479" s="120" t="s">
        <v>63</v>
      </c>
      <c r="G1479" s="29">
        <v>41870</v>
      </c>
      <c r="H1479" s="28" t="s">
        <v>6809</v>
      </c>
      <c r="I1479" s="114" t="s">
        <v>12400</v>
      </c>
      <c r="J1479" s="114" t="s">
        <v>12401</v>
      </c>
    </row>
    <row r="1480" spans="1:10" ht="20" customHeight="1" thickBot="1">
      <c r="A1480" s="26" t="s">
        <v>6812</v>
      </c>
      <c r="B1480" s="26" t="s">
        <v>6812</v>
      </c>
      <c r="C1480" s="26" t="s">
        <v>6813</v>
      </c>
      <c r="D1480" s="116">
        <v>18</v>
      </c>
      <c r="E1480" s="122" t="s">
        <v>33</v>
      </c>
      <c r="F1480" s="119" t="s">
        <v>57</v>
      </c>
      <c r="G1480" s="27">
        <v>43921</v>
      </c>
      <c r="H1480" s="26" t="s">
        <v>6814</v>
      </c>
      <c r="I1480" s="113" t="s">
        <v>12400</v>
      </c>
      <c r="J1480" s="113" t="s">
        <v>12401</v>
      </c>
    </row>
    <row r="1481" spans="1:10" ht="20" customHeight="1" thickBot="1">
      <c r="A1481" s="28" t="s">
        <v>6817</v>
      </c>
      <c r="B1481" s="28" t="s">
        <v>6817</v>
      </c>
      <c r="C1481" s="28" t="s">
        <v>1608</v>
      </c>
      <c r="D1481" s="117">
        <v>5</v>
      </c>
      <c r="E1481" s="122" t="s">
        <v>31</v>
      </c>
      <c r="F1481" s="120" t="s">
        <v>57</v>
      </c>
      <c r="G1481" s="29">
        <v>44821</v>
      </c>
      <c r="H1481" s="28" t="s">
        <v>6818</v>
      </c>
      <c r="I1481" s="114" t="s">
        <v>12400</v>
      </c>
      <c r="J1481" s="114" t="s">
        <v>12401</v>
      </c>
    </row>
    <row r="1482" spans="1:10" ht="20" customHeight="1" thickBot="1">
      <c r="A1482" s="26" t="s">
        <v>6821</v>
      </c>
      <c r="B1482" s="26" t="s">
        <v>6821</v>
      </c>
      <c r="C1482" s="26" t="s">
        <v>6822</v>
      </c>
      <c r="D1482" s="116">
        <v>84</v>
      </c>
      <c r="E1482" s="122" t="s">
        <v>29</v>
      </c>
      <c r="F1482" s="119" t="s">
        <v>63</v>
      </c>
      <c r="G1482" s="27">
        <v>42221</v>
      </c>
      <c r="H1482" s="26" t="s">
        <v>6823</v>
      </c>
      <c r="I1482" s="113" t="s">
        <v>12400</v>
      </c>
      <c r="J1482" s="113" t="s">
        <v>12401</v>
      </c>
    </row>
    <row r="1483" spans="1:10" ht="20" customHeight="1" thickBot="1">
      <c r="A1483" s="28" t="s">
        <v>6826</v>
      </c>
      <c r="B1483" s="28" t="s">
        <v>6826</v>
      </c>
      <c r="C1483" s="28" t="s">
        <v>6822</v>
      </c>
      <c r="D1483" s="117">
        <v>84</v>
      </c>
      <c r="E1483" s="122" t="s">
        <v>29</v>
      </c>
      <c r="F1483" s="120" t="s">
        <v>63</v>
      </c>
      <c r="G1483" s="29">
        <v>42221</v>
      </c>
      <c r="H1483" s="28" t="s">
        <v>6827</v>
      </c>
      <c r="I1483" s="114" t="s">
        <v>12400</v>
      </c>
      <c r="J1483" s="114" t="s">
        <v>12401</v>
      </c>
    </row>
    <row r="1484" spans="1:10" ht="20" customHeight="1" thickBot="1">
      <c r="A1484" s="26" t="s">
        <v>6830</v>
      </c>
      <c r="B1484" s="26" t="s">
        <v>6830</v>
      </c>
      <c r="C1484" s="26" t="s">
        <v>6831</v>
      </c>
      <c r="D1484" s="116">
        <v>14</v>
      </c>
      <c r="E1484" s="122" t="s">
        <v>31</v>
      </c>
      <c r="F1484" s="119" t="s">
        <v>57</v>
      </c>
      <c r="G1484" s="27">
        <v>43629</v>
      </c>
      <c r="H1484" s="26" t="s">
        <v>6832</v>
      </c>
      <c r="I1484" s="113" t="s">
        <v>12400</v>
      </c>
      <c r="J1484" s="113" t="s">
        <v>12401</v>
      </c>
    </row>
    <row r="1485" spans="1:10" ht="20" customHeight="1" thickBot="1">
      <c r="A1485" s="28" t="s">
        <v>6835</v>
      </c>
      <c r="B1485" s="28" t="s">
        <v>6835</v>
      </c>
      <c r="C1485" s="28" t="s">
        <v>6836</v>
      </c>
      <c r="D1485" s="117">
        <v>15</v>
      </c>
      <c r="E1485" s="122" t="s">
        <v>34</v>
      </c>
      <c r="F1485" s="120" t="s">
        <v>57</v>
      </c>
      <c r="G1485" s="29">
        <v>44369</v>
      </c>
      <c r="H1485" s="28" t="s">
        <v>6837</v>
      </c>
      <c r="I1485" s="114" t="s">
        <v>12400</v>
      </c>
      <c r="J1485" s="114" t="s">
        <v>12401</v>
      </c>
    </row>
    <row r="1486" spans="1:10" ht="20" customHeight="1" thickBot="1">
      <c r="A1486" s="26" t="s">
        <v>6840</v>
      </c>
      <c r="B1486" s="26" t="s">
        <v>6840</v>
      </c>
      <c r="C1486" s="26" t="s">
        <v>1069</v>
      </c>
      <c r="D1486" s="116">
        <v>14</v>
      </c>
      <c r="E1486" s="122" t="s">
        <v>34</v>
      </c>
      <c r="F1486" s="119" t="s">
        <v>57</v>
      </c>
      <c r="G1486" s="27">
        <v>45079</v>
      </c>
      <c r="H1486" s="26" t="s">
        <v>6841</v>
      </c>
      <c r="I1486" s="113" t="s">
        <v>12400</v>
      </c>
      <c r="J1486" s="113" t="s">
        <v>12401</v>
      </c>
    </row>
    <row r="1487" spans="1:10" ht="20" customHeight="1" thickBot="1">
      <c r="A1487" s="28" t="s">
        <v>6844</v>
      </c>
      <c r="B1487" s="28" t="s">
        <v>6844</v>
      </c>
      <c r="C1487" s="28" t="s">
        <v>2879</v>
      </c>
      <c r="D1487" s="117">
        <v>14</v>
      </c>
      <c r="E1487" s="122" t="s">
        <v>33</v>
      </c>
      <c r="F1487" s="120" t="s">
        <v>57</v>
      </c>
      <c r="G1487" s="29">
        <v>45343</v>
      </c>
      <c r="H1487" s="28" t="s">
        <v>6845</v>
      </c>
      <c r="I1487" s="114" t="s">
        <v>12400</v>
      </c>
      <c r="J1487" s="114" t="s">
        <v>12401</v>
      </c>
    </row>
    <row r="1488" spans="1:10" ht="20" customHeight="1" thickBot="1">
      <c r="A1488" s="26" t="s">
        <v>6848</v>
      </c>
      <c r="B1488" s="26" t="s">
        <v>6848</v>
      </c>
      <c r="C1488" s="26" t="s">
        <v>2290</v>
      </c>
      <c r="D1488" s="116">
        <v>13</v>
      </c>
      <c r="E1488" s="122" t="s">
        <v>34</v>
      </c>
      <c r="F1488" s="119" t="s">
        <v>57</v>
      </c>
      <c r="G1488" s="27">
        <v>46213</v>
      </c>
      <c r="H1488" s="26" t="s">
        <v>6849</v>
      </c>
      <c r="I1488" s="113" t="s">
        <v>12400</v>
      </c>
      <c r="J1488" s="113" t="s">
        <v>12401</v>
      </c>
    </row>
    <row r="1489" spans="1:10" ht="20" customHeight="1" thickBot="1">
      <c r="A1489" s="28" t="s">
        <v>6852</v>
      </c>
      <c r="B1489" s="28" t="s">
        <v>6852</v>
      </c>
      <c r="C1489" s="28" t="s">
        <v>6853</v>
      </c>
      <c r="D1489" s="117">
        <v>15</v>
      </c>
      <c r="E1489" s="122" t="s">
        <v>34</v>
      </c>
      <c r="F1489" s="120" t="s">
        <v>57</v>
      </c>
      <c r="G1489" s="29">
        <v>43573</v>
      </c>
      <c r="H1489" s="28" t="s">
        <v>6854</v>
      </c>
      <c r="I1489" s="114" t="s">
        <v>12400</v>
      </c>
      <c r="J1489" s="114" t="s">
        <v>12401</v>
      </c>
    </row>
    <row r="1490" spans="1:10" ht="20" customHeight="1" thickBot="1">
      <c r="A1490" s="26" t="s">
        <v>6857</v>
      </c>
      <c r="B1490" s="26" t="s">
        <v>6857</v>
      </c>
      <c r="C1490" s="26" t="s">
        <v>6853</v>
      </c>
      <c r="D1490" s="116">
        <v>13</v>
      </c>
      <c r="E1490" s="122" t="s">
        <v>34</v>
      </c>
      <c r="F1490" s="119" t="s">
        <v>57</v>
      </c>
      <c r="G1490" s="27">
        <v>43573</v>
      </c>
      <c r="H1490" s="26" t="s">
        <v>6858</v>
      </c>
      <c r="I1490" s="113" t="s">
        <v>12400</v>
      </c>
      <c r="J1490" s="113" t="s">
        <v>12401</v>
      </c>
    </row>
    <row r="1491" spans="1:10" ht="20" customHeight="1" thickBot="1">
      <c r="A1491" s="28" t="s">
        <v>6861</v>
      </c>
      <c r="B1491" s="28" t="s">
        <v>6861</v>
      </c>
      <c r="C1491" s="28" t="s">
        <v>6853</v>
      </c>
      <c r="D1491" s="117">
        <v>13</v>
      </c>
      <c r="E1491" s="122" t="s">
        <v>34</v>
      </c>
      <c r="F1491" s="120" t="s">
        <v>57</v>
      </c>
      <c r="G1491" s="29">
        <v>43703</v>
      </c>
      <c r="H1491" s="28" t="s">
        <v>6862</v>
      </c>
      <c r="I1491" s="114" t="s">
        <v>12400</v>
      </c>
      <c r="J1491" s="114" t="s">
        <v>12401</v>
      </c>
    </row>
    <row r="1492" spans="1:10" ht="20" customHeight="1" thickBot="1">
      <c r="A1492" s="26" t="s">
        <v>6865</v>
      </c>
      <c r="B1492" s="26" t="s">
        <v>6865</v>
      </c>
      <c r="C1492" s="26" t="s">
        <v>6853</v>
      </c>
      <c r="D1492" s="116">
        <v>12</v>
      </c>
      <c r="E1492" s="122" t="s">
        <v>34</v>
      </c>
      <c r="F1492" s="119" t="s">
        <v>57</v>
      </c>
      <c r="G1492" s="27">
        <v>43875</v>
      </c>
      <c r="H1492" s="26" t="s">
        <v>6866</v>
      </c>
      <c r="I1492" s="113" t="s">
        <v>12400</v>
      </c>
      <c r="J1492" s="113" t="s">
        <v>12401</v>
      </c>
    </row>
    <row r="1493" spans="1:10" ht="20" customHeight="1" thickBot="1">
      <c r="A1493" s="28" t="s">
        <v>6869</v>
      </c>
      <c r="B1493" s="28" t="s">
        <v>6869</v>
      </c>
      <c r="C1493" s="28" t="s">
        <v>3356</v>
      </c>
      <c r="D1493" s="117">
        <v>23</v>
      </c>
      <c r="E1493" s="122" t="s">
        <v>34</v>
      </c>
      <c r="F1493" s="120" t="s">
        <v>57</v>
      </c>
      <c r="G1493" s="29">
        <v>44366</v>
      </c>
      <c r="H1493" s="28" t="s">
        <v>6870</v>
      </c>
      <c r="I1493" s="114" t="s">
        <v>12400</v>
      </c>
      <c r="J1493" s="114" t="s">
        <v>12401</v>
      </c>
    </row>
    <row r="1494" spans="1:10" ht="20" customHeight="1" thickBot="1">
      <c r="A1494" s="26" t="s">
        <v>6873</v>
      </c>
      <c r="B1494" s="26" t="s">
        <v>6873</v>
      </c>
      <c r="C1494" s="26" t="s">
        <v>1464</v>
      </c>
      <c r="D1494" s="116">
        <v>1</v>
      </c>
      <c r="E1494" s="122" t="s">
        <v>31</v>
      </c>
      <c r="F1494" s="119" t="s">
        <v>57</v>
      </c>
      <c r="G1494" s="27">
        <v>46060</v>
      </c>
      <c r="H1494" s="26" t="s">
        <v>6874</v>
      </c>
      <c r="I1494" s="113" t="s">
        <v>12400</v>
      </c>
      <c r="J1494" s="113" t="s">
        <v>12401</v>
      </c>
    </row>
    <row r="1495" spans="1:10" ht="20" customHeight="1" thickBot="1">
      <c r="A1495" s="28" t="s">
        <v>6877</v>
      </c>
      <c r="B1495" s="28" t="s">
        <v>6877</v>
      </c>
      <c r="C1495" s="28" t="s">
        <v>930</v>
      </c>
      <c r="D1495" s="117">
        <v>1</v>
      </c>
      <c r="E1495" s="122" t="s">
        <v>34</v>
      </c>
      <c r="F1495" s="120" t="s">
        <v>57</v>
      </c>
      <c r="G1495" s="29">
        <v>45216</v>
      </c>
      <c r="H1495" s="28" t="s">
        <v>6878</v>
      </c>
      <c r="I1495" s="114" t="s">
        <v>12400</v>
      </c>
      <c r="J1495" s="114" t="s">
        <v>12401</v>
      </c>
    </row>
    <row r="1496" spans="1:10" ht="20" customHeight="1" thickBot="1">
      <c r="A1496" s="26" t="s">
        <v>6881</v>
      </c>
      <c r="B1496" s="26" t="s">
        <v>6881</v>
      </c>
      <c r="C1496" s="26" t="s">
        <v>6882</v>
      </c>
      <c r="D1496" s="116">
        <v>44</v>
      </c>
      <c r="E1496" s="122" t="s">
        <v>31</v>
      </c>
      <c r="F1496" s="119" t="s">
        <v>63</v>
      </c>
      <c r="G1496" s="27">
        <v>46146</v>
      </c>
      <c r="H1496" s="26" t="s">
        <v>6883</v>
      </c>
      <c r="I1496" s="113" t="s">
        <v>12400</v>
      </c>
      <c r="J1496" s="113" t="s">
        <v>12401</v>
      </c>
    </row>
    <row r="1497" spans="1:10" ht="20" customHeight="1" thickBot="1">
      <c r="A1497" s="28" t="s">
        <v>6886</v>
      </c>
      <c r="B1497" s="28" t="s">
        <v>6886</v>
      </c>
      <c r="C1497" s="28" t="s">
        <v>3280</v>
      </c>
      <c r="D1497" s="117">
        <v>5</v>
      </c>
      <c r="E1497" s="122" t="s">
        <v>31</v>
      </c>
      <c r="F1497" s="120" t="s">
        <v>57</v>
      </c>
      <c r="G1497" s="29">
        <v>45214</v>
      </c>
      <c r="H1497" s="28" t="s">
        <v>6887</v>
      </c>
      <c r="I1497" s="114" t="s">
        <v>12400</v>
      </c>
      <c r="J1497" s="114" t="s">
        <v>12401</v>
      </c>
    </row>
    <row r="1498" spans="1:10" ht="20" customHeight="1" thickBot="1">
      <c r="A1498" s="26" t="s">
        <v>6890</v>
      </c>
      <c r="B1498" s="26" t="s">
        <v>6890</v>
      </c>
      <c r="C1498" s="26" t="s">
        <v>3575</v>
      </c>
      <c r="D1498" s="116">
        <v>18</v>
      </c>
      <c r="E1498" s="122" t="s">
        <v>29</v>
      </c>
      <c r="F1498" s="119" t="s">
        <v>63</v>
      </c>
      <c r="G1498" s="27">
        <v>42284</v>
      </c>
      <c r="H1498" s="26" t="s">
        <v>6891</v>
      </c>
      <c r="I1498" s="113" t="s">
        <v>12400</v>
      </c>
      <c r="J1498" s="113" t="s">
        <v>12401</v>
      </c>
    </row>
    <row r="1499" spans="1:10" ht="20" customHeight="1" thickBot="1">
      <c r="A1499" s="28" t="s">
        <v>6894</v>
      </c>
      <c r="B1499" s="28" t="s">
        <v>6894</v>
      </c>
      <c r="C1499" s="28" t="s">
        <v>6895</v>
      </c>
      <c r="D1499" s="117">
        <v>5</v>
      </c>
      <c r="E1499" s="122" t="s">
        <v>29</v>
      </c>
      <c r="F1499" s="120" t="s">
        <v>63</v>
      </c>
      <c r="G1499" s="29">
        <v>42057</v>
      </c>
      <c r="H1499" s="28" t="s">
        <v>6896</v>
      </c>
      <c r="I1499" s="114" t="s">
        <v>12400</v>
      </c>
      <c r="J1499" s="114" t="s">
        <v>12401</v>
      </c>
    </row>
    <row r="1500" spans="1:10" ht="20" customHeight="1" thickBot="1">
      <c r="A1500" s="26" t="s">
        <v>6899</v>
      </c>
      <c r="B1500" s="26" t="s">
        <v>6899</v>
      </c>
      <c r="C1500" s="26" t="s">
        <v>1932</v>
      </c>
      <c r="D1500" s="116">
        <v>1</v>
      </c>
      <c r="E1500" s="122" t="s">
        <v>35</v>
      </c>
      <c r="F1500" s="119" t="s">
        <v>57</v>
      </c>
      <c r="G1500" s="27">
        <v>44683</v>
      </c>
      <c r="H1500" s="26" t="s">
        <v>6900</v>
      </c>
      <c r="I1500" s="113" t="s">
        <v>12400</v>
      </c>
      <c r="J1500" s="113" t="s">
        <v>12401</v>
      </c>
    </row>
    <row r="1501" spans="1:10" ht="20" customHeight="1" thickBot="1">
      <c r="A1501" s="28" t="s">
        <v>6903</v>
      </c>
      <c r="B1501" s="28" t="s">
        <v>6903</v>
      </c>
      <c r="C1501" s="28" t="s">
        <v>1932</v>
      </c>
      <c r="D1501" s="117">
        <v>0</v>
      </c>
      <c r="E1501" s="122" t="s">
        <v>35</v>
      </c>
      <c r="F1501" s="120" t="s">
        <v>57</v>
      </c>
      <c r="G1501" s="29">
        <v>44736</v>
      </c>
      <c r="H1501" s="28" t="s">
        <v>6904</v>
      </c>
      <c r="I1501" s="114" t="s">
        <v>12400</v>
      </c>
      <c r="J1501" s="114" t="s">
        <v>12401</v>
      </c>
    </row>
    <row r="1502" spans="1:10" ht="20" customHeight="1" thickBot="1">
      <c r="A1502" s="26" t="s">
        <v>6907</v>
      </c>
      <c r="B1502" s="26" t="s">
        <v>6907</v>
      </c>
      <c r="C1502" s="26" t="s">
        <v>1932</v>
      </c>
      <c r="D1502" s="116">
        <v>1</v>
      </c>
      <c r="E1502" s="122" t="s">
        <v>35</v>
      </c>
      <c r="F1502" s="119" t="s">
        <v>57</v>
      </c>
      <c r="G1502" s="27">
        <v>44739</v>
      </c>
      <c r="H1502" s="26" t="s">
        <v>6908</v>
      </c>
      <c r="I1502" s="113" t="s">
        <v>12400</v>
      </c>
      <c r="J1502" s="113" t="s">
        <v>12401</v>
      </c>
    </row>
    <row r="1503" spans="1:10" ht="20" customHeight="1" thickBot="1">
      <c r="A1503" s="28" t="s">
        <v>6911</v>
      </c>
      <c r="B1503" s="28" t="s">
        <v>6911</v>
      </c>
      <c r="C1503" s="28" t="s">
        <v>243</v>
      </c>
      <c r="D1503" s="117">
        <v>10</v>
      </c>
      <c r="E1503" s="122" t="s">
        <v>31</v>
      </c>
      <c r="F1503" s="120" t="s">
        <v>63</v>
      </c>
      <c r="G1503" s="29">
        <v>46101</v>
      </c>
      <c r="H1503" s="28" t="s">
        <v>6912</v>
      </c>
      <c r="I1503" s="114" t="s">
        <v>12400</v>
      </c>
      <c r="J1503" s="114" t="s">
        <v>12401</v>
      </c>
    </row>
    <row r="1504" spans="1:10" ht="20" customHeight="1" thickBot="1">
      <c r="A1504" s="26" t="s">
        <v>6915</v>
      </c>
      <c r="B1504" s="26" t="s">
        <v>6915</v>
      </c>
      <c r="C1504" s="26" t="s">
        <v>6916</v>
      </c>
      <c r="D1504" s="116">
        <v>5</v>
      </c>
      <c r="E1504" s="122" t="s">
        <v>36</v>
      </c>
      <c r="F1504" s="119" t="s">
        <v>63</v>
      </c>
      <c r="G1504" s="27">
        <v>46074</v>
      </c>
      <c r="H1504" s="26" t="s">
        <v>6917</v>
      </c>
      <c r="I1504" s="113" t="s">
        <v>12400</v>
      </c>
      <c r="J1504" s="113" t="s">
        <v>12401</v>
      </c>
    </row>
    <row r="1505" spans="1:10" ht="20" customHeight="1" thickBot="1">
      <c r="A1505" s="28" t="s">
        <v>6920</v>
      </c>
      <c r="B1505" s="28" t="s">
        <v>6920</v>
      </c>
      <c r="C1505" s="28" t="s">
        <v>6921</v>
      </c>
      <c r="D1505" s="117">
        <v>11</v>
      </c>
      <c r="E1505" s="122" t="s">
        <v>34</v>
      </c>
      <c r="F1505" s="120" t="s">
        <v>57</v>
      </c>
      <c r="G1505" s="29">
        <v>44384</v>
      </c>
      <c r="H1505" s="28" t="s">
        <v>6922</v>
      </c>
      <c r="I1505" s="114" t="s">
        <v>12400</v>
      </c>
      <c r="J1505" s="114" t="s">
        <v>12401</v>
      </c>
    </row>
    <row r="1506" spans="1:10" ht="20" customHeight="1" thickBot="1">
      <c r="A1506" s="26" t="s">
        <v>6925</v>
      </c>
      <c r="B1506" s="26" t="s">
        <v>6925</v>
      </c>
      <c r="C1506" s="26" t="s">
        <v>6921</v>
      </c>
      <c r="D1506" s="116">
        <v>14</v>
      </c>
      <c r="E1506" s="122" t="s">
        <v>34</v>
      </c>
      <c r="F1506" s="119" t="s">
        <v>57</v>
      </c>
      <c r="G1506" s="27">
        <v>45026</v>
      </c>
      <c r="H1506" s="26" t="s">
        <v>6926</v>
      </c>
      <c r="I1506" s="113" t="s">
        <v>12400</v>
      </c>
      <c r="J1506" s="113" t="s">
        <v>12401</v>
      </c>
    </row>
    <row r="1507" spans="1:10" ht="20" customHeight="1" thickBot="1">
      <c r="A1507" s="28" t="s">
        <v>6929</v>
      </c>
      <c r="B1507" s="28" t="s">
        <v>6929</v>
      </c>
      <c r="C1507" s="28" t="s">
        <v>641</v>
      </c>
      <c r="D1507" s="117">
        <v>14</v>
      </c>
      <c r="E1507" s="122" t="s">
        <v>35</v>
      </c>
      <c r="F1507" s="120" t="s">
        <v>57</v>
      </c>
      <c r="G1507" s="29">
        <v>44515</v>
      </c>
      <c r="H1507" s="28" t="s">
        <v>6930</v>
      </c>
      <c r="I1507" s="114" t="s">
        <v>12400</v>
      </c>
      <c r="J1507" s="114" t="s">
        <v>12401</v>
      </c>
    </row>
    <row r="1508" spans="1:10" ht="20" customHeight="1" thickBot="1">
      <c r="A1508" s="26" t="s">
        <v>6933</v>
      </c>
      <c r="B1508" s="26" t="s">
        <v>6933</v>
      </c>
      <c r="C1508" s="26" t="s">
        <v>6934</v>
      </c>
      <c r="D1508" s="116">
        <v>118</v>
      </c>
      <c r="E1508" s="122" t="s">
        <v>31</v>
      </c>
      <c r="F1508" s="119" t="s">
        <v>63</v>
      </c>
      <c r="G1508" s="27">
        <v>45416</v>
      </c>
      <c r="H1508" s="26" t="s">
        <v>6935</v>
      </c>
      <c r="I1508" s="113" t="s">
        <v>12400</v>
      </c>
      <c r="J1508" s="113" t="s">
        <v>12401</v>
      </c>
    </row>
    <row r="1509" spans="1:10" ht="20" customHeight="1" thickBot="1">
      <c r="A1509" s="28" t="s">
        <v>6938</v>
      </c>
      <c r="B1509" s="28" t="s">
        <v>6938</v>
      </c>
      <c r="C1509" s="28" t="s">
        <v>494</v>
      </c>
      <c r="D1509" s="117">
        <v>1</v>
      </c>
      <c r="E1509" s="122" t="s">
        <v>36</v>
      </c>
      <c r="F1509" s="120" t="s">
        <v>57</v>
      </c>
      <c r="G1509" s="29">
        <v>45483</v>
      </c>
      <c r="H1509" s="28" t="s">
        <v>6939</v>
      </c>
      <c r="I1509" s="114" t="s">
        <v>12400</v>
      </c>
      <c r="J1509" s="114" t="s">
        <v>12401</v>
      </c>
    </row>
    <row r="1510" spans="1:10" ht="20" customHeight="1" thickBot="1">
      <c r="A1510" s="26" t="s">
        <v>6942</v>
      </c>
      <c r="B1510" s="26" t="s">
        <v>6942</v>
      </c>
      <c r="C1510" s="26" t="s">
        <v>6943</v>
      </c>
      <c r="D1510" s="116">
        <v>20</v>
      </c>
      <c r="E1510" s="122" t="s">
        <v>34</v>
      </c>
      <c r="F1510" s="119" t="s">
        <v>57</v>
      </c>
      <c r="G1510" s="27">
        <v>46141</v>
      </c>
      <c r="H1510" s="26" t="s">
        <v>6944</v>
      </c>
      <c r="I1510" s="113" t="s">
        <v>12400</v>
      </c>
      <c r="J1510" s="113" t="s">
        <v>12401</v>
      </c>
    </row>
    <row r="1511" spans="1:10" ht="20" customHeight="1" thickBot="1">
      <c r="A1511" s="28" t="s">
        <v>6947</v>
      </c>
      <c r="B1511" s="28" t="s">
        <v>6947</v>
      </c>
      <c r="C1511" s="28" t="s">
        <v>6948</v>
      </c>
      <c r="D1511" s="117">
        <v>22</v>
      </c>
      <c r="E1511" s="122" t="s">
        <v>35</v>
      </c>
      <c r="F1511" s="120" t="s">
        <v>57</v>
      </c>
      <c r="G1511" s="29">
        <v>43210</v>
      </c>
      <c r="H1511" s="28" t="s">
        <v>6949</v>
      </c>
      <c r="I1511" s="114" t="s">
        <v>12400</v>
      </c>
      <c r="J1511" s="114" t="s">
        <v>12401</v>
      </c>
    </row>
    <row r="1512" spans="1:10" ht="20" customHeight="1" thickBot="1">
      <c r="A1512" s="26" t="s">
        <v>6952</v>
      </c>
      <c r="B1512" s="26" t="s">
        <v>6952</v>
      </c>
      <c r="C1512" s="26" t="s">
        <v>4552</v>
      </c>
      <c r="D1512" s="116">
        <v>92</v>
      </c>
      <c r="E1512" s="122" t="s">
        <v>31</v>
      </c>
      <c r="F1512" s="119" t="s">
        <v>63</v>
      </c>
      <c r="G1512" s="27">
        <v>44062</v>
      </c>
      <c r="H1512" s="26" t="s">
        <v>6953</v>
      </c>
      <c r="I1512" s="113" t="s">
        <v>12400</v>
      </c>
      <c r="J1512" s="113" t="s">
        <v>12401</v>
      </c>
    </row>
    <row r="1513" spans="1:10" ht="20" customHeight="1" thickBot="1">
      <c r="A1513" s="28" t="s">
        <v>6956</v>
      </c>
      <c r="B1513" s="28" t="s">
        <v>6956</v>
      </c>
      <c r="C1513" s="28" t="s">
        <v>78</v>
      </c>
      <c r="D1513" s="117">
        <v>22</v>
      </c>
      <c r="E1513" s="122" t="s">
        <v>34</v>
      </c>
      <c r="F1513" s="120" t="s">
        <v>57</v>
      </c>
      <c r="G1513" s="29">
        <v>43884</v>
      </c>
      <c r="H1513" s="28" t="s">
        <v>6957</v>
      </c>
      <c r="I1513" s="114" t="s">
        <v>12400</v>
      </c>
      <c r="J1513" s="114" t="s">
        <v>12401</v>
      </c>
    </row>
    <row r="1514" spans="1:10" ht="20" customHeight="1" thickBot="1">
      <c r="A1514" s="26" t="s">
        <v>6960</v>
      </c>
      <c r="B1514" s="26" t="s">
        <v>6960</v>
      </c>
      <c r="C1514" s="26" t="s">
        <v>1464</v>
      </c>
      <c r="D1514" s="116">
        <v>4</v>
      </c>
      <c r="E1514" s="122" t="s">
        <v>33</v>
      </c>
      <c r="F1514" s="119" t="s">
        <v>57</v>
      </c>
      <c r="G1514" s="27">
        <v>45679</v>
      </c>
      <c r="H1514" s="26" t="s">
        <v>6961</v>
      </c>
      <c r="I1514" s="113" t="s">
        <v>12400</v>
      </c>
      <c r="J1514" s="113" t="s">
        <v>12401</v>
      </c>
    </row>
    <row r="1515" spans="1:10" ht="20" customHeight="1" thickBot="1">
      <c r="A1515" s="28" t="s">
        <v>6964</v>
      </c>
      <c r="B1515" s="28" t="s">
        <v>6964</v>
      </c>
      <c r="C1515" s="28" t="s">
        <v>1464</v>
      </c>
      <c r="D1515" s="117">
        <v>4</v>
      </c>
      <c r="E1515" s="122" t="s">
        <v>34</v>
      </c>
      <c r="F1515" s="120" t="s">
        <v>57</v>
      </c>
      <c r="G1515" s="29">
        <v>45754</v>
      </c>
      <c r="H1515" s="28" t="s">
        <v>6965</v>
      </c>
      <c r="I1515" s="114" t="s">
        <v>12400</v>
      </c>
      <c r="J1515" s="114" t="s">
        <v>12401</v>
      </c>
    </row>
    <row r="1516" spans="1:10" ht="20" customHeight="1" thickBot="1">
      <c r="A1516" s="26" t="s">
        <v>6968</v>
      </c>
      <c r="B1516" s="26" t="s">
        <v>6968</v>
      </c>
      <c r="C1516" s="26" t="s">
        <v>6969</v>
      </c>
      <c r="D1516" s="116">
        <v>15</v>
      </c>
      <c r="E1516" s="122" t="s">
        <v>33</v>
      </c>
      <c r="F1516" s="119" t="s">
        <v>57</v>
      </c>
      <c r="G1516" s="27">
        <v>45335</v>
      </c>
      <c r="H1516" s="26" t="s">
        <v>6970</v>
      </c>
      <c r="I1516" s="113" t="s">
        <v>12400</v>
      </c>
      <c r="J1516" s="113" t="s">
        <v>12401</v>
      </c>
    </row>
    <row r="1517" spans="1:10" ht="20" customHeight="1" thickBot="1">
      <c r="A1517" s="28" t="s">
        <v>6973</v>
      </c>
      <c r="B1517" s="28" t="s">
        <v>6973</v>
      </c>
      <c r="C1517" s="28" t="s">
        <v>6969</v>
      </c>
      <c r="D1517" s="117">
        <v>21</v>
      </c>
      <c r="E1517" s="122" t="s">
        <v>34</v>
      </c>
      <c r="F1517" s="120" t="s">
        <v>57</v>
      </c>
      <c r="G1517" s="29">
        <v>46081</v>
      </c>
      <c r="H1517" s="28" t="s">
        <v>6974</v>
      </c>
      <c r="I1517" s="114" t="s">
        <v>12400</v>
      </c>
      <c r="J1517" s="114" t="s">
        <v>12401</v>
      </c>
    </row>
    <row r="1518" spans="1:10" ht="20" customHeight="1" thickBot="1">
      <c r="A1518" s="26" t="s">
        <v>6977</v>
      </c>
      <c r="B1518" s="26" t="s">
        <v>6977</v>
      </c>
      <c r="C1518" s="26" t="s">
        <v>3751</v>
      </c>
      <c r="D1518" s="116">
        <v>30</v>
      </c>
      <c r="E1518" s="122" t="s">
        <v>34</v>
      </c>
      <c r="F1518" s="119" t="s">
        <v>57</v>
      </c>
      <c r="G1518" s="27">
        <v>44260</v>
      </c>
      <c r="H1518" s="26" t="s">
        <v>6978</v>
      </c>
      <c r="I1518" s="113" t="s">
        <v>12400</v>
      </c>
      <c r="J1518" s="113" t="s">
        <v>12401</v>
      </c>
    </row>
    <row r="1519" spans="1:10" ht="20" customHeight="1" thickBot="1">
      <c r="A1519" s="28" t="s">
        <v>6981</v>
      </c>
      <c r="B1519" s="28" t="s">
        <v>6981</v>
      </c>
      <c r="C1519" s="28" t="s">
        <v>6982</v>
      </c>
      <c r="D1519" s="117">
        <v>13</v>
      </c>
      <c r="E1519" s="122" t="s">
        <v>33</v>
      </c>
      <c r="F1519" s="120" t="s">
        <v>57</v>
      </c>
      <c r="G1519" s="29">
        <v>45114</v>
      </c>
      <c r="H1519" s="28" t="s">
        <v>6983</v>
      </c>
      <c r="I1519" s="114" t="s">
        <v>12400</v>
      </c>
      <c r="J1519" s="114" t="s">
        <v>12401</v>
      </c>
    </row>
    <row r="1520" spans="1:10" ht="20" customHeight="1" thickBot="1">
      <c r="A1520" s="26" t="s">
        <v>6986</v>
      </c>
      <c r="B1520" s="26" t="s">
        <v>6986</v>
      </c>
      <c r="C1520" s="26" t="s">
        <v>78</v>
      </c>
      <c r="D1520" s="116">
        <v>13</v>
      </c>
      <c r="E1520" s="122" t="s">
        <v>34</v>
      </c>
      <c r="F1520" s="119" t="s">
        <v>57</v>
      </c>
      <c r="G1520" s="27">
        <v>44108</v>
      </c>
      <c r="H1520" s="26" t="s">
        <v>6987</v>
      </c>
      <c r="I1520" s="113" t="s">
        <v>12400</v>
      </c>
      <c r="J1520" s="113" t="s">
        <v>12401</v>
      </c>
    </row>
    <row r="1521" spans="1:10" ht="20" customHeight="1" thickBot="1">
      <c r="A1521" s="28" t="s">
        <v>6990</v>
      </c>
      <c r="B1521" s="28" t="s">
        <v>6990</v>
      </c>
      <c r="C1521" s="28" t="s">
        <v>78</v>
      </c>
      <c r="D1521" s="117">
        <v>16</v>
      </c>
      <c r="E1521" s="122" t="s">
        <v>35</v>
      </c>
      <c r="F1521" s="120" t="s">
        <v>57</v>
      </c>
      <c r="G1521" s="29">
        <v>44749</v>
      </c>
      <c r="H1521" s="28" t="s">
        <v>6991</v>
      </c>
      <c r="I1521" s="114" t="s">
        <v>12400</v>
      </c>
      <c r="J1521" s="114" t="s">
        <v>12401</v>
      </c>
    </row>
    <row r="1522" spans="1:10" ht="20" customHeight="1" thickBot="1">
      <c r="A1522" s="26" t="s">
        <v>6994</v>
      </c>
      <c r="B1522" s="26" t="s">
        <v>6994</v>
      </c>
      <c r="C1522" s="26" t="s">
        <v>6110</v>
      </c>
      <c r="D1522" s="116">
        <v>10</v>
      </c>
      <c r="E1522" s="122" t="s">
        <v>33</v>
      </c>
      <c r="F1522" s="119" t="s">
        <v>115</v>
      </c>
      <c r="G1522" s="27">
        <v>44585</v>
      </c>
      <c r="H1522" s="26" t="s">
        <v>6995</v>
      </c>
      <c r="I1522" s="113" t="s">
        <v>12400</v>
      </c>
      <c r="J1522" s="113" t="s">
        <v>12401</v>
      </c>
    </row>
    <row r="1523" spans="1:10" ht="20" customHeight="1" thickBot="1">
      <c r="A1523" s="28" t="s">
        <v>6998</v>
      </c>
      <c r="B1523" s="28" t="s">
        <v>6998</v>
      </c>
      <c r="C1523" s="28" t="s">
        <v>3893</v>
      </c>
      <c r="D1523" s="117">
        <v>32</v>
      </c>
      <c r="E1523" s="122" t="s">
        <v>31</v>
      </c>
      <c r="F1523" s="120" t="s">
        <v>63</v>
      </c>
      <c r="G1523" s="29">
        <v>45655</v>
      </c>
      <c r="H1523" s="28" t="s">
        <v>6999</v>
      </c>
      <c r="I1523" s="114" t="s">
        <v>12400</v>
      </c>
      <c r="J1523" s="114" t="s">
        <v>12401</v>
      </c>
    </row>
    <row r="1524" spans="1:10" ht="20" customHeight="1" thickBot="1">
      <c r="A1524" s="26" t="s">
        <v>7002</v>
      </c>
      <c r="B1524" s="26" t="s">
        <v>7002</v>
      </c>
      <c r="C1524" s="26" t="s">
        <v>4046</v>
      </c>
      <c r="D1524" s="116">
        <v>7</v>
      </c>
      <c r="E1524" s="122" t="s">
        <v>27</v>
      </c>
      <c r="F1524" s="119" t="s">
        <v>63</v>
      </c>
      <c r="G1524" s="27">
        <v>42246</v>
      </c>
      <c r="H1524" s="26" t="s">
        <v>7003</v>
      </c>
      <c r="I1524" s="113" t="s">
        <v>12400</v>
      </c>
      <c r="J1524" s="113" t="s">
        <v>12401</v>
      </c>
    </row>
    <row r="1525" spans="1:10" ht="20" customHeight="1" thickBot="1">
      <c r="A1525" s="28" t="s">
        <v>7006</v>
      </c>
      <c r="B1525" s="28" t="s">
        <v>7006</v>
      </c>
      <c r="C1525" s="28" t="s">
        <v>253</v>
      </c>
      <c r="D1525" s="117">
        <v>19</v>
      </c>
      <c r="E1525" s="122" t="s">
        <v>34</v>
      </c>
      <c r="F1525" s="120" t="s">
        <v>57</v>
      </c>
      <c r="G1525" s="29">
        <v>45389</v>
      </c>
      <c r="H1525" s="28" t="s">
        <v>7007</v>
      </c>
      <c r="I1525" s="114" t="s">
        <v>12400</v>
      </c>
      <c r="J1525" s="114" t="s">
        <v>12401</v>
      </c>
    </row>
    <row r="1526" spans="1:10" ht="20" customHeight="1" thickBot="1">
      <c r="A1526" s="26" t="s">
        <v>7010</v>
      </c>
      <c r="B1526" s="26" t="s">
        <v>7010</v>
      </c>
      <c r="C1526" s="26" t="s">
        <v>7011</v>
      </c>
      <c r="D1526" s="116">
        <v>0</v>
      </c>
      <c r="E1526" s="122" t="s">
        <v>33</v>
      </c>
      <c r="F1526" s="119" t="s">
        <v>57</v>
      </c>
      <c r="G1526" s="27">
        <v>43641</v>
      </c>
      <c r="H1526" s="26" t="s">
        <v>7012</v>
      </c>
      <c r="I1526" s="113" t="s">
        <v>12400</v>
      </c>
      <c r="J1526" s="113" t="s">
        <v>12401</v>
      </c>
    </row>
    <row r="1527" spans="1:10" ht="20" customHeight="1" thickBot="1">
      <c r="A1527" s="28" t="s">
        <v>7015</v>
      </c>
      <c r="B1527" s="28" t="s">
        <v>7015</v>
      </c>
      <c r="C1527" s="28" t="s">
        <v>109</v>
      </c>
      <c r="D1527" s="117">
        <v>15</v>
      </c>
      <c r="E1527" s="122" t="s">
        <v>29</v>
      </c>
      <c r="F1527" s="120" t="s">
        <v>2433</v>
      </c>
      <c r="G1527" s="29">
        <v>45049</v>
      </c>
      <c r="H1527" s="28" t="s">
        <v>7016</v>
      </c>
      <c r="I1527" s="114" t="s">
        <v>12400</v>
      </c>
      <c r="J1527" s="114" t="s">
        <v>12401</v>
      </c>
    </row>
    <row r="1528" spans="1:10" ht="20" customHeight="1" thickBot="1">
      <c r="A1528" s="26" t="s">
        <v>7019</v>
      </c>
      <c r="B1528" s="26" t="s">
        <v>7019</v>
      </c>
      <c r="C1528" s="26" t="s">
        <v>7020</v>
      </c>
      <c r="D1528" s="116">
        <v>24</v>
      </c>
      <c r="E1528" s="122" t="s">
        <v>35</v>
      </c>
      <c r="F1528" s="119" t="s">
        <v>57</v>
      </c>
      <c r="G1528" s="27">
        <v>44592</v>
      </c>
      <c r="H1528" s="26" t="s">
        <v>7021</v>
      </c>
      <c r="I1528" s="113" t="s">
        <v>12400</v>
      </c>
      <c r="J1528" s="113" t="s">
        <v>12401</v>
      </c>
    </row>
    <row r="1529" spans="1:10" ht="20" customHeight="1" thickBot="1">
      <c r="A1529" s="28" t="s">
        <v>7024</v>
      </c>
      <c r="B1529" s="28" t="s">
        <v>7024</v>
      </c>
      <c r="C1529" s="28" t="s">
        <v>7025</v>
      </c>
      <c r="D1529" s="117">
        <v>27</v>
      </c>
      <c r="E1529" s="122" t="s">
        <v>31</v>
      </c>
      <c r="F1529" s="120" t="s">
        <v>63</v>
      </c>
      <c r="G1529" s="29">
        <v>41580</v>
      </c>
      <c r="H1529" s="28" t="s">
        <v>7026</v>
      </c>
      <c r="I1529" s="114" t="s">
        <v>12400</v>
      </c>
      <c r="J1529" s="114" t="s">
        <v>12401</v>
      </c>
    </row>
    <row r="1530" spans="1:10" ht="20" customHeight="1" thickBot="1">
      <c r="A1530" s="26" t="s">
        <v>7029</v>
      </c>
      <c r="B1530" s="26" t="s">
        <v>7029</v>
      </c>
      <c r="C1530" s="26" t="s">
        <v>2309</v>
      </c>
      <c r="D1530" s="116">
        <v>14</v>
      </c>
      <c r="E1530" s="122" t="s">
        <v>33</v>
      </c>
      <c r="F1530" s="119" t="s">
        <v>57</v>
      </c>
      <c r="G1530" s="27">
        <v>45634</v>
      </c>
      <c r="H1530" s="26" t="s">
        <v>7030</v>
      </c>
      <c r="I1530" s="113" t="s">
        <v>12400</v>
      </c>
      <c r="J1530" s="113" t="s">
        <v>12401</v>
      </c>
    </row>
    <row r="1531" spans="1:10" ht="20" customHeight="1" thickBot="1">
      <c r="A1531" s="28" t="s">
        <v>7033</v>
      </c>
      <c r="B1531" s="28" t="s">
        <v>7033</v>
      </c>
      <c r="C1531" s="28" t="s">
        <v>7034</v>
      </c>
      <c r="D1531" s="117">
        <v>10</v>
      </c>
      <c r="E1531" s="122" t="s">
        <v>29</v>
      </c>
      <c r="F1531" s="120" t="s">
        <v>63</v>
      </c>
      <c r="G1531" s="29">
        <v>41451</v>
      </c>
      <c r="H1531" s="28" t="s">
        <v>7035</v>
      </c>
      <c r="I1531" s="114" t="s">
        <v>12400</v>
      </c>
      <c r="J1531" s="114" t="s">
        <v>12401</v>
      </c>
    </row>
    <row r="1532" spans="1:10" ht="20" customHeight="1" thickBot="1">
      <c r="A1532" s="26" t="s">
        <v>7038</v>
      </c>
      <c r="B1532" s="26" t="s">
        <v>7038</v>
      </c>
      <c r="C1532" s="26" t="s">
        <v>547</v>
      </c>
      <c r="D1532" s="116">
        <v>9</v>
      </c>
      <c r="E1532" s="122" t="s">
        <v>31</v>
      </c>
      <c r="F1532" s="119" t="s">
        <v>63</v>
      </c>
      <c r="G1532" s="27">
        <v>45352</v>
      </c>
      <c r="H1532" s="26" t="s">
        <v>7039</v>
      </c>
      <c r="I1532" s="113" t="s">
        <v>12400</v>
      </c>
      <c r="J1532" s="113" t="s">
        <v>12401</v>
      </c>
    </row>
    <row r="1533" spans="1:10" ht="20" customHeight="1" thickBot="1">
      <c r="A1533" s="28" t="s">
        <v>7042</v>
      </c>
      <c r="B1533" s="28" t="s">
        <v>7042</v>
      </c>
      <c r="C1533" s="28" t="s">
        <v>1389</v>
      </c>
      <c r="D1533" s="117">
        <v>17</v>
      </c>
      <c r="E1533" s="122" t="s">
        <v>33</v>
      </c>
      <c r="F1533" s="120" t="s">
        <v>57</v>
      </c>
      <c r="G1533" s="29">
        <v>45938</v>
      </c>
      <c r="H1533" s="28" t="s">
        <v>7043</v>
      </c>
      <c r="I1533" s="114" t="s">
        <v>12400</v>
      </c>
      <c r="J1533" s="114" t="s">
        <v>12401</v>
      </c>
    </row>
    <row r="1534" spans="1:10" ht="20" customHeight="1" thickBot="1">
      <c r="A1534" s="26" t="s">
        <v>7046</v>
      </c>
      <c r="B1534" s="26" t="s">
        <v>7046</v>
      </c>
      <c r="C1534" s="26" t="s">
        <v>7047</v>
      </c>
      <c r="D1534" s="116">
        <v>5</v>
      </c>
      <c r="E1534" s="122" t="s">
        <v>34</v>
      </c>
      <c r="F1534" s="119" t="s">
        <v>57</v>
      </c>
      <c r="G1534" s="27">
        <v>44565</v>
      </c>
      <c r="H1534" s="26" t="s">
        <v>7048</v>
      </c>
      <c r="I1534" s="113" t="s">
        <v>12400</v>
      </c>
      <c r="J1534" s="113" t="s">
        <v>12401</v>
      </c>
    </row>
    <row r="1535" spans="1:10" ht="20" customHeight="1" thickBot="1">
      <c r="A1535" s="28" t="s">
        <v>7051</v>
      </c>
      <c r="B1535" s="28" t="s">
        <v>7051</v>
      </c>
      <c r="C1535" s="28" t="s">
        <v>3188</v>
      </c>
      <c r="D1535" s="117">
        <v>1</v>
      </c>
      <c r="E1535" s="122" t="s">
        <v>35</v>
      </c>
      <c r="F1535" s="120" t="s">
        <v>57</v>
      </c>
      <c r="G1535" s="29">
        <v>44412</v>
      </c>
      <c r="H1535" s="28" t="s">
        <v>7052</v>
      </c>
      <c r="I1535" s="114" t="s">
        <v>12400</v>
      </c>
      <c r="J1535" s="114" t="s">
        <v>12401</v>
      </c>
    </row>
    <row r="1536" spans="1:10" ht="20" customHeight="1" thickBot="1">
      <c r="A1536" s="26" t="s">
        <v>7055</v>
      </c>
      <c r="B1536" s="26" t="s">
        <v>7055</v>
      </c>
      <c r="C1536" s="26" t="s">
        <v>3188</v>
      </c>
      <c r="D1536" s="116">
        <v>1</v>
      </c>
      <c r="E1536" s="122" t="s">
        <v>34</v>
      </c>
      <c r="F1536" s="119" t="s">
        <v>57</v>
      </c>
      <c r="G1536" s="27">
        <v>44853</v>
      </c>
      <c r="H1536" s="26" t="s">
        <v>7056</v>
      </c>
      <c r="I1536" s="113" t="s">
        <v>12400</v>
      </c>
      <c r="J1536" s="113" t="s">
        <v>12401</v>
      </c>
    </row>
    <row r="1537" spans="1:10" ht="20" customHeight="1" thickBot="1">
      <c r="A1537" s="28" t="s">
        <v>7059</v>
      </c>
      <c r="B1537" s="28" t="s">
        <v>7059</v>
      </c>
      <c r="C1537" s="28" t="s">
        <v>165</v>
      </c>
      <c r="D1537" s="117">
        <v>5</v>
      </c>
      <c r="E1537" s="122" t="s">
        <v>34</v>
      </c>
      <c r="F1537" s="120" t="s">
        <v>57</v>
      </c>
      <c r="G1537" s="29">
        <v>44557</v>
      </c>
      <c r="H1537" s="28" t="s">
        <v>7060</v>
      </c>
      <c r="I1537" s="114" t="s">
        <v>12400</v>
      </c>
      <c r="J1537" s="114" t="s">
        <v>12401</v>
      </c>
    </row>
    <row r="1538" spans="1:10" ht="20" customHeight="1" thickBot="1">
      <c r="A1538" s="26" t="s">
        <v>7063</v>
      </c>
      <c r="B1538" s="26" t="s">
        <v>7063</v>
      </c>
      <c r="C1538" s="26" t="s">
        <v>641</v>
      </c>
      <c r="D1538" s="116">
        <v>0</v>
      </c>
      <c r="E1538" s="122" t="s">
        <v>35</v>
      </c>
      <c r="F1538" s="119" t="s">
        <v>63</v>
      </c>
      <c r="G1538" s="27">
        <v>45182</v>
      </c>
      <c r="H1538" s="26" t="s">
        <v>7064</v>
      </c>
      <c r="I1538" s="113" t="s">
        <v>12400</v>
      </c>
      <c r="J1538" s="113" t="s">
        <v>12401</v>
      </c>
    </row>
    <row r="1539" spans="1:10" ht="20" customHeight="1" thickBot="1">
      <c r="A1539" s="28" t="s">
        <v>7067</v>
      </c>
      <c r="B1539" s="28" t="s">
        <v>7067</v>
      </c>
      <c r="C1539" s="28" t="s">
        <v>1932</v>
      </c>
      <c r="D1539" s="117">
        <v>8</v>
      </c>
      <c r="E1539" s="122" t="s">
        <v>35</v>
      </c>
      <c r="F1539" s="120" t="s">
        <v>57</v>
      </c>
      <c r="G1539" s="29">
        <v>44613</v>
      </c>
      <c r="H1539" s="28" t="s">
        <v>7068</v>
      </c>
      <c r="I1539" s="114" t="s">
        <v>12400</v>
      </c>
      <c r="J1539" s="114" t="s">
        <v>12401</v>
      </c>
    </row>
    <row r="1540" spans="1:10" ht="20" customHeight="1" thickBot="1">
      <c r="A1540" s="26" t="s">
        <v>7071</v>
      </c>
      <c r="B1540" s="26" t="s">
        <v>7071</v>
      </c>
      <c r="C1540" s="26" t="s">
        <v>1570</v>
      </c>
      <c r="D1540" s="116">
        <v>8</v>
      </c>
      <c r="E1540" s="122" t="s">
        <v>34</v>
      </c>
      <c r="F1540" s="119" t="s">
        <v>57</v>
      </c>
      <c r="G1540" s="27">
        <v>44216</v>
      </c>
      <c r="H1540" s="26" t="s">
        <v>7072</v>
      </c>
      <c r="I1540" s="113" t="s">
        <v>12400</v>
      </c>
      <c r="J1540" s="113" t="s">
        <v>12401</v>
      </c>
    </row>
    <row r="1541" spans="1:10" ht="20" customHeight="1" thickBot="1">
      <c r="A1541" s="28" t="s">
        <v>7075</v>
      </c>
      <c r="B1541" s="28" t="s">
        <v>7075</v>
      </c>
      <c r="C1541" s="28" t="s">
        <v>7076</v>
      </c>
      <c r="D1541" s="117">
        <v>1</v>
      </c>
      <c r="E1541" s="122" t="s">
        <v>33</v>
      </c>
      <c r="F1541" s="120" t="s">
        <v>57</v>
      </c>
      <c r="G1541" s="29">
        <v>46004</v>
      </c>
      <c r="H1541" s="28" t="s">
        <v>7077</v>
      </c>
      <c r="I1541" s="114" t="s">
        <v>12400</v>
      </c>
      <c r="J1541" s="114" t="s">
        <v>12401</v>
      </c>
    </row>
    <row r="1542" spans="1:10" ht="20" customHeight="1" thickBot="1">
      <c r="A1542" s="26" t="s">
        <v>7080</v>
      </c>
      <c r="B1542" s="26" t="s">
        <v>7080</v>
      </c>
      <c r="C1542" s="26" t="s">
        <v>2250</v>
      </c>
      <c r="D1542" s="116">
        <v>15</v>
      </c>
      <c r="E1542" s="122" t="s">
        <v>35</v>
      </c>
      <c r="F1542" s="119" t="s">
        <v>57</v>
      </c>
      <c r="G1542" s="27">
        <v>46157</v>
      </c>
      <c r="H1542" s="26" t="s">
        <v>7081</v>
      </c>
      <c r="I1542" s="113" t="s">
        <v>12400</v>
      </c>
      <c r="J1542" s="113" t="s">
        <v>12401</v>
      </c>
    </row>
    <row r="1543" spans="1:10" ht="20" customHeight="1" thickBot="1">
      <c r="A1543" s="28" t="s">
        <v>7084</v>
      </c>
      <c r="B1543" s="28" t="s">
        <v>7084</v>
      </c>
      <c r="C1543" s="28" t="s">
        <v>2354</v>
      </c>
      <c r="D1543" s="117">
        <v>1</v>
      </c>
      <c r="E1543" s="122" t="s">
        <v>34</v>
      </c>
      <c r="F1543" s="120" t="s">
        <v>57</v>
      </c>
      <c r="G1543" s="29">
        <v>44198</v>
      </c>
      <c r="H1543" s="28" t="s">
        <v>7085</v>
      </c>
      <c r="I1543" s="114" t="s">
        <v>12400</v>
      </c>
      <c r="J1543" s="114" t="s">
        <v>12401</v>
      </c>
    </row>
    <row r="1544" spans="1:10" ht="20" customHeight="1" thickBot="1">
      <c r="A1544" s="26" t="s">
        <v>7088</v>
      </c>
      <c r="B1544" s="26" t="s">
        <v>7088</v>
      </c>
      <c r="C1544" s="26" t="s">
        <v>7089</v>
      </c>
      <c r="D1544" s="116">
        <v>6</v>
      </c>
      <c r="E1544" s="122" t="s">
        <v>35</v>
      </c>
      <c r="F1544" s="119" t="s">
        <v>57</v>
      </c>
      <c r="G1544" s="27">
        <v>45492</v>
      </c>
      <c r="H1544" s="26" t="s">
        <v>7090</v>
      </c>
      <c r="I1544" s="113" t="s">
        <v>12400</v>
      </c>
      <c r="J1544" s="113" t="s">
        <v>12401</v>
      </c>
    </row>
    <row r="1545" spans="1:10" ht="20" customHeight="1" thickBot="1">
      <c r="A1545" s="28" t="s">
        <v>7093</v>
      </c>
      <c r="B1545" s="28" t="s">
        <v>7093</v>
      </c>
      <c r="C1545" s="28" t="s">
        <v>7094</v>
      </c>
      <c r="D1545" s="117">
        <v>4</v>
      </c>
      <c r="E1545" s="122" t="s">
        <v>34</v>
      </c>
      <c r="F1545" s="120" t="s">
        <v>57</v>
      </c>
      <c r="G1545" s="29">
        <v>46041</v>
      </c>
      <c r="H1545" s="28" t="s">
        <v>7095</v>
      </c>
      <c r="I1545" s="114" t="s">
        <v>12400</v>
      </c>
      <c r="J1545" s="114" t="s">
        <v>12401</v>
      </c>
    </row>
    <row r="1546" spans="1:10" ht="20" customHeight="1" thickBot="1">
      <c r="A1546" s="26" t="s">
        <v>7098</v>
      </c>
      <c r="B1546" s="26" t="s">
        <v>7098</v>
      </c>
      <c r="C1546" s="26" t="s">
        <v>7099</v>
      </c>
      <c r="D1546" s="116">
        <v>12</v>
      </c>
      <c r="E1546" s="122" t="s">
        <v>34</v>
      </c>
      <c r="F1546" s="119" t="s">
        <v>57</v>
      </c>
      <c r="G1546" s="27">
        <v>44096</v>
      </c>
      <c r="H1546" s="26" t="s">
        <v>7100</v>
      </c>
      <c r="I1546" s="113" t="s">
        <v>12400</v>
      </c>
      <c r="J1546" s="113" t="s">
        <v>12401</v>
      </c>
    </row>
    <row r="1547" spans="1:10" ht="20" customHeight="1" thickBot="1">
      <c r="A1547" s="28" t="s">
        <v>7103</v>
      </c>
      <c r="B1547" s="28" t="s">
        <v>7103</v>
      </c>
      <c r="C1547" s="28" t="s">
        <v>7099</v>
      </c>
      <c r="D1547" s="117">
        <v>7</v>
      </c>
      <c r="E1547" s="122" t="s">
        <v>34</v>
      </c>
      <c r="F1547" s="120" t="s">
        <v>57</v>
      </c>
      <c r="G1547" s="29">
        <v>43486</v>
      </c>
      <c r="H1547" s="28" t="s">
        <v>7104</v>
      </c>
      <c r="I1547" s="114" t="s">
        <v>12400</v>
      </c>
      <c r="J1547" s="114" t="s">
        <v>12401</v>
      </c>
    </row>
    <row r="1548" spans="1:10" ht="20" customHeight="1" thickBot="1">
      <c r="A1548" s="26" t="s">
        <v>7107</v>
      </c>
      <c r="B1548" s="26" t="s">
        <v>7107</v>
      </c>
      <c r="C1548" s="26" t="s">
        <v>3580</v>
      </c>
      <c r="D1548" s="116">
        <v>14</v>
      </c>
      <c r="E1548" s="122" t="s">
        <v>34</v>
      </c>
      <c r="F1548" s="119" t="s">
        <v>57</v>
      </c>
      <c r="G1548" s="27">
        <v>46180</v>
      </c>
      <c r="H1548" s="26" t="s">
        <v>7108</v>
      </c>
      <c r="I1548" s="113" t="s">
        <v>12400</v>
      </c>
      <c r="J1548" s="113" t="s">
        <v>12401</v>
      </c>
    </row>
    <row r="1549" spans="1:10" ht="20" customHeight="1" thickBot="1">
      <c r="A1549" s="28" t="s">
        <v>7111</v>
      </c>
      <c r="B1549" s="28" t="s">
        <v>7111</v>
      </c>
      <c r="C1549" s="28" t="s">
        <v>7112</v>
      </c>
      <c r="D1549" s="117">
        <v>10</v>
      </c>
      <c r="E1549" s="122" t="s">
        <v>34</v>
      </c>
      <c r="F1549" s="120" t="s">
        <v>57</v>
      </c>
      <c r="G1549" s="29">
        <v>45977</v>
      </c>
      <c r="H1549" s="28" t="s">
        <v>7113</v>
      </c>
      <c r="I1549" s="114" t="s">
        <v>12400</v>
      </c>
      <c r="J1549" s="114" t="s">
        <v>12401</v>
      </c>
    </row>
    <row r="1550" spans="1:10" ht="20" customHeight="1" thickBot="1">
      <c r="A1550" s="26" t="s">
        <v>7116</v>
      </c>
      <c r="B1550" s="26" t="s">
        <v>7116</v>
      </c>
      <c r="C1550" s="26" t="s">
        <v>1976</v>
      </c>
      <c r="D1550" s="116">
        <v>7</v>
      </c>
      <c r="E1550" s="122" t="s">
        <v>34</v>
      </c>
      <c r="F1550" s="119" t="s">
        <v>57</v>
      </c>
      <c r="G1550" s="27">
        <v>44317</v>
      </c>
      <c r="H1550" s="26" t="s">
        <v>7117</v>
      </c>
      <c r="I1550" s="113" t="s">
        <v>12400</v>
      </c>
      <c r="J1550" s="113" t="s">
        <v>12401</v>
      </c>
    </row>
    <row r="1551" spans="1:10" ht="20" customHeight="1" thickBot="1">
      <c r="A1551" s="28" t="s">
        <v>7120</v>
      </c>
      <c r="B1551" s="28" t="s">
        <v>7120</v>
      </c>
      <c r="C1551" s="28" t="s">
        <v>1464</v>
      </c>
      <c r="D1551" s="117">
        <v>11</v>
      </c>
      <c r="E1551" s="122" t="s">
        <v>33</v>
      </c>
      <c r="F1551" s="120" t="s">
        <v>57</v>
      </c>
      <c r="G1551" s="29">
        <v>45935</v>
      </c>
      <c r="H1551" s="28" t="s">
        <v>7121</v>
      </c>
      <c r="I1551" s="114" t="s">
        <v>12400</v>
      </c>
      <c r="J1551" s="114" t="s">
        <v>12401</v>
      </c>
    </row>
    <row r="1552" spans="1:10" ht="20" customHeight="1" thickBot="1">
      <c r="A1552" s="26" t="s">
        <v>7124</v>
      </c>
      <c r="B1552" s="26" t="s">
        <v>7124</v>
      </c>
      <c r="C1552" s="26" t="s">
        <v>1151</v>
      </c>
      <c r="D1552" s="116">
        <v>12</v>
      </c>
      <c r="E1552" s="122" t="s">
        <v>34</v>
      </c>
      <c r="F1552" s="119" t="s">
        <v>57</v>
      </c>
      <c r="G1552" s="27">
        <v>45516</v>
      </c>
      <c r="H1552" s="26" t="s">
        <v>7125</v>
      </c>
      <c r="I1552" s="113" t="s">
        <v>12400</v>
      </c>
      <c r="J1552" s="113" t="s">
        <v>12401</v>
      </c>
    </row>
    <row r="1553" spans="1:10" ht="20" customHeight="1" thickBot="1">
      <c r="A1553" s="28" t="s">
        <v>7128</v>
      </c>
      <c r="B1553" s="28" t="s">
        <v>7128</v>
      </c>
      <c r="C1553" s="28" t="s">
        <v>7129</v>
      </c>
      <c r="D1553" s="117">
        <v>10</v>
      </c>
      <c r="E1553" s="122" t="s">
        <v>33</v>
      </c>
      <c r="F1553" s="120" t="s">
        <v>57</v>
      </c>
      <c r="G1553" s="29">
        <v>44900</v>
      </c>
      <c r="H1553" s="28" t="s">
        <v>7130</v>
      </c>
      <c r="I1553" s="114" t="s">
        <v>12400</v>
      </c>
      <c r="J1553" s="114" t="s">
        <v>12401</v>
      </c>
    </row>
    <row r="1554" spans="1:10" ht="20" customHeight="1" thickBot="1">
      <c r="A1554" s="26" t="s">
        <v>7133</v>
      </c>
      <c r="B1554" s="26" t="s">
        <v>7133</v>
      </c>
      <c r="C1554" s="26" t="s">
        <v>2133</v>
      </c>
      <c r="D1554" s="116">
        <v>8</v>
      </c>
      <c r="E1554" s="122" t="s">
        <v>34</v>
      </c>
      <c r="F1554" s="119" t="s">
        <v>57</v>
      </c>
      <c r="G1554" s="27">
        <v>45079</v>
      </c>
      <c r="H1554" s="26" t="s">
        <v>7134</v>
      </c>
      <c r="I1554" s="113" t="s">
        <v>12400</v>
      </c>
      <c r="J1554" s="113" t="s">
        <v>12401</v>
      </c>
    </row>
    <row r="1555" spans="1:10" ht="20" customHeight="1" thickBot="1">
      <c r="A1555" s="28" t="s">
        <v>7137</v>
      </c>
      <c r="B1555" s="28" t="s">
        <v>7137</v>
      </c>
      <c r="C1555" s="28" t="s">
        <v>370</v>
      </c>
      <c r="D1555" s="117">
        <v>8</v>
      </c>
      <c r="E1555" s="122" t="s">
        <v>33</v>
      </c>
      <c r="F1555" s="120" t="s">
        <v>57</v>
      </c>
      <c r="G1555" s="29">
        <v>44185</v>
      </c>
      <c r="H1555" s="28" t="s">
        <v>7138</v>
      </c>
      <c r="I1555" s="114" t="s">
        <v>12400</v>
      </c>
      <c r="J1555" s="114" t="s">
        <v>12401</v>
      </c>
    </row>
    <row r="1556" spans="1:10" ht="20" customHeight="1" thickBot="1">
      <c r="A1556" s="26" t="s">
        <v>7141</v>
      </c>
      <c r="B1556" s="26" t="s">
        <v>7141</v>
      </c>
      <c r="C1556" s="26" t="s">
        <v>1464</v>
      </c>
      <c r="D1556" s="116">
        <v>10</v>
      </c>
      <c r="E1556" s="122" t="s">
        <v>31</v>
      </c>
      <c r="F1556" s="119" t="s">
        <v>57</v>
      </c>
      <c r="G1556" s="27">
        <v>45436</v>
      </c>
      <c r="H1556" s="26" t="s">
        <v>7142</v>
      </c>
      <c r="I1556" s="113" t="s">
        <v>12400</v>
      </c>
      <c r="J1556" s="113" t="s">
        <v>12401</v>
      </c>
    </row>
    <row r="1557" spans="1:10" ht="20" customHeight="1" thickBot="1">
      <c r="A1557" s="28" t="s">
        <v>7145</v>
      </c>
      <c r="B1557" s="28" t="s">
        <v>7145</v>
      </c>
      <c r="C1557" s="28" t="s">
        <v>1464</v>
      </c>
      <c r="D1557" s="117">
        <v>10</v>
      </c>
      <c r="E1557" s="122" t="s">
        <v>33</v>
      </c>
      <c r="F1557" s="120" t="s">
        <v>57</v>
      </c>
      <c r="G1557" s="29">
        <v>45429</v>
      </c>
      <c r="H1557" s="28" t="s">
        <v>7146</v>
      </c>
      <c r="I1557" s="114" t="s">
        <v>12400</v>
      </c>
      <c r="J1557" s="114" t="s">
        <v>12401</v>
      </c>
    </row>
    <row r="1558" spans="1:10" ht="20" customHeight="1" thickBot="1">
      <c r="A1558" s="26" t="s">
        <v>7149</v>
      </c>
      <c r="B1558" s="26" t="s">
        <v>7149</v>
      </c>
      <c r="C1558" s="26" t="s">
        <v>7076</v>
      </c>
      <c r="D1558" s="116">
        <v>9</v>
      </c>
      <c r="E1558" s="122" t="s">
        <v>36</v>
      </c>
      <c r="F1558" s="119" t="s">
        <v>57</v>
      </c>
      <c r="G1558" s="27">
        <v>46083</v>
      </c>
      <c r="H1558" s="26" t="s">
        <v>7150</v>
      </c>
      <c r="I1558" s="113" t="s">
        <v>12400</v>
      </c>
      <c r="J1558" s="113" t="s">
        <v>12401</v>
      </c>
    </row>
    <row r="1559" spans="1:10" ht="20" customHeight="1" thickBot="1">
      <c r="A1559" s="28" t="s">
        <v>7153</v>
      </c>
      <c r="B1559" s="28" t="s">
        <v>7153</v>
      </c>
      <c r="C1559" s="28" t="s">
        <v>7154</v>
      </c>
      <c r="D1559" s="117">
        <v>9</v>
      </c>
      <c r="E1559" s="122" t="s">
        <v>33</v>
      </c>
      <c r="F1559" s="120" t="s">
        <v>57</v>
      </c>
      <c r="G1559" s="29">
        <v>44991</v>
      </c>
      <c r="H1559" s="28" t="s">
        <v>7155</v>
      </c>
      <c r="I1559" s="114" t="s">
        <v>12400</v>
      </c>
      <c r="J1559" s="114" t="s">
        <v>12401</v>
      </c>
    </row>
    <row r="1560" spans="1:10" ht="20" customHeight="1" thickBot="1">
      <c r="A1560" s="26" t="s">
        <v>7158</v>
      </c>
      <c r="B1560" s="26" t="s">
        <v>7158</v>
      </c>
      <c r="C1560" s="26" t="s">
        <v>7159</v>
      </c>
      <c r="D1560" s="116">
        <v>9</v>
      </c>
      <c r="E1560" s="122" t="s">
        <v>34</v>
      </c>
      <c r="F1560" s="119" t="s">
        <v>57</v>
      </c>
      <c r="G1560" s="27">
        <v>45698</v>
      </c>
      <c r="H1560" s="26" t="s">
        <v>7160</v>
      </c>
      <c r="I1560" s="113" t="s">
        <v>12400</v>
      </c>
      <c r="J1560" s="113" t="s">
        <v>12401</v>
      </c>
    </row>
    <row r="1561" spans="1:10" ht="20" customHeight="1" thickBot="1">
      <c r="A1561" s="28" t="s">
        <v>7163</v>
      </c>
      <c r="B1561" s="28" t="s">
        <v>7163</v>
      </c>
      <c r="C1561" s="28" t="s">
        <v>7164</v>
      </c>
      <c r="D1561" s="117">
        <v>9</v>
      </c>
      <c r="E1561" s="122" t="s">
        <v>34</v>
      </c>
      <c r="F1561" s="120" t="s">
        <v>57</v>
      </c>
      <c r="G1561" s="29">
        <v>44931</v>
      </c>
      <c r="H1561" s="28" t="s">
        <v>7165</v>
      </c>
      <c r="I1561" s="114" t="s">
        <v>12400</v>
      </c>
      <c r="J1561" s="114" t="s">
        <v>12401</v>
      </c>
    </row>
    <row r="1562" spans="1:10" ht="20" customHeight="1" thickBot="1">
      <c r="A1562" s="26" t="s">
        <v>7168</v>
      </c>
      <c r="B1562" s="26" t="s">
        <v>7168</v>
      </c>
      <c r="C1562" s="26" t="s">
        <v>7169</v>
      </c>
      <c r="D1562" s="116">
        <v>12</v>
      </c>
      <c r="E1562" s="122" t="s">
        <v>34</v>
      </c>
      <c r="F1562" s="119" t="s">
        <v>57</v>
      </c>
      <c r="G1562" s="27">
        <v>45749</v>
      </c>
      <c r="H1562" s="26" t="s">
        <v>7170</v>
      </c>
      <c r="I1562" s="113" t="s">
        <v>12400</v>
      </c>
      <c r="J1562" s="113" t="s">
        <v>12401</v>
      </c>
    </row>
    <row r="1563" spans="1:10" ht="20" customHeight="1" thickBot="1">
      <c r="A1563" s="28" t="s">
        <v>7173</v>
      </c>
      <c r="B1563" s="28" t="s">
        <v>7173</v>
      </c>
      <c r="C1563" s="28" t="s">
        <v>7174</v>
      </c>
      <c r="D1563" s="117">
        <v>24</v>
      </c>
      <c r="E1563" s="122" t="s">
        <v>29</v>
      </c>
      <c r="F1563" s="120" t="s">
        <v>63</v>
      </c>
      <c r="G1563" s="29">
        <v>41629</v>
      </c>
      <c r="H1563" s="28" t="s">
        <v>7175</v>
      </c>
      <c r="I1563" s="114" t="s">
        <v>12400</v>
      </c>
      <c r="J1563" s="114" t="s">
        <v>12401</v>
      </c>
    </row>
    <row r="1564" spans="1:10" ht="20" customHeight="1" thickBot="1">
      <c r="A1564" s="26" t="s">
        <v>7178</v>
      </c>
      <c r="B1564" s="26" t="s">
        <v>7178</v>
      </c>
      <c r="C1564" s="26" t="s">
        <v>812</v>
      </c>
      <c r="D1564" s="116">
        <v>10</v>
      </c>
      <c r="E1564" s="122" t="s">
        <v>34</v>
      </c>
      <c r="F1564" s="119" t="s">
        <v>57</v>
      </c>
      <c r="G1564" s="27">
        <v>45484</v>
      </c>
      <c r="H1564" s="26" t="s">
        <v>7179</v>
      </c>
      <c r="I1564" s="113" t="s">
        <v>12400</v>
      </c>
      <c r="J1564" s="113" t="s">
        <v>12401</v>
      </c>
    </row>
    <row r="1565" spans="1:10" ht="20" customHeight="1" thickBot="1">
      <c r="A1565" s="28" t="s">
        <v>7182</v>
      </c>
      <c r="B1565" s="28" t="s">
        <v>7182</v>
      </c>
      <c r="C1565" s="28" t="s">
        <v>2979</v>
      </c>
      <c r="D1565" s="117">
        <v>7</v>
      </c>
      <c r="E1565" s="122" t="s">
        <v>31</v>
      </c>
      <c r="F1565" s="120" t="s">
        <v>57</v>
      </c>
      <c r="G1565" s="29">
        <v>44409</v>
      </c>
      <c r="H1565" s="28" t="s">
        <v>7183</v>
      </c>
      <c r="I1565" s="114" t="s">
        <v>12400</v>
      </c>
      <c r="J1565" s="114" t="s">
        <v>12401</v>
      </c>
    </row>
    <row r="1566" spans="1:10" ht="20" customHeight="1" thickBot="1">
      <c r="A1566" s="26" t="s">
        <v>7186</v>
      </c>
      <c r="B1566" s="26" t="s">
        <v>7186</v>
      </c>
      <c r="C1566" s="26" t="s">
        <v>670</v>
      </c>
      <c r="D1566" s="116">
        <v>19</v>
      </c>
      <c r="E1566" s="122" t="s">
        <v>35</v>
      </c>
      <c r="F1566" s="119" t="s">
        <v>57</v>
      </c>
      <c r="G1566" s="27">
        <v>44933</v>
      </c>
      <c r="H1566" s="26" t="s">
        <v>7187</v>
      </c>
      <c r="I1566" s="113" t="s">
        <v>12400</v>
      </c>
      <c r="J1566" s="113" t="s">
        <v>12401</v>
      </c>
    </row>
    <row r="1567" spans="1:10" ht="20" customHeight="1" thickBot="1">
      <c r="A1567" s="28" t="s">
        <v>7190</v>
      </c>
      <c r="B1567" s="28" t="s">
        <v>7190</v>
      </c>
      <c r="C1567" s="28" t="s">
        <v>1473</v>
      </c>
      <c r="D1567" s="117">
        <v>11</v>
      </c>
      <c r="E1567" s="122" t="s">
        <v>33</v>
      </c>
      <c r="F1567" s="120" t="s">
        <v>57</v>
      </c>
      <c r="G1567" s="29">
        <v>44502</v>
      </c>
      <c r="H1567" s="28" t="s">
        <v>7191</v>
      </c>
      <c r="I1567" s="114" t="s">
        <v>12400</v>
      </c>
      <c r="J1567" s="114" t="s">
        <v>12401</v>
      </c>
    </row>
    <row r="1568" spans="1:10" ht="20" customHeight="1" thickBot="1">
      <c r="A1568" s="26" t="s">
        <v>7194</v>
      </c>
      <c r="B1568" s="26" t="s">
        <v>7194</v>
      </c>
      <c r="C1568" s="26" t="s">
        <v>447</v>
      </c>
      <c r="D1568" s="116">
        <v>5</v>
      </c>
      <c r="E1568" s="122" t="s">
        <v>35</v>
      </c>
      <c r="F1568" s="119" t="s">
        <v>57</v>
      </c>
      <c r="G1568" s="27">
        <v>45240</v>
      </c>
      <c r="H1568" s="26" t="s">
        <v>7195</v>
      </c>
      <c r="I1568" s="113" t="s">
        <v>12400</v>
      </c>
      <c r="J1568" s="113" t="s">
        <v>12401</v>
      </c>
    </row>
    <row r="1569" spans="1:10" ht="20" customHeight="1" thickBot="1">
      <c r="A1569" s="28" t="s">
        <v>7198</v>
      </c>
      <c r="B1569" s="28" t="s">
        <v>7198</v>
      </c>
      <c r="C1569" s="28" t="s">
        <v>7199</v>
      </c>
      <c r="D1569" s="117">
        <v>7</v>
      </c>
      <c r="E1569" s="122" t="s">
        <v>27</v>
      </c>
      <c r="F1569" s="120" t="s">
        <v>63</v>
      </c>
      <c r="G1569" s="29">
        <v>43305</v>
      </c>
      <c r="H1569" s="28" t="s">
        <v>7200</v>
      </c>
      <c r="I1569" s="114" t="s">
        <v>12400</v>
      </c>
      <c r="J1569" s="114" t="s">
        <v>12401</v>
      </c>
    </row>
    <row r="1570" spans="1:10" ht="20" customHeight="1" thickBot="1">
      <c r="A1570" s="26" t="s">
        <v>7203</v>
      </c>
      <c r="B1570" s="26" t="s">
        <v>7203</v>
      </c>
      <c r="C1570" s="26" t="s">
        <v>2072</v>
      </c>
      <c r="D1570" s="116">
        <v>30</v>
      </c>
      <c r="E1570" s="122" t="s">
        <v>33</v>
      </c>
      <c r="F1570" s="119" t="s">
        <v>63</v>
      </c>
      <c r="G1570" s="27">
        <v>45929</v>
      </c>
      <c r="H1570" s="26" t="s">
        <v>7204</v>
      </c>
      <c r="I1570" s="113" t="s">
        <v>12400</v>
      </c>
      <c r="J1570" s="113" t="s">
        <v>12401</v>
      </c>
    </row>
    <row r="1571" spans="1:10" ht="20" customHeight="1" thickBot="1">
      <c r="A1571" s="28" t="s">
        <v>7207</v>
      </c>
      <c r="B1571" s="28" t="s">
        <v>7207</v>
      </c>
      <c r="C1571" s="28" t="s">
        <v>7208</v>
      </c>
      <c r="D1571" s="117">
        <v>5</v>
      </c>
      <c r="E1571" s="122" t="s">
        <v>29</v>
      </c>
      <c r="F1571" s="120" t="s">
        <v>63</v>
      </c>
      <c r="G1571" s="29">
        <v>41527</v>
      </c>
      <c r="H1571" s="28" t="s">
        <v>7209</v>
      </c>
      <c r="I1571" s="114" t="s">
        <v>12400</v>
      </c>
      <c r="J1571" s="114" t="s">
        <v>12401</v>
      </c>
    </row>
    <row r="1572" spans="1:10" ht="20" customHeight="1" thickBot="1">
      <c r="A1572" s="26" t="s">
        <v>7212</v>
      </c>
      <c r="B1572" s="26" t="s">
        <v>7212</v>
      </c>
      <c r="C1572" s="26" t="s">
        <v>7213</v>
      </c>
      <c r="D1572" s="116">
        <v>6</v>
      </c>
      <c r="E1572" s="122" t="s">
        <v>29</v>
      </c>
      <c r="F1572" s="119" t="s">
        <v>63</v>
      </c>
      <c r="G1572" s="27">
        <v>42329</v>
      </c>
      <c r="H1572" s="26" t="s">
        <v>7214</v>
      </c>
      <c r="I1572" s="113" t="s">
        <v>12400</v>
      </c>
      <c r="J1572" s="113" t="s">
        <v>12401</v>
      </c>
    </row>
    <row r="1573" spans="1:10" ht="20" customHeight="1" thickBot="1">
      <c r="A1573" s="28" t="s">
        <v>7217</v>
      </c>
      <c r="B1573" s="28" t="s">
        <v>7217</v>
      </c>
      <c r="C1573" s="28" t="s">
        <v>7218</v>
      </c>
      <c r="D1573" s="117">
        <v>8</v>
      </c>
      <c r="E1573" s="122" t="s">
        <v>34</v>
      </c>
      <c r="F1573" s="120" t="s">
        <v>57</v>
      </c>
      <c r="G1573" s="29">
        <v>44211</v>
      </c>
      <c r="H1573" s="28" t="s">
        <v>7219</v>
      </c>
      <c r="I1573" s="114" t="s">
        <v>12400</v>
      </c>
      <c r="J1573" s="114" t="s">
        <v>12401</v>
      </c>
    </row>
    <row r="1574" spans="1:10" ht="20" customHeight="1" thickBot="1">
      <c r="A1574" s="26" t="s">
        <v>7222</v>
      </c>
      <c r="B1574" s="26" t="s">
        <v>7222</v>
      </c>
      <c r="C1574" s="26" t="s">
        <v>7218</v>
      </c>
      <c r="D1574" s="116">
        <v>20</v>
      </c>
      <c r="E1574" s="122" t="s">
        <v>34</v>
      </c>
      <c r="F1574" s="119" t="s">
        <v>57</v>
      </c>
      <c r="G1574" s="27">
        <v>44593</v>
      </c>
      <c r="H1574" s="26" t="s">
        <v>7223</v>
      </c>
      <c r="I1574" s="113" t="s">
        <v>12400</v>
      </c>
      <c r="J1574" s="113" t="s">
        <v>12401</v>
      </c>
    </row>
    <row r="1575" spans="1:10" ht="20" customHeight="1" thickBot="1">
      <c r="A1575" s="28" t="s">
        <v>7226</v>
      </c>
      <c r="B1575" s="28" t="s">
        <v>7226</v>
      </c>
      <c r="C1575" s="28" t="s">
        <v>3555</v>
      </c>
      <c r="D1575" s="117">
        <v>35</v>
      </c>
      <c r="E1575" s="122" t="s">
        <v>29</v>
      </c>
      <c r="F1575" s="120" t="s">
        <v>63</v>
      </c>
      <c r="G1575" s="29">
        <v>41609</v>
      </c>
      <c r="H1575" s="28" t="s">
        <v>7227</v>
      </c>
      <c r="I1575" s="114" t="s">
        <v>12400</v>
      </c>
      <c r="J1575" s="114" t="s">
        <v>12401</v>
      </c>
    </row>
    <row r="1576" spans="1:10" ht="20" customHeight="1" thickBot="1">
      <c r="A1576" s="26" t="s">
        <v>7230</v>
      </c>
      <c r="B1576" s="26" t="s">
        <v>7230</v>
      </c>
      <c r="C1576" s="26" t="s">
        <v>3555</v>
      </c>
      <c r="D1576" s="116">
        <v>46</v>
      </c>
      <c r="E1576" s="122" t="s">
        <v>31</v>
      </c>
      <c r="F1576" s="119" t="s">
        <v>63</v>
      </c>
      <c r="G1576" s="27">
        <v>44862</v>
      </c>
      <c r="H1576" s="26" t="s">
        <v>7231</v>
      </c>
      <c r="I1576" s="113" t="s">
        <v>12400</v>
      </c>
      <c r="J1576" s="113" t="s">
        <v>12401</v>
      </c>
    </row>
    <row r="1577" spans="1:10" ht="20" customHeight="1" thickBot="1">
      <c r="A1577" s="28" t="s">
        <v>7234</v>
      </c>
      <c r="B1577" s="28" t="s">
        <v>7234</v>
      </c>
      <c r="C1577" s="28" t="s">
        <v>3555</v>
      </c>
      <c r="D1577" s="117">
        <v>68</v>
      </c>
      <c r="E1577" s="122" t="s">
        <v>31</v>
      </c>
      <c r="F1577" s="120" t="s">
        <v>63</v>
      </c>
      <c r="G1577" s="29">
        <v>44236</v>
      </c>
      <c r="H1577" s="28" t="s">
        <v>7235</v>
      </c>
      <c r="I1577" s="114" t="s">
        <v>12400</v>
      </c>
      <c r="J1577" s="114" t="s">
        <v>12401</v>
      </c>
    </row>
    <row r="1578" spans="1:10" ht="20" customHeight="1" thickBot="1">
      <c r="A1578" s="26" t="s">
        <v>7238</v>
      </c>
      <c r="B1578" s="26" t="s">
        <v>7238</v>
      </c>
      <c r="C1578" s="26" t="s">
        <v>7239</v>
      </c>
      <c r="D1578" s="116">
        <v>17</v>
      </c>
      <c r="E1578" s="122" t="s">
        <v>34</v>
      </c>
      <c r="F1578" s="119" t="s">
        <v>57</v>
      </c>
      <c r="G1578" s="27">
        <v>44643</v>
      </c>
      <c r="H1578" s="26" t="s">
        <v>7240</v>
      </c>
      <c r="I1578" s="113" t="s">
        <v>12400</v>
      </c>
      <c r="J1578" s="113" t="s">
        <v>12401</v>
      </c>
    </row>
    <row r="1579" spans="1:10" ht="20" customHeight="1" thickBot="1">
      <c r="A1579" s="28" t="s">
        <v>7243</v>
      </c>
      <c r="B1579" s="28" t="s">
        <v>7243</v>
      </c>
      <c r="C1579" s="28" t="s">
        <v>646</v>
      </c>
      <c r="D1579" s="117">
        <v>6</v>
      </c>
      <c r="E1579" s="122" t="s">
        <v>34</v>
      </c>
      <c r="F1579" s="120" t="s">
        <v>57</v>
      </c>
      <c r="G1579" s="29">
        <v>45597</v>
      </c>
      <c r="H1579" s="28" t="s">
        <v>7244</v>
      </c>
      <c r="I1579" s="114" t="s">
        <v>12400</v>
      </c>
      <c r="J1579" s="114" t="s">
        <v>12401</v>
      </c>
    </row>
    <row r="1580" spans="1:10" ht="20" customHeight="1" thickBot="1">
      <c r="A1580" s="26" t="s">
        <v>7247</v>
      </c>
      <c r="B1580" s="26" t="s">
        <v>7247</v>
      </c>
      <c r="C1580" s="26" t="s">
        <v>2359</v>
      </c>
      <c r="D1580" s="116">
        <v>20</v>
      </c>
      <c r="E1580" s="122" t="s">
        <v>34</v>
      </c>
      <c r="F1580" s="119" t="s">
        <v>57</v>
      </c>
      <c r="G1580" s="27">
        <v>44354</v>
      </c>
      <c r="H1580" s="26" t="s">
        <v>7248</v>
      </c>
      <c r="I1580" s="113" t="s">
        <v>12400</v>
      </c>
      <c r="J1580" s="113" t="s">
        <v>12401</v>
      </c>
    </row>
    <row r="1581" spans="1:10" ht="20" customHeight="1" thickBot="1">
      <c r="A1581" s="28" t="s">
        <v>7251</v>
      </c>
      <c r="B1581" s="28" t="s">
        <v>7251</v>
      </c>
      <c r="C1581" s="28" t="s">
        <v>3473</v>
      </c>
      <c r="D1581" s="117">
        <v>7</v>
      </c>
      <c r="E1581" s="122" t="s">
        <v>29</v>
      </c>
      <c r="F1581" s="120" t="s">
        <v>63</v>
      </c>
      <c r="G1581" s="29">
        <v>44782</v>
      </c>
      <c r="H1581" s="28" t="s">
        <v>7252</v>
      </c>
      <c r="I1581" s="114" t="s">
        <v>12400</v>
      </c>
      <c r="J1581" s="114" t="s">
        <v>12401</v>
      </c>
    </row>
    <row r="1582" spans="1:10" ht="20" customHeight="1" thickBot="1">
      <c r="A1582" s="26" t="s">
        <v>7255</v>
      </c>
      <c r="B1582" s="26" t="s">
        <v>7255</v>
      </c>
      <c r="C1582" s="26" t="s">
        <v>7256</v>
      </c>
      <c r="D1582" s="116">
        <v>26</v>
      </c>
      <c r="E1582" s="122" t="s">
        <v>35</v>
      </c>
      <c r="F1582" s="119" t="s">
        <v>57</v>
      </c>
      <c r="G1582" s="27">
        <v>45613</v>
      </c>
      <c r="H1582" s="26" t="s">
        <v>7257</v>
      </c>
      <c r="I1582" s="113" t="s">
        <v>12400</v>
      </c>
      <c r="J1582" s="113" t="s">
        <v>12401</v>
      </c>
    </row>
    <row r="1583" spans="1:10" ht="20" customHeight="1" thickBot="1">
      <c r="A1583" s="28" t="s">
        <v>7260</v>
      </c>
      <c r="B1583" s="28" t="s">
        <v>7260</v>
      </c>
      <c r="C1583" s="28" t="s">
        <v>3716</v>
      </c>
      <c r="D1583" s="117">
        <v>11</v>
      </c>
      <c r="E1583" s="122" t="s">
        <v>35</v>
      </c>
      <c r="F1583" s="120" t="s">
        <v>57</v>
      </c>
      <c r="G1583" s="29">
        <v>45449</v>
      </c>
      <c r="H1583" s="28" t="s">
        <v>7261</v>
      </c>
      <c r="I1583" s="114" t="s">
        <v>12400</v>
      </c>
      <c r="J1583" s="114" t="s">
        <v>12401</v>
      </c>
    </row>
    <row r="1584" spans="1:10" ht="20" customHeight="1" thickBot="1">
      <c r="A1584" s="26" t="s">
        <v>7264</v>
      </c>
      <c r="B1584" s="26" t="s">
        <v>7264</v>
      </c>
      <c r="C1584" s="26" t="s">
        <v>4665</v>
      </c>
      <c r="D1584" s="116">
        <v>11</v>
      </c>
      <c r="E1584" s="122" t="s">
        <v>33</v>
      </c>
      <c r="F1584" s="119" t="s">
        <v>63</v>
      </c>
      <c r="G1584" s="27">
        <v>46072</v>
      </c>
      <c r="H1584" s="26" t="s">
        <v>7265</v>
      </c>
      <c r="I1584" s="113" t="s">
        <v>12400</v>
      </c>
      <c r="J1584" s="113" t="s">
        <v>12401</v>
      </c>
    </row>
    <row r="1585" spans="1:10" ht="20" customHeight="1" thickBot="1">
      <c r="A1585" s="28" t="s">
        <v>7268</v>
      </c>
      <c r="B1585" s="28" t="s">
        <v>7268</v>
      </c>
      <c r="C1585" s="28" t="s">
        <v>1369</v>
      </c>
      <c r="D1585" s="117">
        <v>11</v>
      </c>
      <c r="E1585" s="122" t="s">
        <v>31</v>
      </c>
      <c r="F1585" s="120" t="s">
        <v>57</v>
      </c>
      <c r="G1585" s="29">
        <v>46215</v>
      </c>
      <c r="H1585" s="28" t="s">
        <v>7269</v>
      </c>
      <c r="I1585" s="114" t="s">
        <v>12400</v>
      </c>
      <c r="J1585" s="114" t="s">
        <v>12401</v>
      </c>
    </row>
    <row r="1586" spans="1:10" ht="20" customHeight="1" thickBot="1">
      <c r="A1586" s="26" t="s">
        <v>7272</v>
      </c>
      <c r="B1586" s="26" t="s">
        <v>7272</v>
      </c>
      <c r="C1586" s="26" t="s">
        <v>3592</v>
      </c>
      <c r="D1586" s="116">
        <v>1</v>
      </c>
      <c r="E1586" s="122" t="s">
        <v>34</v>
      </c>
      <c r="F1586" s="119" t="s">
        <v>57</v>
      </c>
      <c r="G1586" s="27">
        <v>44146</v>
      </c>
      <c r="H1586" s="26" t="s">
        <v>7273</v>
      </c>
      <c r="I1586" s="113" t="s">
        <v>12400</v>
      </c>
      <c r="J1586" s="113" t="s">
        <v>12401</v>
      </c>
    </row>
    <row r="1587" spans="1:10" ht="20" customHeight="1" thickBot="1">
      <c r="A1587" s="28" t="s">
        <v>7276</v>
      </c>
      <c r="B1587" s="28" t="s">
        <v>7276</v>
      </c>
      <c r="C1587" s="28" t="s">
        <v>6670</v>
      </c>
      <c r="D1587" s="117">
        <v>0</v>
      </c>
      <c r="E1587" s="122" t="s">
        <v>31</v>
      </c>
      <c r="F1587" s="120" t="s">
        <v>63</v>
      </c>
      <c r="G1587" s="29">
        <v>45146</v>
      </c>
      <c r="H1587" s="28" t="s">
        <v>7277</v>
      </c>
      <c r="I1587" s="114" t="s">
        <v>12400</v>
      </c>
      <c r="J1587" s="114" t="s">
        <v>12401</v>
      </c>
    </row>
    <row r="1588" spans="1:10" ht="20" customHeight="1" thickBot="1">
      <c r="A1588" s="26" t="s">
        <v>7280</v>
      </c>
      <c r="B1588" s="26" t="s">
        <v>7280</v>
      </c>
      <c r="C1588" s="26" t="s">
        <v>7281</v>
      </c>
      <c r="D1588" s="116">
        <v>1</v>
      </c>
      <c r="E1588" s="122" t="s">
        <v>34</v>
      </c>
      <c r="F1588" s="119" t="s">
        <v>57</v>
      </c>
      <c r="G1588" s="27">
        <v>44474</v>
      </c>
      <c r="H1588" s="26" t="s">
        <v>7282</v>
      </c>
      <c r="I1588" s="113" t="s">
        <v>12400</v>
      </c>
      <c r="J1588" s="113" t="s">
        <v>12401</v>
      </c>
    </row>
    <row r="1589" spans="1:10" ht="20" customHeight="1" thickBot="1">
      <c r="A1589" s="28" t="s">
        <v>7285</v>
      </c>
      <c r="B1589" s="28" t="s">
        <v>7285</v>
      </c>
      <c r="C1589" s="28" t="s">
        <v>1932</v>
      </c>
      <c r="D1589" s="117">
        <v>9</v>
      </c>
      <c r="E1589" s="122" t="s">
        <v>31</v>
      </c>
      <c r="F1589" s="120" t="s">
        <v>571</v>
      </c>
      <c r="G1589" s="29">
        <v>44854</v>
      </c>
      <c r="H1589" s="28" t="s">
        <v>7286</v>
      </c>
      <c r="I1589" s="114" t="s">
        <v>12400</v>
      </c>
      <c r="J1589" s="114" t="s">
        <v>12401</v>
      </c>
    </row>
    <row r="1590" spans="1:10" ht="20" customHeight="1" thickBot="1">
      <c r="A1590" s="26" t="s">
        <v>7289</v>
      </c>
      <c r="B1590" s="26" t="s">
        <v>7289</v>
      </c>
      <c r="C1590" s="26" t="s">
        <v>7290</v>
      </c>
      <c r="D1590" s="116">
        <v>622</v>
      </c>
      <c r="E1590" s="122" t="s">
        <v>33</v>
      </c>
      <c r="F1590" s="119" t="s">
        <v>63</v>
      </c>
      <c r="G1590" s="27">
        <v>45328</v>
      </c>
      <c r="H1590" s="26" t="s">
        <v>7291</v>
      </c>
      <c r="I1590" s="113" t="s">
        <v>12400</v>
      </c>
      <c r="J1590" s="113" t="s">
        <v>12401</v>
      </c>
    </row>
    <row r="1591" spans="1:10" ht="20" customHeight="1" thickBot="1">
      <c r="A1591" s="28" t="s">
        <v>7294</v>
      </c>
      <c r="B1591" s="28" t="s">
        <v>7294</v>
      </c>
      <c r="C1591" s="28" t="s">
        <v>7295</v>
      </c>
      <c r="D1591" s="117">
        <v>9</v>
      </c>
      <c r="E1591" s="122" t="s">
        <v>33</v>
      </c>
      <c r="F1591" s="120" t="s">
        <v>57</v>
      </c>
      <c r="G1591" s="29">
        <v>45353</v>
      </c>
      <c r="H1591" s="28" t="s">
        <v>7296</v>
      </c>
      <c r="I1591" s="114" t="s">
        <v>12400</v>
      </c>
      <c r="J1591" s="114" t="s">
        <v>12401</v>
      </c>
    </row>
    <row r="1592" spans="1:10" ht="20" customHeight="1" thickBot="1">
      <c r="A1592" s="26" t="s">
        <v>7299</v>
      </c>
      <c r="B1592" s="26" t="s">
        <v>7299</v>
      </c>
      <c r="C1592" s="26" t="s">
        <v>4080</v>
      </c>
      <c r="D1592" s="116">
        <v>15</v>
      </c>
      <c r="E1592" s="122" t="s">
        <v>33</v>
      </c>
      <c r="F1592" s="119" t="s">
        <v>57</v>
      </c>
      <c r="G1592" s="27">
        <v>44511</v>
      </c>
      <c r="H1592" s="26" t="s">
        <v>7300</v>
      </c>
      <c r="I1592" s="113" t="s">
        <v>12400</v>
      </c>
      <c r="J1592" s="113" t="s">
        <v>12401</v>
      </c>
    </row>
    <row r="1593" spans="1:10" ht="20" customHeight="1" thickBot="1">
      <c r="A1593" s="28" t="s">
        <v>7303</v>
      </c>
      <c r="B1593" s="28" t="s">
        <v>7303</v>
      </c>
      <c r="C1593" s="28" t="s">
        <v>7304</v>
      </c>
      <c r="D1593" s="117">
        <v>6</v>
      </c>
      <c r="E1593" s="122" t="s">
        <v>34</v>
      </c>
      <c r="F1593" s="120" t="s">
        <v>57</v>
      </c>
      <c r="G1593" s="29">
        <v>45159</v>
      </c>
      <c r="H1593" s="28" t="s">
        <v>7305</v>
      </c>
      <c r="I1593" s="114" t="s">
        <v>12400</v>
      </c>
      <c r="J1593" s="114" t="s">
        <v>12401</v>
      </c>
    </row>
    <row r="1594" spans="1:10" ht="20" customHeight="1" thickBot="1">
      <c r="A1594" s="26" t="s">
        <v>7308</v>
      </c>
      <c r="B1594" s="26" t="s">
        <v>7308</v>
      </c>
      <c r="C1594" s="26" t="s">
        <v>4665</v>
      </c>
      <c r="D1594" s="116">
        <v>9</v>
      </c>
      <c r="E1594" s="122" t="s">
        <v>33</v>
      </c>
      <c r="F1594" s="119" t="s">
        <v>63</v>
      </c>
      <c r="G1594" s="27">
        <v>43835</v>
      </c>
      <c r="H1594" s="26" t="s">
        <v>7309</v>
      </c>
      <c r="I1594" s="113" t="s">
        <v>12400</v>
      </c>
      <c r="J1594" s="113" t="s">
        <v>12401</v>
      </c>
    </row>
    <row r="1595" spans="1:10" ht="20" customHeight="1" thickBot="1">
      <c r="A1595" s="28" t="s">
        <v>7312</v>
      </c>
      <c r="B1595" s="28" t="s">
        <v>7312</v>
      </c>
      <c r="C1595" s="28" t="s">
        <v>3054</v>
      </c>
      <c r="D1595" s="117">
        <v>13</v>
      </c>
      <c r="E1595" s="122" t="s">
        <v>33</v>
      </c>
      <c r="F1595" s="120" t="s">
        <v>57</v>
      </c>
      <c r="G1595" s="29">
        <v>44445</v>
      </c>
      <c r="H1595" s="28" t="s">
        <v>7313</v>
      </c>
      <c r="I1595" s="114" t="s">
        <v>12400</v>
      </c>
      <c r="J1595" s="114" t="s">
        <v>12401</v>
      </c>
    </row>
    <row r="1596" spans="1:10" ht="20" customHeight="1" thickBot="1">
      <c r="A1596" s="26" t="s">
        <v>7316</v>
      </c>
      <c r="B1596" s="26" t="s">
        <v>7316</v>
      </c>
      <c r="C1596" s="26" t="s">
        <v>1434</v>
      </c>
      <c r="D1596" s="116">
        <v>7</v>
      </c>
      <c r="E1596" s="122" t="s">
        <v>31</v>
      </c>
      <c r="F1596" s="119" t="s">
        <v>115</v>
      </c>
      <c r="G1596" s="27">
        <v>46212</v>
      </c>
      <c r="H1596" s="26" t="s">
        <v>7317</v>
      </c>
      <c r="I1596" s="113" t="s">
        <v>12400</v>
      </c>
      <c r="J1596" s="113" t="s">
        <v>12401</v>
      </c>
    </row>
    <row r="1597" spans="1:10" ht="20" customHeight="1" thickBot="1">
      <c r="A1597" s="28" t="s">
        <v>7320</v>
      </c>
      <c r="B1597" s="28" t="s">
        <v>7320</v>
      </c>
      <c r="C1597" s="28" t="s">
        <v>1434</v>
      </c>
      <c r="D1597" s="117">
        <v>28</v>
      </c>
      <c r="E1597" s="122" t="s">
        <v>31</v>
      </c>
      <c r="F1597" s="120" t="s">
        <v>57</v>
      </c>
      <c r="G1597" s="29">
        <v>46219</v>
      </c>
      <c r="H1597" s="28" t="s">
        <v>7321</v>
      </c>
      <c r="I1597" s="114" t="s">
        <v>12400</v>
      </c>
      <c r="J1597" s="114" t="s">
        <v>12401</v>
      </c>
    </row>
    <row r="1598" spans="1:10" ht="20" customHeight="1" thickBot="1">
      <c r="A1598" s="26" t="s">
        <v>7324</v>
      </c>
      <c r="B1598" s="26" t="s">
        <v>7324</v>
      </c>
      <c r="C1598" s="26" t="s">
        <v>1434</v>
      </c>
      <c r="D1598" s="116">
        <v>28</v>
      </c>
      <c r="E1598" s="122" t="s">
        <v>33</v>
      </c>
      <c r="F1598" s="119" t="s">
        <v>57</v>
      </c>
      <c r="G1598" s="27">
        <v>45374</v>
      </c>
      <c r="H1598" s="26" t="s">
        <v>7325</v>
      </c>
      <c r="I1598" s="113" t="s">
        <v>12400</v>
      </c>
      <c r="J1598" s="113" t="s">
        <v>12401</v>
      </c>
    </row>
    <row r="1599" spans="1:10" ht="20" customHeight="1" thickBot="1">
      <c r="A1599" s="28" t="s">
        <v>7328</v>
      </c>
      <c r="B1599" s="28" t="s">
        <v>7328</v>
      </c>
      <c r="C1599" s="28" t="s">
        <v>1745</v>
      </c>
      <c r="D1599" s="117">
        <v>7</v>
      </c>
      <c r="E1599" s="122" t="s">
        <v>34</v>
      </c>
      <c r="F1599" s="120" t="s">
        <v>57</v>
      </c>
      <c r="G1599" s="29">
        <v>44585</v>
      </c>
      <c r="H1599" s="28" t="s">
        <v>7329</v>
      </c>
      <c r="I1599" s="114" t="s">
        <v>12400</v>
      </c>
      <c r="J1599" s="114" t="s">
        <v>12401</v>
      </c>
    </row>
    <row r="1600" spans="1:10" ht="20" customHeight="1" thickBot="1">
      <c r="A1600" s="26" t="s">
        <v>7332</v>
      </c>
      <c r="B1600" s="26" t="s">
        <v>7332</v>
      </c>
      <c r="C1600" s="26" t="s">
        <v>4182</v>
      </c>
      <c r="D1600" s="116">
        <v>42</v>
      </c>
      <c r="E1600" s="122" t="s">
        <v>29</v>
      </c>
      <c r="F1600" s="119" t="s">
        <v>63</v>
      </c>
      <c r="G1600" s="27">
        <v>42213</v>
      </c>
      <c r="H1600" s="26" t="s">
        <v>7333</v>
      </c>
      <c r="I1600" s="113" t="s">
        <v>12400</v>
      </c>
      <c r="J1600" s="113" t="s">
        <v>12401</v>
      </c>
    </row>
    <row r="1601" spans="1:10" ht="20" customHeight="1" thickBot="1">
      <c r="A1601" s="28" t="s">
        <v>7336</v>
      </c>
      <c r="B1601" s="28" t="s">
        <v>7336</v>
      </c>
      <c r="C1601" s="28" t="s">
        <v>5362</v>
      </c>
      <c r="D1601" s="117">
        <v>4</v>
      </c>
      <c r="E1601" s="122" t="s">
        <v>27</v>
      </c>
      <c r="F1601" s="120" t="s">
        <v>63</v>
      </c>
      <c r="G1601" s="29">
        <v>42279</v>
      </c>
      <c r="H1601" s="28" t="s">
        <v>7337</v>
      </c>
      <c r="I1601" s="114" t="s">
        <v>12400</v>
      </c>
      <c r="J1601" s="114" t="s">
        <v>12401</v>
      </c>
    </row>
    <row r="1602" spans="1:10" ht="20" customHeight="1" thickBot="1">
      <c r="A1602" s="26" t="s">
        <v>7340</v>
      </c>
      <c r="B1602" s="26" t="s">
        <v>7340</v>
      </c>
      <c r="C1602" s="26" t="s">
        <v>4920</v>
      </c>
      <c r="D1602" s="116">
        <v>15</v>
      </c>
      <c r="E1602" s="122" t="s">
        <v>29</v>
      </c>
      <c r="F1602" s="119" t="s">
        <v>63</v>
      </c>
      <c r="G1602" s="27">
        <v>44303</v>
      </c>
      <c r="H1602" s="26" t="s">
        <v>7341</v>
      </c>
      <c r="I1602" s="113" t="s">
        <v>12400</v>
      </c>
      <c r="J1602" s="113" t="s">
        <v>12401</v>
      </c>
    </row>
    <row r="1603" spans="1:10" ht="20" customHeight="1" thickBot="1">
      <c r="A1603" s="28" t="s">
        <v>7344</v>
      </c>
      <c r="B1603" s="28" t="s">
        <v>7344</v>
      </c>
      <c r="C1603" s="28" t="s">
        <v>7345</v>
      </c>
      <c r="D1603" s="117">
        <v>20</v>
      </c>
      <c r="E1603" s="122" t="s">
        <v>27</v>
      </c>
      <c r="F1603" s="120" t="s">
        <v>63</v>
      </c>
      <c r="G1603" s="29">
        <v>44907</v>
      </c>
      <c r="H1603" s="28" t="s">
        <v>7346</v>
      </c>
      <c r="I1603" s="114" t="s">
        <v>12400</v>
      </c>
      <c r="J1603" s="114" t="s">
        <v>12401</v>
      </c>
    </row>
    <row r="1604" spans="1:10" ht="20" customHeight="1" thickBot="1">
      <c r="A1604" s="26" t="s">
        <v>7349</v>
      </c>
      <c r="B1604" s="26" t="s">
        <v>7349</v>
      </c>
      <c r="C1604" s="26" t="s">
        <v>1714</v>
      </c>
      <c r="D1604" s="116">
        <v>118</v>
      </c>
      <c r="E1604" s="122" t="s">
        <v>31</v>
      </c>
      <c r="F1604" s="119" t="s">
        <v>63</v>
      </c>
      <c r="G1604" s="27">
        <v>46023</v>
      </c>
      <c r="H1604" s="26" t="s">
        <v>7350</v>
      </c>
      <c r="I1604" s="113" t="s">
        <v>12400</v>
      </c>
      <c r="J1604" s="113" t="s">
        <v>12401</v>
      </c>
    </row>
    <row r="1605" spans="1:10" ht="20" customHeight="1" thickBot="1">
      <c r="A1605" s="28" t="s">
        <v>7353</v>
      </c>
      <c r="B1605" s="28" t="s">
        <v>7353</v>
      </c>
      <c r="C1605" s="28" t="s">
        <v>514</v>
      </c>
      <c r="D1605" s="117">
        <v>14</v>
      </c>
      <c r="E1605" s="122" t="s">
        <v>29</v>
      </c>
      <c r="F1605" s="120" t="s">
        <v>63</v>
      </c>
      <c r="G1605" s="29">
        <v>43429</v>
      </c>
      <c r="H1605" s="28" t="s">
        <v>7354</v>
      </c>
      <c r="I1605" s="114" t="s">
        <v>12400</v>
      </c>
      <c r="J1605" s="114" t="s">
        <v>12401</v>
      </c>
    </row>
    <row r="1606" spans="1:10" ht="20" customHeight="1" thickBot="1">
      <c r="A1606" s="26" t="s">
        <v>7357</v>
      </c>
      <c r="B1606" s="26" t="s">
        <v>7357</v>
      </c>
      <c r="C1606" s="26" t="s">
        <v>7358</v>
      </c>
      <c r="D1606" s="116">
        <v>12</v>
      </c>
      <c r="E1606" s="122" t="s">
        <v>27</v>
      </c>
      <c r="F1606" s="119" t="s">
        <v>63</v>
      </c>
      <c r="G1606" s="27">
        <v>41959</v>
      </c>
      <c r="H1606" s="26" t="s">
        <v>7359</v>
      </c>
      <c r="I1606" s="113" t="s">
        <v>12400</v>
      </c>
      <c r="J1606" s="113" t="s">
        <v>12401</v>
      </c>
    </row>
    <row r="1607" spans="1:10" ht="20" customHeight="1" thickBot="1">
      <c r="A1607" s="28" t="s">
        <v>7362</v>
      </c>
      <c r="B1607" s="28" t="s">
        <v>7362</v>
      </c>
      <c r="C1607" s="28" t="s">
        <v>7363</v>
      </c>
      <c r="D1607" s="117">
        <v>21</v>
      </c>
      <c r="E1607" s="122" t="s">
        <v>29</v>
      </c>
      <c r="F1607" s="120" t="s">
        <v>63</v>
      </c>
      <c r="G1607" s="29">
        <v>42185</v>
      </c>
      <c r="H1607" s="28" t="s">
        <v>7364</v>
      </c>
      <c r="I1607" s="114" t="s">
        <v>12400</v>
      </c>
      <c r="J1607" s="114" t="s">
        <v>12401</v>
      </c>
    </row>
    <row r="1608" spans="1:10" ht="20" customHeight="1" thickBot="1">
      <c r="A1608" s="26" t="s">
        <v>7367</v>
      </c>
      <c r="B1608" s="26" t="s">
        <v>7367</v>
      </c>
      <c r="C1608" s="26" t="s">
        <v>5857</v>
      </c>
      <c r="D1608" s="116">
        <v>64</v>
      </c>
      <c r="E1608" s="122" t="s">
        <v>31</v>
      </c>
      <c r="F1608" s="119" t="s">
        <v>63</v>
      </c>
      <c r="G1608" s="27">
        <v>44775</v>
      </c>
      <c r="H1608" s="26" t="s">
        <v>7368</v>
      </c>
      <c r="I1608" s="113" t="s">
        <v>12400</v>
      </c>
      <c r="J1608" s="113" t="s">
        <v>12401</v>
      </c>
    </row>
    <row r="1609" spans="1:10" ht="20" customHeight="1" thickBot="1">
      <c r="A1609" s="28" t="s">
        <v>7371</v>
      </c>
      <c r="B1609" s="28" t="s">
        <v>7371</v>
      </c>
      <c r="C1609" s="28" t="s">
        <v>7372</v>
      </c>
      <c r="D1609" s="117">
        <v>20</v>
      </c>
      <c r="E1609" s="122" t="s">
        <v>33</v>
      </c>
      <c r="F1609" s="120" t="s">
        <v>63</v>
      </c>
      <c r="G1609" s="29">
        <v>42195</v>
      </c>
      <c r="H1609" s="28" t="s">
        <v>7373</v>
      </c>
      <c r="I1609" s="114" t="s">
        <v>12400</v>
      </c>
      <c r="J1609" s="114" t="s">
        <v>12401</v>
      </c>
    </row>
    <row r="1610" spans="1:10" ht="20" customHeight="1" thickBot="1">
      <c r="A1610" s="26" t="s">
        <v>7376</v>
      </c>
      <c r="B1610" s="26" t="s">
        <v>7376</v>
      </c>
      <c r="C1610" s="26" t="s">
        <v>1714</v>
      </c>
      <c r="D1610" s="116">
        <v>98</v>
      </c>
      <c r="E1610" s="122" t="s">
        <v>31</v>
      </c>
      <c r="F1610" s="119" t="s">
        <v>63</v>
      </c>
      <c r="G1610" s="27">
        <v>44606</v>
      </c>
      <c r="H1610" s="26" t="s">
        <v>7377</v>
      </c>
      <c r="I1610" s="113" t="s">
        <v>12400</v>
      </c>
      <c r="J1610" s="113" t="s">
        <v>12401</v>
      </c>
    </row>
    <row r="1611" spans="1:10" ht="20" customHeight="1" thickBot="1">
      <c r="A1611" s="28" t="s">
        <v>7380</v>
      </c>
      <c r="B1611" s="28" t="s">
        <v>7380</v>
      </c>
      <c r="C1611" s="28" t="s">
        <v>6670</v>
      </c>
      <c r="D1611" s="117">
        <v>96</v>
      </c>
      <c r="E1611" s="122" t="s">
        <v>29</v>
      </c>
      <c r="F1611" s="120" t="s">
        <v>63</v>
      </c>
      <c r="G1611" s="29">
        <v>44522</v>
      </c>
      <c r="H1611" s="28" t="s">
        <v>7381</v>
      </c>
      <c r="I1611" s="114" t="s">
        <v>12400</v>
      </c>
      <c r="J1611" s="114" t="s">
        <v>12401</v>
      </c>
    </row>
    <row r="1612" spans="1:10" ht="20" customHeight="1" thickBot="1">
      <c r="A1612" s="26" t="s">
        <v>7384</v>
      </c>
      <c r="B1612" s="26" t="s">
        <v>7384</v>
      </c>
      <c r="C1612" s="26" t="s">
        <v>7385</v>
      </c>
      <c r="D1612" s="116">
        <v>55</v>
      </c>
      <c r="E1612" s="122" t="s">
        <v>31</v>
      </c>
      <c r="F1612" s="119" t="s">
        <v>63</v>
      </c>
      <c r="G1612" s="27">
        <v>42213</v>
      </c>
      <c r="H1612" s="26" t="s">
        <v>7386</v>
      </c>
      <c r="I1612" s="113" t="s">
        <v>12400</v>
      </c>
      <c r="J1612" s="113" t="s">
        <v>12401</v>
      </c>
    </row>
    <row r="1613" spans="1:10" ht="20" customHeight="1" thickBot="1">
      <c r="A1613" s="28" t="s">
        <v>7389</v>
      </c>
      <c r="B1613" s="28" t="s">
        <v>7389</v>
      </c>
      <c r="C1613" s="28" t="s">
        <v>7385</v>
      </c>
      <c r="D1613" s="117">
        <v>73</v>
      </c>
      <c r="E1613" s="122" t="s">
        <v>29</v>
      </c>
      <c r="F1613" s="120" t="s">
        <v>63</v>
      </c>
      <c r="G1613" s="29">
        <v>41465</v>
      </c>
      <c r="H1613" s="28" t="s">
        <v>7390</v>
      </c>
      <c r="I1613" s="114" t="s">
        <v>12400</v>
      </c>
      <c r="J1613" s="114" t="s">
        <v>12401</v>
      </c>
    </row>
    <row r="1614" spans="1:10" ht="20" customHeight="1" thickBot="1">
      <c r="A1614" s="26" t="s">
        <v>7393</v>
      </c>
      <c r="B1614" s="26" t="s">
        <v>7393</v>
      </c>
      <c r="C1614" s="26" t="s">
        <v>7394</v>
      </c>
      <c r="D1614" s="116">
        <v>48</v>
      </c>
      <c r="E1614" s="122" t="s">
        <v>29</v>
      </c>
      <c r="F1614" s="119" t="s">
        <v>63</v>
      </c>
      <c r="G1614" s="27">
        <v>42211</v>
      </c>
      <c r="H1614" s="26" t="s">
        <v>7395</v>
      </c>
      <c r="I1614" s="113" t="s">
        <v>12400</v>
      </c>
      <c r="J1614" s="113" t="s">
        <v>12401</v>
      </c>
    </row>
    <row r="1615" spans="1:10" ht="20" customHeight="1" thickBot="1">
      <c r="A1615" s="28" t="s">
        <v>7398</v>
      </c>
      <c r="B1615" s="28" t="s">
        <v>7398</v>
      </c>
      <c r="C1615" s="28" t="s">
        <v>2269</v>
      </c>
      <c r="D1615" s="117">
        <v>12</v>
      </c>
      <c r="E1615" s="122" t="s">
        <v>34</v>
      </c>
      <c r="F1615" s="120" t="s">
        <v>571</v>
      </c>
      <c r="G1615" s="29">
        <v>43567</v>
      </c>
      <c r="H1615" s="28" t="s">
        <v>7399</v>
      </c>
      <c r="I1615" s="114" t="s">
        <v>12400</v>
      </c>
      <c r="J1615" s="114" t="s">
        <v>12401</v>
      </c>
    </row>
    <row r="1616" spans="1:10" ht="20" customHeight="1" thickBot="1">
      <c r="A1616" s="26" t="s">
        <v>7402</v>
      </c>
      <c r="B1616" s="26" t="s">
        <v>7402</v>
      </c>
      <c r="C1616" s="26" t="s">
        <v>2269</v>
      </c>
      <c r="D1616" s="116">
        <v>3</v>
      </c>
      <c r="E1616" s="122" t="s">
        <v>34</v>
      </c>
      <c r="F1616" s="119" t="s">
        <v>571</v>
      </c>
      <c r="G1616" s="27">
        <v>43948</v>
      </c>
      <c r="H1616" s="26" t="s">
        <v>7403</v>
      </c>
      <c r="I1616" s="113" t="s">
        <v>12400</v>
      </c>
      <c r="J1616" s="113" t="s">
        <v>12401</v>
      </c>
    </row>
    <row r="1617" spans="1:10" ht="20" customHeight="1" thickBot="1">
      <c r="A1617" s="28" t="s">
        <v>7406</v>
      </c>
      <c r="B1617" s="28" t="s">
        <v>7406</v>
      </c>
      <c r="C1617" s="28" t="s">
        <v>4182</v>
      </c>
      <c r="D1617" s="117">
        <v>16</v>
      </c>
      <c r="E1617" s="122" t="s">
        <v>31</v>
      </c>
      <c r="F1617" s="120" t="s">
        <v>63</v>
      </c>
      <c r="G1617" s="29">
        <v>42283</v>
      </c>
      <c r="H1617" s="28" t="s">
        <v>7407</v>
      </c>
      <c r="I1617" s="114" t="s">
        <v>12400</v>
      </c>
      <c r="J1617" s="114" t="s">
        <v>12401</v>
      </c>
    </row>
    <row r="1618" spans="1:10" ht="20" customHeight="1" thickBot="1">
      <c r="A1618" s="26" t="s">
        <v>7410</v>
      </c>
      <c r="B1618" s="26" t="s">
        <v>7410</v>
      </c>
      <c r="C1618" s="26" t="s">
        <v>1714</v>
      </c>
      <c r="D1618" s="116">
        <v>112</v>
      </c>
      <c r="E1618" s="122" t="s">
        <v>31</v>
      </c>
      <c r="F1618" s="119" t="s">
        <v>63</v>
      </c>
      <c r="G1618" s="27">
        <v>44464</v>
      </c>
      <c r="H1618" s="26" t="s">
        <v>7411</v>
      </c>
      <c r="I1618" s="113" t="s">
        <v>12400</v>
      </c>
      <c r="J1618" s="113" t="s">
        <v>12401</v>
      </c>
    </row>
    <row r="1619" spans="1:10" ht="20" customHeight="1" thickBot="1">
      <c r="A1619" s="28" t="s">
        <v>7414</v>
      </c>
      <c r="B1619" s="28" t="s">
        <v>7414</v>
      </c>
      <c r="C1619" s="28" t="s">
        <v>7415</v>
      </c>
      <c r="D1619" s="117">
        <v>22</v>
      </c>
      <c r="E1619" s="122" t="s">
        <v>29</v>
      </c>
      <c r="F1619" s="120" t="s">
        <v>63</v>
      </c>
      <c r="G1619" s="29">
        <v>42311</v>
      </c>
      <c r="H1619" s="28" t="s">
        <v>7416</v>
      </c>
      <c r="I1619" s="114" t="s">
        <v>12400</v>
      </c>
      <c r="J1619" s="114" t="s">
        <v>12401</v>
      </c>
    </row>
    <row r="1620" spans="1:10" ht="20" customHeight="1" thickBot="1">
      <c r="A1620" s="26" t="s">
        <v>7419</v>
      </c>
      <c r="B1620" s="26" t="s">
        <v>7419</v>
      </c>
      <c r="C1620" s="26" t="s">
        <v>1714</v>
      </c>
      <c r="D1620" s="116">
        <v>116</v>
      </c>
      <c r="E1620" s="122" t="s">
        <v>31</v>
      </c>
      <c r="F1620" s="119" t="s">
        <v>63</v>
      </c>
      <c r="G1620" s="27">
        <v>44752</v>
      </c>
      <c r="H1620" s="26" t="s">
        <v>7420</v>
      </c>
      <c r="I1620" s="113" t="s">
        <v>12400</v>
      </c>
      <c r="J1620" s="113" t="s">
        <v>12401</v>
      </c>
    </row>
    <row r="1621" spans="1:10" ht="20" customHeight="1" thickBot="1">
      <c r="A1621" s="28" t="s">
        <v>7423</v>
      </c>
      <c r="B1621" s="28" t="s">
        <v>7423</v>
      </c>
      <c r="C1621" s="28" t="s">
        <v>1714</v>
      </c>
      <c r="D1621" s="117">
        <v>116</v>
      </c>
      <c r="E1621" s="122" t="s">
        <v>31</v>
      </c>
      <c r="F1621" s="120" t="s">
        <v>63</v>
      </c>
      <c r="G1621" s="29">
        <v>44777</v>
      </c>
      <c r="H1621" s="28" t="s">
        <v>7424</v>
      </c>
      <c r="I1621" s="114" t="s">
        <v>12400</v>
      </c>
      <c r="J1621" s="114" t="s">
        <v>12401</v>
      </c>
    </row>
    <row r="1622" spans="1:10" ht="20" customHeight="1" thickBot="1">
      <c r="A1622" s="26" t="s">
        <v>7427</v>
      </c>
      <c r="B1622" s="26" t="s">
        <v>7427</v>
      </c>
      <c r="C1622" s="26" t="s">
        <v>1714</v>
      </c>
      <c r="D1622" s="116">
        <v>120</v>
      </c>
      <c r="E1622" s="122" t="s">
        <v>31</v>
      </c>
      <c r="F1622" s="119" t="s">
        <v>63</v>
      </c>
      <c r="G1622" s="27">
        <v>45267</v>
      </c>
      <c r="H1622" s="26" t="s">
        <v>7428</v>
      </c>
      <c r="I1622" s="113" t="s">
        <v>12400</v>
      </c>
      <c r="J1622" s="113" t="s">
        <v>12401</v>
      </c>
    </row>
    <row r="1623" spans="1:10" ht="20" customHeight="1" thickBot="1">
      <c r="A1623" s="28" t="s">
        <v>7431</v>
      </c>
      <c r="B1623" s="28" t="s">
        <v>7431</v>
      </c>
      <c r="C1623" s="28" t="s">
        <v>7432</v>
      </c>
      <c r="D1623" s="117">
        <v>11</v>
      </c>
      <c r="E1623" s="122" t="s">
        <v>31</v>
      </c>
      <c r="F1623" s="120" t="s">
        <v>63</v>
      </c>
      <c r="G1623" s="29">
        <v>43959</v>
      </c>
      <c r="H1623" s="28" t="s">
        <v>7433</v>
      </c>
      <c r="I1623" s="114" t="s">
        <v>12400</v>
      </c>
      <c r="J1623" s="114" t="s">
        <v>12401</v>
      </c>
    </row>
    <row r="1624" spans="1:10" ht="20" customHeight="1" thickBot="1">
      <c r="A1624" s="26" t="s">
        <v>7436</v>
      </c>
      <c r="B1624" s="26" t="s">
        <v>7436</v>
      </c>
      <c r="C1624" s="26" t="s">
        <v>7437</v>
      </c>
      <c r="D1624" s="116">
        <v>96</v>
      </c>
      <c r="E1624" s="122" t="s">
        <v>29</v>
      </c>
      <c r="F1624" s="119" t="s">
        <v>63</v>
      </c>
      <c r="G1624" s="27">
        <v>42902</v>
      </c>
      <c r="H1624" s="26" t="s">
        <v>7438</v>
      </c>
      <c r="I1624" s="113" t="s">
        <v>12400</v>
      </c>
      <c r="J1624" s="113" t="s">
        <v>12401</v>
      </c>
    </row>
    <row r="1625" spans="1:10" ht="20" customHeight="1" thickBot="1">
      <c r="A1625" s="28" t="s">
        <v>7441</v>
      </c>
      <c r="B1625" s="28" t="s">
        <v>7441</v>
      </c>
      <c r="C1625" s="28" t="s">
        <v>6882</v>
      </c>
      <c r="D1625" s="117">
        <v>92</v>
      </c>
      <c r="E1625" s="122" t="s">
        <v>29</v>
      </c>
      <c r="F1625" s="120" t="s">
        <v>63</v>
      </c>
      <c r="G1625" s="29">
        <v>44864</v>
      </c>
      <c r="H1625" s="28" t="s">
        <v>7442</v>
      </c>
      <c r="I1625" s="114" t="s">
        <v>12400</v>
      </c>
      <c r="J1625" s="114" t="s">
        <v>12401</v>
      </c>
    </row>
    <row r="1626" spans="1:10" ht="20" customHeight="1" thickBot="1">
      <c r="A1626" s="26" t="s">
        <v>7445</v>
      </c>
      <c r="B1626" s="26" t="s">
        <v>7445</v>
      </c>
      <c r="C1626" s="26" t="s">
        <v>7446</v>
      </c>
      <c r="D1626" s="116">
        <v>96</v>
      </c>
      <c r="E1626" s="122" t="s">
        <v>29</v>
      </c>
      <c r="F1626" s="119" t="s">
        <v>63</v>
      </c>
      <c r="G1626" s="27">
        <v>44871</v>
      </c>
      <c r="H1626" s="26" t="s">
        <v>7447</v>
      </c>
      <c r="I1626" s="113" t="s">
        <v>12400</v>
      </c>
      <c r="J1626" s="113" t="s">
        <v>12401</v>
      </c>
    </row>
    <row r="1627" spans="1:10" ht="20" customHeight="1" thickBot="1">
      <c r="A1627" s="28" t="s">
        <v>7450</v>
      </c>
      <c r="B1627" s="28" t="s">
        <v>7450</v>
      </c>
      <c r="C1627" s="28" t="s">
        <v>7446</v>
      </c>
      <c r="D1627" s="117">
        <v>76</v>
      </c>
      <c r="E1627" s="122" t="s">
        <v>27</v>
      </c>
      <c r="F1627" s="120" t="s">
        <v>63</v>
      </c>
      <c r="G1627" s="29">
        <v>45061</v>
      </c>
      <c r="H1627" s="28" t="s">
        <v>7451</v>
      </c>
      <c r="I1627" s="114" t="s">
        <v>12400</v>
      </c>
      <c r="J1627" s="114" t="s">
        <v>12401</v>
      </c>
    </row>
    <row r="1628" spans="1:10" ht="20" customHeight="1" thickBot="1">
      <c r="A1628" s="26" t="s">
        <v>7454</v>
      </c>
      <c r="B1628" s="26" t="s">
        <v>7454</v>
      </c>
      <c r="C1628" s="26" t="s">
        <v>7455</v>
      </c>
      <c r="D1628" s="116">
        <v>19</v>
      </c>
      <c r="E1628" s="122" t="s">
        <v>29</v>
      </c>
      <c r="F1628" s="119" t="s">
        <v>63</v>
      </c>
      <c r="G1628" s="27">
        <v>44880</v>
      </c>
      <c r="H1628" s="26" t="s">
        <v>7456</v>
      </c>
      <c r="I1628" s="113" t="s">
        <v>12400</v>
      </c>
      <c r="J1628" s="113" t="s">
        <v>12401</v>
      </c>
    </row>
    <row r="1629" spans="1:10" ht="20" customHeight="1" thickBot="1">
      <c r="A1629" s="28" t="s">
        <v>7459</v>
      </c>
      <c r="B1629" s="28" t="s">
        <v>7459</v>
      </c>
      <c r="C1629" s="28" t="s">
        <v>7460</v>
      </c>
      <c r="D1629" s="117">
        <v>5</v>
      </c>
      <c r="E1629" s="122" t="s">
        <v>31</v>
      </c>
      <c r="F1629" s="120" t="s">
        <v>63</v>
      </c>
      <c r="G1629" s="29">
        <v>43219</v>
      </c>
      <c r="H1629" s="28" t="s">
        <v>7461</v>
      </c>
      <c r="I1629" s="114" t="s">
        <v>12400</v>
      </c>
      <c r="J1629" s="114" t="s">
        <v>12401</v>
      </c>
    </row>
    <row r="1630" spans="1:10" ht="20" customHeight="1" thickBot="1">
      <c r="A1630" s="26" t="s">
        <v>7464</v>
      </c>
      <c r="B1630" s="26" t="s">
        <v>7464</v>
      </c>
      <c r="C1630" s="26" t="s">
        <v>7465</v>
      </c>
      <c r="D1630" s="116">
        <v>5</v>
      </c>
      <c r="E1630" s="122" t="s">
        <v>27</v>
      </c>
      <c r="F1630" s="119" t="s">
        <v>63</v>
      </c>
      <c r="G1630" s="27">
        <v>42298</v>
      </c>
      <c r="H1630" s="26" t="s">
        <v>7466</v>
      </c>
      <c r="I1630" s="113" t="s">
        <v>12400</v>
      </c>
      <c r="J1630" s="113" t="s">
        <v>12401</v>
      </c>
    </row>
    <row r="1631" spans="1:10" ht="20" customHeight="1" thickBot="1">
      <c r="A1631" s="28" t="s">
        <v>7469</v>
      </c>
      <c r="B1631" s="28" t="s">
        <v>7469</v>
      </c>
      <c r="C1631" s="28" t="s">
        <v>1129</v>
      </c>
      <c r="D1631" s="117">
        <v>45</v>
      </c>
      <c r="E1631" s="122" t="s">
        <v>29</v>
      </c>
      <c r="F1631" s="120" t="s">
        <v>63</v>
      </c>
      <c r="G1631" s="29">
        <v>44190</v>
      </c>
      <c r="H1631" s="28" t="s">
        <v>7470</v>
      </c>
      <c r="I1631" s="114" t="s">
        <v>12400</v>
      </c>
      <c r="J1631" s="114" t="s">
        <v>12401</v>
      </c>
    </row>
    <row r="1632" spans="1:10" ht="20" customHeight="1" thickBot="1">
      <c r="A1632" s="26" t="s">
        <v>7473</v>
      </c>
      <c r="B1632" s="26" t="s">
        <v>7473</v>
      </c>
      <c r="C1632" s="26" t="s">
        <v>7474</v>
      </c>
      <c r="D1632" s="116">
        <v>124</v>
      </c>
      <c r="E1632" s="122" t="s">
        <v>34</v>
      </c>
      <c r="F1632" s="119" t="s">
        <v>63</v>
      </c>
      <c r="G1632" s="27">
        <v>44300</v>
      </c>
      <c r="H1632" s="26" t="s">
        <v>7475</v>
      </c>
      <c r="I1632" s="113" t="s">
        <v>12400</v>
      </c>
      <c r="J1632" s="113" t="s">
        <v>12401</v>
      </c>
    </row>
    <row r="1633" spans="1:10" ht="20" customHeight="1" thickBot="1">
      <c r="A1633" s="28" t="s">
        <v>7478</v>
      </c>
      <c r="B1633" s="28" t="s">
        <v>7478</v>
      </c>
      <c r="C1633" s="28" t="s">
        <v>6882</v>
      </c>
      <c r="D1633" s="117">
        <v>31</v>
      </c>
      <c r="E1633" s="122" t="s">
        <v>31</v>
      </c>
      <c r="F1633" s="120" t="s">
        <v>63</v>
      </c>
      <c r="G1633" s="29">
        <v>46032</v>
      </c>
      <c r="H1633" s="28" t="s">
        <v>7479</v>
      </c>
      <c r="I1633" s="114" t="s">
        <v>12400</v>
      </c>
      <c r="J1633" s="114" t="s">
        <v>12401</v>
      </c>
    </row>
    <row r="1634" spans="1:10" ht="20" customHeight="1" thickBot="1">
      <c r="A1634" s="26" t="s">
        <v>7482</v>
      </c>
      <c r="B1634" s="26" t="s">
        <v>7482</v>
      </c>
      <c r="C1634" s="26" t="s">
        <v>7483</v>
      </c>
      <c r="D1634" s="116">
        <v>17</v>
      </c>
      <c r="E1634" s="122" t="s">
        <v>27</v>
      </c>
      <c r="F1634" s="119" t="s">
        <v>63</v>
      </c>
      <c r="G1634" s="27">
        <v>42294</v>
      </c>
      <c r="H1634" s="26" t="s">
        <v>7484</v>
      </c>
      <c r="I1634" s="113" t="s">
        <v>12400</v>
      </c>
      <c r="J1634" s="113" t="s">
        <v>12401</v>
      </c>
    </row>
    <row r="1635" spans="1:10" ht="20" customHeight="1" thickBot="1">
      <c r="A1635" s="28" t="s">
        <v>7487</v>
      </c>
      <c r="B1635" s="28" t="s">
        <v>7487</v>
      </c>
      <c r="C1635" s="28" t="s">
        <v>5592</v>
      </c>
      <c r="D1635" s="117">
        <v>40</v>
      </c>
      <c r="E1635" s="122" t="s">
        <v>27</v>
      </c>
      <c r="F1635" s="120" t="s">
        <v>63</v>
      </c>
      <c r="G1635" s="29">
        <v>41870</v>
      </c>
      <c r="H1635" s="28" t="s">
        <v>7488</v>
      </c>
      <c r="I1635" s="114" t="s">
        <v>12400</v>
      </c>
      <c r="J1635" s="114" t="s">
        <v>12401</v>
      </c>
    </row>
    <row r="1636" spans="1:10" ht="20" customHeight="1" thickBot="1">
      <c r="A1636" s="26" t="s">
        <v>7491</v>
      </c>
      <c r="B1636" s="26" t="s">
        <v>7491</v>
      </c>
      <c r="C1636" s="26" t="s">
        <v>7492</v>
      </c>
      <c r="D1636" s="116">
        <v>44</v>
      </c>
      <c r="E1636" s="122" t="s">
        <v>29</v>
      </c>
      <c r="F1636" s="119" t="s">
        <v>63</v>
      </c>
      <c r="G1636" s="27">
        <v>45684</v>
      </c>
      <c r="H1636" s="26" t="s">
        <v>7493</v>
      </c>
      <c r="I1636" s="113" t="s">
        <v>12400</v>
      </c>
      <c r="J1636" s="113" t="s">
        <v>12401</v>
      </c>
    </row>
    <row r="1637" spans="1:10" ht="20" customHeight="1" thickBot="1">
      <c r="A1637" s="28" t="s">
        <v>7496</v>
      </c>
      <c r="B1637" s="28" t="s">
        <v>7496</v>
      </c>
      <c r="C1637" s="28" t="s">
        <v>7497</v>
      </c>
      <c r="D1637" s="117">
        <v>12</v>
      </c>
      <c r="E1637" s="122" t="s">
        <v>29</v>
      </c>
      <c r="F1637" s="120" t="s">
        <v>63</v>
      </c>
      <c r="G1637" s="29">
        <v>42043</v>
      </c>
      <c r="H1637" s="28" t="s">
        <v>7498</v>
      </c>
      <c r="I1637" s="114" t="s">
        <v>12400</v>
      </c>
      <c r="J1637" s="114" t="s">
        <v>12401</v>
      </c>
    </row>
    <row r="1638" spans="1:10" ht="20" customHeight="1" thickBot="1">
      <c r="A1638" s="26" t="s">
        <v>7501</v>
      </c>
      <c r="B1638" s="26" t="s">
        <v>7501</v>
      </c>
      <c r="C1638" s="26" t="s">
        <v>7502</v>
      </c>
      <c r="D1638" s="116">
        <v>10</v>
      </c>
      <c r="E1638" s="122" t="s">
        <v>31</v>
      </c>
      <c r="F1638" s="119" t="s">
        <v>63</v>
      </c>
      <c r="G1638" s="27">
        <v>42639</v>
      </c>
      <c r="H1638" s="26" t="s">
        <v>7503</v>
      </c>
      <c r="I1638" s="113" t="s">
        <v>12400</v>
      </c>
      <c r="J1638" s="113" t="s">
        <v>12401</v>
      </c>
    </row>
    <row r="1639" spans="1:10" ht="20" customHeight="1" thickBot="1">
      <c r="A1639" s="28" t="s">
        <v>7506</v>
      </c>
      <c r="B1639" s="28" t="s">
        <v>7506</v>
      </c>
      <c r="C1639" s="28" t="s">
        <v>7507</v>
      </c>
      <c r="D1639" s="117">
        <v>20</v>
      </c>
      <c r="E1639" s="122" t="s">
        <v>31</v>
      </c>
      <c r="F1639" s="120" t="s">
        <v>63</v>
      </c>
      <c r="G1639" s="29">
        <v>44118</v>
      </c>
      <c r="H1639" s="28" t="s">
        <v>7508</v>
      </c>
      <c r="I1639" s="114" t="s">
        <v>12400</v>
      </c>
      <c r="J1639" s="114" t="s">
        <v>12401</v>
      </c>
    </row>
    <row r="1640" spans="1:10" ht="20" customHeight="1" thickBot="1">
      <c r="A1640" s="26" t="s">
        <v>7511</v>
      </c>
      <c r="B1640" s="26" t="s">
        <v>7511</v>
      </c>
      <c r="C1640" s="26" t="s">
        <v>7512</v>
      </c>
      <c r="D1640" s="116">
        <v>6</v>
      </c>
      <c r="E1640" s="122" t="s">
        <v>29</v>
      </c>
      <c r="F1640" s="119" t="s">
        <v>63</v>
      </c>
      <c r="G1640" s="27">
        <v>41543</v>
      </c>
      <c r="H1640" s="26" t="s">
        <v>7513</v>
      </c>
      <c r="I1640" s="113" t="s">
        <v>12400</v>
      </c>
      <c r="J1640" s="113" t="s">
        <v>12401</v>
      </c>
    </row>
    <row r="1641" spans="1:10" ht="20" customHeight="1" thickBot="1">
      <c r="A1641" s="28" t="s">
        <v>7516</v>
      </c>
      <c r="B1641" s="28" t="s">
        <v>7516</v>
      </c>
      <c r="C1641" s="28" t="s">
        <v>1651</v>
      </c>
      <c r="D1641" s="117">
        <v>12</v>
      </c>
      <c r="E1641" s="122" t="s">
        <v>33</v>
      </c>
      <c r="F1641" s="120" t="s">
        <v>57</v>
      </c>
      <c r="G1641" s="29">
        <v>44005</v>
      </c>
      <c r="H1641" s="28" t="s">
        <v>7517</v>
      </c>
      <c r="I1641" s="114" t="s">
        <v>12400</v>
      </c>
      <c r="J1641" s="114" t="s">
        <v>12401</v>
      </c>
    </row>
    <row r="1642" spans="1:10" ht="20" customHeight="1" thickBot="1">
      <c r="A1642" s="26" t="s">
        <v>7520</v>
      </c>
      <c r="B1642" s="26" t="s">
        <v>7520</v>
      </c>
      <c r="C1642" s="26" t="s">
        <v>895</v>
      </c>
      <c r="D1642" s="116">
        <v>1</v>
      </c>
      <c r="E1642" s="122" t="s">
        <v>31</v>
      </c>
      <c r="F1642" s="119" t="s">
        <v>63</v>
      </c>
      <c r="G1642" s="27">
        <v>42972</v>
      </c>
      <c r="H1642" s="26" t="s">
        <v>7521</v>
      </c>
      <c r="I1642" s="113" t="s">
        <v>12400</v>
      </c>
      <c r="J1642" s="113" t="s">
        <v>12401</v>
      </c>
    </row>
    <row r="1643" spans="1:10" ht="20" customHeight="1" thickBot="1">
      <c r="A1643" s="28" t="s">
        <v>7524</v>
      </c>
      <c r="B1643" s="28" t="s">
        <v>7524</v>
      </c>
      <c r="C1643" s="28" t="s">
        <v>7525</v>
      </c>
      <c r="D1643" s="117">
        <v>5</v>
      </c>
      <c r="E1643" s="122" t="s">
        <v>33</v>
      </c>
      <c r="F1643" s="120" t="s">
        <v>57</v>
      </c>
      <c r="G1643" s="29">
        <v>43856</v>
      </c>
      <c r="H1643" s="28" t="s">
        <v>7526</v>
      </c>
      <c r="I1643" s="114" t="s">
        <v>12400</v>
      </c>
      <c r="J1643" s="114" t="s">
        <v>12401</v>
      </c>
    </row>
    <row r="1644" spans="1:10" ht="20" customHeight="1" thickBot="1">
      <c r="A1644" s="26" t="s">
        <v>7529</v>
      </c>
      <c r="B1644" s="26" t="s">
        <v>7529</v>
      </c>
      <c r="C1644" s="26" t="s">
        <v>7530</v>
      </c>
      <c r="D1644" s="116">
        <v>47</v>
      </c>
      <c r="E1644" s="122" t="s">
        <v>31</v>
      </c>
      <c r="F1644" s="119" t="s">
        <v>63</v>
      </c>
      <c r="G1644" s="27">
        <v>44585</v>
      </c>
      <c r="H1644" s="26" t="s">
        <v>7531</v>
      </c>
      <c r="I1644" s="113" t="s">
        <v>12400</v>
      </c>
      <c r="J1644" s="113" t="s">
        <v>12401</v>
      </c>
    </row>
    <row r="1645" spans="1:10" ht="20" customHeight="1" thickBot="1">
      <c r="A1645" s="28" t="s">
        <v>7534</v>
      </c>
      <c r="B1645" s="28" t="s">
        <v>7534</v>
      </c>
      <c r="C1645" s="28" t="s">
        <v>7530</v>
      </c>
      <c r="D1645" s="117">
        <v>69</v>
      </c>
      <c r="E1645" s="122" t="s">
        <v>33</v>
      </c>
      <c r="F1645" s="120" t="s">
        <v>63</v>
      </c>
      <c r="G1645" s="29">
        <v>41691</v>
      </c>
      <c r="H1645" s="28" t="s">
        <v>7535</v>
      </c>
      <c r="I1645" s="114" t="s">
        <v>12400</v>
      </c>
      <c r="J1645" s="114" t="s">
        <v>12401</v>
      </c>
    </row>
    <row r="1646" spans="1:10" ht="20" customHeight="1" thickBot="1">
      <c r="A1646" s="26" t="s">
        <v>7538</v>
      </c>
      <c r="B1646" s="26" t="s">
        <v>7538</v>
      </c>
      <c r="C1646" s="26" t="s">
        <v>7539</v>
      </c>
      <c r="D1646" s="116">
        <v>9</v>
      </c>
      <c r="E1646" s="122" t="s">
        <v>34</v>
      </c>
      <c r="F1646" s="119" t="s">
        <v>57</v>
      </c>
      <c r="G1646" s="27">
        <v>46073</v>
      </c>
      <c r="H1646" s="26" t="s">
        <v>7540</v>
      </c>
      <c r="I1646" s="113" t="s">
        <v>12400</v>
      </c>
      <c r="J1646" s="113" t="s">
        <v>12401</v>
      </c>
    </row>
    <row r="1647" spans="1:10" ht="20" customHeight="1" thickBot="1">
      <c r="A1647" s="28" t="s">
        <v>7543</v>
      </c>
      <c r="B1647" s="28" t="s">
        <v>7543</v>
      </c>
      <c r="C1647" s="28" t="s">
        <v>945</v>
      </c>
      <c r="D1647" s="117">
        <v>8</v>
      </c>
      <c r="E1647" s="122" t="s">
        <v>34</v>
      </c>
      <c r="F1647" s="120" t="s">
        <v>57</v>
      </c>
      <c r="G1647" s="29">
        <v>45428</v>
      </c>
      <c r="H1647" s="28" t="s">
        <v>7544</v>
      </c>
      <c r="I1647" s="114" t="s">
        <v>12400</v>
      </c>
      <c r="J1647" s="114" t="s">
        <v>12401</v>
      </c>
    </row>
    <row r="1648" spans="1:10" ht="20" customHeight="1" thickBot="1">
      <c r="A1648" s="26" t="s">
        <v>7547</v>
      </c>
      <c r="B1648" s="26" t="s">
        <v>7547</v>
      </c>
      <c r="C1648" s="26" t="s">
        <v>945</v>
      </c>
      <c r="D1648" s="116">
        <v>21</v>
      </c>
      <c r="E1648" s="122" t="s">
        <v>34</v>
      </c>
      <c r="F1648" s="119" t="s">
        <v>57</v>
      </c>
      <c r="G1648" s="27">
        <v>46197</v>
      </c>
      <c r="H1648" s="26" t="s">
        <v>7548</v>
      </c>
      <c r="I1648" s="113" t="s">
        <v>12400</v>
      </c>
      <c r="J1648" s="113" t="s">
        <v>12401</v>
      </c>
    </row>
    <row r="1649" spans="1:10" ht="20" customHeight="1" thickBot="1">
      <c r="A1649" s="28" t="s">
        <v>7551</v>
      </c>
      <c r="B1649" s="28" t="s">
        <v>7551</v>
      </c>
      <c r="C1649" s="28" t="s">
        <v>945</v>
      </c>
      <c r="D1649" s="117">
        <v>22</v>
      </c>
      <c r="E1649" s="122" t="s">
        <v>34</v>
      </c>
      <c r="F1649" s="120" t="s">
        <v>57</v>
      </c>
      <c r="G1649" s="29">
        <v>45437</v>
      </c>
      <c r="H1649" s="28" t="s">
        <v>7552</v>
      </c>
      <c r="I1649" s="114" t="s">
        <v>12400</v>
      </c>
      <c r="J1649" s="114" t="s">
        <v>12401</v>
      </c>
    </row>
    <row r="1650" spans="1:10" ht="20" customHeight="1" thickBot="1">
      <c r="A1650" s="26" t="s">
        <v>7555</v>
      </c>
      <c r="B1650" s="26" t="s">
        <v>7555</v>
      </c>
      <c r="C1650" s="26" t="s">
        <v>945</v>
      </c>
      <c r="D1650" s="116">
        <v>19</v>
      </c>
      <c r="E1650" s="122" t="s">
        <v>34</v>
      </c>
      <c r="F1650" s="119" t="s">
        <v>57</v>
      </c>
      <c r="G1650" s="27">
        <v>45702</v>
      </c>
      <c r="H1650" s="26" t="s">
        <v>7556</v>
      </c>
      <c r="I1650" s="113" t="s">
        <v>12400</v>
      </c>
      <c r="J1650" s="113" t="s">
        <v>12401</v>
      </c>
    </row>
    <row r="1651" spans="1:10" ht="20" customHeight="1" thickBot="1">
      <c r="A1651" s="28" t="s">
        <v>7559</v>
      </c>
      <c r="B1651" s="28" t="s">
        <v>7559</v>
      </c>
      <c r="C1651" s="28" t="s">
        <v>7560</v>
      </c>
      <c r="D1651" s="117">
        <v>13</v>
      </c>
      <c r="E1651" s="122" t="s">
        <v>31</v>
      </c>
      <c r="F1651" s="120" t="s">
        <v>57</v>
      </c>
      <c r="G1651" s="29">
        <v>44503</v>
      </c>
      <c r="H1651" s="28" t="s">
        <v>7561</v>
      </c>
      <c r="I1651" s="114" t="s">
        <v>12400</v>
      </c>
      <c r="J1651" s="114" t="s">
        <v>12401</v>
      </c>
    </row>
    <row r="1652" spans="1:10" ht="20" customHeight="1" thickBot="1">
      <c r="A1652" s="26" t="s">
        <v>7564</v>
      </c>
      <c r="B1652" s="26" t="s">
        <v>7564</v>
      </c>
      <c r="C1652" s="26" t="s">
        <v>7565</v>
      </c>
      <c r="D1652" s="116">
        <v>15</v>
      </c>
      <c r="E1652" s="122" t="s">
        <v>34</v>
      </c>
      <c r="F1652" s="119" t="s">
        <v>57</v>
      </c>
      <c r="G1652" s="27">
        <v>44369</v>
      </c>
      <c r="H1652" s="26" t="s">
        <v>7566</v>
      </c>
      <c r="I1652" s="113" t="s">
        <v>12400</v>
      </c>
      <c r="J1652" s="113" t="s">
        <v>12401</v>
      </c>
    </row>
    <row r="1653" spans="1:10" ht="20" customHeight="1" thickBot="1">
      <c r="A1653" s="28" t="s">
        <v>7569</v>
      </c>
      <c r="B1653" s="28" t="s">
        <v>7569</v>
      </c>
      <c r="C1653" s="28" t="s">
        <v>7570</v>
      </c>
      <c r="D1653" s="117">
        <v>19</v>
      </c>
      <c r="E1653" s="122" t="s">
        <v>36</v>
      </c>
      <c r="F1653" s="120" t="s">
        <v>57</v>
      </c>
      <c r="G1653" s="29">
        <v>44863</v>
      </c>
      <c r="H1653" s="28" t="s">
        <v>7571</v>
      </c>
      <c r="I1653" s="114" t="s">
        <v>12400</v>
      </c>
      <c r="J1653" s="114" t="s">
        <v>12401</v>
      </c>
    </row>
    <row r="1654" spans="1:10" ht="20" customHeight="1" thickBot="1">
      <c r="A1654" s="26" t="s">
        <v>7574</v>
      </c>
      <c r="B1654" s="26" t="s">
        <v>7574</v>
      </c>
      <c r="C1654" s="26" t="s">
        <v>2142</v>
      </c>
      <c r="D1654" s="116">
        <v>9</v>
      </c>
      <c r="E1654" s="122" t="s">
        <v>35</v>
      </c>
      <c r="F1654" s="119" t="s">
        <v>57</v>
      </c>
      <c r="G1654" s="27">
        <v>44822</v>
      </c>
      <c r="H1654" s="26" t="s">
        <v>7575</v>
      </c>
      <c r="I1654" s="113" t="s">
        <v>12400</v>
      </c>
      <c r="J1654" s="113" t="s">
        <v>12401</v>
      </c>
    </row>
    <row r="1655" spans="1:10" ht="20" customHeight="1" thickBot="1">
      <c r="A1655" s="28" t="s">
        <v>7578</v>
      </c>
      <c r="B1655" s="28" t="s">
        <v>7578</v>
      </c>
      <c r="C1655" s="28" t="s">
        <v>427</v>
      </c>
      <c r="D1655" s="117">
        <v>14</v>
      </c>
      <c r="E1655" s="122" t="s">
        <v>33</v>
      </c>
      <c r="F1655" s="120" t="s">
        <v>57</v>
      </c>
      <c r="G1655" s="29">
        <v>43839</v>
      </c>
      <c r="H1655" s="28" t="s">
        <v>7579</v>
      </c>
      <c r="I1655" s="114" t="s">
        <v>12400</v>
      </c>
      <c r="J1655" s="114" t="s">
        <v>12401</v>
      </c>
    </row>
    <row r="1656" spans="1:10" ht="20" customHeight="1" thickBot="1">
      <c r="A1656" s="26" t="s">
        <v>7582</v>
      </c>
      <c r="B1656" s="26" t="s">
        <v>7582</v>
      </c>
      <c r="C1656" s="26" t="s">
        <v>6096</v>
      </c>
      <c r="D1656" s="116">
        <v>1</v>
      </c>
      <c r="E1656" s="122" t="s">
        <v>34</v>
      </c>
      <c r="F1656" s="119" t="s">
        <v>3138</v>
      </c>
      <c r="G1656" s="27">
        <v>44599</v>
      </c>
      <c r="H1656" s="26" t="s">
        <v>7583</v>
      </c>
      <c r="I1656" s="113" t="s">
        <v>12400</v>
      </c>
      <c r="J1656" s="113" t="s">
        <v>12401</v>
      </c>
    </row>
    <row r="1657" spans="1:10" ht="20" customHeight="1" thickBot="1">
      <c r="A1657" s="28" t="s">
        <v>7586</v>
      </c>
      <c r="B1657" s="28" t="s">
        <v>7586</v>
      </c>
      <c r="C1657" s="28" t="s">
        <v>7587</v>
      </c>
      <c r="D1657" s="117">
        <v>6</v>
      </c>
      <c r="E1657" s="122" t="s">
        <v>33</v>
      </c>
      <c r="F1657" s="120" t="s">
        <v>57</v>
      </c>
      <c r="G1657" s="29">
        <v>46004</v>
      </c>
      <c r="H1657" s="28" t="s">
        <v>7588</v>
      </c>
      <c r="I1657" s="114" t="s">
        <v>12400</v>
      </c>
      <c r="J1657" s="114" t="s">
        <v>12401</v>
      </c>
    </row>
    <row r="1658" spans="1:10" ht="20" customHeight="1" thickBot="1">
      <c r="A1658" s="26" t="s">
        <v>7591</v>
      </c>
      <c r="B1658" s="26" t="s">
        <v>7591</v>
      </c>
      <c r="C1658" s="26" t="s">
        <v>355</v>
      </c>
      <c r="D1658" s="116">
        <v>60</v>
      </c>
      <c r="E1658" s="122" t="s">
        <v>31</v>
      </c>
      <c r="F1658" s="119" t="s">
        <v>63</v>
      </c>
      <c r="G1658" s="27">
        <v>45470</v>
      </c>
      <c r="H1658" s="26" t="s">
        <v>7592</v>
      </c>
      <c r="I1658" s="113" t="s">
        <v>12400</v>
      </c>
      <c r="J1658" s="113" t="s">
        <v>12401</v>
      </c>
    </row>
    <row r="1659" spans="1:10" ht="20" customHeight="1" thickBot="1">
      <c r="A1659" s="28" t="s">
        <v>7595</v>
      </c>
      <c r="B1659" s="28" t="s">
        <v>7595</v>
      </c>
      <c r="C1659" s="28" t="s">
        <v>7596</v>
      </c>
      <c r="D1659" s="117">
        <v>5</v>
      </c>
      <c r="E1659" s="122" t="s">
        <v>36</v>
      </c>
      <c r="F1659" s="120" t="s">
        <v>57</v>
      </c>
      <c r="G1659" s="29">
        <v>46063</v>
      </c>
      <c r="H1659" s="28" t="s">
        <v>7597</v>
      </c>
      <c r="I1659" s="114" t="s">
        <v>12400</v>
      </c>
      <c r="J1659" s="114" t="s">
        <v>12401</v>
      </c>
    </row>
    <row r="1660" spans="1:10" ht="20" customHeight="1" thickBot="1">
      <c r="A1660" s="26" t="s">
        <v>7600</v>
      </c>
      <c r="B1660" s="26" t="s">
        <v>7600</v>
      </c>
      <c r="C1660" s="26" t="s">
        <v>1379</v>
      </c>
      <c r="D1660" s="116">
        <v>5</v>
      </c>
      <c r="E1660" s="122" t="s">
        <v>33</v>
      </c>
      <c r="F1660" s="119" t="s">
        <v>57</v>
      </c>
      <c r="G1660" s="27">
        <v>46023</v>
      </c>
      <c r="H1660" s="26" t="s">
        <v>7601</v>
      </c>
      <c r="I1660" s="113" t="s">
        <v>12400</v>
      </c>
      <c r="J1660" s="113" t="s">
        <v>12401</v>
      </c>
    </row>
    <row r="1661" spans="1:10" ht="20" customHeight="1" thickBot="1">
      <c r="A1661" s="28" t="s">
        <v>7604</v>
      </c>
      <c r="B1661" s="28" t="s">
        <v>7604</v>
      </c>
      <c r="C1661" s="28" t="s">
        <v>4070</v>
      </c>
      <c r="D1661" s="117">
        <v>8</v>
      </c>
      <c r="E1661" s="122" t="s">
        <v>29</v>
      </c>
      <c r="F1661" s="120" t="s">
        <v>63</v>
      </c>
      <c r="G1661" s="29">
        <v>42207</v>
      </c>
      <c r="H1661" s="28" t="s">
        <v>7605</v>
      </c>
      <c r="I1661" s="114" t="s">
        <v>12400</v>
      </c>
      <c r="J1661" s="114" t="s">
        <v>12401</v>
      </c>
    </row>
    <row r="1662" spans="1:10" ht="20" customHeight="1" thickBot="1">
      <c r="A1662" s="26" t="s">
        <v>7608</v>
      </c>
      <c r="B1662" s="26" t="s">
        <v>7608</v>
      </c>
      <c r="C1662" s="26" t="s">
        <v>5276</v>
      </c>
      <c r="D1662" s="116">
        <v>5</v>
      </c>
      <c r="E1662" s="122" t="s">
        <v>31</v>
      </c>
      <c r="F1662" s="119" t="s">
        <v>571</v>
      </c>
      <c r="G1662" s="27">
        <v>41824</v>
      </c>
      <c r="H1662" s="26" t="s">
        <v>7609</v>
      </c>
      <c r="I1662" s="113" t="s">
        <v>12400</v>
      </c>
      <c r="J1662" s="113" t="s">
        <v>12401</v>
      </c>
    </row>
    <row r="1663" spans="1:10" ht="20" customHeight="1" thickBot="1">
      <c r="A1663" s="28" t="s">
        <v>7612</v>
      </c>
      <c r="B1663" s="28" t="s">
        <v>7612</v>
      </c>
      <c r="C1663" s="28" t="s">
        <v>6732</v>
      </c>
      <c r="D1663" s="117">
        <v>1</v>
      </c>
      <c r="E1663" s="122" t="s">
        <v>34</v>
      </c>
      <c r="F1663" s="120" t="s">
        <v>57</v>
      </c>
      <c r="G1663" s="29">
        <v>44264</v>
      </c>
      <c r="H1663" s="28" t="s">
        <v>7613</v>
      </c>
      <c r="I1663" s="114" t="s">
        <v>12400</v>
      </c>
      <c r="J1663" s="114" t="s">
        <v>12401</v>
      </c>
    </row>
    <row r="1664" spans="1:10" ht="20" customHeight="1" thickBot="1">
      <c r="A1664" s="26" t="s">
        <v>7616</v>
      </c>
      <c r="B1664" s="26" t="s">
        <v>7616</v>
      </c>
      <c r="C1664" s="26" t="s">
        <v>685</v>
      </c>
      <c r="D1664" s="116">
        <v>8</v>
      </c>
      <c r="E1664" s="122" t="s">
        <v>31</v>
      </c>
      <c r="F1664" s="119" t="s">
        <v>63</v>
      </c>
      <c r="G1664" s="27">
        <v>44763</v>
      </c>
      <c r="H1664" s="26" t="s">
        <v>7617</v>
      </c>
      <c r="I1664" s="113" t="s">
        <v>12400</v>
      </c>
      <c r="J1664" s="113" t="s">
        <v>12401</v>
      </c>
    </row>
    <row r="1665" spans="1:10" ht="20" customHeight="1" thickBot="1">
      <c r="A1665" s="28" t="s">
        <v>7620</v>
      </c>
      <c r="B1665" s="28" t="s">
        <v>7620</v>
      </c>
      <c r="C1665" s="28" t="s">
        <v>685</v>
      </c>
      <c r="D1665" s="117">
        <v>24</v>
      </c>
      <c r="E1665" s="122" t="s">
        <v>31</v>
      </c>
      <c r="F1665" s="120" t="s">
        <v>63</v>
      </c>
      <c r="G1665" s="29">
        <v>45893</v>
      </c>
      <c r="H1665" s="28" t="s">
        <v>7621</v>
      </c>
      <c r="I1665" s="114" t="s">
        <v>12400</v>
      </c>
      <c r="J1665" s="114" t="s">
        <v>12401</v>
      </c>
    </row>
    <row r="1666" spans="1:10" ht="20" customHeight="1" thickBot="1">
      <c r="A1666" s="26" t="s">
        <v>7624</v>
      </c>
      <c r="B1666" s="26" t="s">
        <v>7624</v>
      </c>
      <c r="C1666" s="26" t="s">
        <v>7625</v>
      </c>
      <c r="D1666" s="116">
        <v>8</v>
      </c>
      <c r="E1666" s="122" t="s">
        <v>29</v>
      </c>
      <c r="F1666" s="119" t="s">
        <v>63</v>
      </c>
      <c r="G1666" s="27">
        <v>41545</v>
      </c>
      <c r="H1666" s="26" t="s">
        <v>7626</v>
      </c>
      <c r="I1666" s="113" t="s">
        <v>12400</v>
      </c>
      <c r="J1666" s="113" t="s">
        <v>12401</v>
      </c>
    </row>
    <row r="1667" spans="1:10" ht="20" customHeight="1" thickBot="1">
      <c r="A1667" s="28" t="s">
        <v>7629</v>
      </c>
      <c r="B1667" s="28" t="s">
        <v>7629</v>
      </c>
      <c r="C1667" s="28" t="s">
        <v>7625</v>
      </c>
      <c r="D1667" s="117">
        <v>12</v>
      </c>
      <c r="E1667" s="122" t="s">
        <v>31</v>
      </c>
      <c r="F1667" s="120" t="s">
        <v>63</v>
      </c>
      <c r="G1667" s="29">
        <v>42699</v>
      </c>
      <c r="H1667" s="28" t="s">
        <v>7630</v>
      </c>
      <c r="I1667" s="114" t="s">
        <v>12400</v>
      </c>
      <c r="J1667" s="114" t="s">
        <v>12401</v>
      </c>
    </row>
    <row r="1668" spans="1:10" ht="20" customHeight="1" thickBot="1">
      <c r="A1668" s="26" t="s">
        <v>7633</v>
      </c>
      <c r="B1668" s="26" t="s">
        <v>7633</v>
      </c>
      <c r="C1668" s="26" t="s">
        <v>1306</v>
      </c>
      <c r="D1668" s="116">
        <v>69</v>
      </c>
      <c r="E1668" s="122" t="s">
        <v>34</v>
      </c>
      <c r="F1668" s="119" t="s">
        <v>115</v>
      </c>
      <c r="G1668" s="27">
        <v>45512</v>
      </c>
      <c r="H1668" s="26" t="s">
        <v>7634</v>
      </c>
      <c r="I1668" s="113" t="s">
        <v>12400</v>
      </c>
      <c r="J1668" s="113" t="s">
        <v>12401</v>
      </c>
    </row>
    <row r="1669" spans="1:10" ht="20" customHeight="1" thickBot="1">
      <c r="A1669" s="28" t="s">
        <v>7637</v>
      </c>
      <c r="B1669" s="28" t="s">
        <v>7637</v>
      </c>
      <c r="C1669" s="28" t="s">
        <v>7638</v>
      </c>
      <c r="D1669" s="117">
        <v>4</v>
      </c>
      <c r="E1669" s="122" t="s">
        <v>31</v>
      </c>
      <c r="F1669" s="120" t="s">
        <v>63</v>
      </c>
      <c r="G1669" s="29">
        <v>45527</v>
      </c>
      <c r="H1669" s="28" t="s">
        <v>7639</v>
      </c>
      <c r="I1669" s="114" t="s">
        <v>12400</v>
      </c>
      <c r="J1669" s="114" t="s">
        <v>12401</v>
      </c>
    </row>
    <row r="1670" spans="1:10" ht="20" customHeight="1" thickBot="1">
      <c r="A1670" s="26" t="s">
        <v>7642</v>
      </c>
      <c r="B1670" s="26" t="s">
        <v>7642</v>
      </c>
      <c r="C1670" s="26" t="s">
        <v>233</v>
      </c>
      <c r="D1670" s="116">
        <v>12</v>
      </c>
      <c r="E1670" s="122" t="s">
        <v>33</v>
      </c>
      <c r="F1670" s="119" t="s">
        <v>63</v>
      </c>
      <c r="G1670" s="27">
        <v>45349</v>
      </c>
      <c r="H1670" s="26" t="s">
        <v>7643</v>
      </c>
      <c r="I1670" s="113" t="s">
        <v>12400</v>
      </c>
      <c r="J1670" s="113" t="s">
        <v>12401</v>
      </c>
    </row>
    <row r="1671" spans="1:10" ht="20" customHeight="1" thickBot="1">
      <c r="A1671" s="28" t="s">
        <v>7646</v>
      </c>
      <c r="B1671" s="28" t="s">
        <v>7646</v>
      </c>
      <c r="C1671" s="28" t="s">
        <v>1824</v>
      </c>
      <c r="D1671" s="117">
        <v>96</v>
      </c>
      <c r="E1671" s="122" t="s">
        <v>33</v>
      </c>
      <c r="F1671" s="120" t="s">
        <v>115</v>
      </c>
      <c r="G1671" s="29">
        <v>45401</v>
      </c>
      <c r="H1671" s="28" t="s">
        <v>7647</v>
      </c>
      <c r="I1671" s="114" t="s">
        <v>12400</v>
      </c>
      <c r="J1671" s="114" t="s">
        <v>12401</v>
      </c>
    </row>
    <row r="1672" spans="1:10" ht="20" customHeight="1" thickBot="1">
      <c r="A1672" s="26" t="s">
        <v>7650</v>
      </c>
      <c r="B1672" s="26" t="s">
        <v>7650</v>
      </c>
      <c r="C1672" s="26" t="s">
        <v>4365</v>
      </c>
      <c r="D1672" s="116">
        <v>9</v>
      </c>
      <c r="E1672" s="122" t="s">
        <v>34</v>
      </c>
      <c r="F1672" s="119" t="s">
        <v>57</v>
      </c>
      <c r="G1672" s="27">
        <v>43922</v>
      </c>
      <c r="H1672" s="26" t="s">
        <v>7651</v>
      </c>
      <c r="I1672" s="113" t="s">
        <v>12400</v>
      </c>
      <c r="J1672" s="113" t="s">
        <v>12401</v>
      </c>
    </row>
    <row r="1673" spans="1:10" ht="20" customHeight="1" thickBot="1">
      <c r="A1673" s="28" t="s">
        <v>7654</v>
      </c>
      <c r="B1673" s="28" t="s">
        <v>7654</v>
      </c>
      <c r="C1673" s="28" t="s">
        <v>3137</v>
      </c>
      <c r="D1673" s="117">
        <v>6</v>
      </c>
      <c r="E1673" s="122" t="s">
        <v>34</v>
      </c>
      <c r="F1673" s="120" t="s">
        <v>57</v>
      </c>
      <c r="G1673" s="29">
        <v>45565</v>
      </c>
      <c r="H1673" s="28" t="s">
        <v>7655</v>
      </c>
      <c r="I1673" s="114" t="s">
        <v>12400</v>
      </c>
      <c r="J1673" s="114" t="s">
        <v>12401</v>
      </c>
    </row>
    <row r="1674" spans="1:10" ht="20" customHeight="1" thickBot="1">
      <c r="A1674" s="26" t="s">
        <v>7658</v>
      </c>
      <c r="B1674" s="26" t="s">
        <v>7658</v>
      </c>
      <c r="C1674" s="26" t="s">
        <v>2531</v>
      </c>
      <c r="D1674" s="116">
        <v>14</v>
      </c>
      <c r="E1674" s="122" t="s">
        <v>35</v>
      </c>
      <c r="F1674" s="119" t="s">
        <v>57</v>
      </c>
      <c r="G1674" s="27">
        <v>44476</v>
      </c>
      <c r="H1674" s="26" t="s">
        <v>7659</v>
      </c>
      <c r="I1674" s="113" t="s">
        <v>12400</v>
      </c>
      <c r="J1674" s="113" t="s">
        <v>12401</v>
      </c>
    </row>
    <row r="1675" spans="1:10" ht="20" customHeight="1" thickBot="1">
      <c r="A1675" s="28" t="s">
        <v>7662</v>
      </c>
      <c r="B1675" s="28" t="s">
        <v>7662</v>
      </c>
      <c r="C1675" s="28" t="s">
        <v>452</v>
      </c>
      <c r="D1675" s="117">
        <v>1</v>
      </c>
      <c r="E1675" s="122" t="s">
        <v>33</v>
      </c>
      <c r="F1675" s="120" t="s">
        <v>57</v>
      </c>
      <c r="G1675" s="29">
        <v>45722</v>
      </c>
      <c r="H1675" s="28" t="s">
        <v>7663</v>
      </c>
      <c r="I1675" s="114" t="s">
        <v>12400</v>
      </c>
      <c r="J1675" s="114" t="s">
        <v>12401</v>
      </c>
    </row>
    <row r="1676" spans="1:10" ht="20" customHeight="1" thickBot="1">
      <c r="A1676" s="26" t="s">
        <v>7666</v>
      </c>
      <c r="B1676" s="26" t="s">
        <v>7666</v>
      </c>
      <c r="C1676" s="26" t="s">
        <v>7667</v>
      </c>
      <c r="D1676" s="116">
        <v>8</v>
      </c>
      <c r="E1676" s="122" t="s">
        <v>31</v>
      </c>
      <c r="F1676" s="119" t="s">
        <v>63</v>
      </c>
      <c r="G1676" s="27">
        <v>46025</v>
      </c>
      <c r="H1676" s="26" t="s">
        <v>7668</v>
      </c>
      <c r="I1676" s="113" t="s">
        <v>12400</v>
      </c>
      <c r="J1676" s="113" t="s">
        <v>12401</v>
      </c>
    </row>
    <row r="1677" spans="1:10" ht="20" customHeight="1" thickBot="1">
      <c r="A1677" s="28" t="s">
        <v>7671</v>
      </c>
      <c r="B1677" s="28" t="s">
        <v>7671</v>
      </c>
      <c r="C1677" s="28" t="s">
        <v>2526</v>
      </c>
      <c r="D1677" s="117">
        <v>10</v>
      </c>
      <c r="E1677" s="122" t="s">
        <v>35</v>
      </c>
      <c r="F1677" s="120" t="s">
        <v>57</v>
      </c>
      <c r="G1677" s="29">
        <v>44067</v>
      </c>
      <c r="H1677" s="28" t="s">
        <v>7672</v>
      </c>
      <c r="I1677" s="114" t="s">
        <v>12400</v>
      </c>
      <c r="J1677" s="114" t="s">
        <v>12401</v>
      </c>
    </row>
    <row r="1678" spans="1:10" ht="20" customHeight="1" thickBot="1">
      <c r="A1678" s="26" t="s">
        <v>7675</v>
      </c>
      <c r="B1678" s="26" t="s">
        <v>7675</v>
      </c>
      <c r="C1678" s="26" t="s">
        <v>7676</v>
      </c>
      <c r="D1678" s="116">
        <v>4</v>
      </c>
      <c r="E1678" s="122" t="s">
        <v>29</v>
      </c>
      <c r="F1678" s="119" t="s">
        <v>63</v>
      </c>
      <c r="G1678" s="27">
        <v>44012</v>
      </c>
      <c r="H1678" s="26" t="s">
        <v>7677</v>
      </c>
      <c r="I1678" s="113" t="s">
        <v>12400</v>
      </c>
      <c r="J1678" s="113" t="s">
        <v>12401</v>
      </c>
    </row>
    <row r="1679" spans="1:10" ht="20" customHeight="1" thickBot="1">
      <c r="A1679" s="28" t="s">
        <v>7680</v>
      </c>
      <c r="B1679" s="28" t="s">
        <v>7680</v>
      </c>
      <c r="C1679" s="28" t="s">
        <v>3760</v>
      </c>
      <c r="D1679" s="117">
        <v>4</v>
      </c>
      <c r="E1679" s="122" t="s">
        <v>33</v>
      </c>
      <c r="F1679" s="120" t="s">
        <v>57</v>
      </c>
      <c r="G1679" s="29">
        <v>44326</v>
      </c>
      <c r="H1679" s="28" t="s">
        <v>7681</v>
      </c>
      <c r="I1679" s="114" t="s">
        <v>12400</v>
      </c>
      <c r="J1679" s="114" t="s">
        <v>12401</v>
      </c>
    </row>
    <row r="1680" spans="1:10" ht="20" customHeight="1" thickBot="1">
      <c r="A1680" s="26" t="s">
        <v>7684</v>
      </c>
      <c r="B1680" s="26" t="s">
        <v>7684</v>
      </c>
      <c r="C1680" s="26" t="s">
        <v>1464</v>
      </c>
      <c r="D1680" s="116">
        <v>5</v>
      </c>
      <c r="E1680" s="122" t="s">
        <v>31</v>
      </c>
      <c r="F1680" s="119" t="s">
        <v>57</v>
      </c>
      <c r="G1680" s="27">
        <v>45895</v>
      </c>
      <c r="H1680" s="26" t="s">
        <v>7685</v>
      </c>
      <c r="I1680" s="113" t="s">
        <v>12400</v>
      </c>
      <c r="J1680" s="113" t="s">
        <v>12401</v>
      </c>
    </row>
    <row r="1681" spans="1:10" ht="20" customHeight="1" thickBot="1">
      <c r="A1681" s="28" t="s">
        <v>7688</v>
      </c>
      <c r="B1681" s="28" t="s">
        <v>7688</v>
      </c>
      <c r="C1681" s="28" t="s">
        <v>1464</v>
      </c>
      <c r="D1681" s="117">
        <v>10</v>
      </c>
      <c r="E1681" s="122" t="s">
        <v>31</v>
      </c>
      <c r="F1681" s="120" t="s">
        <v>57</v>
      </c>
      <c r="G1681" s="29">
        <v>46179</v>
      </c>
      <c r="H1681" s="28" t="s">
        <v>7689</v>
      </c>
      <c r="I1681" s="114" t="s">
        <v>12400</v>
      </c>
      <c r="J1681" s="114" t="s">
        <v>12401</v>
      </c>
    </row>
    <row r="1682" spans="1:10" ht="20" customHeight="1" thickBot="1">
      <c r="A1682" s="26" t="s">
        <v>7692</v>
      </c>
      <c r="B1682" s="26" t="s">
        <v>7692</v>
      </c>
      <c r="C1682" s="26" t="s">
        <v>7693</v>
      </c>
      <c r="D1682" s="116">
        <v>22</v>
      </c>
      <c r="E1682" s="122" t="s">
        <v>34</v>
      </c>
      <c r="F1682" s="119" t="s">
        <v>57</v>
      </c>
      <c r="G1682" s="27">
        <v>46032</v>
      </c>
      <c r="H1682" s="26" t="s">
        <v>7694</v>
      </c>
      <c r="I1682" s="113" t="s">
        <v>12400</v>
      </c>
      <c r="J1682" s="113" t="s">
        <v>12401</v>
      </c>
    </row>
    <row r="1683" spans="1:10" ht="20" customHeight="1" thickBot="1">
      <c r="A1683" s="28" t="s">
        <v>7697</v>
      </c>
      <c r="B1683" s="28" t="s">
        <v>7697</v>
      </c>
      <c r="C1683" s="28" t="s">
        <v>4724</v>
      </c>
      <c r="D1683" s="117">
        <v>7</v>
      </c>
      <c r="E1683" s="122" t="s">
        <v>27</v>
      </c>
      <c r="F1683" s="120" t="s">
        <v>63</v>
      </c>
      <c r="G1683" s="29">
        <v>44749</v>
      </c>
      <c r="H1683" s="28" t="s">
        <v>7698</v>
      </c>
      <c r="I1683" s="114" t="s">
        <v>12400</v>
      </c>
      <c r="J1683" s="114" t="s">
        <v>12401</v>
      </c>
    </row>
    <row r="1684" spans="1:10" ht="20" customHeight="1" thickBot="1">
      <c r="A1684" s="26" t="s">
        <v>7701</v>
      </c>
      <c r="B1684" s="26" t="s">
        <v>7701</v>
      </c>
      <c r="C1684" s="26" t="s">
        <v>7702</v>
      </c>
      <c r="D1684" s="116">
        <v>8</v>
      </c>
      <c r="E1684" s="122" t="s">
        <v>29</v>
      </c>
      <c r="F1684" s="119" t="s">
        <v>63</v>
      </c>
      <c r="G1684" s="27">
        <v>45010</v>
      </c>
      <c r="H1684" s="26" t="s">
        <v>7703</v>
      </c>
      <c r="I1684" s="113" t="s">
        <v>12400</v>
      </c>
      <c r="J1684" s="113" t="s">
        <v>12401</v>
      </c>
    </row>
    <row r="1685" spans="1:10" ht="20" customHeight="1" thickBot="1">
      <c r="A1685" s="28" t="s">
        <v>7706</v>
      </c>
      <c r="B1685" s="28" t="s">
        <v>7706</v>
      </c>
      <c r="C1685" s="28" t="s">
        <v>3893</v>
      </c>
      <c r="D1685" s="117">
        <v>23</v>
      </c>
      <c r="E1685" s="122" t="s">
        <v>29</v>
      </c>
      <c r="F1685" s="120" t="s">
        <v>63</v>
      </c>
      <c r="G1685" s="29">
        <v>45224</v>
      </c>
      <c r="H1685" s="28" t="s">
        <v>7707</v>
      </c>
      <c r="I1685" s="114" t="s">
        <v>12400</v>
      </c>
      <c r="J1685" s="114" t="s">
        <v>12401</v>
      </c>
    </row>
    <row r="1686" spans="1:10" ht="20" customHeight="1" thickBot="1">
      <c r="A1686" s="26" t="s">
        <v>7710</v>
      </c>
      <c r="B1686" s="26" t="s">
        <v>7710</v>
      </c>
      <c r="C1686" s="26" t="s">
        <v>7711</v>
      </c>
      <c r="D1686" s="116">
        <v>19</v>
      </c>
      <c r="E1686" s="122" t="s">
        <v>33</v>
      </c>
      <c r="F1686" s="119" t="s">
        <v>63</v>
      </c>
      <c r="G1686" s="27">
        <v>43140</v>
      </c>
      <c r="H1686" s="26" t="s">
        <v>7712</v>
      </c>
      <c r="I1686" s="113" t="s">
        <v>12400</v>
      </c>
      <c r="J1686" s="113" t="s">
        <v>12401</v>
      </c>
    </row>
    <row r="1687" spans="1:10" ht="20" customHeight="1" thickBot="1">
      <c r="A1687" s="28" t="s">
        <v>7715</v>
      </c>
      <c r="B1687" s="28" t="s">
        <v>7715</v>
      </c>
      <c r="C1687" s="28" t="s">
        <v>2763</v>
      </c>
      <c r="D1687" s="117">
        <v>0</v>
      </c>
      <c r="E1687" s="122" t="s">
        <v>34</v>
      </c>
      <c r="F1687" s="120" t="s">
        <v>57</v>
      </c>
      <c r="G1687" s="29">
        <v>45054</v>
      </c>
      <c r="H1687" s="28" t="s">
        <v>7716</v>
      </c>
      <c r="I1687" s="114" t="s">
        <v>12400</v>
      </c>
      <c r="J1687" s="114" t="s">
        <v>12401</v>
      </c>
    </row>
    <row r="1688" spans="1:10" ht="20" customHeight="1" thickBot="1">
      <c r="A1688" s="26" t="s">
        <v>7719</v>
      </c>
      <c r="B1688" s="26" t="s">
        <v>7719</v>
      </c>
      <c r="C1688" s="26" t="s">
        <v>2142</v>
      </c>
      <c r="D1688" s="116">
        <v>17</v>
      </c>
      <c r="E1688" s="122" t="s">
        <v>35</v>
      </c>
      <c r="F1688" s="119" t="s">
        <v>57</v>
      </c>
      <c r="G1688" s="27">
        <v>44362</v>
      </c>
      <c r="H1688" s="26" t="s">
        <v>7720</v>
      </c>
      <c r="I1688" s="113" t="s">
        <v>12400</v>
      </c>
      <c r="J1688" s="113" t="s">
        <v>12401</v>
      </c>
    </row>
    <row r="1689" spans="1:10" ht="20" customHeight="1" thickBot="1">
      <c r="A1689" s="28" t="s">
        <v>7723</v>
      </c>
      <c r="B1689" s="28" t="s">
        <v>7723</v>
      </c>
      <c r="C1689" s="28" t="s">
        <v>528</v>
      </c>
      <c r="D1689" s="117">
        <v>37</v>
      </c>
      <c r="E1689" s="122" t="s">
        <v>31</v>
      </c>
      <c r="F1689" s="120" t="s">
        <v>63</v>
      </c>
      <c r="G1689" s="29">
        <v>42342</v>
      </c>
      <c r="H1689" s="28" t="s">
        <v>7724</v>
      </c>
      <c r="I1689" s="114" t="s">
        <v>12400</v>
      </c>
      <c r="J1689" s="114" t="s">
        <v>12401</v>
      </c>
    </row>
    <row r="1690" spans="1:10" ht="20" customHeight="1" thickBot="1">
      <c r="A1690" s="26" t="s">
        <v>7727</v>
      </c>
      <c r="B1690" s="26" t="s">
        <v>7727</v>
      </c>
      <c r="C1690" s="26" t="s">
        <v>7728</v>
      </c>
      <c r="D1690" s="116">
        <v>6</v>
      </c>
      <c r="E1690" s="122" t="s">
        <v>34</v>
      </c>
      <c r="F1690" s="119" t="s">
        <v>57</v>
      </c>
      <c r="G1690" s="27">
        <v>45984</v>
      </c>
      <c r="H1690" s="26" t="s">
        <v>7729</v>
      </c>
      <c r="I1690" s="113" t="s">
        <v>12400</v>
      </c>
      <c r="J1690" s="113" t="s">
        <v>12401</v>
      </c>
    </row>
    <row r="1691" spans="1:10" ht="20" customHeight="1" thickBot="1">
      <c r="A1691" s="28" t="s">
        <v>7732</v>
      </c>
      <c r="B1691" s="28" t="s">
        <v>7732</v>
      </c>
      <c r="C1691" s="28" t="s">
        <v>6277</v>
      </c>
      <c r="D1691" s="117">
        <v>16</v>
      </c>
      <c r="E1691" s="122" t="s">
        <v>29</v>
      </c>
      <c r="F1691" s="120" t="s">
        <v>63</v>
      </c>
      <c r="G1691" s="29">
        <v>41445</v>
      </c>
      <c r="H1691" s="28" t="s">
        <v>7733</v>
      </c>
      <c r="I1691" s="114" t="s">
        <v>12400</v>
      </c>
      <c r="J1691" s="114" t="s">
        <v>12401</v>
      </c>
    </row>
    <row r="1692" spans="1:10" ht="20" customHeight="1" thickBot="1">
      <c r="A1692" s="26" t="s">
        <v>7736</v>
      </c>
      <c r="B1692" s="26" t="s">
        <v>7736</v>
      </c>
      <c r="C1692" s="26" t="s">
        <v>7737</v>
      </c>
      <c r="D1692" s="116">
        <v>6</v>
      </c>
      <c r="E1692" s="122" t="s">
        <v>29</v>
      </c>
      <c r="F1692" s="119" t="s">
        <v>63</v>
      </c>
      <c r="G1692" s="27">
        <v>42056</v>
      </c>
      <c r="H1692" s="26" t="s">
        <v>7738</v>
      </c>
      <c r="I1692" s="113" t="s">
        <v>12400</v>
      </c>
      <c r="J1692" s="113" t="s">
        <v>12401</v>
      </c>
    </row>
    <row r="1693" spans="1:10" ht="20" customHeight="1" thickBot="1">
      <c r="A1693" s="28" t="s">
        <v>7741</v>
      </c>
      <c r="B1693" s="28" t="s">
        <v>7741</v>
      </c>
      <c r="C1693" s="28" t="s">
        <v>641</v>
      </c>
      <c r="D1693" s="117">
        <v>3</v>
      </c>
      <c r="E1693" s="122" t="s">
        <v>35</v>
      </c>
      <c r="F1693" s="120" t="s">
        <v>57</v>
      </c>
      <c r="G1693" s="29">
        <v>44515</v>
      </c>
      <c r="H1693" s="28" t="s">
        <v>7742</v>
      </c>
      <c r="I1693" s="114" t="s">
        <v>12400</v>
      </c>
      <c r="J1693" s="114" t="s">
        <v>12401</v>
      </c>
    </row>
    <row r="1694" spans="1:10" ht="20" customHeight="1" thickBot="1">
      <c r="A1694" s="26" t="s">
        <v>7745</v>
      </c>
      <c r="B1694" s="26" t="s">
        <v>7745</v>
      </c>
      <c r="C1694" s="26" t="s">
        <v>3356</v>
      </c>
      <c r="D1694" s="116">
        <v>11</v>
      </c>
      <c r="E1694" s="122" t="s">
        <v>34</v>
      </c>
      <c r="F1694" s="119" t="s">
        <v>57</v>
      </c>
      <c r="G1694" s="27">
        <v>44312</v>
      </c>
      <c r="H1694" s="26" t="s">
        <v>7746</v>
      </c>
      <c r="I1694" s="113" t="s">
        <v>12400</v>
      </c>
      <c r="J1694" s="113" t="s">
        <v>12401</v>
      </c>
    </row>
    <row r="1695" spans="1:10" ht="20" customHeight="1" thickBot="1">
      <c r="A1695" s="28" t="s">
        <v>7749</v>
      </c>
      <c r="B1695" s="28" t="s">
        <v>7749</v>
      </c>
      <c r="C1695" s="28" t="s">
        <v>3356</v>
      </c>
      <c r="D1695" s="117">
        <v>11</v>
      </c>
      <c r="E1695" s="122" t="s">
        <v>34</v>
      </c>
      <c r="F1695" s="120" t="s">
        <v>57</v>
      </c>
      <c r="G1695" s="29">
        <v>44374</v>
      </c>
      <c r="H1695" s="28" t="s">
        <v>7750</v>
      </c>
      <c r="I1695" s="114" t="s">
        <v>12400</v>
      </c>
      <c r="J1695" s="114" t="s">
        <v>12401</v>
      </c>
    </row>
    <row r="1696" spans="1:10" ht="20" customHeight="1" thickBot="1">
      <c r="A1696" s="26" t="s">
        <v>7753</v>
      </c>
      <c r="B1696" s="26" t="s">
        <v>7753</v>
      </c>
      <c r="C1696" s="26" t="s">
        <v>1556</v>
      </c>
      <c r="D1696" s="116">
        <v>1</v>
      </c>
      <c r="E1696" s="122" t="s">
        <v>36</v>
      </c>
      <c r="F1696" s="119" t="s">
        <v>57</v>
      </c>
      <c r="G1696" s="27">
        <v>44481</v>
      </c>
      <c r="H1696" s="26" t="s">
        <v>7754</v>
      </c>
      <c r="I1696" s="113" t="s">
        <v>12400</v>
      </c>
      <c r="J1696" s="113" t="s">
        <v>12401</v>
      </c>
    </row>
    <row r="1697" spans="1:10" ht="20" customHeight="1" thickBot="1">
      <c r="A1697" s="28" t="s">
        <v>7757</v>
      </c>
      <c r="B1697" s="28" t="s">
        <v>7757</v>
      </c>
      <c r="C1697" s="28" t="s">
        <v>7525</v>
      </c>
      <c r="D1697" s="117">
        <v>27</v>
      </c>
      <c r="E1697" s="122" t="s">
        <v>33</v>
      </c>
      <c r="F1697" s="120" t="s">
        <v>57</v>
      </c>
      <c r="G1697" s="29">
        <v>43606</v>
      </c>
      <c r="H1697" s="28" t="s">
        <v>7758</v>
      </c>
      <c r="I1697" s="114" t="s">
        <v>12400</v>
      </c>
      <c r="J1697" s="114" t="s">
        <v>12401</v>
      </c>
    </row>
    <row r="1698" spans="1:10" ht="20" customHeight="1" thickBot="1">
      <c r="A1698" s="26" t="s">
        <v>7761</v>
      </c>
      <c r="B1698" s="26" t="s">
        <v>7761</v>
      </c>
      <c r="C1698" s="26" t="s">
        <v>900</v>
      </c>
      <c r="D1698" s="116">
        <v>14</v>
      </c>
      <c r="E1698" s="122" t="s">
        <v>35</v>
      </c>
      <c r="F1698" s="119" t="s">
        <v>57</v>
      </c>
      <c r="G1698" s="27">
        <v>45268</v>
      </c>
      <c r="H1698" s="26" t="s">
        <v>7762</v>
      </c>
      <c r="I1698" s="113" t="s">
        <v>12400</v>
      </c>
      <c r="J1698" s="113" t="s">
        <v>12401</v>
      </c>
    </row>
    <row r="1699" spans="1:10" ht="20" customHeight="1" thickBot="1">
      <c r="A1699" s="28" t="s">
        <v>7765</v>
      </c>
      <c r="B1699" s="28" t="s">
        <v>7765</v>
      </c>
      <c r="C1699" s="28" t="s">
        <v>1804</v>
      </c>
      <c r="D1699" s="117">
        <v>5</v>
      </c>
      <c r="E1699" s="122" t="s">
        <v>29</v>
      </c>
      <c r="F1699" s="120" t="s">
        <v>63</v>
      </c>
      <c r="G1699" s="29">
        <v>42616</v>
      </c>
      <c r="H1699" s="28" t="s">
        <v>7766</v>
      </c>
      <c r="I1699" s="114" t="s">
        <v>12400</v>
      </c>
      <c r="J1699" s="114" t="s">
        <v>12401</v>
      </c>
    </row>
    <row r="1700" spans="1:10" ht="20" customHeight="1" thickBot="1">
      <c r="A1700" s="26" t="s">
        <v>7769</v>
      </c>
      <c r="B1700" s="26" t="s">
        <v>7769</v>
      </c>
      <c r="C1700" s="26" t="s">
        <v>7770</v>
      </c>
      <c r="D1700" s="116">
        <v>7</v>
      </c>
      <c r="E1700" s="122" t="s">
        <v>27</v>
      </c>
      <c r="F1700" s="119" t="s">
        <v>63</v>
      </c>
      <c r="G1700" s="27">
        <v>41447</v>
      </c>
      <c r="H1700" s="26" t="s">
        <v>7771</v>
      </c>
      <c r="I1700" s="113" t="s">
        <v>12400</v>
      </c>
      <c r="J1700" s="113" t="s">
        <v>12401</v>
      </c>
    </row>
    <row r="1701" spans="1:10" ht="20" customHeight="1" thickBot="1">
      <c r="A1701" s="28" t="s">
        <v>7774</v>
      </c>
      <c r="B1701" s="28" t="s">
        <v>7774</v>
      </c>
      <c r="C1701" s="28" t="s">
        <v>5971</v>
      </c>
      <c r="D1701" s="117">
        <v>35</v>
      </c>
      <c r="E1701" s="122" t="s">
        <v>27</v>
      </c>
      <c r="F1701" s="120" t="s">
        <v>63</v>
      </c>
      <c r="G1701" s="29">
        <v>41585</v>
      </c>
      <c r="H1701" s="28" t="s">
        <v>7775</v>
      </c>
      <c r="I1701" s="114" t="s">
        <v>12400</v>
      </c>
      <c r="J1701" s="114" t="s">
        <v>12401</v>
      </c>
    </row>
    <row r="1702" spans="1:10" ht="20" customHeight="1" thickBot="1">
      <c r="A1702" s="26" t="s">
        <v>7778</v>
      </c>
      <c r="B1702" s="26" t="s">
        <v>7778</v>
      </c>
      <c r="C1702" s="26" t="s">
        <v>5971</v>
      </c>
      <c r="D1702" s="116">
        <v>87</v>
      </c>
      <c r="E1702" s="122" t="s">
        <v>31</v>
      </c>
      <c r="F1702" s="119" t="s">
        <v>63</v>
      </c>
      <c r="G1702" s="27">
        <v>42316</v>
      </c>
      <c r="H1702" s="26" t="s">
        <v>7779</v>
      </c>
      <c r="I1702" s="113" t="s">
        <v>12400</v>
      </c>
      <c r="J1702" s="113" t="s">
        <v>12401</v>
      </c>
    </row>
    <row r="1703" spans="1:10" ht="20" customHeight="1" thickBot="1">
      <c r="A1703" s="28" t="s">
        <v>7782</v>
      </c>
      <c r="B1703" s="28" t="s">
        <v>7782</v>
      </c>
      <c r="C1703" s="28" t="s">
        <v>5375</v>
      </c>
      <c r="D1703" s="117">
        <v>69</v>
      </c>
      <c r="E1703" s="122" t="s">
        <v>35</v>
      </c>
      <c r="F1703" s="120" t="s">
        <v>57</v>
      </c>
      <c r="G1703" s="29">
        <v>44939</v>
      </c>
      <c r="H1703" s="28" t="s">
        <v>7783</v>
      </c>
      <c r="I1703" s="114" t="s">
        <v>12400</v>
      </c>
      <c r="J1703" s="114" t="s">
        <v>12401</v>
      </c>
    </row>
    <row r="1704" spans="1:10" ht="20" customHeight="1" thickBot="1">
      <c r="A1704" s="26" t="s">
        <v>7786</v>
      </c>
      <c r="B1704" s="26" t="s">
        <v>7786</v>
      </c>
      <c r="C1704" s="26" t="s">
        <v>7787</v>
      </c>
      <c r="D1704" s="116">
        <v>9</v>
      </c>
      <c r="E1704" s="122" t="s">
        <v>31</v>
      </c>
      <c r="F1704" s="119" t="s">
        <v>63</v>
      </c>
      <c r="G1704" s="27">
        <v>44167</v>
      </c>
      <c r="H1704" s="26" t="s">
        <v>7788</v>
      </c>
      <c r="I1704" s="113" t="s">
        <v>12400</v>
      </c>
      <c r="J1704" s="113" t="s">
        <v>12401</v>
      </c>
    </row>
    <row r="1705" spans="1:10" ht="20" customHeight="1" thickBot="1">
      <c r="A1705" s="28" t="s">
        <v>7791</v>
      </c>
      <c r="B1705" s="28" t="s">
        <v>7791</v>
      </c>
      <c r="C1705" s="28" t="s">
        <v>7596</v>
      </c>
      <c r="D1705" s="117">
        <v>7</v>
      </c>
      <c r="E1705" s="122" t="s">
        <v>36</v>
      </c>
      <c r="F1705" s="120" t="s">
        <v>57</v>
      </c>
      <c r="G1705" s="29">
        <v>45377</v>
      </c>
      <c r="H1705" s="28" t="s">
        <v>7792</v>
      </c>
      <c r="I1705" s="114" t="s">
        <v>12400</v>
      </c>
      <c r="J1705" s="114" t="s">
        <v>12401</v>
      </c>
    </row>
    <row r="1706" spans="1:10" ht="20" customHeight="1" thickBot="1">
      <c r="A1706" s="26" t="s">
        <v>7795</v>
      </c>
      <c r="B1706" s="26" t="s">
        <v>7795</v>
      </c>
      <c r="C1706" s="26" t="s">
        <v>7796</v>
      </c>
      <c r="D1706" s="116">
        <v>7</v>
      </c>
      <c r="E1706" s="122" t="s">
        <v>29</v>
      </c>
      <c r="F1706" s="119" t="s">
        <v>63</v>
      </c>
      <c r="G1706" s="27">
        <v>46170</v>
      </c>
      <c r="H1706" s="26" t="s">
        <v>7797</v>
      </c>
      <c r="I1706" s="113" t="s">
        <v>12400</v>
      </c>
      <c r="J1706" s="113" t="s">
        <v>12401</v>
      </c>
    </row>
    <row r="1707" spans="1:10" ht="20" customHeight="1" thickBot="1">
      <c r="A1707" s="28" t="s">
        <v>7800</v>
      </c>
      <c r="B1707" s="28" t="s">
        <v>7800</v>
      </c>
      <c r="C1707" s="28" t="s">
        <v>7801</v>
      </c>
      <c r="D1707" s="117">
        <v>6</v>
      </c>
      <c r="E1707" s="122" t="s">
        <v>27</v>
      </c>
      <c r="F1707" s="120" t="s">
        <v>63</v>
      </c>
      <c r="G1707" s="29">
        <v>43575</v>
      </c>
      <c r="H1707" s="28" t="s">
        <v>7802</v>
      </c>
      <c r="I1707" s="114" t="s">
        <v>12400</v>
      </c>
      <c r="J1707" s="114" t="s">
        <v>12401</v>
      </c>
    </row>
    <row r="1708" spans="1:10" ht="20" customHeight="1" thickBot="1">
      <c r="A1708" s="26" t="s">
        <v>7805</v>
      </c>
      <c r="B1708" s="26" t="s">
        <v>7805</v>
      </c>
      <c r="C1708" s="26" t="s">
        <v>7806</v>
      </c>
      <c r="D1708" s="116">
        <v>8</v>
      </c>
      <c r="E1708" s="122" t="s">
        <v>29</v>
      </c>
      <c r="F1708" s="119" t="s">
        <v>63</v>
      </c>
      <c r="G1708" s="27">
        <v>42267</v>
      </c>
      <c r="H1708" s="26" t="s">
        <v>7807</v>
      </c>
      <c r="I1708" s="113" t="s">
        <v>12400</v>
      </c>
      <c r="J1708" s="113" t="s">
        <v>12401</v>
      </c>
    </row>
    <row r="1709" spans="1:10" ht="20" customHeight="1" thickBot="1">
      <c r="A1709" s="28" t="s">
        <v>7810</v>
      </c>
      <c r="B1709" s="28" t="s">
        <v>7810</v>
      </c>
      <c r="C1709" s="28" t="s">
        <v>427</v>
      </c>
      <c r="D1709" s="117">
        <v>36</v>
      </c>
      <c r="E1709" s="122" t="s">
        <v>34</v>
      </c>
      <c r="F1709" s="120" t="s">
        <v>57</v>
      </c>
      <c r="G1709" s="29">
        <v>44517</v>
      </c>
      <c r="H1709" s="28" t="s">
        <v>7811</v>
      </c>
      <c r="I1709" s="114" t="s">
        <v>12400</v>
      </c>
      <c r="J1709" s="114" t="s">
        <v>12401</v>
      </c>
    </row>
    <row r="1710" spans="1:10" ht="20" customHeight="1" thickBot="1">
      <c r="A1710" s="26" t="s">
        <v>7814</v>
      </c>
      <c r="B1710" s="26" t="s">
        <v>7814</v>
      </c>
      <c r="C1710" s="26" t="s">
        <v>7815</v>
      </c>
      <c r="D1710" s="116">
        <v>6</v>
      </c>
      <c r="E1710" s="122" t="s">
        <v>33</v>
      </c>
      <c r="F1710" s="119" t="s">
        <v>115</v>
      </c>
      <c r="G1710" s="27">
        <v>45374</v>
      </c>
      <c r="H1710" s="26" t="s">
        <v>7816</v>
      </c>
      <c r="I1710" s="113" t="s">
        <v>12400</v>
      </c>
      <c r="J1710" s="113" t="s">
        <v>12401</v>
      </c>
    </row>
    <row r="1711" spans="1:10" ht="20" customHeight="1" thickBot="1">
      <c r="A1711" s="28" t="s">
        <v>7819</v>
      </c>
      <c r="B1711" s="28" t="s">
        <v>7819</v>
      </c>
      <c r="C1711" s="28" t="s">
        <v>7820</v>
      </c>
      <c r="D1711" s="117">
        <v>20</v>
      </c>
      <c r="E1711" s="122" t="s">
        <v>35</v>
      </c>
      <c r="F1711" s="120" t="s">
        <v>57</v>
      </c>
      <c r="G1711" s="29">
        <v>46094</v>
      </c>
      <c r="H1711" s="28" t="s">
        <v>7821</v>
      </c>
      <c r="I1711" s="114" t="s">
        <v>12400</v>
      </c>
      <c r="J1711" s="114" t="s">
        <v>12401</v>
      </c>
    </row>
    <row r="1712" spans="1:10" ht="20" customHeight="1" thickBot="1">
      <c r="A1712" s="26" t="s">
        <v>7824</v>
      </c>
      <c r="B1712" s="26" t="s">
        <v>7824</v>
      </c>
      <c r="C1712" s="26" t="s">
        <v>7825</v>
      </c>
      <c r="D1712" s="116">
        <v>10</v>
      </c>
      <c r="E1712" s="122" t="s">
        <v>31</v>
      </c>
      <c r="F1712" s="119" t="s">
        <v>57</v>
      </c>
      <c r="G1712" s="27">
        <v>43921</v>
      </c>
      <c r="H1712" s="26" t="s">
        <v>7826</v>
      </c>
      <c r="I1712" s="113" t="s">
        <v>12400</v>
      </c>
      <c r="J1712" s="113" t="s">
        <v>12401</v>
      </c>
    </row>
    <row r="1713" spans="1:10" ht="20" customHeight="1" thickBot="1">
      <c r="A1713" s="28" t="s">
        <v>7829</v>
      </c>
      <c r="B1713" s="28" t="s">
        <v>7829</v>
      </c>
      <c r="C1713" s="28" t="s">
        <v>7830</v>
      </c>
      <c r="D1713" s="117">
        <v>15</v>
      </c>
      <c r="E1713" s="122" t="s">
        <v>33</v>
      </c>
      <c r="F1713" s="120" t="s">
        <v>57</v>
      </c>
      <c r="G1713" s="29">
        <v>44242</v>
      </c>
      <c r="H1713" s="28" t="s">
        <v>7831</v>
      </c>
      <c r="I1713" s="114" t="s">
        <v>12400</v>
      </c>
      <c r="J1713" s="114" t="s">
        <v>12401</v>
      </c>
    </row>
    <row r="1714" spans="1:10" ht="20" customHeight="1" thickBot="1">
      <c r="A1714" s="26" t="s">
        <v>7834</v>
      </c>
      <c r="B1714" s="26" t="s">
        <v>7834</v>
      </c>
      <c r="C1714" s="26" t="s">
        <v>7830</v>
      </c>
      <c r="D1714" s="116">
        <v>14</v>
      </c>
      <c r="E1714" s="122" t="s">
        <v>33</v>
      </c>
      <c r="F1714" s="119" t="s">
        <v>57</v>
      </c>
      <c r="G1714" s="27">
        <v>44145</v>
      </c>
      <c r="H1714" s="26" t="s">
        <v>7835</v>
      </c>
      <c r="I1714" s="113" t="s">
        <v>12400</v>
      </c>
      <c r="J1714" s="113" t="s">
        <v>12401</v>
      </c>
    </row>
    <row r="1715" spans="1:10" ht="20" customHeight="1" thickBot="1">
      <c r="A1715" s="28" t="s">
        <v>7838</v>
      </c>
      <c r="B1715" s="28" t="s">
        <v>7838</v>
      </c>
      <c r="C1715" s="28" t="s">
        <v>7830</v>
      </c>
      <c r="D1715" s="117">
        <v>24</v>
      </c>
      <c r="E1715" s="122" t="s">
        <v>33</v>
      </c>
      <c r="F1715" s="120" t="s">
        <v>57</v>
      </c>
      <c r="G1715" s="29">
        <v>44669</v>
      </c>
      <c r="H1715" s="28" t="s">
        <v>7839</v>
      </c>
      <c r="I1715" s="114" t="s">
        <v>12400</v>
      </c>
      <c r="J1715" s="114" t="s">
        <v>12401</v>
      </c>
    </row>
    <row r="1716" spans="1:10" ht="20" customHeight="1" thickBot="1">
      <c r="A1716" s="26" t="s">
        <v>7842</v>
      </c>
      <c r="B1716" s="26" t="s">
        <v>7842</v>
      </c>
      <c r="C1716" s="26" t="s">
        <v>7843</v>
      </c>
      <c r="D1716" s="116">
        <v>30</v>
      </c>
      <c r="E1716" s="122" t="s">
        <v>31</v>
      </c>
      <c r="F1716" s="119" t="s">
        <v>115</v>
      </c>
      <c r="G1716" s="27">
        <v>44650</v>
      </c>
      <c r="H1716" s="26" t="s">
        <v>7844</v>
      </c>
      <c r="I1716" s="113" t="s">
        <v>12400</v>
      </c>
      <c r="J1716" s="113" t="s">
        <v>12401</v>
      </c>
    </row>
    <row r="1717" spans="1:10" ht="20" customHeight="1" thickBot="1">
      <c r="A1717" s="28" t="s">
        <v>7847</v>
      </c>
      <c r="B1717" s="28" t="s">
        <v>7847</v>
      </c>
      <c r="C1717" s="28" t="s">
        <v>7848</v>
      </c>
      <c r="D1717" s="117">
        <v>11</v>
      </c>
      <c r="E1717" s="122" t="s">
        <v>29</v>
      </c>
      <c r="F1717" s="120" t="s">
        <v>63</v>
      </c>
      <c r="G1717" s="29">
        <v>42215</v>
      </c>
      <c r="H1717" s="28" t="s">
        <v>7849</v>
      </c>
      <c r="I1717" s="114" t="s">
        <v>12400</v>
      </c>
      <c r="J1717" s="114" t="s">
        <v>12401</v>
      </c>
    </row>
    <row r="1718" spans="1:10" ht="20" customHeight="1" thickBot="1">
      <c r="A1718" s="26" t="s">
        <v>7852</v>
      </c>
      <c r="B1718" s="26" t="s">
        <v>7852</v>
      </c>
      <c r="C1718" s="26" t="s">
        <v>7853</v>
      </c>
      <c r="D1718" s="116">
        <v>18</v>
      </c>
      <c r="E1718" s="122" t="s">
        <v>34</v>
      </c>
      <c r="F1718" s="119" t="s">
        <v>57</v>
      </c>
      <c r="G1718" s="27">
        <v>45547</v>
      </c>
      <c r="H1718" s="26" t="s">
        <v>7854</v>
      </c>
      <c r="I1718" s="113" t="s">
        <v>12400</v>
      </c>
      <c r="J1718" s="113" t="s">
        <v>12401</v>
      </c>
    </row>
    <row r="1719" spans="1:10" ht="20" customHeight="1" thickBot="1">
      <c r="A1719" s="28" t="s">
        <v>7857</v>
      </c>
      <c r="B1719" s="28" t="s">
        <v>7857</v>
      </c>
      <c r="C1719" s="28" t="s">
        <v>7858</v>
      </c>
      <c r="D1719" s="117">
        <v>8</v>
      </c>
      <c r="E1719" s="122" t="s">
        <v>33</v>
      </c>
      <c r="F1719" s="120" t="s">
        <v>57</v>
      </c>
      <c r="G1719" s="29">
        <v>45202</v>
      </c>
      <c r="H1719" s="28" t="s">
        <v>7859</v>
      </c>
      <c r="I1719" s="114" t="s">
        <v>12400</v>
      </c>
      <c r="J1719" s="114" t="s">
        <v>12401</v>
      </c>
    </row>
    <row r="1720" spans="1:10" ht="20" customHeight="1" thickBot="1">
      <c r="A1720" s="26" t="s">
        <v>7862</v>
      </c>
      <c r="B1720" s="26" t="s">
        <v>7862</v>
      </c>
      <c r="C1720" s="26" t="s">
        <v>2573</v>
      </c>
      <c r="D1720" s="116">
        <v>16</v>
      </c>
      <c r="E1720" s="122" t="s">
        <v>35</v>
      </c>
      <c r="F1720" s="119" t="s">
        <v>57</v>
      </c>
      <c r="G1720" s="27">
        <v>44804</v>
      </c>
      <c r="H1720" s="26" t="s">
        <v>7863</v>
      </c>
      <c r="I1720" s="113" t="s">
        <v>12400</v>
      </c>
      <c r="J1720" s="113" t="s">
        <v>12401</v>
      </c>
    </row>
    <row r="1721" spans="1:10" ht="20" customHeight="1" thickBot="1">
      <c r="A1721" s="28" t="s">
        <v>7866</v>
      </c>
      <c r="B1721" s="28" t="s">
        <v>7866</v>
      </c>
      <c r="C1721" s="28" t="s">
        <v>3247</v>
      </c>
      <c r="D1721" s="117">
        <v>15</v>
      </c>
      <c r="E1721" s="122" t="s">
        <v>33</v>
      </c>
      <c r="F1721" s="120" t="s">
        <v>57</v>
      </c>
      <c r="G1721" s="29">
        <v>45455</v>
      </c>
      <c r="H1721" s="28" t="s">
        <v>7867</v>
      </c>
      <c r="I1721" s="114" t="s">
        <v>12400</v>
      </c>
      <c r="J1721" s="114" t="s">
        <v>12401</v>
      </c>
    </row>
    <row r="1722" spans="1:10" ht="20" customHeight="1" thickBot="1">
      <c r="A1722" s="26" t="s">
        <v>7870</v>
      </c>
      <c r="B1722" s="26" t="s">
        <v>7870</v>
      </c>
      <c r="C1722" s="26" t="s">
        <v>7530</v>
      </c>
      <c r="D1722" s="116">
        <v>30</v>
      </c>
      <c r="E1722" s="122" t="s">
        <v>35</v>
      </c>
      <c r="F1722" s="119" t="s">
        <v>57</v>
      </c>
      <c r="G1722" s="27">
        <v>43303</v>
      </c>
      <c r="H1722" s="26" t="s">
        <v>7871</v>
      </c>
      <c r="I1722" s="113" t="s">
        <v>12400</v>
      </c>
      <c r="J1722" s="113" t="s">
        <v>12401</v>
      </c>
    </row>
    <row r="1723" spans="1:10" ht="20" customHeight="1" thickBot="1">
      <c r="A1723" s="28" t="s">
        <v>7874</v>
      </c>
      <c r="B1723" s="28" t="s">
        <v>7874</v>
      </c>
      <c r="C1723" s="28" t="s">
        <v>7875</v>
      </c>
      <c r="D1723" s="117">
        <v>113</v>
      </c>
      <c r="E1723" s="122" t="s">
        <v>33</v>
      </c>
      <c r="F1723" s="120" t="s">
        <v>63</v>
      </c>
      <c r="G1723" s="29">
        <v>42320</v>
      </c>
      <c r="H1723" s="28" t="s">
        <v>7876</v>
      </c>
      <c r="I1723" s="114" t="s">
        <v>12400</v>
      </c>
      <c r="J1723" s="114" t="s">
        <v>12401</v>
      </c>
    </row>
    <row r="1724" spans="1:10" ht="20" customHeight="1" thickBot="1">
      <c r="A1724" s="26" t="s">
        <v>7879</v>
      </c>
      <c r="B1724" s="26" t="s">
        <v>7879</v>
      </c>
      <c r="C1724" s="26" t="s">
        <v>7880</v>
      </c>
      <c r="D1724" s="116">
        <v>22</v>
      </c>
      <c r="E1724" s="122" t="s">
        <v>34</v>
      </c>
      <c r="F1724" s="119" t="s">
        <v>57</v>
      </c>
      <c r="G1724" s="27">
        <v>44672</v>
      </c>
      <c r="H1724" s="26" t="s">
        <v>7881</v>
      </c>
      <c r="I1724" s="113" t="s">
        <v>12400</v>
      </c>
      <c r="J1724" s="113" t="s">
        <v>12401</v>
      </c>
    </row>
    <row r="1725" spans="1:10" ht="20" customHeight="1" thickBot="1">
      <c r="A1725" s="28" t="s">
        <v>7884</v>
      </c>
      <c r="B1725" s="28" t="s">
        <v>7884</v>
      </c>
      <c r="C1725" s="28" t="s">
        <v>3769</v>
      </c>
      <c r="D1725" s="117">
        <v>25</v>
      </c>
      <c r="E1725" s="122" t="s">
        <v>34</v>
      </c>
      <c r="F1725" s="120" t="s">
        <v>57</v>
      </c>
      <c r="G1725" s="29">
        <v>43499</v>
      </c>
      <c r="H1725" s="28" t="s">
        <v>7885</v>
      </c>
      <c r="I1725" s="114" t="s">
        <v>12400</v>
      </c>
      <c r="J1725" s="114" t="s">
        <v>12401</v>
      </c>
    </row>
    <row r="1726" spans="1:10" ht="20" customHeight="1" thickBot="1">
      <c r="A1726" s="26" t="s">
        <v>7888</v>
      </c>
      <c r="B1726" s="26" t="s">
        <v>7888</v>
      </c>
      <c r="C1726" s="26" t="s">
        <v>7889</v>
      </c>
      <c r="D1726" s="116">
        <v>13</v>
      </c>
      <c r="E1726" s="122" t="s">
        <v>33</v>
      </c>
      <c r="F1726" s="119" t="s">
        <v>57</v>
      </c>
      <c r="G1726" s="27">
        <v>44163</v>
      </c>
      <c r="H1726" s="26" t="s">
        <v>7890</v>
      </c>
      <c r="I1726" s="113" t="s">
        <v>12400</v>
      </c>
      <c r="J1726" s="113" t="s">
        <v>12401</v>
      </c>
    </row>
    <row r="1727" spans="1:10" ht="20" customHeight="1" thickBot="1">
      <c r="A1727" s="28" t="s">
        <v>7893</v>
      </c>
      <c r="B1727" s="28" t="s">
        <v>7893</v>
      </c>
      <c r="C1727" s="28" t="s">
        <v>7894</v>
      </c>
      <c r="D1727" s="117">
        <v>9</v>
      </c>
      <c r="E1727" s="122" t="s">
        <v>29</v>
      </c>
      <c r="F1727" s="120" t="s">
        <v>63</v>
      </c>
      <c r="G1727" s="29">
        <v>42114</v>
      </c>
      <c r="H1727" s="28" t="s">
        <v>7895</v>
      </c>
      <c r="I1727" s="114" t="s">
        <v>12400</v>
      </c>
      <c r="J1727" s="114" t="s">
        <v>12401</v>
      </c>
    </row>
    <row r="1728" spans="1:10" ht="20" customHeight="1" thickBot="1">
      <c r="A1728" s="26" t="s">
        <v>7898</v>
      </c>
      <c r="B1728" s="26" t="s">
        <v>7898</v>
      </c>
      <c r="C1728" s="26" t="s">
        <v>278</v>
      </c>
      <c r="D1728" s="116">
        <v>14</v>
      </c>
      <c r="E1728" s="122" t="s">
        <v>31</v>
      </c>
      <c r="F1728" s="119" t="s">
        <v>57</v>
      </c>
      <c r="G1728" s="27">
        <v>44247</v>
      </c>
      <c r="H1728" s="26" t="s">
        <v>7899</v>
      </c>
      <c r="I1728" s="113" t="s">
        <v>12400</v>
      </c>
      <c r="J1728" s="113" t="s">
        <v>12401</v>
      </c>
    </row>
    <row r="1729" spans="1:10" ht="20" customHeight="1" thickBot="1">
      <c r="A1729" s="28" t="s">
        <v>7902</v>
      </c>
      <c r="B1729" s="28" t="s">
        <v>7902</v>
      </c>
      <c r="C1729" s="28" t="s">
        <v>278</v>
      </c>
      <c r="D1729" s="117">
        <v>24</v>
      </c>
      <c r="E1729" s="122" t="s">
        <v>31</v>
      </c>
      <c r="F1729" s="120" t="s">
        <v>57</v>
      </c>
      <c r="G1729" s="29">
        <v>44372</v>
      </c>
      <c r="H1729" s="28" t="s">
        <v>7903</v>
      </c>
      <c r="I1729" s="114" t="s">
        <v>12400</v>
      </c>
      <c r="J1729" s="114" t="s">
        <v>12401</v>
      </c>
    </row>
    <row r="1730" spans="1:10" ht="20" customHeight="1" thickBot="1">
      <c r="A1730" s="26" t="s">
        <v>7906</v>
      </c>
      <c r="B1730" s="26" t="s">
        <v>7906</v>
      </c>
      <c r="C1730" s="26" t="s">
        <v>278</v>
      </c>
      <c r="D1730" s="116">
        <v>29</v>
      </c>
      <c r="E1730" s="122" t="s">
        <v>31</v>
      </c>
      <c r="F1730" s="119" t="s">
        <v>57</v>
      </c>
      <c r="G1730" s="27">
        <v>44601</v>
      </c>
      <c r="H1730" s="26" t="s">
        <v>7907</v>
      </c>
      <c r="I1730" s="113" t="s">
        <v>12400</v>
      </c>
      <c r="J1730" s="113" t="s">
        <v>12401</v>
      </c>
    </row>
    <row r="1731" spans="1:10" ht="20" customHeight="1" thickBot="1">
      <c r="A1731" s="28" t="s">
        <v>7910</v>
      </c>
      <c r="B1731" s="28" t="s">
        <v>7910</v>
      </c>
      <c r="C1731" s="28" t="s">
        <v>2062</v>
      </c>
      <c r="D1731" s="117">
        <v>19</v>
      </c>
      <c r="E1731" s="122" t="s">
        <v>33</v>
      </c>
      <c r="F1731" s="120" t="s">
        <v>63</v>
      </c>
      <c r="G1731" s="29">
        <v>43798</v>
      </c>
      <c r="H1731" s="28" t="s">
        <v>7911</v>
      </c>
      <c r="I1731" s="114" t="s">
        <v>12400</v>
      </c>
      <c r="J1731" s="114" t="s">
        <v>12401</v>
      </c>
    </row>
    <row r="1732" spans="1:10" ht="20" customHeight="1" thickBot="1">
      <c r="A1732" s="26" t="s">
        <v>7914</v>
      </c>
      <c r="B1732" s="26" t="s">
        <v>7914</v>
      </c>
      <c r="C1732" s="26" t="s">
        <v>5651</v>
      </c>
      <c r="D1732" s="116">
        <v>1</v>
      </c>
      <c r="E1732" s="122" t="s">
        <v>31</v>
      </c>
      <c r="F1732" s="119" t="s">
        <v>571</v>
      </c>
      <c r="G1732" s="27">
        <v>42583</v>
      </c>
      <c r="H1732" s="26" t="s">
        <v>7915</v>
      </c>
      <c r="I1732" s="113" t="s">
        <v>12400</v>
      </c>
      <c r="J1732" s="113" t="s">
        <v>12401</v>
      </c>
    </row>
    <row r="1733" spans="1:10" ht="20" customHeight="1" thickBot="1">
      <c r="A1733" s="28" t="s">
        <v>7918</v>
      </c>
      <c r="B1733" s="28" t="s">
        <v>7918</v>
      </c>
      <c r="C1733" s="28" t="s">
        <v>5651</v>
      </c>
      <c r="D1733" s="117">
        <v>3</v>
      </c>
      <c r="E1733" s="122" t="s">
        <v>31</v>
      </c>
      <c r="F1733" s="120" t="s">
        <v>571</v>
      </c>
      <c r="G1733" s="29">
        <v>43350</v>
      </c>
      <c r="H1733" s="28" t="s">
        <v>7919</v>
      </c>
      <c r="I1733" s="114" t="s">
        <v>12400</v>
      </c>
      <c r="J1733" s="114" t="s">
        <v>12401</v>
      </c>
    </row>
    <row r="1734" spans="1:10" ht="20" customHeight="1" thickBot="1">
      <c r="A1734" s="26" t="s">
        <v>7922</v>
      </c>
      <c r="B1734" s="26" t="s">
        <v>7922</v>
      </c>
      <c r="C1734" s="26" t="s">
        <v>7923</v>
      </c>
      <c r="D1734" s="116">
        <v>24</v>
      </c>
      <c r="E1734" s="122" t="s">
        <v>34</v>
      </c>
      <c r="F1734" s="119" t="s">
        <v>57</v>
      </c>
      <c r="G1734" s="27">
        <v>43466</v>
      </c>
      <c r="H1734" s="26" t="s">
        <v>7924</v>
      </c>
      <c r="I1734" s="113" t="s">
        <v>12400</v>
      </c>
      <c r="J1734" s="113" t="s">
        <v>12401</v>
      </c>
    </row>
    <row r="1735" spans="1:10" ht="20" customHeight="1" thickBot="1">
      <c r="A1735" s="28" t="s">
        <v>7927</v>
      </c>
      <c r="B1735" s="28" t="s">
        <v>7927</v>
      </c>
      <c r="C1735" s="28" t="s">
        <v>3395</v>
      </c>
      <c r="D1735" s="117">
        <v>8</v>
      </c>
      <c r="E1735" s="122" t="s">
        <v>33</v>
      </c>
      <c r="F1735" s="120" t="s">
        <v>57</v>
      </c>
      <c r="G1735" s="29">
        <v>45725</v>
      </c>
      <c r="H1735" s="28" t="s">
        <v>7928</v>
      </c>
      <c r="I1735" s="114" t="s">
        <v>12400</v>
      </c>
      <c r="J1735" s="114" t="s">
        <v>12401</v>
      </c>
    </row>
    <row r="1736" spans="1:10" ht="20" customHeight="1" thickBot="1">
      <c r="A1736" s="26" t="s">
        <v>7931</v>
      </c>
      <c r="B1736" s="26" t="s">
        <v>7931</v>
      </c>
      <c r="C1736" s="26" t="s">
        <v>3395</v>
      </c>
      <c r="D1736" s="116">
        <v>11</v>
      </c>
      <c r="E1736" s="122" t="s">
        <v>33</v>
      </c>
      <c r="F1736" s="119" t="s">
        <v>57</v>
      </c>
      <c r="G1736" s="27">
        <v>45750</v>
      </c>
      <c r="H1736" s="26" t="s">
        <v>7932</v>
      </c>
      <c r="I1736" s="113" t="s">
        <v>12400</v>
      </c>
      <c r="J1736" s="113" t="s">
        <v>12401</v>
      </c>
    </row>
    <row r="1737" spans="1:10" ht="20" customHeight="1" thickBot="1">
      <c r="A1737" s="28" t="s">
        <v>7935</v>
      </c>
      <c r="B1737" s="28" t="s">
        <v>7935</v>
      </c>
      <c r="C1737" s="28" t="s">
        <v>3395</v>
      </c>
      <c r="D1737" s="117">
        <v>15</v>
      </c>
      <c r="E1737" s="122" t="s">
        <v>34</v>
      </c>
      <c r="F1737" s="120" t="s">
        <v>57</v>
      </c>
      <c r="G1737" s="29">
        <v>45814</v>
      </c>
      <c r="H1737" s="28" t="s">
        <v>7936</v>
      </c>
      <c r="I1737" s="114" t="s">
        <v>12400</v>
      </c>
      <c r="J1737" s="114" t="s">
        <v>12401</v>
      </c>
    </row>
    <row r="1738" spans="1:10" ht="20" customHeight="1" thickBot="1">
      <c r="A1738" s="26" t="s">
        <v>7939</v>
      </c>
      <c r="B1738" s="26" t="s">
        <v>7939</v>
      </c>
      <c r="C1738" s="26" t="s">
        <v>7940</v>
      </c>
      <c r="D1738" s="116">
        <v>0</v>
      </c>
      <c r="E1738" s="122" t="s">
        <v>27</v>
      </c>
      <c r="F1738" s="119" t="s">
        <v>63</v>
      </c>
      <c r="G1738" s="27">
        <v>42222</v>
      </c>
      <c r="H1738" s="26" t="s">
        <v>7941</v>
      </c>
      <c r="I1738" s="113" t="s">
        <v>12400</v>
      </c>
      <c r="J1738" s="113" t="s">
        <v>12401</v>
      </c>
    </row>
    <row r="1739" spans="1:10" ht="20" customHeight="1" thickBot="1">
      <c r="A1739" s="28" t="s">
        <v>7944</v>
      </c>
      <c r="B1739" s="28" t="s">
        <v>7944</v>
      </c>
      <c r="C1739" s="28" t="s">
        <v>7945</v>
      </c>
      <c r="D1739" s="117">
        <v>8</v>
      </c>
      <c r="E1739" s="122" t="s">
        <v>27</v>
      </c>
      <c r="F1739" s="120" t="s">
        <v>63</v>
      </c>
      <c r="G1739" s="29">
        <v>42338</v>
      </c>
      <c r="H1739" s="28" t="s">
        <v>7946</v>
      </c>
      <c r="I1739" s="114" t="s">
        <v>12400</v>
      </c>
      <c r="J1739" s="114" t="s">
        <v>12401</v>
      </c>
    </row>
    <row r="1740" spans="1:10" ht="20" customHeight="1" thickBot="1">
      <c r="A1740" s="26" t="s">
        <v>7949</v>
      </c>
      <c r="B1740" s="26" t="s">
        <v>7949</v>
      </c>
      <c r="C1740" s="26" t="s">
        <v>370</v>
      </c>
      <c r="D1740" s="116">
        <v>14</v>
      </c>
      <c r="E1740" s="122" t="s">
        <v>33</v>
      </c>
      <c r="F1740" s="119" t="s">
        <v>57</v>
      </c>
      <c r="G1740" s="27">
        <v>43881</v>
      </c>
      <c r="H1740" s="26" t="s">
        <v>7950</v>
      </c>
      <c r="I1740" s="113" t="s">
        <v>12400</v>
      </c>
      <c r="J1740" s="113" t="s">
        <v>12401</v>
      </c>
    </row>
    <row r="1741" spans="1:10" ht="20" customHeight="1" thickBot="1">
      <c r="A1741" s="28" t="s">
        <v>7953</v>
      </c>
      <c r="B1741" s="28" t="s">
        <v>7953</v>
      </c>
      <c r="C1741" s="28" t="s">
        <v>7954</v>
      </c>
      <c r="D1741" s="117">
        <v>16</v>
      </c>
      <c r="E1741" s="122" t="s">
        <v>34</v>
      </c>
      <c r="F1741" s="120" t="s">
        <v>57</v>
      </c>
      <c r="G1741" s="29">
        <v>45473</v>
      </c>
      <c r="H1741" s="28" t="s">
        <v>7955</v>
      </c>
      <c r="I1741" s="114" t="s">
        <v>12400</v>
      </c>
      <c r="J1741" s="114" t="s">
        <v>12401</v>
      </c>
    </row>
    <row r="1742" spans="1:10" ht="20" customHeight="1" thickBot="1">
      <c r="A1742" s="26" t="s">
        <v>7958</v>
      </c>
      <c r="B1742" s="26" t="s">
        <v>7958</v>
      </c>
      <c r="C1742" s="26" t="s">
        <v>7959</v>
      </c>
      <c r="D1742" s="116">
        <v>21</v>
      </c>
      <c r="E1742" s="122" t="s">
        <v>29</v>
      </c>
      <c r="F1742" s="119" t="s">
        <v>63</v>
      </c>
      <c r="G1742" s="27">
        <v>45948</v>
      </c>
      <c r="H1742" s="26" t="s">
        <v>7960</v>
      </c>
      <c r="I1742" s="113" t="s">
        <v>12400</v>
      </c>
      <c r="J1742" s="113" t="s">
        <v>12401</v>
      </c>
    </row>
    <row r="1743" spans="1:10" ht="20" customHeight="1" thickBot="1">
      <c r="A1743" s="28" t="s">
        <v>7963</v>
      </c>
      <c r="B1743" s="28" t="s">
        <v>7963</v>
      </c>
      <c r="C1743" s="28" t="s">
        <v>1389</v>
      </c>
      <c r="D1743" s="117">
        <v>19</v>
      </c>
      <c r="E1743" s="122" t="s">
        <v>33</v>
      </c>
      <c r="F1743" s="120" t="s">
        <v>57</v>
      </c>
      <c r="G1743" s="29">
        <v>45182</v>
      </c>
      <c r="H1743" s="28" t="s">
        <v>7964</v>
      </c>
      <c r="I1743" s="114" t="s">
        <v>12400</v>
      </c>
      <c r="J1743" s="114" t="s">
        <v>12401</v>
      </c>
    </row>
    <row r="1744" spans="1:10" ht="20" customHeight="1" thickBot="1">
      <c r="A1744" s="26" t="s">
        <v>7967</v>
      </c>
      <c r="B1744" s="26" t="s">
        <v>7967</v>
      </c>
      <c r="C1744" s="26" t="s">
        <v>7968</v>
      </c>
      <c r="D1744" s="116">
        <v>17</v>
      </c>
      <c r="E1744" s="122" t="s">
        <v>29</v>
      </c>
      <c r="F1744" s="119" t="s">
        <v>63</v>
      </c>
      <c r="G1744" s="27">
        <v>43181</v>
      </c>
      <c r="H1744" s="26" t="s">
        <v>7969</v>
      </c>
      <c r="I1744" s="113" t="s">
        <v>12400</v>
      </c>
      <c r="J1744" s="113" t="s">
        <v>12401</v>
      </c>
    </row>
    <row r="1745" spans="1:10" ht="20" customHeight="1" thickBot="1">
      <c r="A1745" s="28" t="s">
        <v>7972</v>
      </c>
      <c r="B1745" s="28" t="s">
        <v>7972</v>
      </c>
      <c r="C1745" s="28" t="s">
        <v>1575</v>
      </c>
      <c r="D1745" s="117">
        <v>17</v>
      </c>
      <c r="E1745" s="122" t="s">
        <v>34</v>
      </c>
      <c r="F1745" s="120" t="s">
        <v>57</v>
      </c>
      <c r="G1745" s="29">
        <v>44263</v>
      </c>
      <c r="H1745" s="28" t="s">
        <v>7973</v>
      </c>
      <c r="I1745" s="114" t="s">
        <v>12400</v>
      </c>
      <c r="J1745" s="114" t="s">
        <v>12401</v>
      </c>
    </row>
    <row r="1746" spans="1:10" ht="20" customHeight="1" thickBot="1">
      <c r="A1746" s="26" t="s">
        <v>7976</v>
      </c>
      <c r="B1746" s="26" t="s">
        <v>7976</v>
      </c>
      <c r="C1746" s="26" t="s">
        <v>7977</v>
      </c>
      <c r="D1746" s="116">
        <v>28</v>
      </c>
      <c r="E1746" s="122" t="s">
        <v>31</v>
      </c>
      <c r="F1746" s="119" t="s">
        <v>63</v>
      </c>
      <c r="G1746" s="27">
        <v>44850</v>
      </c>
      <c r="H1746" s="26" t="s">
        <v>7978</v>
      </c>
      <c r="I1746" s="113" t="s">
        <v>12400</v>
      </c>
      <c r="J1746" s="113" t="s">
        <v>12401</v>
      </c>
    </row>
    <row r="1747" spans="1:10" ht="20" customHeight="1" thickBot="1">
      <c r="A1747" s="28" t="s">
        <v>7981</v>
      </c>
      <c r="B1747" s="28" t="s">
        <v>7981</v>
      </c>
      <c r="C1747" s="28" t="s">
        <v>7982</v>
      </c>
      <c r="D1747" s="117">
        <v>6</v>
      </c>
      <c r="E1747" s="122" t="s">
        <v>31</v>
      </c>
      <c r="F1747" s="120" t="s">
        <v>63</v>
      </c>
      <c r="G1747" s="29">
        <v>42047</v>
      </c>
      <c r="H1747" s="28" t="s">
        <v>7983</v>
      </c>
      <c r="I1747" s="114" t="s">
        <v>12400</v>
      </c>
      <c r="J1747" s="114" t="s">
        <v>12401</v>
      </c>
    </row>
    <row r="1748" spans="1:10" ht="20" customHeight="1" thickBot="1">
      <c r="A1748" s="26" t="s">
        <v>7986</v>
      </c>
      <c r="B1748" s="26" t="s">
        <v>7986</v>
      </c>
      <c r="C1748" s="26" t="s">
        <v>7987</v>
      </c>
      <c r="D1748" s="116">
        <v>9</v>
      </c>
      <c r="E1748" s="122" t="s">
        <v>29</v>
      </c>
      <c r="F1748" s="119" t="s">
        <v>63</v>
      </c>
      <c r="G1748" s="27">
        <v>42223</v>
      </c>
      <c r="H1748" s="26" t="s">
        <v>7988</v>
      </c>
      <c r="I1748" s="113" t="s">
        <v>12400</v>
      </c>
      <c r="J1748" s="113" t="s">
        <v>12401</v>
      </c>
    </row>
    <row r="1749" spans="1:10" ht="20" customHeight="1" thickBot="1">
      <c r="A1749" s="28" t="s">
        <v>7991</v>
      </c>
      <c r="B1749" s="28" t="s">
        <v>7991</v>
      </c>
      <c r="C1749" s="28" t="s">
        <v>7992</v>
      </c>
      <c r="D1749" s="117">
        <v>120</v>
      </c>
      <c r="E1749" s="122" t="s">
        <v>33</v>
      </c>
      <c r="F1749" s="120" t="s">
        <v>63</v>
      </c>
      <c r="G1749" s="29">
        <v>42213</v>
      </c>
      <c r="H1749" s="28" t="s">
        <v>7993</v>
      </c>
      <c r="I1749" s="114" t="s">
        <v>12400</v>
      </c>
      <c r="J1749" s="114" t="s">
        <v>12401</v>
      </c>
    </row>
    <row r="1750" spans="1:10" ht="20" customHeight="1" thickBot="1">
      <c r="A1750" s="26" t="s">
        <v>7996</v>
      </c>
      <c r="B1750" s="26" t="s">
        <v>7996</v>
      </c>
      <c r="C1750" s="26" t="s">
        <v>7997</v>
      </c>
      <c r="D1750" s="116">
        <v>17</v>
      </c>
      <c r="E1750" s="122" t="s">
        <v>34</v>
      </c>
      <c r="F1750" s="119" t="s">
        <v>57</v>
      </c>
      <c r="G1750" s="27">
        <v>43388</v>
      </c>
      <c r="H1750" s="26" t="s">
        <v>7998</v>
      </c>
      <c r="I1750" s="113" t="s">
        <v>12400</v>
      </c>
      <c r="J1750" s="113" t="s">
        <v>12401</v>
      </c>
    </row>
    <row r="1751" spans="1:10" ht="20" customHeight="1" thickBot="1">
      <c r="A1751" s="28" t="s">
        <v>8001</v>
      </c>
      <c r="B1751" s="28" t="s">
        <v>8001</v>
      </c>
      <c r="C1751" s="28" t="s">
        <v>7825</v>
      </c>
      <c r="D1751" s="117">
        <v>21</v>
      </c>
      <c r="E1751" s="122" t="s">
        <v>31</v>
      </c>
      <c r="F1751" s="120" t="s">
        <v>57</v>
      </c>
      <c r="G1751" s="29">
        <v>44584</v>
      </c>
      <c r="H1751" s="28" t="s">
        <v>8002</v>
      </c>
      <c r="I1751" s="114" t="s">
        <v>12400</v>
      </c>
      <c r="J1751" s="114" t="s">
        <v>12401</v>
      </c>
    </row>
    <row r="1752" spans="1:10" ht="20" customHeight="1" thickBot="1">
      <c r="A1752" s="26" t="s">
        <v>8005</v>
      </c>
      <c r="B1752" s="26" t="s">
        <v>8005</v>
      </c>
      <c r="C1752" s="26" t="s">
        <v>718</v>
      </c>
      <c r="D1752" s="116">
        <v>32</v>
      </c>
      <c r="E1752" s="122" t="s">
        <v>33</v>
      </c>
      <c r="F1752" s="119" t="s">
        <v>57</v>
      </c>
      <c r="G1752" s="27">
        <v>43349</v>
      </c>
      <c r="H1752" s="26" t="s">
        <v>8006</v>
      </c>
      <c r="I1752" s="113" t="s">
        <v>12400</v>
      </c>
      <c r="J1752" s="113" t="s">
        <v>12401</v>
      </c>
    </row>
    <row r="1753" spans="1:10" ht="20" customHeight="1" thickBot="1">
      <c r="A1753" s="28" t="s">
        <v>8009</v>
      </c>
      <c r="B1753" s="28" t="s">
        <v>8009</v>
      </c>
      <c r="C1753" s="28" t="s">
        <v>3373</v>
      </c>
      <c r="D1753" s="117">
        <v>19</v>
      </c>
      <c r="E1753" s="122" t="s">
        <v>35</v>
      </c>
      <c r="F1753" s="120" t="s">
        <v>57</v>
      </c>
      <c r="G1753" s="29">
        <v>45927</v>
      </c>
      <c r="H1753" s="28" t="s">
        <v>8010</v>
      </c>
      <c r="I1753" s="114" t="s">
        <v>12400</v>
      </c>
      <c r="J1753" s="114" t="s">
        <v>12401</v>
      </c>
    </row>
    <row r="1754" spans="1:10" ht="20" customHeight="1" thickBot="1">
      <c r="A1754" s="26" t="s">
        <v>8013</v>
      </c>
      <c r="B1754" s="26" t="s">
        <v>8013</v>
      </c>
      <c r="C1754" s="26" t="s">
        <v>3373</v>
      </c>
      <c r="D1754" s="116">
        <v>21</v>
      </c>
      <c r="E1754" s="122" t="s">
        <v>35</v>
      </c>
      <c r="F1754" s="119" t="s">
        <v>57</v>
      </c>
      <c r="G1754" s="27">
        <v>45969</v>
      </c>
      <c r="H1754" s="26" t="s">
        <v>8014</v>
      </c>
      <c r="I1754" s="113" t="s">
        <v>12400</v>
      </c>
      <c r="J1754" s="113" t="s">
        <v>12401</v>
      </c>
    </row>
    <row r="1755" spans="1:10" ht="20" customHeight="1" thickBot="1">
      <c r="A1755" s="28" t="s">
        <v>8017</v>
      </c>
      <c r="B1755" s="28" t="s">
        <v>8017</v>
      </c>
      <c r="C1755" s="28" t="s">
        <v>3373</v>
      </c>
      <c r="D1755" s="117">
        <v>28</v>
      </c>
      <c r="E1755" s="122" t="s">
        <v>36</v>
      </c>
      <c r="F1755" s="120" t="s">
        <v>57</v>
      </c>
      <c r="G1755" s="29">
        <v>46005</v>
      </c>
      <c r="H1755" s="28" t="s">
        <v>8018</v>
      </c>
      <c r="I1755" s="114" t="s">
        <v>12400</v>
      </c>
      <c r="J1755" s="114" t="s">
        <v>12401</v>
      </c>
    </row>
    <row r="1756" spans="1:10" ht="20" customHeight="1" thickBot="1">
      <c r="A1756" s="26" t="s">
        <v>8021</v>
      </c>
      <c r="B1756" s="26" t="s">
        <v>8021</v>
      </c>
      <c r="C1756" s="26" t="s">
        <v>8022</v>
      </c>
      <c r="D1756" s="116">
        <v>12</v>
      </c>
      <c r="E1756" s="122" t="s">
        <v>33</v>
      </c>
      <c r="F1756" s="119" t="s">
        <v>57</v>
      </c>
      <c r="G1756" s="27">
        <v>43994</v>
      </c>
      <c r="H1756" s="26" t="s">
        <v>8023</v>
      </c>
      <c r="I1756" s="113" t="s">
        <v>12400</v>
      </c>
      <c r="J1756" s="113" t="s">
        <v>12401</v>
      </c>
    </row>
    <row r="1757" spans="1:10" ht="20" customHeight="1" thickBot="1">
      <c r="A1757" s="28" t="s">
        <v>8026</v>
      </c>
      <c r="B1757" s="28" t="s">
        <v>8026</v>
      </c>
      <c r="C1757" s="28" t="s">
        <v>8027</v>
      </c>
      <c r="D1757" s="117">
        <v>10</v>
      </c>
      <c r="E1757" s="122" t="s">
        <v>31</v>
      </c>
      <c r="F1757" s="120" t="s">
        <v>63</v>
      </c>
      <c r="G1757" s="29">
        <v>46066</v>
      </c>
      <c r="H1757" s="28" t="s">
        <v>8028</v>
      </c>
      <c r="I1757" s="114" t="s">
        <v>12400</v>
      </c>
      <c r="J1757" s="114" t="s">
        <v>12401</v>
      </c>
    </row>
    <row r="1758" spans="1:10" ht="20" customHeight="1" thickBot="1">
      <c r="A1758" s="26" t="s">
        <v>8031</v>
      </c>
      <c r="B1758" s="26" t="s">
        <v>8031</v>
      </c>
      <c r="C1758" s="26" t="s">
        <v>8032</v>
      </c>
      <c r="D1758" s="116">
        <v>4</v>
      </c>
      <c r="E1758" s="122" t="s">
        <v>33</v>
      </c>
      <c r="F1758" s="119" t="s">
        <v>57</v>
      </c>
      <c r="G1758" s="27">
        <v>43290</v>
      </c>
      <c r="H1758" s="26" t="s">
        <v>8033</v>
      </c>
      <c r="I1758" s="113" t="s">
        <v>12400</v>
      </c>
      <c r="J1758" s="113" t="s">
        <v>12401</v>
      </c>
    </row>
    <row r="1759" spans="1:10" ht="20" customHeight="1" thickBot="1">
      <c r="A1759" s="28" t="s">
        <v>8036</v>
      </c>
      <c r="B1759" s="28" t="s">
        <v>8036</v>
      </c>
      <c r="C1759" s="28" t="s">
        <v>1389</v>
      </c>
      <c r="D1759" s="117">
        <v>5</v>
      </c>
      <c r="E1759" s="122" t="s">
        <v>31</v>
      </c>
      <c r="F1759" s="120" t="s">
        <v>57</v>
      </c>
      <c r="G1759" s="29">
        <v>45704</v>
      </c>
      <c r="H1759" s="28" t="s">
        <v>8037</v>
      </c>
      <c r="I1759" s="114" t="s">
        <v>12400</v>
      </c>
      <c r="J1759" s="114" t="s">
        <v>12401</v>
      </c>
    </row>
    <row r="1760" spans="1:10" ht="20" customHeight="1" thickBot="1">
      <c r="A1760" s="26" t="s">
        <v>8040</v>
      </c>
      <c r="B1760" s="26" t="s">
        <v>8040</v>
      </c>
      <c r="C1760" s="26" t="s">
        <v>8041</v>
      </c>
      <c r="D1760" s="116">
        <v>35</v>
      </c>
      <c r="E1760" s="122" t="s">
        <v>31</v>
      </c>
      <c r="F1760" s="119" t="s">
        <v>63</v>
      </c>
      <c r="G1760" s="27">
        <v>44044</v>
      </c>
      <c r="H1760" s="26" t="s">
        <v>8042</v>
      </c>
      <c r="I1760" s="113" t="s">
        <v>12400</v>
      </c>
      <c r="J1760" s="113" t="s">
        <v>12401</v>
      </c>
    </row>
    <row r="1761" spans="1:10" ht="20" customHeight="1" thickBot="1">
      <c r="A1761" s="28" t="s">
        <v>8045</v>
      </c>
      <c r="B1761" s="28" t="s">
        <v>8045</v>
      </c>
      <c r="C1761" s="28" t="s">
        <v>6085</v>
      </c>
      <c r="D1761" s="117">
        <v>24</v>
      </c>
      <c r="E1761" s="122" t="s">
        <v>29</v>
      </c>
      <c r="F1761" s="120" t="s">
        <v>63</v>
      </c>
      <c r="G1761" s="29">
        <v>41572</v>
      </c>
      <c r="H1761" s="28" t="s">
        <v>8046</v>
      </c>
      <c r="I1761" s="114" t="s">
        <v>12400</v>
      </c>
      <c r="J1761" s="114" t="s">
        <v>12401</v>
      </c>
    </row>
    <row r="1762" spans="1:10" ht="20" customHeight="1" thickBot="1">
      <c r="A1762" s="26" t="s">
        <v>8049</v>
      </c>
      <c r="B1762" s="26" t="s">
        <v>8049</v>
      </c>
      <c r="C1762" s="26" t="s">
        <v>8050</v>
      </c>
      <c r="D1762" s="116">
        <v>20</v>
      </c>
      <c r="E1762" s="122" t="s">
        <v>29</v>
      </c>
      <c r="F1762" s="119" t="s">
        <v>63</v>
      </c>
      <c r="G1762" s="27">
        <v>42222</v>
      </c>
      <c r="H1762" s="26" t="s">
        <v>8051</v>
      </c>
      <c r="I1762" s="113" t="s">
        <v>12400</v>
      </c>
      <c r="J1762" s="113" t="s">
        <v>12401</v>
      </c>
    </row>
    <row r="1763" spans="1:10" ht="20" customHeight="1" thickBot="1">
      <c r="A1763" s="28" t="s">
        <v>8054</v>
      </c>
      <c r="B1763" s="28" t="s">
        <v>8054</v>
      </c>
      <c r="C1763" s="28" t="s">
        <v>8055</v>
      </c>
      <c r="D1763" s="117">
        <v>13</v>
      </c>
      <c r="E1763" s="122" t="s">
        <v>31</v>
      </c>
      <c r="F1763" s="120" t="s">
        <v>63</v>
      </c>
      <c r="G1763" s="29">
        <v>42271</v>
      </c>
      <c r="H1763" s="28" t="s">
        <v>8056</v>
      </c>
      <c r="I1763" s="114" t="s">
        <v>12400</v>
      </c>
      <c r="J1763" s="114" t="s">
        <v>12401</v>
      </c>
    </row>
    <row r="1764" spans="1:10" ht="20" customHeight="1" thickBot="1">
      <c r="A1764" s="26" t="s">
        <v>8059</v>
      </c>
      <c r="B1764" s="26" t="s">
        <v>8059</v>
      </c>
      <c r="C1764" s="26" t="s">
        <v>1731</v>
      </c>
      <c r="D1764" s="116">
        <v>15</v>
      </c>
      <c r="E1764" s="122" t="s">
        <v>35</v>
      </c>
      <c r="F1764" s="119" t="s">
        <v>57</v>
      </c>
      <c r="G1764" s="27">
        <v>43582</v>
      </c>
      <c r="H1764" s="26" t="s">
        <v>8060</v>
      </c>
      <c r="I1764" s="113" t="s">
        <v>12400</v>
      </c>
      <c r="J1764" s="113" t="s">
        <v>12401</v>
      </c>
    </row>
    <row r="1765" spans="1:10" ht="20" customHeight="1" thickBot="1">
      <c r="A1765" s="28" t="s">
        <v>8063</v>
      </c>
      <c r="B1765" s="28" t="s">
        <v>8063</v>
      </c>
      <c r="C1765" s="28" t="s">
        <v>8064</v>
      </c>
      <c r="D1765" s="117">
        <v>3</v>
      </c>
      <c r="E1765" s="122" t="s">
        <v>31</v>
      </c>
      <c r="F1765" s="120" t="s">
        <v>57</v>
      </c>
      <c r="G1765" s="29">
        <v>44254</v>
      </c>
      <c r="H1765" s="28" t="s">
        <v>8065</v>
      </c>
      <c r="I1765" s="114" t="s">
        <v>12400</v>
      </c>
      <c r="J1765" s="114" t="s">
        <v>12401</v>
      </c>
    </row>
    <row r="1766" spans="1:10" ht="20" customHeight="1" thickBot="1">
      <c r="A1766" s="26" t="s">
        <v>8068</v>
      </c>
      <c r="B1766" s="26" t="s">
        <v>8068</v>
      </c>
      <c r="C1766" s="26" t="s">
        <v>1819</v>
      </c>
      <c r="D1766" s="116">
        <v>22</v>
      </c>
      <c r="E1766" s="122" t="s">
        <v>29</v>
      </c>
      <c r="F1766" s="119" t="s">
        <v>63</v>
      </c>
      <c r="G1766" s="27">
        <v>42983</v>
      </c>
      <c r="H1766" s="26" t="s">
        <v>8069</v>
      </c>
      <c r="I1766" s="113" t="s">
        <v>12400</v>
      </c>
      <c r="J1766" s="113" t="s">
        <v>12401</v>
      </c>
    </row>
    <row r="1767" spans="1:10" ht="20" customHeight="1" thickBot="1">
      <c r="A1767" s="28" t="s">
        <v>8072</v>
      </c>
      <c r="B1767" s="28" t="s">
        <v>8072</v>
      </c>
      <c r="C1767" s="28" t="s">
        <v>8073</v>
      </c>
      <c r="D1767" s="117">
        <v>1</v>
      </c>
      <c r="E1767" s="122" t="s">
        <v>29</v>
      </c>
      <c r="F1767" s="120" t="s">
        <v>63</v>
      </c>
      <c r="G1767" s="29">
        <v>46028</v>
      </c>
      <c r="H1767" s="28" t="s">
        <v>8074</v>
      </c>
      <c r="I1767" s="114" t="s">
        <v>12400</v>
      </c>
      <c r="J1767" s="114" t="s">
        <v>12401</v>
      </c>
    </row>
    <row r="1768" spans="1:10" ht="20" customHeight="1" thickBot="1">
      <c r="A1768" s="26" t="s">
        <v>8077</v>
      </c>
      <c r="B1768" s="26" t="s">
        <v>8077</v>
      </c>
      <c r="C1768" s="26" t="s">
        <v>8078</v>
      </c>
      <c r="D1768" s="116">
        <v>20</v>
      </c>
      <c r="E1768" s="122" t="s">
        <v>34</v>
      </c>
      <c r="F1768" s="119" t="s">
        <v>57</v>
      </c>
      <c r="G1768" s="27">
        <v>44757</v>
      </c>
      <c r="H1768" s="26" t="s">
        <v>8079</v>
      </c>
      <c r="I1768" s="113" t="s">
        <v>12400</v>
      </c>
      <c r="J1768" s="113" t="s">
        <v>12401</v>
      </c>
    </row>
    <row r="1769" spans="1:10" ht="20" customHeight="1" thickBot="1">
      <c r="A1769" s="28" t="s">
        <v>8082</v>
      </c>
      <c r="B1769" s="28" t="s">
        <v>8082</v>
      </c>
      <c r="C1769" s="28" t="s">
        <v>8078</v>
      </c>
      <c r="D1769" s="117">
        <v>23</v>
      </c>
      <c r="E1769" s="122" t="s">
        <v>34</v>
      </c>
      <c r="F1769" s="120" t="s">
        <v>57</v>
      </c>
      <c r="G1769" s="29">
        <v>46089</v>
      </c>
      <c r="H1769" s="28" t="s">
        <v>8083</v>
      </c>
      <c r="I1769" s="114" t="s">
        <v>12400</v>
      </c>
      <c r="J1769" s="114" t="s">
        <v>12401</v>
      </c>
    </row>
    <row r="1770" spans="1:10" ht="20" customHeight="1" thickBot="1">
      <c r="A1770" s="26" t="s">
        <v>8086</v>
      </c>
      <c r="B1770" s="26" t="s">
        <v>8086</v>
      </c>
      <c r="C1770" s="26" t="s">
        <v>8087</v>
      </c>
      <c r="D1770" s="116">
        <v>22</v>
      </c>
      <c r="E1770" s="122" t="s">
        <v>34</v>
      </c>
      <c r="F1770" s="119" t="s">
        <v>57</v>
      </c>
      <c r="G1770" s="27">
        <v>43373</v>
      </c>
      <c r="H1770" s="26" t="s">
        <v>8088</v>
      </c>
      <c r="I1770" s="113" t="s">
        <v>12400</v>
      </c>
      <c r="J1770" s="113" t="s">
        <v>12401</v>
      </c>
    </row>
    <row r="1771" spans="1:10" ht="20" customHeight="1" thickBot="1">
      <c r="A1771" s="28" t="s">
        <v>8091</v>
      </c>
      <c r="B1771" s="28" t="s">
        <v>8091</v>
      </c>
      <c r="C1771" s="28" t="s">
        <v>4032</v>
      </c>
      <c r="D1771" s="117">
        <v>27</v>
      </c>
      <c r="E1771" s="122" t="s">
        <v>34</v>
      </c>
      <c r="F1771" s="120" t="s">
        <v>57</v>
      </c>
      <c r="G1771" s="29">
        <v>44739</v>
      </c>
      <c r="H1771" s="28" t="s">
        <v>8092</v>
      </c>
      <c r="I1771" s="114" t="s">
        <v>12400</v>
      </c>
      <c r="J1771" s="114" t="s">
        <v>12401</v>
      </c>
    </row>
    <row r="1772" spans="1:10" ht="20" customHeight="1" thickBot="1">
      <c r="A1772" s="26" t="s">
        <v>8095</v>
      </c>
      <c r="B1772" s="26" t="s">
        <v>8095</v>
      </c>
      <c r="C1772" s="26" t="s">
        <v>4032</v>
      </c>
      <c r="D1772" s="116">
        <v>9</v>
      </c>
      <c r="E1772" s="122" t="s">
        <v>33</v>
      </c>
      <c r="F1772" s="119" t="s">
        <v>57</v>
      </c>
      <c r="G1772" s="27">
        <v>45715</v>
      </c>
      <c r="H1772" s="26" t="s">
        <v>8096</v>
      </c>
      <c r="I1772" s="113" t="s">
        <v>12400</v>
      </c>
      <c r="J1772" s="113" t="s">
        <v>12401</v>
      </c>
    </row>
    <row r="1773" spans="1:10" ht="20" customHeight="1" thickBot="1">
      <c r="A1773" s="28" t="s">
        <v>8099</v>
      </c>
      <c r="B1773" s="28" t="s">
        <v>8099</v>
      </c>
      <c r="C1773" s="28" t="s">
        <v>4032</v>
      </c>
      <c r="D1773" s="117">
        <v>7</v>
      </c>
      <c r="E1773" s="122" t="s">
        <v>34</v>
      </c>
      <c r="F1773" s="120" t="s">
        <v>57</v>
      </c>
      <c r="G1773" s="29">
        <v>45162</v>
      </c>
      <c r="H1773" s="28" t="s">
        <v>8100</v>
      </c>
      <c r="I1773" s="114" t="s">
        <v>12400</v>
      </c>
      <c r="J1773" s="114" t="s">
        <v>12401</v>
      </c>
    </row>
    <row r="1774" spans="1:10" ht="20" customHeight="1" thickBot="1">
      <c r="A1774" s="26" t="s">
        <v>8103</v>
      </c>
      <c r="B1774" s="26" t="s">
        <v>8103</v>
      </c>
      <c r="C1774" s="26" t="s">
        <v>4032</v>
      </c>
      <c r="D1774" s="116">
        <v>18</v>
      </c>
      <c r="E1774" s="122" t="s">
        <v>33</v>
      </c>
      <c r="F1774" s="119" t="s">
        <v>57</v>
      </c>
      <c r="G1774" s="27">
        <v>45117</v>
      </c>
      <c r="H1774" s="26" t="s">
        <v>8104</v>
      </c>
      <c r="I1774" s="113" t="s">
        <v>12400</v>
      </c>
      <c r="J1774" s="113" t="s">
        <v>12401</v>
      </c>
    </row>
    <row r="1775" spans="1:10" ht="20" customHeight="1" thickBot="1">
      <c r="A1775" s="28" t="s">
        <v>8107</v>
      </c>
      <c r="B1775" s="28" t="s">
        <v>8107</v>
      </c>
      <c r="C1775" s="28" t="s">
        <v>4032</v>
      </c>
      <c r="D1775" s="117">
        <v>18</v>
      </c>
      <c r="E1775" s="122" t="s">
        <v>34</v>
      </c>
      <c r="F1775" s="120" t="s">
        <v>57</v>
      </c>
      <c r="G1775" s="29">
        <v>45571</v>
      </c>
      <c r="H1775" s="28" t="s">
        <v>8108</v>
      </c>
      <c r="I1775" s="114" t="s">
        <v>12400</v>
      </c>
      <c r="J1775" s="114" t="s">
        <v>12401</v>
      </c>
    </row>
    <row r="1776" spans="1:10" ht="20" customHeight="1" thickBot="1">
      <c r="A1776" s="26" t="s">
        <v>8111</v>
      </c>
      <c r="B1776" s="26" t="s">
        <v>8111</v>
      </c>
      <c r="C1776" s="26" t="s">
        <v>4032</v>
      </c>
      <c r="D1776" s="116">
        <v>13</v>
      </c>
      <c r="E1776" s="122" t="s">
        <v>34</v>
      </c>
      <c r="F1776" s="119" t="s">
        <v>57</v>
      </c>
      <c r="G1776" s="27">
        <v>44732</v>
      </c>
      <c r="H1776" s="26" t="s">
        <v>8112</v>
      </c>
      <c r="I1776" s="113" t="s">
        <v>12400</v>
      </c>
      <c r="J1776" s="113" t="s">
        <v>12401</v>
      </c>
    </row>
    <row r="1777" spans="1:10" ht="20" customHeight="1" thickBot="1">
      <c r="A1777" s="28" t="s">
        <v>8115</v>
      </c>
      <c r="B1777" s="28" t="s">
        <v>8115</v>
      </c>
      <c r="C1777" s="28" t="s">
        <v>3373</v>
      </c>
      <c r="D1777" s="117">
        <v>22</v>
      </c>
      <c r="E1777" s="122" t="s">
        <v>34</v>
      </c>
      <c r="F1777" s="120" t="s">
        <v>3138</v>
      </c>
      <c r="G1777" s="29">
        <v>42237</v>
      </c>
      <c r="H1777" s="28" t="s">
        <v>8116</v>
      </c>
      <c r="I1777" s="114" t="s">
        <v>12400</v>
      </c>
      <c r="J1777" s="114" t="s">
        <v>12401</v>
      </c>
    </row>
    <row r="1778" spans="1:10" ht="20" customHeight="1" thickBot="1">
      <c r="A1778" s="26" t="s">
        <v>8119</v>
      </c>
      <c r="B1778" s="26" t="s">
        <v>8119</v>
      </c>
      <c r="C1778" s="26" t="s">
        <v>3580</v>
      </c>
      <c r="D1778" s="116">
        <v>21</v>
      </c>
      <c r="E1778" s="122" t="s">
        <v>33</v>
      </c>
      <c r="F1778" s="119" t="s">
        <v>57</v>
      </c>
      <c r="G1778" s="27">
        <v>45152</v>
      </c>
      <c r="H1778" s="26" t="s">
        <v>8120</v>
      </c>
      <c r="I1778" s="113" t="s">
        <v>12400</v>
      </c>
      <c r="J1778" s="113" t="s">
        <v>12401</v>
      </c>
    </row>
    <row r="1779" spans="1:10" ht="20" customHeight="1" thickBot="1">
      <c r="A1779" s="28" t="s">
        <v>8123</v>
      </c>
      <c r="B1779" s="28" t="s">
        <v>8123</v>
      </c>
      <c r="C1779" s="28" t="s">
        <v>8124</v>
      </c>
      <c r="D1779" s="117">
        <v>6</v>
      </c>
      <c r="E1779" s="122" t="s">
        <v>31</v>
      </c>
      <c r="F1779" s="120" t="s">
        <v>57</v>
      </c>
      <c r="G1779" s="29">
        <v>45334</v>
      </c>
      <c r="H1779" s="28" t="s">
        <v>8125</v>
      </c>
      <c r="I1779" s="114" t="s">
        <v>12400</v>
      </c>
      <c r="J1779" s="114" t="s">
        <v>12401</v>
      </c>
    </row>
    <row r="1780" spans="1:10" ht="20" customHeight="1" thickBot="1">
      <c r="A1780" s="26" t="s">
        <v>8128</v>
      </c>
      <c r="B1780" s="26" t="s">
        <v>8128</v>
      </c>
      <c r="C1780" s="26" t="s">
        <v>8129</v>
      </c>
      <c r="D1780" s="116">
        <v>9</v>
      </c>
      <c r="E1780" s="122" t="s">
        <v>31</v>
      </c>
      <c r="F1780" s="119" t="s">
        <v>57</v>
      </c>
      <c r="G1780" s="27">
        <v>44553</v>
      </c>
      <c r="H1780" s="26" t="s">
        <v>8130</v>
      </c>
      <c r="I1780" s="113" t="s">
        <v>12400</v>
      </c>
      <c r="J1780" s="113" t="s">
        <v>12401</v>
      </c>
    </row>
    <row r="1781" spans="1:10" ht="20" customHeight="1" thickBot="1">
      <c r="A1781" s="28" t="s">
        <v>8133</v>
      </c>
      <c r="B1781" s="28" t="s">
        <v>8133</v>
      </c>
      <c r="C1781" s="28" t="s">
        <v>6277</v>
      </c>
      <c r="D1781" s="117">
        <v>22</v>
      </c>
      <c r="E1781" s="122" t="s">
        <v>29</v>
      </c>
      <c r="F1781" s="120" t="s">
        <v>63</v>
      </c>
      <c r="G1781" s="29">
        <v>42213</v>
      </c>
      <c r="H1781" s="28" t="s">
        <v>8134</v>
      </c>
      <c r="I1781" s="114" t="s">
        <v>12400</v>
      </c>
      <c r="J1781" s="114" t="s">
        <v>12401</v>
      </c>
    </row>
    <row r="1782" spans="1:10" ht="20" customHeight="1" thickBot="1">
      <c r="A1782" s="26" t="s">
        <v>8137</v>
      </c>
      <c r="B1782" s="26" t="s">
        <v>8137</v>
      </c>
      <c r="C1782" s="26" t="s">
        <v>3928</v>
      </c>
      <c r="D1782" s="116">
        <v>15</v>
      </c>
      <c r="E1782" s="122" t="s">
        <v>34</v>
      </c>
      <c r="F1782" s="119" t="s">
        <v>57</v>
      </c>
      <c r="G1782" s="27">
        <v>42812</v>
      </c>
      <c r="H1782" s="26" t="s">
        <v>8138</v>
      </c>
      <c r="I1782" s="113" t="s">
        <v>12400</v>
      </c>
      <c r="J1782" s="113" t="s">
        <v>12401</v>
      </c>
    </row>
    <row r="1783" spans="1:10" ht="20" customHeight="1" thickBot="1">
      <c r="A1783" s="28" t="s">
        <v>8141</v>
      </c>
      <c r="B1783" s="28" t="s">
        <v>8141</v>
      </c>
      <c r="C1783" s="28" t="s">
        <v>4806</v>
      </c>
      <c r="D1783" s="117">
        <v>5</v>
      </c>
      <c r="E1783" s="122" t="s">
        <v>29</v>
      </c>
      <c r="F1783" s="120" t="s">
        <v>63</v>
      </c>
      <c r="G1783" s="29">
        <v>45109</v>
      </c>
      <c r="H1783" s="28" t="s">
        <v>8142</v>
      </c>
      <c r="I1783" s="114" t="s">
        <v>12400</v>
      </c>
      <c r="J1783" s="114" t="s">
        <v>12401</v>
      </c>
    </row>
    <row r="1784" spans="1:10" ht="20" customHeight="1" thickBot="1">
      <c r="A1784" s="26" t="s">
        <v>8145</v>
      </c>
      <c r="B1784" s="26" t="s">
        <v>8145</v>
      </c>
      <c r="C1784" s="26" t="s">
        <v>8146</v>
      </c>
      <c r="D1784" s="116">
        <v>2</v>
      </c>
      <c r="E1784" s="122" t="s">
        <v>31</v>
      </c>
      <c r="F1784" s="119" t="s">
        <v>63</v>
      </c>
      <c r="G1784" s="27">
        <v>43980</v>
      </c>
      <c r="H1784" s="26" t="s">
        <v>8147</v>
      </c>
      <c r="I1784" s="113" t="s">
        <v>12400</v>
      </c>
      <c r="J1784" s="113" t="s">
        <v>12401</v>
      </c>
    </row>
    <row r="1785" spans="1:10" ht="20" customHeight="1" thickBot="1">
      <c r="A1785" s="28" t="s">
        <v>8150</v>
      </c>
      <c r="B1785" s="28" t="s">
        <v>8150</v>
      </c>
      <c r="C1785" s="28" t="s">
        <v>8151</v>
      </c>
      <c r="D1785" s="117">
        <v>7</v>
      </c>
      <c r="E1785" s="122" t="s">
        <v>34</v>
      </c>
      <c r="F1785" s="120" t="s">
        <v>57</v>
      </c>
      <c r="G1785" s="29">
        <v>45908</v>
      </c>
      <c r="H1785" s="28" t="s">
        <v>8152</v>
      </c>
      <c r="I1785" s="114" t="s">
        <v>12400</v>
      </c>
      <c r="J1785" s="114" t="s">
        <v>12401</v>
      </c>
    </row>
    <row r="1786" spans="1:10" ht="20" customHeight="1" thickBot="1">
      <c r="A1786" s="26" t="s">
        <v>8155</v>
      </c>
      <c r="B1786" s="26" t="s">
        <v>8155</v>
      </c>
      <c r="C1786" s="26" t="s">
        <v>8156</v>
      </c>
      <c r="D1786" s="116">
        <v>14</v>
      </c>
      <c r="E1786" s="122" t="s">
        <v>33</v>
      </c>
      <c r="F1786" s="119" t="s">
        <v>57</v>
      </c>
      <c r="G1786" s="27">
        <v>43213</v>
      </c>
      <c r="H1786" s="26" t="s">
        <v>8157</v>
      </c>
      <c r="I1786" s="113" t="s">
        <v>12400</v>
      </c>
      <c r="J1786" s="113" t="s">
        <v>12401</v>
      </c>
    </row>
    <row r="1787" spans="1:10" ht="20" customHeight="1" thickBot="1">
      <c r="A1787" s="28" t="s">
        <v>8160</v>
      </c>
      <c r="B1787" s="28" t="s">
        <v>8160</v>
      </c>
      <c r="C1787" s="28" t="s">
        <v>8161</v>
      </c>
      <c r="D1787" s="117">
        <v>6</v>
      </c>
      <c r="E1787" s="122" t="s">
        <v>29</v>
      </c>
      <c r="F1787" s="120" t="s">
        <v>63</v>
      </c>
      <c r="G1787" s="29">
        <v>42292</v>
      </c>
      <c r="H1787" s="28" t="s">
        <v>8162</v>
      </c>
      <c r="I1787" s="114" t="s">
        <v>12400</v>
      </c>
      <c r="J1787" s="114" t="s">
        <v>12401</v>
      </c>
    </row>
    <row r="1788" spans="1:10" ht="20" customHeight="1" thickBot="1">
      <c r="A1788" s="26" t="s">
        <v>8165</v>
      </c>
      <c r="B1788" s="26" t="s">
        <v>8165</v>
      </c>
      <c r="C1788" s="26" t="s">
        <v>3788</v>
      </c>
      <c r="D1788" s="116">
        <v>16</v>
      </c>
      <c r="E1788" s="122" t="s">
        <v>33</v>
      </c>
      <c r="F1788" s="119" t="s">
        <v>57</v>
      </c>
      <c r="G1788" s="27">
        <v>43193</v>
      </c>
      <c r="H1788" s="26" t="s">
        <v>8166</v>
      </c>
      <c r="I1788" s="113" t="s">
        <v>12400</v>
      </c>
      <c r="J1788" s="113" t="s">
        <v>12401</v>
      </c>
    </row>
    <row r="1789" spans="1:10" ht="20" customHeight="1" thickBot="1">
      <c r="A1789" s="28" t="s">
        <v>8169</v>
      </c>
      <c r="B1789" s="28" t="s">
        <v>8169</v>
      </c>
      <c r="C1789" s="28" t="s">
        <v>3788</v>
      </c>
      <c r="D1789" s="117">
        <v>24</v>
      </c>
      <c r="E1789" s="122" t="s">
        <v>34</v>
      </c>
      <c r="F1789" s="120" t="s">
        <v>57</v>
      </c>
      <c r="G1789" s="29">
        <v>45276</v>
      </c>
      <c r="H1789" s="28" t="s">
        <v>8170</v>
      </c>
      <c r="I1789" s="114" t="s">
        <v>12400</v>
      </c>
      <c r="J1789" s="114" t="s">
        <v>12401</v>
      </c>
    </row>
    <row r="1790" spans="1:10" ht="20" customHeight="1" thickBot="1">
      <c r="A1790" s="26" t="s">
        <v>8173</v>
      </c>
      <c r="B1790" s="26" t="s">
        <v>8173</v>
      </c>
      <c r="C1790" s="26" t="s">
        <v>2245</v>
      </c>
      <c r="D1790" s="116">
        <v>8</v>
      </c>
      <c r="E1790" s="122" t="s">
        <v>31</v>
      </c>
      <c r="F1790" s="119" t="s">
        <v>63</v>
      </c>
      <c r="G1790" s="27">
        <v>43534</v>
      </c>
      <c r="H1790" s="26" t="s">
        <v>8174</v>
      </c>
      <c r="I1790" s="113" t="s">
        <v>12400</v>
      </c>
      <c r="J1790" s="113" t="s">
        <v>12401</v>
      </c>
    </row>
    <row r="1791" spans="1:10" ht="20" customHeight="1" thickBot="1">
      <c r="A1791" s="28" t="s">
        <v>8177</v>
      </c>
      <c r="B1791" s="28" t="s">
        <v>8177</v>
      </c>
      <c r="C1791" s="28" t="s">
        <v>2245</v>
      </c>
      <c r="D1791" s="117">
        <v>8</v>
      </c>
      <c r="E1791" s="122" t="s">
        <v>29</v>
      </c>
      <c r="F1791" s="120" t="s">
        <v>63</v>
      </c>
      <c r="G1791" s="29">
        <v>43604</v>
      </c>
      <c r="H1791" s="28" t="s">
        <v>8178</v>
      </c>
      <c r="I1791" s="114" t="s">
        <v>12400</v>
      </c>
      <c r="J1791" s="114" t="s">
        <v>12401</v>
      </c>
    </row>
    <row r="1792" spans="1:10" ht="20" customHeight="1" thickBot="1">
      <c r="A1792" s="26" t="s">
        <v>8181</v>
      </c>
      <c r="B1792" s="26" t="s">
        <v>8181</v>
      </c>
      <c r="C1792" s="26" t="s">
        <v>2245</v>
      </c>
      <c r="D1792" s="116">
        <v>8</v>
      </c>
      <c r="E1792" s="122" t="s">
        <v>31</v>
      </c>
      <c r="F1792" s="119" t="s">
        <v>63</v>
      </c>
      <c r="G1792" s="27">
        <v>43784</v>
      </c>
      <c r="H1792" s="26" t="s">
        <v>8182</v>
      </c>
      <c r="I1792" s="113" t="s">
        <v>12400</v>
      </c>
      <c r="J1792" s="113" t="s">
        <v>12401</v>
      </c>
    </row>
    <row r="1793" spans="1:10" ht="20" customHeight="1" thickBot="1">
      <c r="A1793" s="28" t="s">
        <v>8185</v>
      </c>
      <c r="B1793" s="28" t="s">
        <v>8185</v>
      </c>
      <c r="C1793" s="28" t="s">
        <v>880</v>
      </c>
      <c r="D1793" s="117">
        <v>6</v>
      </c>
      <c r="E1793" s="122" t="s">
        <v>35</v>
      </c>
      <c r="F1793" s="120" t="s">
        <v>57</v>
      </c>
      <c r="G1793" s="29">
        <v>45125</v>
      </c>
      <c r="H1793" s="28" t="s">
        <v>8186</v>
      </c>
      <c r="I1793" s="114" t="s">
        <v>12400</v>
      </c>
      <c r="J1793" s="114" t="s">
        <v>12401</v>
      </c>
    </row>
    <row r="1794" spans="1:10" ht="20" customHeight="1" thickBot="1">
      <c r="A1794" s="26" t="s">
        <v>8189</v>
      </c>
      <c r="B1794" s="26" t="s">
        <v>8189</v>
      </c>
      <c r="C1794" s="26" t="s">
        <v>6137</v>
      </c>
      <c r="D1794" s="116">
        <v>12</v>
      </c>
      <c r="E1794" s="122" t="s">
        <v>33</v>
      </c>
      <c r="F1794" s="119" t="s">
        <v>57</v>
      </c>
      <c r="G1794" s="27">
        <v>44481</v>
      </c>
      <c r="H1794" s="26" t="s">
        <v>8190</v>
      </c>
      <c r="I1794" s="113" t="s">
        <v>12400</v>
      </c>
      <c r="J1794" s="113" t="s">
        <v>12401</v>
      </c>
    </row>
    <row r="1795" spans="1:10" ht="20" customHeight="1" thickBot="1">
      <c r="A1795" s="28" t="s">
        <v>8193</v>
      </c>
      <c r="B1795" s="28" t="s">
        <v>8193</v>
      </c>
      <c r="C1795" s="28" t="s">
        <v>6137</v>
      </c>
      <c r="D1795" s="117">
        <v>15</v>
      </c>
      <c r="E1795" s="122" t="s">
        <v>33</v>
      </c>
      <c r="F1795" s="120" t="s">
        <v>57</v>
      </c>
      <c r="G1795" s="29">
        <v>44944</v>
      </c>
      <c r="H1795" s="28" t="s">
        <v>8194</v>
      </c>
      <c r="I1795" s="114" t="s">
        <v>12400</v>
      </c>
      <c r="J1795" s="114" t="s">
        <v>12401</v>
      </c>
    </row>
    <row r="1796" spans="1:10" ht="20" customHeight="1" thickBot="1">
      <c r="A1796" s="26" t="s">
        <v>8197</v>
      </c>
      <c r="B1796" s="26" t="s">
        <v>8197</v>
      </c>
      <c r="C1796" s="26" t="s">
        <v>2447</v>
      </c>
      <c r="D1796" s="116">
        <v>14</v>
      </c>
      <c r="E1796" s="122" t="s">
        <v>34</v>
      </c>
      <c r="F1796" s="119" t="s">
        <v>57</v>
      </c>
      <c r="G1796" s="27">
        <v>45706</v>
      </c>
      <c r="H1796" s="26" t="s">
        <v>8198</v>
      </c>
      <c r="I1796" s="113" t="s">
        <v>12400</v>
      </c>
      <c r="J1796" s="113" t="s">
        <v>12401</v>
      </c>
    </row>
    <row r="1797" spans="1:10" ht="20" customHeight="1" thickBot="1">
      <c r="A1797" s="28" t="s">
        <v>8201</v>
      </c>
      <c r="B1797" s="28" t="s">
        <v>8201</v>
      </c>
      <c r="C1797" s="28" t="s">
        <v>8202</v>
      </c>
      <c r="D1797" s="117">
        <v>6</v>
      </c>
      <c r="E1797" s="122" t="s">
        <v>27</v>
      </c>
      <c r="F1797" s="120" t="s">
        <v>63</v>
      </c>
      <c r="G1797" s="29">
        <v>42236</v>
      </c>
      <c r="H1797" s="28" t="s">
        <v>8203</v>
      </c>
      <c r="I1797" s="114" t="s">
        <v>12400</v>
      </c>
      <c r="J1797" s="114" t="s">
        <v>12401</v>
      </c>
    </row>
    <row r="1798" spans="1:10" ht="20" customHeight="1" thickBot="1">
      <c r="A1798" s="26" t="s">
        <v>8206</v>
      </c>
      <c r="B1798" s="26" t="s">
        <v>8206</v>
      </c>
      <c r="C1798" s="26" t="s">
        <v>2309</v>
      </c>
      <c r="D1798" s="116">
        <v>10</v>
      </c>
      <c r="E1798" s="122" t="s">
        <v>33</v>
      </c>
      <c r="F1798" s="119" t="s">
        <v>57</v>
      </c>
      <c r="G1798" s="27">
        <v>45099</v>
      </c>
      <c r="H1798" s="26" t="s">
        <v>8207</v>
      </c>
      <c r="I1798" s="113" t="s">
        <v>12400</v>
      </c>
      <c r="J1798" s="113" t="s">
        <v>12401</v>
      </c>
    </row>
    <row r="1799" spans="1:10" ht="20" customHeight="1" thickBot="1">
      <c r="A1799" s="28" t="s">
        <v>8210</v>
      </c>
      <c r="B1799" s="28" t="s">
        <v>8210</v>
      </c>
      <c r="C1799" s="28" t="s">
        <v>641</v>
      </c>
      <c r="D1799" s="117">
        <v>1</v>
      </c>
      <c r="E1799" s="122" t="s">
        <v>33</v>
      </c>
      <c r="F1799" s="120" t="s">
        <v>115</v>
      </c>
      <c r="G1799" s="29">
        <v>44062</v>
      </c>
      <c r="H1799" s="28" t="s">
        <v>8211</v>
      </c>
      <c r="I1799" s="114" t="s">
        <v>12400</v>
      </c>
      <c r="J1799" s="114" t="s">
        <v>12401</v>
      </c>
    </row>
    <row r="1800" spans="1:10" ht="20" customHeight="1" thickBot="1">
      <c r="A1800" s="26" t="s">
        <v>8214</v>
      </c>
      <c r="B1800" s="26" t="s">
        <v>8214</v>
      </c>
      <c r="C1800" s="26" t="s">
        <v>1932</v>
      </c>
      <c r="D1800" s="116">
        <v>9</v>
      </c>
      <c r="E1800" s="122" t="s">
        <v>35</v>
      </c>
      <c r="F1800" s="119" t="s">
        <v>57</v>
      </c>
      <c r="G1800" s="27">
        <v>44580</v>
      </c>
      <c r="H1800" s="26" t="s">
        <v>8215</v>
      </c>
      <c r="I1800" s="113" t="s">
        <v>12400</v>
      </c>
      <c r="J1800" s="113" t="s">
        <v>12401</v>
      </c>
    </row>
    <row r="1801" spans="1:10" ht="20" customHeight="1" thickBot="1">
      <c r="A1801" s="28" t="s">
        <v>8218</v>
      </c>
      <c r="B1801" s="28" t="s">
        <v>8218</v>
      </c>
      <c r="C1801" s="28" t="s">
        <v>8219</v>
      </c>
      <c r="D1801" s="117">
        <v>12</v>
      </c>
      <c r="E1801" s="122" t="s">
        <v>33</v>
      </c>
      <c r="F1801" s="120" t="s">
        <v>57</v>
      </c>
      <c r="G1801" s="29">
        <v>42729</v>
      </c>
      <c r="H1801" s="28" t="s">
        <v>8220</v>
      </c>
      <c r="I1801" s="114" t="s">
        <v>12400</v>
      </c>
      <c r="J1801" s="114" t="s">
        <v>12401</v>
      </c>
    </row>
    <row r="1802" spans="1:10" ht="20" customHeight="1" thickBot="1">
      <c r="A1802" s="26" t="s">
        <v>8223</v>
      </c>
      <c r="B1802" s="26" t="s">
        <v>8223</v>
      </c>
      <c r="C1802" s="26" t="s">
        <v>8224</v>
      </c>
      <c r="D1802" s="116">
        <v>116</v>
      </c>
      <c r="E1802" s="122" t="s">
        <v>35</v>
      </c>
      <c r="F1802" s="119" t="s">
        <v>63</v>
      </c>
      <c r="G1802" s="27">
        <v>45114</v>
      </c>
      <c r="H1802" s="26" t="s">
        <v>8225</v>
      </c>
      <c r="I1802" s="113" t="s">
        <v>12400</v>
      </c>
      <c r="J1802" s="113" t="s">
        <v>12401</v>
      </c>
    </row>
    <row r="1803" spans="1:10" ht="20" customHeight="1" thickBot="1">
      <c r="A1803" s="28" t="s">
        <v>8228</v>
      </c>
      <c r="B1803" s="28" t="s">
        <v>8228</v>
      </c>
      <c r="C1803" s="28" t="s">
        <v>8078</v>
      </c>
      <c r="D1803" s="117">
        <v>11</v>
      </c>
      <c r="E1803" s="122" t="s">
        <v>33</v>
      </c>
      <c r="F1803" s="120" t="s">
        <v>57</v>
      </c>
      <c r="G1803" s="29">
        <v>45995</v>
      </c>
      <c r="H1803" s="28" t="s">
        <v>8229</v>
      </c>
      <c r="I1803" s="114" t="s">
        <v>12400</v>
      </c>
      <c r="J1803" s="114" t="s">
        <v>12401</v>
      </c>
    </row>
    <row r="1804" spans="1:10" ht="20" customHeight="1" thickBot="1">
      <c r="A1804" s="26" t="s">
        <v>8232</v>
      </c>
      <c r="B1804" s="26" t="s">
        <v>8232</v>
      </c>
      <c r="C1804" s="26" t="s">
        <v>8233</v>
      </c>
      <c r="D1804" s="116">
        <v>20</v>
      </c>
      <c r="E1804" s="122" t="s">
        <v>34</v>
      </c>
      <c r="F1804" s="119" t="s">
        <v>5632</v>
      </c>
      <c r="G1804" s="27">
        <v>46117</v>
      </c>
      <c r="H1804" s="26" t="s">
        <v>8234</v>
      </c>
      <c r="I1804" s="113" t="s">
        <v>12400</v>
      </c>
      <c r="J1804" s="113" t="s">
        <v>12401</v>
      </c>
    </row>
    <row r="1805" spans="1:10" ht="20" customHeight="1" thickBot="1">
      <c r="A1805" s="28" t="s">
        <v>8237</v>
      </c>
      <c r="B1805" s="28" t="s">
        <v>8237</v>
      </c>
      <c r="C1805" s="28" t="s">
        <v>8238</v>
      </c>
      <c r="D1805" s="117">
        <v>23</v>
      </c>
      <c r="E1805" s="122" t="s">
        <v>33</v>
      </c>
      <c r="F1805" s="120" t="s">
        <v>57</v>
      </c>
      <c r="G1805" s="29">
        <v>45203</v>
      </c>
      <c r="H1805" s="28" t="s">
        <v>8239</v>
      </c>
      <c r="I1805" s="114" t="s">
        <v>12400</v>
      </c>
      <c r="J1805" s="114" t="s">
        <v>12401</v>
      </c>
    </row>
    <row r="1806" spans="1:10" ht="20" customHeight="1" thickBot="1">
      <c r="A1806" s="26" t="s">
        <v>8242</v>
      </c>
      <c r="B1806" s="26" t="s">
        <v>8242</v>
      </c>
      <c r="C1806" s="26" t="s">
        <v>4255</v>
      </c>
      <c r="D1806" s="116">
        <v>12</v>
      </c>
      <c r="E1806" s="122" t="s">
        <v>31</v>
      </c>
      <c r="F1806" s="119" t="s">
        <v>57</v>
      </c>
      <c r="G1806" s="27">
        <v>44318</v>
      </c>
      <c r="H1806" s="26" t="s">
        <v>8243</v>
      </c>
      <c r="I1806" s="113" t="s">
        <v>12400</v>
      </c>
      <c r="J1806" s="113" t="s">
        <v>12401</v>
      </c>
    </row>
    <row r="1807" spans="1:10" ht="20" customHeight="1" thickBot="1">
      <c r="A1807" s="28" t="s">
        <v>8246</v>
      </c>
      <c r="B1807" s="28" t="s">
        <v>8246</v>
      </c>
      <c r="C1807" s="28" t="s">
        <v>4255</v>
      </c>
      <c r="D1807" s="117">
        <v>21</v>
      </c>
      <c r="E1807" s="122" t="s">
        <v>33</v>
      </c>
      <c r="F1807" s="120" t="s">
        <v>57</v>
      </c>
      <c r="G1807" s="29">
        <v>44791</v>
      </c>
      <c r="H1807" s="28" t="s">
        <v>8247</v>
      </c>
      <c r="I1807" s="114" t="s">
        <v>12400</v>
      </c>
      <c r="J1807" s="114" t="s">
        <v>12401</v>
      </c>
    </row>
    <row r="1808" spans="1:10" ht="20" customHeight="1" thickBot="1">
      <c r="A1808" s="26" t="s">
        <v>8250</v>
      </c>
      <c r="B1808" s="26" t="s">
        <v>8250</v>
      </c>
      <c r="C1808" s="26" t="s">
        <v>2979</v>
      </c>
      <c r="D1808" s="116">
        <v>8</v>
      </c>
      <c r="E1808" s="122" t="s">
        <v>34</v>
      </c>
      <c r="F1808" s="119" t="s">
        <v>57</v>
      </c>
      <c r="G1808" s="27">
        <v>45699</v>
      </c>
      <c r="H1808" s="26" t="s">
        <v>8251</v>
      </c>
      <c r="I1808" s="113" t="s">
        <v>12400</v>
      </c>
      <c r="J1808" s="113" t="s">
        <v>12401</v>
      </c>
    </row>
    <row r="1809" spans="1:10" ht="20" customHeight="1" thickBot="1">
      <c r="A1809" s="28" t="s">
        <v>8254</v>
      </c>
      <c r="B1809" s="28" t="s">
        <v>8254</v>
      </c>
      <c r="C1809" s="28" t="s">
        <v>8255</v>
      </c>
      <c r="D1809" s="117">
        <v>31</v>
      </c>
      <c r="E1809" s="122" t="s">
        <v>33</v>
      </c>
      <c r="F1809" s="120" t="s">
        <v>63</v>
      </c>
      <c r="G1809" s="29">
        <v>45278</v>
      </c>
      <c r="H1809" s="28" t="s">
        <v>8256</v>
      </c>
      <c r="I1809" s="114" t="s">
        <v>12400</v>
      </c>
      <c r="J1809" s="114" t="s">
        <v>12401</v>
      </c>
    </row>
    <row r="1810" spans="1:10" ht="20" customHeight="1" thickBot="1">
      <c r="A1810" s="26" t="s">
        <v>8259</v>
      </c>
      <c r="B1810" s="26" t="s">
        <v>8259</v>
      </c>
      <c r="C1810" s="26" t="s">
        <v>360</v>
      </c>
      <c r="D1810" s="116">
        <v>13</v>
      </c>
      <c r="E1810" s="122" t="s">
        <v>31</v>
      </c>
      <c r="F1810" s="119" t="s">
        <v>63</v>
      </c>
      <c r="G1810" s="27">
        <v>43692</v>
      </c>
      <c r="H1810" s="26" t="s">
        <v>8260</v>
      </c>
      <c r="I1810" s="113" t="s">
        <v>12400</v>
      </c>
      <c r="J1810" s="113" t="s">
        <v>12401</v>
      </c>
    </row>
    <row r="1811" spans="1:10" ht="20" customHeight="1" thickBot="1">
      <c r="A1811" s="28" t="s">
        <v>8263</v>
      </c>
      <c r="B1811" s="28" t="s">
        <v>8263</v>
      </c>
      <c r="C1811" s="28" t="s">
        <v>360</v>
      </c>
      <c r="D1811" s="117">
        <v>12</v>
      </c>
      <c r="E1811" s="122" t="s">
        <v>31</v>
      </c>
      <c r="F1811" s="120" t="s">
        <v>63</v>
      </c>
      <c r="G1811" s="29">
        <v>44168</v>
      </c>
      <c r="H1811" s="28" t="s">
        <v>8264</v>
      </c>
      <c r="I1811" s="114" t="s">
        <v>12400</v>
      </c>
      <c r="J1811" s="114" t="s">
        <v>12401</v>
      </c>
    </row>
    <row r="1812" spans="1:10" ht="20" customHeight="1" thickBot="1">
      <c r="A1812" s="26" t="s">
        <v>8267</v>
      </c>
      <c r="B1812" s="26" t="s">
        <v>8267</v>
      </c>
      <c r="C1812" s="26" t="s">
        <v>360</v>
      </c>
      <c r="D1812" s="116">
        <v>16</v>
      </c>
      <c r="E1812" s="122" t="s">
        <v>31</v>
      </c>
      <c r="F1812" s="119" t="s">
        <v>63</v>
      </c>
      <c r="G1812" s="27">
        <v>43301</v>
      </c>
      <c r="H1812" s="26" t="s">
        <v>8268</v>
      </c>
      <c r="I1812" s="113" t="s">
        <v>12400</v>
      </c>
      <c r="J1812" s="113" t="s">
        <v>12401</v>
      </c>
    </row>
    <row r="1813" spans="1:10" ht="20" customHeight="1" thickBot="1">
      <c r="A1813" s="28" t="s">
        <v>8271</v>
      </c>
      <c r="B1813" s="28" t="s">
        <v>8271</v>
      </c>
      <c r="C1813" s="28" t="s">
        <v>8272</v>
      </c>
      <c r="D1813" s="117">
        <v>17</v>
      </c>
      <c r="E1813" s="122" t="s">
        <v>34</v>
      </c>
      <c r="F1813" s="120" t="s">
        <v>57</v>
      </c>
      <c r="G1813" s="29">
        <v>43600</v>
      </c>
      <c r="H1813" s="28" t="s">
        <v>8273</v>
      </c>
      <c r="I1813" s="114" t="s">
        <v>12400</v>
      </c>
      <c r="J1813" s="114" t="s">
        <v>12401</v>
      </c>
    </row>
    <row r="1814" spans="1:10" ht="20" customHeight="1" thickBot="1">
      <c r="A1814" s="26" t="s">
        <v>8276</v>
      </c>
      <c r="B1814" s="26" t="s">
        <v>8276</v>
      </c>
      <c r="C1814" s="26" t="s">
        <v>8277</v>
      </c>
      <c r="D1814" s="116">
        <v>8</v>
      </c>
      <c r="E1814" s="122" t="s">
        <v>29</v>
      </c>
      <c r="F1814" s="119" t="s">
        <v>63</v>
      </c>
      <c r="G1814" s="27">
        <v>42258</v>
      </c>
      <c r="H1814" s="26" t="s">
        <v>8278</v>
      </c>
      <c r="I1814" s="113" t="s">
        <v>12400</v>
      </c>
      <c r="J1814" s="113" t="s">
        <v>12401</v>
      </c>
    </row>
    <row r="1815" spans="1:10" ht="20" customHeight="1" thickBot="1">
      <c r="A1815" s="28" t="s">
        <v>8281</v>
      </c>
      <c r="B1815" s="28" t="s">
        <v>8281</v>
      </c>
      <c r="C1815" s="28" t="s">
        <v>2828</v>
      </c>
      <c r="D1815" s="117">
        <v>13</v>
      </c>
      <c r="E1815" s="122" t="s">
        <v>33</v>
      </c>
      <c r="F1815" s="120" t="s">
        <v>57</v>
      </c>
      <c r="G1815" s="29">
        <v>43077</v>
      </c>
      <c r="H1815" s="28" t="s">
        <v>8282</v>
      </c>
      <c r="I1815" s="114" t="s">
        <v>12400</v>
      </c>
      <c r="J1815" s="114" t="s">
        <v>12401</v>
      </c>
    </row>
    <row r="1816" spans="1:10" ht="20" customHeight="1" thickBot="1">
      <c r="A1816" s="26" t="s">
        <v>8285</v>
      </c>
      <c r="B1816" s="26" t="s">
        <v>8285</v>
      </c>
      <c r="C1816" s="26" t="s">
        <v>1473</v>
      </c>
      <c r="D1816" s="116">
        <v>14</v>
      </c>
      <c r="E1816" s="122" t="s">
        <v>34</v>
      </c>
      <c r="F1816" s="119" t="s">
        <v>57</v>
      </c>
      <c r="G1816" s="27">
        <v>45078</v>
      </c>
      <c r="H1816" s="26" t="s">
        <v>8286</v>
      </c>
      <c r="I1816" s="113" t="s">
        <v>12400</v>
      </c>
      <c r="J1816" s="113" t="s">
        <v>12401</v>
      </c>
    </row>
    <row r="1817" spans="1:10" ht="20" customHeight="1" thickBot="1">
      <c r="A1817" s="28" t="s">
        <v>8289</v>
      </c>
      <c r="B1817" s="28" t="s">
        <v>8289</v>
      </c>
      <c r="C1817" s="28" t="s">
        <v>8290</v>
      </c>
      <c r="D1817" s="117">
        <v>14</v>
      </c>
      <c r="E1817" s="122" t="s">
        <v>33</v>
      </c>
      <c r="F1817" s="120" t="s">
        <v>57</v>
      </c>
      <c r="G1817" s="29">
        <v>44503</v>
      </c>
      <c r="H1817" s="28" t="s">
        <v>8291</v>
      </c>
      <c r="I1817" s="114" t="s">
        <v>12400</v>
      </c>
      <c r="J1817" s="114" t="s">
        <v>12401</v>
      </c>
    </row>
    <row r="1818" spans="1:10" ht="20" customHeight="1" thickBot="1">
      <c r="A1818" s="26" t="s">
        <v>8294</v>
      </c>
      <c r="B1818" s="26" t="s">
        <v>8294</v>
      </c>
      <c r="C1818" s="26" t="s">
        <v>6178</v>
      </c>
      <c r="D1818" s="116">
        <v>14</v>
      </c>
      <c r="E1818" s="122" t="s">
        <v>35</v>
      </c>
      <c r="F1818" s="119" t="s">
        <v>57</v>
      </c>
      <c r="G1818" s="27">
        <v>43107</v>
      </c>
      <c r="H1818" s="26" t="s">
        <v>8295</v>
      </c>
      <c r="I1818" s="113" t="s">
        <v>12400</v>
      </c>
      <c r="J1818" s="113" t="s">
        <v>12401</v>
      </c>
    </row>
    <row r="1819" spans="1:10" ht="20" customHeight="1" thickBot="1">
      <c r="A1819" s="28" t="s">
        <v>8298</v>
      </c>
      <c r="B1819" s="28" t="s">
        <v>8298</v>
      </c>
      <c r="C1819" s="28" t="s">
        <v>2152</v>
      </c>
      <c r="D1819" s="117">
        <v>76</v>
      </c>
      <c r="E1819" s="122" t="s">
        <v>27</v>
      </c>
      <c r="F1819" s="120" t="s">
        <v>63</v>
      </c>
      <c r="G1819" s="29">
        <v>45822</v>
      </c>
      <c r="H1819" s="28" t="s">
        <v>8299</v>
      </c>
      <c r="I1819" s="114" t="s">
        <v>12400</v>
      </c>
      <c r="J1819" s="114" t="s">
        <v>12401</v>
      </c>
    </row>
    <row r="1820" spans="1:10" ht="20" customHeight="1" thickBot="1">
      <c r="A1820" s="26" t="s">
        <v>8302</v>
      </c>
      <c r="B1820" s="26" t="s">
        <v>8302</v>
      </c>
      <c r="C1820" s="26" t="s">
        <v>56</v>
      </c>
      <c r="D1820" s="116">
        <v>24</v>
      </c>
      <c r="E1820" s="122" t="s">
        <v>34</v>
      </c>
      <c r="F1820" s="119" t="s">
        <v>57</v>
      </c>
      <c r="G1820" s="27">
        <v>44318</v>
      </c>
      <c r="H1820" s="26" t="s">
        <v>8303</v>
      </c>
      <c r="I1820" s="113" t="s">
        <v>12400</v>
      </c>
      <c r="J1820" s="113" t="s">
        <v>12401</v>
      </c>
    </row>
    <row r="1821" spans="1:10" ht="20" customHeight="1" thickBot="1">
      <c r="A1821" s="28" t="s">
        <v>8306</v>
      </c>
      <c r="B1821" s="28" t="s">
        <v>8306</v>
      </c>
      <c r="C1821" s="28" t="s">
        <v>56</v>
      </c>
      <c r="D1821" s="117">
        <v>21</v>
      </c>
      <c r="E1821" s="122" t="s">
        <v>34</v>
      </c>
      <c r="F1821" s="120" t="s">
        <v>57</v>
      </c>
      <c r="G1821" s="29">
        <v>44343</v>
      </c>
      <c r="H1821" s="28" t="s">
        <v>8307</v>
      </c>
      <c r="I1821" s="114" t="s">
        <v>12400</v>
      </c>
      <c r="J1821" s="114" t="s">
        <v>12401</v>
      </c>
    </row>
    <row r="1822" spans="1:10" ht="20" customHeight="1" thickBot="1">
      <c r="A1822" s="26" t="s">
        <v>8310</v>
      </c>
      <c r="B1822" s="26" t="s">
        <v>8310</v>
      </c>
      <c r="C1822" s="26" t="s">
        <v>56</v>
      </c>
      <c r="D1822" s="116">
        <v>35</v>
      </c>
      <c r="E1822" s="122" t="s">
        <v>34</v>
      </c>
      <c r="F1822" s="119" t="s">
        <v>57</v>
      </c>
      <c r="G1822" s="27">
        <v>45579</v>
      </c>
      <c r="H1822" s="26" t="s">
        <v>8311</v>
      </c>
      <c r="I1822" s="113" t="s">
        <v>12400</v>
      </c>
      <c r="J1822" s="113" t="s">
        <v>12401</v>
      </c>
    </row>
    <row r="1823" spans="1:10" ht="20" customHeight="1" thickBot="1">
      <c r="A1823" s="28" t="s">
        <v>8314</v>
      </c>
      <c r="B1823" s="28" t="s">
        <v>8314</v>
      </c>
      <c r="C1823" s="28" t="s">
        <v>355</v>
      </c>
      <c r="D1823" s="117">
        <v>10</v>
      </c>
      <c r="E1823" s="122" t="s">
        <v>35</v>
      </c>
      <c r="F1823" s="120" t="s">
        <v>57</v>
      </c>
      <c r="G1823" s="29">
        <v>42438</v>
      </c>
      <c r="H1823" s="28" t="s">
        <v>8315</v>
      </c>
      <c r="I1823" s="114" t="s">
        <v>12400</v>
      </c>
      <c r="J1823" s="114" t="s">
        <v>12401</v>
      </c>
    </row>
    <row r="1824" spans="1:10" ht="20" customHeight="1" thickBot="1">
      <c r="A1824" s="26" t="s">
        <v>8318</v>
      </c>
      <c r="B1824" s="26" t="s">
        <v>8318</v>
      </c>
      <c r="C1824" s="26" t="s">
        <v>2081</v>
      </c>
      <c r="D1824" s="116">
        <v>0</v>
      </c>
      <c r="E1824" s="122" t="s">
        <v>34</v>
      </c>
      <c r="F1824" s="119" t="s">
        <v>57</v>
      </c>
      <c r="G1824" s="27">
        <v>45869</v>
      </c>
      <c r="H1824" s="26" t="s">
        <v>8319</v>
      </c>
      <c r="I1824" s="113" t="s">
        <v>12400</v>
      </c>
      <c r="J1824" s="113" t="s">
        <v>12401</v>
      </c>
    </row>
    <row r="1825" spans="1:10" ht="20" customHeight="1" thickBot="1">
      <c r="A1825" s="28" t="s">
        <v>8322</v>
      </c>
      <c r="B1825" s="28" t="s">
        <v>8322</v>
      </c>
      <c r="C1825" s="28" t="s">
        <v>8323</v>
      </c>
      <c r="D1825" s="117">
        <v>83</v>
      </c>
      <c r="E1825" s="122" t="s">
        <v>27</v>
      </c>
      <c r="F1825" s="120" t="s">
        <v>115</v>
      </c>
      <c r="G1825" s="29">
        <v>44906</v>
      </c>
      <c r="H1825" s="28" t="s">
        <v>8324</v>
      </c>
      <c r="I1825" s="114" t="s">
        <v>12400</v>
      </c>
      <c r="J1825" s="114" t="s">
        <v>12401</v>
      </c>
    </row>
    <row r="1826" spans="1:10" ht="20" customHeight="1" thickBot="1">
      <c r="A1826" s="26" t="s">
        <v>8327</v>
      </c>
      <c r="B1826" s="26" t="s">
        <v>8327</v>
      </c>
      <c r="C1826" s="26" t="s">
        <v>8323</v>
      </c>
      <c r="D1826" s="116">
        <v>21</v>
      </c>
      <c r="E1826" s="122" t="s">
        <v>27</v>
      </c>
      <c r="F1826" s="119" t="s">
        <v>63</v>
      </c>
      <c r="G1826" s="27">
        <v>44599</v>
      </c>
      <c r="H1826" s="26" t="s">
        <v>8328</v>
      </c>
      <c r="I1826" s="113" t="s">
        <v>12400</v>
      </c>
      <c r="J1826" s="113" t="s">
        <v>12401</v>
      </c>
    </row>
    <row r="1827" spans="1:10" ht="20" customHeight="1" thickBot="1">
      <c r="A1827" s="28" t="s">
        <v>8331</v>
      </c>
      <c r="B1827" s="28" t="s">
        <v>8331</v>
      </c>
      <c r="C1827" s="28" t="s">
        <v>8332</v>
      </c>
      <c r="D1827" s="117">
        <v>7</v>
      </c>
      <c r="E1827" s="122" t="s">
        <v>29</v>
      </c>
      <c r="F1827" s="120" t="s">
        <v>63</v>
      </c>
      <c r="G1827" s="29">
        <v>45145</v>
      </c>
      <c r="H1827" s="28" t="s">
        <v>8333</v>
      </c>
      <c r="I1827" s="114" t="s">
        <v>12400</v>
      </c>
      <c r="J1827" s="114" t="s">
        <v>12401</v>
      </c>
    </row>
    <row r="1828" spans="1:10" ht="20" customHeight="1" thickBot="1">
      <c r="A1828" s="26" t="s">
        <v>8336</v>
      </c>
      <c r="B1828" s="26" t="s">
        <v>8336</v>
      </c>
      <c r="C1828" s="26" t="s">
        <v>2531</v>
      </c>
      <c r="D1828" s="116">
        <v>11</v>
      </c>
      <c r="E1828" s="122" t="s">
        <v>34</v>
      </c>
      <c r="F1828" s="119" t="s">
        <v>57</v>
      </c>
      <c r="G1828" s="27">
        <v>44692</v>
      </c>
      <c r="H1828" s="26" t="s">
        <v>8337</v>
      </c>
      <c r="I1828" s="113" t="s">
        <v>12400</v>
      </c>
      <c r="J1828" s="113" t="s">
        <v>12401</v>
      </c>
    </row>
    <row r="1829" spans="1:10" ht="20" customHeight="1" thickBot="1">
      <c r="A1829" s="28" t="s">
        <v>8340</v>
      </c>
      <c r="B1829" s="28" t="s">
        <v>8340</v>
      </c>
      <c r="C1829" s="28" t="s">
        <v>2531</v>
      </c>
      <c r="D1829" s="117">
        <v>30</v>
      </c>
      <c r="E1829" s="122" t="s">
        <v>35</v>
      </c>
      <c r="F1829" s="120" t="s">
        <v>57</v>
      </c>
      <c r="G1829" s="29">
        <v>45020</v>
      </c>
      <c r="H1829" s="28" t="s">
        <v>8341</v>
      </c>
      <c r="I1829" s="114" t="s">
        <v>12400</v>
      </c>
      <c r="J1829" s="114" t="s">
        <v>12401</v>
      </c>
    </row>
    <row r="1830" spans="1:10" ht="20" customHeight="1" thickBot="1">
      <c r="A1830" s="26" t="s">
        <v>8344</v>
      </c>
      <c r="B1830" s="26" t="s">
        <v>8344</v>
      </c>
      <c r="C1830" s="26" t="s">
        <v>1478</v>
      </c>
      <c r="D1830" s="116">
        <v>15</v>
      </c>
      <c r="E1830" s="122" t="s">
        <v>31</v>
      </c>
      <c r="F1830" s="119" t="s">
        <v>57</v>
      </c>
      <c r="G1830" s="27">
        <v>44238</v>
      </c>
      <c r="H1830" s="26" t="s">
        <v>8345</v>
      </c>
      <c r="I1830" s="113" t="s">
        <v>12400</v>
      </c>
      <c r="J1830" s="113" t="s">
        <v>12401</v>
      </c>
    </row>
    <row r="1831" spans="1:10" ht="20" customHeight="1" thickBot="1">
      <c r="A1831" s="28" t="s">
        <v>8348</v>
      </c>
      <c r="B1831" s="28" t="s">
        <v>8348</v>
      </c>
      <c r="C1831" s="28" t="s">
        <v>1478</v>
      </c>
      <c r="D1831" s="117">
        <v>6</v>
      </c>
      <c r="E1831" s="122" t="s">
        <v>34</v>
      </c>
      <c r="F1831" s="120" t="s">
        <v>57</v>
      </c>
      <c r="G1831" s="29">
        <v>44992</v>
      </c>
      <c r="H1831" s="28" t="s">
        <v>8349</v>
      </c>
      <c r="I1831" s="114" t="s">
        <v>12400</v>
      </c>
      <c r="J1831" s="114" t="s">
        <v>12401</v>
      </c>
    </row>
    <row r="1832" spans="1:10" ht="20" customHeight="1" thickBot="1">
      <c r="A1832" s="26" t="s">
        <v>8352</v>
      </c>
      <c r="B1832" s="26" t="s">
        <v>8352</v>
      </c>
      <c r="C1832" s="26" t="s">
        <v>1497</v>
      </c>
      <c r="D1832" s="116">
        <v>24</v>
      </c>
      <c r="E1832" s="122" t="s">
        <v>31</v>
      </c>
      <c r="F1832" s="119" t="s">
        <v>63</v>
      </c>
      <c r="G1832" s="27">
        <v>42890</v>
      </c>
      <c r="H1832" s="26" t="s">
        <v>8353</v>
      </c>
      <c r="I1832" s="113" t="s">
        <v>12400</v>
      </c>
      <c r="J1832" s="113" t="s">
        <v>12401</v>
      </c>
    </row>
    <row r="1833" spans="1:10" ht="20" customHeight="1" thickBot="1">
      <c r="A1833" s="28" t="s">
        <v>8356</v>
      </c>
      <c r="B1833" s="28" t="s">
        <v>8356</v>
      </c>
      <c r="C1833" s="28" t="s">
        <v>5711</v>
      </c>
      <c r="D1833" s="117">
        <v>37</v>
      </c>
      <c r="E1833" s="122" t="s">
        <v>29</v>
      </c>
      <c r="F1833" s="120" t="s">
        <v>63</v>
      </c>
      <c r="G1833" s="29">
        <v>41599</v>
      </c>
      <c r="H1833" s="28" t="s">
        <v>8357</v>
      </c>
      <c r="I1833" s="114" t="s">
        <v>12400</v>
      </c>
      <c r="J1833" s="114" t="s">
        <v>12401</v>
      </c>
    </row>
    <row r="1834" spans="1:10" ht="20" customHeight="1" thickBot="1">
      <c r="A1834" s="26" t="s">
        <v>8360</v>
      </c>
      <c r="B1834" s="26" t="s">
        <v>8360</v>
      </c>
      <c r="C1834" s="26" t="s">
        <v>504</v>
      </c>
      <c r="D1834" s="116">
        <v>108</v>
      </c>
      <c r="E1834" s="122" t="s">
        <v>29</v>
      </c>
      <c r="F1834" s="119" t="s">
        <v>63</v>
      </c>
      <c r="G1834" s="27">
        <v>43799</v>
      </c>
      <c r="H1834" s="26" t="s">
        <v>8361</v>
      </c>
      <c r="I1834" s="113" t="s">
        <v>12400</v>
      </c>
      <c r="J1834" s="113" t="s">
        <v>12401</v>
      </c>
    </row>
    <row r="1835" spans="1:10" ht="20" customHeight="1" thickBot="1">
      <c r="A1835" s="28" t="s">
        <v>8364</v>
      </c>
      <c r="B1835" s="28" t="s">
        <v>8364</v>
      </c>
      <c r="C1835" s="28" t="s">
        <v>504</v>
      </c>
      <c r="D1835" s="117">
        <v>64</v>
      </c>
      <c r="E1835" s="122" t="s">
        <v>29</v>
      </c>
      <c r="F1835" s="120" t="s">
        <v>63</v>
      </c>
      <c r="G1835" s="29">
        <v>46066</v>
      </c>
      <c r="H1835" s="28" t="s">
        <v>8365</v>
      </c>
      <c r="I1835" s="114" t="s">
        <v>12400</v>
      </c>
      <c r="J1835" s="114" t="s">
        <v>12401</v>
      </c>
    </row>
    <row r="1836" spans="1:10" ht="20" customHeight="1" thickBot="1">
      <c r="A1836" s="26" t="s">
        <v>8368</v>
      </c>
      <c r="B1836" s="26" t="s">
        <v>8368</v>
      </c>
      <c r="C1836" s="26" t="s">
        <v>8369</v>
      </c>
      <c r="D1836" s="116">
        <v>5</v>
      </c>
      <c r="E1836" s="122" t="s">
        <v>31</v>
      </c>
      <c r="F1836" s="119" t="s">
        <v>63</v>
      </c>
      <c r="G1836" s="27">
        <v>42062</v>
      </c>
      <c r="H1836" s="26" t="s">
        <v>8370</v>
      </c>
      <c r="I1836" s="113" t="s">
        <v>12400</v>
      </c>
      <c r="J1836" s="113" t="s">
        <v>12401</v>
      </c>
    </row>
    <row r="1837" spans="1:10" ht="20" customHeight="1" thickBot="1">
      <c r="A1837" s="28" t="s">
        <v>8373</v>
      </c>
      <c r="B1837" s="28" t="s">
        <v>8373</v>
      </c>
      <c r="C1837" s="28" t="s">
        <v>8374</v>
      </c>
      <c r="D1837" s="117">
        <v>24</v>
      </c>
      <c r="E1837" s="122" t="s">
        <v>31</v>
      </c>
      <c r="F1837" s="120" t="s">
        <v>63</v>
      </c>
      <c r="G1837" s="29">
        <v>45285</v>
      </c>
      <c r="H1837" s="28" t="s">
        <v>8375</v>
      </c>
      <c r="I1837" s="114" t="s">
        <v>12400</v>
      </c>
      <c r="J1837" s="114" t="s">
        <v>12401</v>
      </c>
    </row>
    <row r="1838" spans="1:10" ht="20" customHeight="1" thickBot="1">
      <c r="A1838" s="26" t="s">
        <v>8378</v>
      </c>
      <c r="B1838" s="26" t="s">
        <v>8378</v>
      </c>
      <c r="C1838" s="26" t="s">
        <v>8379</v>
      </c>
      <c r="D1838" s="116">
        <v>34</v>
      </c>
      <c r="E1838" s="122" t="s">
        <v>29</v>
      </c>
      <c r="F1838" s="119" t="s">
        <v>63</v>
      </c>
      <c r="G1838" s="27">
        <v>45897</v>
      </c>
      <c r="H1838" s="26" t="s">
        <v>8380</v>
      </c>
      <c r="I1838" s="113" t="s">
        <v>12400</v>
      </c>
      <c r="J1838" s="113" t="s">
        <v>12401</v>
      </c>
    </row>
    <row r="1839" spans="1:10" ht="20" customHeight="1" thickBot="1">
      <c r="A1839" s="28" t="s">
        <v>8383</v>
      </c>
      <c r="B1839" s="28" t="s">
        <v>8383</v>
      </c>
      <c r="C1839" s="28" t="s">
        <v>8384</v>
      </c>
      <c r="D1839" s="117">
        <v>18</v>
      </c>
      <c r="E1839" s="122" t="s">
        <v>31</v>
      </c>
      <c r="F1839" s="120" t="s">
        <v>63</v>
      </c>
      <c r="G1839" s="29">
        <v>42130</v>
      </c>
      <c r="H1839" s="28" t="s">
        <v>8385</v>
      </c>
      <c r="I1839" s="114" t="s">
        <v>12400</v>
      </c>
      <c r="J1839" s="114" t="s">
        <v>12401</v>
      </c>
    </row>
    <row r="1840" spans="1:10" ht="20" customHeight="1" thickBot="1">
      <c r="A1840" s="26" t="s">
        <v>8388</v>
      </c>
      <c r="B1840" s="26" t="s">
        <v>8388</v>
      </c>
      <c r="C1840" s="26" t="s">
        <v>8389</v>
      </c>
      <c r="D1840" s="116">
        <v>96</v>
      </c>
      <c r="E1840" s="122" t="s">
        <v>31</v>
      </c>
      <c r="F1840" s="119" t="s">
        <v>63</v>
      </c>
      <c r="G1840" s="27">
        <v>42337</v>
      </c>
      <c r="H1840" s="26" t="s">
        <v>8390</v>
      </c>
      <c r="I1840" s="113" t="s">
        <v>12400</v>
      </c>
      <c r="J1840" s="113" t="s">
        <v>12401</v>
      </c>
    </row>
    <row r="1841" spans="1:10" ht="20" customHeight="1" thickBot="1">
      <c r="A1841" s="28" t="s">
        <v>8393</v>
      </c>
      <c r="B1841" s="28" t="s">
        <v>8393</v>
      </c>
      <c r="C1841" s="28" t="s">
        <v>8394</v>
      </c>
      <c r="D1841" s="117">
        <v>12</v>
      </c>
      <c r="E1841" s="122" t="s">
        <v>31</v>
      </c>
      <c r="F1841" s="120" t="s">
        <v>63</v>
      </c>
      <c r="G1841" s="29">
        <v>44571</v>
      </c>
      <c r="H1841" s="28" t="s">
        <v>8395</v>
      </c>
      <c r="I1841" s="114" t="s">
        <v>12400</v>
      </c>
      <c r="J1841" s="114" t="s">
        <v>12401</v>
      </c>
    </row>
    <row r="1842" spans="1:10" ht="20" customHeight="1" thickBot="1">
      <c r="A1842" s="26" t="s">
        <v>8398</v>
      </c>
      <c r="B1842" s="26" t="s">
        <v>8398</v>
      </c>
      <c r="C1842" s="26" t="s">
        <v>8399</v>
      </c>
      <c r="D1842" s="116">
        <v>6</v>
      </c>
      <c r="E1842" s="122" t="s">
        <v>27</v>
      </c>
      <c r="F1842" s="119" t="s">
        <v>63</v>
      </c>
      <c r="G1842" s="27">
        <v>42334</v>
      </c>
      <c r="H1842" s="26" t="s">
        <v>8400</v>
      </c>
      <c r="I1842" s="113" t="s">
        <v>12400</v>
      </c>
      <c r="J1842" s="113" t="s">
        <v>12401</v>
      </c>
    </row>
    <row r="1843" spans="1:10" ht="20" customHeight="1" thickBot="1">
      <c r="A1843" s="28" t="s">
        <v>8403</v>
      </c>
      <c r="B1843" s="28" t="s">
        <v>8403</v>
      </c>
      <c r="C1843" s="28" t="s">
        <v>8404</v>
      </c>
      <c r="D1843" s="117">
        <v>11</v>
      </c>
      <c r="E1843" s="122" t="s">
        <v>33</v>
      </c>
      <c r="F1843" s="120" t="s">
        <v>57</v>
      </c>
      <c r="G1843" s="29">
        <v>43305</v>
      </c>
      <c r="H1843" s="28" t="s">
        <v>8405</v>
      </c>
      <c r="I1843" s="114" t="s">
        <v>12400</v>
      </c>
      <c r="J1843" s="114" t="s">
        <v>12401</v>
      </c>
    </row>
    <row r="1844" spans="1:10" ht="20" customHeight="1" thickBot="1">
      <c r="A1844" s="26" t="s">
        <v>8408</v>
      </c>
      <c r="B1844" s="26" t="s">
        <v>8408</v>
      </c>
      <c r="C1844" s="26" t="s">
        <v>1379</v>
      </c>
      <c r="D1844" s="116">
        <v>4</v>
      </c>
      <c r="E1844" s="122" t="s">
        <v>33</v>
      </c>
      <c r="F1844" s="119" t="s">
        <v>571</v>
      </c>
      <c r="G1844" s="27">
        <v>45811</v>
      </c>
      <c r="H1844" s="26" t="s">
        <v>8409</v>
      </c>
      <c r="I1844" s="113" t="s">
        <v>12400</v>
      </c>
      <c r="J1844" s="113" t="s">
        <v>12401</v>
      </c>
    </row>
    <row r="1845" spans="1:10" ht="20" customHeight="1" thickBot="1">
      <c r="A1845" s="28" t="s">
        <v>8412</v>
      </c>
      <c r="B1845" s="28" t="s">
        <v>8412</v>
      </c>
      <c r="C1845" s="28" t="s">
        <v>1379</v>
      </c>
      <c r="D1845" s="117">
        <v>4</v>
      </c>
      <c r="E1845" s="122" t="s">
        <v>31</v>
      </c>
      <c r="F1845" s="120" t="s">
        <v>57</v>
      </c>
      <c r="G1845" s="29">
        <v>45942</v>
      </c>
      <c r="H1845" s="28" t="s">
        <v>8413</v>
      </c>
      <c r="I1845" s="114" t="s">
        <v>12400</v>
      </c>
      <c r="J1845" s="114" t="s">
        <v>12401</v>
      </c>
    </row>
    <row r="1846" spans="1:10" ht="20" customHeight="1" thickBot="1">
      <c r="A1846" s="26" t="s">
        <v>8416</v>
      </c>
      <c r="B1846" s="26" t="s">
        <v>8416</v>
      </c>
      <c r="C1846" s="26" t="s">
        <v>8417</v>
      </c>
      <c r="D1846" s="116">
        <v>10</v>
      </c>
      <c r="E1846" s="122" t="s">
        <v>33</v>
      </c>
      <c r="F1846" s="119" t="s">
        <v>57</v>
      </c>
      <c r="G1846" s="27">
        <v>46185</v>
      </c>
      <c r="H1846" s="26" t="s">
        <v>8418</v>
      </c>
      <c r="I1846" s="113" t="s">
        <v>12400</v>
      </c>
      <c r="J1846" s="113" t="s">
        <v>12401</v>
      </c>
    </row>
    <row r="1847" spans="1:10" ht="20" customHeight="1" thickBot="1">
      <c r="A1847" s="28" t="s">
        <v>8421</v>
      </c>
      <c r="B1847" s="28" t="s">
        <v>8421</v>
      </c>
      <c r="C1847" s="28" t="s">
        <v>8422</v>
      </c>
      <c r="D1847" s="117">
        <v>71</v>
      </c>
      <c r="E1847" s="122" t="s">
        <v>31</v>
      </c>
      <c r="F1847" s="120" t="s">
        <v>63</v>
      </c>
      <c r="G1847" s="29">
        <v>43140</v>
      </c>
      <c r="H1847" s="28" t="s">
        <v>8423</v>
      </c>
      <c r="I1847" s="114" t="s">
        <v>12400</v>
      </c>
      <c r="J1847" s="114" t="s">
        <v>12401</v>
      </c>
    </row>
    <row r="1848" spans="1:10" ht="20" customHeight="1" thickBot="1">
      <c r="A1848" s="26" t="s">
        <v>8426</v>
      </c>
      <c r="B1848" s="26" t="s">
        <v>8426</v>
      </c>
      <c r="C1848" s="26" t="s">
        <v>8422</v>
      </c>
      <c r="D1848" s="116">
        <v>11</v>
      </c>
      <c r="E1848" s="122" t="s">
        <v>35</v>
      </c>
      <c r="F1848" s="119" t="s">
        <v>57</v>
      </c>
      <c r="G1848" s="27">
        <v>43112</v>
      </c>
      <c r="H1848" s="26" t="s">
        <v>8427</v>
      </c>
      <c r="I1848" s="113" t="s">
        <v>12400</v>
      </c>
      <c r="J1848" s="113" t="s">
        <v>12401</v>
      </c>
    </row>
    <row r="1849" spans="1:10" ht="20" customHeight="1" thickBot="1">
      <c r="A1849" s="28" t="s">
        <v>8430</v>
      </c>
      <c r="B1849" s="28" t="s">
        <v>8430</v>
      </c>
      <c r="C1849" s="28" t="s">
        <v>8431</v>
      </c>
      <c r="D1849" s="117">
        <v>8</v>
      </c>
      <c r="E1849" s="122" t="s">
        <v>33</v>
      </c>
      <c r="F1849" s="120" t="s">
        <v>57</v>
      </c>
      <c r="G1849" s="29">
        <v>43849</v>
      </c>
      <c r="H1849" s="28" t="s">
        <v>8432</v>
      </c>
      <c r="I1849" s="114" t="s">
        <v>12400</v>
      </c>
      <c r="J1849" s="114" t="s">
        <v>12401</v>
      </c>
    </row>
    <row r="1850" spans="1:10" ht="20" customHeight="1" thickBot="1">
      <c r="A1850" s="26" t="s">
        <v>8435</v>
      </c>
      <c r="B1850" s="26" t="s">
        <v>8435</v>
      </c>
      <c r="C1850" s="26" t="s">
        <v>8436</v>
      </c>
      <c r="D1850" s="116">
        <v>100</v>
      </c>
      <c r="E1850" s="122" t="s">
        <v>33</v>
      </c>
      <c r="F1850" s="119" t="s">
        <v>63</v>
      </c>
      <c r="G1850" s="27">
        <v>43877</v>
      </c>
      <c r="H1850" s="26" t="s">
        <v>8437</v>
      </c>
      <c r="I1850" s="113" t="s">
        <v>12400</v>
      </c>
      <c r="J1850" s="113" t="s">
        <v>12401</v>
      </c>
    </row>
    <row r="1851" spans="1:10" ht="20" customHeight="1" thickBot="1">
      <c r="A1851" s="28" t="s">
        <v>8440</v>
      </c>
      <c r="B1851" s="28" t="s">
        <v>8440</v>
      </c>
      <c r="C1851" s="28" t="s">
        <v>8441</v>
      </c>
      <c r="D1851" s="117">
        <v>7</v>
      </c>
      <c r="E1851" s="122" t="s">
        <v>27</v>
      </c>
      <c r="F1851" s="120" t="s">
        <v>63</v>
      </c>
      <c r="G1851" s="29">
        <v>41493</v>
      </c>
      <c r="H1851" s="28" t="s">
        <v>8442</v>
      </c>
      <c r="I1851" s="114" t="s">
        <v>12400</v>
      </c>
      <c r="J1851" s="114" t="s">
        <v>12401</v>
      </c>
    </row>
    <row r="1852" spans="1:10" ht="20" customHeight="1" thickBot="1">
      <c r="A1852" s="26" t="s">
        <v>8445</v>
      </c>
      <c r="B1852" s="26" t="s">
        <v>8445</v>
      </c>
      <c r="C1852" s="26" t="s">
        <v>8446</v>
      </c>
      <c r="D1852" s="116">
        <v>7</v>
      </c>
      <c r="E1852" s="122" t="s">
        <v>27</v>
      </c>
      <c r="F1852" s="119" t="s">
        <v>63</v>
      </c>
      <c r="G1852" s="27">
        <v>42293</v>
      </c>
      <c r="H1852" s="26" t="s">
        <v>8447</v>
      </c>
      <c r="I1852" s="113" t="s">
        <v>12400</v>
      </c>
      <c r="J1852" s="113" t="s">
        <v>12401</v>
      </c>
    </row>
    <row r="1853" spans="1:10" ht="20" customHeight="1" thickBot="1">
      <c r="A1853" s="28" t="s">
        <v>8450</v>
      </c>
      <c r="B1853" s="28" t="s">
        <v>8450</v>
      </c>
      <c r="C1853" s="28" t="s">
        <v>8451</v>
      </c>
      <c r="D1853" s="117">
        <v>32</v>
      </c>
      <c r="E1853" s="122" t="s">
        <v>31</v>
      </c>
      <c r="F1853" s="120" t="s">
        <v>63</v>
      </c>
      <c r="G1853" s="29">
        <v>44474</v>
      </c>
      <c r="H1853" s="28" t="s">
        <v>8452</v>
      </c>
      <c r="I1853" s="114" t="s">
        <v>12400</v>
      </c>
      <c r="J1853" s="114" t="s">
        <v>12401</v>
      </c>
    </row>
    <row r="1854" spans="1:10" ht="20" customHeight="1" thickBot="1">
      <c r="A1854" s="26" t="s">
        <v>8455</v>
      </c>
      <c r="B1854" s="26" t="s">
        <v>8455</v>
      </c>
      <c r="C1854" s="26" t="s">
        <v>8456</v>
      </c>
      <c r="D1854" s="116">
        <v>5</v>
      </c>
      <c r="E1854" s="122" t="s">
        <v>27</v>
      </c>
      <c r="F1854" s="119" t="s">
        <v>63</v>
      </c>
      <c r="G1854" s="27">
        <v>42302</v>
      </c>
      <c r="H1854" s="26" t="s">
        <v>8457</v>
      </c>
      <c r="I1854" s="113" t="s">
        <v>12400</v>
      </c>
      <c r="J1854" s="113" t="s">
        <v>12401</v>
      </c>
    </row>
    <row r="1855" spans="1:10" ht="20" customHeight="1" thickBot="1">
      <c r="A1855" s="28" t="s">
        <v>8460</v>
      </c>
      <c r="B1855" s="28" t="s">
        <v>8460</v>
      </c>
      <c r="C1855" s="28" t="s">
        <v>8461</v>
      </c>
      <c r="D1855" s="117">
        <v>77</v>
      </c>
      <c r="E1855" s="122" t="s">
        <v>29</v>
      </c>
      <c r="F1855" s="120" t="s">
        <v>63</v>
      </c>
      <c r="G1855" s="29">
        <v>45789</v>
      </c>
      <c r="H1855" s="28" t="s">
        <v>8462</v>
      </c>
      <c r="I1855" s="114" t="s">
        <v>12400</v>
      </c>
      <c r="J1855" s="114" t="s">
        <v>12401</v>
      </c>
    </row>
    <row r="1856" spans="1:10" ht="20" customHeight="1" thickBot="1">
      <c r="A1856" s="26" t="s">
        <v>8465</v>
      </c>
      <c r="B1856" s="26" t="s">
        <v>8465</v>
      </c>
      <c r="C1856" s="26" t="s">
        <v>8461</v>
      </c>
      <c r="D1856" s="116">
        <v>87</v>
      </c>
      <c r="E1856" s="122" t="s">
        <v>29</v>
      </c>
      <c r="F1856" s="119" t="s">
        <v>63</v>
      </c>
      <c r="G1856" s="27">
        <v>41654</v>
      </c>
      <c r="H1856" s="26" t="s">
        <v>8466</v>
      </c>
      <c r="I1856" s="113" t="s">
        <v>12400</v>
      </c>
      <c r="J1856" s="113" t="s">
        <v>12401</v>
      </c>
    </row>
    <row r="1857" spans="1:10" ht="20" customHeight="1" thickBot="1">
      <c r="A1857" s="28" t="s">
        <v>8469</v>
      </c>
      <c r="B1857" s="28" t="s">
        <v>8469</v>
      </c>
      <c r="C1857" s="28" t="s">
        <v>8451</v>
      </c>
      <c r="D1857" s="117">
        <v>31</v>
      </c>
      <c r="E1857" s="122" t="s">
        <v>29</v>
      </c>
      <c r="F1857" s="120" t="s">
        <v>63</v>
      </c>
      <c r="G1857" s="29">
        <v>44041</v>
      </c>
      <c r="H1857" s="28" t="s">
        <v>8470</v>
      </c>
      <c r="I1857" s="114" t="s">
        <v>12400</v>
      </c>
      <c r="J1857" s="114" t="s">
        <v>12401</v>
      </c>
    </row>
    <row r="1858" spans="1:10" ht="20" customHeight="1" thickBot="1">
      <c r="A1858" s="26" t="s">
        <v>8473</v>
      </c>
      <c r="B1858" s="26" t="s">
        <v>8473</v>
      </c>
      <c r="C1858" s="26" t="s">
        <v>8451</v>
      </c>
      <c r="D1858" s="116">
        <v>33</v>
      </c>
      <c r="E1858" s="122" t="s">
        <v>31</v>
      </c>
      <c r="F1858" s="119" t="s">
        <v>63</v>
      </c>
      <c r="G1858" s="27">
        <v>44068</v>
      </c>
      <c r="H1858" s="26" t="s">
        <v>8474</v>
      </c>
      <c r="I1858" s="113" t="s">
        <v>12400</v>
      </c>
      <c r="J1858" s="113" t="s">
        <v>12401</v>
      </c>
    </row>
    <row r="1859" spans="1:10" ht="20" customHeight="1" thickBot="1">
      <c r="A1859" s="28" t="s">
        <v>8477</v>
      </c>
      <c r="B1859" s="28" t="s">
        <v>8477</v>
      </c>
      <c r="C1859" s="28" t="s">
        <v>8478</v>
      </c>
      <c r="D1859" s="117">
        <v>6</v>
      </c>
      <c r="E1859" s="122" t="s">
        <v>27</v>
      </c>
      <c r="F1859" s="120" t="s">
        <v>63</v>
      </c>
      <c r="G1859" s="29">
        <v>41531</v>
      </c>
      <c r="H1859" s="28" t="s">
        <v>8479</v>
      </c>
      <c r="I1859" s="114" t="s">
        <v>12400</v>
      </c>
      <c r="J1859" s="114" t="s">
        <v>12401</v>
      </c>
    </row>
    <row r="1860" spans="1:10" ht="20" customHeight="1" thickBot="1">
      <c r="A1860" s="26" t="s">
        <v>8482</v>
      </c>
      <c r="B1860" s="26" t="s">
        <v>8482</v>
      </c>
      <c r="C1860" s="26" t="s">
        <v>5827</v>
      </c>
      <c r="D1860" s="116">
        <v>14</v>
      </c>
      <c r="E1860" s="122" t="s">
        <v>27</v>
      </c>
      <c r="F1860" s="119" t="s">
        <v>63</v>
      </c>
      <c r="G1860" s="27">
        <v>41648</v>
      </c>
      <c r="H1860" s="26" t="s">
        <v>8483</v>
      </c>
      <c r="I1860" s="113" t="s">
        <v>12400</v>
      </c>
      <c r="J1860" s="113" t="s">
        <v>12401</v>
      </c>
    </row>
    <row r="1861" spans="1:10" ht="20" customHeight="1" thickBot="1">
      <c r="A1861" s="28" t="s">
        <v>8486</v>
      </c>
      <c r="B1861" s="28" t="s">
        <v>8487</v>
      </c>
      <c r="C1861" s="28" t="s">
        <v>8488</v>
      </c>
      <c r="D1861" s="117">
        <v>8</v>
      </c>
      <c r="E1861" s="122" t="s">
        <v>27</v>
      </c>
      <c r="F1861" s="120" t="s">
        <v>63</v>
      </c>
      <c r="G1861" s="29">
        <v>41544</v>
      </c>
      <c r="H1861" s="28" t="s">
        <v>8489</v>
      </c>
      <c r="I1861" s="114" t="s">
        <v>12400</v>
      </c>
      <c r="J1861" s="114" t="s">
        <v>12401</v>
      </c>
    </row>
    <row r="1862" spans="1:10" ht="20" customHeight="1" thickBot="1">
      <c r="A1862" s="26" t="s">
        <v>8492</v>
      </c>
      <c r="B1862" s="26" t="s">
        <v>8487</v>
      </c>
      <c r="C1862" s="26" t="s">
        <v>8493</v>
      </c>
      <c r="D1862" s="116">
        <v>0</v>
      </c>
      <c r="E1862" s="122" t="s">
        <v>29</v>
      </c>
      <c r="F1862" s="119" t="s">
        <v>63</v>
      </c>
      <c r="G1862" s="27">
        <v>42310</v>
      </c>
      <c r="H1862" s="26" t="s">
        <v>8494</v>
      </c>
      <c r="I1862" s="113" t="s">
        <v>12400</v>
      </c>
      <c r="J1862" s="113" t="s">
        <v>12401</v>
      </c>
    </row>
    <row r="1863" spans="1:10" ht="20" customHeight="1" thickBot="1">
      <c r="A1863" s="28" t="s">
        <v>8497</v>
      </c>
      <c r="B1863" s="28" t="s">
        <v>8497</v>
      </c>
      <c r="C1863" s="28" t="s">
        <v>8498</v>
      </c>
      <c r="D1863" s="117">
        <v>7</v>
      </c>
      <c r="E1863" s="122" t="s">
        <v>29</v>
      </c>
      <c r="F1863" s="120" t="s">
        <v>63</v>
      </c>
      <c r="G1863" s="29">
        <v>41666</v>
      </c>
      <c r="H1863" s="28" t="s">
        <v>8499</v>
      </c>
      <c r="I1863" s="114" t="s">
        <v>12400</v>
      </c>
      <c r="J1863" s="114" t="s">
        <v>12401</v>
      </c>
    </row>
    <row r="1864" spans="1:10" ht="20" customHeight="1" thickBot="1">
      <c r="A1864" s="26" t="s">
        <v>8502</v>
      </c>
      <c r="B1864" s="26" t="s">
        <v>8502</v>
      </c>
      <c r="C1864" s="26" t="s">
        <v>3219</v>
      </c>
      <c r="D1864" s="116">
        <v>12</v>
      </c>
      <c r="E1864" s="122" t="s">
        <v>31</v>
      </c>
      <c r="F1864" s="119" t="s">
        <v>57</v>
      </c>
      <c r="G1864" s="27">
        <v>46212</v>
      </c>
      <c r="H1864" s="26" t="s">
        <v>8503</v>
      </c>
      <c r="I1864" s="113" t="s">
        <v>12400</v>
      </c>
      <c r="J1864" s="113" t="s">
        <v>12401</v>
      </c>
    </row>
    <row r="1865" spans="1:10" ht="20" customHeight="1" thickBot="1">
      <c r="A1865" s="28" t="s">
        <v>8506</v>
      </c>
      <c r="B1865" s="28" t="s">
        <v>8506</v>
      </c>
      <c r="C1865" s="28" t="s">
        <v>8507</v>
      </c>
      <c r="D1865" s="117">
        <v>9</v>
      </c>
      <c r="E1865" s="122" t="s">
        <v>27</v>
      </c>
      <c r="F1865" s="120" t="s">
        <v>63</v>
      </c>
      <c r="G1865" s="29">
        <v>42279</v>
      </c>
      <c r="H1865" s="28" t="s">
        <v>8508</v>
      </c>
      <c r="I1865" s="114" t="s">
        <v>12400</v>
      </c>
      <c r="J1865" s="114" t="s">
        <v>12401</v>
      </c>
    </row>
    <row r="1866" spans="1:10" ht="20" customHeight="1" thickBot="1">
      <c r="A1866" s="26" t="s">
        <v>8511</v>
      </c>
      <c r="B1866" s="26" t="s">
        <v>8511</v>
      </c>
      <c r="C1866" s="26" t="s">
        <v>8512</v>
      </c>
      <c r="D1866" s="116">
        <v>20</v>
      </c>
      <c r="E1866" s="122" t="s">
        <v>34</v>
      </c>
      <c r="F1866" s="119" t="s">
        <v>57</v>
      </c>
      <c r="G1866" s="27">
        <v>43631</v>
      </c>
      <c r="H1866" s="26" t="s">
        <v>8513</v>
      </c>
      <c r="I1866" s="113" t="s">
        <v>12400</v>
      </c>
      <c r="J1866" s="113" t="s">
        <v>12401</v>
      </c>
    </row>
    <row r="1867" spans="1:10" ht="20" customHeight="1" thickBot="1">
      <c r="A1867" s="28" t="s">
        <v>8516</v>
      </c>
      <c r="B1867" s="28" t="s">
        <v>8516</v>
      </c>
      <c r="C1867" s="28" t="s">
        <v>2823</v>
      </c>
      <c r="D1867" s="117">
        <v>8</v>
      </c>
      <c r="E1867" s="122" t="s">
        <v>31</v>
      </c>
      <c r="F1867" s="120" t="s">
        <v>63</v>
      </c>
      <c r="G1867" s="29">
        <v>41541</v>
      </c>
      <c r="H1867" s="28" t="s">
        <v>8517</v>
      </c>
      <c r="I1867" s="114" t="s">
        <v>12400</v>
      </c>
      <c r="J1867" s="114" t="s">
        <v>12401</v>
      </c>
    </row>
    <row r="1868" spans="1:10" ht="20" customHeight="1" thickBot="1">
      <c r="A1868" s="26" t="s">
        <v>8520</v>
      </c>
      <c r="B1868" s="26" t="s">
        <v>8520</v>
      </c>
      <c r="C1868" s="26" t="s">
        <v>8521</v>
      </c>
      <c r="D1868" s="116">
        <v>7</v>
      </c>
      <c r="E1868" s="122" t="s">
        <v>29</v>
      </c>
      <c r="F1868" s="119" t="s">
        <v>63</v>
      </c>
      <c r="G1868" s="27">
        <v>42297</v>
      </c>
      <c r="H1868" s="26" t="s">
        <v>8522</v>
      </c>
      <c r="I1868" s="113" t="s">
        <v>12400</v>
      </c>
      <c r="J1868" s="113" t="s">
        <v>12401</v>
      </c>
    </row>
    <row r="1869" spans="1:10" ht="20" customHeight="1" thickBot="1">
      <c r="A1869" s="28" t="s">
        <v>8525</v>
      </c>
      <c r="B1869" s="28" t="s">
        <v>8525</v>
      </c>
      <c r="C1869" s="28" t="s">
        <v>4132</v>
      </c>
      <c r="D1869" s="117">
        <v>70</v>
      </c>
      <c r="E1869" s="122" t="s">
        <v>29</v>
      </c>
      <c r="F1869" s="120" t="s">
        <v>63</v>
      </c>
      <c r="G1869" s="29">
        <v>43910</v>
      </c>
      <c r="H1869" s="28" t="s">
        <v>8526</v>
      </c>
      <c r="I1869" s="114" t="s">
        <v>12400</v>
      </c>
      <c r="J1869" s="114" t="s">
        <v>12401</v>
      </c>
    </row>
    <row r="1870" spans="1:10" ht="20" customHeight="1" thickBot="1">
      <c r="A1870" s="26" t="s">
        <v>8529</v>
      </c>
      <c r="B1870" s="26" t="s">
        <v>8529</v>
      </c>
      <c r="C1870" s="26" t="s">
        <v>4132</v>
      </c>
      <c r="D1870" s="116">
        <v>19</v>
      </c>
      <c r="E1870" s="122" t="s">
        <v>29</v>
      </c>
      <c r="F1870" s="119" t="s">
        <v>63</v>
      </c>
      <c r="G1870" s="27">
        <v>46074</v>
      </c>
      <c r="H1870" s="26" t="s">
        <v>8530</v>
      </c>
      <c r="I1870" s="113" t="s">
        <v>12400</v>
      </c>
      <c r="J1870" s="113" t="s">
        <v>12401</v>
      </c>
    </row>
    <row r="1871" spans="1:10" ht="20" customHeight="1" thickBot="1">
      <c r="A1871" s="28" t="s">
        <v>8533</v>
      </c>
      <c r="B1871" s="28" t="s">
        <v>8533</v>
      </c>
      <c r="C1871" s="28" t="s">
        <v>8534</v>
      </c>
      <c r="D1871" s="117">
        <v>24</v>
      </c>
      <c r="E1871" s="122" t="s">
        <v>33</v>
      </c>
      <c r="F1871" s="120" t="s">
        <v>63</v>
      </c>
      <c r="G1871" s="29">
        <v>45192</v>
      </c>
      <c r="H1871" s="28" t="s">
        <v>8535</v>
      </c>
      <c r="I1871" s="114" t="s">
        <v>12400</v>
      </c>
      <c r="J1871" s="114" t="s">
        <v>12401</v>
      </c>
    </row>
    <row r="1872" spans="1:10" ht="20" customHeight="1" thickBot="1">
      <c r="A1872" s="26" t="s">
        <v>8538</v>
      </c>
      <c r="B1872" s="26" t="s">
        <v>8538</v>
      </c>
      <c r="C1872" s="26" t="s">
        <v>1497</v>
      </c>
      <c r="D1872" s="116">
        <v>24</v>
      </c>
      <c r="E1872" s="122" t="s">
        <v>31</v>
      </c>
      <c r="F1872" s="119" t="s">
        <v>63</v>
      </c>
      <c r="G1872" s="27">
        <v>42847</v>
      </c>
      <c r="H1872" s="26" t="s">
        <v>8539</v>
      </c>
      <c r="I1872" s="113" t="s">
        <v>12400</v>
      </c>
      <c r="J1872" s="113" t="s">
        <v>12401</v>
      </c>
    </row>
    <row r="1873" spans="1:10" ht="20" customHeight="1" thickBot="1">
      <c r="A1873" s="28" t="s">
        <v>8542</v>
      </c>
      <c r="B1873" s="28" t="s">
        <v>8542</v>
      </c>
      <c r="C1873" s="28" t="s">
        <v>8543</v>
      </c>
      <c r="D1873" s="117">
        <v>44</v>
      </c>
      <c r="E1873" s="122" t="s">
        <v>31</v>
      </c>
      <c r="F1873" s="120" t="s">
        <v>63</v>
      </c>
      <c r="G1873" s="29">
        <v>43861</v>
      </c>
      <c r="H1873" s="28" t="s">
        <v>8544</v>
      </c>
      <c r="I1873" s="114" t="s">
        <v>12400</v>
      </c>
      <c r="J1873" s="114" t="s">
        <v>12401</v>
      </c>
    </row>
    <row r="1874" spans="1:10" ht="20" customHeight="1" thickBot="1">
      <c r="A1874" s="26" t="s">
        <v>8547</v>
      </c>
      <c r="B1874" s="26" t="s">
        <v>8547</v>
      </c>
      <c r="C1874" s="26" t="s">
        <v>3262</v>
      </c>
      <c r="D1874" s="116">
        <v>8</v>
      </c>
      <c r="E1874" s="122" t="s">
        <v>29</v>
      </c>
      <c r="F1874" s="119" t="s">
        <v>63</v>
      </c>
      <c r="G1874" s="27">
        <v>43155</v>
      </c>
      <c r="H1874" s="26" t="s">
        <v>8548</v>
      </c>
      <c r="I1874" s="113" t="s">
        <v>12400</v>
      </c>
      <c r="J1874" s="113" t="s">
        <v>12401</v>
      </c>
    </row>
    <row r="1875" spans="1:10" ht="20" customHeight="1" thickBot="1">
      <c r="A1875" s="28" t="s">
        <v>8551</v>
      </c>
      <c r="B1875" s="28" t="s">
        <v>8551</v>
      </c>
      <c r="C1875" s="28" t="s">
        <v>3957</v>
      </c>
      <c r="D1875" s="117">
        <v>79</v>
      </c>
      <c r="E1875" s="122" t="s">
        <v>33</v>
      </c>
      <c r="F1875" s="120" t="s">
        <v>63</v>
      </c>
      <c r="G1875" s="29">
        <v>44213</v>
      </c>
      <c r="H1875" s="28" t="s">
        <v>8552</v>
      </c>
      <c r="I1875" s="114" t="s">
        <v>12400</v>
      </c>
      <c r="J1875" s="114" t="s">
        <v>12401</v>
      </c>
    </row>
    <row r="1876" spans="1:10" ht="20" customHeight="1" thickBot="1">
      <c r="A1876" s="26" t="s">
        <v>8555</v>
      </c>
      <c r="B1876" s="26" t="s">
        <v>8555</v>
      </c>
      <c r="C1876" s="26" t="s">
        <v>8556</v>
      </c>
      <c r="D1876" s="116">
        <v>29</v>
      </c>
      <c r="E1876" s="122" t="s">
        <v>29</v>
      </c>
      <c r="F1876" s="119" t="s">
        <v>63</v>
      </c>
      <c r="G1876" s="27">
        <v>42213</v>
      </c>
      <c r="H1876" s="26" t="s">
        <v>8557</v>
      </c>
      <c r="I1876" s="113" t="s">
        <v>12400</v>
      </c>
      <c r="J1876" s="113" t="s">
        <v>12401</v>
      </c>
    </row>
    <row r="1877" spans="1:10" ht="20" customHeight="1" thickBot="1">
      <c r="A1877" s="28" t="s">
        <v>8560</v>
      </c>
      <c r="B1877" s="28" t="s">
        <v>8560</v>
      </c>
      <c r="C1877" s="28" t="s">
        <v>8561</v>
      </c>
      <c r="D1877" s="117">
        <v>17</v>
      </c>
      <c r="E1877" s="122" t="s">
        <v>29</v>
      </c>
      <c r="F1877" s="120" t="s">
        <v>63</v>
      </c>
      <c r="G1877" s="29">
        <v>42223</v>
      </c>
      <c r="H1877" s="28" t="s">
        <v>8562</v>
      </c>
      <c r="I1877" s="114" t="s">
        <v>12400</v>
      </c>
      <c r="J1877" s="114" t="s">
        <v>12401</v>
      </c>
    </row>
    <row r="1878" spans="1:10" ht="20" customHeight="1" thickBot="1">
      <c r="A1878" s="26" t="s">
        <v>8565</v>
      </c>
      <c r="B1878" s="26" t="s">
        <v>8565</v>
      </c>
      <c r="C1878" s="26" t="s">
        <v>7625</v>
      </c>
      <c r="D1878" s="116">
        <v>5</v>
      </c>
      <c r="E1878" s="122" t="s">
        <v>27</v>
      </c>
      <c r="F1878" s="119" t="s">
        <v>63</v>
      </c>
      <c r="G1878" s="27">
        <v>41528</v>
      </c>
      <c r="H1878" s="26" t="s">
        <v>8566</v>
      </c>
      <c r="I1878" s="113" t="s">
        <v>12400</v>
      </c>
      <c r="J1878" s="113" t="s">
        <v>12401</v>
      </c>
    </row>
    <row r="1879" spans="1:10" ht="20" customHeight="1" thickBot="1">
      <c r="A1879" s="28" t="s">
        <v>8569</v>
      </c>
      <c r="B1879" s="28" t="s">
        <v>8569</v>
      </c>
      <c r="C1879" s="28" t="s">
        <v>8570</v>
      </c>
      <c r="D1879" s="117">
        <v>31</v>
      </c>
      <c r="E1879" s="122" t="s">
        <v>29</v>
      </c>
      <c r="F1879" s="120" t="s">
        <v>63</v>
      </c>
      <c r="G1879" s="29">
        <v>45333</v>
      </c>
      <c r="H1879" s="28" t="s">
        <v>8571</v>
      </c>
      <c r="I1879" s="114" t="s">
        <v>12400</v>
      </c>
      <c r="J1879" s="114" t="s">
        <v>12401</v>
      </c>
    </row>
    <row r="1880" spans="1:10" ht="20" customHeight="1" thickBot="1">
      <c r="A1880" s="26" t="s">
        <v>8574</v>
      </c>
      <c r="B1880" s="26" t="s">
        <v>8574</v>
      </c>
      <c r="C1880" s="26" t="s">
        <v>8461</v>
      </c>
      <c r="D1880" s="116">
        <v>22</v>
      </c>
      <c r="E1880" s="122" t="s">
        <v>31</v>
      </c>
      <c r="F1880" s="119" t="s">
        <v>63</v>
      </c>
      <c r="G1880" s="27">
        <v>41571</v>
      </c>
      <c r="H1880" s="26" t="s">
        <v>8575</v>
      </c>
      <c r="I1880" s="113" t="s">
        <v>12400</v>
      </c>
      <c r="J1880" s="113" t="s">
        <v>12401</v>
      </c>
    </row>
    <row r="1881" spans="1:10" ht="20" customHeight="1" thickBot="1">
      <c r="A1881" s="28" t="s">
        <v>8578</v>
      </c>
      <c r="B1881" s="28" t="s">
        <v>8578</v>
      </c>
      <c r="C1881" s="28" t="s">
        <v>8461</v>
      </c>
      <c r="D1881" s="117">
        <v>75</v>
      </c>
      <c r="E1881" s="122" t="s">
        <v>29</v>
      </c>
      <c r="F1881" s="120" t="s">
        <v>63</v>
      </c>
      <c r="G1881" s="29">
        <v>43271</v>
      </c>
      <c r="H1881" s="28" t="s">
        <v>8579</v>
      </c>
      <c r="I1881" s="114" t="s">
        <v>12400</v>
      </c>
      <c r="J1881" s="114" t="s">
        <v>12401</v>
      </c>
    </row>
    <row r="1882" spans="1:10" ht="20" customHeight="1" thickBot="1">
      <c r="A1882" s="26" t="s">
        <v>8582</v>
      </c>
      <c r="B1882" s="26" t="s">
        <v>8582</v>
      </c>
      <c r="C1882" s="26" t="s">
        <v>8583</v>
      </c>
      <c r="D1882" s="116">
        <v>120</v>
      </c>
      <c r="E1882" s="122" t="s">
        <v>33</v>
      </c>
      <c r="F1882" s="119" t="s">
        <v>63</v>
      </c>
      <c r="G1882" s="27">
        <v>46168</v>
      </c>
      <c r="H1882" s="26" t="s">
        <v>8584</v>
      </c>
      <c r="I1882" s="113" t="s">
        <v>12400</v>
      </c>
      <c r="J1882" s="113" t="s">
        <v>12401</v>
      </c>
    </row>
    <row r="1883" spans="1:10" ht="20" customHeight="1" thickBot="1">
      <c r="A1883" s="28" t="s">
        <v>8587</v>
      </c>
      <c r="B1883" s="28" t="s">
        <v>8587</v>
      </c>
      <c r="C1883" s="28" t="s">
        <v>8588</v>
      </c>
      <c r="D1883" s="117">
        <v>2</v>
      </c>
      <c r="E1883" s="122" t="s">
        <v>29</v>
      </c>
      <c r="F1883" s="120" t="s">
        <v>63</v>
      </c>
      <c r="G1883" s="29">
        <v>42209</v>
      </c>
      <c r="H1883" s="28" t="s">
        <v>8589</v>
      </c>
      <c r="I1883" s="114" t="s">
        <v>12400</v>
      </c>
      <c r="J1883" s="114" t="s">
        <v>12401</v>
      </c>
    </row>
    <row r="1884" spans="1:10" ht="20" customHeight="1" thickBot="1">
      <c r="A1884" s="26" t="s">
        <v>8592</v>
      </c>
      <c r="B1884" s="26" t="s">
        <v>8592</v>
      </c>
      <c r="C1884" s="26" t="s">
        <v>3560</v>
      </c>
      <c r="D1884" s="116">
        <v>19</v>
      </c>
      <c r="E1884" s="122" t="s">
        <v>29</v>
      </c>
      <c r="F1884" s="119" t="s">
        <v>63</v>
      </c>
      <c r="G1884" s="27">
        <v>42221</v>
      </c>
      <c r="H1884" s="26" t="s">
        <v>8593</v>
      </c>
      <c r="I1884" s="113" t="s">
        <v>12400</v>
      </c>
      <c r="J1884" s="113" t="s">
        <v>12401</v>
      </c>
    </row>
    <row r="1885" spans="1:10" ht="20" customHeight="1" thickBot="1">
      <c r="A1885" s="28" t="s">
        <v>8596</v>
      </c>
      <c r="B1885" s="28" t="s">
        <v>8596</v>
      </c>
      <c r="C1885" s="28" t="s">
        <v>1402</v>
      </c>
      <c r="D1885" s="117">
        <v>89</v>
      </c>
      <c r="E1885" s="122" t="s">
        <v>31</v>
      </c>
      <c r="F1885" s="120" t="s">
        <v>63</v>
      </c>
      <c r="G1885" s="29">
        <v>45364</v>
      </c>
      <c r="H1885" s="28" t="s">
        <v>8597</v>
      </c>
      <c r="I1885" s="114" t="s">
        <v>12400</v>
      </c>
      <c r="J1885" s="114" t="s">
        <v>12401</v>
      </c>
    </row>
    <row r="1886" spans="1:10" ht="20" customHeight="1" thickBot="1">
      <c r="A1886" s="26" t="s">
        <v>8600</v>
      </c>
      <c r="B1886" s="26" t="s">
        <v>8600</v>
      </c>
      <c r="C1886" s="26" t="s">
        <v>8601</v>
      </c>
      <c r="D1886" s="116">
        <v>14</v>
      </c>
      <c r="E1886" s="122" t="s">
        <v>29</v>
      </c>
      <c r="F1886" s="119" t="s">
        <v>63</v>
      </c>
      <c r="G1886" s="27">
        <v>42222</v>
      </c>
      <c r="H1886" s="26" t="s">
        <v>8602</v>
      </c>
      <c r="I1886" s="113" t="s">
        <v>12400</v>
      </c>
      <c r="J1886" s="113" t="s">
        <v>12401</v>
      </c>
    </row>
    <row r="1887" spans="1:10" ht="20" customHeight="1" thickBot="1">
      <c r="A1887" s="28" t="s">
        <v>8605</v>
      </c>
      <c r="B1887" s="28" t="s">
        <v>8605</v>
      </c>
      <c r="C1887" s="28" t="s">
        <v>8606</v>
      </c>
      <c r="D1887" s="117">
        <v>66</v>
      </c>
      <c r="E1887" s="122" t="s">
        <v>29</v>
      </c>
      <c r="F1887" s="120" t="s">
        <v>63</v>
      </c>
      <c r="G1887" s="29">
        <v>43338</v>
      </c>
      <c r="H1887" s="28" t="s">
        <v>8607</v>
      </c>
      <c r="I1887" s="114" t="s">
        <v>12400</v>
      </c>
      <c r="J1887" s="114" t="s">
        <v>12401</v>
      </c>
    </row>
    <row r="1888" spans="1:10" ht="20" customHeight="1" thickBot="1">
      <c r="A1888" s="26" t="s">
        <v>8610</v>
      </c>
      <c r="B1888" s="26" t="s">
        <v>8610</v>
      </c>
      <c r="C1888" s="26" t="s">
        <v>8611</v>
      </c>
      <c r="D1888" s="116">
        <v>24</v>
      </c>
      <c r="E1888" s="122" t="s">
        <v>29</v>
      </c>
      <c r="F1888" s="119" t="s">
        <v>63</v>
      </c>
      <c r="G1888" s="27">
        <v>42220</v>
      </c>
      <c r="H1888" s="26" t="s">
        <v>8612</v>
      </c>
      <c r="I1888" s="113" t="s">
        <v>12400</v>
      </c>
      <c r="J1888" s="113" t="s">
        <v>12401</v>
      </c>
    </row>
    <row r="1889" spans="1:10" ht="20" customHeight="1" thickBot="1">
      <c r="A1889" s="28" t="s">
        <v>8615</v>
      </c>
      <c r="B1889" s="28" t="s">
        <v>8615</v>
      </c>
      <c r="C1889" s="28" t="s">
        <v>6277</v>
      </c>
      <c r="D1889" s="117">
        <v>0</v>
      </c>
      <c r="E1889" s="122" t="s">
        <v>27</v>
      </c>
      <c r="F1889" s="120" t="s">
        <v>63</v>
      </c>
      <c r="G1889" s="29">
        <v>42213</v>
      </c>
      <c r="H1889" s="28" t="s">
        <v>8616</v>
      </c>
      <c r="I1889" s="114" t="s">
        <v>12400</v>
      </c>
      <c r="J1889" s="114" t="s">
        <v>12401</v>
      </c>
    </row>
    <row r="1890" spans="1:10" ht="20" customHeight="1" thickBot="1">
      <c r="A1890" s="26" t="s">
        <v>8619</v>
      </c>
      <c r="B1890" s="26" t="s">
        <v>8619</v>
      </c>
      <c r="C1890" s="26" t="s">
        <v>8606</v>
      </c>
      <c r="D1890" s="116">
        <v>70</v>
      </c>
      <c r="E1890" s="122" t="s">
        <v>29</v>
      </c>
      <c r="F1890" s="119" t="s">
        <v>63</v>
      </c>
      <c r="G1890" s="27">
        <v>41818</v>
      </c>
      <c r="H1890" s="26" t="s">
        <v>8620</v>
      </c>
      <c r="I1890" s="113" t="s">
        <v>12400</v>
      </c>
      <c r="J1890" s="113" t="s">
        <v>12401</v>
      </c>
    </row>
    <row r="1891" spans="1:10" ht="20" customHeight="1" thickBot="1">
      <c r="A1891" s="28" t="s">
        <v>8623</v>
      </c>
      <c r="B1891" s="28" t="s">
        <v>8623</v>
      </c>
      <c r="C1891" s="28" t="s">
        <v>3666</v>
      </c>
      <c r="D1891" s="117">
        <v>88</v>
      </c>
      <c r="E1891" s="122" t="s">
        <v>29</v>
      </c>
      <c r="F1891" s="120" t="s">
        <v>63</v>
      </c>
      <c r="G1891" s="29">
        <v>42218</v>
      </c>
      <c r="H1891" s="28" t="s">
        <v>8624</v>
      </c>
      <c r="I1891" s="114" t="s">
        <v>12400</v>
      </c>
      <c r="J1891" s="114" t="s">
        <v>12401</v>
      </c>
    </row>
    <row r="1892" spans="1:10" ht="20" customHeight="1" thickBot="1">
      <c r="A1892" s="26" t="s">
        <v>8627</v>
      </c>
      <c r="B1892" s="26" t="s">
        <v>8627</v>
      </c>
      <c r="C1892" s="26" t="s">
        <v>8628</v>
      </c>
      <c r="D1892" s="116">
        <v>27</v>
      </c>
      <c r="E1892" s="122" t="s">
        <v>31</v>
      </c>
      <c r="F1892" s="119" t="s">
        <v>63</v>
      </c>
      <c r="G1892" s="27">
        <v>41690</v>
      </c>
      <c r="H1892" s="26" t="s">
        <v>8629</v>
      </c>
      <c r="I1892" s="113" t="s">
        <v>12400</v>
      </c>
      <c r="J1892" s="113" t="s">
        <v>12401</v>
      </c>
    </row>
    <row r="1893" spans="1:10" ht="20" customHeight="1" thickBot="1">
      <c r="A1893" s="28" t="s">
        <v>8632</v>
      </c>
      <c r="B1893" s="28" t="s">
        <v>8632</v>
      </c>
      <c r="C1893" s="28" t="s">
        <v>5711</v>
      </c>
      <c r="D1893" s="117">
        <v>76</v>
      </c>
      <c r="E1893" s="122" t="s">
        <v>29</v>
      </c>
      <c r="F1893" s="120" t="s">
        <v>63</v>
      </c>
      <c r="G1893" s="29">
        <v>42280</v>
      </c>
      <c r="H1893" s="28" t="s">
        <v>8633</v>
      </c>
      <c r="I1893" s="114" t="s">
        <v>12400</v>
      </c>
      <c r="J1893" s="114" t="s">
        <v>12401</v>
      </c>
    </row>
    <row r="1894" spans="1:10" ht="20" customHeight="1" thickBot="1">
      <c r="A1894" s="26" t="s">
        <v>8636</v>
      </c>
      <c r="B1894" s="26" t="s">
        <v>8636</v>
      </c>
      <c r="C1894" s="26" t="s">
        <v>8637</v>
      </c>
      <c r="D1894" s="116">
        <v>18</v>
      </c>
      <c r="E1894" s="122" t="s">
        <v>29</v>
      </c>
      <c r="F1894" s="119" t="s">
        <v>63</v>
      </c>
      <c r="G1894" s="27">
        <v>44739</v>
      </c>
      <c r="H1894" s="26" t="s">
        <v>8638</v>
      </c>
      <c r="I1894" s="113" t="s">
        <v>12400</v>
      </c>
      <c r="J1894" s="113" t="s">
        <v>12401</v>
      </c>
    </row>
    <row r="1895" spans="1:10" ht="20" customHeight="1" thickBot="1">
      <c r="A1895" s="28" t="s">
        <v>8641</v>
      </c>
      <c r="B1895" s="28" t="s">
        <v>8641</v>
      </c>
      <c r="C1895" s="28" t="s">
        <v>504</v>
      </c>
      <c r="D1895" s="117">
        <v>85</v>
      </c>
      <c r="E1895" s="122" t="s">
        <v>27</v>
      </c>
      <c r="F1895" s="120" t="s">
        <v>63</v>
      </c>
      <c r="G1895" s="29">
        <v>42288</v>
      </c>
      <c r="H1895" s="28" t="s">
        <v>8642</v>
      </c>
      <c r="I1895" s="114" t="s">
        <v>12400</v>
      </c>
      <c r="J1895" s="114" t="s">
        <v>12401</v>
      </c>
    </row>
    <row r="1896" spans="1:10" ht="20" customHeight="1" thickBot="1">
      <c r="A1896" s="26" t="s">
        <v>8645</v>
      </c>
      <c r="B1896" s="26" t="s">
        <v>8645</v>
      </c>
      <c r="C1896" s="26" t="s">
        <v>3162</v>
      </c>
      <c r="D1896" s="116">
        <v>10</v>
      </c>
      <c r="E1896" s="122" t="s">
        <v>29</v>
      </c>
      <c r="F1896" s="119" t="s">
        <v>63</v>
      </c>
      <c r="G1896" s="27">
        <v>44190</v>
      </c>
      <c r="H1896" s="26" t="s">
        <v>8646</v>
      </c>
      <c r="I1896" s="113" t="s">
        <v>12400</v>
      </c>
      <c r="J1896" s="113" t="s">
        <v>12401</v>
      </c>
    </row>
    <row r="1897" spans="1:10" ht="20" customHeight="1" thickBot="1">
      <c r="A1897" s="28" t="s">
        <v>8649</v>
      </c>
      <c r="B1897" s="28" t="s">
        <v>8649</v>
      </c>
      <c r="C1897" s="28" t="s">
        <v>8606</v>
      </c>
      <c r="D1897" s="117">
        <v>8</v>
      </c>
      <c r="E1897" s="122" t="s">
        <v>27</v>
      </c>
      <c r="F1897" s="120" t="s">
        <v>63</v>
      </c>
      <c r="G1897" s="29">
        <v>41511</v>
      </c>
      <c r="H1897" s="28" t="s">
        <v>8650</v>
      </c>
      <c r="I1897" s="114" t="s">
        <v>12400</v>
      </c>
      <c r="J1897" s="114" t="s">
        <v>12401</v>
      </c>
    </row>
    <row r="1898" spans="1:10" ht="20" customHeight="1" thickBot="1">
      <c r="A1898" s="26" t="s">
        <v>8653</v>
      </c>
      <c r="B1898" s="26" t="s">
        <v>8653</v>
      </c>
      <c r="C1898" s="26" t="s">
        <v>2057</v>
      </c>
      <c r="D1898" s="116">
        <v>1</v>
      </c>
      <c r="E1898" s="122" t="s">
        <v>27</v>
      </c>
      <c r="F1898" s="119" t="s">
        <v>63</v>
      </c>
      <c r="G1898" s="27">
        <v>42207</v>
      </c>
      <c r="H1898" s="26" t="s">
        <v>8654</v>
      </c>
      <c r="I1898" s="113" t="s">
        <v>12400</v>
      </c>
      <c r="J1898" s="113" t="s">
        <v>12401</v>
      </c>
    </row>
    <row r="1899" spans="1:10" ht="20" customHeight="1" thickBot="1">
      <c r="A1899" s="28" t="s">
        <v>8657</v>
      </c>
      <c r="B1899" s="28" t="s">
        <v>8657</v>
      </c>
      <c r="C1899" s="28" t="s">
        <v>8658</v>
      </c>
      <c r="D1899" s="117">
        <v>42</v>
      </c>
      <c r="E1899" s="122" t="s">
        <v>29</v>
      </c>
      <c r="F1899" s="120" t="s">
        <v>63</v>
      </c>
      <c r="G1899" s="29">
        <v>42298</v>
      </c>
      <c r="H1899" s="28" t="s">
        <v>8659</v>
      </c>
      <c r="I1899" s="114" t="s">
        <v>12400</v>
      </c>
      <c r="J1899" s="114" t="s">
        <v>12401</v>
      </c>
    </row>
    <row r="1900" spans="1:10" ht="20" customHeight="1" thickBot="1">
      <c r="A1900" s="26" t="s">
        <v>8662</v>
      </c>
      <c r="B1900" s="26" t="s">
        <v>8662</v>
      </c>
      <c r="C1900" s="26" t="s">
        <v>8663</v>
      </c>
      <c r="D1900" s="116">
        <v>36</v>
      </c>
      <c r="E1900" s="122" t="s">
        <v>33</v>
      </c>
      <c r="F1900" s="119" t="s">
        <v>63</v>
      </c>
      <c r="G1900" s="27">
        <v>44558</v>
      </c>
      <c r="H1900" s="26" t="s">
        <v>8664</v>
      </c>
      <c r="I1900" s="113" t="s">
        <v>12400</v>
      </c>
      <c r="J1900" s="113" t="s">
        <v>12401</v>
      </c>
    </row>
    <row r="1901" spans="1:10" ht="20" customHeight="1" thickBot="1">
      <c r="A1901" s="28" t="s">
        <v>8667</v>
      </c>
      <c r="B1901" s="28" t="s">
        <v>8667</v>
      </c>
      <c r="C1901" s="28" t="s">
        <v>8668</v>
      </c>
      <c r="D1901" s="117">
        <v>61</v>
      </c>
      <c r="E1901" s="122" t="s">
        <v>29</v>
      </c>
      <c r="F1901" s="120" t="s">
        <v>63</v>
      </c>
      <c r="G1901" s="29">
        <v>44239</v>
      </c>
      <c r="H1901" s="28" t="s">
        <v>8669</v>
      </c>
      <c r="I1901" s="114" t="s">
        <v>12400</v>
      </c>
      <c r="J1901" s="114" t="s">
        <v>12401</v>
      </c>
    </row>
    <row r="1902" spans="1:10" ht="20" customHeight="1" thickBot="1">
      <c r="A1902" s="26" t="s">
        <v>8672</v>
      </c>
      <c r="B1902" s="26" t="s">
        <v>8672</v>
      </c>
      <c r="C1902" s="26" t="s">
        <v>8673</v>
      </c>
      <c r="D1902" s="116">
        <v>14</v>
      </c>
      <c r="E1902" s="122" t="s">
        <v>31</v>
      </c>
      <c r="F1902" s="119" t="s">
        <v>63</v>
      </c>
      <c r="G1902" s="27">
        <v>42306</v>
      </c>
      <c r="H1902" s="26" t="s">
        <v>8674</v>
      </c>
      <c r="I1902" s="113" t="s">
        <v>12400</v>
      </c>
      <c r="J1902" s="113" t="s">
        <v>12401</v>
      </c>
    </row>
    <row r="1903" spans="1:10" ht="20" customHeight="1" thickBot="1">
      <c r="A1903" s="28" t="s">
        <v>8677</v>
      </c>
      <c r="B1903" s="28" t="s">
        <v>8677</v>
      </c>
      <c r="C1903" s="28" t="s">
        <v>8461</v>
      </c>
      <c r="D1903" s="117">
        <v>120</v>
      </c>
      <c r="E1903" s="122" t="s">
        <v>29</v>
      </c>
      <c r="F1903" s="120" t="s">
        <v>63</v>
      </c>
      <c r="G1903" s="29">
        <v>41982</v>
      </c>
      <c r="H1903" s="28" t="s">
        <v>8678</v>
      </c>
      <c r="I1903" s="114" t="s">
        <v>12400</v>
      </c>
      <c r="J1903" s="114" t="s">
        <v>12401</v>
      </c>
    </row>
    <row r="1904" spans="1:10" ht="20" customHeight="1" thickBot="1">
      <c r="A1904" s="26" t="s">
        <v>8681</v>
      </c>
      <c r="B1904" s="26" t="s">
        <v>8681</v>
      </c>
      <c r="C1904" s="26" t="s">
        <v>8461</v>
      </c>
      <c r="D1904" s="116">
        <v>58</v>
      </c>
      <c r="E1904" s="122" t="s">
        <v>29</v>
      </c>
      <c r="F1904" s="119" t="s">
        <v>63</v>
      </c>
      <c r="G1904" s="27">
        <v>42091</v>
      </c>
      <c r="H1904" s="26" t="s">
        <v>8682</v>
      </c>
      <c r="I1904" s="113" t="s">
        <v>12400</v>
      </c>
      <c r="J1904" s="113" t="s">
        <v>12401</v>
      </c>
    </row>
    <row r="1905" spans="1:10" ht="20" customHeight="1" thickBot="1">
      <c r="A1905" s="28" t="s">
        <v>8685</v>
      </c>
      <c r="B1905" s="28" t="s">
        <v>8685</v>
      </c>
      <c r="C1905" s="28" t="s">
        <v>533</v>
      </c>
      <c r="D1905" s="117">
        <v>7</v>
      </c>
      <c r="E1905" s="122" t="s">
        <v>27</v>
      </c>
      <c r="F1905" s="120" t="s">
        <v>63</v>
      </c>
      <c r="G1905" s="29">
        <v>42279</v>
      </c>
      <c r="H1905" s="28" t="s">
        <v>8686</v>
      </c>
      <c r="I1905" s="114" t="s">
        <v>12400</v>
      </c>
      <c r="J1905" s="114" t="s">
        <v>12401</v>
      </c>
    </row>
    <row r="1906" spans="1:10" ht="20" customHeight="1" thickBot="1">
      <c r="A1906" s="26" t="s">
        <v>8689</v>
      </c>
      <c r="B1906" s="26" t="s">
        <v>8689</v>
      </c>
      <c r="C1906" s="26" t="s">
        <v>4325</v>
      </c>
      <c r="D1906" s="116">
        <v>7</v>
      </c>
      <c r="E1906" s="122" t="s">
        <v>29</v>
      </c>
      <c r="F1906" s="119" t="s">
        <v>63</v>
      </c>
      <c r="G1906" s="27">
        <v>42062</v>
      </c>
      <c r="H1906" s="26" t="s">
        <v>8690</v>
      </c>
      <c r="I1906" s="113" t="s">
        <v>12400</v>
      </c>
      <c r="J1906" s="113" t="s">
        <v>12401</v>
      </c>
    </row>
    <row r="1907" spans="1:10" ht="20" customHeight="1" thickBot="1">
      <c r="A1907" s="28" t="s">
        <v>8693</v>
      </c>
      <c r="B1907" s="28" t="s">
        <v>8693</v>
      </c>
      <c r="C1907" s="28" t="s">
        <v>3560</v>
      </c>
      <c r="D1907" s="117">
        <v>3</v>
      </c>
      <c r="E1907" s="122" t="s">
        <v>31</v>
      </c>
      <c r="F1907" s="120" t="s">
        <v>63</v>
      </c>
      <c r="G1907" s="29">
        <v>42323</v>
      </c>
      <c r="H1907" s="28" t="s">
        <v>8694</v>
      </c>
      <c r="I1907" s="114" t="s">
        <v>12400</v>
      </c>
      <c r="J1907" s="114" t="s">
        <v>12401</v>
      </c>
    </row>
    <row r="1908" spans="1:10" ht="20" customHeight="1" thickBot="1">
      <c r="A1908" s="26" t="s">
        <v>8697</v>
      </c>
      <c r="B1908" s="26" t="s">
        <v>8697</v>
      </c>
      <c r="C1908" s="26" t="s">
        <v>8698</v>
      </c>
      <c r="D1908" s="116">
        <v>32</v>
      </c>
      <c r="E1908" s="122" t="s">
        <v>27</v>
      </c>
      <c r="F1908" s="119" t="s">
        <v>63</v>
      </c>
      <c r="G1908" s="27">
        <v>42288</v>
      </c>
      <c r="H1908" s="26" t="s">
        <v>8699</v>
      </c>
      <c r="I1908" s="113" t="s">
        <v>12400</v>
      </c>
      <c r="J1908" s="113" t="s">
        <v>12401</v>
      </c>
    </row>
    <row r="1909" spans="1:10" ht="20" customHeight="1" thickBot="1">
      <c r="A1909" s="28" t="s">
        <v>8702</v>
      </c>
      <c r="B1909" s="28" t="s">
        <v>8702</v>
      </c>
      <c r="C1909" s="28" t="s">
        <v>7483</v>
      </c>
      <c r="D1909" s="117">
        <v>4</v>
      </c>
      <c r="E1909" s="122" t="s">
        <v>29</v>
      </c>
      <c r="F1909" s="120" t="s">
        <v>63</v>
      </c>
      <c r="G1909" s="29">
        <v>42345</v>
      </c>
      <c r="H1909" s="28" t="s">
        <v>8703</v>
      </c>
      <c r="I1909" s="114" t="s">
        <v>12400</v>
      </c>
      <c r="J1909" s="114" t="s">
        <v>12401</v>
      </c>
    </row>
    <row r="1910" spans="1:10" ht="20" customHeight="1" thickBot="1">
      <c r="A1910" s="26" t="s">
        <v>8706</v>
      </c>
      <c r="B1910" s="26" t="s">
        <v>8706</v>
      </c>
      <c r="C1910" s="26" t="s">
        <v>5362</v>
      </c>
      <c r="D1910" s="116">
        <v>17</v>
      </c>
      <c r="E1910" s="122" t="s">
        <v>27</v>
      </c>
      <c r="F1910" s="119" t="s">
        <v>63</v>
      </c>
      <c r="G1910" s="27">
        <v>41551</v>
      </c>
      <c r="H1910" s="26" t="s">
        <v>8707</v>
      </c>
      <c r="I1910" s="113" t="s">
        <v>12400</v>
      </c>
      <c r="J1910" s="113" t="s">
        <v>12401</v>
      </c>
    </row>
    <row r="1911" spans="1:10" ht="20" customHeight="1" thickBot="1">
      <c r="A1911" s="28" t="s">
        <v>8710</v>
      </c>
      <c r="B1911" s="28" t="s">
        <v>8710</v>
      </c>
      <c r="C1911" s="28" t="s">
        <v>8588</v>
      </c>
      <c r="D1911" s="117">
        <v>0</v>
      </c>
      <c r="E1911" s="122" t="s">
        <v>29</v>
      </c>
      <c r="F1911" s="120" t="s">
        <v>63</v>
      </c>
      <c r="G1911" s="29">
        <v>42222</v>
      </c>
      <c r="H1911" s="28" t="s">
        <v>8711</v>
      </c>
      <c r="I1911" s="114" t="s">
        <v>12400</v>
      </c>
      <c r="J1911" s="114" t="s">
        <v>12401</v>
      </c>
    </row>
    <row r="1912" spans="1:10" ht="20" customHeight="1" thickBot="1">
      <c r="A1912" s="26" t="s">
        <v>8714</v>
      </c>
      <c r="B1912" s="26" t="s">
        <v>8714</v>
      </c>
      <c r="C1912" s="26" t="s">
        <v>504</v>
      </c>
      <c r="D1912" s="116">
        <v>47</v>
      </c>
      <c r="E1912" s="122" t="s">
        <v>29</v>
      </c>
      <c r="F1912" s="119" t="s">
        <v>63</v>
      </c>
      <c r="G1912" s="27">
        <v>42947</v>
      </c>
      <c r="H1912" s="26" t="s">
        <v>8715</v>
      </c>
      <c r="I1912" s="113" t="s">
        <v>12400</v>
      </c>
      <c r="J1912" s="113" t="s">
        <v>12401</v>
      </c>
    </row>
    <row r="1913" spans="1:10" ht="20" customHeight="1" thickBot="1">
      <c r="A1913" s="28" t="s">
        <v>8718</v>
      </c>
      <c r="B1913" s="28" t="s">
        <v>8718</v>
      </c>
      <c r="C1913" s="28" t="s">
        <v>827</v>
      </c>
      <c r="D1913" s="117">
        <v>3</v>
      </c>
      <c r="E1913" s="122" t="s">
        <v>29</v>
      </c>
      <c r="F1913" s="120" t="s">
        <v>63</v>
      </c>
      <c r="G1913" s="29">
        <v>44652</v>
      </c>
      <c r="H1913" s="28" t="s">
        <v>8719</v>
      </c>
      <c r="I1913" s="114" t="s">
        <v>12400</v>
      </c>
      <c r="J1913" s="114" t="s">
        <v>12401</v>
      </c>
    </row>
    <row r="1914" spans="1:10" ht="20" customHeight="1" thickBot="1">
      <c r="A1914" s="26" t="s">
        <v>8722</v>
      </c>
      <c r="B1914" s="26" t="s">
        <v>8722</v>
      </c>
      <c r="C1914" s="26" t="s">
        <v>504</v>
      </c>
      <c r="D1914" s="116">
        <v>32</v>
      </c>
      <c r="E1914" s="122" t="s">
        <v>29</v>
      </c>
      <c r="F1914" s="119" t="s">
        <v>63</v>
      </c>
      <c r="G1914" s="27">
        <v>44324</v>
      </c>
      <c r="H1914" s="26" t="s">
        <v>8723</v>
      </c>
      <c r="I1914" s="113" t="s">
        <v>12400</v>
      </c>
      <c r="J1914" s="113" t="s">
        <v>12401</v>
      </c>
    </row>
    <row r="1915" spans="1:10" ht="20" customHeight="1" thickBot="1">
      <c r="A1915" s="28" t="s">
        <v>8726</v>
      </c>
      <c r="B1915" s="28" t="s">
        <v>8726</v>
      </c>
      <c r="C1915" s="28" t="s">
        <v>8727</v>
      </c>
      <c r="D1915" s="117">
        <v>9</v>
      </c>
      <c r="E1915" s="122" t="s">
        <v>29</v>
      </c>
      <c r="F1915" s="120" t="s">
        <v>63</v>
      </c>
      <c r="G1915" s="29">
        <v>42240</v>
      </c>
      <c r="H1915" s="28" t="s">
        <v>8728</v>
      </c>
      <c r="I1915" s="114" t="s">
        <v>12400</v>
      </c>
      <c r="J1915" s="114" t="s">
        <v>12401</v>
      </c>
    </row>
    <row r="1916" spans="1:10" ht="20" customHeight="1" thickBot="1">
      <c r="A1916" s="26" t="s">
        <v>8731</v>
      </c>
      <c r="B1916" s="26" t="s">
        <v>8731</v>
      </c>
      <c r="C1916" s="26" t="s">
        <v>8732</v>
      </c>
      <c r="D1916" s="116">
        <v>34</v>
      </c>
      <c r="E1916" s="122" t="s">
        <v>31</v>
      </c>
      <c r="F1916" s="119" t="s">
        <v>63</v>
      </c>
      <c r="G1916" s="27">
        <v>44383</v>
      </c>
      <c r="H1916" s="26" t="s">
        <v>8733</v>
      </c>
      <c r="I1916" s="113" t="s">
        <v>12400</v>
      </c>
      <c r="J1916" s="113" t="s">
        <v>12401</v>
      </c>
    </row>
    <row r="1917" spans="1:10" ht="20" customHeight="1" thickBot="1">
      <c r="A1917" s="28" t="s">
        <v>8736</v>
      </c>
      <c r="B1917" s="28" t="s">
        <v>8736</v>
      </c>
      <c r="C1917" s="28" t="s">
        <v>8737</v>
      </c>
      <c r="D1917" s="117">
        <v>7</v>
      </c>
      <c r="E1917" s="122" t="s">
        <v>29</v>
      </c>
      <c r="F1917" s="120" t="s">
        <v>63</v>
      </c>
      <c r="G1917" s="29">
        <v>43624</v>
      </c>
      <c r="H1917" s="28" t="s">
        <v>8738</v>
      </c>
      <c r="I1917" s="114" t="s">
        <v>12400</v>
      </c>
      <c r="J1917" s="114" t="s">
        <v>12401</v>
      </c>
    </row>
    <row r="1918" spans="1:10" ht="20" customHeight="1" thickBot="1">
      <c r="A1918" s="26" t="s">
        <v>8741</v>
      </c>
      <c r="B1918" s="26" t="s">
        <v>8741</v>
      </c>
      <c r="C1918" s="26" t="s">
        <v>8742</v>
      </c>
      <c r="D1918" s="116">
        <v>9</v>
      </c>
      <c r="E1918" s="122" t="s">
        <v>29</v>
      </c>
      <c r="F1918" s="119" t="s">
        <v>63</v>
      </c>
      <c r="G1918" s="27">
        <v>42065</v>
      </c>
      <c r="H1918" s="26" t="s">
        <v>8743</v>
      </c>
      <c r="I1918" s="113" t="s">
        <v>12400</v>
      </c>
      <c r="J1918" s="113" t="s">
        <v>12401</v>
      </c>
    </row>
    <row r="1919" spans="1:10" ht="20" customHeight="1" thickBot="1">
      <c r="A1919" s="28" t="s">
        <v>8746</v>
      </c>
      <c r="B1919" s="28" t="s">
        <v>8746</v>
      </c>
      <c r="C1919" s="28" t="s">
        <v>8747</v>
      </c>
      <c r="D1919" s="117">
        <v>46</v>
      </c>
      <c r="E1919" s="122" t="s">
        <v>29</v>
      </c>
      <c r="F1919" s="120" t="s">
        <v>63</v>
      </c>
      <c r="G1919" s="29">
        <v>42228</v>
      </c>
      <c r="H1919" s="28" t="s">
        <v>8748</v>
      </c>
      <c r="I1919" s="114" t="s">
        <v>12400</v>
      </c>
      <c r="J1919" s="114" t="s">
        <v>12401</v>
      </c>
    </row>
    <row r="1920" spans="1:10" ht="20" customHeight="1" thickBot="1">
      <c r="A1920" s="26" t="s">
        <v>8751</v>
      </c>
      <c r="B1920" s="26" t="s">
        <v>8751</v>
      </c>
      <c r="C1920" s="26" t="s">
        <v>4347</v>
      </c>
      <c r="D1920" s="116">
        <v>6</v>
      </c>
      <c r="E1920" s="122" t="s">
        <v>27</v>
      </c>
      <c r="F1920" s="119" t="s">
        <v>63</v>
      </c>
      <c r="G1920" s="27">
        <v>42246</v>
      </c>
      <c r="H1920" s="26" t="s">
        <v>8752</v>
      </c>
      <c r="I1920" s="113" t="s">
        <v>12400</v>
      </c>
      <c r="J1920" s="113" t="s">
        <v>12401</v>
      </c>
    </row>
    <row r="1921" spans="1:10" ht="20" customHeight="1" thickBot="1">
      <c r="A1921" s="28" t="s">
        <v>8755</v>
      </c>
      <c r="B1921" s="28" t="s">
        <v>8755</v>
      </c>
      <c r="C1921" s="28" t="s">
        <v>471</v>
      </c>
      <c r="D1921" s="117">
        <v>59</v>
      </c>
      <c r="E1921" s="122" t="s">
        <v>29</v>
      </c>
      <c r="F1921" s="120" t="s">
        <v>63</v>
      </c>
      <c r="G1921" s="29">
        <v>42726</v>
      </c>
      <c r="H1921" s="28" t="s">
        <v>8756</v>
      </c>
      <c r="I1921" s="114" t="s">
        <v>12400</v>
      </c>
      <c r="J1921" s="114" t="s">
        <v>12401</v>
      </c>
    </row>
    <row r="1922" spans="1:10" ht="20" customHeight="1" thickBot="1">
      <c r="A1922" s="26" t="s">
        <v>8759</v>
      </c>
      <c r="B1922" s="26" t="s">
        <v>8759</v>
      </c>
      <c r="C1922" s="26" t="s">
        <v>4506</v>
      </c>
      <c r="D1922" s="116">
        <v>48</v>
      </c>
      <c r="E1922" s="122" t="s">
        <v>29</v>
      </c>
      <c r="F1922" s="119" t="s">
        <v>63</v>
      </c>
      <c r="G1922" s="27">
        <v>46015</v>
      </c>
      <c r="H1922" s="26" t="s">
        <v>8760</v>
      </c>
      <c r="I1922" s="113" t="s">
        <v>12400</v>
      </c>
      <c r="J1922" s="113" t="s">
        <v>12401</v>
      </c>
    </row>
    <row r="1923" spans="1:10" ht="20" customHeight="1" thickBot="1">
      <c r="A1923" s="28" t="s">
        <v>8763</v>
      </c>
      <c r="B1923" s="28" t="s">
        <v>8763</v>
      </c>
      <c r="C1923" s="28" t="s">
        <v>8764</v>
      </c>
      <c r="D1923" s="117">
        <v>12</v>
      </c>
      <c r="E1923" s="122" t="s">
        <v>29</v>
      </c>
      <c r="F1923" s="120" t="s">
        <v>63</v>
      </c>
      <c r="G1923" s="29">
        <v>42873</v>
      </c>
      <c r="H1923" s="28" t="s">
        <v>8765</v>
      </c>
      <c r="I1923" s="114" t="s">
        <v>12400</v>
      </c>
      <c r="J1923" s="114" t="s">
        <v>12401</v>
      </c>
    </row>
    <row r="1924" spans="1:10" ht="20" customHeight="1" thickBot="1">
      <c r="A1924" s="26" t="s">
        <v>8768</v>
      </c>
      <c r="B1924" s="26" t="s">
        <v>8768</v>
      </c>
      <c r="C1924" s="26" t="s">
        <v>8769</v>
      </c>
      <c r="D1924" s="116">
        <v>25</v>
      </c>
      <c r="E1924" s="122" t="s">
        <v>27</v>
      </c>
      <c r="F1924" s="119" t="s">
        <v>63</v>
      </c>
      <c r="G1924" s="27">
        <v>42293</v>
      </c>
      <c r="H1924" s="26" t="s">
        <v>8770</v>
      </c>
      <c r="I1924" s="113" t="s">
        <v>12400</v>
      </c>
      <c r="J1924" s="113" t="s">
        <v>12401</v>
      </c>
    </row>
    <row r="1925" spans="1:10" ht="20" customHeight="1" thickBot="1">
      <c r="A1925" s="28" t="s">
        <v>8773</v>
      </c>
      <c r="B1925" s="28" t="s">
        <v>8773</v>
      </c>
      <c r="C1925" s="28" t="s">
        <v>8774</v>
      </c>
      <c r="D1925" s="117">
        <v>12</v>
      </c>
      <c r="E1925" s="122" t="s">
        <v>29</v>
      </c>
      <c r="F1925" s="120" t="s">
        <v>63</v>
      </c>
      <c r="G1925" s="29">
        <v>43726</v>
      </c>
      <c r="H1925" s="28" t="s">
        <v>8775</v>
      </c>
      <c r="I1925" s="114" t="s">
        <v>12400</v>
      </c>
      <c r="J1925" s="114" t="s">
        <v>12401</v>
      </c>
    </row>
    <row r="1926" spans="1:10" ht="20" customHeight="1" thickBot="1">
      <c r="A1926" s="26" t="s">
        <v>8778</v>
      </c>
      <c r="B1926" s="26" t="s">
        <v>8778</v>
      </c>
      <c r="C1926" s="26" t="s">
        <v>8779</v>
      </c>
      <c r="D1926" s="116">
        <v>7</v>
      </c>
      <c r="E1926" s="122" t="s">
        <v>29</v>
      </c>
      <c r="F1926" s="119" t="s">
        <v>63</v>
      </c>
      <c r="G1926" s="27">
        <v>42421</v>
      </c>
      <c r="H1926" s="26" t="s">
        <v>8780</v>
      </c>
      <c r="I1926" s="113" t="s">
        <v>12400</v>
      </c>
      <c r="J1926" s="113" t="s">
        <v>12401</v>
      </c>
    </row>
    <row r="1927" spans="1:10" ht="20" customHeight="1" thickBot="1">
      <c r="A1927" s="28" t="s">
        <v>8783</v>
      </c>
      <c r="B1927" s="28" t="s">
        <v>8783</v>
      </c>
      <c r="C1927" s="28" t="s">
        <v>5266</v>
      </c>
      <c r="D1927" s="117">
        <v>8</v>
      </c>
      <c r="E1927" s="122" t="s">
        <v>27</v>
      </c>
      <c r="F1927" s="120" t="s">
        <v>63</v>
      </c>
      <c r="G1927" s="29">
        <v>42314</v>
      </c>
      <c r="H1927" s="28" t="s">
        <v>8784</v>
      </c>
      <c r="I1927" s="114" t="s">
        <v>12400</v>
      </c>
      <c r="J1927" s="114" t="s">
        <v>12401</v>
      </c>
    </row>
    <row r="1928" spans="1:10" ht="20" customHeight="1" thickBot="1">
      <c r="A1928" s="26" t="s">
        <v>8787</v>
      </c>
      <c r="B1928" s="26" t="s">
        <v>8787</v>
      </c>
      <c r="C1928" s="26" t="s">
        <v>8788</v>
      </c>
      <c r="D1928" s="116">
        <v>73</v>
      </c>
      <c r="E1928" s="122" t="s">
        <v>31</v>
      </c>
      <c r="F1928" s="119" t="s">
        <v>63</v>
      </c>
      <c r="G1928" s="27">
        <v>44950</v>
      </c>
      <c r="H1928" s="26" t="s">
        <v>8789</v>
      </c>
      <c r="I1928" s="113" t="s">
        <v>12400</v>
      </c>
      <c r="J1928" s="113" t="s">
        <v>12401</v>
      </c>
    </row>
    <row r="1929" spans="1:10" ht="20" customHeight="1" thickBot="1">
      <c r="A1929" s="28" t="s">
        <v>8792</v>
      </c>
      <c r="B1929" s="28" t="s">
        <v>8792</v>
      </c>
      <c r="C1929" s="28" t="s">
        <v>8793</v>
      </c>
      <c r="D1929" s="117">
        <v>20</v>
      </c>
      <c r="E1929" s="122" t="s">
        <v>29</v>
      </c>
      <c r="F1929" s="120" t="s">
        <v>63</v>
      </c>
      <c r="G1929" s="29">
        <v>44384</v>
      </c>
      <c r="H1929" s="28" t="s">
        <v>8794</v>
      </c>
      <c r="I1929" s="114" t="s">
        <v>12400</v>
      </c>
      <c r="J1929" s="114" t="s">
        <v>12401</v>
      </c>
    </row>
    <row r="1930" spans="1:10" ht="20" customHeight="1" thickBot="1">
      <c r="A1930" s="26" t="s">
        <v>8797</v>
      </c>
      <c r="B1930" s="26" t="s">
        <v>8797</v>
      </c>
      <c r="C1930" s="26" t="s">
        <v>8798</v>
      </c>
      <c r="D1930" s="116">
        <v>10</v>
      </c>
      <c r="E1930" s="122" t="s">
        <v>31</v>
      </c>
      <c r="F1930" s="119" t="s">
        <v>63</v>
      </c>
      <c r="G1930" s="27">
        <v>45135</v>
      </c>
      <c r="H1930" s="26" t="s">
        <v>8799</v>
      </c>
      <c r="I1930" s="113" t="s">
        <v>12400</v>
      </c>
      <c r="J1930" s="113" t="s">
        <v>12401</v>
      </c>
    </row>
    <row r="1931" spans="1:10" ht="20" customHeight="1" thickBot="1">
      <c r="A1931" s="28" t="s">
        <v>8802</v>
      </c>
      <c r="B1931" s="28" t="s">
        <v>8802</v>
      </c>
      <c r="C1931" s="28" t="s">
        <v>8803</v>
      </c>
      <c r="D1931" s="117">
        <v>8</v>
      </c>
      <c r="E1931" s="122" t="s">
        <v>29</v>
      </c>
      <c r="F1931" s="120" t="s">
        <v>63</v>
      </c>
      <c r="G1931" s="29">
        <v>43558</v>
      </c>
      <c r="H1931" s="28" t="s">
        <v>8804</v>
      </c>
      <c r="I1931" s="114" t="s">
        <v>12400</v>
      </c>
      <c r="J1931" s="114" t="s">
        <v>12401</v>
      </c>
    </row>
    <row r="1932" spans="1:10" ht="20" customHeight="1" thickBot="1">
      <c r="A1932" s="26" t="s">
        <v>8807</v>
      </c>
      <c r="B1932" s="26" t="s">
        <v>8807</v>
      </c>
      <c r="C1932" s="26" t="s">
        <v>3028</v>
      </c>
      <c r="D1932" s="116">
        <v>28</v>
      </c>
      <c r="E1932" s="122" t="s">
        <v>33</v>
      </c>
      <c r="F1932" s="119" t="s">
        <v>57</v>
      </c>
      <c r="G1932" s="27">
        <v>44740</v>
      </c>
      <c r="H1932" s="26" t="s">
        <v>8808</v>
      </c>
      <c r="I1932" s="113" t="s">
        <v>12400</v>
      </c>
      <c r="J1932" s="113" t="s">
        <v>12401</v>
      </c>
    </row>
    <row r="1933" spans="1:10" ht="20" customHeight="1" thickBot="1">
      <c r="A1933" s="28" t="s">
        <v>8811</v>
      </c>
      <c r="B1933" s="28" t="s">
        <v>8811</v>
      </c>
      <c r="C1933" s="28" t="s">
        <v>5026</v>
      </c>
      <c r="D1933" s="117">
        <v>8</v>
      </c>
      <c r="E1933" s="122" t="s">
        <v>29</v>
      </c>
      <c r="F1933" s="120" t="s">
        <v>63</v>
      </c>
      <c r="G1933" s="29">
        <v>42846</v>
      </c>
      <c r="H1933" s="28" t="s">
        <v>8812</v>
      </c>
      <c r="I1933" s="114" t="s">
        <v>12400</v>
      </c>
      <c r="J1933" s="114" t="s">
        <v>12401</v>
      </c>
    </row>
    <row r="1934" spans="1:10" ht="20" customHeight="1" thickBot="1">
      <c r="A1934" s="26" t="s">
        <v>8815</v>
      </c>
      <c r="B1934" s="26" t="s">
        <v>8815</v>
      </c>
      <c r="C1934" s="26" t="s">
        <v>8451</v>
      </c>
      <c r="D1934" s="116">
        <v>33</v>
      </c>
      <c r="E1934" s="122" t="s">
        <v>31</v>
      </c>
      <c r="F1934" s="119" t="s">
        <v>63</v>
      </c>
      <c r="G1934" s="27">
        <v>44466</v>
      </c>
      <c r="H1934" s="26" t="s">
        <v>8816</v>
      </c>
      <c r="I1934" s="113" t="s">
        <v>12400</v>
      </c>
      <c r="J1934" s="113" t="s">
        <v>12401</v>
      </c>
    </row>
    <row r="1935" spans="1:10" ht="20" customHeight="1" thickBot="1">
      <c r="A1935" s="28" t="s">
        <v>8819</v>
      </c>
      <c r="B1935" s="28" t="s">
        <v>8819</v>
      </c>
      <c r="C1935" s="28" t="s">
        <v>8820</v>
      </c>
      <c r="D1935" s="117">
        <v>2</v>
      </c>
      <c r="E1935" s="122" t="s">
        <v>27</v>
      </c>
      <c r="F1935" s="120" t="s">
        <v>63</v>
      </c>
      <c r="G1935" s="29">
        <v>42037</v>
      </c>
      <c r="H1935" s="28" t="s">
        <v>8821</v>
      </c>
      <c r="I1935" s="114" t="s">
        <v>12400</v>
      </c>
      <c r="J1935" s="114" t="s">
        <v>12401</v>
      </c>
    </row>
    <row r="1936" spans="1:10" ht="20" customHeight="1" thickBot="1">
      <c r="A1936" s="26" t="s">
        <v>8824</v>
      </c>
      <c r="B1936" s="26" t="s">
        <v>8824</v>
      </c>
      <c r="C1936" s="26" t="s">
        <v>8825</v>
      </c>
      <c r="D1936" s="116">
        <v>57</v>
      </c>
      <c r="E1936" s="122" t="s">
        <v>31</v>
      </c>
      <c r="F1936" s="119" t="s">
        <v>63</v>
      </c>
      <c r="G1936" s="27">
        <v>45215</v>
      </c>
      <c r="H1936" s="26" t="s">
        <v>8826</v>
      </c>
      <c r="I1936" s="113" t="s">
        <v>12400</v>
      </c>
      <c r="J1936" s="113" t="s">
        <v>12401</v>
      </c>
    </row>
    <row r="1937" spans="1:10" ht="20" customHeight="1" thickBot="1">
      <c r="A1937" s="28" t="s">
        <v>8829</v>
      </c>
      <c r="B1937" s="28" t="s">
        <v>8829</v>
      </c>
      <c r="C1937" s="28" t="s">
        <v>8830</v>
      </c>
      <c r="D1937" s="117">
        <v>19</v>
      </c>
      <c r="E1937" s="122" t="s">
        <v>29</v>
      </c>
      <c r="F1937" s="120" t="s">
        <v>63</v>
      </c>
      <c r="G1937" s="29">
        <v>42282</v>
      </c>
      <c r="H1937" s="28" t="s">
        <v>8831</v>
      </c>
      <c r="I1937" s="114" t="s">
        <v>12400</v>
      </c>
      <c r="J1937" s="114" t="s">
        <v>12401</v>
      </c>
    </row>
    <row r="1938" spans="1:10" ht="20" customHeight="1" thickBot="1">
      <c r="A1938" s="26" t="s">
        <v>8834</v>
      </c>
      <c r="B1938" s="26" t="s">
        <v>8834</v>
      </c>
      <c r="C1938" s="26" t="s">
        <v>4859</v>
      </c>
      <c r="D1938" s="116">
        <v>32</v>
      </c>
      <c r="E1938" s="122" t="s">
        <v>29</v>
      </c>
      <c r="F1938" s="119" t="s">
        <v>63</v>
      </c>
      <c r="G1938" s="27">
        <v>41814</v>
      </c>
      <c r="H1938" s="26" t="s">
        <v>8835</v>
      </c>
      <c r="I1938" s="113" t="s">
        <v>12400</v>
      </c>
      <c r="J1938" s="113" t="s">
        <v>12401</v>
      </c>
    </row>
    <row r="1939" spans="1:10" ht="20" customHeight="1" thickBot="1">
      <c r="A1939" s="28" t="s">
        <v>8838</v>
      </c>
      <c r="B1939" s="28" t="s">
        <v>8838</v>
      </c>
      <c r="C1939" s="28" t="s">
        <v>4859</v>
      </c>
      <c r="D1939" s="117">
        <v>7</v>
      </c>
      <c r="E1939" s="122" t="s">
        <v>27</v>
      </c>
      <c r="F1939" s="120" t="s">
        <v>63</v>
      </c>
      <c r="G1939" s="29">
        <v>41819</v>
      </c>
      <c r="H1939" s="28" t="s">
        <v>8839</v>
      </c>
      <c r="I1939" s="114" t="s">
        <v>12400</v>
      </c>
      <c r="J1939" s="114" t="s">
        <v>12401</v>
      </c>
    </row>
    <row r="1940" spans="1:10" ht="20" customHeight="1" thickBot="1">
      <c r="A1940" s="26" t="s">
        <v>8842</v>
      </c>
      <c r="B1940" s="26" t="s">
        <v>8842</v>
      </c>
      <c r="C1940" s="26" t="s">
        <v>2100</v>
      </c>
      <c r="D1940" s="116">
        <v>5</v>
      </c>
      <c r="E1940" s="122" t="s">
        <v>31</v>
      </c>
      <c r="F1940" s="119" t="s">
        <v>63</v>
      </c>
      <c r="G1940" s="27">
        <v>42160</v>
      </c>
      <c r="H1940" s="26" t="s">
        <v>8843</v>
      </c>
      <c r="I1940" s="113" t="s">
        <v>12400</v>
      </c>
      <c r="J1940" s="113" t="s">
        <v>12401</v>
      </c>
    </row>
    <row r="1941" spans="1:10" ht="20" customHeight="1" thickBot="1">
      <c r="A1941" s="28" t="s">
        <v>8846</v>
      </c>
      <c r="B1941" s="28" t="s">
        <v>8846</v>
      </c>
      <c r="C1941" s="28" t="s">
        <v>8847</v>
      </c>
      <c r="D1941" s="117">
        <v>4</v>
      </c>
      <c r="E1941" s="122" t="s">
        <v>27</v>
      </c>
      <c r="F1941" s="120" t="s">
        <v>63</v>
      </c>
      <c r="G1941" s="29">
        <v>43123</v>
      </c>
      <c r="H1941" s="28" t="s">
        <v>8848</v>
      </c>
      <c r="I1941" s="114" t="s">
        <v>12400</v>
      </c>
      <c r="J1941" s="114" t="s">
        <v>12401</v>
      </c>
    </row>
    <row r="1942" spans="1:10" ht="20" customHeight="1" thickBot="1">
      <c r="A1942" s="26" t="s">
        <v>8851</v>
      </c>
      <c r="B1942" s="26" t="s">
        <v>8851</v>
      </c>
      <c r="C1942" s="26" t="s">
        <v>8852</v>
      </c>
      <c r="D1942" s="116">
        <v>2</v>
      </c>
      <c r="E1942" s="122" t="s">
        <v>31</v>
      </c>
      <c r="F1942" s="119" t="s">
        <v>63</v>
      </c>
      <c r="G1942" s="27">
        <v>42044</v>
      </c>
      <c r="H1942" s="26" t="s">
        <v>8853</v>
      </c>
      <c r="I1942" s="113" t="s">
        <v>12400</v>
      </c>
      <c r="J1942" s="113" t="s">
        <v>12401</v>
      </c>
    </row>
    <row r="1943" spans="1:10" ht="20" customHeight="1" thickBot="1">
      <c r="A1943" s="28" t="s">
        <v>8856</v>
      </c>
      <c r="B1943" s="28" t="s">
        <v>8856</v>
      </c>
      <c r="C1943" s="28" t="s">
        <v>8857</v>
      </c>
      <c r="D1943" s="117">
        <v>13</v>
      </c>
      <c r="E1943" s="122" t="s">
        <v>29</v>
      </c>
      <c r="F1943" s="120" t="s">
        <v>63</v>
      </c>
      <c r="G1943" s="29">
        <v>41559</v>
      </c>
      <c r="H1943" s="28" t="s">
        <v>8858</v>
      </c>
      <c r="I1943" s="114" t="s">
        <v>12400</v>
      </c>
      <c r="J1943" s="114" t="s">
        <v>12401</v>
      </c>
    </row>
    <row r="1944" spans="1:10" ht="20" customHeight="1" thickBot="1">
      <c r="A1944" s="26" t="s">
        <v>8861</v>
      </c>
      <c r="B1944" s="26" t="s">
        <v>8861</v>
      </c>
      <c r="C1944" s="26" t="s">
        <v>2240</v>
      </c>
      <c r="D1944" s="116">
        <v>53</v>
      </c>
      <c r="E1944" s="122" t="s">
        <v>29</v>
      </c>
      <c r="F1944" s="119" t="s">
        <v>63</v>
      </c>
      <c r="G1944" s="27">
        <v>42308</v>
      </c>
      <c r="H1944" s="26" t="s">
        <v>8862</v>
      </c>
      <c r="I1944" s="113" t="s">
        <v>12400</v>
      </c>
      <c r="J1944" s="113" t="s">
        <v>12401</v>
      </c>
    </row>
    <row r="1945" spans="1:10" ht="20" customHeight="1" thickBot="1">
      <c r="A1945" s="28" t="s">
        <v>8865</v>
      </c>
      <c r="B1945" s="28" t="s">
        <v>8865</v>
      </c>
      <c r="C1945" s="28" t="s">
        <v>8866</v>
      </c>
      <c r="D1945" s="117">
        <v>114</v>
      </c>
      <c r="E1945" s="122" t="s">
        <v>34</v>
      </c>
      <c r="F1945" s="120" t="s">
        <v>63</v>
      </c>
      <c r="G1945" s="29">
        <v>43690</v>
      </c>
      <c r="H1945" s="28" t="s">
        <v>8867</v>
      </c>
      <c r="I1945" s="114" t="s">
        <v>12400</v>
      </c>
      <c r="J1945" s="114" t="s">
        <v>12401</v>
      </c>
    </row>
    <row r="1946" spans="1:10" ht="20" customHeight="1" thickBot="1">
      <c r="A1946" s="26" t="s">
        <v>8870</v>
      </c>
      <c r="B1946" s="26" t="s">
        <v>8870</v>
      </c>
      <c r="C1946" s="26" t="s">
        <v>8866</v>
      </c>
      <c r="D1946" s="116">
        <v>114</v>
      </c>
      <c r="E1946" s="122" t="s">
        <v>33</v>
      </c>
      <c r="F1946" s="119" t="s">
        <v>63</v>
      </c>
      <c r="G1946" s="27">
        <v>43575</v>
      </c>
      <c r="H1946" s="26" t="s">
        <v>8871</v>
      </c>
      <c r="I1946" s="113" t="s">
        <v>12400</v>
      </c>
      <c r="J1946" s="113" t="s">
        <v>12401</v>
      </c>
    </row>
    <row r="1947" spans="1:10" ht="20" customHeight="1" thickBot="1">
      <c r="A1947" s="28" t="s">
        <v>8874</v>
      </c>
      <c r="B1947" s="28" t="s">
        <v>8874</v>
      </c>
      <c r="C1947" s="28" t="s">
        <v>8875</v>
      </c>
      <c r="D1947" s="117">
        <v>8</v>
      </c>
      <c r="E1947" s="122" t="s">
        <v>27</v>
      </c>
      <c r="F1947" s="120" t="s">
        <v>63</v>
      </c>
      <c r="G1947" s="29">
        <v>42066</v>
      </c>
      <c r="H1947" s="28" t="s">
        <v>8876</v>
      </c>
      <c r="I1947" s="114" t="s">
        <v>12400</v>
      </c>
      <c r="J1947" s="114" t="s">
        <v>12401</v>
      </c>
    </row>
    <row r="1948" spans="1:10" ht="20" customHeight="1" thickBot="1">
      <c r="A1948" s="26" t="s">
        <v>8879</v>
      </c>
      <c r="B1948" s="26" t="s">
        <v>8879</v>
      </c>
      <c r="C1948" s="26" t="s">
        <v>8880</v>
      </c>
      <c r="D1948" s="116">
        <v>13</v>
      </c>
      <c r="E1948" s="122" t="s">
        <v>29</v>
      </c>
      <c r="F1948" s="119" t="s">
        <v>63</v>
      </c>
      <c r="G1948" s="27">
        <v>41895</v>
      </c>
      <c r="H1948" s="26" t="s">
        <v>8881</v>
      </c>
      <c r="I1948" s="113" t="s">
        <v>12400</v>
      </c>
      <c r="J1948" s="113" t="s">
        <v>12401</v>
      </c>
    </row>
    <row r="1949" spans="1:10" ht="20" customHeight="1" thickBot="1">
      <c r="A1949" s="28" t="s">
        <v>8884</v>
      </c>
      <c r="B1949" s="28" t="s">
        <v>8884</v>
      </c>
      <c r="C1949" s="28" t="s">
        <v>5711</v>
      </c>
      <c r="D1949" s="117">
        <v>57</v>
      </c>
      <c r="E1949" s="122" t="s">
        <v>31</v>
      </c>
      <c r="F1949" s="120" t="s">
        <v>63</v>
      </c>
      <c r="G1949" s="29">
        <v>42607</v>
      </c>
      <c r="H1949" s="28" t="s">
        <v>8885</v>
      </c>
      <c r="I1949" s="114" t="s">
        <v>12400</v>
      </c>
      <c r="J1949" s="114" t="s">
        <v>12401</v>
      </c>
    </row>
    <row r="1950" spans="1:10" ht="20" customHeight="1" thickBot="1">
      <c r="A1950" s="26" t="s">
        <v>8888</v>
      </c>
      <c r="B1950" s="26" t="s">
        <v>8888</v>
      </c>
      <c r="C1950" s="26" t="s">
        <v>504</v>
      </c>
      <c r="D1950" s="116">
        <v>70</v>
      </c>
      <c r="E1950" s="122" t="s">
        <v>29</v>
      </c>
      <c r="F1950" s="119" t="s">
        <v>63</v>
      </c>
      <c r="G1950" s="27">
        <v>42502</v>
      </c>
      <c r="H1950" s="26" t="s">
        <v>8889</v>
      </c>
      <c r="I1950" s="113" t="s">
        <v>12400</v>
      </c>
      <c r="J1950" s="113" t="s">
        <v>12401</v>
      </c>
    </row>
    <row r="1951" spans="1:10" ht="20" customHeight="1" thickBot="1">
      <c r="A1951" s="28" t="s">
        <v>8892</v>
      </c>
      <c r="B1951" s="28" t="s">
        <v>8892</v>
      </c>
      <c r="C1951" s="28" t="s">
        <v>5711</v>
      </c>
      <c r="D1951" s="117">
        <v>28</v>
      </c>
      <c r="E1951" s="122" t="s">
        <v>29</v>
      </c>
      <c r="F1951" s="120" t="s">
        <v>63</v>
      </c>
      <c r="G1951" s="29">
        <v>42329</v>
      </c>
      <c r="H1951" s="28" t="s">
        <v>8893</v>
      </c>
      <c r="I1951" s="114" t="s">
        <v>12400</v>
      </c>
      <c r="J1951" s="114" t="s">
        <v>12401</v>
      </c>
    </row>
    <row r="1952" spans="1:10" ht="20" customHeight="1" thickBot="1">
      <c r="A1952" s="26" t="s">
        <v>8896</v>
      </c>
      <c r="B1952" s="26" t="s">
        <v>8896</v>
      </c>
      <c r="C1952" s="26" t="s">
        <v>8897</v>
      </c>
      <c r="D1952" s="116">
        <v>3</v>
      </c>
      <c r="E1952" s="122" t="s">
        <v>27</v>
      </c>
      <c r="F1952" s="119" t="s">
        <v>63</v>
      </c>
      <c r="G1952" s="27">
        <v>42153</v>
      </c>
      <c r="H1952" s="26" t="s">
        <v>8898</v>
      </c>
      <c r="I1952" s="113" t="s">
        <v>12400</v>
      </c>
      <c r="J1952" s="113" t="s">
        <v>12401</v>
      </c>
    </row>
    <row r="1953" spans="1:10" ht="20" customHeight="1" thickBot="1">
      <c r="A1953" s="28" t="s">
        <v>8901</v>
      </c>
      <c r="B1953" s="28" t="s">
        <v>8901</v>
      </c>
      <c r="C1953" s="28" t="s">
        <v>452</v>
      </c>
      <c r="D1953" s="117">
        <v>13</v>
      </c>
      <c r="E1953" s="122" t="s">
        <v>29</v>
      </c>
      <c r="F1953" s="120" t="s">
        <v>63</v>
      </c>
      <c r="G1953" s="29">
        <v>45497</v>
      </c>
      <c r="H1953" s="28" t="s">
        <v>8902</v>
      </c>
      <c r="I1953" s="114" t="s">
        <v>12400</v>
      </c>
      <c r="J1953" s="114" t="s">
        <v>12401</v>
      </c>
    </row>
    <row r="1954" spans="1:10" ht="20" customHeight="1" thickBot="1">
      <c r="A1954" s="26" t="s">
        <v>8905</v>
      </c>
      <c r="B1954" s="26" t="s">
        <v>8905</v>
      </c>
      <c r="C1954" s="26" t="s">
        <v>8906</v>
      </c>
      <c r="D1954" s="116">
        <v>140</v>
      </c>
      <c r="E1954" s="122" t="s">
        <v>31</v>
      </c>
      <c r="F1954" s="119" t="s">
        <v>63</v>
      </c>
      <c r="G1954" s="27">
        <v>43247</v>
      </c>
      <c r="H1954" s="26" t="s">
        <v>8907</v>
      </c>
      <c r="I1954" s="113" t="s">
        <v>12400</v>
      </c>
      <c r="J1954" s="113" t="s">
        <v>12401</v>
      </c>
    </row>
    <row r="1955" spans="1:10" ht="20" customHeight="1" thickBot="1">
      <c r="A1955" s="28" t="s">
        <v>8910</v>
      </c>
      <c r="B1955" s="28" t="s">
        <v>8910</v>
      </c>
      <c r="C1955" s="28" t="s">
        <v>8911</v>
      </c>
      <c r="D1955" s="117">
        <v>94</v>
      </c>
      <c r="E1955" s="122" t="s">
        <v>29</v>
      </c>
      <c r="F1955" s="120" t="s">
        <v>2433</v>
      </c>
      <c r="G1955" s="29">
        <v>43121</v>
      </c>
      <c r="H1955" s="28" t="s">
        <v>8912</v>
      </c>
      <c r="I1955" s="114" t="s">
        <v>12400</v>
      </c>
      <c r="J1955" s="114" t="s">
        <v>12401</v>
      </c>
    </row>
    <row r="1956" spans="1:10" ht="20" customHeight="1" thickBot="1">
      <c r="A1956" s="26" t="s">
        <v>8915</v>
      </c>
      <c r="B1956" s="26" t="s">
        <v>8915</v>
      </c>
      <c r="C1956" s="26" t="s">
        <v>8916</v>
      </c>
      <c r="D1956" s="116">
        <v>16</v>
      </c>
      <c r="E1956" s="122" t="s">
        <v>29</v>
      </c>
      <c r="F1956" s="119" t="s">
        <v>63</v>
      </c>
      <c r="G1956" s="27">
        <v>42312</v>
      </c>
      <c r="H1956" s="26" t="s">
        <v>8917</v>
      </c>
      <c r="I1956" s="113" t="s">
        <v>12400</v>
      </c>
      <c r="J1956" s="113" t="s">
        <v>12401</v>
      </c>
    </row>
    <row r="1957" spans="1:10" ht="20" customHeight="1" thickBot="1">
      <c r="A1957" s="28" t="s">
        <v>8920</v>
      </c>
      <c r="B1957" s="28" t="s">
        <v>8920</v>
      </c>
      <c r="C1957" s="28" t="s">
        <v>8921</v>
      </c>
      <c r="D1957" s="117">
        <v>10</v>
      </c>
      <c r="E1957" s="122" t="s">
        <v>33</v>
      </c>
      <c r="F1957" s="120" t="s">
        <v>63</v>
      </c>
      <c r="G1957" s="29">
        <v>42964</v>
      </c>
      <c r="H1957" s="28" t="s">
        <v>8922</v>
      </c>
      <c r="I1957" s="114" t="s">
        <v>12400</v>
      </c>
      <c r="J1957" s="114" t="s">
        <v>12401</v>
      </c>
    </row>
    <row r="1958" spans="1:10" ht="20" customHeight="1" thickBot="1">
      <c r="A1958" s="26" t="s">
        <v>8925</v>
      </c>
      <c r="B1958" s="26" t="s">
        <v>8925</v>
      </c>
      <c r="C1958" s="26" t="s">
        <v>8926</v>
      </c>
      <c r="D1958" s="116">
        <v>21</v>
      </c>
      <c r="E1958" s="122" t="s">
        <v>34</v>
      </c>
      <c r="F1958" s="119" t="s">
        <v>115</v>
      </c>
      <c r="G1958" s="27">
        <v>46063</v>
      </c>
      <c r="H1958" s="26" t="s">
        <v>8927</v>
      </c>
      <c r="I1958" s="113" t="s">
        <v>12400</v>
      </c>
      <c r="J1958" s="113" t="s">
        <v>12401</v>
      </c>
    </row>
    <row r="1959" spans="1:10" ht="20" customHeight="1" thickBot="1">
      <c r="A1959" s="28" t="s">
        <v>8930</v>
      </c>
      <c r="B1959" s="28" t="s">
        <v>8930</v>
      </c>
      <c r="C1959" s="28" t="s">
        <v>8931</v>
      </c>
      <c r="D1959" s="117">
        <v>9</v>
      </c>
      <c r="E1959" s="122" t="s">
        <v>29</v>
      </c>
      <c r="F1959" s="120" t="s">
        <v>63</v>
      </c>
      <c r="G1959" s="29">
        <v>46136</v>
      </c>
      <c r="H1959" s="28" t="s">
        <v>8932</v>
      </c>
      <c r="I1959" s="114" t="s">
        <v>12400</v>
      </c>
      <c r="J1959" s="114" t="s">
        <v>12401</v>
      </c>
    </row>
    <row r="1960" spans="1:10" ht="20" customHeight="1" thickBot="1">
      <c r="A1960" s="26" t="s">
        <v>8935</v>
      </c>
      <c r="B1960" s="26" t="s">
        <v>8935</v>
      </c>
      <c r="C1960" s="26" t="s">
        <v>8936</v>
      </c>
      <c r="D1960" s="116">
        <v>4</v>
      </c>
      <c r="E1960" s="122" t="s">
        <v>27</v>
      </c>
      <c r="F1960" s="119" t="s">
        <v>63</v>
      </c>
      <c r="G1960" s="27">
        <v>42338</v>
      </c>
      <c r="H1960" s="26" t="s">
        <v>8937</v>
      </c>
      <c r="I1960" s="113" t="s">
        <v>12400</v>
      </c>
      <c r="J1960" s="113" t="s">
        <v>12401</v>
      </c>
    </row>
    <row r="1961" spans="1:10" ht="20" customHeight="1" thickBot="1">
      <c r="A1961" s="28" t="s">
        <v>8940</v>
      </c>
      <c r="B1961" s="28" t="s">
        <v>8940</v>
      </c>
      <c r="C1961" s="28" t="s">
        <v>7530</v>
      </c>
      <c r="D1961" s="117">
        <v>36</v>
      </c>
      <c r="E1961" s="122" t="s">
        <v>29</v>
      </c>
      <c r="F1961" s="120" t="s">
        <v>63</v>
      </c>
      <c r="G1961" s="29">
        <v>42215</v>
      </c>
      <c r="H1961" s="28" t="s">
        <v>8941</v>
      </c>
      <c r="I1961" s="114" t="s">
        <v>12400</v>
      </c>
      <c r="J1961" s="114" t="s">
        <v>12401</v>
      </c>
    </row>
    <row r="1962" spans="1:10" ht="20" customHeight="1" thickBot="1">
      <c r="A1962" s="26" t="s">
        <v>8944</v>
      </c>
      <c r="B1962" s="26" t="s">
        <v>8944</v>
      </c>
      <c r="C1962" s="26" t="s">
        <v>8945</v>
      </c>
      <c r="D1962" s="116">
        <v>20</v>
      </c>
      <c r="E1962" s="122" t="s">
        <v>29</v>
      </c>
      <c r="F1962" s="119" t="s">
        <v>63</v>
      </c>
      <c r="G1962" s="27">
        <v>41448</v>
      </c>
      <c r="H1962" s="26" t="s">
        <v>8946</v>
      </c>
      <c r="I1962" s="113" t="s">
        <v>12400</v>
      </c>
      <c r="J1962" s="113" t="s">
        <v>12401</v>
      </c>
    </row>
    <row r="1963" spans="1:10" ht="20" customHeight="1" thickBot="1">
      <c r="A1963" s="28" t="s">
        <v>8949</v>
      </c>
      <c r="B1963" s="28" t="s">
        <v>8949</v>
      </c>
      <c r="C1963" s="28" t="s">
        <v>8950</v>
      </c>
      <c r="D1963" s="117">
        <v>100</v>
      </c>
      <c r="E1963" s="122" t="s">
        <v>31</v>
      </c>
      <c r="F1963" s="120" t="s">
        <v>63</v>
      </c>
      <c r="G1963" s="29">
        <v>41531</v>
      </c>
      <c r="H1963" s="28" t="s">
        <v>8951</v>
      </c>
      <c r="I1963" s="114" t="s">
        <v>12400</v>
      </c>
      <c r="J1963" s="114" t="s">
        <v>12401</v>
      </c>
    </row>
    <row r="1964" spans="1:10" ht="20" customHeight="1" thickBot="1">
      <c r="A1964" s="26" t="s">
        <v>8954</v>
      </c>
      <c r="B1964" s="26" t="s">
        <v>8954</v>
      </c>
      <c r="C1964" s="26" t="s">
        <v>504</v>
      </c>
      <c r="D1964" s="116">
        <v>20</v>
      </c>
      <c r="E1964" s="122" t="s">
        <v>29</v>
      </c>
      <c r="F1964" s="119" t="s">
        <v>63</v>
      </c>
      <c r="G1964" s="27">
        <v>43961</v>
      </c>
      <c r="H1964" s="26" t="s">
        <v>8955</v>
      </c>
      <c r="I1964" s="113" t="s">
        <v>12400</v>
      </c>
      <c r="J1964" s="113" t="s">
        <v>12401</v>
      </c>
    </row>
    <row r="1965" spans="1:10" ht="20" customHeight="1" thickBot="1">
      <c r="A1965" s="28" t="s">
        <v>8958</v>
      </c>
      <c r="B1965" s="28" t="s">
        <v>8958</v>
      </c>
      <c r="C1965" s="28" t="s">
        <v>8959</v>
      </c>
      <c r="D1965" s="117">
        <v>13</v>
      </c>
      <c r="E1965" s="122" t="s">
        <v>34</v>
      </c>
      <c r="F1965" s="120" t="s">
        <v>57</v>
      </c>
      <c r="G1965" s="29">
        <v>43260</v>
      </c>
      <c r="H1965" s="28" t="s">
        <v>8960</v>
      </c>
      <c r="I1965" s="114" t="s">
        <v>12400</v>
      </c>
      <c r="J1965" s="114" t="s">
        <v>12401</v>
      </c>
    </row>
    <row r="1966" spans="1:10" ht="20" customHeight="1" thickBot="1">
      <c r="A1966" s="26" t="s">
        <v>8963</v>
      </c>
      <c r="B1966" s="26" t="s">
        <v>8963</v>
      </c>
      <c r="C1966" s="26" t="s">
        <v>4169</v>
      </c>
      <c r="D1966" s="116">
        <v>7</v>
      </c>
      <c r="E1966" s="122" t="s">
        <v>34</v>
      </c>
      <c r="F1966" s="119" t="s">
        <v>57</v>
      </c>
      <c r="G1966" s="27">
        <v>43017</v>
      </c>
      <c r="H1966" s="26" t="s">
        <v>8964</v>
      </c>
      <c r="I1966" s="113" t="s">
        <v>12400</v>
      </c>
      <c r="J1966" s="113" t="s">
        <v>12401</v>
      </c>
    </row>
    <row r="1967" spans="1:10" ht="20" customHeight="1" thickBot="1">
      <c r="A1967" s="28" t="s">
        <v>8967</v>
      </c>
      <c r="B1967" s="28" t="s">
        <v>8967</v>
      </c>
      <c r="C1967" s="28" t="s">
        <v>8968</v>
      </c>
      <c r="D1967" s="117">
        <v>81</v>
      </c>
      <c r="E1967" s="122" t="s">
        <v>31</v>
      </c>
      <c r="F1967" s="120" t="s">
        <v>63</v>
      </c>
      <c r="G1967" s="29">
        <v>41531</v>
      </c>
      <c r="H1967" s="28" t="s">
        <v>8969</v>
      </c>
      <c r="I1967" s="114" t="s">
        <v>12400</v>
      </c>
      <c r="J1967" s="114" t="s">
        <v>12401</v>
      </c>
    </row>
    <row r="1968" spans="1:10" ht="20" customHeight="1" thickBot="1">
      <c r="A1968" s="26" t="s">
        <v>8972</v>
      </c>
      <c r="B1968" s="26" t="s">
        <v>8972</v>
      </c>
      <c r="C1968" s="26" t="s">
        <v>8973</v>
      </c>
      <c r="D1968" s="116">
        <v>7</v>
      </c>
      <c r="E1968" s="122" t="s">
        <v>29</v>
      </c>
      <c r="F1968" s="119" t="s">
        <v>63</v>
      </c>
      <c r="G1968" s="27">
        <v>41517</v>
      </c>
      <c r="H1968" s="26" t="s">
        <v>8974</v>
      </c>
      <c r="I1968" s="113" t="s">
        <v>12400</v>
      </c>
      <c r="J1968" s="113" t="s">
        <v>12401</v>
      </c>
    </row>
    <row r="1969" spans="1:10" ht="20" customHeight="1" thickBot="1">
      <c r="A1969" s="28" t="s">
        <v>8977</v>
      </c>
      <c r="B1969" s="28" t="s">
        <v>8977</v>
      </c>
      <c r="C1969" s="28" t="s">
        <v>6453</v>
      </c>
      <c r="D1969" s="117">
        <v>19</v>
      </c>
      <c r="E1969" s="122" t="s">
        <v>29</v>
      </c>
      <c r="F1969" s="120" t="s">
        <v>63</v>
      </c>
      <c r="G1969" s="29">
        <v>42166</v>
      </c>
      <c r="H1969" s="28" t="s">
        <v>8978</v>
      </c>
      <c r="I1969" s="114" t="s">
        <v>12400</v>
      </c>
      <c r="J1969" s="114" t="s">
        <v>12401</v>
      </c>
    </row>
    <row r="1970" spans="1:10" ht="20" customHeight="1" thickBot="1">
      <c r="A1970" s="26" t="s">
        <v>8981</v>
      </c>
      <c r="B1970" s="26" t="s">
        <v>8981</v>
      </c>
      <c r="C1970" s="26" t="s">
        <v>8982</v>
      </c>
      <c r="D1970" s="116">
        <v>88</v>
      </c>
      <c r="E1970" s="122" t="s">
        <v>33</v>
      </c>
      <c r="F1970" s="119" t="s">
        <v>63</v>
      </c>
      <c r="G1970" s="27">
        <v>44208</v>
      </c>
      <c r="H1970" s="26" t="s">
        <v>8983</v>
      </c>
      <c r="I1970" s="113" t="s">
        <v>12400</v>
      </c>
      <c r="J1970" s="113" t="s">
        <v>12401</v>
      </c>
    </row>
    <row r="1971" spans="1:10" ht="20" customHeight="1" thickBot="1">
      <c r="A1971" s="28" t="s">
        <v>8986</v>
      </c>
      <c r="B1971" s="28" t="s">
        <v>8986</v>
      </c>
      <c r="C1971" s="28" t="s">
        <v>5271</v>
      </c>
      <c r="D1971" s="117">
        <v>62</v>
      </c>
      <c r="E1971" s="122" t="s">
        <v>29</v>
      </c>
      <c r="F1971" s="120" t="s">
        <v>63</v>
      </c>
      <c r="G1971" s="29">
        <v>42304</v>
      </c>
      <c r="H1971" s="28" t="s">
        <v>8987</v>
      </c>
      <c r="I1971" s="114" t="s">
        <v>12400</v>
      </c>
      <c r="J1971" s="114" t="s">
        <v>12401</v>
      </c>
    </row>
    <row r="1972" spans="1:10" ht="20" customHeight="1" thickBot="1">
      <c r="A1972" s="26" t="s">
        <v>8990</v>
      </c>
      <c r="B1972" s="26" t="s">
        <v>8990</v>
      </c>
      <c r="C1972" s="26" t="s">
        <v>8991</v>
      </c>
      <c r="D1972" s="116">
        <v>12</v>
      </c>
      <c r="E1972" s="122" t="s">
        <v>29</v>
      </c>
      <c r="F1972" s="119" t="s">
        <v>63</v>
      </c>
      <c r="G1972" s="27">
        <v>42065</v>
      </c>
      <c r="H1972" s="26" t="s">
        <v>8992</v>
      </c>
      <c r="I1972" s="113" t="s">
        <v>12400</v>
      </c>
      <c r="J1972" s="113" t="s">
        <v>12401</v>
      </c>
    </row>
    <row r="1973" spans="1:10" ht="20" customHeight="1" thickBot="1">
      <c r="A1973" s="28" t="s">
        <v>8995</v>
      </c>
      <c r="B1973" s="28" t="s">
        <v>8995</v>
      </c>
      <c r="C1973" s="28" t="s">
        <v>8996</v>
      </c>
      <c r="D1973" s="117">
        <v>8</v>
      </c>
      <c r="E1973" s="122" t="s">
        <v>29</v>
      </c>
      <c r="F1973" s="120" t="s">
        <v>63</v>
      </c>
      <c r="G1973" s="29">
        <v>41517</v>
      </c>
      <c r="H1973" s="28" t="s">
        <v>8997</v>
      </c>
      <c r="I1973" s="114" t="s">
        <v>12400</v>
      </c>
      <c r="J1973" s="114" t="s">
        <v>12401</v>
      </c>
    </row>
    <row r="1974" spans="1:10" ht="20" customHeight="1" thickBot="1">
      <c r="A1974" s="26" t="s">
        <v>9000</v>
      </c>
      <c r="B1974" s="26" t="s">
        <v>9000</v>
      </c>
      <c r="C1974" s="26" t="s">
        <v>9001</v>
      </c>
      <c r="D1974" s="116">
        <v>34</v>
      </c>
      <c r="E1974" s="122" t="s">
        <v>29</v>
      </c>
      <c r="F1974" s="119" t="s">
        <v>63</v>
      </c>
      <c r="G1974" s="27">
        <v>43281</v>
      </c>
      <c r="H1974" s="26" t="s">
        <v>9002</v>
      </c>
      <c r="I1974" s="113" t="s">
        <v>12400</v>
      </c>
      <c r="J1974" s="113" t="s">
        <v>12401</v>
      </c>
    </row>
    <row r="1975" spans="1:10" ht="20" customHeight="1" thickBot="1">
      <c r="A1975" s="28" t="s">
        <v>9005</v>
      </c>
      <c r="B1975" s="28" t="s">
        <v>9005</v>
      </c>
      <c r="C1975" s="28" t="s">
        <v>9001</v>
      </c>
      <c r="D1975" s="117">
        <v>32</v>
      </c>
      <c r="E1975" s="122" t="s">
        <v>31</v>
      </c>
      <c r="F1975" s="120" t="s">
        <v>63</v>
      </c>
      <c r="G1975" s="29">
        <v>44242</v>
      </c>
      <c r="H1975" s="28" t="s">
        <v>9006</v>
      </c>
      <c r="I1975" s="114" t="s">
        <v>12400</v>
      </c>
      <c r="J1975" s="114" t="s">
        <v>12401</v>
      </c>
    </row>
    <row r="1976" spans="1:10" ht="20" customHeight="1" thickBot="1">
      <c r="A1976" s="26" t="s">
        <v>9009</v>
      </c>
      <c r="B1976" s="26" t="s">
        <v>9009</v>
      </c>
      <c r="C1976" s="26" t="s">
        <v>4984</v>
      </c>
      <c r="D1976" s="116">
        <v>30</v>
      </c>
      <c r="E1976" s="122" t="s">
        <v>31</v>
      </c>
      <c r="F1976" s="119" t="s">
        <v>63</v>
      </c>
      <c r="G1976" s="27">
        <v>45206</v>
      </c>
      <c r="H1976" s="26" t="s">
        <v>9010</v>
      </c>
      <c r="I1976" s="113" t="s">
        <v>12400</v>
      </c>
      <c r="J1976" s="113" t="s">
        <v>12401</v>
      </c>
    </row>
    <row r="1977" spans="1:10" ht="20" customHeight="1" thickBot="1">
      <c r="A1977" s="28" t="s">
        <v>9013</v>
      </c>
      <c r="B1977" s="28" t="s">
        <v>9013</v>
      </c>
      <c r="C1977" s="28" t="s">
        <v>504</v>
      </c>
      <c r="D1977" s="117">
        <v>96</v>
      </c>
      <c r="E1977" s="122" t="s">
        <v>27</v>
      </c>
      <c r="F1977" s="120" t="s">
        <v>63</v>
      </c>
      <c r="G1977" s="29">
        <v>42292</v>
      </c>
      <c r="H1977" s="28" t="s">
        <v>9014</v>
      </c>
      <c r="I1977" s="114" t="s">
        <v>12400</v>
      </c>
      <c r="J1977" s="114" t="s">
        <v>12401</v>
      </c>
    </row>
    <row r="1978" spans="1:10" ht="20" customHeight="1" thickBot="1">
      <c r="A1978" s="26" t="s">
        <v>9017</v>
      </c>
      <c r="B1978" s="26" t="s">
        <v>9017</v>
      </c>
      <c r="C1978" s="26" t="s">
        <v>4719</v>
      </c>
      <c r="D1978" s="116">
        <v>1</v>
      </c>
      <c r="E1978" s="122" t="s">
        <v>35</v>
      </c>
      <c r="F1978" s="119" t="s">
        <v>57</v>
      </c>
      <c r="G1978" s="27">
        <v>45487</v>
      </c>
      <c r="H1978" s="26" t="s">
        <v>9018</v>
      </c>
      <c r="I1978" s="113" t="s">
        <v>12400</v>
      </c>
      <c r="J1978" s="113" t="s">
        <v>12401</v>
      </c>
    </row>
    <row r="1979" spans="1:10" ht="20" customHeight="1" thickBot="1">
      <c r="A1979" s="28" t="s">
        <v>9021</v>
      </c>
      <c r="B1979" s="28" t="s">
        <v>9021</v>
      </c>
      <c r="C1979" s="28" t="s">
        <v>9022</v>
      </c>
      <c r="D1979" s="117">
        <v>20</v>
      </c>
      <c r="E1979" s="122" t="s">
        <v>29</v>
      </c>
      <c r="F1979" s="120" t="s">
        <v>63</v>
      </c>
      <c r="G1979" s="29">
        <v>45980</v>
      </c>
      <c r="H1979" s="28" t="s">
        <v>9023</v>
      </c>
      <c r="I1979" s="114" t="s">
        <v>12400</v>
      </c>
      <c r="J1979" s="114" t="s">
        <v>12401</v>
      </c>
    </row>
    <row r="1980" spans="1:10" ht="20" customHeight="1" thickBot="1">
      <c r="A1980" s="26" t="s">
        <v>9026</v>
      </c>
      <c r="B1980" s="26" t="s">
        <v>9026</v>
      </c>
      <c r="C1980" s="26" t="s">
        <v>9027</v>
      </c>
      <c r="D1980" s="116">
        <v>8</v>
      </c>
      <c r="E1980" s="122" t="s">
        <v>29</v>
      </c>
      <c r="F1980" s="119" t="s">
        <v>63</v>
      </c>
      <c r="G1980" s="27">
        <v>42209</v>
      </c>
      <c r="H1980" s="26" t="s">
        <v>9028</v>
      </c>
      <c r="I1980" s="113" t="s">
        <v>12400</v>
      </c>
      <c r="J1980" s="113" t="s">
        <v>12401</v>
      </c>
    </row>
    <row r="1981" spans="1:10" ht="20" customHeight="1" thickBot="1">
      <c r="A1981" s="28" t="s">
        <v>9031</v>
      </c>
      <c r="B1981" s="28" t="s">
        <v>9031</v>
      </c>
      <c r="C1981" s="28" t="s">
        <v>9032</v>
      </c>
      <c r="D1981" s="117">
        <v>6</v>
      </c>
      <c r="E1981" s="122" t="s">
        <v>27</v>
      </c>
      <c r="F1981" s="120" t="s">
        <v>63</v>
      </c>
      <c r="G1981" s="29">
        <v>41530</v>
      </c>
      <c r="H1981" s="28" t="s">
        <v>9033</v>
      </c>
      <c r="I1981" s="114" t="s">
        <v>12400</v>
      </c>
      <c r="J1981" s="114" t="s">
        <v>12401</v>
      </c>
    </row>
    <row r="1982" spans="1:10" ht="20" customHeight="1" thickBot="1">
      <c r="A1982" s="26" t="s">
        <v>9036</v>
      </c>
      <c r="B1982" s="26" t="s">
        <v>9036</v>
      </c>
      <c r="C1982" s="26" t="s">
        <v>9037</v>
      </c>
      <c r="D1982" s="116">
        <v>75</v>
      </c>
      <c r="E1982" s="122" t="s">
        <v>29</v>
      </c>
      <c r="F1982" s="119" t="s">
        <v>63</v>
      </c>
      <c r="G1982" s="27">
        <v>44693</v>
      </c>
      <c r="H1982" s="26" t="s">
        <v>9038</v>
      </c>
      <c r="I1982" s="113" t="s">
        <v>12400</v>
      </c>
      <c r="J1982" s="113" t="s">
        <v>12401</v>
      </c>
    </row>
    <row r="1983" spans="1:10" ht="20" customHeight="1" thickBot="1">
      <c r="A1983" s="28" t="s">
        <v>9041</v>
      </c>
      <c r="B1983" s="28" t="s">
        <v>9041</v>
      </c>
      <c r="C1983" s="28" t="s">
        <v>9042</v>
      </c>
      <c r="D1983" s="117">
        <v>17</v>
      </c>
      <c r="E1983" s="122" t="s">
        <v>27</v>
      </c>
      <c r="F1983" s="120" t="s">
        <v>63</v>
      </c>
      <c r="G1983" s="29">
        <v>42227</v>
      </c>
      <c r="H1983" s="28" t="s">
        <v>9043</v>
      </c>
      <c r="I1983" s="114" t="s">
        <v>12400</v>
      </c>
      <c r="J1983" s="114" t="s">
        <v>12401</v>
      </c>
    </row>
    <row r="1984" spans="1:10" ht="20" customHeight="1" thickBot="1">
      <c r="A1984" s="26" t="s">
        <v>9046</v>
      </c>
      <c r="B1984" s="26" t="s">
        <v>9046</v>
      </c>
      <c r="C1984" s="26" t="s">
        <v>9047</v>
      </c>
      <c r="D1984" s="116">
        <v>17</v>
      </c>
      <c r="E1984" s="122" t="s">
        <v>29</v>
      </c>
      <c r="F1984" s="119" t="s">
        <v>63</v>
      </c>
      <c r="G1984" s="27">
        <v>41447</v>
      </c>
      <c r="H1984" s="26" t="s">
        <v>9048</v>
      </c>
      <c r="I1984" s="113" t="s">
        <v>12400</v>
      </c>
      <c r="J1984" s="113" t="s">
        <v>12401</v>
      </c>
    </row>
    <row r="1985" spans="1:10" ht="20" customHeight="1" thickBot="1">
      <c r="A1985" s="28" t="s">
        <v>9051</v>
      </c>
      <c r="B1985" s="28" t="s">
        <v>9051</v>
      </c>
      <c r="C1985" s="28" t="s">
        <v>9052</v>
      </c>
      <c r="D1985" s="117">
        <v>7</v>
      </c>
      <c r="E1985" s="122" t="s">
        <v>29</v>
      </c>
      <c r="F1985" s="120" t="s">
        <v>63</v>
      </c>
      <c r="G1985" s="29">
        <v>43029</v>
      </c>
      <c r="H1985" s="28" t="s">
        <v>9053</v>
      </c>
      <c r="I1985" s="114" t="s">
        <v>12400</v>
      </c>
      <c r="J1985" s="114" t="s">
        <v>12401</v>
      </c>
    </row>
    <row r="1986" spans="1:10" ht="20" customHeight="1" thickBot="1">
      <c r="A1986" s="26" t="s">
        <v>9056</v>
      </c>
      <c r="B1986" s="26" t="s">
        <v>9056</v>
      </c>
      <c r="C1986" s="26" t="s">
        <v>9057</v>
      </c>
      <c r="D1986" s="116">
        <v>3</v>
      </c>
      <c r="E1986" s="122" t="s">
        <v>31</v>
      </c>
      <c r="F1986" s="119" t="s">
        <v>63</v>
      </c>
      <c r="G1986" s="27">
        <v>42066</v>
      </c>
      <c r="H1986" s="26" t="s">
        <v>9058</v>
      </c>
      <c r="I1986" s="113" t="s">
        <v>12400</v>
      </c>
      <c r="J1986" s="113" t="s">
        <v>12401</v>
      </c>
    </row>
    <row r="1987" spans="1:10" ht="20" customHeight="1" thickBot="1">
      <c r="A1987" s="28" t="s">
        <v>9061</v>
      </c>
      <c r="B1987" s="28" t="s">
        <v>9061</v>
      </c>
      <c r="C1987" s="28" t="s">
        <v>9062</v>
      </c>
      <c r="D1987" s="117">
        <v>9</v>
      </c>
      <c r="E1987" s="122" t="s">
        <v>27</v>
      </c>
      <c r="F1987" s="120" t="s">
        <v>63</v>
      </c>
      <c r="G1987" s="29">
        <v>44508</v>
      </c>
      <c r="H1987" s="28" t="s">
        <v>9063</v>
      </c>
      <c r="I1987" s="114" t="s">
        <v>12400</v>
      </c>
      <c r="J1987" s="114" t="s">
        <v>12401</v>
      </c>
    </row>
    <row r="1988" spans="1:10" ht="20" customHeight="1" thickBot="1">
      <c r="A1988" s="26" t="s">
        <v>9066</v>
      </c>
      <c r="B1988" s="26" t="s">
        <v>9066</v>
      </c>
      <c r="C1988" s="26" t="s">
        <v>9067</v>
      </c>
      <c r="D1988" s="116">
        <v>4</v>
      </c>
      <c r="E1988" s="122" t="s">
        <v>29</v>
      </c>
      <c r="F1988" s="119" t="s">
        <v>63</v>
      </c>
      <c r="G1988" s="27">
        <v>41530</v>
      </c>
      <c r="H1988" s="26" t="s">
        <v>9068</v>
      </c>
      <c r="I1988" s="113" t="s">
        <v>12400</v>
      </c>
      <c r="J1988" s="113" t="s">
        <v>12401</v>
      </c>
    </row>
    <row r="1989" spans="1:10" ht="20" customHeight="1" thickBot="1">
      <c r="A1989" s="28" t="s">
        <v>9071</v>
      </c>
      <c r="B1989" s="28" t="s">
        <v>9072</v>
      </c>
      <c r="C1989" s="28" t="s">
        <v>9073</v>
      </c>
      <c r="D1989" s="117">
        <v>80</v>
      </c>
      <c r="E1989" s="122" t="s">
        <v>29</v>
      </c>
      <c r="F1989" s="120" t="s">
        <v>63</v>
      </c>
      <c r="G1989" s="29">
        <v>42236</v>
      </c>
      <c r="H1989" s="28" t="s">
        <v>9074</v>
      </c>
      <c r="I1989" s="114" t="s">
        <v>12400</v>
      </c>
      <c r="J1989" s="114" t="s">
        <v>12401</v>
      </c>
    </row>
    <row r="1990" spans="1:10" ht="20" customHeight="1" thickBot="1">
      <c r="A1990" s="26" t="s">
        <v>9077</v>
      </c>
      <c r="B1990" s="26" t="s">
        <v>9072</v>
      </c>
      <c r="C1990" s="26" t="s">
        <v>4984</v>
      </c>
      <c r="D1990" s="116">
        <v>30</v>
      </c>
      <c r="E1990" s="122" t="s">
        <v>29</v>
      </c>
      <c r="F1990" s="119" t="s">
        <v>63</v>
      </c>
      <c r="G1990" s="27">
        <v>44189</v>
      </c>
      <c r="H1990" s="26" t="s">
        <v>9078</v>
      </c>
      <c r="I1990" s="113" t="s">
        <v>12400</v>
      </c>
      <c r="J1990" s="113" t="s">
        <v>12401</v>
      </c>
    </row>
    <row r="1991" spans="1:10" ht="20" customHeight="1" thickBot="1">
      <c r="A1991" s="28" t="s">
        <v>9081</v>
      </c>
      <c r="B1991" s="28" t="s">
        <v>9081</v>
      </c>
      <c r="C1991" s="28" t="s">
        <v>9082</v>
      </c>
      <c r="D1991" s="117">
        <v>62</v>
      </c>
      <c r="E1991" s="122" t="s">
        <v>27</v>
      </c>
      <c r="F1991" s="120" t="s">
        <v>63</v>
      </c>
      <c r="G1991" s="29">
        <v>42213</v>
      </c>
      <c r="H1991" s="28" t="s">
        <v>9083</v>
      </c>
      <c r="I1991" s="114" t="s">
        <v>12400</v>
      </c>
      <c r="J1991" s="114" t="s">
        <v>12401</v>
      </c>
    </row>
    <row r="1992" spans="1:10" ht="20" customHeight="1" thickBot="1">
      <c r="A1992" s="26" t="s">
        <v>9086</v>
      </c>
      <c r="B1992" s="26" t="s">
        <v>9086</v>
      </c>
      <c r="C1992" s="26" t="s">
        <v>4984</v>
      </c>
      <c r="D1992" s="116">
        <v>40</v>
      </c>
      <c r="E1992" s="122" t="s">
        <v>29</v>
      </c>
      <c r="F1992" s="119" t="s">
        <v>63</v>
      </c>
      <c r="G1992" s="27">
        <v>44621</v>
      </c>
      <c r="H1992" s="26" t="s">
        <v>9087</v>
      </c>
      <c r="I1992" s="113" t="s">
        <v>12400</v>
      </c>
      <c r="J1992" s="113" t="s">
        <v>12401</v>
      </c>
    </row>
    <row r="1993" spans="1:10" ht="20" customHeight="1" thickBot="1">
      <c r="A1993" s="28" t="s">
        <v>9090</v>
      </c>
      <c r="B1993" s="28" t="s">
        <v>9090</v>
      </c>
      <c r="C1993" s="28" t="s">
        <v>7530</v>
      </c>
      <c r="D1993" s="117">
        <v>19</v>
      </c>
      <c r="E1993" s="122" t="s">
        <v>29</v>
      </c>
      <c r="F1993" s="120" t="s">
        <v>63</v>
      </c>
      <c r="G1993" s="29">
        <v>41508</v>
      </c>
      <c r="H1993" s="28" t="s">
        <v>9091</v>
      </c>
      <c r="I1993" s="114" t="s">
        <v>12400</v>
      </c>
      <c r="J1993" s="114" t="s">
        <v>12401</v>
      </c>
    </row>
    <row r="1994" spans="1:10" ht="20" customHeight="1" thickBot="1">
      <c r="A1994" s="26" t="s">
        <v>9094</v>
      </c>
      <c r="B1994" s="26" t="s">
        <v>9094</v>
      </c>
      <c r="C1994" s="26" t="s">
        <v>8798</v>
      </c>
      <c r="D1994" s="116">
        <v>5</v>
      </c>
      <c r="E1994" s="122" t="s">
        <v>29</v>
      </c>
      <c r="F1994" s="119" t="s">
        <v>63</v>
      </c>
      <c r="G1994" s="27">
        <v>43536</v>
      </c>
      <c r="H1994" s="26" t="s">
        <v>9095</v>
      </c>
      <c r="I1994" s="113" t="s">
        <v>12400</v>
      </c>
      <c r="J1994" s="113" t="s">
        <v>12401</v>
      </c>
    </row>
    <row r="1995" spans="1:10" ht="20" customHeight="1" thickBot="1">
      <c r="A1995" s="28" t="s">
        <v>9098</v>
      </c>
      <c r="B1995" s="28" t="s">
        <v>9098</v>
      </c>
      <c r="C1995" s="28" t="s">
        <v>675</v>
      </c>
      <c r="D1995" s="117">
        <v>96</v>
      </c>
      <c r="E1995" s="122" t="s">
        <v>29</v>
      </c>
      <c r="F1995" s="120" t="s">
        <v>63</v>
      </c>
      <c r="G1995" s="29">
        <v>42841</v>
      </c>
      <c r="H1995" s="28" t="s">
        <v>9099</v>
      </c>
      <c r="I1995" s="114" t="s">
        <v>12400</v>
      </c>
      <c r="J1995" s="114" t="s">
        <v>12401</v>
      </c>
    </row>
    <row r="1996" spans="1:10" ht="20" customHeight="1" thickBot="1">
      <c r="A1996" s="26" t="s">
        <v>9102</v>
      </c>
      <c r="B1996" s="26" t="s">
        <v>9102</v>
      </c>
      <c r="C1996" s="26" t="s">
        <v>9103</v>
      </c>
      <c r="D1996" s="116">
        <v>8</v>
      </c>
      <c r="E1996" s="122" t="s">
        <v>27</v>
      </c>
      <c r="F1996" s="119" t="s">
        <v>63</v>
      </c>
      <c r="G1996" s="27">
        <v>43031</v>
      </c>
      <c r="H1996" s="26" t="s">
        <v>9104</v>
      </c>
      <c r="I1996" s="113" t="s">
        <v>12400</v>
      </c>
      <c r="J1996" s="113" t="s">
        <v>12401</v>
      </c>
    </row>
    <row r="1997" spans="1:10" ht="20" customHeight="1" thickBot="1">
      <c r="A1997" s="28" t="s">
        <v>9107</v>
      </c>
      <c r="B1997" s="28" t="s">
        <v>9107</v>
      </c>
      <c r="C1997" s="28" t="s">
        <v>9108</v>
      </c>
      <c r="D1997" s="117">
        <v>60</v>
      </c>
      <c r="E1997" s="122" t="s">
        <v>29</v>
      </c>
      <c r="F1997" s="120" t="s">
        <v>63</v>
      </c>
      <c r="G1997" s="29">
        <v>46221</v>
      </c>
      <c r="H1997" s="28" t="s">
        <v>9109</v>
      </c>
      <c r="I1997" s="114" t="s">
        <v>12400</v>
      </c>
      <c r="J1997" s="114" t="s">
        <v>12401</v>
      </c>
    </row>
    <row r="1998" spans="1:10" ht="20" customHeight="1" thickBot="1">
      <c r="A1998" s="26" t="s">
        <v>9112</v>
      </c>
      <c r="B1998" s="26" t="s">
        <v>9112</v>
      </c>
      <c r="C1998" s="26" t="s">
        <v>5060</v>
      </c>
      <c r="D1998" s="116">
        <v>62</v>
      </c>
      <c r="E1998" s="122" t="s">
        <v>29</v>
      </c>
      <c r="F1998" s="119" t="s">
        <v>63</v>
      </c>
      <c r="G1998" s="27">
        <v>46191</v>
      </c>
      <c r="H1998" s="26" t="s">
        <v>9113</v>
      </c>
      <c r="I1998" s="113" t="s">
        <v>12400</v>
      </c>
      <c r="J1998" s="113" t="s">
        <v>12401</v>
      </c>
    </row>
    <row r="1999" spans="1:10" ht="20" customHeight="1" thickBot="1">
      <c r="A1999" s="28" t="s">
        <v>9116</v>
      </c>
      <c r="B1999" s="28" t="s">
        <v>9116</v>
      </c>
      <c r="C1999" s="28" t="s">
        <v>9117</v>
      </c>
      <c r="D1999" s="117">
        <v>96</v>
      </c>
      <c r="E1999" s="122" t="s">
        <v>29</v>
      </c>
      <c r="F1999" s="120" t="s">
        <v>63</v>
      </c>
      <c r="G1999" s="29">
        <v>45132</v>
      </c>
      <c r="H1999" s="28" t="s">
        <v>9118</v>
      </c>
      <c r="I1999" s="114" t="s">
        <v>12400</v>
      </c>
      <c r="J1999" s="114" t="s">
        <v>12401</v>
      </c>
    </row>
    <row r="2000" spans="1:10" ht="20" customHeight="1" thickBot="1">
      <c r="A2000" s="26" t="s">
        <v>9121</v>
      </c>
      <c r="B2000" s="26" t="s">
        <v>9121</v>
      </c>
      <c r="C2000" s="26" t="s">
        <v>728</v>
      </c>
      <c r="D2000" s="116">
        <v>53</v>
      </c>
      <c r="E2000" s="122" t="s">
        <v>31</v>
      </c>
      <c r="F2000" s="119" t="s">
        <v>63</v>
      </c>
      <c r="G2000" s="27">
        <v>44037</v>
      </c>
      <c r="H2000" s="26" t="s">
        <v>9122</v>
      </c>
      <c r="I2000" s="113" t="s">
        <v>12400</v>
      </c>
      <c r="J2000" s="113" t="s">
        <v>12401</v>
      </c>
    </row>
    <row r="2001" spans="1:10" ht="20" customHeight="1" thickBot="1">
      <c r="A2001" s="28" t="s">
        <v>9125</v>
      </c>
      <c r="B2001" s="28" t="s">
        <v>9125</v>
      </c>
      <c r="C2001" s="28" t="s">
        <v>9126</v>
      </c>
      <c r="D2001" s="117">
        <v>33</v>
      </c>
      <c r="E2001" s="122" t="s">
        <v>27</v>
      </c>
      <c r="F2001" s="120" t="s">
        <v>63</v>
      </c>
      <c r="G2001" s="29">
        <v>42304</v>
      </c>
      <c r="H2001" s="28" t="s">
        <v>9127</v>
      </c>
      <c r="I2001" s="114" t="s">
        <v>12400</v>
      </c>
      <c r="J2001" s="114" t="s">
        <v>12401</v>
      </c>
    </row>
    <row r="2002" spans="1:10" ht="20" customHeight="1" thickBot="1">
      <c r="A2002" s="26" t="s">
        <v>9130</v>
      </c>
      <c r="B2002" s="26" t="s">
        <v>9130</v>
      </c>
      <c r="C2002" s="26" t="s">
        <v>9131</v>
      </c>
      <c r="D2002" s="116">
        <v>6</v>
      </c>
      <c r="E2002" s="122" t="s">
        <v>27</v>
      </c>
      <c r="F2002" s="119" t="s">
        <v>63</v>
      </c>
      <c r="G2002" s="27">
        <v>42339</v>
      </c>
      <c r="H2002" s="26" t="s">
        <v>9132</v>
      </c>
      <c r="I2002" s="113" t="s">
        <v>12400</v>
      </c>
      <c r="J2002" s="113" t="s">
        <v>12401</v>
      </c>
    </row>
    <row r="2003" spans="1:10" ht="20" customHeight="1" thickBot="1">
      <c r="A2003" s="28" t="s">
        <v>9135</v>
      </c>
      <c r="B2003" s="28" t="s">
        <v>9135</v>
      </c>
      <c r="C2003" s="28" t="s">
        <v>9136</v>
      </c>
      <c r="D2003" s="117">
        <v>20</v>
      </c>
      <c r="E2003" s="122" t="s">
        <v>27</v>
      </c>
      <c r="F2003" s="120" t="s">
        <v>63</v>
      </c>
      <c r="G2003" s="29">
        <v>42214</v>
      </c>
      <c r="H2003" s="28" t="s">
        <v>9137</v>
      </c>
      <c r="I2003" s="114" t="s">
        <v>12400</v>
      </c>
      <c r="J2003" s="114" t="s">
        <v>12401</v>
      </c>
    </row>
    <row r="2004" spans="1:10" ht="20" customHeight="1" thickBot="1">
      <c r="A2004" s="26" t="s">
        <v>9140</v>
      </c>
      <c r="B2004" s="26" t="s">
        <v>9140</v>
      </c>
      <c r="C2004" s="26" t="s">
        <v>307</v>
      </c>
      <c r="D2004" s="116">
        <v>5</v>
      </c>
      <c r="E2004" s="122" t="s">
        <v>29</v>
      </c>
      <c r="F2004" s="119" t="s">
        <v>63</v>
      </c>
      <c r="G2004" s="27">
        <v>42277</v>
      </c>
      <c r="H2004" s="26" t="s">
        <v>9141</v>
      </c>
      <c r="I2004" s="113" t="s">
        <v>12400</v>
      </c>
      <c r="J2004" s="113" t="s">
        <v>12401</v>
      </c>
    </row>
    <row r="2005" spans="1:10" ht="20" customHeight="1" thickBot="1">
      <c r="A2005" s="28" t="s">
        <v>9144</v>
      </c>
      <c r="B2005" s="28" t="s">
        <v>9144</v>
      </c>
      <c r="C2005" s="28" t="s">
        <v>9145</v>
      </c>
      <c r="D2005" s="117">
        <v>19</v>
      </c>
      <c r="E2005" s="122" t="s">
        <v>34</v>
      </c>
      <c r="F2005" s="120" t="s">
        <v>57</v>
      </c>
      <c r="G2005" s="29">
        <v>42818</v>
      </c>
      <c r="H2005" s="28" t="s">
        <v>9146</v>
      </c>
      <c r="I2005" s="114" t="s">
        <v>12400</v>
      </c>
      <c r="J2005" s="114" t="s">
        <v>12401</v>
      </c>
    </row>
    <row r="2006" spans="1:10" ht="20" customHeight="1" thickBot="1">
      <c r="A2006" s="26" t="s">
        <v>9149</v>
      </c>
      <c r="B2006" s="26" t="s">
        <v>9149</v>
      </c>
      <c r="C2006" s="26" t="s">
        <v>9150</v>
      </c>
      <c r="D2006" s="116">
        <v>1</v>
      </c>
      <c r="E2006" s="122" t="s">
        <v>33</v>
      </c>
      <c r="F2006" s="119" t="s">
        <v>63</v>
      </c>
      <c r="G2006" s="27">
        <v>45667</v>
      </c>
      <c r="H2006" s="26" t="s">
        <v>9151</v>
      </c>
      <c r="I2006" s="113" t="s">
        <v>12400</v>
      </c>
      <c r="J2006" s="113" t="s">
        <v>12401</v>
      </c>
    </row>
    <row r="2007" spans="1:10" ht="20" customHeight="1" thickBot="1">
      <c r="A2007" s="28" t="s">
        <v>9154</v>
      </c>
      <c r="B2007" s="28" t="s">
        <v>9154</v>
      </c>
      <c r="C2007" s="28" t="s">
        <v>1268</v>
      </c>
      <c r="D2007" s="117">
        <v>23</v>
      </c>
      <c r="E2007" s="122" t="s">
        <v>29</v>
      </c>
      <c r="F2007" s="120" t="s">
        <v>63</v>
      </c>
      <c r="G2007" s="29">
        <v>45377</v>
      </c>
      <c r="H2007" s="28" t="s">
        <v>9155</v>
      </c>
      <c r="I2007" s="114" t="s">
        <v>12400</v>
      </c>
      <c r="J2007" s="114" t="s">
        <v>12401</v>
      </c>
    </row>
    <row r="2008" spans="1:10" ht="20" customHeight="1" thickBot="1">
      <c r="A2008" s="26" t="s">
        <v>9158</v>
      </c>
      <c r="B2008" s="26" t="s">
        <v>9158</v>
      </c>
      <c r="C2008" s="26" t="s">
        <v>9159</v>
      </c>
      <c r="D2008" s="116">
        <v>26</v>
      </c>
      <c r="E2008" s="122" t="s">
        <v>27</v>
      </c>
      <c r="F2008" s="119" t="s">
        <v>63</v>
      </c>
      <c r="G2008" s="27">
        <v>44186</v>
      </c>
      <c r="H2008" s="26" t="s">
        <v>9160</v>
      </c>
      <c r="I2008" s="113" t="s">
        <v>12400</v>
      </c>
      <c r="J2008" s="113" t="s">
        <v>12401</v>
      </c>
    </row>
    <row r="2009" spans="1:10" ht="20" customHeight="1" thickBot="1">
      <c r="A2009" s="28" t="s">
        <v>9163</v>
      </c>
      <c r="B2009" s="28" t="s">
        <v>9163</v>
      </c>
      <c r="C2009" s="28" t="s">
        <v>9164</v>
      </c>
      <c r="D2009" s="117">
        <v>9</v>
      </c>
      <c r="E2009" s="122" t="s">
        <v>29</v>
      </c>
      <c r="F2009" s="120" t="s">
        <v>63</v>
      </c>
      <c r="G2009" s="29">
        <v>44940</v>
      </c>
      <c r="H2009" s="28" t="s">
        <v>9165</v>
      </c>
      <c r="I2009" s="114" t="s">
        <v>12400</v>
      </c>
      <c r="J2009" s="114" t="s">
        <v>12401</v>
      </c>
    </row>
    <row r="2010" spans="1:10" ht="20" customHeight="1" thickBot="1">
      <c r="A2010" s="26" t="s">
        <v>9168</v>
      </c>
      <c r="B2010" s="26" t="s">
        <v>9168</v>
      </c>
      <c r="C2010" s="26" t="s">
        <v>9169</v>
      </c>
      <c r="D2010" s="116">
        <v>15</v>
      </c>
      <c r="E2010" s="122" t="s">
        <v>29</v>
      </c>
      <c r="F2010" s="119" t="s">
        <v>63</v>
      </c>
      <c r="G2010" s="27">
        <v>43560</v>
      </c>
      <c r="H2010" s="26" t="s">
        <v>9170</v>
      </c>
      <c r="I2010" s="113" t="s">
        <v>12400</v>
      </c>
      <c r="J2010" s="113" t="s">
        <v>12401</v>
      </c>
    </row>
    <row r="2011" spans="1:10" ht="20" customHeight="1" thickBot="1">
      <c r="A2011" s="28" t="s">
        <v>9173</v>
      </c>
      <c r="B2011" s="28" t="s">
        <v>9173</v>
      </c>
      <c r="C2011" s="28" t="s">
        <v>9174</v>
      </c>
      <c r="D2011" s="117">
        <v>8</v>
      </c>
      <c r="E2011" s="122" t="s">
        <v>29</v>
      </c>
      <c r="F2011" s="120" t="s">
        <v>63</v>
      </c>
      <c r="G2011" s="29">
        <v>42322</v>
      </c>
      <c r="H2011" s="28" t="s">
        <v>9175</v>
      </c>
      <c r="I2011" s="114" t="s">
        <v>12400</v>
      </c>
      <c r="J2011" s="114" t="s">
        <v>12401</v>
      </c>
    </row>
    <row r="2012" spans="1:10" ht="20" customHeight="1" thickBot="1">
      <c r="A2012" s="26" t="s">
        <v>9178</v>
      </c>
      <c r="B2012" s="26" t="s">
        <v>9178</v>
      </c>
      <c r="C2012" s="26" t="s">
        <v>9179</v>
      </c>
      <c r="D2012" s="116">
        <v>7</v>
      </c>
      <c r="E2012" s="122" t="s">
        <v>29</v>
      </c>
      <c r="F2012" s="119" t="s">
        <v>63</v>
      </c>
      <c r="G2012" s="27">
        <v>43038</v>
      </c>
      <c r="H2012" s="26" t="s">
        <v>9180</v>
      </c>
      <c r="I2012" s="113" t="s">
        <v>12400</v>
      </c>
      <c r="J2012" s="113" t="s">
        <v>12401</v>
      </c>
    </row>
    <row r="2013" spans="1:10" ht="20" customHeight="1" thickBot="1">
      <c r="A2013" s="28" t="s">
        <v>9183</v>
      </c>
      <c r="B2013" s="28" t="s">
        <v>9183</v>
      </c>
      <c r="C2013" s="28" t="s">
        <v>9184</v>
      </c>
      <c r="D2013" s="117">
        <v>3</v>
      </c>
      <c r="E2013" s="122" t="s">
        <v>27</v>
      </c>
      <c r="F2013" s="120" t="s">
        <v>63</v>
      </c>
      <c r="G2013" s="29">
        <v>42781</v>
      </c>
      <c r="H2013" s="28" t="s">
        <v>9185</v>
      </c>
      <c r="I2013" s="114" t="s">
        <v>12400</v>
      </c>
      <c r="J2013" s="114" t="s">
        <v>12401</v>
      </c>
    </row>
    <row r="2014" spans="1:10" ht="20" customHeight="1" thickBot="1">
      <c r="A2014" s="26" t="s">
        <v>9188</v>
      </c>
      <c r="B2014" s="26" t="s">
        <v>9188</v>
      </c>
      <c r="C2014" s="26" t="s">
        <v>9189</v>
      </c>
      <c r="D2014" s="116">
        <v>66</v>
      </c>
      <c r="E2014" s="122" t="s">
        <v>27</v>
      </c>
      <c r="F2014" s="119" t="s">
        <v>63</v>
      </c>
      <c r="G2014" s="27">
        <v>42210</v>
      </c>
      <c r="H2014" s="26" t="s">
        <v>9190</v>
      </c>
      <c r="I2014" s="113" t="s">
        <v>12400</v>
      </c>
      <c r="J2014" s="113" t="s">
        <v>12401</v>
      </c>
    </row>
    <row r="2015" spans="1:10" ht="20" customHeight="1" thickBot="1">
      <c r="A2015" s="28" t="s">
        <v>9193</v>
      </c>
      <c r="B2015" s="28" t="s">
        <v>9193</v>
      </c>
      <c r="C2015" s="28" t="s">
        <v>9194</v>
      </c>
      <c r="D2015" s="117">
        <v>7</v>
      </c>
      <c r="E2015" s="122" t="s">
        <v>27</v>
      </c>
      <c r="F2015" s="120" t="s">
        <v>63</v>
      </c>
      <c r="G2015" s="29">
        <v>41451</v>
      </c>
      <c r="H2015" s="28" t="s">
        <v>9195</v>
      </c>
      <c r="I2015" s="114" t="s">
        <v>12400</v>
      </c>
      <c r="J2015" s="114" t="s">
        <v>12401</v>
      </c>
    </row>
    <row r="2016" spans="1:10" ht="20" customHeight="1" thickBot="1">
      <c r="A2016" s="26" t="s">
        <v>9198</v>
      </c>
      <c r="B2016" s="26" t="s">
        <v>9198</v>
      </c>
      <c r="C2016" s="26" t="s">
        <v>9199</v>
      </c>
      <c r="D2016" s="116">
        <v>92</v>
      </c>
      <c r="E2016" s="122" t="s">
        <v>29</v>
      </c>
      <c r="F2016" s="119" t="s">
        <v>63</v>
      </c>
      <c r="G2016" s="27">
        <v>44347</v>
      </c>
      <c r="H2016" s="26" t="s">
        <v>9200</v>
      </c>
      <c r="I2016" s="113" t="s">
        <v>12400</v>
      </c>
      <c r="J2016" s="113" t="s">
        <v>12401</v>
      </c>
    </row>
    <row r="2017" spans="1:10" ht="20" customHeight="1" thickBot="1">
      <c r="A2017" s="28" t="s">
        <v>9203</v>
      </c>
      <c r="B2017" s="28" t="s">
        <v>9203</v>
      </c>
      <c r="C2017" s="28" t="s">
        <v>9204</v>
      </c>
      <c r="D2017" s="117">
        <v>93</v>
      </c>
      <c r="E2017" s="122" t="s">
        <v>29</v>
      </c>
      <c r="F2017" s="120" t="s">
        <v>63</v>
      </c>
      <c r="G2017" s="29">
        <v>45760</v>
      </c>
      <c r="H2017" s="28" t="s">
        <v>9205</v>
      </c>
      <c r="I2017" s="114" t="s">
        <v>12400</v>
      </c>
      <c r="J2017" s="114" t="s">
        <v>12401</v>
      </c>
    </row>
    <row r="2018" spans="1:10" ht="20" customHeight="1" thickBot="1">
      <c r="A2018" s="26" t="s">
        <v>9208</v>
      </c>
      <c r="B2018" s="26" t="s">
        <v>9208</v>
      </c>
      <c r="C2018" s="26" t="s">
        <v>1306</v>
      </c>
      <c r="D2018" s="116">
        <v>44</v>
      </c>
      <c r="E2018" s="122" t="s">
        <v>31</v>
      </c>
      <c r="F2018" s="119" t="s">
        <v>63</v>
      </c>
      <c r="G2018" s="27">
        <v>44520</v>
      </c>
      <c r="H2018" s="26" t="s">
        <v>9209</v>
      </c>
      <c r="I2018" s="113" t="s">
        <v>12400</v>
      </c>
      <c r="J2018" s="113" t="s">
        <v>12401</v>
      </c>
    </row>
    <row r="2019" spans="1:10" ht="20" customHeight="1" thickBot="1">
      <c r="A2019" s="28" t="s">
        <v>9212</v>
      </c>
      <c r="B2019" s="28" t="s">
        <v>9212</v>
      </c>
      <c r="C2019" s="28" t="s">
        <v>1161</v>
      </c>
      <c r="D2019" s="117">
        <v>8</v>
      </c>
      <c r="E2019" s="122" t="s">
        <v>27</v>
      </c>
      <c r="F2019" s="120" t="s">
        <v>63</v>
      </c>
      <c r="G2019" s="29">
        <v>42308</v>
      </c>
      <c r="H2019" s="28" t="s">
        <v>9213</v>
      </c>
      <c r="I2019" s="114" t="s">
        <v>12400</v>
      </c>
      <c r="J2019" s="114" t="s">
        <v>12401</v>
      </c>
    </row>
    <row r="2020" spans="1:10" ht="20" customHeight="1" thickBot="1">
      <c r="A2020" s="26" t="s">
        <v>9216</v>
      </c>
      <c r="B2020" s="26" t="s">
        <v>9216</v>
      </c>
      <c r="C2020" s="26" t="s">
        <v>9217</v>
      </c>
      <c r="D2020" s="116">
        <v>29</v>
      </c>
      <c r="E2020" s="122" t="s">
        <v>31</v>
      </c>
      <c r="F2020" s="119" t="s">
        <v>63</v>
      </c>
      <c r="G2020" s="27">
        <v>44675</v>
      </c>
      <c r="H2020" s="26" t="s">
        <v>9218</v>
      </c>
      <c r="I2020" s="113" t="s">
        <v>12400</v>
      </c>
      <c r="J2020" s="113" t="s">
        <v>12401</v>
      </c>
    </row>
    <row r="2021" spans="1:10" ht="20" customHeight="1" thickBot="1">
      <c r="A2021" s="28" t="s">
        <v>9221</v>
      </c>
      <c r="B2021" s="28" t="s">
        <v>9221</v>
      </c>
      <c r="C2021" s="28" t="s">
        <v>9222</v>
      </c>
      <c r="D2021" s="117">
        <v>10</v>
      </c>
      <c r="E2021" s="122" t="s">
        <v>27</v>
      </c>
      <c r="F2021" s="120" t="s">
        <v>63</v>
      </c>
      <c r="G2021" s="29">
        <v>41542</v>
      </c>
      <c r="H2021" s="28" t="s">
        <v>9223</v>
      </c>
      <c r="I2021" s="114" t="s">
        <v>12400</v>
      </c>
      <c r="J2021" s="114" t="s">
        <v>12401</v>
      </c>
    </row>
    <row r="2022" spans="1:10" ht="20" customHeight="1" thickBot="1">
      <c r="A2022" s="26" t="s">
        <v>9226</v>
      </c>
      <c r="B2022" s="26" t="s">
        <v>9226</v>
      </c>
      <c r="C2022" s="26" t="s">
        <v>9227</v>
      </c>
      <c r="D2022" s="116">
        <v>6</v>
      </c>
      <c r="E2022" s="122" t="s">
        <v>29</v>
      </c>
      <c r="F2022" s="119" t="s">
        <v>63</v>
      </c>
      <c r="G2022" s="27">
        <v>43637</v>
      </c>
      <c r="H2022" s="26" t="s">
        <v>9228</v>
      </c>
      <c r="I2022" s="113" t="s">
        <v>12400</v>
      </c>
      <c r="J2022" s="113" t="s">
        <v>12401</v>
      </c>
    </row>
    <row r="2023" spans="1:10" ht="20" customHeight="1" thickBot="1">
      <c r="A2023" s="28" t="s">
        <v>9231</v>
      </c>
      <c r="B2023" s="28" t="s">
        <v>9231</v>
      </c>
      <c r="C2023" s="28" t="s">
        <v>9232</v>
      </c>
      <c r="D2023" s="117">
        <v>1</v>
      </c>
      <c r="E2023" s="122" t="s">
        <v>29</v>
      </c>
      <c r="F2023" s="120" t="s">
        <v>63</v>
      </c>
      <c r="G2023" s="29">
        <v>44886</v>
      </c>
      <c r="H2023" s="28" t="s">
        <v>9233</v>
      </c>
      <c r="I2023" s="114" t="s">
        <v>12400</v>
      </c>
      <c r="J2023" s="114" t="s">
        <v>12401</v>
      </c>
    </row>
    <row r="2024" spans="1:10" ht="20" customHeight="1" thickBot="1">
      <c r="A2024" s="26" t="s">
        <v>9236</v>
      </c>
      <c r="B2024" s="26" t="s">
        <v>9236</v>
      </c>
      <c r="C2024" s="26" t="s">
        <v>2865</v>
      </c>
      <c r="D2024" s="116">
        <v>7</v>
      </c>
      <c r="E2024" s="122" t="s">
        <v>29</v>
      </c>
      <c r="F2024" s="119" t="s">
        <v>63</v>
      </c>
      <c r="G2024" s="27">
        <v>43028</v>
      </c>
      <c r="H2024" s="26" t="s">
        <v>9237</v>
      </c>
      <c r="I2024" s="113" t="s">
        <v>12400</v>
      </c>
      <c r="J2024" s="113" t="s">
        <v>12401</v>
      </c>
    </row>
    <row r="2025" spans="1:10" ht="20" customHeight="1" thickBot="1">
      <c r="A2025" s="28" t="s">
        <v>9240</v>
      </c>
      <c r="B2025" s="28" t="s">
        <v>9240</v>
      </c>
      <c r="C2025" s="28" t="s">
        <v>9241</v>
      </c>
      <c r="D2025" s="117">
        <v>76</v>
      </c>
      <c r="E2025" s="122" t="s">
        <v>29</v>
      </c>
      <c r="F2025" s="120" t="s">
        <v>63</v>
      </c>
      <c r="G2025" s="29">
        <v>42330</v>
      </c>
      <c r="H2025" s="28" t="s">
        <v>9242</v>
      </c>
      <c r="I2025" s="114" t="s">
        <v>12400</v>
      </c>
      <c r="J2025" s="114" t="s">
        <v>12401</v>
      </c>
    </row>
    <row r="2026" spans="1:10" ht="20" customHeight="1" thickBot="1">
      <c r="A2026" s="26" t="s">
        <v>9245</v>
      </c>
      <c r="B2026" s="26" t="s">
        <v>9245</v>
      </c>
      <c r="C2026" s="26" t="s">
        <v>9246</v>
      </c>
      <c r="D2026" s="116">
        <v>5</v>
      </c>
      <c r="E2026" s="122" t="s">
        <v>29</v>
      </c>
      <c r="F2026" s="119" t="s">
        <v>63</v>
      </c>
      <c r="G2026" s="27">
        <v>42843</v>
      </c>
      <c r="H2026" s="26" t="s">
        <v>9247</v>
      </c>
      <c r="I2026" s="113" t="s">
        <v>12400</v>
      </c>
      <c r="J2026" s="113" t="s">
        <v>12401</v>
      </c>
    </row>
    <row r="2027" spans="1:10" ht="20" customHeight="1" thickBot="1">
      <c r="A2027" s="28" t="s">
        <v>9250</v>
      </c>
      <c r="B2027" s="28" t="s">
        <v>9250</v>
      </c>
      <c r="C2027" s="28" t="s">
        <v>9251</v>
      </c>
      <c r="D2027" s="117">
        <v>9</v>
      </c>
      <c r="E2027" s="122" t="s">
        <v>29</v>
      </c>
      <c r="F2027" s="120" t="s">
        <v>63</v>
      </c>
      <c r="G2027" s="29">
        <v>44043</v>
      </c>
      <c r="H2027" s="28" t="s">
        <v>9252</v>
      </c>
      <c r="I2027" s="114" t="s">
        <v>12400</v>
      </c>
      <c r="J2027" s="114" t="s">
        <v>12401</v>
      </c>
    </row>
    <row r="2028" spans="1:10" ht="20" customHeight="1" thickBot="1">
      <c r="A2028" s="26" t="s">
        <v>9255</v>
      </c>
      <c r="B2028" s="26" t="s">
        <v>9255</v>
      </c>
      <c r="C2028" s="26" t="s">
        <v>9256</v>
      </c>
      <c r="D2028" s="116">
        <v>16</v>
      </c>
      <c r="E2028" s="122" t="s">
        <v>29</v>
      </c>
      <c r="F2028" s="119" t="s">
        <v>63</v>
      </c>
      <c r="G2028" s="27">
        <v>43991</v>
      </c>
      <c r="H2028" s="26" t="s">
        <v>9257</v>
      </c>
      <c r="I2028" s="113" t="s">
        <v>12400</v>
      </c>
      <c r="J2028" s="113" t="s">
        <v>12401</v>
      </c>
    </row>
    <row r="2029" spans="1:10" ht="20" customHeight="1" thickBot="1">
      <c r="A2029" s="28" t="s">
        <v>9260</v>
      </c>
      <c r="B2029" s="28" t="s">
        <v>9260</v>
      </c>
      <c r="C2029" s="28" t="s">
        <v>471</v>
      </c>
      <c r="D2029" s="117">
        <v>7</v>
      </c>
      <c r="E2029" s="122" t="s">
        <v>29</v>
      </c>
      <c r="F2029" s="120" t="s">
        <v>63</v>
      </c>
      <c r="G2029" s="29">
        <v>42868</v>
      </c>
      <c r="H2029" s="28" t="s">
        <v>9261</v>
      </c>
      <c r="I2029" s="114" t="s">
        <v>12400</v>
      </c>
      <c r="J2029" s="114" t="s">
        <v>12401</v>
      </c>
    </row>
    <row r="2030" spans="1:10" ht="20" customHeight="1" thickBot="1">
      <c r="A2030" s="26" t="s">
        <v>9264</v>
      </c>
      <c r="B2030" s="26" t="s">
        <v>9264</v>
      </c>
      <c r="C2030" s="26" t="s">
        <v>9265</v>
      </c>
      <c r="D2030" s="116">
        <v>17</v>
      </c>
      <c r="E2030" s="122" t="s">
        <v>27</v>
      </c>
      <c r="F2030" s="119" t="s">
        <v>63</v>
      </c>
      <c r="G2030" s="27">
        <v>41675</v>
      </c>
      <c r="H2030" s="26" t="s">
        <v>9266</v>
      </c>
      <c r="I2030" s="113" t="s">
        <v>12400</v>
      </c>
      <c r="J2030" s="113" t="s">
        <v>12401</v>
      </c>
    </row>
    <row r="2031" spans="1:10" ht="20" customHeight="1" thickBot="1">
      <c r="A2031" s="28" t="s">
        <v>9269</v>
      </c>
      <c r="B2031" s="28" t="s">
        <v>9269</v>
      </c>
      <c r="C2031" s="28" t="s">
        <v>9270</v>
      </c>
      <c r="D2031" s="117">
        <v>36</v>
      </c>
      <c r="E2031" s="122" t="s">
        <v>31</v>
      </c>
      <c r="F2031" s="120" t="s">
        <v>63</v>
      </c>
      <c r="G2031" s="29">
        <v>44963</v>
      </c>
      <c r="H2031" s="28" t="s">
        <v>9271</v>
      </c>
      <c r="I2031" s="114" t="s">
        <v>12400</v>
      </c>
      <c r="J2031" s="114" t="s">
        <v>12401</v>
      </c>
    </row>
    <row r="2032" spans="1:10" ht="20" customHeight="1" thickBot="1">
      <c r="A2032" s="26" t="s">
        <v>9274</v>
      </c>
      <c r="B2032" s="26" t="s">
        <v>9274</v>
      </c>
      <c r="C2032" s="26" t="s">
        <v>733</v>
      </c>
      <c r="D2032" s="116">
        <v>108</v>
      </c>
      <c r="E2032" s="122" t="s">
        <v>31</v>
      </c>
      <c r="F2032" s="119" t="s">
        <v>63</v>
      </c>
      <c r="G2032" s="27">
        <v>44765</v>
      </c>
      <c r="H2032" s="26" t="s">
        <v>9275</v>
      </c>
      <c r="I2032" s="113" t="s">
        <v>12400</v>
      </c>
      <c r="J2032" s="113" t="s">
        <v>12401</v>
      </c>
    </row>
    <row r="2033" spans="1:10" ht="20" customHeight="1" thickBot="1">
      <c r="A2033" s="28" t="s">
        <v>9278</v>
      </c>
      <c r="B2033" s="28" t="s">
        <v>9278</v>
      </c>
      <c r="C2033" s="28" t="s">
        <v>704</v>
      </c>
      <c r="D2033" s="117">
        <v>12</v>
      </c>
      <c r="E2033" s="122" t="s">
        <v>33</v>
      </c>
      <c r="F2033" s="120" t="s">
        <v>63</v>
      </c>
      <c r="G2033" s="29">
        <v>44496</v>
      </c>
      <c r="H2033" s="28" t="s">
        <v>9279</v>
      </c>
      <c r="I2033" s="114" t="s">
        <v>12400</v>
      </c>
      <c r="J2033" s="114" t="s">
        <v>12401</v>
      </c>
    </row>
    <row r="2034" spans="1:10" ht="20" customHeight="1" thickBot="1">
      <c r="A2034" s="26" t="s">
        <v>9282</v>
      </c>
      <c r="B2034" s="26" t="s">
        <v>9282</v>
      </c>
      <c r="C2034" s="26" t="s">
        <v>704</v>
      </c>
      <c r="D2034" s="116">
        <v>6</v>
      </c>
      <c r="E2034" s="122" t="s">
        <v>33</v>
      </c>
      <c r="F2034" s="119" t="s">
        <v>63</v>
      </c>
      <c r="G2034" s="27">
        <v>46222</v>
      </c>
      <c r="H2034" s="26" t="s">
        <v>9283</v>
      </c>
      <c r="I2034" s="113" t="s">
        <v>12400</v>
      </c>
      <c r="J2034" s="113" t="s">
        <v>12401</v>
      </c>
    </row>
    <row r="2035" spans="1:10" ht="20" customHeight="1" thickBot="1">
      <c r="A2035" s="28" t="s">
        <v>9286</v>
      </c>
      <c r="B2035" s="28" t="s">
        <v>9286</v>
      </c>
      <c r="C2035" s="28" t="s">
        <v>9287</v>
      </c>
      <c r="D2035" s="117">
        <v>7</v>
      </c>
      <c r="E2035" s="122" t="s">
        <v>27</v>
      </c>
      <c r="F2035" s="120" t="s">
        <v>63</v>
      </c>
      <c r="G2035" s="29">
        <v>41830</v>
      </c>
      <c r="H2035" s="28" t="s">
        <v>9288</v>
      </c>
      <c r="I2035" s="114" t="s">
        <v>12400</v>
      </c>
      <c r="J2035" s="114" t="s">
        <v>12401</v>
      </c>
    </row>
    <row r="2036" spans="1:10" ht="20" customHeight="1" thickBot="1">
      <c r="A2036" s="26" t="s">
        <v>9291</v>
      </c>
      <c r="B2036" s="26" t="s">
        <v>9291</v>
      </c>
      <c r="C2036" s="26" t="s">
        <v>9292</v>
      </c>
      <c r="D2036" s="116">
        <v>0</v>
      </c>
      <c r="E2036" s="122" t="s">
        <v>27</v>
      </c>
      <c r="F2036" s="119" t="s">
        <v>63</v>
      </c>
      <c r="G2036" s="27">
        <v>41466</v>
      </c>
      <c r="H2036" s="26" t="s">
        <v>9293</v>
      </c>
      <c r="I2036" s="113" t="s">
        <v>12400</v>
      </c>
      <c r="J2036" s="113" t="s">
        <v>12401</v>
      </c>
    </row>
    <row r="2037" spans="1:10" ht="20" customHeight="1" thickBot="1">
      <c r="A2037" s="28" t="s">
        <v>9296</v>
      </c>
      <c r="B2037" s="28" t="s">
        <v>9296</v>
      </c>
      <c r="C2037" s="28" t="s">
        <v>9297</v>
      </c>
      <c r="D2037" s="117">
        <v>5</v>
      </c>
      <c r="E2037" s="122" t="s">
        <v>29</v>
      </c>
      <c r="F2037" s="120" t="s">
        <v>63</v>
      </c>
      <c r="G2037" s="29">
        <v>43918</v>
      </c>
      <c r="H2037" s="28" t="s">
        <v>9298</v>
      </c>
      <c r="I2037" s="114" t="s">
        <v>12400</v>
      </c>
      <c r="J2037" s="114" t="s">
        <v>12401</v>
      </c>
    </row>
    <row r="2038" spans="1:10" ht="20" customHeight="1" thickBot="1">
      <c r="A2038" s="26" t="s">
        <v>9301</v>
      </c>
      <c r="B2038" s="26" t="s">
        <v>9301</v>
      </c>
      <c r="C2038" s="26" t="s">
        <v>1686</v>
      </c>
      <c r="D2038" s="116">
        <v>52</v>
      </c>
      <c r="E2038" s="122" t="s">
        <v>29</v>
      </c>
      <c r="F2038" s="119" t="s">
        <v>63</v>
      </c>
      <c r="G2038" s="27">
        <v>44271</v>
      </c>
      <c r="H2038" s="26" t="s">
        <v>9302</v>
      </c>
      <c r="I2038" s="113" t="s">
        <v>12400</v>
      </c>
      <c r="J2038" s="113" t="s">
        <v>12401</v>
      </c>
    </row>
    <row r="2039" spans="1:10" ht="20" customHeight="1" thickBot="1">
      <c r="A2039" s="28" t="s">
        <v>9305</v>
      </c>
      <c r="B2039" s="28" t="s">
        <v>9305</v>
      </c>
      <c r="C2039" s="28" t="s">
        <v>9306</v>
      </c>
      <c r="D2039" s="117">
        <v>20</v>
      </c>
      <c r="E2039" s="122" t="s">
        <v>29</v>
      </c>
      <c r="F2039" s="120" t="s">
        <v>63</v>
      </c>
      <c r="G2039" s="29">
        <v>43595</v>
      </c>
      <c r="H2039" s="28" t="s">
        <v>9307</v>
      </c>
      <c r="I2039" s="114" t="s">
        <v>12400</v>
      </c>
      <c r="J2039" s="114" t="s">
        <v>12401</v>
      </c>
    </row>
    <row r="2040" spans="1:10" ht="20" customHeight="1" thickBot="1">
      <c r="A2040" s="26" t="s">
        <v>9310</v>
      </c>
      <c r="B2040" s="26" t="s">
        <v>9310</v>
      </c>
      <c r="C2040" s="26" t="s">
        <v>2100</v>
      </c>
      <c r="D2040" s="116">
        <v>97</v>
      </c>
      <c r="E2040" s="122" t="s">
        <v>31</v>
      </c>
      <c r="F2040" s="119" t="s">
        <v>63</v>
      </c>
      <c r="G2040" s="27">
        <v>46205</v>
      </c>
      <c r="H2040" s="26" t="s">
        <v>9311</v>
      </c>
      <c r="I2040" s="113" t="s">
        <v>12400</v>
      </c>
      <c r="J2040" s="113" t="s">
        <v>12401</v>
      </c>
    </row>
    <row r="2041" spans="1:10" ht="20" customHeight="1" thickBot="1">
      <c r="A2041" s="28" t="s">
        <v>9314</v>
      </c>
      <c r="B2041" s="28" t="s">
        <v>9314</v>
      </c>
      <c r="C2041" s="28" t="s">
        <v>8461</v>
      </c>
      <c r="D2041" s="117">
        <v>96</v>
      </c>
      <c r="E2041" s="122" t="s">
        <v>29</v>
      </c>
      <c r="F2041" s="120" t="s">
        <v>63</v>
      </c>
      <c r="G2041" s="29">
        <v>42225</v>
      </c>
      <c r="H2041" s="28" t="s">
        <v>9315</v>
      </c>
      <c r="I2041" s="114" t="s">
        <v>12400</v>
      </c>
      <c r="J2041" s="114" t="s">
        <v>12401</v>
      </c>
    </row>
    <row r="2042" spans="1:10" ht="20" customHeight="1" thickBot="1">
      <c r="A2042" s="26" t="s">
        <v>9318</v>
      </c>
      <c r="B2042" s="26" t="s">
        <v>9318</v>
      </c>
      <c r="C2042" s="26" t="s">
        <v>8461</v>
      </c>
      <c r="D2042" s="116">
        <v>96</v>
      </c>
      <c r="E2042" s="122" t="s">
        <v>29</v>
      </c>
      <c r="F2042" s="119" t="s">
        <v>63</v>
      </c>
      <c r="G2042" s="27">
        <v>42241</v>
      </c>
      <c r="H2042" s="26" t="s">
        <v>9319</v>
      </c>
      <c r="I2042" s="113" t="s">
        <v>12400</v>
      </c>
      <c r="J2042" s="113" t="s">
        <v>12401</v>
      </c>
    </row>
    <row r="2043" spans="1:10" ht="20" customHeight="1" thickBot="1">
      <c r="A2043" s="28" t="s">
        <v>9322</v>
      </c>
      <c r="B2043" s="28" t="s">
        <v>9322</v>
      </c>
      <c r="C2043" s="28" t="s">
        <v>8461</v>
      </c>
      <c r="D2043" s="117">
        <v>100</v>
      </c>
      <c r="E2043" s="122" t="s">
        <v>31</v>
      </c>
      <c r="F2043" s="120" t="s">
        <v>63</v>
      </c>
      <c r="G2043" s="29">
        <v>41691</v>
      </c>
      <c r="H2043" s="28" t="s">
        <v>9323</v>
      </c>
      <c r="I2043" s="114" t="s">
        <v>12400</v>
      </c>
      <c r="J2043" s="114" t="s">
        <v>12401</v>
      </c>
    </row>
    <row r="2044" spans="1:10" ht="20" customHeight="1" thickBot="1">
      <c r="A2044" s="26" t="s">
        <v>9326</v>
      </c>
      <c r="B2044" s="26" t="s">
        <v>9326</v>
      </c>
      <c r="C2044" s="26" t="s">
        <v>8461</v>
      </c>
      <c r="D2044" s="116">
        <v>70</v>
      </c>
      <c r="E2044" s="122" t="s">
        <v>29</v>
      </c>
      <c r="F2044" s="119" t="s">
        <v>63</v>
      </c>
      <c r="G2044" s="27">
        <v>42251</v>
      </c>
      <c r="H2044" s="26" t="s">
        <v>9327</v>
      </c>
      <c r="I2044" s="113" t="s">
        <v>12400</v>
      </c>
      <c r="J2044" s="113" t="s">
        <v>12401</v>
      </c>
    </row>
    <row r="2045" spans="1:10" ht="20" customHeight="1" thickBot="1">
      <c r="A2045" s="28" t="s">
        <v>9330</v>
      </c>
      <c r="B2045" s="28" t="s">
        <v>9330</v>
      </c>
      <c r="C2045" s="28" t="s">
        <v>8461</v>
      </c>
      <c r="D2045" s="117">
        <v>120</v>
      </c>
      <c r="E2045" s="122" t="s">
        <v>29</v>
      </c>
      <c r="F2045" s="120" t="s">
        <v>63</v>
      </c>
      <c r="G2045" s="29">
        <v>42296</v>
      </c>
      <c r="H2045" s="28" t="s">
        <v>9331</v>
      </c>
      <c r="I2045" s="114" t="s">
        <v>12400</v>
      </c>
      <c r="J2045" s="114" t="s">
        <v>12401</v>
      </c>
    </row>
    <row r="2046" spans="1:10" ht="20" customHeight="1" thickBot="1">
      <c r="A2046" s="26" t="s">
        <v>9334</v>
      </c>
      <c r="B2046" s="26" t="s">
        <v>9334</v>
      </c>
      <c r="C2046" s="26" t="s">
        <v>8461</v>
      </c>
      <c r="D2046" s="116">
        <v>89</v>
      </c>
      <c r="E2046" s="122" t="s">
        <v>31</v>
      </c>
      <c r="F2046" s="119" t="s">
        <v>63</v>
      </c>
      <c r="G2046" s="27">
        <v>44605</v>
      </c>
      <c r="H2046" s="26" t="s">
        <v>9335</v>
      </c>
      <c r="I2046" s="113" t="s">
        <v>12400</v>
      </c>
      <c r="J2046" s="113" t="s">
        <v>12401</v>
      </c>
    </row>
    <row r="2047" spans="1:10" ht="20" customHeight="1" thickBot="1">
      <c r="A2047" s="28" t="s">
        <v>9338</v>
      </c>
      <c r="B2047" s="28" t="s">
        <v>9338</v>
      </c>
      <c r="C2047" s="28" t="s">
        <v>9339</v>
      </c>
      <c r="D2047" s="117">
        <v>29</v>
      </c>
      <c r="E2047" s="122" t="s">
        <v>31</v>
      </c>
      <c r="F2047" s="120" t="s">
        <v>63</v>
      </c>
      <c r="G2047" s="29">
        <v>45926</v>
      </c>
      <c r="H2047" s="28" t="s">
        <v>9340</v>
      </c>
      <c r="I2047" s="114" t="s">
        <v>12400</v>
      </c>
      <c r="J2047" s="114" t="s">
        <v>12401</v>
      </c>
    </row>
    <row r="2048" spans="1:10" ht="20" customHeight="1" thickBot="1">
      <c r="A2048" s="26" t="s">
        <v>9343</v>
      </c>
      <c r="B2048" s="26" t="s">
        <v>9343</v>
      </c>
      <c r="C2048" s="26" t="s">
        <v>9344</v>
      </c>
      <c r="D2048" s="116">
        <v>0</v>
      </c>
      <c r="E2048" s="122" t="s">
        <v>33</v>
      </c>
      <c r="F2048" s="119" t="s">
        <v>63</v>
      </c>
      <c r="G2048" s="27">
        <v>45386</v>
      </c>
      <c r="H2048" s="26" t="s">
        <v>9345</v>
      </c>
      <c r="I2048" s="113" t="s">
        <v>12400</v>
      </c>
      <c r="J2048" s="113" t="s">
        <v>12401</v>
      </c>
    </row>
    <row r="2049" spans="1:10" ht="20" customHeight="1" thickBot="1">
      <c r="A2049" s="28" t="s">
        <v>9348</v>
      </c>
      <c r="B2049" s="28" t="s">
        <v>9348</v>
      </c>
      <c r="C2049" s="28" t="s">
        <v>9349</v>
      </c>
      <c r="D2049" s="117">
        <v>6</v>
      </c>
      <c r="E2049" s="122" t="s">
        <v>27</v>
      </c>
      <c r="F2049" s="120" t="s">
        <v>63</v>
      </c>
      <c r="G2049" s="29">
        <v>42315</v>
      </c>
      <c r="H2049" s="28" t="s">
        <v>9350</v>
      </c>
      <c r="I2049" s="114" t="s">
        <v>12400</v>
      </c>
      <c r="J2049" s="114" t="s">
        <v>12401</v>
      </c>
    </row>
    <row r="2050" spans="1:10" ht="20" customHeight="1" thickBot="1">
      <c r="A2050" s="26" t="s">
        <v>9353</v>
      </c>
      <c r="B2050" s="26" t="s">
        <v>9353</v>
      </c>
      <c r="C2050" s="26" t="s">
        <v>5375</v>
      </c>
      <c r="D2050" s="116">
        <v>32</v>
      </c>
      <c r="E2050" s="122" t="s">
        <v>31</v>
      </c>
      <c r="F2050" s="119" t="s">
        <v>63</v>
      </c>
      <c r="G2050" s="27">
        <v>44189</v>
      </c>
      <c r="H2050" s="26" t="s">
        <v>9354</v>
      </c>
      <c r="I2050" s="113" t="s">
        <v>12400</v>
      </c>
      <c r="J2050" s="113" t="s">
        <v>12401</v>
      </c>
    </row>
    <row r="2051" spans="1:10" ht="20" customHeight="1" thickBot="1">
      <c r="A2051" s="28" t="s">
        <v>9357</v>
      </c>
      <c r="B2051" s="28" t="s">
        <v>9357</v>
      </c>
      <c r="C2051" s="28" t="s">
        <v>9358</v>
      </c>
      <c r="D2051" s="117">
        <v>5</v>
      </c>
      <c r="E2051" s="122" t="s">
        <v>29</v>
      </c>
      <c r="F2051" s="120" t="s">
        <v>63</v>
      </c>
      <c r="G2051" s="29">
        <v>42425</v>
      </c>
      <c r="H2051" s="28" t="s">
        <v>9359</v>
      </c>
      <c r="I2051" s="114" t="s">
        <v>12400</v>
      </c>
      <c r="J2051" s="114" t="s">
        <v>12401</v>
      </c>
    </row>
    <row r="2052" spans="1:10" ht="20" customHeight="1" thickBot="1">
      <c r="A2052" s="26" t="s">
        <v>9362</v>
      </c>
      <c r="B2052" s="26" t="s">
        <v>9362</v>
      </c>
      <c r="C2052" s="26" t="s">
        <v>9363</v>
      </c>
      <c r="D2052" s="116">
        <v>52</v>
      </c>
      <c r="E2052" s="122" t="s">
        <v>29</v>
      </c>
      <c r="F2052" s="119" t="s">
        <v>63</v>
      </c>
      <c r="G2052" s="27">
        <v>46102</v>
      </c>
      <c r="H2052" s="26" t="s">
        <v>9364</v>
      </c>
      <c r="I2052" s="113" t="s">
        <v>12400</v>
      </c>
      <c r="J2052" s="113" t="s">
        <v>12401</v>
      </c>
    </row>
    <row r="2053" spans="1:10" ht="20" customHeight="1" thickBot="1">
      <c r="A2053" s="28" t="s">
        <v>9367</v>
      </c>
      <c r="B2053" s="28" t="s">
        <v>9367</v>
      </c>
      <c r="C2053" s="28" t="s">
        <v>9368</v>
      </c>
      <c r="D2053" s="117">
        <v>1</v>
      </c>
      <c r="E2053" s="122" t="s">
        <v>33</v>
      </c>
      <c r="F2053" s="120" t="s">
        <v>57</v>
      </c>
      <c r="G2053" s="29">
        <v>44302</v>
      </c>
      <c r="H2053" s="28" t="s">
        <v>9369</v>
      </c>
      <c r="I2053" s="114" t="s">
        <v>12400</v>
      </c>
      <c r="J2053" s="114" t="s">
        <v>12401</v>
      </c>
    </row>
    <row r="2054" spans="1:10" ht="20" customHeight="1" thickBot="1">
      <c r="A2054" s="26" t="s">
        <v>9372</v>
      </c>
      <c r="B2054" s="26" t="s">
        <v>9372</v>
      </c>
      <c r="C2054" s="26" t="s">
        <v>9368</v>
      </c>
      <c r="D2054" s="116">
        <v>1</v>
      </c>
      <c r="E2054" s="122" t="s">
        <v>34</v>
      </c>
      <c r="F2054" s="119" t="s">
        <v>57</v>
      </c>
      <c r="G2054" s="27">
        <v>44378</v>
      </c>
      <c r="H2054" s="26" t="s">
        <v>9373</v>
      </c>
      <c r="I2054" s="113" t="s">
        <v>12400</v>
      </c>
      <c r="J2054" s="113" t="s">
        <v>12401</v>
      </c>
    </row>
    <row r="2055" spans="1:10" ht="20" customHeight="1" thickBot="1">
      <c r="A2055" s="28" t="s">
        <v>9376</v>
      </c>
      <c r="B2055" s="28" t="s">
        <v>9376</v>
      </c>
      <c r="C2055" s="28" t="s">
        <v>7507</v>
      </c>
      <c r="D2055" s="117">
        <v>1</v>
      </c>
      <c r="E2055" s="122" t="s">
        <v>34</v>
      </c>
      <c r="F2055" s="120" t="s">
        <v>89</v>
      </c>
      <c r="G2055" s="29">
        <v>43459</v>
      </c>
      <c r="H2055" s="28" t="s">
        <v>9377</v>
      </c>
      <c r="I2055" s="114" t="s">
        <v>12400</v>
      </c>
      <c r="J2055" s="114" t="s">
        <v>12401</v>
      </c>
    </row>
    <row r="2056" spans="1:10" ht="20" customHeight="1" thickBot="1">
      <c r="A2056" s="26" t="s">
        <v>9380</v>
      </c>
      <c r="B2056" s="26" t="s">
        <v>9380</v>
      </c>
      <c r="C2056" s="26" t="s">
        <v>9381</v>
      </c>
      <c r="D2056" s="116">
        <v>6</v>
      </c>
      <c r="E2056" s="122" t="s">
        <v>29</v>
      </c>
      <c r="F2056" s="119" t="s">
        <v>63</v>
      </c>
      <c r="G2056" s="27">
        <v>42217</v>
      </c>
      <c r="H2056" s="26" t="s">
        <v>9382</v>
      </c>
      <c r="I2056" s="113" t="s">
        <v>12400</v>
      </c>
      <c r="J2056" s="113" t="s">
        <v>12401</v>
      </c>
    </row>
    <row r="2057" spans="1:10" ht="20" customHeight="1" thickBot="1">
      <c r="A2057" s="28" t="s">
        <v>9385</v>
      </c>
      <c r="B2057" s="28" t="s">
        <v>9385</v>
      </c>
      <c r="C2057" s="28" t="s">
        <v>738</v>
      </c>
      <c r="D2057" s="117">
        <v>13</v>
      </c>
      <c r="E2057" s="122" t="s">
        <v>29</v>
      </c>
      <c r="F2057" s="120" t="s">
        <v>63</v>
      </c>
      <c r="G2057" s="29">
        <v>42427</v>
      </c>
      <c r="H2057" s="28" t="s">
        <v>9386</v>
      </c>
      <c r="I2057" s="114" t="s">
        <v>12400</v>
      </c>
      <c r="J2057" s="114" t="s">
        <v>12401</v>
      </c>
    </row>
    <row r="2058" spans="1:10" ht="20" customHeight="1" thickBot="1">
      <c r="A2058" s="26" t="s">
        <v>9389</v>
      </c>
      <c r="B2058" s="26" t="s">
        <v>9389</v>
      </c>
      <c r="C2058" s="26" t="s">
        <v>1306</v>
      </c>
      <c r="D2058" s="116">
        <v>90</v>
      </c>
      <c r="E2058" s="122" t="s">
        <v>33</v>
      </c>
      <c r="F2058" s="119" t="s">
        <v>63</v>
      </c>
      <c r="G2058" s="27">
        <v>45491</v>
      </c>
      <c r="H2058" s="26" t="s">
        <v>9390</v>
      </c>
      <c r="I2058" s="113" t="s">
        <v>12400</v>
      </c>
      <c r="J2058" s="113" t="s">
        <v>12401</v>
      </c>
    </row>
    <row r="2059" spans="1:10" ht="20" customHeight="1" thickBot="1">
      <c r="A2059" s="28" t="s">
        <v>9393</v>
      </c>
      <c r="B2059" s="28" t="s">
        <v>9393</v>
      </c>
      <c r="C2059" s="28" t="s">
        <v>1306</v>
      </c>
      <c r="D2059" s="117">
        <v>111</v>
      </c>
      <c r="E2059" s="122" t="s">
        <v>34</v>
      </c>
      <c r="F2059" s="120" t="s">
        <v>63</v>
      </c>
      <c r="G2059" s="29">
        <v>45895</v>
      </c>
      <c r="H2059" s="28" t="s">
        <v>9394</v>
      </c>
      <c r="I2059" s="114" t="s">
        <v>12400</v>
      </c>
      <c r="J2059" s="114" t="s">
        <v>12401</v>
      </c>
    </row>
    <row r="2060" spans="1:10" ht="20" customHeight="1" thickBot="1">
      <c r="A2060" s="26" t="s">
        <v>9397</v>
      </c>
      <c r="B2060" s="26" t="s">
        <v>9397</v>
      </c>
      <c r="C2060" s="26" t="s">
        <v>9398</v>
      </c>
      <c r="D2060" s="116">
        <v>8</v>
      </c>
      <c r="E2060" s="122" t="s">
        <v>29</v>
      </c>
      <c r="F2060" s="119" t="s">
        <v>63</v>
      </c>
      <c r="G2060" s="27">
        <v>44528</v>
      </c>
      <c r="H2060" s="26" t="s">
        <v>9399</v>
      </c>
      <c r="I2060" s="113" t="s">
        <v>12400</v>
      </c>
      <c r="J2060" s="113" t="s">
        <v>12401</v>
      </c>
    </row>
    <row r="2061" spans="1:10" ht="20" customHeight="1" thickBot="1">
      <c r="A2061" s="28" t="s">
        <v>9402</v>
      </c>
      <c r="B2061" s="28" t="s">
        <v>9402</v>
      </c>
      <c r="C2061" s="28" t="s">
        <v>7358</v>
      </c>
      <c r="D2061" s="117">
        <v>5</v>
      </c>
      <c r="E2061" s="122" t="s">
        <v>27</v>
      </c>
      <c r="F2061" s="120" t="s">
        <v>63</v>
      </c>
      <c r="G2061" s="29">
        <v>42130</v>
      </c>
      <c r="H2061" s="28" t="s">
        <v>9403</v>
      </c>
      <c r="I2061" s="114" t="s">
        <v>12400</v>
      </c>
      <c r="J2061" s="114" t="s">
        <v>12401</v>
      </c>
    </row>
    <row r="2062" spans="1:10" ht="20" customHeight="1" thickBot="1">
      <c r="A2062" s="26" t="s">
        <v>9406</v>
      </c>
      <c r="B2062" s="26" t="s">
        <v>9406</v>
      </c>
      <c r="C2062" s="26" t="s">
        <v>307</v>
      </c>
      <c r="D2062" s="116">
        <v>6</v>
      </c>
      <c r="E2062" s="122" t="s">
        <v>27</v>
      </c>
      <c r="F2062" s="119" t="s">
        <v>63</v>
      </c>
      <c r="G2062" s="27">
        <v>41542</v>
      </c>
      <c r="H2062" s="26" t="s">
        <v>9407</v>
      </c>
      <c r="I2062" s="113" t="s">
        <v>12400</v>
      </c>
      <c r="J2062" s="113" t="s">
        <v>12401</v>
      </c>
    </row>
    <row r="2063" spans="1:10" ht="20" customHeight="1" thickBot="1">
      <c r="A2063" s="28" t="s">
        <v>9410</v>
      </c>
      <c r="B2063" s="28" t="s">
        <v>9410</v>
      </c>
      <c r="C2063" s="28" t="s">
        <v>9411</v>
      </c>
      <c r="D2063" s="117">
        <v>50</v>
      </c>
      <c r="E2063" s="122" t="s">
        <v>29</v>
      </c>
      <c r="F2063" s="120" t="s">
        <v>63</v>
      </c>
      <c r="G2063" s="29">
        <v>44071</v>
      </c>
      <c r="H2063" s="28" t="s">
        <v>9412</v>
      </c>
      <c r="I2063" s="114" t="s">
        <v>12400</v>
      </c>
      <c r="J2063" s="114" t="s">
        <v>12401</v>
      </c>
    </row>
    <row r="2064" spans="1:10" ht="20" customHeight="1" thickBot="1">
      <c r="A2064" s="26" t="s">
        <v>9415</v>
      </c>
      <c r="B2064" s="26" t="s">
        <v>9415</v>
      </c>
      <c r="C2064" s="26" t="s">
        <v>9411</v>
      </c>
      <c r="D2064" s="116">
        <v>69</v>
      </c>
      <c r="E2064" s="122" t="s">
        <v>31</v>
      </c>
      <c r="F2064" s="119" t="s">
        <v>63</v>
      </c>
      <c r="G2064" s="27">
        <v>44418</v>
      </c>
      <c r="H2064" s="26" t="s">
        <v>9416</v>
      </c>
      <c r="I2064" s="113" t="s">
        <v>12400</v>
      </c>
      <c r="J2064" s="113" t="s">
        <v>12401</v>
      </c>
    </row>
    <row r="2065" spans="1:10" ht="20" customHeight="1" thickBot="1">
      <c r="A2065" s="28" t="s">
        <v>9419</v>
      </c>
      <c r="B2065" s="28" t="s">
        <v>9419</v>
      </c>
      <c r="C2065" s="28" t="s">
        <v>9411</v>
      </c>
      <c r="D2065" s="117">
        <v>94</v>
      </c>
      <c r="E2065" s="122" t="s">
        <v>31</v>
      </c>
      <c r="F2065" s="120" t="s">
        <v>63</v>
      </c>
      <c r="G2065" s="29">
        <v>44505</v>
      </c>
      <c r="H2065" s="28" t="s">
        <v>9420</v>
      </c>
      <c r="I2065" s="114" t="s">
        <v>12400</v>
      </c>
      <c r="J2065" s="114" t="s">
        <v>12401</v>
      </c>
    </row>
    <row r="2066" spans="1:10" ht="20" customHeight="1" thickBot="1">
      <c r="A2066" s="26" t="s">
        <v>9423</v>
      </c>
      <c r="B2066" s="26" t="s">
        <v>9423</v>
      </c>
      <c r="C2066" s="26" t="s">
        <v>243</v>
      </c>
      <c r="D2066" s="116">
        <v>34</v>
      </c>
      <c r="E2066" s="122" t="s">
        <v>31</v>
      </c>
      <c r="F2066" s="119" t="s">
        <v>63</v>
      </c>
      <c r="G2066" s="27">
        <v>45891</v>
      </c>
      <c r="H2066" s="26" t="s">
        <v>9424</v>
      </c>
      <c r="I2066" s="113" t="s">
        <v>12400</v>
      </c>
      <c r="J2066" s="113" t="s">
        <v>12401</v>
      </c>
    </row>
    <row r="2067" spans="1:10" ht="20" customHeight="1" thickBot="1">
      <c r="A2067" s="28" t="s">
        <v>9427</v>
      </c>
      <c r="B2067" s="28" t="s">
        <v>9427</v>
      </c>
      <c r="C2067" s="28" t="s">
        <v>8498</v>
      </c>
      <c r="D2067" s="117">
        <v>7</v>
      </c>
      <c r="E2067" s="122" t="s">
        <v>31</v>
      </c>
      <c r="F2067" s="120" t="s">
        <v>63</v>
      </c>
      <c r="G2067" s="29">
        <v>41681</v>
      </c>
      <c r="H2067" s="28" t="s">
        <v>9428</v>
      </c>
      <c r="I2067" s="114" t="s">
        <v>12400</v>
      </c>
      <c r="J2067" s="114" t="s">
        <v>12401</v>
      </c>
    </row>
    <row r="2068" spans="1:10" ht="20" customHeight="1" thickBot="1">
      <c r="A2068" s="26" t="s">
        <v>9431</v>
      </c>
      <c r="B2068" s="26" t="s">
        <v>9431</v>
      </c>
      <c r="C2068" s="26" t="s">
        <v>2483</v>
      </c>
      <c r="D2068" s="116">
        <v>10</v>
      </c>
      <c r="E2068" s="122" t="s">
        <v>29</v>
      </c>
      <c r="F2068" s="119" t="s">
        <v>63</v>
      </c>
      <c r="G2068" s="27">
        <v>43347</v>
      </c>
      <c r="H2068" s="26" t="s">
        <v>9432</v>
      </c>
      <c r="I2068" s="113" t="s">
        <v>12400</v>
      </c>
      <c r="J2068" s="113" t="s">
        <v>12401</v>
      </c>
    </row>
    <row r="2069" spans="1:10" ht="20" customHeight="1" thickBot="1">
      <c r="A2069" s="28" t="s">
        <v>9435</v>
      </c>
      <c r="B2069" s="28" t="s">
        <v>9435</v>
      </c>
      <c r="C2069" s="28" t="s">
        <v>6168</v>
      </c>
      <c r="D2069" s="117">
        <v>5</v>
      </c>
      <c r="E2069" s="122" t="s">
        <v>29</v>
      </c>
      <c r="F2069" s="120" t="s">
        <v>63</v>
      </c>
      <c r="G2069" s="29">
        <v>42504</v>
      </c>
      <c r="H2069" s="28" t="s">
        <v>9436</v>
      </c>
      <c r="I2069" s="114" t="s">
        <v>12400</v>
      </c>
      <c r="J2069" s="114" t="s">
        <v>12401</v>
      </c>
    </row>
    <row r="2070" spans="1:10" ht="20" customHeight="1" thickBot="1">
      <c r="A2070" s="26" t="s">
        <v>9439</v>
      </c>
      <c r="B2070" s="26" t="s">
        <v>9439</v>
      </c>
      <c r="C2070" s="26" t="s">
        <v>9440</v>
      </c>
      <c r="D2070" s="116">
        <v>8</v>
      </c>
      <c r="E2070" s="122" t="s">
        <v>29</v>
      </c>
      <c r="F2070" s="119" t="s">
        <v>63</v>
      </c>
      <c r="G2070" s="27">
        <v>41724</v>
      </c>
      <c r="H2070" s="26" t="s">
        <v>9441</v>
      </c>
      <c r="I2070" s="113" t="s">
        <v>12400</v>
      </c>
      <c r="J2070" s="113" t="s">
        <v>12401</v>
      </c>
    </row>
    <row r="2071" spans="1:10" ht="20" customHeight="1" thickBot="1">
      <c r="A2071" s="28" t="s">
        <v>9444</v>
      </c>
      <c r="B2071" s="28" t="s">
        <v>9444</v>
      </c>
      <c r="C2071" s="28" t="s">
        <v>504</v>
      </c>
      <c r="D2071" s="117">
        <v>82</v>
      </c>
      <c r="E2071" s="122" t="s">
        <v>29</v>
      </c>
      <c r="F2071" s="120" t="s">
        <v>63</v>
      </c>
      <c r="G2071" s="29">
        <v>42195</v>
      </c>
      <c r="H2071" s="28" t="s">
        <v>9445</v>
      </c>
      <c r="I2071" s="114" t="s">
        <v>12400</v>
      </c>
      <c r="J2071" s="114" t="s">
        <v>12401</v>
      </c>
    </row>
    <row r="2072" spans="1:10" ht="20" customHeight="1" thickBot="1">
      <c r="A2072" s="26" t="s">
        <v>9448</v>
      </c>
      <c r="B2072" s="26" t="s">
        <v>9448</v>
      </c>
      <c r="C2072" s="26" t="s">
        <v>504</v>
      </c>
      <c r="D2072" s="116">
        <v>102</v>
      </c>
      <c r="E2072" s="122" t="s">
        <v>29</v>
      </c>
      <c r="F2072" s="119" t="s">
        <v>63</v>
      </c>
      <c r="G2072" s="27">
        <v>45069</v>
      </c>
      <c r="H2072" s="26" t="s">
        <v>9449</v>
      </c>
      <c r="I2072" s="113" t="s">
        <v>12400</v>
      </c>
      <c r="J2072" s="113" t="s">
        <v>12401</v>
      </c>
    </row>
    <row r="2073" spans="1:10" ht="20" customHeight="1" thickBot="1">
      <c r="A2073" s="28" t="s">
        <v>9452</v>
      </c>
      <c r="B2073" s="28" t="s">
        <v>9452</v>
      </c>
      <c r="C2073" s="28" t="s">
        <v>9453</v>
      </c>
      <c r="D2073" s="117">
        <v>7</v>
      </c>
      <c r="E2073" s="122" t="s">
        <v>27</v>
      </c>
      <c r="F2073" s="120" t="s">
        <v>63</v>
      </c>
      <c r="G2073" s="29">
        <v>42270</v>
      </c>
      <c r="H2073" s="28" t="s">
        <v>9454</v>
      </c>
      <c r="I2073" s="114" t="s">
        <v>12400</v>
      </c>
      <c r="J2073" s="114" t="s">
        <v>12401</v>
      </c>
    </row>
    <row r="2074" spans="1:10" ht="20" customHeight="1" thickBot="1">
      <c r="A2074" s="26" t="s">
        <v>9457</v>
      </c>
      <c r="B2074" s="26" t="s">
        <v>9457</v>
      </c>
      <c r="C2074" s="26" t="s">
        <v>9458</v>
      </c>
      <c r="D2074" s="116">
        <v>11</v>
      </c>
      <c r="E2074" s="122" t="s">
        <v>29</v>
      </c>
      <c r="F2074" s="119" t="s">
        <v>63</v>
      </c>
      <c r="G2074" s="27">
        <v>41548</v>
      </c>
      <c r="H2074" s="26" t="s">
        <v>9459</v>
      </c>
      <c r="I2074" s="113" t="s">
        <v>12400</v>
      </c>
      <c r="J2074" s="113" t="s">
        <v>12401</v>
      </c>
    </row>
    <row r="2075" spans="1:10" ht="20" customHeight="1" thickBot="1">
      <c r="A2075" s="28" t="s">
        <v>9462</v>
      </c>
      <c r="B2075" s="28" t="s">
        <v>9462</v>
      </c>
      <c r="C2075" s="28" t="s">
        <v>930</v>
      </c>
      <c r="D2075" s="117">
        <v>28</v>
      </c>
      <c r="E2075" s="122" t="s">
        <v>29</v>
      </c>
      <c r="F2075" s="120" t="s">
        <v>63</v>
      </c>
      <c r="G2075" s="29">
        <v>43823</v>
      </c>
      <c r="H2075" s="28" t="s">
        <v>9463</v>
      </c>
      <c r="I2075" s="114" t="s">
        <v>12400</v>
      </c>
      <c r="J2075" s="114" t="s">
        <v>12401</v>
      </c>
    </row>
    <row r="2076" spans="1:10" ht="20" customHeight="1" thickBot="1">
      <c r="A2076" s="26" t="s">
        <v>9466</v>
      </c>
      <c r="B2076" s="26" t="s">
        <v>9466</v>
      </c>
      <c r="C2076" s="26" t="s">
        <v>9467</v>
      </c>
      <c r="D2076" s="116">
        <v>8</v>
      </c>
      <c r="E2076" s="122" t="s">
        <v>27</v>
      </c>
      <c r="F2076" s="119" t="s">
        <v>63</v>
      </c>
      <c r="G2076" s="27">
        <v>42257</v>
      </c>
      <c r="H2076" s="26" t="s">
        <v>9468</v>
      </c>
      <c r="I2076" s="113" t="s">
        <v>12400</v>
      </c>
      <c r="J2076" s="113" t="s">
        <v>12401</v>
      </c>
    </row>
    <row r="2077" spans="1:10" ht="20" customHeight="1" thickBot="1">
      <c r="A2077" s="28" t="s">
        <v>9471</v>
      </c>
      <c r="B2077" s="28" t="s">
        <v>9471</v>
      </c>
      <c r="C2077" s="28" t="s">
        <v>4217</v>
      </c>
      <c r="D2077" s="117">
        <v>36</v>
      </c>
      <c r="E2077" s="122" t="s">
        <v>29</v>
      </c>
      <c r="F2077" s="120" t="s">
        <v>63</v>
      </c>
      <c r="G2077" s="29">
        <v>44768</v>
      </c>
      <c r="H2077" s="28" t="s">
        <v>9472</v>
      </c>
      <c r="I2077" s="114" t="s">
        <v>12400</v>
      </c>
      <c r="J2077" s="114" t="s">
        <v>12401</v>
      </c>
    </row>
    <row r="2078" spans="1:10" ht="20" customHeight="1" thickBot="1">
      <c r="A2078" s="26" t="s">
        <v>9475</v>
      </c>
      <c r="B2078" s="26" t="s">
        <v>9475</v>
      </c>
      <c r="C2078" s="26" t="s">
        <v>9476</v>
      </c>
      <c r="D2078" s="116">
        <v>6</v>
      </c>
      <c r="E2078" s="122" t="s">
        <v>29</v>
      </c>
      <c r="F2078" s="119" t="s">
        <v>63</v>
      </c>
      <c r="G2078" s="27">
        <v>44819</v>
      </c>
      <c r="H2078" s="26" t="s">
        <v>9477</v>
      </c>
      <c r="I2078" s="113" t="s">
        <v>12400</v>
      </c>
      <c r="J2078" s="113" t="s">
        <v>12401</v>
      </c>
    </row>
    <row r="2079" spans="1:10" ht="20" customHeight="1" thickBot="1">
      <c r="A2079" s="28" t="s">
        <v>9480</v>
      </c>
      <c r="B2079" s="28" t="s">
        <v>9480</v>
      </c>
      <c r="C2079" s="28" t="s">
        <v>9481</v>
      </c>
      <c r="D2079" s="117">
        <v>3</v>
      </c>
      <c r="E2079" s="122" t="s">
        <v>33</v>
      </c>
      <c r="F2079" s="120" t="s">
        <v>571</v>
      </c>
      <c r="G2079" s="29">
        <v>42298</v>
      </c>
      <c r="H2079" s="28" t="s">
        <v>9482</v>
      </c>
      <c r="I2079" s="114" t="s">
        <v>12400</v>
      </c>
      <c r="J2079" s="114" t="s">
        <v>12401</v>
      </c>
    </row>
    <row r="2080" spans="1:10" ht="20" customHeight="1" thickBot="1">
      <c r="A2080" s="26" t="s">
        <v>9485</v>
      </c>
      <c r="B2080" s="26" t="s">
        <v>9485</v>
      </c>
      <c r="C2080" s="26" t="s">
        <v>9486</v>
      </c>
      <c r="D2080" s="116">
        <v>3</v>
      </c>
      <c r="E2080" s="122" t="s">
        <v>31</v>
      </c>
      <c r="F2080" s="119" t="s">
        <v>63</v>
      </c>
      <c r="G2080" s="27">
        <v>42398</v>
      </c>
      <c r="H2080" s="26" t="s">
        <v>9487</v>
      </c>
      <c r="I2080" s="113" t="s">
        <v>12400</v>
      </c>
      <c r="J2080" s="113" t="s">
        <v>12401</v>
      </c>
    </row>
    <row r="2081" spans="1:10" ht="20" customHeight="1" thickBot="1">
      <c r="A2081" s="28" t="s">
        <v>9490</v>
      </c>
      <c r="B2081" s="28" t="s">
        <v>9490</v>
      </c>
      <c r="C2081" s="28" t="s">
        <v>1646</v>
      </c>
      <c r="D2081" s="117">
        <v>7</v>
      </c>
      <c r="E2081" s="122" t="s">
        <v>27</v>
      </c>
      <c r="F2081" s="120" t="s">
        <v>63</v>
      </c>
      <c r="G2081" s="29">
        <v>42279</v>
      </c>
      <c r="H2081" s="28" t="s">
        <v>9491</v>
      </c>
      <c r="I2081" s="114" t="s">
        <v>12400</v>
      </c>
      <c r="J2081" s="114" t="s">
        <v>12401</v>
      </c>
    </row>
    <row r="2082" spans="1:10" ht="20" customHeight="1" thickBot="1">
      <c r="A2082" s="26" t="s">
        <v>9494</v>
      </c>
      <c r="B2082" s="26" t="s">
        <v>9494</v>
      </c>
      <c r="C2082" s="26" t="s">
        <v>5574</v>
      </c>
      <c r="D2082" s="116">
        <v>5</v>
      </c>
      <c r="E2082" s="122" t="s">
        <v>27</v>
      </c>
      <c r="F2082" s="119" t="s">
        <v>63</v>
      </c>
      <c r="G2082" s="27">
        <v>42223</v>
      </c>
      <c r="H2082" s="26" t="s">
        <v>9495</v>
      </c>
      <c r="I2082" s="113" t="s">
        <v>12400</v>
      </c>
      <c r="J2082" s="113" t="s">
        <v>12401</v>
      </c>
    </row>
    <row r="2083" spans="1:10" ht="20" customHeight="1" thickBot="1">
      <c r="A2083" s="28" t="s">
        <v>9498</v>
      </c>
      <c r="B2083" s="28" t="s">
        <v>9498</v>
      </c>
      <c r="C2083" s="28" t="s">
        <v>9499</v>
      </c>
      <c r="D2083" s="117">
        <v>8</v>
      </c>
      <c r="E2083" s="122" t="s">
        <v>27</v>
      </c>
      <c r="F2083" s="120" t="s">
        <v>63</v>
      </c>
      <c r="G2083" s="29">
        <v>42066</v>
      </c>
      <c r="H2083" s="28" t="s">
        <v>9500</v>
      </c>
      <c r="I2083" s="114" t="s">
        <v>12400</v>
      </c>
      <c r="J2083" s="114" t="s">
        <v>12401</v>
      </c>
    </row>
    <row r="2084" spans="1:10" ht="20" customHeight="1" thickBot="1">
      <c r="A2084" s="26" t="s">
        <v>9503</v>
      </c>
      <c r="B2084" s="26" t="s">
        <v>9503</v>
      </c>
      <c r="C2084" s="26" t="s">
        <v>9504</v>
      </c>
      <c r="D2084" s="116">
        <v>6</v>
      </c>
      <c r="E2084" s="122" t="s">
        <v>27</v>
      </c>
      <c r="F2084" s="119" t="s">
        <v>63</v>
      </c>
      <c r="G2084" s="27">
        <v>42066</v>
      </c>
      <c r="H2084" s="26" t="s">
        <v>9505</v>
      </c>
      <c r="I2084" s="113" t="s">
        <v>12400</v>
      </c>
      <c r="J2084" s="113" t="s">
        <v>12401</v>
      </c>
    </row>
    <row r="2085" spans="1:10" ht="20" customHeight="1" thickBot="1">
      <c r="A2085" s="28" t="s">
        <v>9508</v>
      </c>
      <c r="B2085" s="28" t="s">
        <v>9508</v>
      </c>
      <c r="C2085" s="28" t="s">
        <v>7358</v>
      </c>
      <c r="D2085" s="117">
        <v>6</v>
      </c>
      <c r="E2085" s="122" t="s">
        <v>27</v>
      </c>
      <c r="F2085" s="120" t="s">
        <v>63</v>
      </c>
      <c r="G2085" s="29">
        <v>41744</v>
      </c>
      <c r="H2085" s="28" t="s">
        <v>9509</v>
      </c>
      <c r="I2085" s="114" t="s">
        <v>12400</v>
      </c>
      <c r="J2085" s="114" t="s">
        <v>12401</v>
      </c>
    </row>
    <row r="2086" spans="1:10" ht="20" customHeight="1" thickBot="1">
      <c r="A2086" s="26" t="s">
        <v>9512</v>
      </c>
      <c r="B2086" s="26" t="s">
        <v>9512</v>
      </c>
      <c r="C2086" s="26" t="s">
        <v>504</v>
      </c>
      <c r="D2086" s="116">
        <v>43</v>
      </c>
      <c r="E2086" s="122" t="s">
        <v>29</v>
      </c>
      <c r="F2086" s="119" t="s">
        <v>63</v>
      </c>
      <c r="G2086" s="27">
        <v>45848</v>
      </c>
      <c r="H2086" s="26" t="s">
        <v>9513</v>
      </c>
      <c r="I2086" s="113" t="s">
        <v>12400</v>
      </c>
      <c r="J2086" s="113" t="s">
        <v>12401</v>
      </c>
    </row>
    <row r="2087" spans="1:10" ht="20" customHeight="1" thickBot="1">
      <c r="A2087" s="28" t="s">
        <v>9516</v>
      </c>
      <c r="B2087" s="28" t="s">
        <v>9516</v>
      </c>
      <c r="C2087" s="28" t="s">
        <v>2979</v>
      </c>
      <c r="D2087" s="117">
        <v>7</v>
      </c>
      <c r="E2087" s="122" t="s">
        <v>27</v>
      </c>
      <c r="F2087" s="120" t="s">
        <v>63</v>
      </c>
      <c r="G2087" s="29">
        <v>42275</v>
      </c>
      <c r="H2087" s="28" t="s">
        <v>9517</v>
      </c>
      <c r="I2087" s="114" t="s">
        <v>12400</v>
      </c>
      <c r="J2087" s="114" t="s">
        <v>12401</v>
      </c>
    </row>
    <row r="2088" spans="1:10" ht="20" customHeight="1" thickBot="1">
      <c r="A2088" s="26" t="s">
        <v>9520</v>
      </c>
      <c r="B2088" s="26" t="s">
        <v>9520</v>
      </c>
      <c r="C2088" s="26" t="s">
        <v>9521</v>
      </c>
      <c r="D2088" s="116">
        <v>6</v>
      </c>
      <c r="E2088" s="122" t="s">
        <v>29</v>
      </c>
      <c r="F2088" s="119" t="s">
        <v>63</v>
      </c>
      <c r="G2088" s="27">
        <v>41490</v>
      </c>
      <c r="H2088" s="26" t="s">
        <v>9522</v>
      </c>
      <c r="I2088" s="113" t="s">
        <v>12400</v>
      </c>
      <c r="J2088" s="113" t="s">
        <v>12401</v>
      </c>
    </row>
    <row r="2089" spans="1:10" ht="20" customHeight="1" thickBot="1">
      <c r="A2089" s="28" t="s">
        <v>9525</v>
      </c>
      <c r="B2089" s="28" t="s">
        <v>9525</v>
      </c>
      <c r="C2089" s="28" t="s">
        <v>9411</v>
      </c>
      <c r="D2089" s="117">
        <v>29</v>
      </c>
      <c r="E2089" s="122" t="s">
        <v>31</v>
      </c>
      <c r="F2089" s="120" t="s">
        <v>63</v>
      </c>
      <c r="G2089" s="29">
        <v>44169</v>
      </c>
      <c r="H2089" s="28" t="s">
        <v>9526</v>
      </c>
      <c r="I2089" s="114" t="s">
        <v>12400</v>
      </c>
      <c r="J2089" s="114" t="s">
        <v>12401</v>
      </c>
    </row>
    <row r="2090" spans="1:10" ht="20" customHeight="1" thickBot="1">
      <c r="A2090" s="26" t="s">
        <v>9529</v>
      </c>
      <c r="B2090" s="26" t="s">
        <v>9529</v>
      </c>
      <c r="C2090" s="26" t="s">
        <v>9530</v>
      </c>
      <c r="D2090" s="116">
        <v>59</v>
      </c>
      <c r="E2090" s="122" t="s">
        <v>29</v>
      </c>
      <c r="F2090" s="119" t="s">
        <v>63</v>
      </c>
      <c r="G2090" s="27">
        <v>41449</v>
      </c>
      <c r="H2090" s="26" t="s">
        <v>9531</v>
      </c>
      <c r="I2090" s="113" t="s">
        <v>12400</v>
      </c>
      <c r="J2090" s="113" t="s">
        <v>12401</v>
      </c>
    </row>
    <row r="2091" spans="1:10" ht="20" customHeight="1" thickBot="1">
      <c r="A2091" s="28" t="s">
        <v>9534</v>
      </c>
      <c r="B2091" s="28" t="s">
        <v>9534</v>
      </c>
      <c r="C2091" s="28" t="s">
        <v>9535</v>
      </c>
      <c r="D2091" s="117">
        <v>92</v>
      </c>
      <c r="E2091" s="122" t="s">
        <v>29</v>
      </c>
      <c r="F2091" s="120" t="s">
        <v>63</v>
      </c>
      <c r="G2091" s="29">
        <v>44836</v>
      </c>
      <c r="H2091" s="28" t="s">
        <v>9536</v>
      </c>
      <c r="I2091" s="114" t="s">
        <v>12400</v>
      </c>
      <c r="J2091" s="114" t="s">
        <v>12401</v>
      </c>
    </row>
    <row r="2092" spans="1:10" ht="20" customHeight="1" thickBot="1">
      <c r="A2092" s="26" t="s">
        <v>9539</v>
      </c>
      <c r="B2092" s="26" t="s">
        <v>9539</v>
      </c>
      <c r="C2092" s="26" t="s">
        <v>9535</v>
      </c>
      <c r="D2092" s="116">
        <v>29</v>
      </c>
      <c r="E2092" s="122" t="s">
        <v>29</v>
      </c>
      <c r="F2092" s="119" t="s">
        <v>63</v>
      </c>
      <c r="G2092" s="27">
        <v>44938</v>
      </c>
      <c r="H2092" s="26" t="s">
        <v>9540</v>
      </c>
      <c r="I2092" s="113" t="s">
        <v>12400</v>
      </c>
      <c r="J2092" s="113" t="s">
        <v>12401</v>
      </c>
    </row>
    <row r="2093" spans="1:10" ht="20" customHeight="1" thickBot="1">
      <c r="A2093" s="28" t="s">
        <v>9543</v>
      </c>
      <c r="B2093" s="28" t="s">
        <v>9543</v>
      </c>
      <c r="C2093" s="28" t="s">
        <v>9544</v>
      </c>
      <c r="D2093" s="117">
        <v>5</v>
      </c>
      <c r="E2093" s="122" t="s">
        <v>27</v>
      </c>
      <c r="F2093" s="120" t="s">
        <v>63</v>
      </c>
      <c r="G2093" s="29">
        <v>44703</v>
      </c>
      <c r="H2093" s="28" t="s">
        <v>9545</v>
      </c>
      <c r="I2093" s="114" t="s">
        <v>12400</v>
      </c>
      <c r="J2093" s="114" t="s">
        <v>12401</v>
      </c>
    </row>
    <row r="2094" spans="1:10" ht="20" customHeight="1" thickBot="1">
      <c r="A2094" s="26" t="s">
        <v>9548</v>
      </c>
      <c r="B2094" s="26" t="s">
        <v>9548</v>
      </c>
      <c r="C2094" s="26" t="s">
        <v>9549</v>
      </c>
      <c r="D2094" s="116">
        <v>28</v>
      </c>
      <c r="E2094" s="122" t="s">
        <v>29</v>
      </c>
      <c r="F2094" s="119" t="s">
        <v>63</v>
      </c>
      <c r="G2094" s="27">
        <v>41573</v>
      </c>
      <c r="H2094" s="26" t="s">
        <v>9550</v>
      </c>
      <c r="I2094" s="113" t="s">
        <v>12400</v>
      </c>
      <c r="J2094" s="113" t="s">
        <v>12401</v>
      </c>
    </row>
    <row r="2095" spans="1:10" ht="20" customHeight="1" thickBot="1">
      <c r="A2095" s="28" t="s">
        <v>9553</v>
      </c>
      <c r="B2095" s="28" t="s">
        <v>9553</v>
      </c>
      <c r="C2095" s="28" t="s">
        <v>9554</v>
      </c>
      <c r="D2095" s="117">
        <v>5</v>
      </c>
      <c r="E2095" s="122" t="s">
        <v>29</v>
      </c>
      <c r="F2095" s="120" t="s">
        <v>63</v>
      </c>
      <c r="G2095" s="29">
        <v>43971</v>
      </c>
      <c r="H2095" s="28" t="s">
        <v>9555</v>
      </c>
      <c r="I2095" s="114" t="s">
        <v>12400</v>
      </c>
      <c r="J2095" s="114" t="s">
        <v>12401</v>
      </c>
    </row>
    <row r="2096" spans="1:10" ht="20" customHeight="1" thickBot="1">
      <c r="A2096" s="26" t="s">
        <v>9558</v>
      </c>
      <c r="B2096" s="26" t="s">
        <v>9558</v>
      </c>
      <c r="C2096" s="26" t="s">
        <v>243</v>
      </c>
      <c r="D2096" s="116">
        <v>24</v>
      </c>
      <c r="E2096" s="122" t="s">
        <v>29</v>
      </c>
      <c r="F2096" s="119" t="s">
        <v>63</v>
      </c>
      <c r="G2096" s="27">
        <v>45704</v>
      </c>
      <c r="H2096" s="26" t="s">
        <v>9559</v>
      </c>
      <c r="I2096" s="113" t="s">
        <v>12400</v>
      </c>
      <c r="J2096" s="113" t="s">
        <v>12401</v>
      </c>
    </row>
    <row r="2097" spans="1:10" ht="20" customHeight="1" thickBot="1">
      <c r="A2097" s="28" t="s">
        <v>9562</v>
      </c>
      <c r="B2097" s="28" t="s">
        <v>9562</v>
      </c>
      <c r="C2097" s="28" t="s">
        <v>9563</v>
      </c>
      <c r="D2097" s="117">
        <v>7</v>
      </c>
      <c r="E2097" s="122" t="s">
        <v>27</v>
      </c>
      <c r="F2097" s="120" t="s">
        <v>63</v>
      </c>
      <c r="G2097" s="29">
        <v>42073</v>
      </c>
      <c r="H2097" s="28" t="s">
        <v>9564</v>
      </c>
      <c r="I2097" s="114" t="s">
        <v>12400</v>
      </c>
      <c r="J2097" s="114" t="s">
        <v>12401</v>
      </c>
    </row>
    <row r="2098" spans="1:10" ht="20" customHeight="1" thickBot="1">
      <c r="A2098" s="26" t="s">
        <v>9567</v>
      </c>
      <c r="B2098" s="26" t="s">
        <v>9567</v>
      </c>
      <c r="C2098" s="26" t="s">
        <v>1296</v>
      </c>
      <c r="D2098" s="116">
        <v>15</v>
      </c>
      <c r="E2098" s="122" t="s">
        <v>29</v>
      </c>
      <c r="F2098" s="119" t="s">
        <v>63</v>
      </c>
      <c r="G2098" s="27">
        <v>41885</v>
      </c>
      <c r="H2098" s="26" t="s">
        <v>9568</v>
      </c>
      <c r="I2098" s="113" t="s">
        <v>12400</v>
      </c>
      <c r="J2098" s="113" t="s">
        <v>12401</v>
      </c>
    </row>
    <row r="2099" spans="1:10" ht="20" customHeight="1" thickBot="1">
      <c r="A2099" s="28" t="s">
        <v>9571</v>
      </c>
      <c r="B2099" s="28" t="s">
        <v>9571</v>
      </c>
      <c r="C2099" s="28" t="s">
        <v>9572</v>
      </c>
      <c r="D2099" s="117">
        <v>100</v>
      </c>
      <c r="E2099" s="122" t="s">
        <v>29</v>
      </c>
      <c r="F2099" s="120" t="s">
        <v>63</v>
      </c>
      <c r="G2099" s="29">
        <v>41603</v>
      </c>
      <c r="H2099" s="28" t="s">
        <v>9573</v>
      </c>
      <c r="I2099" s="114" t="s">
        <v>12400</v>
      </c>
      <c r="J2099" s="114" t="s">
        <v>12401</v>
      </c>
    </row>
    <row r="2100" spans="1:10" ht="20" customHeight="1" thickBot="1">
      <c r="A2100" s="26" t="s">
        <v>9576</v>
      </c>
      <c r="B2100" s="26" t="s">
        <v>9576</v>
      </c>
      <c r="C2100" s="26" t="s">
        <v>9577</v>
      </c>
      <c r="D2100" s="116">
        <v>6</v>
      </c>
      <c r="E2100" s="122" t="s">
        <v>29</v>
      </c>
      <c r="F2100" s="119" t="s">
        <v>63</v>
      </c>
      <c r="G2100" s="27">
        <v>42100</v>
      </c>
      <c r="H2100" s="26" t="s">
        <v>9578</v>
      </c>
      <c r="I2100" s="113" t="s">
        <v>12400</v>
      </c>
      <c r="J2100" s="113" t="s">
        <v>12401</v>
      </c>
    </row>
    <row r="2101" spans="1:10" ht="20" customHeight="1" thickBot="1">
      <c r="A2101" s="28" t="s">
        <v>9581</v>
      </c>
      <c r="B2101" s="28" t="s">
        <v>9581</v>
      </c>
      <c r="C2101" s="28" t="s">
        <v>5026</v>
      </c>
      <c r="D2101" s="117">
        <v>10</v>
      </c>
      <c r="E2101" s="122" t="s">
        <v>27</v>
      </c>
      <c r="F2101" s="120" t="s">
        <v>63</v>
      </c>
      <c r="G2101" s="29">
        <v>42270</v>
      </c>
      <c r="H2101" s="28" t="s">
        <v>9582</v>
      </c>
      <c r="I2101" s="114" t="s">
        <v>12400</v>
      </c>
      <c r="J2101" s="114" t="s">
        <v>12401</v>
      </c>
    </row>
    <row r="2102" spans="1:10" ht="20" customHeight="1" thickBot="1">
      <c r="A2102" s="26" t="s">
        <v>9585</v>
      </c>
      <c r="B2102" s="26" t="s">
        <v>9585</v>
      </c>
      <c r="C2102" s="26" t="s">
        <v>1714</v>
      </c>
      <c r="D2102" s="116">
        <v>31</v>
      </c>
      <c r="E2102" s="122" t="s">
        <v>29</v>
      </c>
      <c r="F2102" s="119" t="s">
        <v>63</v>
      </c>
      <c r="G2102" s="27">
        <v>42222</v>
      </c>
      <c r="H2102" s="26" t="s">
        <v>9586</v>
      </c>
      <c r="I2102" s="113" t="s">
        <v>12400</v>
      </c>
      <c r="J2102" s="113" t="s">
        <v>12401</v>
      </c>
    </row>
    <row r="2103" spans="1:10" ht="20" customHeight="1" thickBot="1">
      <c r="A2103" s="28" t="s">
        <v>9589</v>
      </c>
      <c r="B2103" s="28" t="s">
        <v>9589</v>
      </c>
      <c r="C2103" s="28" t="s">
        <v>9590</v>
      </c>
      <c r="D2103" s="117">
        <v>93</v>
      </c>
      <c r="E2103" s="122" t="s">
        <v>29</v>
      </c>
      <c r="F2103" s="120" t="s">
        <v>63</v>
      </c>
      <c r="G2103" s="29">
        <v>45005</v>
      </c>
      <c r="H2103" s="28" t="s">
        <v>9591</v>
      </c>
      <c r="I2103" s="114" t="s">
        <v>12400</v>
      </c>
      <c r="J2103" s="114" t="s">
        <v>12401</v>
      </c>
    </row>
    <row r="2104" spans="1:10" ht="20" customHeight="1" thickBot="1">
      <c r="A2104" s="26" t="s">
        <v>9594</v>
      </c>
      <c r="B2104" s="26" t="s">
        <v>9594</v>
      </c>
      <c r="C2104" s="26" t="s">
        <v>9595</v>
      </c>
      <c r="D2104" s="116">
        <v>106</v>
      </c>
      <c r="E2104" s="122" t="s">
        <v>35</v>
      </c>
      <c r="F2104" s="119" t="s">
        <v>63</v>
      </c>
      <c r="G2104" s="27">
        <v>41711</v>
      </c>
      <c r="H2104" s="26" t="s">
        <v>9596</v>
      </c>
      <c r="I2104" s="113" t="s">
        <v>12400</v>
      </c>
      <c r="J2104" s="113" t="s">
        <v>12401</v>
      </c>
    </row>
    <row r="2105" spans="1:10" ht="20" customHeight="1" thickBot="1">
      <c r="A2105" s="28" t="s">
        <v>9599</v>
      </c>
      <c r="B2105" s="28" t="s">
        <v>9599</v>
      </c>
      <c r="C2105" s="28" t="s">
        <v>243</v>
      </c>
      <c r="D2105" s="117">
        <v>70</v>
      </c>
      <c r="E2105" s="122" t="s">
        <v>31</v>
      </c>
      <c r="F2105" s="120" t="s">
        <v>63</v>
      </c>
      <c r="G2105" s="29">
        <v>46208</v>
      </c>
      <c r="H2105" s="28" t="s">
        <v>9600</v>
      </c>
      <c r="I2105" s="114" t="s">
        <v>12400</v>
      </c>
      <c r="J2105" s="114" t="s">
        <v>12401</v>
      </c>
    </row>
    <row r="2106" spans="1:10" ht="20" customHeight="1" thickBot="1">
      <c r="A2106" s="26" t="s">
        <v>9603</v>
      </c>
      <c r="B2106" s="26" t="s">
        <v>9603</v>
      </c>
      <c r="C2106" s="26" t="s">
        <v>9604</v>
      </c>
      <c r="D2106" s="116">
        <v>6</v>
      </c>
      <c r="E2106" s="122" t="s">
        <v>29</v>
      </c>
      <c r="F2106" s="119" t="s">
        <v>63</v>
      </c>
      <c r="G2106" s="27">
        <v>42291</v>
      </c>
      <c r="H2106" s="26" t="s">
        <v>9605</v>
      </c>
      <c r="I2106" s="113" t="s">
        <v>12400</v>
      </c>
      <c r="J2106" s="113" t="s">
        <v>12401</v>
      </c>
    </row>
    <row r="2107" spans="1:10" ht="20" customHeight="1" thickBot="1">
      <c r="A2107" s="28" t="s">
        <v>9608</v>
      </c>
      <c r="B2107" s="28" t="s">
        <v>9608</v>
      </c>
      <c r="C2107" s="28" t="s">
        <v>4182</v>
      </c>
      <c r="D2107" s="117">
        <v>90</v>
      </c>
      <c r="E2107" s="122" t="s">
        <v>29</v>
      </c>
      <c r="F2107" s="120" t="s">
        <v>63</v>
      </c>
      <c r="G2107" s="29">
        <v>42538</v>
      </c>
      <c r="H2107" s="28" t="s">
        <v>9609</v>
      </c>
      <c r="I2107" s="114" t="s">
        <v>12400</v>
      </c>
      <c r="J2107" s="114" t="s">
        <v>12401</v>
      </c>
    </row>
    <row r="2108" spans="1:10" ht="20" customHeight="1" thickBot="1">
      <c r="A2108" s="26" t="s">
        <v>9612</v>
      </c>
      <c r="B2108" s="26" t="s">
        <v>9612</v>
      </c>
      <c r="C2108" s="26" t="s">
        <v>2100</v>
      </c>
      <c r="D2108" s="116">
        <v>7</v>
      </c>
      <c r="E2108" s="122" t="s">
        <v>29</v>
      </c>
      <c r="F2108" s="119" t="s">
        <v>63</v>
      </c>
      <c r="G2108" s="27">
        <v>42219</v>
      </c>
      <c r="H2108" s="26" t="s">
        <v>9613</v>
      </c>
      <c r="I2108" s="113" t="s">
        <v>12400</v>
      </c>
      <c r="J2108" s="113" t="s">
        <v>12401</v>
      </c>
    </row>
    <row r="2109" spans="1:10" ht="20" customHeight="1" thickBot="1">
      <c r="A2109" s="28" t="s">
        <v>9616</v>
      </c>
      <c r="B2109" s="28" t="s">
        <v>9616</v>
      </c>
      <c r="C2109" s="28" t="s">
        <v>9617</v>
      </c>
      <c r="D2109" s="117">
        <v>8</v>
      </c>
      <c r="E2109" s="122" t="s">
        <v>29</v>
      </c>
      <c r="F2109" s="120" t="s">
        <v>63</v>
      </c>
      <c r="G2109" s="29">
        <v>43471</v>
      </c>
      <c r="H2109" s="28" t="s">
        <v>9618</v>
      </c>
      <c r="I2109" s="114" t="s">
        <v>12400</v>
      </c>
      <c r="J2109" s="114" t="s">
        <v>12401</v>
      </c>
    </row>
    <row r="2110" spans="1:10" ht="20" customHeight="1" thickBot="1">
      <c r="A2110" s="26" t="s">
        <v>9621</v>
      </c>
      <c r="B2110" s="26" t="s">
        <v>9621</v>
      </c>
      <c r="C2110" s="26" t="s">
        <v>9622</v>
      </c>
      <c r="D2110" s="116">
        <v>26</v>
      </c>
      <c r="E2110" s="122" t="s">
        <v>29</v>
      </c>
      <c r="F2110" s="119" t="s">
        <v>63</v>
      </c>
      <c r="G2110" s="27">
        <v>42750</v>
      </c>
      <c r="H2110" s="26" t="s">
        <v>9623</v>
      </c>
      <c r="I2110" s="113" t="s">
        <v>12400</v>
      </c>
      <c r="J2110" s="113" t="s">
        <v>12401</v>
      </c>
    </row>
    <row r="2111" spans="1:10" ht="20" customHeight="1" thickBot="1">
      <c r="A2111" s="28" t="s">
        <v>9626</v>
      </c>
      <c r="B2111" s="28" t="s">
        <v>9626</v>
      </c>
      <c r="C2111" s="28" t="s">
        <v>9627</v>
      </c>
      <c r="D2111" s="117">
        <v>7</v>
      </c>
      <c r="E2111" s="122" t="s">
        <v>31</v>
      </c>
      <c r="F2111" s="120" t="s">
        <v>63</v>
      </c>
      <c r="G2111" s="29">
        <v>42104</v>
      </c>
      <c r="H2111" s="28" t="s">
        <v>9628</v>
      </c>
      <c r="I2111" s="114" t="s">
        <v>12400</v>
      </c>
      <c r="J2111" s="114" t="s">
        <v>12401</v>
      </c>
    </row>
    <row r="2112" spans="1:10" ht="20" customHeight="1" thickBot="1">
      <c r="A2112" s="26" t="s">
        <v>9631</v>
      </c>
      <c r="B2112" s="26" t="s">
        <v>9631</v>
      </c>
      <c r="C2112" s="26" t="s">
        <v>9632</v>
      </c>
      <c r="D2112" s="116">
        <v>9</v>
      </c>
      <c r="E2112" s="122" t="s">
        <v>31</v>
      </c>
      <c r="F2112" s="119" t="s">
        <v>63</v>
      </c>
      <c r="G2112" s="27">
        <v>42180</v>
      </c>
      <c r="H2112" s="26" t="s">
        <v>9633</v>
      </c>
      <c r="I2112" s="113" t="s">
        <v>12400</v>
      </c>
      <c r="J2112" s="113" t="s">
        <v>12401</v>
      </c>
    </row>
    <row r="2113" spans="1:10" ht="20" customHeight="1" thickBot="1">
      <c r="A2113" s="28" t="s">
        <v>9636</v>
      </c>
      <c r="B2113" s="28" t="s">
        <v>9636</v>
      </c>
      <c r="C2113" s="28" t="s">
        <v>9637</v>
      </c>
      <c r="D2113" s="117">
        <v>86</v>
      </c>
      <c r="E2113" s="122" t="s">
        <v>31</v>
      </c>
      <c r="F2113" s="120" t="s">
        <v>63</v>
      </c>
      <c r="G2113" s="29">
        <v>44511</v>
      </c>
      <c r="H2113" s="28" t="s">
        <v>9638</v>
      </c>
      <c r="I2113" s="114" t="s">
        <v>12400</v>
      </c>
      <c r="J2113" s="114" t="s">
        <v>12401</v>
      </c>
    </row>
    <row r="2114" spans="1:10" ht="20" customHeight="1" thickBot="1">
      <c r="A2114" s="26" t="s">
        <v>9641</v>
      </c>
      <c r="B2114" s="26" t="s">
        <v>9641</v>
      </c>
      <c r="C2114" s="26" t="s">
        <v>1296</v>
      </c>
      <c r="D2114" s="116">
        <v>22</v>
      </c>
      <c r="E2114" s="122" t="s">
        <v>29</v>
      </c>
      <c r="F2114" s="119" t="s">
        <v>63</v>
      </c>
      <c r="G2114" s="27">
        <v>41649</v>
      </c>
      <c r="H2114" s="26" t="s">
        <v>9642</v>
      </c>
      <c r="I2114" s="113" t="s">
        <v>12400</v>
      </c>
      <c r="J2114" s="113" t="s">
        <v>12401</v>
      </c>
    </row>
    <row r="2115" spans="1:10" ht="20" customHeight="1" thickBot="1">
      <c r="A2115" s="28" t="s">
        <v>9645</v>
      </c>
      <c r="B2115" s="28" t="s">
        <v>9645</v>
      </c>
      <c r="C2115" s="28" t="s">
        <v>9646</v>
      </c>
      <c r="D2115" s="117">
        <v>58</v>
      </c>
      <c r="E2115" s="122" t="s">
        <v>31</v>
      </c>
      <c r="F2115" s="120" t="s">
        <v>63</v>
      </c>
      <c r="G2115" s="29">
        <v>42279</v>
      </c>
      <c r="H2115" s="28" t="s">
        <v>9647</v>
      </c>
      <c r="I2115" s="114" t="s">
        <v>12400</v>
      </c>
      <c r="J2115" s="114" t="s">
        <v>12401</v>
      </c>
    </row>
    <row r="2116" spans="1:10" ht="20" customHeight="1" thickBot="1">
      <c r="A2116" s="26" t="s">
        <v>9650</v>
      </c>
      <c r="B2116" s="26" t="s">
        <v>9650</v>
      </c>
      <c r="C2116" s="26" t="s">
        <v>6353</v>
      </c>
      <c r="D2116" s="116">
        <v>21</v>
      </c>
      <c r="E2116" s="122" t="s">
        <v>27</v>
      </c>
      <c r="F2116" s="119" t="s">
        <v>63</v>
      </c>
      <c r="G2116" s="27">
        <v>42273</v>
      </c>
      <c r="H2116" s="26" t="s">
        <v>9651</v>
      </c>
      <c r="I2116" s="113" t="s">
        <v>12400</v>
      </c>
      <c r="J2116" s="113" t="s">
        <v>12401</v>
      </c>
    </row>
    <row r="2117" spans="1:10" ht="20" customHeight="1" thickBot="1">
      <c r="A2117" s="28" t="s">
        <v>9654</v>
      </c>
      <c r="B2117" s="28" t="s">
        <v>9654</v>
      </c>
      <c r="C2117" s="28" t="s">
        <v>9655</v>
      </c>
      <c r="D2117" s="117">
        <v>6</v>
      </c>
      <c r="E2117" s="122" t="s">
        <v>27</v>
      </c>
      <c r="F2117" s="120" t="s">
        <v>63</v>
      </c>
      <c r="G2117" s="29">
        <v>42131</v>
      </c>
      <c r="H2117" s="28" t="s">
        <v>9656</v>
      </c>
      <c r="I2117" s="114" t="s">
        <v>12400</v>
      </c>
      <c r="J2117" s="114" t="s">
        <v>12401</v>
      </c>
    </row>
    <row r="2118" spans="1:10" ht="20" customHeight="1" thickBot="1">
      <c r="A2118" s="26" t="s">
        <v>9659</v>
      </c>
      <c r="B2118" s="26" t="s">
        <v>9659</v>
      </c>
      <c r="C2118" s="26" t="s">
        <v>9660</v>
      </c>
      <c r="D2118" s="116">
        <v>4</v>
      </c>
      <c r="E2118" s="122" t="s">
        <v>27</v>
      </c>
      <c r="F2118" s="119" t="s">
        <v>63</v>
      </c>
      <c r="G2118" s="27">
        <v>42153</v>
      </c>
      <c r="H2118" s="26" t="s">
        <v>9661</v>
      </c>
      <c r="I2118" s="113" t="s">
        <v>12400</v>
      </c>
      <c r="J2118" s="113" t="s">
        <v>12401</v>
      </c>
    </row>
    <row r="2119" spans="1:10" ht="20" customHeight="1" thickBot="1">
      <c r="A2119" s="28" t="s">
        <v>9664</v>
      </c>
      <c r="B2119" s="28" t="s">
        <v>9664</v>
      </c>
      <c r="C2119" s="28" t="s">
        <v>9665</v>
      </c>
      <c r="D2119" s="117">
        <v>28</v>
      </c>
      <c r="E2119" s="122" t="s">
        <v>29</v>
      </c>
      <c r="F2119" s="120" t="s">
        <v>63</v>
      </c>
      <c r="G2119" s="29">
        <v>42223</v>
      </c>
      <c r="H2119" s="28" t="s">
        <v>9666</v>
      </c>
      <c r="I2119" s="114" t="s">
        <v>12400</v>
      </c>
      <c r="J2119" s="114" t="s">
        <v>12401</v>
      </c>
    </row>
    <row r="2120" spans="1:10" ht="20" customHeight="1" thickBot="1">
      <c r="A2120" s="26" t="s">
        <v>9669</v>
      </c>
      <c r="B2120" s="26" t="s">
        <v>9669</v>
      </c>
      <c r="C2120" s="26" t="s">
        <v>9665</v>
      </c>
      <c r="D2120" s="116">
        <v>66</v>
      </c>
      <c r="E2120" s="122" t="s">
        <v>29</v>
      </c>
      <c r="F2120" s="119" t="s">
        <v>63</v>
      </c>
      <c r="G2120" s="27">
        <v>41604</v>
      </c>
      <c r="H2120" s="26" t="s">
        <v>9670</v>
      </c>
      <c r="I2120" s="113" t="s">
        <v>12400</v>
      </c>
      <c r="J2120" s="113" t="s">
        <v>12401</v>
      </c>
    </row>
    <row r="2121" spans="1:10" ht="20" customHeight="1" thickBot="1">
      <c r="A2121" s="28" t="s">
        <v>9673</v>
      </c>
      <c r="B2121" s="28" t="s">
        <v>9673</v>
      </c>
      <c r="C2121" s="28" t="s">
        <v>4537</v>
      </c>
      <c r="D2121" s="117">
        <v>6</v>
      </c>
      <c r="E2121" s="122" t="s">
        <v>27</v>
      </c>
      <c r="F2121" s="120" t="s">
        <v>63</v>
      </c>
      <c r="G2121" s="29">
        <v>43548</v>
      </c>
      <c r="H2121" s="28" t="s">
        <v>9674</v>
      </c>
      <c r="I2121" s="114" t="s">
        <v>12400</v>
      </c>
      <c r="J2121" s="114" t="s">
        <v>12401</v>
      </c>
    </row>
    <row r="2122" spans="1:10" ht="20" customHeight="1" thickBot="1">
      <c r="A2122" s="26" t="s">
        <v>9677</v>
      </c>
      <c r="B2122" s="26" t="s">
        <v>9677</v>
      </c>
      <c r="C2122" s="26" t="s">
        <v>139</v>
      </c>
      <c r="D2122" s="116">
        <v>77</v>
      </c>
      <c r="E2122" s="122" t="s">
        <v>31</v>
      </c>
      <c r="F2122" s="119" t="s">
        <v>63</v>
      </c>
      <c r="G2122" s="27">
        <v>43646</v>
      </c>
      <c r="H2122" s="26" t="s">
        <v>9678</v>
      </c>
      <c r="I2122" s="113" t="s">
        <v>12400</v>
      </c>
      <c r="J2122" s="113" t="s">
        <v>12401</v>
      </c>
    </row>
    <row r="2123" spans="1:10" ht="20" customHeight="1" thickBot="1">
      <c r="A2123" s="28" t="s">
        <v>9681</v>
      </c>
      <c r="B2123" s="28" t="s">
        <v>9681</v>
      </c>
      <c r="C2123" s="28" t="s">
        <v>139</v>
      </c>
      <c r="D2123" s="117">
        <v>20</v>
      </c>
      <c r="E2123" s="122" t="s">
        <v>35</v>
      </c>
      <c r="F2123" s="120" t="s">
        <v>57</v>
      </c>
      <c r="G2123" s="29">
        <v>43881</v>
      </c>
      <c r="H2123" s="28" t="s">
        <v>9682</v>
      </c>
      <c r="I2123" s="114" t="s">
        <v>12400</v>
      </c>
      <c r="J2123" s="114" t="s">
        <v>12401</v>
      </c>
    </row>
    <row r="2124" spans="1:10" ht="20" customHeight="1" thickBot="1">
      <c r="A2124" s="26" t="s">
        <v>9685</v>
      </c>
      <c r="B2124" s="26" t="s">
        <v>9685</v>
      </c>
      <c r="C2124" s="26" t="s">
        <v>9686</v>
      </c>
      <c r="D2124" s="116">
        <v>7</v>
      </c>
      <c r="E2124" s="122" t="s">
        <v>27</v>
      </c>
      <c r="F2124" s="119" t="s">
        <v>63</v>
      </c>
      <c r="G2124" s="27">
        <v>41772</v>
      </c>
      <c r="H2124" s="26" t="s">
        <v>9687</v>
      </c>
      <c r="I2124" s="113" t="s">
        <v>12400</v>
      </c>
      <c r="J2124" s="113" t="s">
        <v>12401</v>
      </c>
    </row>
    <row r="2125" spans="1:10" ht="20" customHeight="1" thickBot="1">
      <c r="A2125" s="28" t="s">
        <v>9690</v>
      </c>
      <c r="B2125" s="28" t="s">
        <v>9690</v>
      </c>
      <c r="C2125" s="28" t="s">
        <v>9691</v>
      </c>
      <c r="D2125" s="117">
        <v>30</v>
      </c>
      <c r="E2125" s="122" t="s">
        <v>29</v>
      </c>
      <c r="F2125" s="120" t="s">
        <v>63</v>
      </c>
      <c r="G2125" s="29">
        <v>46052</v>
      </c>
      <c r="H2125" s="28" t="s">
        <v>9692</v>
      </c>
      <c r="I2125" s="114" t="s">
        <v>12400</v>
      </c>
      <c r="J2125" s="114" t="s">
        <v>12401</v>
      </c>
    </row>
    <row r="2126" spans="1:10" ht="20" customHeight="1" thickBot="1">
      <c r="A2126" s="26" t="s">
        <v>9695</v>
      </c>
      <c r="B2126" s="26" t="s">
        <v>9695</v>
      </c>
      <c r="C2126" s="26" t="s">
        <v>2493</v>
      </c>
      <c r="D2126" s="116">
        <v>6</v>
      </c>
      <c r="E2126" s="122" t="s">
        <v>33</v>
      </c>
      <c r="F2126" s="119" t="s">
        <v>571</v>
      </c>
      <c r="G2126" s="27">
        <v>41818</v>
      </c>
      <c r="H2126" s="26" t="s">
        <v>9696</v>
      </c>
      <c r="I2126" s="113" t="s">
        <v>12400</v>
      </c>
      <c r="J2126" s="113" t="s">
        <v>12401</v>
      </c>
    </row>
    <row r="2127" spans="1:10" ht="20" customHeight="1" thickBot="1">
      <c r="A2127" s="28" t="s">
        <v>9699</v>
      </c>
      <c r="B2127" s="28" t="s">
        <v>9699</v>
      </c>
      <c r="C2127" s="28" t="s">
        <v>9700</v>
      </c>
      <c r="D2127" s="117">
        <v>10</v>
      </c>
      <c r="E2127" s="122" t="s">
        <v>27</v>
      </c>
      <c r="F2127" s="120" t="s">
        <v>63</v>
      </c>
      <c r="G2127" s="29">
        <v>41447</v>
      </c>
      <c r="H2127" s="28" t="s">
        <v>9701</v>
      </c>
      <c r="I2127" s="114" t="s">
        <v>12400</v>
      </c>
      <c r="J2127" s="114" t="s">
        <v>12401</v>
      </c>
    </row>
    <row r="2128" spans="1:10" ht="20" customHeight="1" thickBot="1">
      <c r="A2128" s="26" t="s">
        <v>9704</v>
      </c>
      <c r="B2128" s="26" t="s">
        <v>9704</v>
      </c>
      <c r="C2128" s="26" t="s">
        <v>9705</v>
      </c>
      <c r="D2128" s="116">
        <v>11</v>
      </c>
      <c r="E2128" s="122" t="s">
        <v>27</v>
      </c>
      <c r="F2128" s="119" t="s">
        <v>63</v>
      </c>
      <c r="G2128" s="27">
        <v>44025</v>
      </c>
      <c r="H2128" s="26" t="s">
        <v>9706</v>
      </c>
      <c r="I2128" s="113" t="s">
        <v>12400</v>
      </c>
      <c r="J2128" s="113" t="s">
        <v>12401</v>
      </c>
    </row>
    <row r="2129" spans="1:10" ht="20" customHeight="1" thickBot="1">
      <c r="A2129" s="28" t="s">
        <v>9709</v>
      </c>
      <c r="B2129" s="28" t="s">
        <v>9709</v>
      </c>
      <c r="C2129" s="28" t="s">
        <v>1119</v>
      </c>
      <c r="D2129" s="117">
        <v>9</v>
      </c>
      <c r="E2129" s="122" t="s">
        <v>29</v>
      </c>
      <c r="F2129" s="120" t="s">
        <v>63</v>
      </c>
      <c r="G2129" s="29">
        <v>41529</v>
      </c>
      <c r="H2129" s="28" t="s">
        <v>9710</v>
      </c>
      <c r="I2129" s="114" t="s">
        <v>12400</v>
      </c>
      <c r="J2129" s="114" t="s">
        <v>12401</v>
      </c>
    </row>
    <row r="2130" spans="1:10" ht="20" customHeight="1" thickBot="1">
      <c r="A2130" s="26" t="s">
        <v>9713</v>
      </c>
      <c r="B2130" s="26" t="s">
        <v>9713</v>
      </c>
      <c r="C2130" s="26" t="s">
        <v>4041</v>
      </c>
      <c r="D2130" s="116">
        <v>10</v>
      </c>
      <c r="E2130" s="122" t="s">
        <v>27</v>
      </c>
      <c r="F2130" s="119" t="s">
        <v>63</v>
      </c>
      <c r="G2130" s="27">
        <v>41501</v>
      </c>
      <c r="H2130" s="26" t="s">
        <v>9714</v>
      </c>
      <c r="I2130" s="113" t="s">
        <v>12400</v>
      </c>
      <c r="J2130" s="113" t="s">
        <v>12401</v>
      </c>
    </row>
    <row r="2131" spans="1:10" ht="20" customHeight="1" thickBot="1">
      <c r="A2131" s="28" t="s">
        <v>9717</v>
      </c>
      <c r="B2131" s="28" t="s">
        <v>9717</v>
      </c>
      <c r="C2131" s="28" t="s">
        <v>4041</v>
      </c>
      <c r="D2131" s="117">
        <v>25</v>
      </c>
      <c r="E2131" s="122" t="s">
        <v>29</v>
      </c>
      <c r="F2131" s="120" t="s">
        <v>63</v>
      </c>
      <c r="G2131" s="29">
        <v>42224</v>
      </c>
      <c r="H2131" s="28" t="s">
        <v>9718</v>
      </c>
      <c r="I2131" s="114" t="s">
        <v>12400</v>
      </c>
      <c r="J2131" s="114" t="s">
        <v>12401</v>
      </c>
    </row>
    <row r="2132" spans="1:10" ht="20" customHeight="1" thickBot="1">
      <c r="A2132" s="26" t="s">
        <v>9721</v>
      </c>
      <c r="B2132" s="26" t="s">
        <v>9721</v>
      </c>
      <c r="C2132" s="26" t="s">
        <v>9722</v>
      </c>
      <c r="D2132" s="116">
        <v>25</v>
      </c>
      <c r="E2132" s="122" t="s">
        <v>31</v>
      </c>
      <c r="F2132" s="119" t="s">
        <v>63</v>
      </c>
      <c r="G2132" s="27">
        <v>46059</v>
      </c>
      <c r="H2132" s="26" t="s">
        <v>9723</v>
      </c>
      <c r="I2132" s="113" t="s">
        <v>12400</v>
      </c>
      <c r="J2132" s="113" t="s">
        <v>12401</v>
      </c>
    </row>
    <row r="2133" spans="1:10" ht="20" customHeight="1" thickBot="1">
      <c r="A2133" s="28" t="s">
        <v>9726</v>
      </c>
      <c r="B2133" s="28" t="s">
        <v>9726</v>
      </c>
      <c r="C2133" s="28" t="s">
        <v>9727</v>
      </c>
      <c r="D2133" s="117">
        <v>7</v>
      </c>
      <c r="E2133" s="122" t="s">
        <v>29</v>
      </c>
      <c r="F2133" s="120" t="s">
        <v>63</v>
      </c>
      <c r="G2133" s="29">
        <v>42464</v>
      </c>
      <c r="H2133" s="28" t="s">
        <v>9728</v>
      </c>
      <c r="I2133" s="114" t="s">
        <v>12400</v>
      </c>
      <c r="J2133" s="114" t="s">
        <v>12401</v>
      </c>
    </row>
    <row r="2134" spans="1:10" ht="20" customHeight="1" thickBot="1">
      <c r="A2134" s="26" t="s">
        <v>9731</v>
      </c>
      <c r="B2134" s="26" t="s">
        <v>9731</v>
      </c>
      <c r="C2134" s="26" t="s">
        <v>7460</v>
      </c>
      <c r="D2134" s="116">
        <v>30</v>
      </c>
      <c r="E2134" s="122" t="s">
        <v>31</v>
      </c>
      <c r="F2134" s="119" t="s">
        <v>63</v>
      </c>
      <c r="G2134" s="27">
        <v>42236</v>
      </c>
      <c r="H2134" s="26" t="s">
        <v>9732</v>
      </c>
      <c r="I2134" s="113" t="s">
        <v>12400</v>
      </c>
      <c r="J2134" s="113" t="s">
        <v>12401</v>
      </c>
    </row>
    <row r="2135" spans="1:10" ht="20" customHeight="1" thickBot="1">
      <c r="A2135" s="28" t="s">
        <v>9735</v>
      </c>
      <c r="B2135" s="28" t="s">
        <v>9735</v>
      </c>
      <c r="C2135" s="28" t="s">
        <v>4041</v>
      </c>
      <c r="D2135" s="117">
        <v>12</v>
      </c>
      <c r="E2135" s="122" t="s">
        <v>29</v>
      </c>
      <c r="F2135" s="120" t="s">
        <v>63</v>
      </c>
      <c r="G2135" s="29">
        <v>42219</v>
      </c>
      <c r="H2135" s="28" t="s">
        <v>9736</v>
      </c>
      <c r="I2135" s="114" t="s">
        <v>12400</v>
      </c>
      <c r="J2135" s="114" t="s">
        <v>12401</v>
      </c>
    </row>
    <row r="2136" spans="1:10" ht="20" customHeight="1" thickBot="1">
      <c r="A2136" s="26" t="s">
        <v>9739</v>
      </c>
      <c r="B2136" s="26" t="s">
        <v>9739</v>
      </c>
      <c r="C2136" s="26" t="s">
        <v>9740</v>
      </c>
      <c r="D2136" s="116">
        <v>6</v>
      </c>
      <c r="E2136" s="122" t="s">
        <v>27</v>
      </c>
      <c r="F2136" s="119" t="s">
        <v>63</v>
      </c>
      <c r="G2136" s="27">
        <v>42277</v>
      </c>
      <c r="H2136" s="26" t="s">
        <v>9741</v>
      </c>
      <c r="I2136" s="113" t="s">
        <v>12400</v>
      </c>
      <c r="J2136" s="113" t="s">
        <v>12401</v>
      </c>
    </row>
    <row r="2137" spans="1:10" ht="20" customHeight="1" thickBot="1">
      <c r="A2137" s="28" t="s">
        <v>9744</v>
      </c>
      <c r="B2137" s="28" t="s">
        <v>9744</v>
      </c>
      <c r="C2137" s="28" t="s">
        <v>9745</v>
      </c>
      <c r="D2137" s="117">
        <v>23</v>
      </c>
      <c r="E2137" s="122" t="s">
        <v>29</v>
      </c>
      <c r="F2137" s="120" t="s">
        <v>63</v>
      </c>
      <c r="G2137" s="29">
        <v>41556</v>
      </c>
      <c r="H2137" s="28" t="s">
        <v>9746</v>
      </c>
      <c r="I2137" s="114" t="s">
        <v>12400</v>
      </c>
      <c r="J2137" s="114" t="s">
        <v>12401</v>
      </c>
    </row>
    <row r="2138" spans="1:10" ht="20" customHeight="1" thickBot="1">
      <c r="A2138" s="26" t="s">
        <v>9749</v>
      </c>
      <c r="B2138" s="26" t="s">
        <v>9749</v>
      </c>
      <c r="C2138" s="26" t="s">
        <v>4465</v>
      </c>
      <c r="D2138" s="116">
        <v>1</v>
      </c>
      <c r="E2138" s="122" t="s">
        <v>27</v>
      </c>
      <c r="F2138" s="119" t="s">
        <v>63</v>
      </c>
      <c r="G2138" s="27">
        <v>42093</v>
      </c>
      <c r="H2138" s="26" t="s">
        <v>9750</v>
      </c>
      <c r="I2138" s="113" t="s">
        <v>12400</v>
      </c>
      <c r="J2138" s="113" t="s">
        <v>12401</v>
      </c>
    </row>
    <row r="2139" spans="1:10" ht="20" customHeight="1" thickBot="1">
      <c r="A2139" s="28" t="s">
        <v>9753</v>
      </c>
      <c r="B2139" s="28" t="s">
        <v>9753</v>
      </c>
      <c r="C2139" s="28" t="s">
        <v>4915</v>
      </c>
      <c r="D2139" s="117">
        <v>32</v>
      </c>
      <c r="E2139" s="122" t="s">
        <v>29</v>
      </c>
      <c r="F2139" s="120" t="s">
        <v>63</v>
      </c>
      <c r="G2139" s="29">
        <v>43654</v>
      </c>
      <c r="H2139" s="28" t="s">
        <v>9754</v>
      </c>
      <c r="I2139" s="114" t="s">
        <v>12400</v>
      </c>
      <c r="J2139" s="114" t="s">
        <v>12401</v>
      </c>
    </row>
    <row r="2140" spans="1:10" ht="20" customHeight="1" thickBot="1">
      <c r="A2140" s="26" t="s">
        <v>9757</v>
      </c>
      <c r="B2140" s="26" t="s">
        <v>9757</v>
      </c>
      <c r="C2140" s="26" t="s">
        <v>9217</v>
      </c>
      <c r="D2140" s="116">
        <v>15</v>
      </c>
      <c r="E2140" s="122" t="s">
        <v>29</v>
      </c>
      <c r="F2140" s="119" t="s">
        <v>63</v>
      </c>
      <c r="G2140" s="27">
        <v>42742</v>
      </c>
      <c r="H2140" s="26" t="s">
        <v>9758</v>
      </c>
      <c r="I2140" s="113" t="s">
        <v>12400</v>
      </c>
      <c r="J2140" s="113" t="s">
        <v>12401</v>
      </c>
    </row>
    <row r="2141" spans="1:10" ht="20" customHeight="1" thickBot="1">
      <c r="A2141" s="28" t="s">
        <v>9761</v>
      </c>
      <c r="B2141" s="28" t="s">
        <v>9761</v>
      </c>
      <c r="C2141" s="28" t="s">
        <v>2901</v>
      </c>
      <c r="D2141" s="117">
        <v>40</v>
      </c>
      <c r="E2141" s="122" t="s">
        <v>29</v>
      </c>
      <c r="F2141" s="120" t="s">
        <v>63</v>
      </c>
      <c r="G2141" s="29">
        <v>42214</v>
      </c>
      <c r="H2141" s="28" t="s">
        <v>9762</v>
      </c>
      <c r="I2141" s="114" t="s">
        <v>12400</v>
      </c>
      <c r="J2141" s="114" t="s">
        <v>12401</v>
      </c>
    </row>
    <row r="2142" spans="1:10" ht="20" customHeight="1" thickBot="1">
      <c r="A2142" s="26" t="s">
        <v>9765</v>
      </c>
      <c r="B2142" s="26" t="s">
        <v>9765</v>
      </c>
      <c r="C2142" s="26" t="s">
        <v>2901</v>
      </c>
      <c r="D2142" s="116">
        <v>58</v>
      </c>
      <c r="E2142" s="122" t="s">
        <v>31</v>
      </c>
      <c r="F2142" s="119" t="s">
        <v>63</v>
      </c>
      <c r="G2142" s="27">
        <v>42302</v>
      </c>
      <c r="H2142" s="26" t="s">
        <v>9766</v>
      </c>
      <c r="I2142" s="113" t="s">
        <v>12400</v>
      </c>
      <c r="J2142" s="113" t="s">
        <v>12401</v>
      </c>
    </row>
    <row r="2143" spans="1:10" ht="20" customHeight="1" thickBot="1">
      <c r="A2143" s="28" t="s">
        <v>9769</v>
      </c>
      <c r="B2143" s="28" t="s">
        <v>9769</v>
      </c>
      <c r="C2143" s="28" t="s">
        <v>9770</v>
      </c>
      <c r="D2143" s="117">
        <v>4</v>
      </c>
      <c r="E2143" s="122" t="s">
        <v>27</v>
      </c>
      <c r="F2143" s="120" t="s">
        <v>63</v>
      </c>
      <c r="G2143" s="29">
        <v>42216</v>
      </c>
      <c r="H2143" s="28" t="s">
        <v>9771</v>
      </c>
      <c r="I2143" s="114" t="s">
        <v>12400</v>
      </c>
      <c r="J2143" s="114" t="s">
        <v>12401</v>
      </c>
    </row>
    <row r="2144" spans="1:10" ht="20" customHeight="1" thickBot="1">
      <c r="A2144" s="26" t="s">
        <v>9774</v>
      </c>
      <c r="B2144" s="26" t="s">
        <v>9774</v>
      </c>
      <c r="C2144" s="26" t="s">
        <v>547</v>
      </c>
      <c r="D2144" s="116">
        <v>6</v>
      </c>
      <c r="E2144" s="122" t="s">
        <v>31</v>
      </c>
      <c r="F2144" s="119" t="s">
        <v>63</v>
      </c>
      <c r="G2144" s="27">
        <v>44208</v>
      </c>
      <c r="H2144" s="26" t="s">
        <v>9775</v>
      </c>
      <c r="I2144" s="113" t="s">
        <v>12400</v>
      </c>
      <c r="J2144" s="113" t="s">
        <v>12401</v>
      </c>
    </row>
    <row r="2145" spans="1:10" ht="20" customHeight="1" thickBot="1">
      <c r="A2145" s="28" t="s">
        <v>9778</v>
      </c>
      <c r="B2145" s="28" t="s">
        <v>9778</v>
      </c>
      <c r="C2145" s="28" t="s">
        <v>504</v>
      </c>
      <c r="D2145" s="117">
        <v>12</v>
      </c>
      <c r="E2145" s="122" t="s">
        <v>29</v>
      </c>
      <c r="F2145" s="120" t="s">
        <v>63</v>
      </c>
      <c r="G2145" s="29">
        <v>41682</v>
      </c>
      <c r="H2145" s="28" t="s">
        <v>9779</v>
      </c>
      <c r="I2145" s="114" t="s">
        <v>12400</v>
      </c>
      <c r="J2145" s="114" t="s">
        <v>12401</v>
      </c>
    </row>
    <row r="2146" spans="1:10" ht="20" customHeight="1" thickBot="1">
      <c r="A2146" s="26" t="s">
        <v>9782</v>
      </c>
      <c r="B2146" s="26" t="s">
        <v>9782</v>
      </c>
      <c r="C2146" s="26" t="s">
        <v>9783</v>
      </c>
      <c r="D2146" s="116">
        <v>31</v>
      </c>
      <c r="E2146" s="122" t="s">
        <v>29</v>
      </c>
      <c r="F2146" s="119" t="s">
        <v>63</v>
      </c>
      <c r="G2146" s="27">
        <v>43672</v>
      </c>
      <c r="H2146" s="26" t="s">
        <v>9784</v>
      </c>
      <c r="I2146" s="113" t="s">
        <v>12400</v>
      </c>
      <c r="J2146" s="113" t="s">
        <v>12401</v>
      </c>
    </row>
    <row r="2147" spans="1:10" ht="20" customHeight="1" thickBot="1">
      <c r="A2147" s="28" t="s">
        <v>9787</v>
      </c>
      <c r="B2147" s="28" t="s">
        <v>9787</v>
      </c>
      <c r="C2147" s="28" t="s">
        <v>5750</v>
      </c>
      <c r="D2147" s="117">
        <v>6</v>
      </c>
      <c r="E2147" s="122" t="s">
        <v>29</v>
      </c>
      <c r="F2147" s="120" t="s">
        <v>63</v>
      </c>
      <c r="G2147" s="29">
        <v>42163</v>
      </c>
      <c r="H2147" s="28" t="s">
        <v>9788</v>
      </c>
      <c r="I2147" s="114" t="s">
        <v>12400</v>
      </c>
      <c r="J2147" s="114" t="s">
        <v>12401</v>
      </c>
    </row>
    <row r="2148" spans="1:10" ht="20" customHeight="1" thickBot="1">
      <c r="A2148" s="26" t="s">
        <v>9791</v>
      </c>
      <c r="B2148" s="26" t="s">
        <v>9791</v>
      </c>
      <c r="C2148" s="26" t="s">
        <v>7208</v>
      </c>
      <c r="D2148" s="116">
        <v>5</v>
      </c>
      <c r="E2148" s="122" t="s">
        <v>29</v>
      </c>
      <c r="F2148" s="119" t="s">
        <v>63</v>
      </c>
      <c r="G2148" s="27">
        <v>44212</v>
      </c>
      <c r="H2148" s="26" t="s">
        <v>9792</v>
      </c>
      <c r="I2148" s="113" t="s">
        <v>12400</v>
      </c>
      <c r="J2148" s="113" t="s">
        <v>12401</v>
      </c>
    </row>
    <row r="2149" spans="1:10" ht="20" customHeight="1" thickBot="1">
      <c r="A2149" s="28" t="s">
        <v>9795</v>
      </c>
      <c r="B2149" s="28" t="s">
        <v>9795</v>
      </c>
      <c r="C2149" s="28" t="s">
        <v>9796</v>
      </c>
      <c r="D2149" s="117">
        <v>5</v>
      </c>
      <c r="E2149" s="122" t="s">
        <v>27</v>
      </c>
      <c r="F2149" s="120" t="s">
        <v>63</v>
      </c>
      <c r="G2149" s="29">
        <v>42081</v>
      </c>
      <c r="H2149" s="28" t="s">
        <v>9797</v>
      </c>
      <c r="I2149" s="114" t="s">
        <v>12400</v>
      </c>
      <c r="J2149" s="114" t="s">
        <v>12401</v>
      </c>
    </row>
    <row r="2150" spans="1:10" ht="20" customHeight="1" thickBot="1">
      <c r="A2150" s="26" t="s">
        <v>9800</v>
      </c>
      <c r="B2150" s="26" t="s">
        <v>9800</v>
      </c>
      <c r="C2150" s="26" t="s">
        <v>9801</v>
      </c>
      <c r="D2150" s="116">
        <v>46</v>
      </c>
      <c r="E2150" s="122" t="s">
        <v>29</v>
      </c>
      <c r="F2150" s="119" t="s">
        <v>63</v>
      </c>
      <c r="G2150" s="27">
        <v>41531</v>
      </c>
      <c r="H2150" s="26" t="s">
        <v>9802</v>
      </c>
      <c r="I2150" s="113" t="s">
        <v>12400</v>
      </c>
      <c r="J2150" s="113" t="s">
        <v>12401</v>
      </c>
    </row>
    <row r="2151" spans="1:10" ht="20" customHeight="1" thickBot="1">
      <c r="A2151" s="28" t="s">
        <v>9805</v>
      </c>
      <c r="B2151" s="28" t="s">
        <v>9805</v>
      </c>
      <c r="C2151" s="28" t="s">
        <v>9806</v>
      </c>
      <c r="D2151" s="117">
        <v>1</v>
      </c>
      <c r="E2151" s="122" t="s">
        <v>29</v>
      </c>
      <c r="F2151" s="120" t="s">
        <v>63</v>
      </c>
      <c r="G2151" s="29">
        <v>42153</v>
      </c>
      <c r="H2151" s="28" t="s">
        <v>9807</v>
      </c>
      <c r="I2151" s="114" t="s">
        <v>12400</v>
      </c>
      <c r="J2151" s="114" t="s">
        <v>12401</v>
      </c>
    </row>
    <row r="2152" spans="1:10" ht="20" customHeight="1" thickBot="1">
      <c r="A2152" s="26" t="s">
        <v>9810</v>
      </c>
      <c r="B2152" s="26" t="s">
        <v>9810</v>
      </c>
      <c r="C2152" s="26" t="s">
        <v>4041</v>
      </c>
      <c r="D2152" s="116">
        <v>16</v>
      </c>
      <c r="E2152" s="122" t="s">
        <v>27</v>
      </c>
      <c r="F2152" s="119" t="s">
        <v>63</v>
      </c>
      <c r="G2152" s="27">
        <v>42211</v>
      </c>
      <c r="H2152" s="26" t="s">
        <v>9811</v>
      </c>
      <c r="I2152" s="113" t="s">
        <v>12400</v>
      </c>
      <c r="J2152" s="113" t="s">
        <v>12401</v>
      </c>
    </row>
    <row r="2153" spans="1:10" ht="20" customHeight="1" thickBot="1">
      <c r="A2153" s="28" t="s">
        <v>9814</v>
      </c>
      <c r="B2153" s="28" t="s">
        <v>9814</v>
      </c>
      <c r="C2153" s="28" t="s">
        <v>590</v>
      </c>
      <c r="D2153" s="117">
        <v>5</v>
      </c>
      <c r="E2153" s="122" t="s">
        <v>34</v>
      </c>
      <c r="F2153" s="120" t="s">
        <v>57</v>
      </c>
      <c r="G2153" s="29">
        <v>44307</v>
      </c>
      <c r="H2153" s="28" t="s">
        <v>9815</v>
      </c>
      <c r="I2153" s="114" t="s">
        <v>12400</v>
      </c>
      <c r="J2153" s="114" t="s">
        <v>12401</v>
      </c>
    </row>
    <row r="2154" spans="1:10" ht="20" customHeight="1" thickBot="1">
      <c r="A2154" s="26" t="s">
        <v>9818</v>
      </c>
      <c r="B2154" s="26" t="s">
        <v>9818</v>
      </c>
      <c r="C2154" s="26" t="s">
        <v>8394</v>
      </c>
      <c r="D2154" s="116">
        <v>12</v>
      </c>
      <c r="E2154" s="122" t="s">
        <v>29</v>
      </c>
      <c r="F2154" s="119" t="s">
        <v>63</v>
      </c>
      <c r="G2154" s="27">
        <v>44090</v>
      </c>
      <c r="H2154" s="26" t="s">
        <v>9819</v>
      </c>
      <c r="I2154" s="113" t="s">
        <v>12400</v>
      </c>
      <c r="J2154" s="113" t="s">
        <v>12401</v>
      </c>
    </row>
    <row r="2155" spans="1:10" ht="20" customHeight="1" thickBot="1">
      <c r="A2155" s="28" t="s">
        <v>9822</v>
      </c>
      <c r="B2155" s="28" t="s">
        <v>9822</v>
      </c>
      <c r="C2155" s="28" t="s">
        <v>9823</v>
      </c>
      <c r="D2155" s="117">
        <v>8</v>
      </c>
      <c r="E2155" s="122" t="s">
        <v>31</v>
      </c>
      <c r="F2155" s="120" t="s">
        <v>63</v>
      </c>
      <c r="G2155" s="29">
        <v>42113</v>
      </c>
      <c r="H2155" s="28" t="s">
        <v>9824</v>
      </c>
      <c r="I2155" s="114" t="s">
        <v>12400</v>
      </c>
      <c r="J2155" s="114" t="s">
        <v>12401</v>
      </c>
    </row>
    <row r="2156" spans="1:10" ht="20" customHeight="1" thickBot="1">
      <c r="A2156" s="26" t="s">
        <v>9827</v>
      </c>
      <c r="B2156" s="26" t="s">
        <v>9827</v>
      </c>
      <c r="C2156" s="26" t="s">
        <v>5587</v>
      </c>
      <c r="D2156" s="116">
        <v>19</v>
      </c>
      <c r="E2156" s="122" t="s">
        <v>29</v>
      </c>
      <c r="F2156" s="119" t="s">
        <v>63</v>
      </c>
      <c r="G2156" s="27">
        <v>46218</v>
      </c>
      <c r="H2156" s="26" t="s">
        <v>9828</v>
      </c>
      <c r="I2156" s="113" t="s">
        <v>12400</v>
      </c>
      <c r="J2156" s="113" t="s">
        <v>12401</v>
      </c>
    </row>
    <row r="2157" spans="1:10" ht="20" customHeight="1" thickBot="1">
      <c r="A2157" s="28" t="s">
        <v>9831</v>
      </c>
      <c r="B2157" s="28" t="s">
        <v>9831</v>
      </c>
      <c r="C2157" s="28" t="s">
        <v>3537</v>
      </c>
      <c r="D2157" s="117">
        <v>35</v>
      </c>
      <c r="E2157" s="122" t="s">
        <v>27</v>
      </c>
      <c r="F2157" s="120" t="s">
        <v>63</v>
      </c>
      <c r="G2157" s="29">
        <v>42219</v>
      </c>
      <c r="H2157" s="28" t="s">
        <v>9832</v>
      </c>
      <c r="I2157" s="114" t="s">
        <v>12400</v>
      </c>
      <c r="J2157" s="114" t="s">
        <v>12401</v>
      </c>
    </row>
    <row r="2158" spans="1:10" ht="20" customHeight="1" thickBot="1">
      <c r="A2158" s="26" t="s">
        <v>9835</v>
      </c>
      <c r="B2158" s="26" t="s">
        <v>9835</v>
      </c>
      <c r="C2158" s="26" t="s">
        <v>2100</v>
      </c>
      <c r="D2158" s="116">
        <v>5</v>
      </c>
      <c r="E2158" s="122" t="s">
        <v>27</v>
      </c>
      <c r="F2158" s="119" t="s">
        <v>63</v>
      </c>
      <c r="G2158" s="27">
        <v>42252</v>
      </c>
      <c r="H2158" s="26" t="s">
        <v>9836</v>
      </c>
      <c r="I2158" s="113" t="s">
        <v>12400</v>
      </c>
      <c r="J2158" s="113" t="s">
        <v>12401</v>
      </c>
    </row>
    <row r="2159" spans="1:10" ht="20" customHeight="1" thickBot="1">
      <c r="A2159" s="28" t="s">
        <v>9839</v>
      </c>
      <c r="B2159" s="28" t="s">
        <v>9839</v>
      </c>
      <c r="C2159" s="28" t="s">
        <v>9840</v>
      </c>
      <c r="D2159" s="117">
        <v>14</v>
      </c>
      <c r="E2159" s="122" t="s">
        <v>29</v>
      </c>
      <c r="F2159" s="120" t="s">
        <v>63</v>
      </c>
      <c r="G2159" s="29">
        <v>42207</v>
      </c>
      <c r="H2159" s="28" t="s">
        <v>9841</v>
      </c>
      <c r="I2159" s="114" t="s">
        <v>12400</v>
      </c>
      <c r="J2159" s="114" t="s">
        <v>12401</v>
      </c>
    </row>
    <row r="2160" spans="1:10" ht="20" customHeight="1" thickBot="1">
      <c r="A2160" s="26" t="s">
        <v>9844</v>
      </c>
      <c r="B2160" s="26" t="s">
        <v>9844</v>
      </c>
      <c r="C2160" s="26" t="s">
        <v>9845</v>
      </c>
      <c r="D2160" s="116">
        <v>101</v>
      </c>
      <c r="E2160" s="122" t="s">
        <v>35</v>
      </c>
      <c r="F2160" s="119" t="s">
        <v>115</v>
      </c>
      <c r="G2160" s="27">
        <v>44934</v>
      </c>
      <c r="H2160" s="26" t="s">
        <v>9846</v>
      </c>
      <c r="I2160" s="113" t="s">
        <v>12400</v>
      </c>
      <c r="J2160" s="113" t="s">
        <v>12401</v>
      </c>
    </row>
    <row r="2161" spans="1:10" ht="20" customHeight="1" thickBot="1">
      <c r="A2161" s="28" t="s">
        <v>9849</v>
      </c>
      <c r="B2161" s="28" t="s">
        <v>9849</v>
      </c>
      <c r="C2161" s="28" t="s">
        <v>9845</v>
      </c>
      <c r="D2161" s="117">
        <v>96</v>
      </c>
      <c r="E2161" s="122" t="s">
        <v>35</v>
      </c>
      <c r="F2161" s="120" t="s">
        <v>115</v>
      </c>
      <c r="G2161" s="29">
        <v>45627</v>
      </c>
      <c r="H2161" s="28" t="s">
        <v>9850</v>
      </c>
      <c r="I2161" s="114" t="s">
        <v>12400</v>
      </c>
      <c r="J2161" s="114" t="s">
        <v>12401</v>
      </c>
    </row>
    <row r="2162" spans="1:10" ht="20" customHeight="1" thickBot="1">
      <c r="A2162" s="26" t="s">
        <v>9853</v>
      </c>
      <c r="B2162" s="26" t="s">
        <v>9853</v>
      </c>
      <c r="C2162" s="26" t="s">
        <v>7923</v>
      </c>
      <c r="D2162" s="116">
        <v>15</v>
      </c>
      <c r="E2162" s="122" t="s">
        <v>35</v>
      </c>
      <c r="F2162" s="119" t="s">
        <v>57</v>
      </c>
      <c r="G2162" s="27">
        <v>45559</v>
      </c>
      <c r="H2162" s="26" t="s">
        <v>9854</v>
      </c>
      <c r="I2162" s="113" t="s">
        <v>12400</v>
      </c>
      <c r="J2162" s="113" t="s">
        <v>12401</v>
      </c>
    </row>
    <row r="2163" spans="1:10" ht="20" customHeight="1" thickBot="1">
      <c r="A2163" s="28" t="s">
        <v>9857</v>
      </c>
      <c r="B2163" s="28" t="s">
        <v>9857</v>
      </c>
      <c r="C2163" s="28" t="s">
        <v>9858</v>
      </c>
      <c r="D2163" s="117">
        <v>11</v>
      </c>
      <c r="E2163" s="122" t="s">
        <v>33</v>
      </c>
      <c r="F2163" s="120" t="s">
        <v>57</v>
      </c>
      <c r="G2163" s="29">
        <v>44033</v>
      </c>
      <c r="H2163" s="28" t="s">
        <v>9859</v>
      </c>
      <c r="I2163" s="114" t="s">
        <v>12400</v>
      </c>
      <c r="J2163" s="114" t="s">
        <v>12401</v>
      </c>
    </row>
    <row r="2164" spans="1:10" ht="20" customHeight="1" thickBot="1">
      <c r="A2164" s="26" t="s">
        <v>9862</v>
      </c>
      <c r="B2164" s="26" t="s">
        <v>9862</v>
      </c>
      <c r="C2164" s="26" t="s">
        <v>9863</v>
      </c>
      <c r="D2164" s="116">
        <v>20</v>
      </c>
      <c r="E2164" s="122" t="s">
        <v>33</v>
      </c>
      <c r="F2164" s="119" t="s">
        <v>57</v>
      </c>
      <c r="G2164" s="27">
        <v>44108</v>
      </c>
      <c r="H2164" s="26" t="s">
        <v>9864</v>
      </c>
      <c r="I2164" s="113" t="s">
        <v>12400</v>
      </c>
      <c r="J2164" s="113" t="s">
        <v>12401</v>
      </c>
    </row>
    <row r="2165" spans="1:10" ht="20" customHeight="1" thickBot="1">
      <c r="A2165" s="28" t="s">
        <v>9867</v>
      </c>
      <c r="B2165" s="28" t="s">
        <v>9867</v>
      </c>
      <c r="C2165" s="28" t="s">
        <v>9868</v>
      </c>
      <c r="D2165" s="117">
        <v>13</v>
      </c>
      <c r="E2165" s="122" t="s">
        <v>34</v>
      </c>
      <c r="F2165" s="120" t="s">
        <v>57</v>
      </c>
      <c r="G2165" s="29">
        <v>44168</v>
      </c>
      <c r="H2165" s="28" t="s">
        <v>9869</v>
      </c>
      <c r="I2165" s="114" t="s">
        <v>12400</v>
      </c>
      <c r="J2165" s="114" t="s">
        <v>12401</v>
      </c>
    </row>
    <row r="2166" spans="1:10" ht="20" customHeight="1" thickBot="1">
      <c r="A2166" s="26" t="s">
        <v>9872</v>
      </c>
      <c r="B2166" s="26" t="s">
        <v>9872</v>
      </c>
      <c r="C2166" s="26" t="s">
        <v>9873</v>
      </c>
      <c r="D2166" s="116">
        <v>17</v>
      </c>
      <c r="E2166" s="122" t="s">
        <v>34</v>
      </c>
      <c r="F2166" s="119" t="s">
        <v>57</v>
      </c>
      <c r="G2166" s="27">
        <v>45854</v>
      </c>
      <c r="H2166" s="26" t="s">
        <v>9874</v>
      </c>
      <c r="I2166" s="113" t="s">
        <v>12400</v>
      </c>
      <c r="J2166" s="113" t="s">
        <v>12401</v>
      </c>
    </row>
    <row r="2167" spans="1:10" ht="20" customHeight="1" thickBot="1">
      <c r="A2167" s="28" t="s">
        <v>9877</v>
      </c>
      <c r="B2167" s="28" t="s">
        <v>9877</v>
      </c>
      <c r="C2167" s="28" t="s">
        <v>9878</v>
      </c>
      <c r="D2167" s="117">
        <v>6</v>
      </c>
      <c r="E2167" s="122" t="s">
        <v>33</v>
      </c>
      <c r="F2167" s="120" t="s">
        <v>63</v>
      </c>
      <c r="G2167" s="29">
        <v>44203</v>
      </c>
      <c r="H2167" s="28" t="s">
        <v>9879</v>
      </c>
      <c r="I2167" s="114" t="s">
        <v>12400</v>
      </c>
      <c r="J2167" s="114" t="s">
        <v>12401</v>
      </c>
    </row>
    <row r="2168" spans="1:10" ht="20" customHeight="1" thickBot="1">
      <c r="A2168" s="26" t="s">
        <v>9882</v>
      </c>
      <c r="B2168" s="26" t="s">
        <v>9882</v>
      </c>
      <c r="C2168" s="26" t="s">
        <v>4255</v>
      </c>
      <c r="D2168" s="116">
        <v>4</v>
      </c>
      <c r="E2168" s="122" t="s">
        <v>31</v>
      </c>
      <c r="F2168" s="119" t="s">
        <v>57</v>
      </c>
      <c r="G2168" s="27">
        <v>44358</v>
      </c>
      <c r="H2168" s="26" t="s">
        <v>9883</v>
      </c>
      <c r="I2168" s="113" t="s">
        <v>12400</v>
      </c>
      <c r="J2168" s="113" t="s">
        <v>12401</v>
      </c>
    </row>
    <row r="2169" spans="1:10" ht="20" customHeight="1" thickBot="1">
      <c r="A2169" s="28" t="s">
        <v>9886</v>
      </c>
      <c r="B2169" s="28" t="s">
        <v>9886</v>
      </c>
      <c r="C2169" s="28" t="s">
        <v>9887</v>
      </c>
      <c r="D2169" s="117">
        <v>31</v>
      </c>
      <c r="E2169" s="122" t="s">
        <v>34</v>
      </c>
      <c r="F2169" s="120" t="s">
        <v>57</v>
      </c>
      <c r="G2169" s="29">
        <v>45362</v>
      </c>
      <c r="H2169" s="28" t="s">
        <v>9888</v>
      </c>
      <c r="I2169" s="114" t="s">
        <v>12400</v>
      </c>
      <c r="J2169" s="114" t="s">
        <v>12401</v>
      </c>
    </row>
    <row r="2170" spans="1:10" ht="20" customHeight="1" thickBot="1">
      <c r="A2170" s="26" t="s">
        <v>9891</v>
      </c>
      <c r="B2170" s="26" t="s">
        <v>9891</v>
      </c>
      <c r="C2170" s="26" t="s">
        <v>9892</v>
      </c>
      <c r="D2170" s="116">
        <v>16</v>
      </c>
      <c r="E2170" s="122" t="s">
        <v>31</v>
      </c>
      <c r="F2170" s="119" t="s">
        <v>57</v>
      </c>
      <c r="G2170" s="27">
        <v>43977</v>
      </c>
      <c r="H2170" s="26" t="s">
        <v>9893</v>
      </c>
      <c r="I2170" s="113" t="s">
        <v>12400</v>
      </c>
      <c r="J2170" s="113" t="s">
        <v>12401</v>
      </c>
    </row>
    <row r="2171" spans="1:10" ht="20" customHeight="1" thickBot="1">
      <c r="A2171" s="28" t="s">
        <v>9896</v>
      </c>
      <c r="B2171" s="28" t="s">
        <v>9896</v>
      </c>
      <c r="C2171" s="28" t="s">
        <v>9897</v>
      </c>
      <c r="D2171" s="117">
        <v>12</v>
      </c>
      <c r="E2171" s="122" t="s">
        <v>35</v>
      </c>
      <c r="F2171" s="120" t="s">
        <v>57</v>
      </c>
      <c r="G2171" s="29">
        <v>45396</v>
      </c>
      <c r="H2171" s="28" t="s">
        <v>9898</v>
      </c>
      <c r="I2171" s="114" t="s">
        <v>12400</v>
      </c>
      <c r="J2171" s="114" t="s">
        <v>12401</v>
      </c>
    </row>
    <row r="2172" spans="1:10" ht="20" customHeight="1" thickBot="1">
      <c r="A2172" s="26" t="s">
        <v>9901</v>
      </c>
      <c r="B2172" s="26" t="s">
        <v>9901</v>
      </c>
      <c r="C2172" s="26" t="s">
        <v>9902</v>
      </c>
      <c r="D2172" s="116">
        <v>11</v>
      </c>
      <c r="E2172" s="122" t="s">
        <v>27</v>
      </c>
      <c r="F2172" s="119" t="s">
        <v>63</v>
      </c>
      <c r="G2172" s="27">
        <v>42242</v>
      </c>
      <c r="H2172" s="26" t="s">
        <v>9903</v>
      </c>
      <c r="I2172" s="113" t="s">
        <v>12400</v>
      </c>
      <c r="J2172" s="113" t="s">
        <v>12401</v>
      </c>
    </row>
    <row r="2173" spans="1:10" ht="20" customHeight="1" thickBot="1">
      <c r="A2173" s="28" t="s">
        <v>9906</v>
      </c>
      <c r="B2173" s="28" t="s">
        <v>9906</v>
      </c>
      <c r="C2173" s="28" t="s">
        <v>7094</v>
      </c>
      <c r="D2173" s="117">
        <v>6</v>
      </c>
      <c r="E2173" s="122" t="s">
        <v>33</v>
      </c>
      <c r="F2173" s="120" t="s">
        <v>57</v>
      </c>
      <c r="G2173" s="29">
        <v>46010</v>
      </c>
      <c r="H2173" s="28" t="s">
        <v>9907</v>
      </c>
      <c r="I2173" s="114" t="s">
        <v>12400</v>
      </c>
      <c r="J2173" s="114" t="s">
        <v>12401</v>
      </c>
    </row>
    <row r="2174" spans="1:10" ht="20" customHeight="1" thickBot="1">
      <c r="A2174" s="26" t="s">
        <v>9910</v>
      </c>
      <c r="B2174" s="26" t="s">
        <v>9910</v>
      </c>
      <c r="C2174" s="26" t="s">
        <v>7094</v>
      </c>
      <c r="D2174" s="116">
        <v>22</v>
      </c>
      <c r="E2174" s="122" t="s">
        <v>34</v>
      </c>
      <c r="F2174" s="119" t="s">
        <v>57</v>
      </c>
      <c r="G2174" s="27">
        <v>45951</v>
      </c>
      <c r="H2174" s="26" t="s">
        <v>9911</v>
      </c>
      <c r="I2174" s="113" t="s">
        <v>12400</v>
      </c>
      <c r="J2174" s="113" t="s">
        <v>12401</v>
      </c>
    </row>
    <row r="2175" spans="1:10" ht="20" customHeight="1" thickBot="1">
      <c r="A2175" s="28" t="s">
        <v>9914</v>
      </c>
      <c r="B2175" s="28" t="s">
        <v>9914</v>
      </c>
      <c r="C2175" s="28" t="s">
        <v>7094</v>
      </c>
      <c r="D2175" s="117">
        <v>30</v>
      </c>
      <c r="E2175" s="122" t="s">
        <v>35</v>
      </c>
      <c r="F2175" s="120" t="s">
        <v>57</v>
      </c>
      <c r="G2175" s="29">
        <v>46000</v>
      </c>
      <c r="H2175" s="28" t="s">
        <v>9915</v>
      </c>
      <c r="I2175" s="114" t="s">
        <v>12400</v>
      </c>
      <c r="J2175" s="114" t="s">
        <v>12401</v>
      </c>
    </row>
    <row r="2176" spans="1:10" ht="20" customHeight="1" thickBot="1">
      <c r="A2176" s="26" t="s">
        <v>9918</v>
      </c>
      <c r="B2176" s="26" t="s">
        <v>9918</v>
      </c>
      <c r="C2176" s="26" t="s">
        <v>9919</v>
      </c>
      <c r="D2176" s="116">
        <v>10</v>
      </c>
      <c r="E2176" s="122" t="s">
        <v>29</v>
      </c>
      <c r="F2176" s="119" t="s">
        <v>63</v>
      </c>
      <c r="G2176" s="27">
        <v>44205</v>
      </c>
      <c r="H2176" s="26" t="s">
        <v>9920</v>
      </c>
      <c r="I2176" s="113" t="s">
        <v>12400</v>
      </c>
      <c r="J2176" s="113" t="s">
        <v>12401</v>
      </c>
    </row>
    <row r="2177" spans="1:10" ht="20" customHeight="1" thickBot="1">
      <c r="A2177" s="28" t="s">
        <v>9923</v>
      </c>
      <c r="B2177" s="28" t="s">
        <v>9923</v>
      </c>
      <c r="C2177" s="28" t="s">
        <v>9924</v>
      </c>
      <c r="D2177" s="117">
        <v>1</v>
      </c>
      <c r="E2177" s="122" t="s">
        <v>34</v>
      </c>
      <c r="F2177" s="120" t="s">
        <v>571</v>
      </c>
      <c r="G2177" s="29">
        <v>42599</v>
      </c>
      <c r="H2177" s="28" t="s">
        <v>9925</v>
      </c>
      <c r="I2177" s="114" t="s">
        <v>12400</v>
      </c>
      <c r="J2177" s="114" t="s">
        <v>12401</v>
      </c>
    </row>
    <row r="2178" spans="1:10" ht="20" customHeight="1" thickBot="1">
      <c r="A2178" s="26" t="s">
        <v>9928</v>
      </c>
      <c r="B2178" s="26" t="s">
        <v>9928</v>
      </c>
      <c r="C2178" s="26" t="s">
        <v>1389</v>
      </c>
      <c r="D2178" s="116">
        <v>14</v>
      </c>
      <c r="E2178" s="122" t="s">
        <v>34</v>
      </c>
      <c r="F2178" s="119" t="s">
        <v>57</v>
      </c>
      <c r="G2178" s="27">
        <v>45762</v>
      </c>
      <c r="H2178" s="26" t="s">
        <v>9929</v>
      </c>
      <c r="I2178" s="113" t="s">
        <v>12400</v>
      </c>
      <c r="J2178" s="113" t="s">
        <v>12401</v>
      </c>
    </row>
    <row r="2179" spans="1:10" ht="20" customHeight="1" thickBot="1">
      <c r="A2179" s="28" t="s">
        <v>9932</v>
      </c>
      <c r="B2179" s="28" t="s">
        <v>9932</v>
      </c>
      <c r="C2179" s="28" t="s">
        <v>9933</v>
      </c>
      <c r="D2179" s="117">
        <v>8</v>
      </c>
      <c r="E2179" s="122" t="s">
        <v>31</v>
      </c>
      <c r="F2179" s="120" t="s">
        <v>57</v>
      </c>
      <c r="G2179" s="29">
        <v>44748</v>
      </c>
      <c r="H2179" s="28" t="s">
        <v>9934</v>
      </c>
      <c r="I2179" s="114" t="s">
        <v>12400</v>
      </c>
      <c r="J2179" s="114" t="s">
        <v>12401</v>
      </c>
    </row>
    <row r="2180" spans="1:10" ht="20" customHeight="1" thickBot="1">
      <c r="A2180" s="26" t="s">
        <v>9937</v>
      </c>
      <c r="B2180" s="26" t="s">
        <v>9937</v>
      </c>
      <c r="C2180" s="26" t="s">
        <v>9938</v>
      </c>
      <c r="D2180" s="116">
        <v>22</v>
      </c>
      <c r="E2180" s="122" t="s">
        <v>33</v>
      </c>
      <c r="F2180" s="119" t="s">
        <v>57</v>
      </c>
      <c r="G2180" s="27">
        <v>45752</v>
      </c>
      <c r="H2180" s="26" t="s">
        <v>9939</v>
      </c>
      <c r="I2180" s="113" t="s">
        <v>12400</v>
      </c>
      <c r="J2180" s="113" t="s">
        <v>12401</v>
      </c>
    </row>
    <row r="2181" spans="1:10" ht="20" customHeight="1" thickBot="1">
      <c r="A2181" s="28" t="s">
        <v>9942</v>
      </c>
      <c r="B2181" s="28" t="s">
        <v>9942</v>
      </c>
      <c r="C2181" s="28" t="s">
        <v>9943</v>
      </c>
      <c r="D2181" s="117">
        <v>10</v>
      </c>
      <c r="E2181" s="122" t="s">
        <v>31</v>
      </c>
      <c r="F2181" s="120" t="s">
        <v>63</v>
      </c>
      <c r="G2181" s="29">
        <v>45532</v>
      </c>
      <c r="H2181" s="28" t="s">
        <v>9944</v>
      </c>
      <c r="I2181" s="114" t="s">
        <v>12400</v>
      </c>
      <c r="J2181" s="114" t="s">
        <v>12401</v>
      </c>
    </row>
    <row r="2182" spans="1:10" ht="20" customHeight="1" thickBot="1">
      <c r="A2182" s="26" t="s">
        <v>9947</v>
      </c>
      <c r="B2182" s="26" t="s">
        <v>9947</v>
      </c>
      <c r="C2182" s="26" t="s">
        <v>9948</v>
      </c>
      <c r="D2182" s="116">
        <v>23</v>
      </c>
      <c r="E2182" s="122" t="s">
        <v>31</v>
      </c>
      <c r="F2182" s="119" t="s">
        <v>63</v>
      </c>
      <c r="G2182" s="27">
        <v>44545</v>
      </c>
      <c r="H2182" s="26" t="s">
        <v>9949</v>
      </c>
      <c r="I2182" s="113" t="s">
        <v>12400</v>
      </c>
      <c r="J2182" s="113" t="s">
        <v>12401</v>
      </c>
    </row>
    <row r="2183" spans="1:10" ht="20" customHeight="1" thickBot="1">
      <c r="A2183" s="28" t="s">
        <v>9952</v>
      </c>
      <c r="B2183" s="28" t="s">
        <v>9952</v>
      </c>
      <c r="C2183" s="28" t="s">
        <v>9948</v>
      </c>
      <c r="D2183" s="117">
        <v>21</v>
      </c>
      <c r="E2183" s="122" t="s">
        <v>31</v>
      </c>
      <c r="F2183" s="120" t="s">
        <v>115</v>
      </c>
      <c r="G2183" s="29">
        <v>44739</v>
      </c>
      <c r="H2183" s="28" t="s">
        <v>9953</v>
      </c>
      <c r="I2183" s="114" t="s">
        <v>12400</v>
      </c>
      <c r="J2183" s="114" t="s">
        <v>12401</v>
      </c>
    </row>
    <row r="2184" spans="1:10" ht="20" customHeight="1" thickBot="1">
      <c r="A2184" s="26" t="s">
        <v>9956</v>
      </c>
      <c r="B2184" s="26" t="s">
        <v>9956</v>
      </c>
      <c r="C2184" s="26" t="s">
        <v>9957</v>
      </c>
      <c r="D2184" s="116">
        <v>4</v>
      </c>
      <c r="E2184" s="122" t="s">
        <v>35</v>
      </c>
      <c r="F2184" s="119" t="s">
        <v>57</v>
      </c>
      <c r="G2184" s="27">
        <v>44768</v>
      </c>
      <c r="H2184" s="26" t="s">
        <v>9958</v>
      </c>
      <c r="I2184" s="113" t="s">
        <v>12400</v>
      </c>
      <c r="J2184" s="113" t="s">
        <v>12401</v>
      </c>
    </row>
    <row r="2185" spans="1:10" ht="20" customHeight="1" thickBot="1">
      <c r="A2185" s="28" t="s">
        <v>9961</v>
      </c>
      <c r="B2185" s="28" t="s">
        <v>9961</v>
      </c>
      <c r="C2185" s="28" t="s">
        <v>9957</v>
      </c>
      <c r="D2185" s="117">
        <v>10</v>
      </c>
      <c r="E2185" s="122" t="s">
        <v>34</v>
      </c>
      <c r="F2185" s="120" t="s">
        <v>115</v>
      </c>
      <c r="G2185" s="29">
        <v>45142</v>
      </c>
      <c r="H2185" s="28" t="s">
        <v>9962</v>
      </c>
      <c r="I2185" s="114" t="s">
        <v>12400</v>
      </c>
      <c r="J2185" s="114" t="s">
        <v>12401</v>
      </c>
    </row>
    <row r="2186" spans="1:10" ht="20" customHeight="1" thickBot="1">
      <c r="A2186" s="26" t="s">
        <v>9965</v>
      </c>
      <c r="B2186" s="26" t="s">
        <v>9965</v>
      </c>
      <c r="C2186" s="26" t="s">
        <v>2782</v>
      </c>
      <c r="D2186" s="116">
        <v>30</v>
      </c>
      <c r="E2186" s="122" t="s">
        <v>29</v>
      </c>
      <c r="F2186" s="119" t="s">
        <v>63</v>
      </c>
      <c r="G2186" s="27">
        <v>44007</v>
      </c>
      <c r="H2186" s="26" t="s">
        <v>9966</v>
      </c>
      <c r="I2186" s="113" t="s">
        <v>12400</v>
      </c>
      <c r="J2186" s="113" t="s">
        <v>12401</v>
      </c>
    </row>
    <row r="2187" spans="1:10" ht="20" customHeight="1" thickBot="1">
      <c r="A2187" s="28" t="s">
        <v>9969</v>
      </c>
      <c r="B2187" s="28" t="s">
        <v>9969</v>
      </c>
      <c r="C2187" s="28" t="s">
        <v>2782</v>
      </c>
      <c r="D2187" s="117">
        <v>42</v>
      </c>
      <c r="E2187" s="122" t="s">
        <v>31</v>
      </c>
      <c r="F2187" s="120" t="s">
        <v>63</v>
      </c>
      <c r="G2187" s="29">
        <v>44375</v>
      </c>
      <c r="H2187" s="28" t="s">
        <v>9970</v>
      </c>
      <c r="I2187" s="114" t="s">
        <v>12400</v>
      </c>
      <c r="J2187" s="114" t="s">
        <v>12401</v>
      </c>
    </row>
    <row r="2188" spans="1:10" ht="20" customHeight="1" thickBot="1">
      <c r="A2188" s="26" t="s">
        <v>9973</v>
      </c>
      <c r="B2188" s="26" t="s">
        <v>9973</v>
      </c>
      <c r="C2188" s="26" t="s">
        <v>2782</v>
      </c>
      <c r="D2188" s="116">
        <v>50</v>
      </c>
      <c r="E2188" s="122" t="s">
        <v>29</v>
      </c>
      <c r="F2188" s="119" t="s">
        <v>63</v>
      </c>
      <c r="G2188" s="27">
        <v>45876</v>
      </c>
      <c r="H2188" s="26" t="s">
        <v>9974</v>
      </c>
      <c r="I2188" s="113" t="s">
        <v>12400</v>
      </c>
      <c r="J2188" s="113" t="s">
        <v>12401</v>
      </c>
    </row>
    <row r="2189" spans="1:10" ht="20" customHeight="1" thickBot="1">
      <c r="A2189" s="28" t="s">
        <v>9977</v>
      </c>
      <c r="B2189" s="28" t="s">
        <v>9977</v>
      </c>
      <c r="C2189" s="28" t="s">
        <v>9978</v>
      </c>
      <c r="D2189" s="117">
        <v>14</v>
      </c>
      <c r="E2189" s="122" t="s">
        <v>31</v>
      </c>
      <c r="F2189" s="120" t="s">
        <v>63</v>
      </c>
      <c r="G2189" s="29">
        <v>42219</v>
      </c>
      <c r="H2189" s="28" t="s">
        <v>9979</v>
      </c>
      <c r="I2189" s="114" t="s">
        <v>12400</v>
      </c>
      <c r="J2189" s="114" t="s">
        <v>12401</v>
      </c>
    </row>
    <row r="2190" spans="1:10" ht="20" customHeight="1" thickBot="1">
      <c r="A2190" s="26" t="s">
        <v>9982</v>
      </c>
      <c r="B2190" s="26" t="s">
        <v>9982</v>
      </c>
      <c r="C2190" s="26" t="s">
        <v>1714</v>
      </c>
      <c r="D2190" s="116">
        <v>7</v>
      </c>
      <c r="E2190" s="122" t="s">
        <v>27</v>
      </c>
      <c r="F2190" s="119" t="s">
        <v>63</v>
      </c>
      <c r="G2190" s="27">
        <v>41856</v>
      </c>
      <c r="H2190" s="26" t="s">
        <v>9983</v>
      </c>
      <c r="I2190" s="113" t="s">
        <v>12400</v>
      </c>
      <c r="J2190" s="113" t="s">
        <v>12401</v>
      </c>
    </row>
    <row r="2191" spans="1:10" ht="20" customHeight="1" thickBot="1">
      <c r="A2191" s="28" t="s">
        <v>9986</v>
      </c>
      <c r="B2191" s="28" t="s">
        <v>9986</v>
      </c>
      <c r="C2191" s="28" t="s">
        <v>1824</v>
      </c>
      <c r="D2191" s="117">
        <v>25</v>
      </c>
      <c r="E2191" s="122" t="s">
        <v>33</v>
      </c>
      <c r="F2191" s="120" t="s">
        <v>115</v>
      </c>
      <c r="G2191" s="29">
        <v>44595</v>
      </c>
      <c r="H2191" s="28" t="s">
        <v>9987</v>
      </c>
      <c r="I2191" s="114" t="s">
        <v>12400</v>
      </c>
      <c r="J2191" s="114" t="s">
        <v>12401</v>
      </c>
    </row>
    <row r="2192" spans="1:10" ht="20" customHeight="1" thickBot="1">
      <c r="A2192" s="26" t="s">
        <v>9990</v>
      </c>
      <c r="B2192" s="26" t="s">
        <v>9990</v>
      </c>
      <c r="C2192" s="26" t="s">
        <v>3346</v>
      </c>
      <c r="D2192" s="116">
        <v>18</v>
      </c>
      <c r="E2192" s="122" t="s">
        <v>34</v>
      </c>
      <c r="F2192" s="119" t="s">
        <v>57</v>
      </c>
      <c r="G2192" s="27">
        <v>44095</v>
      </c>
      <c r="H2192" s="26" t="s">
        <v>9991</v>
      </c>
      <c r="I2192" s="113" t="s">
        <v>12400</v>
      </c>
      <c r="J2192" s="113" t="s">
        <v>12401</v>
      </c>
    </row>
    <row r="2193" spans="1:10" ht="20" customHeight="1" thickBot="1">
      <c r="A2193" s="28" t="s">
        <v>9994</v>
      </c>
      <c r="B2193" s="28" t="s">
        <v>9994</v>
      </c>
      <c r="C2193" s="28" t="s">
        <v>3346</v>
      </c>
      <c r="D2193" s="117">
        <v>18</v>
      </c>
      <c r="E2193" s="122" t="s">
        <v>33</v>
      </c>
      <c r="F2193" s="120" t="s">
        <v>57</v>
      </c>
      <c r="G2193" s="29">
        <v>44113</v>
      </c>
      <c r="H2193" s="28" t="s">
        <v>9995</v>
      </c>
      <c r="I2193" s="114" t="s">
        <v>12400</v>
      </c>
      <c r="J2193" s="114" t="s">
        <v>12401</v>
      </c>
    </row>
    <row r="2194" spans="1:10" ht="20" customHeight="1" thickBot="1">
      <c r="A2194" s="26" t="s">
        <v>9998</v>
      </c>
      <c r="B2194" s="26" t="s">
        <v>9998</v>
      </c>
      <c r="C2194" s="26" t="s">
        <v>9150</v>
      </c>
      <c r="D2194" s="116">
        <v>19</v>
      </c>
      <c r="E2194" s="122" t="s">
        <v>31</v>
      </c>
      <c r="F2194" s="119" t="s">
        <v>63</v>
      </c>
      <c r="G2194" s="27">
        <v>44514</v>
      </c>
      <c r="H2194" s="26" t="s">
        <v>9999</v>
      </c>
      <c r="I2194" s="113" t="s">
        <v>12400</v>
      </c>
      <c r="J2194" s="113" t="s">
        <v>12401</v>
      </c>
    </row>
    <row r="2195" spans="1:10" ht="20" customHeight="1" thickBot="1">
      <c r="A2195" s="28" t="s">
        <v>10002</v>
      </c>
      <c r="B2195" s="28" t="s">
        <v>10002</v>
      </c>
      <c r="C2195" s="28" t="s">
        <v>10003</v>
      </c>
      <c r="D2195" s="117">
        <v>21</v>
      </c>
      <c r="E2195" s="122" t="s">
        <v>34</v>
      </c>
      <c r="F2195" s="120" t="s">
        <v>57</v>
      </c>
      <c r="G2195" s="29">
        <v>44650</v>
      </c>
      <c r="H2195" s="28" t="s">
        <v>10004</v>
      </c>
      <c r="I2195" s="114" t="s">
        <v>12400</v>
      </c>
      <c r="J2195" s="114" t="s">
        <v>12401</v>
      </c>
    </row>
    <row r="2196" spans="1:10" ht="20" customHeight="1" thickBot="1">
      <c r="A2196" s="26" t="s">
        <v>10007</v>
      </c>
      <c r="B2196" s="26" t="s">
        <v>10007</v>
      </c>
      <c r="C2196" s="26" t="s">
        <v>5574</v>
      </c>
      <c r="D2196" s="116">
        <v>5</v>
      </c>
      <c r="E2196" s="122" t="s">
        <v>27</v>
      </c>
      <c r="F2196" s="119" t="s">
        <v>63</v>
      </c>
      <c r="G2196" s="27">
        <v>42221</v>
      </c>
      <c r="H2196" s="26" t="s">
        <v>10008</v>
      </c>
      <c r="I2196" s="113" t="s">
        <v>12400</v>
      </c>
      <c r="J2196" s="113" t="s">
        <v>12401</v>
      </c>
    </row>
    <row r="2197" spans="1:10" ht="20" customHeight="1" thickBot="1">
      <c r="A2197" s="28" t="s">
        <v>10011</v>
      </c>
      <c r="B2197" s="28" t="s">
        <v>10011</v>
      </c>
      <c r="C2197" s="28" t="s">
        <v>10012</v>
      </c>
      <c r="D2197" s="117">
        <v>29</v>
      </c>
      <c r="E2197" s="122" t="s">
        <v>27</v>
      </c>
      <c r="F2197" s="120" t="s">
        <v>63</v>
      </c>
      <c r="G2197" s="29">
        <v>42277</v>
      </c>
      <c r="H2197" s="28" t="s">
        <v>10013</v>
      </c>
      <c r="I2197" s="114" t="s">
        <v>12400</v>
      </c>
      <c r="J2197" s="114" t="s">
        <v>12401</v>
      </c>
    </row>
    <row r="2198" spans="1:10" ht="20" customHeight="1" thickBot="1">
      <c r="A2198" s="26" t="s">
        <v>10016</v>
      </c>
      <c r="B2198" s="26" t="s">
        <v>10016</v>
      </c>
      <c r="C2198" s="26" t="s">
        <v>1967</v>
      </c>
      <c r="D2198" s="116">
        <v>6</v>
      </c>
      <c r="E2198" s="122" t="s">
        <v>34</v>
      </c>
      <c r="F2198" s="119" t="s">
        <v>57</v>
      </c>
      <c r="G2198" s="27">
        <v>43928</v>
      </c>
      <c r="H2198" s="26" t="s">
        <v>10017</v>
      </c>
      <c r="I2198" s="113" t="s">
        <v>12400</v>
      </c>
      <c r="J2198" s="113" t="s">
        <v>12401</v>
      </c>
    </row>
    <row r="2199" spans="1:10" ht="20" customHeight="1" thickBot="1">
      <c r="A2199" s="28" t="s">
        <v>10020</v>
      </c>
      <c r="B2199" s="28" t="s">
        <v>10020</v>
      </c>
      <c r="C2199" s="28" t="s">
        <v>278</v>
      </c>
      <c r="D2199" s="117">
        <v>0</v>
      </c>
      <c r="E2199" s="122" t="s">
        <v>35</v>
      </c>
      <c r="F2199" s="120" t="s">
        <v>57</v>
      </c>
      <c r="G2199" s="29">
        <v>45146</v>
      </c>
      <c r="H2199" s="28" t="s">
        <v>10021</v>
      </c>
      <c r="I2199" s="114" t="s">
        <v>12400</v>
      </c>
      <c r="J2199" s="114" t="s">
        <v>12401</v>
      </c>
    </row>
    <row r="2200" spans="1:10" ht="20" customHeight="1" thickBot="1">
      <c r="A2200" s="26" t="s">
        <v>10024</v>
      </c>
      <c r="B2200" s="26" t="s">
        <v>10024</v>
      </c>
      <c r="C2200" s="26" t="s">
        <v>1369</v>
      </c>
      <c r="D2200" s="116">
        <v>14</v>
      </c>
      <c r="E2200" s="122" t="s">
        <v>34</v>
      </c>
      <c r="F2200" s="119" t="s">
        <v>57</v>
      </c>
      <c r="G2200" s="27">
        <v>46088</v>
      </c>
      <c r="H2200" s="26" t="s">
        <v>10025</v>
      </c>
      <c r="I2200" s="113" t="s">
        <v>12400</v>
      </c>
      <c r="J2200" s="113" t="s">
        <v>12401</v>
      </c>
    </row>
    <row r="2201" spans="1:10" ht="20" customHeight="1" thickBot="1">
      <c r="A2201" s="28" t="s">
        <v>10028</v>
      </c>
      <c r="B2201" s="28" t="s">
        <v>10028</v>
      </c>
      <c r="C2201" s="28" t="s">
        <v>2081</v>
      </c>
      <c r="D2201" s="117">
        <v>23</v>
      </c>
      <c r="E2201" s="122" t="s">
        <v>34</v>
      </c>
      <c r="F2201" s="120" t="s">
        <v>57</v>
      </c>
      <c r="G2201" s="29">
        <v>45953</v>
      </c>
      <c r="H2201" s="28" t="s">
        <v>10029</v>
      </c>
      <c r="I2201" s="114" t="s">
        <v>12400</v>
      </c>
      <c r="J2201" s="114" t="s">
        <v>12401</v>
      </c>
    </row>
    <row r="2202" spans="1:10" ht="20" customHeight="1" thickBot="1">
      <c r="A2202" s="26" t="s">
        <v>10032</v>
      </c>
      <c r="B2202" s="26" t="s">
        <v>10032</v>
      </c>
      <c r="C2202" s="26" t="s">
        <v>10033</v>
      </c>
      <c r="D2202" s="116">
        <v>12</v>
      </c>
      <c r="E2202" s="122" t="s">
        <v>35</v>
      </c>
      <c r="F2202" s="119" t="s">
        <v>57</v>
      </c>
      <c r="G2202" s="27">
        <v>42875</v>
      </c>
      <c r="H2202" s="26" t="s">
        <v>10034</v>
      </c>
      <c r="I2202" s="113" t="s">
        <v>12400</v>
      </c>
      <c r="J2202" s="113" t="s">
        <v>12401</v>
      </c>
    </row>
    <row r="2203" spans="1:10" ht="20" customHeight="1" thickBot="1">
      <c r="A2203" s="28" t="s">
        <v>10037</v>
      </c>
      <c r="B2203" s="28" t="s">
        <v>10037</v>
      </c>
      <c r="C2203" s="28" t="s">
        <v>4010</v>
      </c>
      <c r="D2203" s="117">
        <v>4</v>
      </c>
      <c r="E2203" s="122" t="s">
        <v>27</v>
      </c>
      <c r="F2203" s="120" t="s">
        <v>63</v>
      </c>
      <c r="G2203" s="29">
        <v>42044</v>
      </c>
      <c r="H2203" s="28" t="s">
        <v>10038</v>
      </c>
      <c r="I2203" s="114" t="s">
        <v>12400</v>
      </c>
      <c r="J2203" s="114" t="s">
        <v>12401</v>
      </c>
    </row>
    <row r="2204" spans="1:10" ht="20" customHeight="1" thickBot="1">
      <c r="A2204" s="26" t="s">
        <v>10041</v>
      </c>
      <c r="B2204" s="26" t="s">
        <v>10041</v>
      </c>
      <c r="C2204" s="26" t="s">
        <v>3395</v>
      </c>
      <c r="D2204" s="116">
        <v>9</v>
      </c>
      <c r="E2204" s="122" t="s">
        <v>34</v>
      </c>
      <c r="F2204" s="119" t="s">
        <v>57</v>
      </c>
      <c r="G2204" s="27">
        <v>45730</v>
      </c>
      <c r="H2204" s="26" t="s">
        <v>10042</v>
      </c>
      <c r="I2204" s="113" t="s">
        <v>12400</v>
      </c>
      <c r="J2204" s="113" t="s">
        <v>12401</v>
      </c>
    </row>
    <row r="2205" spans="1:10" ht="20" customHeight="1" thickBot="1">
      <c r="A2205" s="28" t="s">
        <v>10045</v>
      </c>
      <c r="B2205" s="28" t="s">
        <v>10045</v>
      </c>
      <c r="C2205" s="28" t="s">
        <v>3395</v>
      </c>
      <c r="D2205" s="117">
        <v>7</v>
      </c>
      <c r="E2205" s="122" t="s">
        <v>35</v>
      </c>
      <c r="F2205" s="120" t="s">
        <v>57</v>
      </c>
      <c r="G2205" s="29">
        <v>45868</v>
      </c>
      <c r="H2205" s="28" t="s">
        <v>10046</v>
      </c>
      <c r="I2205" s="114" t="s">
        <v>12400</v>
      </c>
      <c r="J2205" s="114" t="s">
        <v>12401</v>
      </c>
    </row>
    <row r="2206" spans="1:10" ht="20" customHeight="1" thickBot="1">
      <c r="A2206" s="26" t="s">
        <v>10049</v>
      </c>
      <c r="B2206" s="26" t="s">
        <v>10049</v>
      </c>
      <c r="C2206" s="26" t="s">
        <v>2133</v>
      </c>
      <c r="D2206" s="116">
        <v>35</v>
      </c>
      <c r="E2206" s="122" t="s">
        <v>33</v>
      </c>
      <c r="F2206" s="119" t="s">
        <v>63</v>
      </c>
      <c r="G2206" s="27">
        <v>44212</v>
      </c>
      <c r="H2206" s="26" t="s">
        <v>10050</v>
      </c>
      <c r="I2206" s="113" t="s">
        <v>12400</v>
      </c>
      <c r="J2206" s="113" t="s">
        <v>12401</v>
      </c>
    </row>
    <row r="2207" spans="1:10" ht="20" customHeight="1" thickBot="1">
      <c r="A2207" s="28" t="s">
        <v>10053</v>
      </c>
      <c r="B2207" s="28" t="s">
        <v>10053</v>
      </c>
      <c r="C2207" s="28" t="s">
        <v>10054</v>
      </c>
      <c r="D2207" s="117">
        <v>13</v>
      </c>
      <c r="E2207" s="122" t="s">
        <v>31</v>
      </c>
      <c r="F2207" s="120" t="s">
        <v>57</v>
      </c>
      <c r="G2207" s="29">
        <v>43559</v>
      </c>
      <c r="H2207" s="28" t="s">
        <v>10055</v>
      </c>
      <c r="I2207" s="114" t="s">
        <v>12400</v>
      </c>
      <c r="J2207" s="114" t="s">
        <v>12401</v>
      </c>
    </row>
    <row r="2208" spans="1:10" ht="20" customHeight="1" thickBot="1">
      <c r="A2208" s="26" t="s">
        <v>10058</v>
      </c>
      <c r="B2208" s="26" t="s">
        <v>10058</v>
      </c>
      <c r="C2208" s="26" t="s">
        <v>1745</v>
      </c>
      <c r="D2208" s="116">
        <v>16</v>
      </c>
      <c r="E2208" s="122" t="s">
        <v>34</v>
      </c>
      <c r="F2208" s="119" t="s">
        <v>57</v>
      </c>
      <c r="G2208" s="27">
        <v>44396</v>
      </c>
      <c r="H2208" s="26" t="s">
        <v>10059</v>
      </c>
      <c r="I2208" s="113" t="s">
        <v>12400</v>
      </c>
      <c r="J2208" s="113" t="s">
        <v>12401</v>
      </c>
    </row>
    <row r="2209" spans="1:10" ht="20" customHeight="1" thickBot="1">
      <c r="A2209" s="28" t="s">
        <v>10062</v>
      </c>
      <c r="B2209" s="28" t="s">
        <v>10062</v>
      </c>
      <c r="C2209" s="28" t="s">
        <v>1789</v>
      </c>
      <c r="D2209" s="117">
        <v>60</v>
      </c>
      <c r="E2209" s="122" t="s">
        <v>33</v>
      </c>
      <c r="F2209" s="120" t="s">
        <v>63</v>
      </c>
      <c r="G2209" s="29">
        <v>41705</v>
      </c>
      <c r="H2209" s="28" t="s">
        <v>10063</v>
      </c>
      <c r="I2209" s="114" t="s">
        <v>12400</v>
      </c>
      <c r="J2209" s="114" t="s">
        <v>12401</v>
      </c>
    </row>
    <row r="2210" spans="1:10" ht="20" customHeight="1" thickBot="1">
      <c r="A2210" s="26" t="s">
        <v>10066</v>
      </c>
      <c r="B2210" s="26" t="s">
        <v>10066</v>
      </c>
      <c r="C2210" s="26" t="s">
        <v>1789</v>
      </c>
      <c r="D2210" s="116">
        <v>78</v>
      </c>
      <c r="E2210" s="122" t="s">
        <v>31</v>
      </c>
      <c r="F2210" s="119" t="s">
        <v>63</v>
      </c>
      <c r="G2210" s="27">
        <v>41600</v>
      </c>
      <c r="H2210" s="26" t="s">
        <v>10067</v>
      </c>
      <c r="I2210" s="113" t="s">
        <v>12400</v>
      </c>
      <c r="J2210" s="113" t="s">
        <v>12401</v>
      </c>
    </row>
    <row r="2211" spans="1:10" ht="20" customHeight="1" thickBot="1">
      <c r="A2211" s="28" t="s">
        <v>10070</v>
      </c>
      <c r="B2211" s="28" t="s">
        <v>10070</v>
      </c>
      <c r="C2211" s="28" t="s">
        <v>10071</v>
      </c>
      <c r="D2211" s="117">
        <v>9</v>
      </c>
      <c r="E2211" s="122" t="s">
        <v>33</v>
      </c>
      <c r="F2211" s="120" t="s">
        <v>57</v>
      </c>
      <c r="G2211" s="29">
        <v>43962</v>
      </c>
      <c r="H2211" s="28" t="s">
        <v>10072</v>
      </c>
      <c r="I2211" s="114" t="s">
        <v>12400</v>
      </c>
      <c r="J2211" s="114" t="s">
        <v>12401</v>
      </c>
    </row>
    <row r="2212" spans="1:10" ht="20" customHeight="1" thickBot="1">
      <c r="A2212" s="26" t="s">
        <v>10075</v>
      </c>
      <c r="B2212" s="26" t="s">
        <v>10075</v>
      </c>
      <c r="C2212" s="26" t="s">
        <v>10076</v>
      </c>
      <c r="D2212" s="116">
        <v>5</v>
      </c>
      <c r="E2212" s="122" t="s">
        <v>27</v>
      </c>
      <c r="F2212" s="119" t="s">
        <v>63</v>
      </c>
      <c r="G2212" s="27">
        <v>43185</v>
      </c>
      <c r="H2212" s="26" t="s">
        <v>10077</v>
      </c>
      <c r="I2212" s="113" t="s">
        <v>12400</v>
      </c>
      <c r="J2212" s="113" t="s">
        <v>12401</v>
      </c>
    </row>
    <row r="2213" spans="1:10" ht="20" customHeight="1" thickBot="1">
      <c r="A2213" s="28" t="s">
        <v>10080</v>
      </c>
      <c r="B2213" s="28" t="s">
        <v>10080</v>
      </c>
      <c r="C2213" s="28" t="s">
        <v>10081</v>
      </c>
      <c r="D2213" s="117">
        <v>75</v>
      </c>
      <c r="E2213" s="122" t="s">
        <v>29</v>
      </c>
      <c r="F2213" s="120" t="s">
        <v>63</v>
      </c>
      <c r="G2213" s="29">
        <v>45932</v>
      </c>
      <c r="H2213" s="28" t="s">
        <v>10082</v>
      </c>
      <c r="I2213" s="114" t="s">
        <v>12400</v>
      </c>
      <c r="J2213" s="114" t="s">
        <v>12401</v>
      </c>
    </row>
    <row r="2214" spans="1:10" ht="20" customHeight="1" thickBot="1">
      <c r="A2214" s="26" t="s">
        <v>10085</v>
      </c>
      <c r="B2214" s="26" t="s">
        <v>10085</v>
      </c>
      <c r="C2214" s="26" t="s">
        <v>4347</v>
      </c>
      <c r="D2214" s="116">
        <v>18</v>
      </c>
      <c r="E2214" s="122" t="s">
        <v>29</v>
      </c>
      <c r="F2214" s="119" t="s">
        <v>63</v>
      </c>
      <c r="G2214" s="27">
        <v>42087</v>
      </c>
      <c r="H2214" s="26" t="s">
        <v>10086</v>
      </c>
      <c r="I2214" s="113" t="s">
        <v>12400</v>
      </c>
      <c r="J2214" s="113" t="s">
        <v>12401</v>
      </c>
    </row>
    <row r="2215" spans="1:10" ht="20" customHeight="1" thickBot="1">
      <c r="A2215" s="28" t="s">
        <v>10089</v>
      </c>
      <c r="B2215" s="28" t="s">
        <v>10089</v>
      </c>
      <c r="C2215" s="28" t="s">
        <v>10090</v>
      </c>
      <c r="D2215" s="117">
        <v>4</v>
      </c>
      <c r="E2215" s="122" t="s">
        <v>31</v>
      </c>
      <c r="F2215" s="120" t="s">
        <v>57</v>
      </c>
      <c r="G2215" s="29">
        <v>45100</v>
      </c>
      <c r="H2215" s="28" t="s">
        <v>10091</v>
      </c>
      <c r="I2215" s="114" t="s">
        <v>12400</v>
      </c>
      <c r="J2215" s="114" t="s">
        <v>12401</v>
      </c>
    </row>
    <row r="2216" spans="1:10" ht="20" customHeight="1" thickBot="1">
      <c r="A2216" s="26" t="s">
        <v>10094</v>
      </c>
      <c r="B2216" s="26" t="s">
        <v>10094</v>
      </c>
      <c r="C2216" s="26" t="s">
        <v>10095</v>
      </c>
      <c r="D2216" s="116">
        <v>28</v>
      </c>
      <c r="E2216" s="122" t="s">
        <v>34</v>
      </c>
      <c r="F2216" s="119" t="s">
        <v>3138</v>
      </c>
      <c r="G2216" s="27">
        <v>42738</v>
      </c>
      <c r="H2216" s="26" t="s">
        <v>10096</v>
      </c>
      <c r="I2216" s="113" t="s">
        <v>12400</v>
      </c>
      <c r="J2216" s="113" t="s">
        <v>12401</v>
      </c>
    </row>
    <row r="2217" spans="1:10" ht="20" customHeight="1" thickBot="1">
      <c r="A2217" s="28" t="s">
        <v>10099</v>
      </c>
      <c r="B2217" s="28" t="s">
        <v>10099</v>
      </c>
      <c r="C2217" s="28" t="s">
        <v>10100</v>
      </c>
      <c r="D2217" s="117">
        <v>5</v>
      </c>
      <c r="E2217" s="122" t="s">
        <v>31</v>
      </c>
      <c r="F2217" s="120" t="s">
        <v>63</v>
      </c>
      <c r="G2217" s="29">
        <v>42081</v>
      </c>
      <c r="H2217" s="28" t="s">
        <v>10101</v>
      </c>
      <c r="I2217" s="114" t="s">
        <v>12400</v>
      </c>
      <c r="J2217" s="114" t="s">
        <v>12401</v>
      </c>
    </row>
    <row r="2218" spans="1:10" ht="20" customHeight="1" thickBot="1">
      <c r="A2218" s="26" t="s">
        <v>10104</v>
      </c>
      <c r="B2218" s="26" t="s">
        <v>10104</v>
      </c>
      <c r="C2218" s="26" t="s">
        <v>1958</v>
      </c>
      <c r="D2218" s="116">
        <v>15</v>
      </c>
      <c r="E2218" s="122" t="s">
        <v>33</v>
      </c>
      <c r="F2218" s="119" t="s">
        <v>57</v>
      </c>
      <c r="G2218" s="27">
        <v>44441</v>
      </c>
      <c r="H2218" s="26" t="s">
        <v>10105</v>
      </c>
      <c r="I2218" s="113" t="s">
        <v>12400</v>
      </c>
      <c r="J2218" s="113" t="s">
        <v>12401</v>
      </c>
    </row>
    <row r="2219" spans="1:10" ht="20" customHeight="1" thickBot="1">
      <c r="A2219" s="28" t="s">
        <v>10108</v>
      </c>
      <c r="B2219" s="28" t="s">
        <v>10108</v>
      </c>
      <c r="C2219" s="28" t="s">
        <v>2573</v>
      </c>
      <c r="D2219" s="117">
        <v>16</v>
      </c>
      <c r="E2219" s="122" t="s">
        <v>35</v>
      </c>
      <c r="F2219" s="120" t="s">
        <v>57</v>
      </c>
      <c r="G2219" s="29">
        <v>45802</v>
      </c>
      <c r="H2219" s="28" t="s">
        <v>10109</v>
      </c>
      <c r="I2219" s="114" t="s">
        <v>12400</v>
      </c>
      <c r="J2219" s="114" t="s">
        <v>12401</v>
      </c>
    </row>
    <row r="2220" spans="1:10" ht="20" customHeight="1" thickBot="1">
      <c r="A2220" s="26" t="s">
        <v>10112</v>
      </c>
      <c r="B2220" s="26" t="s">
        <v>10112</v>
      </c>
      <c r="C2220" s="26" t="s">
        <v>10003</v>
      </c>
      <c r="D2220" s="116">
        <v>22</v>
      </c>
      <c r="E2220" s="122" t="s">
        <v>36</v>
      </c>
      <c r="F2220" s="119" t="s">
        <v>57</v>
      </c>
      <c r="G2220" s="27">
        <v>46095</v>
      </c>
      <c r="H2220" s="26" t="s">
        <v>10113</v>
      </c>
      <c r="I2220" s="113" t="s">
        <v>12400</v>
      </c>
      <c r="J2220" s="113" t="s">
        <v>12401</v>
      </c>
    </row>
    <row r="2221" spans="1:10" ht="20" customHeight="1" thickBot="1">
      <c r="A2221" s="28" t="s">
        <v>10116</v>
      </c>
      <c r="B2221" s="28" t="s">
        <v>10116</v>
      </c>
      <c r="C2221" s="28" t="s">
        <v>1570</v>
      </c>
      <c r="D2221" s="117">
        <v>19</v>
      </c>
      <c r="E2221" s="122" t="s">
        <v>33</v>
      </c>
      <c r="F2221" s="120" t="s">
        <v>57</v>
      </c>
      <c r="G2221" s="29">
        <v>46163</v>
      </c>
      <c r="H2221" s="28" t="s">
        <v>10117</v>
      </c>
      <c r="I2221" s="114" t="s">
        <v>12400</v>
      </c>
      <c r="J2221" s="114" t="s">
        <v>12401</v>
      </c>
    </row>
    <row r="2222" spans="1:10" ht="20" customHeight="1" thickBot="1">
      <c r="A2222" s="26" t="s">
        <v>10120</v>
      </c>
      <c r="B2222" s="26" t="s">
        <v>10120</v>
      </c>
      <c r="C2222" s="26" t="s">
        <v>5362</v>
      </c>
      <c r="D2222" s="116">
        <v>77</v>
      </c>
      <c r="E2222" s="122" t="s">
        <v>31</v>
      </c>
      <c r="F2222" s="119" t="s">
        <v>63</v>
      </c>
      <c r="G2222" s="27">
        <v>44764</v>
      </c>
      <c r="H2222" s="26" t="s">
        <v>10121</v>
      </c>
      <c r="I2222" s="113" t="s">
        <v>12400</v>
      </c>
      <c r="J2222" s="113" t="s">
        <v>12401</v>
      </c>
    </row>
    <row r="2223" spans="1:10" ht="20" customHeight="1" thickBot="1">
      <c r="A2223" s="28" t="s">
        <v>10124</v>
      </c>
      <c r="B2223" s="28" t="s">
        <v>10124</v>
      </c>
      <c r="C2223" s="28" t="s">
        <v>895</v>
      </c>
      <c r="D2223" s="117">
        <v>20</v>
      </c>
      <c r="E2223" s="122" t="s">
        <v>36</v>
      </c>
      <c r="F2223" s="120" t="s">
        <v>57</v>
      </c>
      <c r="G2223" s="29">
        <v>42458</v>
      </c>
      <c r="H2223" s="28" t="s">
        <v>10125</v>
      </c>
      <c r="I2223" s="114" t="s">
        <v>12400</v>
      </c>
      <c r="J2223" s="114" t="s">
        <v>12401</v>
      </c>
    </row>
    <row r="2224" spans="1:10" ht="20" customHeight="1" thickBot="1">
      <c r="A2224" s="26" t="s">
        <v>10128</v>
      </c>
      <c r="B2224" s="26" t="s">
        <v>10128</v>
      </c>
      <c r="C2224" s="26" t="s">
        <v>6795</v>
      </c>
      <c r="D2224" s="116">
        <v>26</v>
      </c>
      <c r="E2224" s="122" t="s">
        <v>35</v>
      </c>
      <c r="F2224" s="119" t="s">
        <v>57</v>
      </c>
      <c r="G2224" s="27">
        <v>43830</v>
      </c>
      <c r="H2224" s="26" t="s">
        <v>10129</v>
      </c>
      <c r="I2224" s="113" t="s">
        <v>12400</v>
      </c>
      <c r="J2224" s="113" t="s">
        <v>12401</v>
      </c>
    </row>
    <row r="2225" spans="1:10" ht="20" customHeight="1" thickBot="1">
      <c r="A2225" s="28" t="s">
        <v>10132</v>
      </c>
      <c r="B2225" s="28" t="s">
        <v>10132</v>
      </c>
      <c r="C2225" s="28" t="s">
        <v>10133</v>
      </c>
      <c r="D2225" s="117">
        <v>34</v>
      </c>
      <c r="E2225" s="122" t="s">
        <v>29</v>
      </c>
      <c r="F2225" s="120" t="s">
        <v>63</v>
      </c>
      <c r="G2225" s="29">
        <v>42278</v>
      </c>
      <c r="H2225" s="28" t="s">
        <v>10134</v>
      </c>
      <c r="I2225" s="114" t="s">
        <v>12400</v>
      </c>
      <c r="J2225" s="114" t="s">
        <v>12401</v>
      </c>
    </row>
    <row r="2226" spans="1:10" ht="20" customHeight="1" thickBot="1">
      <c r="A2226" s="26" t="s">
        <v>10137</v>
      </c>
      <c r="B2226" s="26" t="s">
        <v>10137</v>
      </c>
      <c r="C2226" s="26" t="s">
        <v>9887</v>
      </c>
      <c r="D2226" s="116">
        <v>25</v>
      </c>
      <c r="E2226" s="122" t="s">
        <v>33</v>
      </c>
      <c r="F2226" s="119" t="s">
        <v>57</v>
      </c>
      <c r="G2226" s="27">
        <v>43447</v>
      </c>
      <c r="H2226" s="26" t="s">
        <v>10138</v>
      </c>
      <c r="I2226" s="113" t="s">
        <v>12400</v>
      </c>
      <c r="J2226" s="113" t="s">
        <v>12401</v>
      </c>
    </row>
    <row r="2227" spans="1:10" ht="20" customHeight="1" thickBot="1">
      <c r="A2227" s="28" t="s">
        <v>10141</v>
      </c>
      <c r="B2227" s="28" t="s">
        <v>10141</v>
      </c>
      <c r="C2227" s="28" t="s">
        <v>1804</v>
      </c>
      <c r="D2227" s="117">
        <v>23</v>
      </c>
      <c r="E2227" s="122" t="s">
        <v>33</v>
      </c>
      <c r="F2227" s="120" t="s">
        <v>63</v>
      </c>
      <c r="G2227" s="29">
        <v>43899</v>
      </c>
      <c r="H2227" s="28" t="s">
        <v>10142</v>
      </c>
      <c r="I2227" s="114" t="s">
        <v>12400</v>
      </c>
      <c r="J2227" s="114" t="s">
        <v>12401</v>
      </c>
    </row>
    <row r="2228" spans="1:10" ht="20" customHeight="1" thickBot="1">
      <c r="A2228" s="26" t="s">
        <v>10145</v>
      </c>
      <c r="B2228" s="26" t="s">
        <v>10145</v>
      </c>
      <c r="C2228" s="26" t="s">
        <v>1804</v>
      </c>
      <c r="D2228" s="116">
        <v>10</v>
      </c>
      <c r="E2228" s="122" t="s">
        <v>33</v>
      </c>
      <c r="F2228" s="119" t="s">
        <v>63</v>
      </c>
      <c r="G2228" s="27">
        <v>44037</v>
      </c>
      <c r="H2228" s="26" t="s">
        <v>10146</v>
      </c>
      <c r="I2228" s="113" t="s">
        <v>12400</v>
      </c>
      <c r="J2228" s="113" t="s">
        <v>12401</v>
      </c>
    </row>
    <row r="2229" spans="1:10" ht="20" customHeight="1" thickBot="1">
      <c r="A2229" s="28" t="s">
        <v>10149</v>
      </c>
      <c r="B2229" s="28" t="s">
        <v>10149</v>
      </c>
      <c r="C2229" s="28" t="s">
        <v>2396</v>
      </c>
      <c r="D2229" s="117">
        <v>14</v>
      </c>
      <c r="E2229" s="122" t="s">
        <v>33</v>
      </c>
      <c r="F2229" s="120" t="s">
        <v>57</v>
      </c>
      <c r="G2229" s="29">
        <v>43383</v>
      </c>
      <c r="H2229" s="28" t="s">
        <v>10150</v>
      </c>
      <c r="I2229" s="114" t="s">
        <v>12400</v>
      </c>
      <c r="J2229" s="114" t="s">
        <v>12401</v>
      </c>
    </row>
    <row r="2230" spans="1:10" ht="20" customHeight="1" thickBot="1">
      <c r="A2230" s="26" t="s">
        <v>10153</v>
      </c>
      <c r="B2230" s="26" t="s">
        <v>10153</v>
      </c>
      <c r="C2230" s="26" t="s">
        <v>2396</v>
      </c>
      <c r="D2230" s="116">
        <v>17</v>
      </c>
      <c r="E2230" s="122" t="s">
        <v>34</v>
      </c>
      <c r="F2230" s="119" t="s">
        <v>57</v>
      </c>
      <c r="G2230" s="27">
        <v>43679</v>
      </c>
      <c r="H2230" s="26" t="s">
        <v>10154</v>
      </c>
      <c r="I2230" s="113" t="s">
        <v>12400</v>
      </c>
      <c r="J2230" s="113" t="s">
        <v>12401</v>
      </c>
    </row>
    <row r="2231" spans="1:10" ht="20" customHeight="1" thickBot="1">
      <c r="A2231" s="28" t="s">
        <v>10157</v>
      </c>
      <c r="B2231" s="28" t="s">
        <v>10157</v>
      </c>
      <c r="C2231" s="28" t="s">
        <v>6638</v>
      </c>
      <c r="D2231" s="117">
        <v>22</v>
      </c>
      <c r="E2231" s="122" t="s">
        <v>34</v>
      </c>
      <c r="F2231" s="120" t="s">
        <v>57</v>
      </c>
      <c r="G2231" s="29">
        <v>43409</v>
      </c>
      <c r="H2231" s="28" t="s">
        <v>10158</v>
      </c>
      <c r="I2231" s="114" t="s">
        <v>12400</v>
      </c>
      <c r="J2231" s="114" t="s">
        <v>12401</v>
      </c>
    </row>
    <row r="2232" spans="1:10" ht="20" customHeight="1" thickBot="1">
      <c r="A2232" s="26" t="s">
        <v>10161</v>
      </c>
      <c r="B2232" s="26" t="s">
        <v>10161</v>
      </c>
      <c r="C2232" s="26" t="s">
        <v>3395</v>
      </c>
      <c r="D2232" s="116">
        <v>4</v>
      </c>
      <c r="E2232" s="122" t="s">
        <v>34</v>
      </c>
      <c r="F2232" s="119" t="s">
        <v>57</v>
      </c>
      <c r="G2232" s="27">
        <v>45820</v>
      </c>
      <c r="H2232" s="26" t="s">
        <v>10162</v>
      </c>
      <c r="I2232" s="113" t="s">
        <v>12400</v>
      </c>
      <c r="J2232" s="113" t="s">
        <v>12401</v>
      </c>
    </row>
    <row r="2233" spans="1:10" ht="20" customHeight="1" thickBot="1">
      <c r="A2233" s="28" t="s">
        <v>10165</v>
      </c>
      <c r="B2233" s="28" t="s">
        <v>10165</v>
      </c>
      <c r="C2233" s="28" t="s">
        <v>547</v>
      </c>
      <c r="D2233" s="117">
        <v>11</v>
      </c>
      <c r="E2233" s="122" t="s">
        <v>31</v>
      </c>
      <c r="F2233" s="120" t="s">
        <v>571</v>
      </c>
      <c r="G2233" s="29">
        <v>43102</v>
      </c>
      <c r="H2233" s="28" t="s">
        <v>10166</v>
      </c>
      <c r="I2233" s="114" t="s">
        <v>12400</v>
      </c>
      <c r="J2233" s="114" t="s">
        <v>12401</v>
      </c>
    </row>
    <row r="2234" spans="1:10" ht="20" customHeight="1" thickBot="1">
      <c r="A2234" s="26" t="s">
        <v>10169</v>
      </c>
      <c r="B2234" s="26" t="s">
        <v>10169</v>
      </c>
      <c r="C2234" s="26" t="s">
        <v>10170</v>
      </c>
      <c r="D2234" s="116">
        <v>10</v>
      </c>
      <c r="E2234" s="122" t="s">
        <v>29</v>
      </c>
      <c r="F2234" s="119" t="s">
        <v>63</v>
      </c>
      <c r="G2234" s="27">
        <v>44580</v>
      </c>
      <c r="H2234" s="26" t="s">
        <v>10171</v>
      </c>
      <c r="I2234" s="113" t="s">
        <v>12400</v>
      </c>
      <c r="J2234" s="113" t="s">
        <v>12401</v>
      </c>
    </row>
    <row r="2235" spans="1:10" ht="20" customHeight="1" thickBot="1">
      <c r="A2235" s="28" t="s">
        <v>10174</v>
      </c>
      <c r="B2235" s="28" t="s">
        <v>10174</v>
      </c>
      <c r="C2235" s="28" t="s">
        <v>3324</v>
      </c>
      <c r="D2235" s="117">
        <v>23</v>
      </c>
      <c r="E2235" s="122" t="s">
        <v>34</v>
      </c>
      <c r="F2235" s="120" t="s">
        <v>57</v>
      </c>
      <c r="G2235" s="29">
        <v>44677</v>
      </c>
      <c r="H2235" s="28" t="s">
        <v>10175</v>
      </c>
      <c r="I2235" s="114" t="s">
        <v>12400</v>
      </c>
      <c r="J2235" s="114" t="s">
        <v>12401</v>
      </c>
    </row>
    <row r="2236" spans="1:10" ht="20" customHeight="1" thickBot="1">
      <c r="A2236" s="26" t="s">
        <v>10178</v>
      </c>
      <c r="B2236" s="26" t="s">
        <v>10178</v>
      </c>
      <c r="C2236" s="26" t="s">
        <v>3324</v>
      </c>
      <c r="D2236" s="116">
        <v>18</v>
      </c>
      <c r="E2236" s="122" t="s">
        <v>34</v>
      </c>
      <c r="F2236" s="119" t="s">
        <v>57</v>
      </c>
      <c r="G2236" s="27">
        <v>44858</v>
      </c>
      <c r="H2236" s="26" t="s">
        <v>10179</v>
      </c>
      <c r="I2236" s="113" t="s">
        <v>12400</v>
      </c>
      <c r="J2236" s="113" t="s">
        <v>12401</v>
      </c>
    </row>
    <row r="2237" spans="1:10" ht="20" customHeight="1" thickBot="1">
      <c r="A2237" s="28" t="s">
        <v>10182</v>
      </c>
      <c r="B2237" s="28" t="s">
        <v>10182</v>
      </c>
      <c r="C2237" s="28" t="s">
        <v>10183</v>
      </c>
      <c r="D2237" s="117">
        <v>25</v>
      </c>
      <c r="E2237" s="122" t="s">
        <v>34</v>
      </c>
      <c r="F2237" s="120" t="s">
        <v>57</v>
      </c>
      <c r="G2237" s="29">
        <v>43232</v>
      </c>
      <c r="H2237" s="28" t="s">
        <v>10184</v>
      </c>
      <c r="I2237" s="114" t="s">
        <v>12400</v>
      </c>
      <c r="J2237" s="114" t="s">
        <v>12401</v>
      </c>
    </row>
    <row r="2238" spans="1:10" ht="20" customHeight="1" thickBot="1">
      <c r="A2238" s="26" t="s">
        <v>10187</v>
      </c>
      <c r="B2238" s="26" t="s">
        <v>10187</v>
      </c>
      <c r="C2238" s="26" t="s">
        <v>10188</v>
      </c>
      <c r="D2238" s="116">
        <v>10</v>
      </c>
      <c r="E2238" s="122" t="s">
        <v>31</v>
      </c>
      <c r="F2238" s="119" t="s">
        <v>57</v>
      </c>
      <c r="G2238" s="27">
        <v>44300</v>
      </c>
      <c r="H2238" s="26" t="s">
        <v>10189</v>
      </c>
      <c r="I2238" s="113" t="s">
        <v>12400</v>
      </c>
      <c r="J2238" s="113" t="s">
        <v>12401</v>
      </c>
    </row>
    <row r="2239" spans="1:10" ht="20" customHeight="1" thickBot="1">
      <c r="A2239" s="28" t="s">
        <v>10192</v>
      </c>
      <c r="B2239" s="28" t="s">
        <v>10192</v>
      </c>
      <c r="C2239" s="28" t="s">
        <v>950</v>
      </c>
      <c r="D2239" s="117">
        <v>13</v>
      </c>
      <c r="E2239" s="122" t="s">
        <v>35</v>
      </c>
      <c r="F2239" s="120" t="s">
        <v>57</v>
      </c>
      <c r="G2239" s="29">
        <v>43527</v>
      </c>
      <c r="H2239" s="28" t="s">
        <v>10193</v>
      </c>
      <c r="I2239" s="114" t="s">
        <v>12400</v>
      </c>
      <c r="J2239" s="114" t="s">
        <v>12401</v>
      </c>
    </row>
    <row r="2240" spans="1:10" ht="20" customHeight="1" thickBot="1">
      <c r="A2240" s="26" t="s">
        <v>10196</v>
      </c>
      <c r="B2240" s="26" t="s">
        <v>10196</v>
      </c>
      <c r="C2240" s="26" t="s">
        <v>950</v>
      </c>
      <c r="D2240" s="116">
        <v>15</v>
      </c>
      <c r="E2240" s="122" t="s">
        <v>34</v>
      </c>
      <c r="F2240" s="119" t="s">
        <v>57</v>
      </c>
      <c r="G2240" s="27">
        <v>43446</v>
      </c>
      <c r="H2240" s="26" t="s">
        <v>10197</v>
      </c>
      <c r="I2240" s="113" t="s">
        <v>12400</v>
      </c>
      <c r="J2240" s="113" t="s">
        <v>12401</v>
      </c>
    </row>
    <row r="2241" spans="1:10" ht="20" customHeight="1" thickBot="1">
      <c r="A2241" s="28" t="s">
        <v>10200</v>
      </c>
      <c r="B2241" s="28" t="s">
        <v>10200</v>
      </c>
      <c r="C2241" s="28" t="s">
        <v>3884</v>
      </c>
      <c r="D2241" s="117">
        <v>11</v>
      </c>
      <c r="E2241" s="122" t="s">
        <v>33</v>
      </c>
      <c r="F2241" s="120" t="s">
        <v>57</v>
      </c>
      <c r="G2241" s="29">
        <v>45377</v>
      </c>
      <c r="H2241" s="28" t="s">
        <v>10201</v>
      </c>
      <c r="I2241" s="114" t="s">
        <v>12400</v>
      </c>
      <c r="J2241" s="114" t="s">
        <v>12401</v>
      </c>
    </row>
    <row r="2242" spans="1:10" ht="20" customHeight="1" thickBot="1">
      <c r="A2242" s="26" t="s">
        <v>10204</v>
      </c>
      <c r="B2242" s="26" t="s">
        <v>10204</v>
      </c>
      <c r="C2242" s="26" t="s">
        <v>10205</v>
      </c>
      <c r="D2242" s="116">
        <v>9</v>
      </c>
      <c r="E2242" s="122" t="s">
        <v>33</v>
      </c>
      <c r="F2242" s="119" t="s">
        <v>57</v>
      </c>
      <c r="G2242" s="27">
        <v>44291</v>
      </c>
      <c r="H2242" s="26" t="s">
        <v>10206</v>
      </c>
      <c r="I2242" s="113" t="s">
        <v>12400</v>
      </c>
      <c r="J2242" s="113" t="s">
        <v>12401</v>
      </c>
    </row>
    <row r="2243" spans="1:10" ht="20" customHeight="1" thickBot="1">
      <c r="A2243" s="28" t="s">
        <v>10209</v>
      </c>
      <c r="B2243" s="28" t="s">
        <v>10209</v>
      </c>
      <c r="C2243" s="28" t="s">
        <v>10210</v>
      </c>
      <c r="D2243" s="117">
        <v>11</v>
      </c>
      <c r="E2243" s="122" t="s">
        <v>33</v>
      </c>
      <c r="F2243" s="120" t="s">
        <v>63</v>
      </c>
      <c r="G2243" s="29">
        <v>44554</v>
      </c>
      <c r="H2243" s="28" t="s">
        <v>10211</v>
      </c>
      <c r="I2243" s="114" t="s">
        <v>12400</v>
      </c>
      <c r="J2243" s="114" t="s">
        <v>12401</v>
      </c>
    </row>
    <row r="2244" spans="1:10" ht="20" customHeight="1" thickBot="1">
      <c r="A2244" s="26" t="s">
        <v>10214</v>
      </c>
      <c r="B2244" s="26" t="s">
        <v>10214</v>
      </c>
      <c r="C2244" s="26" t="s">
        <v>1389</v>
      </c>
      <c r="D2244" s="116">
        <v>14</v>
      </c>
      <c r="E2244" s="122" t="s">
        <v>31</v>
      </c>
      <c r="F2244" s="119" t="s">
        <v>57</v>
      </c>
      <c r="G2244" s="27">
        <v>45509</v>
      </c>
      <c r="H2244" s="26" t="s">
        <v>10215</v>
      </c>
      <c r="I2244" s="113" t="s">
        <v>12400</v>
      </c>
      <c r="J2244" s="113" t="s">
        <v>12401</v>
      </c>
    </row>
    <row r="2245" spans="1:10" ht="20" customHeight="1" thickBot="1">
      <c r="A2245" s="28" t="s">
        <v>10218</v>
      </c>
      <c r="B2245" s="28" t="s">
        <v>10218</v>
      </c>
      <c r="C2245" s="28" t="s">
        <v>10219</v>
      </c>
      <c r="D2245" s="117">
        <v>3</v>
      </c>
      <c r="E2245" s="122" t="s">
        <v>29</v>
      </c>
      <c r="F2245" s="120" t="s">
        <v>63</v>
      </c>
      <c r="G2245" s="29">
        <v>42044</v>
      </c>
      <c r="H2245" s="28" t="s">
        <v>10220</v>
      </c>
      <c r="I2245" s="114" t="s">
        <v>12400</v>
      </c>
      <c r="J2245" s="114" t="s">
        <v>12401</v>
      </c>
    </row>
    <row r="2246" spans="1:10" ht="20" customHeight="1" thickBot="1">
      <c r="A2246" s="26" t="s">
        <v>10223</v>
      </c>
      <c r="B2246" s="26" t="s">
        <v>10223</v>
      </c>
      <c r="C2246" s="26" t="s">
        <v>10224</v>
      </c>
      <c r="D2246" s="116">
        <v>7</v>
      </c>
      <c r="E2246" s="122" t="s">
        <v>31</v>
      </c>
      <c r="F2246" s="119" t="s">
        <v>57</v>
      </c>
      <c r="G2246" s="27">
        <v>44683</v>
      </c>
      <c r="H2246" s="26" t="s">
        <v>10225</v>
      </c>
      <c r="I2246" s="113" t="s">
        <v>12400</v>
      </c>
      <c r="J2246" s="113" t="s">
        <v>12401</v>
      </c>
    </row>
    <row r="2247" spans="1:10" ht="20" customHeight="1" thickBot="1">
      <c r="A2247" s="28" t="s">
        <v>10228</v>
      </c>
      <c r="B2247" s="28" t="s">
        <v>10228</v>
      </c>
      <c r="C2247" s="28" t="s">
        <v>3661</v>
      </c>
      <c r="D2247" s="117">
        <v>18</v>
      </c>
      <c r="E2247" s="122" t="s">
        <v>31</v>
      </c>
      <c r="F2247" s="120" t="s">
        <v>57</v>
      </c>
      <c r="G2247" s="29">
        <v>43646</v>
      </c>
      <c r="H2247" s="28" t="s">
        <v>10229</v>
      </c>
      <c r="I2247" s="114" t="s">
        <v>12400</v>
      </c>
      <c r="J2247" s="114" t="s">
        <v>12401</v>
      </c>
    </row>
    <row r="2248" spans="1:10" ht="20" customHeight="1" thickBot="1">
      <c r="A2248" s="26" t="s">
        <v>10232</v>
      </c>
      <c r="B2248" s="26" t="s">
        <v>10232</v>
      </c>
      <c r="C2248" s="26" t="s">
        <v>7304</v>
      </c>
      <c r="D2248" s="116">
        <v>20</v>
      </c>
      <c r="E2248" s="122" t="s">
        <v>27</v>
      </c>
      <c r="F2248" s="119" t="s">
        <v>63</v>
      </c>
      <c r="G2248" s="27">
        <v>44065</v>
      </c>
      <c r="H2248" s="26" t="s">
        <v>10233</v>
      </c>
      <c r="I2248" s="113" t="s">
        <v>12400</v>
      </c>
      <c r="J2248" s="113" t="s">
        <v>12401</v>
      </c>
    </row>
    <row r="2249" spans="1:10" ht="20" customHeight="1" thickBot="1">
      <c r="A2249" s="28" t="s">
        <v>10236</v>
      </c>
      <c r="B2249" s="28" t="s">
        <v>10236</v>
      </c>
      <c r="C2249" s="28" t="s">
        <v>10237</v>
      </c>
      <c r="D2249" s="117">
        <v>105</v>
      </c>
      <c r="E2249" s="122" t="s">
        <v>31</v>
      </c>
      <c r="F2249" s="120" t="s">
        <v>63</v>
      </c>
      <c r="G2249" s="29">
        <v>44541</v>
      </c>
      <c r="H2249" s="28" t="s">
        <v>10238</v>
      </c>
      <c r="I2249" s="114" t="s">
        <v>12400</v>
      </c>
      <c r="J2249" s="114" t="s">
        <v>12401</v>
      </c>
    </row>
    <row r="2250" spans="1:10" ht="20" customHeight="1" thickBot="1">
      <c r="A2250" s="26" t="s">
        <v>10241</v>
      </c>
      <c r="B2250" s="26" t="s">
        <v>10241</v>
      </c>
      <c r="C2250" s="26" t="s">
        <v>10242</v>
      </c>
      <c r="D2250" s="116">
        <v>4</v>
      </c>
      <c r="E2250" s="122" t="s">
        <v>31</v>
      </c>
      <c r="F2250" s="119" t="s">
        <v>115</v>
      </c>
      <c r="G2250" s="27">
        <v>45021</v>
      </c>
      <c r="H2250" s="26" t="s">
        <v>10243</v>
      </c>
      <c r="I2250" s="113" t="s">
        <v>12400</v>
      </c>
      <c r="J2250" s="113" t="s">
        <v>12401</v>
      </c>
    </row>
    <row r="2251" spans="1:10" ht="20" customHeight="1" thickBot="1">
      <c r="A2251" s="28" t="s">
        <v>10246</v>
      </c>
      <c r="B2251" s="28" t="s">
        <v>10246</v>
      </c>
      <c r="C2251" s="28" t="s">
        <v>10247</v>
      </c>
      <c r="D2251" s="117">
        <v>6</v>
      </c>
      <c r="E2251" s="122" t="s">
        <v>29</v>
      </c>
      <c r="F2251" s="120" t="s">
        <v>63</v>
      </c>
      <c r="G2251" s="29">
        <v>43021</v>
      </c>
      <c r="H2251" s="28" t="s">
        <v>10248</v>
      </c>
      <c r="I2251" s="114" t="s">
        <v>12400</v>
      </c>
      <c r="J2251" s="114" t="s">
        <v>12401</v>
      </c>
    </row>
    <row r="2252" spans="1:10" ht="20" customHeight="1" thickBot="1">
      <c r="A2252" s="26" t="s">
        <v>10251</v>
      </c>
      <c r="B2252" s="26" t="s">
        <v>10251</v>
      </c>
      <c r="C2252" s="26" t="s">
        <v>2133</v>
      </c>
      <c r="D2252" s="116">
        <v>5</v>
      </c>
      <c r="E2252" s="122" t="s">
        <v>31</v>
      </c>
      <c r="F2252" s="119" t="s">
        <v>63</v>
      </c>
      <c r="G2252" s="27">
        <v>43604</v>
      </c>
      <c r="H2252" s="26" t="s">
        <v>10252</v>
      </c>
      <c r="I2252" s="113" t="s">
        <v>12400</v>
      </c>
      <c r="J2252" s="113" t="s">
        <v>12401</v>
      </c>
    </row>
    <row r="2253" spans="1:10" ht="20" customHeight="1" thickBot="1">
      <c r="A2253" s="28" t="s">
        <v>10255</v>
      </c>
      <c r="B2253" s="28" t="s">
        <v>10255</v>
      </c>
      <c r="C2253" s="28" t="s">
        <v>10256</v>
      </c>
      <c r="D2253" s="117">
        <v>15</v>
      </c>
      <c r="E2253" s="122" t="s">
        <v>33</v>
      </c>
      <c r="F2253" s="120" t="s">
        <v>57</v>
      </c>
      <c r="G2253" s="29">
        <v>43409</v>
      </c>
      <c r="H2253" s="28" t="s">
        <v>10257</v>
      </c>
      <c r="I2253" s="114" t="s">
        <v>12400</v>
      </c>
      <c r="J2253" s="114" t="s">
        <v>12401</v>
      </c>
    </row>
    <row r="2254" spans="1:10" ht="20" customHeight="1" thickBot="1">
      <c r="A2254" s="26" t="s">
        <v>10260</v>
      </c>
      <c r="B2254" s="26" t="s">
        <v>10260</v>
      </c>
      <c r="C2254" s="26" t="s">
        <v>3620</v>
      </c>
      <c r="D2254" s="116">
        <v>13</v>
      </c>
      <c r="E2254" s="122" t="s">
        <v>31</v>
      </c>
      <c r="F2254" s="119" t="s">
        <v>57</v>
      </c>
      <c r="G2254" s="27">
        <v>45072</v>
      </c>
      <c r="H2254" s="26" t="s">
        <v>10261</v>
      </c>
      <c r="I2254" s="113" t="s">
        <v>12400</v>
      </c>
      <c r="J2254" s="113" t="s">
        <v>12401</v>
      </c>
    </row>
    <row r="2255" spans="1:10" ht="20" customHeight="1" thickBot="1">
      <c r="A2255" s="28" t="s">
        <v>10264</v>
      </c>
      <c r="B2255" s="28" t="s">
        <v>10264</v>
      </c>
      <c r="C2255" s="28" t="s">
        <v>10265</v>
      </c>
      <c r="D2255" s="117">
        <v>18</v>
      </c>
      <c r="E2255" s="122" t="s">
        <v>29</v>
      </c>
      <c r="F2255" s="120" t="s">
        <v>63</v>
      </c>
      <c r="G2255" s="29">
        <v>46099</v>
      </c>
      <c r="H2255" s="28" t="s">
        <v>10266</v>
      </c>
      <c r="I2255" s="114" t="s">
        <v>12400</v>
      </c>
      <c r="J2255" s="114" t="s">
        <v>12401</v>
      </c>
    </row>
    <row r="2256" spans="1:10" ht="20" customHeight="1" thickBot="1">
      <c r="A2256" s="26" t="s">
        <v>10269</v>
      </c>
      <c r="B2256" s="26" t="s">
        <v>10269</v>
      </c>
      <c r="C2256" s="26" t="s">
        <v>10270</v>
      </c>
      <c r="D2256" s="116">
        <v>8</v>
      </c>
      <c r="E2256" s="122" t="s">
        <v>34</v>
      </c>
      <c r="F2256" s="119" t="s">
        <v>57</v>
      </c>
      <c r="G2256" s="27">
        <v>45931</v>
      </c>
      <c r="H2256" s="26" t="s">
        <v>10271</v>
      </c>
      <c r="I2256" s="113" t="s">
        <v>12400</v>
      </c>
      <c r="J2256" s="113" t="s">
        <v>12401</v>
      </c>
    </row>
    <row r="2257" spans="1:10" ht="20" customHeight="1" thickBot="1">
      <c r="A2257" s="28" t="s">
        <v>10274</v>
      </c>
      <c r="B2257" s="28" t="s">
        <v>10274</v>
      </c>
      <c r="C2257" s="28" t="s">
        <v>10275</v>
      </c>
      <c r="D2257" s="117">
        <v>8</v>
      </c>
      <c r="E2257" s="122" t="s">
        <v>29</v>
      </c>
      <c r="F2257" s="120" t="s">
        <v>63</v>
      </c>
      <c r="G2257" s="29">
        <v>43886</v>
      </c>
      <c r="H2257" s="28" t="s">
        <v>10276</v>
      </c>
      <c r="I2257" s="114" t="s">
        <v>12400</v>
      </c>
      <c r="J2257" s="114" t="s">
        <v>12401</v>
      </c>
    </row>
    <row r="2258" spans="1:10" ht="20" customHeight="1" thickBot="1">
      <c r="A2258" s="26" t="s">
        <v>10279</v>
      </c>
      <c r="B2258" s="26" t="s">
        <v>10279</v>
      </c>
      <c r="C2258" s="26" t="s">
        <v>10280</v>
      </c>
      <c r="D2258" s="116">
        <v>33</v>
      </c>
      <c r="E2258" s="122" t="s">
        <v>34</v>
      </c>
      <c r="F2258" s="119" t="s">
        <v>57</v>
      </c>
      <c r="G2258" s="27">
        <v>44159</v>
      </c>
      <c r="H2258" s="26" t="s">
        <v>10281</v>
      </c>
      <c r="I2258" s="113" t="s">
        <v>12400</v>
      </c>
      <c r="J2258" s="113" t="s">
        <v>12401</v>
      </c>
    </row>
    <row r="2259" spans="1:10" ht="20" customHeight="1" thickBot="1">
      <c r="A2259" s="28" t="s">
        <v>10284</v>
      </c>
      <c r="B2259" s="28" t="s">
        <v>10284</v>
      </c>
      <c r="C2259" s="28" t="s">
        <v>10280</v>
      </c>
      <c r="D2259" s="117">
        <v>14</v>
      </c>
      <c r="E2259" s="122" t="s">
        <v>34</v>
      </c>
      <c r="F2259" s="120" t="s">
        <v>57</v>
      </c>
      <c r="G2259" s="29">
        <v>44652</v>
      </c>
      <c r="H2259" s="28" t="s">
        <v>10285</v>
      </c>
      <c r="I2259" s="114" t="s">
        <v>12400</v>
      </c>
      <c r="J2259" s="114" t="s">
        <v>12401</v>
      </c>
    </row>
    <row r="2260" spans="1:10" ht="20" customHeight="1" thickBot="1">
      <c r="A2260" s="26" t="s">
        <v>10288</v>
      </c>
      <c r="B2260" s="26" t="s">
        <v>10288</v>
      </c>
      <c r="C2260" s="26" t="s">
        <v>10289</v>
      </c>
      <c r="D2260" s="116">
        <v>11</v>
      </c>
      <c r="E2260" s="122" t="s">
        <v>34</v>
      </c>
      <c r="F2260" s="119" t="s">
        <v>57</v>
      </c>
      <c r="G2260" s="27">
        <v>43928</v>
      </c>
      <c r="H2260" s="26" t="s">
        <v>10290</v>
      </c>
      <c r="I2260" s="113" t="s">
        <v>12400</v>
      </c>
      <c r="J2260" s="113" t="s">
        <v>12401</v>
      </c>
    </row>
    <row r="2261" spans="1:10" ht="20" customHeight="1" thickBot="1">
      <c r="A2261" s="28" t="s">
        <v>10293</v>
      </c>
      <c r="B2261" s="28" t="s">
        <v>10293</v>
      </c>
      <c r="C2261" s="28" t="s">
        <v>10289</v>
      </c>
      <c r="D2261" s="117">
        <v>17</v>
      </c>
      <c r="E2261" s="122" t="s">
        <v>34</v>
      </c>
      <c r="F2261" s="120" t="s">
        <v>57</v>
      </c>
      <c r="G2261" s="29">
        <v>44235</v>
      </c>
      <c r="H2261" s="28" t="s">
        <v>10294</v>
      </c>
      <c r="I2261" s="114" t="s">
        <v>12400</v>
      </c>
      <c r="J2261" s="114" t="s">
        <v>12401</v>
      </c>
    </row>
    <row r="2262" spans="1:10" ht="20" customHeight="1" thickBot="1">
      <c r="A2262" s="26" t="s">
        <v>10297</v>
      </c>
      <c r="B2262" s="26" t="s">
        <v>10297</v>
      </c>
      <c r="C2262" s="26" t="s">
        <v>1389</v>
      </c>
      <c r="D2262" s="116">
        <v>9</v>
      </c>
      <c r="E2262" s="122" t="s">
        <v>31</v>
      </c>
      <c r="F2262" s="119" t="s">
        <v>57</v>
      </c>
      <c r="G2262" s="27">
        <v>45632</v>
      </c>
      <c r="H2262" s="26" t="s">
        <v>10298</v>
      </c>
      <c r="I2262" s="113" t="s">
        <v>12400</v>
      </c>
      <c r="J2262" s="113" t="s">
        <v>12401</v>
      </c>
    </row>
    <row r="2263" spans="1:10" ht="20" customHeight="1" thickBot="1">
      <c r="A2263" s="28" t="s">
        <v>10301</v>
      </c>
      <c r="B2263" s="28" t="s">
        <v>10301</v>
      </c>
      <c r="C2263" s="28" t="s">
        <v>2979</v>
      </c>
      <c r="D2263" s="117">
        <v>9</v>
      </c>
      <c r="E2263" s="122" t="s">
        <v>33</v>
      </c>
      <c r="F2263" s="120" t="s">
        <v>57</v>
      </c>
      <c r="G2263" s="29">
        <v>45819</v>
      </c>
      <c r="H2263" s="28" t="s">
        <v>10302</v>
      </c>
      <c r="I2263" s="114" t="s">
        <v>12400</v>
      </c>
      <c r="J2263" s="114" t="s">
        <v>12401</v>
      </c>
    </row>
    <row r="2264" spans="1:10" ht="20" customHeight="1" thickBot="1">
      <c r="A2264" s="26" t="s">
        <v>10305</v>
      </c>
      <c r="B2264" s="26" t="s">
        <v>10305</v>
      </c>
      <c r="C2264" s="26" t="s">
        <v>1580</v>
      </c>
      <c r="D2264" s="116">
        <v>20</v>
      </c>
      <c r="E2264" s="122" t="s">
        <v>34</v>
      </c>
      <c r="F2264" s="119" t="s">
        <v>57</v>
      </c>
      <c r="G2264" s="27">
        <v>43124</v>
      </c>
      <c r="H2264" s="26" t="s">
        <v>10306</v>
      </c>
      <c r="I2264" s="113" t="s">
        <v>12400</v>
      </c>
      <c r="J2264" s="113" t="s">
        <v>12401</v>
      </c>
    </row>
    <row r="2265" spans="1:10" ht="20" customHeight="1" thickBot="1">
      <c r="A2265" s="28" t="s">
        <v>10309</v>
      </c>
      <c r="B2265" s="28" t="s">
        <v>10309</v>
      </c>
      <c r="C2265" s="28" t="s">
        <v>10310</v>
      </c>
      <c r="D2265" s="117">
        <v>11</v>
      </c>
      <c r="E2265" s="122" t="s">
        <v>34</v>
      </c>
      <c r="F2265" s="120" t="s">
        <v>57</v>
      </c>
      <c r="G2265" s="29">
        <v>45509</v>
      </c>
      <c r="H2265" s="28" t="s">
        <v>10311</v>
      </c>
      <c r="I2265" s="114" t="s">
        <v>12400</v>
      </c>
      <c r="J2265" s="114" t="s">
        <v>12401</v>
      </c>
    </row>
    <row r="2266" spans="1:10" ht="20" customHeight="1" thickBot="1">
      <c r="A2266" s="26" t="s">
        <v>10314</v>
      </c>
      <c r="B2266" s="26" t="s">
        <v>10314</v>
      </c>
      <c r="C2266" s="26" t="s">
        <v>1932</v>
      </c>
      <c r="D2266" s="116">
        <v>9</v>
      </c>
      <c r="E2266" s="122" t="s">
        <v>35</v>
      </c>
      <c r="F2266" s="119" t="s">
        <v>57</v>
      </c>
      <c r="G2266" s="27">
        <v>44662</v>
      </c>
      <c r="H2266" s="26" t="s">
        <v>10315</v>
      </c>
      <c r="I2266" s="113" t="s">
        <v>12400</v>
      </c>
      <c r="J2266" s="113" t="s">
        <v>12401</v>
      </c>
    </row>
    <row r="2267" spans="1:10" ht="20" customHeight="1" thickBot="1">
      <c r="A2267" s="28" t="s">
        <v>10318</v>
      </c>
      <c r="B2267" s="28" t="s">
        <v>10318</v>
      </c>
      <c r="C2267" s="28" t="s">
        <v>2979</v>
      </c>
      <c r="D2267" s="117">
        <v>12</v>
      </c>
      <c r="E2267" s="122" t="s">
        <v>34</v>
      </c>
      <c r="F2267" s="120" t="s">
        <v>57</v>
      </c>
      <c r="G2267" s="29">
        <v>45668</v>
      </c>
      <c r="H2267" s="28" t="s">
        <v>10319</v>
      </c>
      <c r="I2267" s="114" t="s">
        <v>12400</v>
      </c>
      <c r="J2267" s="114" t="s">
        <v>12401</v>
      </c>
    </row>
    <row r="2268" spans="1:10" ht="20" customHeight="1" thickBot="1">
      <c r="A2268" s="26" t="s">
        <v>10322</v>
      </c>
      <c r="B2268" s="26" t="s">
        <v>10322</v>
      </c>
      <c r="C2268" s="26" t="s">
        <v>1799</v>
      </c>
      <c r="D2268" s="116">
        <v>14</v>
      </c>
      <c r="E2268" s="122" t="s">
        <v>34</v>
      </c>
      <c r="F2268" s="119" t="s">
        <v>57</v>
      </c>
      <c r="G2268" s="27">
        <v>44690</v>
      </c>
      <c r="H2268" s="26" t="s">
        <v>10323</v>
      </c>
      <c r="I2268" s="113" t="s">
        <v>12400</v>
      </c>
      <c r="J2268" s="113" t="s">
        <v>12401</v>
      </c>
    </row>
    <row r="2269" spans="1:10" ht="20" customHeight="1" thickBot="1">
      <c r="A2269" s="28" t="s">
        <v>10326</v>
      </c>
      <c r="B2269" s="28" t="s">
        <v>10326</v>
      </c>
      <c r="C2269" s="28" t="s">
        <v>10327</v>
      </c>
      <c r="D2269" s="117">
        <v>7</v>
      </c>
      <c r="E2269" s="122" t="s">
        <v>29</v>
      </c>
      <c r="F2269" s="120" t="s">
        <v>63</v>
      </c>
      <c r="G2269" s="29">
        <v>45877</v>
      </c>
      <c r="H2269" s="28" t="s">
        <v>10328</v>
      </c>
      <c r="I2269" s="114" t="s">
        <v>12400</v>
      </c>
      <c r="J2269" s="114" t="s">
        <v>12401</v>
      </c>
    </row>
    <row r="2270" spans="1:10" ht="20" customHeight="1" thickBot="1">
      <c r="A2270" s="26" t="s">
        <v>10331</v>
      </c>
      <c r="B2270" s="26" t="s">
        <v>10331</v>
      </c>
      <c r="C2270" s="26" t="s">
        <v>7460</v>
      </c>
      <c r="D2270" s="116">
        <v>19</v>
      </c>
      <c r="E2270" s="122" t="s">
        <v>29</v>
      </c>
      <c r="F2270" s="119" t="s">
        <v>63</v>
      </c>
      <c r="G2270" s="27">
        <v>42003</v>
      </c>
      <c r="H2270" s="26" t="s">
        <v>10332</v>
      </c>
      <c r="I2270" s="113" t="s">
        <v>12400</v>
      </c>
      <c r="J2270" s="113" t="s">
        <v>12401</v>
      </c>
    </row>
    <row r="2271" spans="1:10" ht="20" customHeight="1" thickBot="1">
      <c r="A2271" s="28" t="s">
        <v>10335</v>
      </c>
      <c r="B2271" s="28" t="s">
        <v>10335</v>
      </c>
      <c r="C2271" s="28" t="s">
        <v>427</v>
      </c>
      <c r="D2271" s="117">
        <v>11</v>
      </c>
      <c r="E2271" s="122" t="s">
        <v>35</v>
      </c>
      <c r="F2271" s="120" t="s">
        <v>57</v>
      </c>
      <c r="G2271" s="29">
        <v>44107</v>
      </c>
      <c r="H2271" s="28" t="s">
        <v>10336</v>
      </c>
      <c r="I2271" s="114" t="s">
        <v>12400</v>
      </c>
      <c r="J2271" s="114" t="s">
        <v>12401</v>
      </c>
    </row>
    <row r="2272" spans="1:10" ht="20" customHeight="1" thickBot="1">
      <c r="A2272" s="26" t="s">
        <v>10339</v>
      </c>
      <c r="B2272" s="26" t="s">
        <v>10339</v>
      </c>
      <c r="C2272" s="26" t="s">
        <v>427</v>
      </c>
      <c r="D2272" s="116">
        <v>11</v>
      </c>
      <c r="E2272" s="122" t="s">
        <v>35</v>
      </c>
      <c r="F2272" s="119" t="s">
        <v>57</v>
      </c>
      <c r="G2272" s="27">
        <v>45300</v>
      </c>
      <c r="H2272" s="26" t="s">
        <v>10340</v>
      </c>
      <c r="I2272" s="113" t="s">
        <v>12400</v>
      </c>
      <c r="J2272" s="113" t="s">
        <v>12401</v>
      </c>
    </row>
    <row r="2273" spans="1:10" ht="20" customHeight="1" thickBot="1">
      <c r="A2273" s="28" t="s">
        <v>10343</v>
      </c>
      <c r="B2273" s="28" t="s">
        <v>10343</v>
      </c>
      <c r="C2273" s="28" t="s">
        <v>10344</v>
      </c>
      <c r="D2273" s="117">
        <v>23</v>
      </c>
      <c r="E2273" s="122" t="s">
        <v>29</v>
      </c>
      <c r="F2273" s="120" t="s">
        <v>63</v>
      </c>
      <c r="G2273" s="29">
        <v>43473</v>
      </c>
      <c r="H2273" s="28" t="s">
        <v>10345</v>
      </c>
      <c r="I2273" s="114" t="s">
        <v>12400</v>
      </c>
      <c r="J2273" s="114" t="s">
        <v>12401</v>
      </c>
    </row>
    <row r="2274" spans="1:10" ht="20" customHeight="1" thickBot="1">
      <c r="A2274" s="26" t="s">
        <v>10348</v>
      </c>
      <c r="B2274" s="26" t="s">
        <v>10348</v>
      </c>
      <c r="C2274" s="26" t="s">
        <v>10349</v>
      </c>
      <c r="D2274" s="116">
        <v>17</v>
      </c>
      <c r="E2274" s="122" t="s">
        <v>31</v>
      </c>
      <c r="F2274" s="119" t="s">
        <v>57</v>
      </c>
      <c r="G2274" s="27">
        <v>45146</v>
      </c>
      <c r="H2274" s="26" t="s">
        <v>10350</v>
      </c>
      <c r="I2274" s="113" t="s">
        <v>12400</v>
      </c>
      <c r="J2274" s="113" t="s">
        <v>12401</v>
      </c>
    </row>
    <row r="2275" spans="1:10" ht="20" customHeight="1" thickBot="1">
      <c r="A2275" s="28" t="s">
        <v>10353</v>
      </c>
      <c r="B2275" s="28" t="s">
        <v>10353</v>
      </c>
      <c r="C2275" s="28" t="s">
        <v>10349</v>
      </c>
      <c r="D2275" s="117">
        <v>11</v>
      </c>
      <c r="E2275" s="122" t="s">
        <v>33</v>
      </c>
      <c r="F2275" s="120" t="s">
        <v>57</v>
      </c>
      <c r="G2275" s="29">
        <v>45301</v>
      </c>
      <c r="H2275" s="28" t="s">
        <v>10354</v>
      </c>
      <c r="I2275" s="114" t="s">
        <v>12400</v>
      </c>
      <c r="J2275" s="114" t="s">
        <v>12401</v>
      </c>
    </row>
    <row r="2276" spans="1:10" ht="20" customHeight="1" thickBot="1">
      <c r="A2276" s="26" t="s">
        <v>10357</v>
      </c>
      <c r="B2276" s="26" t="s">
        <v>10357</v>
      </c>
      <c r="C2276" s="26" t="s">
        <v>950</v>
      </c>
      <c r="D2276" s="116">
        <v>11</v>
      </c>
      <c r="E2276" s="122" t="s">
        <v>34</v>
      </c>
      <c r="F2276" s="119" t="s">
        <v>57</v>
      </c>
      <c r="G2276" s="27">
        <v>43409</v>
      </c>
      <c r="H2276" s="26" t="s">
        <v>10358</v>
      </c>
      <c r="I2276" s="113" t="s">
        <v>12400</v>
      </c>
      <c r="J2276" s="113" t="s">
        <v>12401</v>
      </c>
    </row>
    <row r="2277" spans="1:10" ht="20" customHeight="1" thickBot="1">
      <c r="A2277" s="28" t="s">
        <v>10361</v>
      </c>
      <c r="B2277" s="28" t="s">
        <v>10361</v>
      </c>
      <c r="C2277" s="28" t="s">
        <v>950</v>
      </c>
      <c r="D2277" s="117">
        <v>12</v>
      </c>
      <c r="E2277" s="122" t="s">
        <v>34</v>
      </c>
      <c r="F2277" s="120" t="s">
        <v>57</v>
      </c>
      <c r="G2277" s="29">
        <v>43405</v>
      </c>
      <c r="H2277" s="28" t="s">
        <v>10362</v>
      </c>
      <c r="I2277" s="114" t="s">
        <v>12400</v>
      </c>
      <c r="J2277" s="114" t="s">
        <v>12401</v>
      </c>
    </row>
    <row r="2278" spans="1:10" ht="20" customHeight="1" thickBot="1">
      <c r="A2278" s="26" t="s">
        <v>10365</v>
      </c>
      <c r="B2278" s="26" t="s">
        <v>10365</v>
      </c>
      <c r="C2278" s="26" t="s">
        <v>62</v>
      </c>
      <c r="D2278" s="116">
        <v>69</v>
      </c>
      <c r="E2278" s="122" t="s">
        <v>33</v>
      </c>
      <c r="F2278" s="119" t="s">
        <v>63</v>
      </c>
      <c r="G2278" s="27">
        <v>43314</v>
      </c>
      <c r="H2278" s="26" t="s">
        <v>10366</v>
      </c>
      <c r="I2278" s="113" t="s">
        <v>12400</v>
      </c>
      <c r="J2278" s="113" t="s">
        <v>12401</v>
      </c>
    </row>
    <row r="2279" spans="1:10" ht="20" customHeight="1" thickBot="1">
      <c r="A2279" s="28" t="s">
        <v>10369</v>
      </c>
      <c r="B2279" s="28" t="s">
        <v>10369</v>
      </c>
      <c r="C2279" s="28" t="s">
        <v>10370</v>
      </c>
      <c r="D2279" s="117">
        <v>11</v>
      </c>
      <c r="E2279" s="122" t="s">
        <v>31</v>
      </c>
      <c r="F2279" s="120" t="s">
        <v>57</v>
      </c>
      <c r="G2279" s="29">
        <v>44452</v>
      </c>
      <c r="H2279" s="28" t="s">
        <v>10371</v>
      </c>
      <c r="I2279" s="114" t="s">
        <v>12400</v>
      </c>
      <c r="J2279" s="114" t="s">
        <v>12401</v>
      </c>
    </row>
    <row r="2280" spans="1:10" ht="20" customHeight="1" thickBot="1">
      <c r="A2280" s="26" t="s">
        <v>10374</v>
      </c>
      <c r="B2280" s="26" t="s">
        <v>10374</v>
      </c>
      <c r="C2280" s="26" t="s">
        <v>243</v>
      </c>
      <c r="D2280" s="116">
        <v>11</v>
      </c>
      <c r="E2280" s="122" t="s">
        <v>29</v>
      </c>
      <c r="F2280" s="119" t="s">
        <v>63</v>
      </c>
      <c r="G2280" s="27">
        <v>46215</v>
      </c>
      <c r="H2280" s="26" t="s">
        <v>10375</v>
      </c>
      <c r="I2280" s="113" t="s">
        <v>12400</v>
      </c>
      <c r="J2280" s="113" t="s">
        <v>12401</v>
      </c>
    </row>
    <row r="2281" spans="1:10" ht="20" customHeight="1" thickBot="1">
      <c r="A2281" s="28" t="s">
        <v>10378</v>
      </c>
      <c r="B2281" s="28" t="s">
        <v>10378</v>
      </c>
      <c r="C2281" s="28" t="s">
        <v>125</v>
      </c>
      <c r="D2281" s="117">
        <v>31</v>
      </c>
      <c r="E2281" s="122" t="s">
        <v>33</v>
      </c>
      <c r="F2281" s="120" t="s">
        <v>57</v>
      </c>
      <c r="G2281" s="29">
        <v>43735</v>
      </c>
      <c r="H2281" s="28" t="s">
        <v>10379</v>
      </c>
      <c r="I2281" s="114" t="s">
        <v>12400</v>
      </c>
      <c r="J2281" s="114" t="s">
        <v>12401</v>
      </c>
    </row>
    <row r="2282" spans="1:10" ht="20" customHeight="1" thickBot="1">
      <c r="A2282" s="26" t="s">
        <v>10382</v>
      </c>
      <c r="B2282" s="26" t="s">
        <v>10382</v>
      </c>
      <c r="C2282" s="26" t="s">
        <v>125</v>
      </c>
      <c r="D2282" s="116">
        <v>22</v>
      </c>
      <c r="E2282" s="122" t="s">
        <v>34</v>
      </c>
      <c r="F2282" s="119" t="s">
        <v>57</v>
      </c>
      <c r="G2282" s="27">
        <v>43977</v>
      </c>
      <c r="H2282" s="26" t="s">
        <v>10383</v>
      </c>
      <c r="I2282" s="113" t="s">
        <v>12400</v>
      </c>
      <c r="J2282" s="113" t="s">
        <v>12401</v>
      </c>
    </row>
    <row r="2283" spans="1:10" ht="20" customHeight="1" thickBot="1">
      <c r="A2283" s="28" t="s">
        <v>10386</v>
      </c>
      <c r="B2283" s="28" t="s">
        <v>10386</v>
      </c>
      <c r="C2283" s="28" t="s">
        <v>8461</v>
      </c>
      <c r="D2283" s="117">
        <v>23</v>
      </c>
      <c r="E2283" s="122" t="s">
        <v>29</v>
      </c>
      <c r="F2283" s="120" t="s">
        <v>63</v>
      </c>
      <c r="G2283" s="29">
        <v>41563</v>
      </c>
      <c r="H2283" s="28" t="s">
        <v>10387</v>
      </c>
      <c r="I2283" s="114" t="s">
        <v>12400</v>
      </c>
      <c r="J2283" s="114" t="s">
        <v>12401</v>
      </c>
    </row>
    <row r="2284" spans="1:10" ht="20" customHeight="1" thickBot="1">
      <c r="A2284" s="26" t="s">
        <v>10390</v>
      </c>
      <c r="B2284" s="26" t="s">
        <v>10390</v>
      </c>
      <c r="C2284" s="26" t="s">
        <v>199</v>
      </c>
      <c r="D2284" s="116">
        <v>3</v>
      </c>
      <c r="E2284" s="122" t="s">
        <v>31</v>
      </c>
      <c r="F2284" s="119" t="s">
        <v>57</v>
      </c>
      <c r="G2284" s="27">
        <v>43866</v>
      </c>
      <c r="H2284" s="26" t="s">
        <v>10391</v>
      </c>
      <c r="I2284" s="113" t="s">
        <v>12400</v>
      </c>
      <c r="J2284" s="113" t="s">
        <v>12401</v>
      </c>
    </row>
    <row r="2285" spans="1:10" ht="20" customHeight="1" thickBot="1">
      <c r="A2285" s="28" t="s">
        <v>10394</v>
      </c>
      <c r="B2285" s="28" t="s">
        <v>10394</v>
      </c>
      <c r="C2285" s="28" t="s">
        <v>880</v>
      </c>
      <c r="D2285" s="117">
        <v>3</v>
      </c>
      <c r="E2285" s="122" t="s">
        <v>35</v>
      </c>
      <c r="F2285" s="120" t="s">
        <v>3138</v>
      </c>
      <c r="G2285" s="29">
        <v>45424</v>
      </c>
      <c r="H2285" s="28" t="s">
        <v>10395</v>
      </c>
      <c r="I2285" s="114" t="s">
        <v>12400</v>
      </c>
      <c r="J2285" s="114" t="s">
        <v>12401</v>
      </c>
    </row>
    <row r="2286" spans="1:10" ht="20" customHeight="1" thickBot="1">
      <c r="A2286" s="26" t="s">
        <v>10398</v>
      </c>
      <c r="B2286" s="26" t="s">
        <v>10398</v>
      </c>
      <c r="C2286" s="26" t="s">
        <v>1824</v>
      </c>
      <c r="D2286" s="116">
        <v>36</v>
      </c>
      <c r="E2286" s="122" t="s">
        <v>33</v>
      </c>
      <c r="F2286" s="119" t="s">
        <v>115</v>
      </c>
      <c r="G2286" s="27">
        <v>45732</v>
      </c>
      <c r="H2286" s="26" t="s">
        <v>10399</v>
      </c>
      <c r="I2286" s="113" t="s">
        <v>12400</v>
      </c>
      <c r="J2286" s="113" t="s">
        <v>12401</v>
      </c>
    </row>
    <row r="2287" spans="1:10" ht="20" customHeight="1" thickBot="1">
      <c r="A2287" s="28" t="s">
        <v>10402</v>
      </c>
      <c r="B2287" s="28" t="s">
        <v>10402</v>
      </c>
      <c r="C2287" s="28" t="s">
        <v>10403</v>
      </c>
      <c r="D2287" s="117">
        <v>25</v>
      </c>
      <c r="E2287" s="122" t="s">
        <v>31</v>
      </c>
      <c r="F2287" s="120" t="s">
        <v>63</v>
      </c>
      <c r="G2287" s="29">
        <v>44372</v>
      </c>
      <c r="H2287" s="28" t="s">
        <v>10404</v>
      </c>
      <c r="I2287" s="114" t="s">
        <v>12400</v>
      </c>
      <c r="J2287" s="114" t="s">
        <v>12401</v>
      </c>
    </row>
    <row r="2288" spans="1:10" ht="20" customHeight="1" thickBot="1">
      <c r="A2288" s="26" t="s">
        <v>10407</v>
      </c>
      <c r="B2288" s="26" t="s">
        <v>10407</v>
      </c>
      <c r="C2288" s="26" t="s">
        <v>10408</v>
      </c>
      <c r="D2288" s="116">
        <v>14</v>
      </c>
      <c r="E2288" s="122" t="s">
        <v>33</v>
      </c>
      <c r="F2288" s="119" t="s">
        <v>57</v>
      </c>
      <c r="G2288" s="27">
        <v>44364</v>
      </c>
      <c r="H2288" s="26" t="s">
        <v>10409</v>
      </c>
      <c r="I2288" s="113" t="s">
        <v>12400</v>
      </c>
      <c r="J2288" s="113" t="s">
        <v>12401</v>
      </c>
    </row>
    <row r="2289" spans="1:10" ht="20" customHeight="1" thickBot="1">
      <c r="A2289" s="28" t="s">
        <v>10412</v>
      </c>
      <c r="B2289" s="28" t="s">
        <v>10412</v>
      </c>
      <c r="C2289" s="28" t="s">
        <v>1389</v>
      </c>
      <c r="D2289" s="117">
        <v>13</v>
      </c>
      <c r="E2289" s="122" t="s">
        <v>31</v>
      </c>
      <c r="F2289" s="120" t="s">
        <v>57</v>
      </c>
      <c r="G2289" s="29">
        <v>45819</v>
      </c>
      <c r="H2289" s="28" t="s">
        <v>10413</v>
      </c>
      <c r="I2289" s="114" t="s">
        <v>12400</v>
      </c>
      <c r="J2289" s="114" t="s">
        <v>12401</v>
      </c>
    </row>
    <row r="2290" spans="1:10" ht="20" customHeight="1" thickBot="1">
      <c r="A2290" s="26" t="s">
        <v>10416</v>
      </c>
      <c r="B2290" s="26" t="s">
        <v>10416</v>
      </c>
      <c r="C2290" s="26" t="s">
        <v>10417</v>
      </c>
      <c r="D2290" s="116">
        <v>11</v>
      </c>
      <c r="E2290" s="122" t="s">
        <v>29</v>
      </c>
      <c r="F2290" s="119" t="s">
        <v>63</v>
      </c>
      <c r="G2290" s="27">
        <v>42266</v>
      </c>
      <c r="H2290" s="26" t="s">
        <v>10418</v>
      </c>
      <c r="I2290" s="113" t="s">
        <v>12400</v>
      </c>
      <c r="J2290" s="113" t="s">
        <v>12401</v>
      </c>
    </row>
    <row r="2291" spans="1:10" ht="20" customHeight="1" thickBot="1">
      <c r="A2291" s="28" t="s">
        <v>10421</v>
      </c>
      <c r="B2291" s="28" t="s">
        <v>10421</v>
      </c>
      <c r="C2291" s="28" t="s">
        <v>4164</v>
      </c>
      <c r="D2291" s="117">
        <v>7</v>
      </c>
      <c r="E2291" s="122" t="s">
        <v>34</v>
      </c>
      <c r="F2291" s="120" t="s">
        <v>57</v>
      </c>
      <c r="G2291" s="29">
        <v>44518</v>
      </c>
      <c r="H2291" s="28" t="s">
        <v>10422</v>
      </c>
      <c r="I2291" s="114" t="s">
        <v>12400</v>
      </c>
      <c r="J2291" s="114" t="s">
        <v>12401</v>
      </c>
    </row>
    <row r="2292" spans="1:10" ht="20" customHeight="1" thickBot="1">
      <c r="A2292" s="26" t="s">
        <v>10425</v>
      </c>
      <c r="B2292" s="26" t="s">
        <v>10425</v>
      </c>
      <c r="C2292" s="26" t="s">
        <v>4347</v>
      </c>
      <c r="D2292" s="116">
        <v>25</v>
      </c>
      <c r="E2292" s="122" t="s">
        <v>29</v>
      </c>
      <c r="F2292" s="119" t="s">
        <v>63</v>
      </c>
      <c r="G2292" s="27">
        <v>42266</v>
      </c>
      <c r="H2292" s="26" t="s">
        <v>10426</v>
      </c>
      <c r="I2292" s="113" t="s">
        <v>12400</v>
      </c>
      <c r="J2292" s="113" t="s">
        <v>12401</v>
      </c>
    </row>
    <row r="2293" spans="1:10" ht="20" customHeight="1" thickBot="1">
      <c r="A2293" s="28" t="s">
        <v>10429</v>
      </c>
      <c r="B2293" s="28" t="s">
        <v>10429</v>
      </c>
      <c r="C2293" s="28" t="s">
        <v>10430</v>
      </c>
      <c r="D2293" s="117">
        <v>16</v>
      </c>
      <c r="E2293" s="122" t="s">
        <v>34</v>
      </c>
      <c r="F2293" s="120" t="s">
        <v>57</v>
      </c>
      <c r="G2293" s="29">
        <v>43750</v>
      </c>
      <c r="H2293" s="28" t="s">
        <v>10431</v>
      </c>
      <c r="I2293" s="114" t="s">
        <v>12400</v>
      </c>
      <c r="J2293" s="114" t="s">
        <v>12401</v>
      </c>
    </row>
    <row r="2294" spans="1:10" ht="20" customHeight="1" thickBot="1">
      <c r="A2294" s="26" t="s">
        <v>10434</v>
      </c>
      <c r="B2294" s="26" t="s">
        <v>10434</v>
      </c>
      <c r="C2294" s="26" t="s">
        <v>10435</v>
      </c>
      <c r="D2294" s="116">
        <v>3</v>
      </c>
      <c r="E2294" s="122" t="s">
        <v>33</v>
      </c>
      <c r="F2294" s="119" t="s">
        <v>57</v>
      </c>
      <c r="G2294" s="27">
        <v>43917</v>
      </c>
      <c r="H2294" s="26" t="s">
        <v>10436</v>
      </c>
      <c r="I2294" s="113" t="s">
        <v>12400</v>
      </c>
      <c r="J2294" s="113" t="s">
        <v>12401</v>
      </c>
    </row>
    <row r="2295" spans="1:10" ht="20" customHeight="1" thickBot="1">
      <c r="A2295" s="28" t="s">
        <v>10439</v>
      </c>
      <c r="B2295" s="28" t="s">
        <v>10439</v>
      </c>
      <c r="C2295" s="28" t="s">
        <v>10440</v>
      </c>
      <c r="D2295" s="117">
        <v>6</v>
      </c>
      <c r="E2295" s="122" t="s">
        <v>29</v>
      </c>
      <c r="F2295" s="120" t="s">
        <v>63</v>
      </c>
      <c r="G2295" s="29">
        <v>42265</v>
      </c>
      <c r="H2295" s="28" t="s">
        <v>10441</v>
      </c>
      <c r="I2295" s="114" t="s">
        <v>12400</v>
      </c>
      <c r="J2295" s="114" t="s">
        <v>12401</v>
      </c>
    </row>
    <row r="2296" spans="1:10" ht="20" customHeight="1" thickBot="1">
      <c r="A2296" s="26" t="s">
        <v>10444</v>
      </c>
      <c r="B2296" s="26" t="s">
        <v>10444</v>
      </c>
      <c r="C2296" s="26" t="s">
        <v>2142</v>
      </c>
      <c r="D2296" s="116">
        <v>12</v>
      </c>
      <c r="E2296" s="122" t="s">
        <v>35</v>
      </c>
      <c r="F2296" s="119" t="s">
        <v>57</v>
      </c>
      <c r="G2296" s="27">
        <v>43843</v>
      </c>
      <c r="H2296" s="26" t="s">
        <v>10445</v>
      </c>
      <c r="I2296" s="113" t="s">
        <v>12400</v>
      </c>
      <c r="J2296" s="113" t="s">
        <v>12401</v>
      </c>
    </row>
    <row r="2297" spans="1:10" ht="20" customHeight="1" thickBot="1">
      <c r="A2297" s="28" t="s">
        <v>10448</v>
      </c>
      <c r="B2297" s="28" t="s">
        <v>10448</v>
      </c>
      <c r="C2297" s="28" t="s">
        <v>2828</v>
      </c>
      <c r="D2297" s="117">
        <v>9</v>
      </c>
      <c r="E2297" s="122" t="s">
        <v>34</v>
      </c>
      <c r="F2297" s="120" t="s">
        <v>57</v>
      </c>
      <c r="G2297" s="29">
        <v>42959</v>
      </c>
      <c r="H2297" s="28" t="s">
        <v>10449</v>
      </c>
      <c r="I2297" s="114" t="s">
        <v>12400</v>
      </c>
      <c r="J2297" s="114" t="s">
        <v>12401</v>
      </c>
    </row>
    <row r="2298" spans="1:10" ht="20" customHeight="1" thickBot="1">
      <c r="A2298" s="26" t="s">
        <v>10452</v>
      </c>
      <c r="B2298" s="26" t="s">
        <v>10452</v>
      </c>
      <c r="C2298" s="26" t="s">
        <v>10453</v>
      </c>
      <c r="D2298" s="116">
        <v>15</v>
      </c>
      <c r="E2298" s="122" t="s">
        <v>31</v>
      </c>
      <c r="F2298" s="119" t="s">
        <v>57</v>
      </c>
      <c r="G2298" s="27">
        <v>45815</v>
      </c>
      <c r="H2298" s="26" t="s">
        <v>10454</v>
      </c>
      <c r="I2298" s="113" t="s">
        <v>12400</v>
      </c>
      <c r="J2298" s="113" t="s">
        <v>12401</v>
      </c>
    </row>
    <row r="2299" spans="1:10" ht="20" customHeight="1" thickBot="1">
      <c r="A2299" s="28" t="s">
        <v>10457</v>
      </c>
      <c r="B2299" s="28" t="s">
        <v>10457</v>
      </c>
      <c r="C2299" s="28" t="s">
        <v>547</v>
      </c>
      <c r="D2299" s="117">
        <v>63</v>
      </c>
      <c r="E2299" s="122" t="s">
        <v>31</v>
      </c>
      <c r="F2299" s="120" t="s">
        <v>63</v>
      </c>
      <c r="G2299" s="29">
        <v>43576</v>
      </c>
      <c r="H2299" s="28" t="s">
        <v>10458</v>
      </c>
      <c r="I2299" s="114" t="s">
        <v>12400</v>
      </c>
      <c r="J2299" s="114" t="s">
        <v>12401</v>
      </c>
    </row>
    <row r="2300" spans="1:10" ht="20" customHeight="1" thickBot="1">
      <c r="A2300" s="26" t="s">
        <v>10461</v>
      </c>
      <c r="B2300" s="26" t="s">
        <v>10461</v>
      </c>
      <c r="C2300" s="26" t="s">
        <v>56</v>
      </c>
      <c r="D2300" s="116">
        <v>1</v>
      </c>
      <c r="E2300" s="122" t="s">
        <v>33</v>
      </c>
      <c r="F2300" s="119" t="s">
        <v>57</v>
      </c>
      <c r="G2300" s="27">
        <v>44832</v>
      </c>
      <c r="H2300" s="26" t="s">
        <v>10462</v>
      </c>
      <c r="I2300" s="113" t="s">
        <v>12400</v>
      </c>
      <c r="J2300" s="113" t="s">
        <v>12401</v>
      </c>
    </row>
    <row r="2301" spans="1:10" ht="20" customHeight="1" thickBot="1">
      <c r="A2301" s="28" t="s">
        <v>10465</v>
      </c>
      <c r="B2301" s="28" t="s">
        <v>10465</v>
      </c>
      <c r="C2301" s="28" t="s">
        <v>10466</v>
      </c>
      <c r="D2301" s="117">
        <v>6</v>
      </c>
      <c r="E2301" s="122" t="s">
        <v>29</v>
      </c>
      <c r="F2301" s="120" t="s">
        <v>63</v>
      </c>
      <c r="G2301" s="29">
        <v>42220</v>
      </c>
      <c r="H2301" s="28" t="s">
        <v>10467</v>
      </c>
      <c r="I2301" s="114" t="s">
        <v>12400</v>
      </c>
      <c r="J2301" s="114" t="s">
        <v>12401</v>
      </c>
    </row>
    <row r="2302" spans="1:10" ht="20" customHeight="1" thickBot="1">
      <c r="A2302" s="26" t="s">
        <v>10470</v>
      </c>
      <c r="B2302" s="26" t="s">
        <v>10470</v>
      </c>
      <c r="C2302" s="26" t="s">
        <v>837</v>
      </c>
      <c r="D2302" s="116">
        <v>15</v>
      </c>
      <c r="E2302" s="122" t="s">
        <v>35</v>
      </c>
      <c r="F2302" s="119" t="s">
        <v>57</v>
      </c>
      <c r="G2302" s="27">
        <v>44607</v>
      </c>
      <c r="H2302" s="26" t="s">
        <v>10471</v>
      </c>
      <c r="I2302" s="113" t="s">
        <v>12400</v>
      </c>
      <c r="J2302" s="113" t="s">
        <v>12401</v>
      </c>
    </row>
    <row r="2303" spans="1:10" ht="20" customHeight="1" thickBot="1">
      <c r="A2303" s="28" t="s">
        <v>10474</v>
      </c>
      <c r="B2303" s="28" t="s">
        <v>10474</v>
      </c>
      <c r="C2303" s="28" t="s">
        <v>10475</v>
      </c>
      <c r="D2303" s="117">
        <v>10</v>
      </c>
      <c r="E2303" s="122" t="s">
        <v>35</v>
      </c>
      <c r="F2303" s="120" t="s">
        <v>57</v>
      </c>
      <c r="G2303" s="29">
        <v>44772</v>
      </c>
      <c r="H2303" s="28" t="s">
        <v>10476</v>
      </c>
      <c r="I2303" s="114" t="s">
        <v>12400</v>
      </c>
      <c r="J2303" s="114" t="s">
        <v>12401</v>
      </c>
    </row>
    <row r="2304" spans="1:10" ht="20" customHeight="1" thickBot="1">
      <c r="A2304" s="26" t="s">
        <v>10479</v>
      </c>
      <c r="B2304" s="26" t="s">
        <v>10479</v>
      </c>
      <c r="C2304" s="26" t="s">
        <v>10475</v>
      </c>
      <c r="D2304" s="116">
        <v>13</v>
      </c>
      <c r="E2304" s="122" t="s">
        <v>31</v>
      </c>
      <c r="F2304" s="119" t="s">
        <v>57</v>
      </c>
      <c r="G2304" s="27">
        <v>44644</v>
      </c>
      <c r="H2304" s="26" t="s">
        <v>10480</v>
      </c>
      <c r="I2304" s="113" t="s">
        <v>12400</v>
      </c>
      <c r="J2304" s="113" t="s">
        <v>12401</v>
      </c>
    </row>
    <row r="2305" spans="1:10" ht="20" customHeight="1" thickBot="1">
      <c r="A2305" s="28" t="s">
        <v>10483</v>
      </c>
      <c r="B2305" s="28" t="s">
        <v>10483</v>
      </c>
      <c r="C2305" s="28" t="s">
        <v>10475</v>
      </c>
      <c r="D2305" s="117">
        <v>13</v>
      </c>
      <c r="E2305" s="122" t="s">
        <v>34</v>
      </c>
      <c r="F2305" s="120" t="s">
        <v>57</v>
      </c>
      <c r="G2305" s="29">
        <v>44707</v>
      </c>
      <c r="H2305" s="28" t="s">
        <v>10484</v>
      </c>
      <c r="I2305" s="114" t="s">
        <v>12400</v>
      </c>
      <c r="J2305" s="114" t="s">
        <v>12401</v>
      </c>
    </row>
    <row r="2306" spans="1:10" ht="20" customHeight="1" thickBot="1">
      <c r="A2306" s="26" t="s">
        <v>10487</v>
      </c>
      <c r="B2306" s="26" t="s">
        <v>10487</v>
      </c>
      <c r="C2306" s="26" t="s">
        <v>1205</v>
      </c>
      <c r="D2306" s="116">
        <v>14</v>
      </c>
      <c r="E2306" s="122" t="s">
        <v>34</v>
      </c>
      <c r="F2306" s="119" t="s">
        <v>57</v>
      </c>
      <c r="G2306" s="27">
        <v>45071</v>
      </c>
      <c r="H2306" s="26" t="s">
        <v>10488</v>
      </c>
      <c r="I2306" s="113" t="s">
        <v>12400</v>
      </c>
      <c r="J2306" s="113" t="s">
        <v>12401</v>
      </c>
    </row>
    <row r="2307" spans="1:10" ht="20" customHeight="1" thickBot="1">
      <c r="A2307" s="28" t="s">
        <v>10491</v>
      </c>
      <c r="B2307" s="28" t="s">
        <v>10491</v>
      </c>
      <c r="C2307" s="28" t="s">
        <v>10492</v>
      </c>
      <c r="D2307" s="117">
        <v>27</v>
      </c>
      <c r="E2307" s="122" t="s">
        <v>34</v>
      </c>
      <c r="F2307" s="120" t="s">
        <v>57</v>
      </c>
      <c r="G2307" s="29">
        <v>44085</v>
      </c>
      <c r="H2307" s="28" t="s">
        <v>10493</v>
      </c>
      <c r="I2307" s="114" t="s">
        <v>12400</v>
      </c>
      <c r="J2307" s="114" t="s">
        <v>12401</v>
      </c>
    </row>
    <row r="2308" spans="1:10" ht="20" customHeight="1" thickBot="1">
      <c r="A2308" s="26" t="s">
        <v>10496</v>
      </c>
      <c r="B2308" s="26" t="s">
        <v>10496</v>
      </c>
      <c r="C2308" s="26" t="s">
        <v>1389</v>
      </c>
      <c r="D2308" s="116">
        <v>13</v>
      </c>
      <c r="E2308" s="122" t="s">
        <v>31</v>
      </c>
      <c r="F2308" s="119" t="s">
        <v>57</v>
      </c>
      <c r="G2308" s="27">
        <v>45405</v>
      </c>
      <c r="H2308" s="26" t="s">
        <v>10497</v>
      </c>
      <c r="I2308" s="113" t="s">
        <v>12400</v>
      </c>
      <c r="J2308" s="113" t="s">
        <v>12401</v>
      </c>
    </row>
    <row r="2309" spans="1:10" ht="20" customHeight="1" thickBot="1">
      <c r="A2309" s="28" t="s">
        <v>10500</v>
      </c>
      <c r="B2309" s="28" t="s">
        <v>10500</v>
      </c>
      <c r="C2309" s="28" t="s">
        <v>1389</v>
      </c>
      <c r="D2309" s="117">
        <v>12</v>
      </c>
      <c r="E2309" s="122" t="s">
        <v>31</v>
      </c>
      <c r="F2309" s="120" t="s">
        <v>57</v>
      </c>
      <c r="G2309" s="29">
        <v>45211</v>
      </c>
      <c r="H2309" s="28" t="s">
        <v>10501</v>
      </c>
      <c r="I2309" s="114" t="s">
        <v>12400</v>
      </c>
      <c r="J2309" s="114" t="s">
        <v>12401</v>
      </c>
    </row>
    <row r="2310" spans="1:10" ht="20" customHeight="1" thickBot="1">
      <c r="A2310" s="26" t="s">
        <v>10504</v>
      </c>
      <c r="B2310" s="26" t="s">
        <v>10504</v>
      </c>
      <c r="C2310" s="26" t="s">
        <v>1355</v>
      </c>
      <c r="D2310" s="116">
        <v>17</v>
      </c>
      <c r="E2310" s="122" t="s">
        <v>33</v>
      </c>
      <c r="F2310" s="119" t="s">
        <v>57</v>
      </c>
      <c r="G2310" s="27">
        <v>45014</v>
      </c>
      <c r="H2310" s="26" t="s">
        <v>10505</v>
      </c>
      <c r="I2310" s="113" t="s">
        <v>12400</v>
      </c>
      <c r="J2310" s="113" t="s">
        <v>12401</v>
      </c>
    </row>
    <row r="2311" spans="1:10" ht="20" customHeight="1" thickBot="1">
      <c r="A2311" s="28" t="s">
        <v>10508</v>
      </c>
      <c r="B2311" s="28" t="s">
        <v>10508</v>
      </c>
      <c r="C2311" s="28" t="s">
        <v>10509</v>
      </c>
      <c r="D2311" s="117">
        <v>9</v>
      </c>
      <c r="E2311" s="122" t="s">
        <v>34</v>
      </c>
      <c r="F2311" s="120" t="s">
        <v>57</v>
      </c>
      <c r="G2311" s="29">
        <v>43818</v>
      </c>
      <c r="H2311" s="28" t="s">
        <v>10510</v>
      </c>
      <c r="I2311" s="114" t="s">
        <v>12400</v>
      </c>
      <c r="J2311" s="114" t="s">
        <v>12401</v>
      </c>
    </row>
    <row r="2312" spans="1:10" ht="20" customHeight="1" thickBot="1">
      <c r="A2312" s="26" t="s">
        <v>10513</v>
      </c>
      <c r="B2312" s="26" t="s">
        <v>10513</v>
      </c>
      <c r="C2312" s="26" t="s">
        <v>2109</v>
      </c>
      <c r="D2312" s="116">
        <v>6</v>
      </c>
      <c r="E2312" s="122" t="s">
        <v>29</v>
      </c>
      <c r="F2312" s="119" t="s">
        <v>63</v>
      </c>
      <c r="G2312" s="27">
        <v>45931</v>
      </c>
      <c r="H2312" s="26" t="s">
        <v>10514</v>
      </c>
      <c r="I2312" s="113" t="s">
        <v>12400</v>
      </c>
      <c r="J2312" s="113" t="s">
        <v>12401</v>
      </c>
    </row>
    <row r="2313" spans="1:10" ht="20" customHeight="1" thickBot="1">
      <c r="A2313" s="28" t="s">
        <v>10517</v>
      </c>
      <c r="B2313" s="28" t="s">
        <v>10517</v>
      </c>
      <c r="C2313" s="28" t="s">
        <v>10518</v>
      </c>
      <c r="D2313" s="117">
        <v>17</v>
      </c>
      <c r="E2313" s="122" t="s">
        <v>33</v>
      </c>
      <c r="F2313" s="120" t="s">
        <v>57</v>
      </c>
      <c r="G2313" s="29">
        <v>44001</v>
      </c>
      <c r="H2313" s="28" t="s">
        <v>10519</v>
      </c>
      <c r="I2313" s="114" t="s">
        <v>12400</v>
      </c>
      <c r="J2313" s="114" t="s">
        <v>12401</v>
      </c>
    </row>
    <row r="2314" spans="1:10" ht="20" customHeight="1" thickBot="1">
      <c r="A2314" s="26" t="s">
        <v>10522</v>
      </c>
      <c r="B2314" s="26" t="s">
        <v>10522</v>
      </c>
      <c r="C2314" s="26" t="s">
        <v>2230</v>
      </c>
      <c r="D2314" s="116">
        <v>2</v>
      </c>
      <c r="E2314" s="122" t="s">
        <v>33</v>
      </c>
      <c r="F2314" s="119" t="s">
        <v>57</v>
      </c>
      <c r="G2314" s="27">
        <v>45279</v>
      </c>
      <c r="H2314" s="26" t="s">
        <v>10523</v>
      </c>
      <c r="I2314" s="113" t="s">
        <v>12400</v>
      </c>
      <c r="J2314" s="113" t="s">
        <v>12401</v>
      </c>
    </row>
    <row r="2315" spans="1:10" ht="20" customHeight="1" thickBot="1">
      <c r="A2315" s="28" t="s">
        <v>10526</v>
      </c>
      <c r="B2315" s="28" t="s">
        <v>10526</v>
      </c>
      <c r="C2315" s="28" t="s">
        <v>104</v>
      </c>
      <c r="D2315" s="117">
        <v>1</v>
      </c>
      <c r="E2315" s="122" t="s">
        <v>35</v>
      </c>
      <c r="F2315" s="120" t="s">
        <v>57</v>
      </c>
      <c r="G2315" s="29">
        <v>44447</v>
      </c>
      <c r="H2315" s="28" t="s">
        <v>10527</v>
      </c>
      <c r="I2315" s="114" t="s">
        <v>12400</v>
      </c>
      <c r="J2315" s="114" t="s">
        <v>12401</v>
      </c>
    </row>
    <row r="2316" spans="1:10" ht="20" customHeight="1" thickBot="1">
      <c r="A2316" s="26" t="s">
        <v>10530</v>
      </c>
      <c r="B2316" s="26" t="s">
        <v>10530</v>
      </c>
      <c r="C2316" s="26" t="s">
        <v>10531</v>
      </c>
      <c r="D2316" s="116">
        <v>24</v>
      </c>
      <c r="E2316" s="122" t="s">
        <v>29</v>
      </c>
      <c r="F2316" s="119" t="s">
        <v>63</v>
      </c>
      <c r="G2316" s="27">
        <v>42310</v>
      </c>
      <c r="H2316" s="26" t="s">
        <v>10532</v>
      </c>
      <c r="I2316" s="113" t="s">
        <v>12400</v>
      </c>
      <c r="J2316" s="113" t="s">
        <v>12401</v>
      </c>
    </row>
    <row r="2317" spans="1:10" ht="20" customHeight="1" thickBot="1">
      <c r="A2317" s="28" t="s">
        <v>10535</v>
      </c>
      <c r="B2317" s="28" t="s">
        <v>10535</v>
      </c>
      <c r="C2317" s="28" t="s">
        <v>10536</v>
      </c>
      <c r="D2317" s="117">
        <v>11</v>
      </c>
      <c r="E2317" s="122" t="s">
        <v>36</v>
      </c>
      <c r="F2317" s="120" t="s">
        <v>57</v>
      </c>
      <c r="G2317" s="29">
        <v>46086</v>
      </c>
      <c r="H2317" s="28" t="s">
        <v>10537</v>
      </c>
      <c r="I2317" s="114" t="s">
        <v>12400</v>
      </c>
      <c r="J2317" s="114" t="s">
        <v>12401</v>
      </c>
    </row>
    <row r="2318" spans="1:10" ht="20" customHeight="1" thickBot="1">
      <c r="A2318" s="26" t="s">
        <v>10540</v>
      </c>
      <c r="B2318" s="26" t="s">
        <v>10540</v>
      </c>
      <c r="C2318" s="26" t="s">
        <v>8446</v>
      </c>
      <c r="D2318" s="116">
        <v>14</v>
      </c>
      <c r="E2318" s="122" t="s">
        <v>27</v>
      </c>
      <c r="F2318" s="119" t="s">
        <v>63</v>
      </c>
      <c r="G2318" s="27">
        <v>42294</v>
      </c>
      <c r="H2318" s="26" t="s">
        <v>10541</v>
      </c>
      <c r="I2318" s="113" t="s">
        <v>12400</v>
      </c>
      <c r="J2318" s="113" t="s">
        <v>12401</v>
      </c>
    </row>
    <row r="2319" spans="1:10" ht="20" customHeight="1" thickBot="1">
      <c r="A2319" s="28" t="s">
        <v>10544</v>
      </c>
      <c r="B2319" s="28" t="s">
        <v>10544</v>
      </c>
      <c r="C2319" s="28" t="s">
        <v>945</v>
      </c>
      <c r="D2319" s="117">
        <v>11</v>
      </c>
      <c r="E2319" s="122" t="s">
        <v>33</v>
      </c>
      <c r="F2319" s="120" t="s">
        <v>63</v>
      </c>
      <c r="G2319" s="29">
        <v>46112</v>
      </c>
      <c r="H2319" s="28" t="s">
        <v>10545</v>
      </c>
      <c r="I2319" s="114" t="s">
        <v>12400</v>
      </c>
      <c r="J2319" s="114" t="s">
        <v>12401</v>
      </c>
    </row>
    <row r="2320" spans="1:10" ht="20" customHeight="1" thickBot="1">
      <c r="A2320" s="26" t="s">
        <v>10548</v>
      </c>
      <c r="B2320" s="26" t="s">
        <v>10548</v>
      </c>
      <c r="C2320" s="26" t="s">
        <v>3865</v>
      </c>
      <c r="D2320" s="116">
        <v>1</v>
      </c>
      <c r="E2320" s="122" t="s">
        <v>36</v>
      </c>
      <c r="F2320" s="119" t="s">
        <v>57</v>
      </c>
      <c r="G2320" s="27">
        <v>44376</v>
      </c>
      <c r="H2320" s="26" t="s">
        <v>10549</v>
      </c>
      <c r="I2320" s="113" t="s">
        <v>12400</v>
      </c>
      <c r="J2320" s="113" t="s">
        <v>12401</v>
      </c>
    </row>
    <row r="2321" spans="1:10" ht="20" customHeight="1" thickBot="1">
      <c r="A2321" s="28" t="s">
        <v>10552</v>
      </c>
      <c r="B2321" s="28" t="s">
        <v>10552</v>
      </c>
      <c r="C2321" s="28" t="s">
        <v>10553</v>
      </c>
      <c r="D2321" s="117">
        <v>89</v>
      </c>
      <c r="E2321" s="122" t="s">
        <v>36</v>
      </c>
      <c r="F2321" s="120" t="s">
        <v>57</v>
      </c>
      <c r="G2321" s="29">
        <v>42788</v>
      </c>
      <c r="H2321" s="28" t="s">
        <v>10554</v>
      </c>
      <c r="I2321" s="114" t="s">
        <v>12400</v>
      </c>
      <c r="J2321" s="114" t="s">
        <v>12401</v>
      </c>
    </row>
    <row r="2322" spans="1:10" ht="20" customHeight="1" thickBot="1">
      <c r="A2322" s="26" t="s">
        <v>10557</v>
      </c>
      <c r="B2322" s="26" t="s">
        <v>10557</v>
      </c>
      <c r="C2322" s="26" t="s">
        <v>10553</v>
      </c>
      <c r="D2322" s="116">
        <v>89</v>
      </c>
      <c r="E2322" s="122" t="s">
        <v>36</v>
      </c>
      <c r="F2322" s="119" t="s">
        <v>57</v>
      </c>
      <c r="G2322" s="27">
        <v>44946</v>
      </c>
      <c r="H2322" s="26" t="s">
        <v>10558</v>
      </c>
      <c r="I2322" s="113" t="s">
        <v>12400</v>
      </c>
      <c r="J2322" s="113" t="s">
        <v>12401</v>
      </c>
    </row>
    <row r="2323" spans="1:10" ht="20" customHeight="1" thickBot="1">
      <c r="A2323" s="28" t="s">
        <v>10561</v>
      </c>
      <c r="B2323" s="28" t="s">
        <v>10561</v>
      </c>
      <c r="C2323" s="28" t="s">
        <v>1570</v>
      </c>
      <c r="D2323" s="117">
        <v>0</v>
      </c>
      <c r="E2323" s="122" t="s">
        <v>33</v>
      </c>
      <c r="F2323" s="120" t="s">
        <v>57</v>
      </c>
      <c r="G2323" s="29">
        <v>44309</v>
      </c>
      <c r="H2323" s="28" t="s">
        <v>10562</v>
      </c>
      <c r="I2323" s="114" t="s">
        <v>12400</v>
      </c>
      <c r="J2323" s="114" t="s">
        <v>12401</v>
      </c>
    </row>
    <row r="2324" spans="1:10" ht="20" customHeight="1" thickBot="1">
      <c r="A2324" s="26" t="s">
        <v>10565</v>
      </c>
      <c r="B2324" s="26" t="s">
        <v>10565</v>
      </c>
      <c r="C2324" s="26" t="s">
        <v>10566</v>
      </c>
      <c r="D2324" s="116">
        <v>0</v>
      </c>
      <c r="E2324" s="122" t="s">
        <v>31</v>
      </c>
      <c r="F2324" s="119" t="s">
        <v>63</v>
      </c>
      <c r="G2324" s="27">
        <v>45762</v>
      </c>
      <c r="H2324" s="26" t="s">
        <v>10567</v>
      </c>
      <c r="I2324" s="113" t="s">
        <v>12400</v>
      </c>
      <c r="J2324" s="113" t="s">
        <v>12401</v>
      </c>
    </row>
    <row r="2325" spans="1:10" ht="20" customHeight="1" thickBot="1">
      <c r="A2325" s="28" t="s">
        <v>10570</v>
      </c>
      <c r="B2325" s="28" t="s">
        <v>10570</v>
      </c>
      <c r="C2325" s="28" t="s">
        <v>1429</v>
      </c>
      <c r="D2325" s="117">
        <v>8</v>
      </c>
      <c r="E2325" s="122" t="s">
        <v>34</v>
      </c>
      <c r="F2325" s="120" t="s">
        <v>57</v>
      </c>
      <c r="G2325" s="29">
        <v>45244</v>
      </c>
      <c r="H2325" s="28" t="s">
        <v>10571</v>
      </c>
      <c r="I2325" s="114" t="s">
        <v>12400</v>
      </c>
      <c r="J2325" s="114" t="s">
        <v>12401</v>
      </c>
    </row>
    <row r="2326" spans="1:10" ht="20" customHeight="1" thickBot="1">
      <c r="A2326" s="26" t="s">
        <v>10574</v>
      </c>
      <c r="B2326" s="26" t="s">
        <v>10574</v>
      </c>
      <c r="C2326" s="26" t="s">
        <v>2521</v>
      </c>
      <c r="D2326" s="116">
        <v>21</v>
      </c>
      <c r="E2326" s="122" t="s">
        <v>35</v>
      </c>
      <c r="F2326" s="119" t="s">
        <v>57</v>
      </c>
      <c r="G2326" s="27">
        <v>46215</v>
      </c>
      <c r="H2326" s="26" t="s">
        <v>10575</v>
      </c>
      <c r="I2326" s="113" t="s">
        <v>12400</v>
      </c>
      <c r="J2326" s="113" t="s">
        <v>12401</v>
      </c>
    </row>
    <row r="2327" spans="1:10" ht="20" customHeight="1" thickBot="1">
      <c r="A2327" s="28" t="s">
        <v>10578</v>
      </c>
      <c r="B2327" s="28" t="s">
        <v>10578</v>
      </c>
      <c r="C2327" s="28" t="s">
        <v>10579</v>
      </c>
      <c r="D2327" s="117">
        <v>24</v>
      </c>
      <c r="E2327" s="122" t="s">
        <v>34</v>
      </c>
      <c r="F2327" s="120" t="s">
        <v>57</v>
      </c>
      <c r="G2327" s="29">
        <v>44163</v>
      </c>
      <c r="H2327" s="28" t="s">
        <v>10580</v>
      </c>
      <c r="I2327" s="114" t="s">
        <v>12400</v>
      </c>
      <c r="J2327" s="114" t="s">
        <v>12401</v>
      </c>
    </row>
    <row r="2328" spans="1:10" ht="20" customHeight="1" thickBot="1">
      <c r="A2328" s="26" t="s">
        <v>10583</v>
      </c>
      <c r="B2328" s="26" t="s">
        <v>10583</v>
      </c>
      <c r="C2328" s="26" t="s">
        <v>10579</v>
      </c>
      <c r="D2328" s="116">
        <v>20</v>
      </c>
      <c r="E2328" s="122" t="s">
        <v>34</v>
      </c>
      <c r="F2328" s="119" t="s">
        <v>57</v>
      </c>
      <c r="G2328" s="27">
        <v>44366</v>
      </c>
      <c r="H2328" s="26" t="s">
        <v>10584</v>
      </c>
      <c r="I2328" s="113" t="s">
        <v>12400</v>
      </c>
      <c r="J2328" s="113" t="s">
        <v>12401</v>
      </c>
    </row>
    <row r="2329" spans="1:10" ht="20" customHeight="1" thickBot="1">
      <c r="A2329" s="28" t="s">
        <v>10587</v>
      </c>
      <c r="B2329" s="28" t="s">
        <v>10587</v>
      </c>
      <c r="C2329" s="28" t="s">
        <v>243</v>
      </c>
      <c r="D2329" s="117">
        <v>16</v>
      </c>
      <c r="E2329" s="122" t="s">
        <v>29</v>
      </c>
      <c r="F2329" s="120" t="s">
        <v>63</v>
      </c>
      <c r="G2329" s="29">
        <v>43859</v>
      </c>
      <c r="H2329" s="28" t="s">
        <v>10588</v>
      </c>
      <c r="I2329" s="114" t="s">
        <v>12400</v>
      </c>
      <c r="J2329" s="114" t="s">
        <v>12401</v>
      </c>
    </row>
    <row r="2330" spans="1:10" ht="20" customHeight="1" thickBot="1">
      <c r="A2330" s="26" t="s">
        <v>10591</v>
      </c>
      <c r="B2330" s="26" t="s">
        <v>10591</v>
      </c>
      <c r="C2330" s="26" t="s">
        <v>10592</v>
      </c>
      <c r="D2330" s="116">
        <v>5</v>
      </c>
      <c r="E2330" s="122" t="s">
        <v>29</v>
      </c>
      <c r="F2330" s="119" t="s">
        <v>63</v>
      </c>
      <c r="G2330" s="27">
        <v>42248</v>
      </c>
      <c r="H2330" s="26" t="s">
        <v>10593</v>
      </c>
      <c r="I2330" s="113" t="s">
        <v>12400</v>
      </c>
      <c r="J2330" s="113" t="s">
        <v>12401</v>
      </c>
    </row>
    <row r="2331" spans="1:10" ht="20" customHeight="1" thickBot="1">
      <c r="A2331" s="28" t="s">
        <v>10596</v>
      </c>
      <c r="B2331" s="28" t="s">
        <v>10596</v>
      </c>
      <c r="C2331" s="28" t="s">
        <v>10592</v>
      </c>
      <c r="D2331" s="117">
        <v>26</v>
      </c>
      <c r="E2331" s="122" t="s">
        <v>29</v>
      </c>
      <c r="F2331" s="120" t="s">
        <v>63</v>
      </c>
      <c r="G2331" s="29">
        <v>42223</v>
      </c>
      <c r="H2331" s="28" t="s">
        <v>10597</v>
      </c>
      <c r="I2331" s="114" t="s">
        <v>12400</v>
      </c>
      <c r="J2331" s="114" t="s">
        <v>12401</v>
      </c>
    </row>
    <row r="2332" spans="1:10" ht="20" customHeight="1" thickBot="1">
      <c r="A2332" s="26" t="s">
        <v>10600</v>
      </c>
      <c r="B2332" s="26" t="s">
        <v>10600</v>
      </c>
      <c r="C2332" s="26" t="s">
        <v>504</v>
      </c>
      <c r="D2332" s="116">
        <v>10</v>
      </c>
      <c r="E2332" s="122" t="s">
        <v>29</v>
      </c>
      <c r="F2332" s="119" t="s">
        <v>63</v>
      </c>
      <c r="G2332" s="27">
        <v>43904</v>
      </c>
      <c r="H2332" s="26" t="s">
        <v>10601</v>
      </c>
      <c r="I2332" s="113" t="s">
        <v>12400</v>
      </c>
      <c r="J2332" s="113" t="s">
        <v>12401</v>
      </c>
    </row>
    <row r="2333" spans="1:10" ht="20" customHeight="1" thickBot="1">
      <c r="A2333" s="28" t="s">
        <v>10604</v>
      </c>
      <c r="B2333" s="28" t="s">
        <v>10604</v>
      </c>
      <c r="C2333" s="28" t="s">
        <v>2152</v>
      </c>
      <c r="D2333" s="117">
        <v>10</v>
      </c>
      <c r="E2333" s="122" t="s">
        <v>33</v>
      </c>
      <c r="F2333" s="120" t="s">
        <v>63</v>
      </c>
      <c r="G2333" s="29">
        <v>44927</v>
      </c>
      <c r="H2333" s="28" t="s">
        <v>10605</v>
      </c>
      <c r="I2333" s="114" t="s">
        <v>12400</v>
      </c>
      <c r="J2333" s="114" t="s">
        <v>12401</v>
      </c>
    </row>
    <row r="2334" spans="1:10" ht="20" customHeight="1" thickBot="1">
      <c r="A2334" s="26" t="s">
        <v>10608</v>
      </c>
      <c r="B2334" s="26" t="s">
        <v>10608</v>
      </c>
      <c r="C2334" s="26" t="s">
        <v>2152</v>
      </c>
      <c r="D2334" s="116">
        <v>10</v>
      </c>
      <c r="E2334" s="122" t="s">
        <v>33</v>
      </c>
      <c r="F2334" s="119" t="s">
        <v>63</v>
      </c>
      <c r="G2334" s="27">
        <v>44980</v>
      </c>
      <c r="H2334" s="26" t="s">
        <v>10609</v>
      </c>
      <c r="I2334" s="113" t="s">
        <v>12400</v>
      </c>
      <c r="J2334" s="113" t="s">
        <v>12401</v>
      </c>
    </row>
    <row r="2335" spans="1:10" ht="20" customHeight="1" thickBot="1">
      <c r="A2335" s="28" t="s">
        <v>10612</v>
      </c>
      <c r="B2335" s="28" t="s">
        <v>10612</v>
      </c>
      <c r="C2335" s="28" t="s">
        <v>10509</v>
      </c>
      <c r="D2335" s="117">
        <v>11</v>
      </c>
      <c r="E2335" s="122" t="s">
        <v>33</v>
      </c>
      <c r="F2335" s="120" t="s">
        <v>57</v>
      </c>
      <c r="G2335" s="29">
        <v>43532</v>
      </c>
      <c r="H2335" s="28" t="s">
        <v>10613</v>
      </c>
      <c r="I2335" s="114" t="s">
        <v>12400</v>
      </c>
      <c r="J2335" s="114" t="s">
        <v>12401</v>
      </c>
    </row>
    <row r="2336" spans="1:10" ht="20" customHeight="1" thickBot="1">
      <c r="A2336" s="26" t="s">
        <v>10616</v>
      </c>
      <c r="B2336" s="26" t="s">
        <v>10616</v>
      </c>
      <c r="C2336" s="26" t="s">
        <v>10509</v>
      </c>
      <c r="D2336" s="116">
        <v>15</v>
      </c>
      <c r="E2336" s="122" t="s">
        <v>34</v>
      </c>
      <c r="F2336" s="119" t="s">
        <v>57</v>
      </c>
      <c r="G2336" s="27">
        <v>43637</v>
      </c>
      <c r="H2336" s="26" t="s">
        <v>10617</v>
      </c>
      <c r="I2336" s="113" t="s">
        <v>12400</v>
      </c>
      <c r="J2336" s="113" t="s">
        <v>12401</v>
      </c>
    </row>
    <row r="2337" spans="1:10" ht="20" customHeight="1" thickBot="1">
      <c r="A2337" s="28" t="s">
        <v>10620</v>
      </c>
      <c r="B2337" s="28" t="s">
        <v>10620</v>
      </c>
      <c r="C2337" s="28" t="s">
        <v>2035</v>
      </c>
      <c r="D2337" s="117">
        <v>21</v>
      </c>
      <c r="E2337" s="122" t="s">
        <v>34</v>
      </c>
      <c r="F2337" s="120" t="s">
        <v>57</v>
      </c>
      <c r="G2337" s="29">
        <v>44183</v>
      </c>
      <c r="H2337" s="28" t="s">
        <v>10621</v>
      </c>
      <c r="I2337" s="114" t="s">
        <v>12400</v>
      </c>
      <c r="J2337" s="114" t="s">
        <v>12401</v>
      </c>
    </row>
    <row r="2338" spans="1:10" ht="20" customHeight="1" thickBot="1">
      <c r="A2338" s="26" t="s">
        <v>10624</v>
      </c>
      <c r="B2338" s="26" t="s">
        <v>10624</v>
      </c>
      <c r="C2338" s="26" t="s">
        <v>10625</v>
      </c>
      <c r="D2338" s="116">
        <v>4</v>
      </c>
      <c r="E2338" s="122" t="s">
        <v>29</v>
      </c>
      <c r="F2338" s="119" t="s">
        <v>63</v>
      </c>
      <c r="G2338" s="27">
        <v>42207</v>
      </c>
      <c r="H2338" s="26" t="s">
        <v>10626</v>
      </c>
      <c r="I2338" s="113" t="s">
        <v>12400</v>
      </c>
      <c r="J2338" s="113" t="s">
        <v>12401</v>
      </c>
    </row>
    <row r="2339" spans="1:10" ht="20" customHeight="1" thickBot="1">
      <c r="A2339" s="28" t="s">
        <v>10629</v>
      </c>
      <c r="B2339" s="28" t="s">
        <v>10629</v>
      </c>
      <c r="C2339" s="28" t="s">
        <v>4806</v>
      </c>
      <c r="D2339" s="117">
        <v>12</v>
      </c>
      <c r="E2339" s="122" t="s">
        <v>29</v>
      </c>
      <c r="F2339" s="120" t="s">
        <v>63</v>
      </c>
      <c r="G2339" s="29">
        <v>45461</v>
      </c>
      <c r="H2339" s="28" t="s">
        <v>10630</v>
      </c>
      <c r="I2339" s="114" t="s">
        <v>12400</v>
      </c>
      <c r="J2339" s="114" t="s">
        <v>12401</v>
      </c>
    </row>
    <row r="2340" spans="1:10" ht="20" customHeight="1" thickBot="1">
      <c r="A2340" s="26" t="s">
        <v>10633</v>
      </c>
      <c r="B2340" s="26" t="s">
        <v>10633</v>
      </c>
      <c r="C2340" s="26" t="s">
        <v>7530</v>
      </c>
      <c r="D2340" s="116">
        <v>41</v>
      </c>
      <c r="E2340" s="122" t="s">
        <v>31</v>
      </c>
      <c r="F2340" s="119" t="s">
        <v>63</v>
      </c>
      <c r="G2340" s="27">
        <v>42348</v>
      </c>
      <c r="H2340" s="26" t="s">
        <v>10634</v>
      </c>
      <c r="I2340" s="113" t="s">
        <v>12400</v>
      </c>
      <c r="J2340" s="113" t="s">
        <v>12401</v>
      </c>
    </row>
    <row r="2341" spans="1:10" ht="20" customHeight="1" thickBot="1">
      <c r="A2341" s="28" t="s">
        <v>10637</v>
      </c>
      <c r="B2341" s="28" t="s">
        <v>10637</v>
      </c>
      <c r="C2341" s="28" t="s">
        <v>7304</v>
      </c>
      <c r="D2341" s="117">
        <v>5</v>
      </c>
      <c r="E2341" s="122" t="s">
        <v>33</v>
      </c>
      <c r="F2341" s="120" t="s">
        <v>57</v>
      </c>
      <c r="G2341" s="29">
        <v>44760</v>
      </c>
      <c r="H2341" s="28" t="s">
        <v>10638</v>
      </c>
      <c r="I2341" s="114" t="s">
        <v>12400</v>
      </c>
      <c r="J2341" s="114" t="s">
        <v>12401</v>
      </c>
    </row>
    <row r="2342" spans="1:10" ht="20" customHeight="1" thickBot="1">
      <c r="A2342" s="26" t="s">
        <v>10641</v>
      </c>
      <c r="B2342" s="26" t="s">
        <v>10641</v>
      </c>
      <c r="C2342" s="26" t="s">
        <v>1129</v>
      </c>
      <c r="D2342" s="116">
        <v>6</v>
      </c>
      <c r="E2342" s="122" t="s">
        <v>31</v>
      </c>
      <c r="F2342" s="119" t="s">
        <v>63</v>
      </c>
      <c r="G2342" s="27">
        <v>45960</v>
      </c>
      <c r="H2342" s="26" t="s">
        <v>10642</v>
      </c>
      <c r="I2342" s="113" t="s">
        <v>12400</v>
      </c>
      <c r="J2342" s="113" t="s">
        <v>12401</v>
      </c>
    </row>
    <row r="2343" spans="1:10" ht="20" customHeight="1" thickBot="1">
      <c r="A2343" s="28" t="s">
        <v>10645</v>
      </c>
      <c r="B2343" s="28" t="s">
        <v>10645</v>
      </c>
      <c r="C2343" s="28" t="s">
        <v>10646</v>
      </c>
      <c r="D2343" s="117">
        <v>116</v>
      </c>
      <c r="E2343" s="122" t="s">
        <v>31</v>
      </c>
      <c r="F2343" s="120" t="s">
        <v>63</v>
      </c>
      <c r="G2343" s="29">
        <v>44706</v>
      </c>
      <c r="H2343" s="28" t="s">
        <v>10647</v>
      </c>
      <c r="I2343" s="114" t="s">
        <v>12400</v>
      </c>
      <c r="J2343" s="114" t="s">
        <v>12401</v>
      </c>
    </row>
    <row r="2344" spans="1:10" ht="20" customHeight="1" thickBot="1">
      <c r="A2344" s="26" t="s">
        <v>10650</v>
      </c>
      <c r="B2344" s="26" t="s">
        <v>10650</v>
      </c>
      <c r="C2344" s="26" t="s">
        <v>10646</v>
      </c>
      <c r="D2344" s="116">
        <v>131</v>
      </c>
      <c r="E2344" s="122" t="s">
        <v>31</v>
      </c>
      <c r="F2344" s="119" t="s">
        <v>63</v>
      </c>
      <c r="G2344" s="27">
        <v>44879</v>
      </c>
      <c r="H2344" s="26" t="s">
        <v>10651</v>
      </c>
      <c r="I2344" s="113" t="s">
        <v>12400</v>
      </c>
      <c r="J2344" s="113" t="s">
        <v>12401</v>
      </c>
    </row>
    <row r="2345" spans="1:10" ht="20" customHeight="1" thickBot="1">
      <c r="A2345" s="28" t="s">
        <v>10654</v>
      </c>
      <c r="B2345" s="28" t="s">
        <v>10654</v>
      </c>
      <c r="C2345" s="28" t="s">
        <v>733</v>
      </c>
      <c r="D2345" s="117">
        <v>76</v>
      </c>
      <c r="E2345" s="122" t="s">
        <v>31</v>
      </c>
      <c r="F2345" s="120" t="s">
        <v>63</v>
      </c>
      <c r="G2345" s="29">
        <v>42583</v>
      </c>
      <c r="H2345" s="28" t="s">
        <v>10655</v>
      </c>
      <c r="I2345" s="114" t="s">
        <v>12400</v>
      </c>
      <c r="J2345" s="114" t="s">
        <v>12401</v>
      </c>
    </row>
    <row r="2346" spans="1:10" ht="20" customHeight="1" thickBot="1">
      <c r="A2346" s="26" t="s">
        <v>10658</v>
      </c>
      <c r="B2346" s="26" t="s">
        <v>10658</v>
      </c>
      <c r="C2346" s="26" t="s">
        <v>733</v>
      </c>
      <c r="D2346" s="116">
        <v>113</v>
      </c>
      <c r="E2346" s="122" t="s">
        <v>31</v>
      </c>
      <c r="F2346" s="119" t="s">
        <v>63</v>
      </c>
      <c r="G2346" s="27">
        <v>43280</v>
      </c>
      <c r="H2346" s="26" t="s">
        <v>10659</v>
      </c>
      <c r="I2346" s="113" t="s">
        <v>12400</v>
      </c>
      <c r="J2346" s="113" t="s">
        <v>12401</v>
      </c>
    </row>
    <row r="2347" spans="1:10" ht="20" customHeight="1" thickBot="1">
      <c r="A2347" s="28" t="s">
        <v>10662</v>
      </c>
      <c r="B2347" s="28" t="s">
        <v>10662</v>
      </c>
      <c r="C2347" s="28" t="s">
        <v>733</v>
      </c>
      <c r="D2347" s="117">
        <v>150</v>
      </c>
      <c r="E2347" s="122" t="s">
        <v>31</v>
      </c>
      <c r="F2347" s="120" t="s">
        <v>63</v>
      </c>
      <c r="G2347" s="29">
        <v>44868</v>
      </c>
      <c r="H2347" s="28" t="s">
        <v>10663</v>
      </c>
      <c r="I2347" s="114" t="s">
        <v>12400</v>
      </c>
      <c r="J2347" s="114" t="s">
        <v>12401</v>
      </c>
    </row>
    <row r="2348" spans="1:10" ht="20" customHeight="1" thickBot="1">
      <c r="A2348" s="26" t="s">
        <v>10666</v>
      </c>
      <c r="B2348" s="26" t="s">
        <v>10666</v>
      </c>
      <c r="C2348" s="26" t="s">
        <v>10667</v>
      </c>
      <c r="D2348" s="116">
        <v>27</v>
      </c>
      <c r="E2348" s="122" t="s">
        <v>31</v>
      </c>
      <c r="F2348" s="119" t="s">
        <v>63</v>
      </c>
      <c r="G2348" s="27">
        <v>44581</v>
      </c>
      <c r="H2348" s="26" t="s">
        <v>10668</v>
      </c>
      <c r="I2348" s="113" t="s">
        <v>12400</v>
      </c>
      <c r="J2348" s="113" t="s">
        <v>12401</v>
      </c>
    </row>
    <row r="2349" spans="1:10" ht="20" customHeight="1" thickBot="1">
      <c r="A2349" s="28" t="s">
        <v>10671</v>
      </c>
      <c r="B2349" s="28" t="s">
        <v>10671</v>
      </c>
      <c r="C2349" s="28" t="s">
        <v>3893</v>
      </c>
      <c r="D2349" s="117">
        <v>37</v>
      </c>
      <c r="E2349" s="122" t="s">
        <v>33</v>
      </c>
      <c r="F2349" s="120" t="s">
        <v>63</v>
      </c>
      <c r="G2349" s="29">
        <v>45900</v>
      </c>
      <c r="H2349" s="28" t="s">
        <v>10672</v>
      </c>
      <c r="I2349" s="114" t="s">
        <v>12400</v>
      </c>
      <c r="J2349" s="114" t="s">
        <v>12401</v>
      </c>
    </row>
    <row r="2350" spans="1:10" ht="20" customHeight="1" thickBot="1">
      <c r="A2350" s="26" t="s">
        <v>10675</v>
      </c>
      <c r="B2350" s="26" t="s">
        <v>10675</v>
      </c>
      <c r="C2350" s="26" t="s">
        <v>9796</v>
      </c>
      <c r="D2350" s="116">
        <v>6</v>
      </c>
      <c r="E2350" s="122" t="s">
        <v>27</v>
      </c>
      <c r="F2350" s="119" t="s">
        <v>63</v>
      </c>
      <c r="G2350" s="27">
        <v>42235</v>
      </c>
      <c r="H2350" s="26" t="s">
        <v>10676</v>
      </c>
      <c r="I2350" s="113" t="s">
        <v>12400</v>
      </c>
      <c r="J2350" s="113" t="s">
        <v>12401</v>
      </c>
    </row>
    <row r="2351" spans="1:10" ht="20" customHeight="1" thickBot="1">
      <c r="A2351" s="28" t="s">
        <v>10679</v>
      </c>
      <c r="B2351" s="28" t="s">
        <v>10679</v>
      </c>
      <c r="C2351" s="28" t="s">
        <v>223</v>
      </c>
      <c r="D2351" s="117">
        <v>10</v>
      </c>
      <c r="E2351" s="122" t="s">
        <v>29</v>
      </c>
      <c r="F2351" s="120" t="s">
        <v>63</v>
      </c>
      <c r="G2351" s="29">
        <v>42102</v>
      </c>
      <c r="H2351" s="28" t="s">
        <v>10680</v>
      </c>
      <c r="I2351" s="114" t="s">
        <v>12400</v>
      </c>
      <c r="J2351" s="114" t="s">
        <v>12401</v>
      </c>
    </row>
    <row r="2352" spans="1:10" ht="20" customHeight="1" thickBot="1">
      <c r="A2352" s="26" t="s">
        <v>10683</v>
      </c>
      <c r="B2352" s="26" t="s">
        <v>10683</v>
      </c>
      <c r="C2352" s="26" t="s">
        <v>10684</v>
      </c>
      <c r="D2352" s="116">
        <v>5</v>
      </c>
      <c r="E2352" s="122" t="s">
        <v>27</v>
      </c>
      <c r="F2352" s="119" t="s">
        <v>63</v>
      </c>
      <c r="G2352" s="27">
        <v>42311</v>
      </c>
      <c r="H2352" s="26" t="s">
        <v>10685</v>
      </c>
      <c r="I2352" s="113" t="s">
        <v>12400</v>
      </c>
      <c r="J2352" s="113" t="s">
        <v>12401</v>
      </c>
    </row>
    <row r="2353" spans="1:10" ht="20" customHeight="1" thickBot="1">
      <c r="A2353" s="28" t="s">
        <v>10688</v>
      </c>
      <c r="B2353" s="28" t="s">
        <v>10688</v>
      </c>
      <c r="C2353" s="28" t="s">
        <v>733</v>
      </c>
      <c r="D2353" s="117">
        <v>114</v>
      </c>
      <c r="E2353" s="122" t="s">
        <v>31</v>
      </c>
      <c r="F2353" s="120" t="s">
        <v>63</v>
      </c>
      <c r="G2353" s="29">
        <v>45498</v>
      </c>
      <c r="H2353" s="28" t="s">
        <v>10689</v>
      </c>
      <c r="I2353" s="114" t="s">
        <v>12400</v>
      </c>
      <c r="J2353" s="114" t="s">
        <v>12401</v>
      </c>
    </row>
    <row r="2354" spans="1:10" ht="20" customHeight="1" thickBot="1">
      <c r="A2354" s="26" t="s">
        <v>10692</v>
      </c>
      <c r="B2354" s="26" t="s">
        <v>10692</v>
      </c>
      <c r="C2354" s="26" t="s">
        <v>733</v>
      </c>
      <c r="D2354" s="116">
        <v>86</v>
      </c>
      <c r="E2354" s="122" t="s">
        <v>31</v>
      </c>
      <c r="F2354" s="119" t="s">
        <v>63</v>
      </c>
      <c r="G2354" s="27">
        <v>41831</v>
      </c>
      <c r="H2354" s="26" t="s">
        <v>10693</v>
      </c>
      <c r="I2354" s="113" t="s">
        <v>12400</v>
      </c>
      <c r="J2354" s="113" t="s">
        <v>12401</v>
      </c>
    </row>
    <row r="2355" spans="1:10" ht="20" customHeight="1" thickBot="1">
      <c r="A2355" s="28" t="s">
        <v>10696</v>
      </c>
      <c r="B2355" s="28" t="s">
        <v>10696</v>
      </c>
      <c r="C2355" s="28" t="s">
        <v>733</v>
      </c>
      <c r="D2355" s="117">
        <v>121</v>
      </c>
      <c r="E2355" s="122" t="s">
        <v>33</v>
      </c>
      <c r="F2355" s="120" t="s">
        <v>63</v>
      </c>
      <c r="G2355" s="29">
        <v>42121</v>
      </c>
      <c r="H2355" s="28" t="s">
        <v>10697</v>
      </c>
      <c r="I2355" s="114" t="s">
        <v>12400</v>
      </c>
      <c r="J2355" s="114" t="s">
        <v>12401</v>
      </c>
    </row>
    <row r="2356" spans="1:10" ht="20" customHeight="1" thickBot="1">
      <c r="A2356" s="26" t="s">
        <v>10700</v>
      </c>
      <c r="B2356" s="26" t="s">
        <v>10700</v>
      </c>
      <c r="C2356" s="26" t="s">
        <v>733</v>
      </c>
      <c r="D2356" s="116">
        <v>152</v>
      </c>
      <c r="E2356" s="122" t="s">
        <v>33</v>
      </c>
      <c r="F2356" s="119" t="s">
        <v>63</v>
      </c>
      <c r="G2356" s="27">
        <v>42725</v>
      </c>
      <c r="H2356" s="26" t="s">
        <v>10701</v>
      </c>
      <c r="I2356" s="113" t="s">
        <v>12400</v>
      </c>
      <c r="J2356" s="113" t="s">
        <v>12401</v>
      </c>
    </row>
    <row r="2357" spans="1:10" ht="20" customHeight="1" thickBot="1">
      <c r="A2357" s="28" t="s">
        <v>10704</v>
      </c>
      <c r="B2357" s="28" t="s">
        <v>10704</v>
      </c>
      <c r="C2357" s="28" t="s">
        <v>1714</v>
      </c>
      <c r="D2357" s="117">
        <v>93</v>
      </c>
      <c r="E2357" s="122" t="s">
        <v>31</v>
      </c>
      <c r="F2357" s="120" t="s">
        <v>63</v>
      </c>
      <c r="G2357" s="29">
        <v>45800</v>
      </c>
      <c r="H2357" s="28" t="s">
        <v>10705</v>
      </c>
      <c r="I2357" s="114" t="s">
        <v>12400</v>
      </c>
      <c r="J2357" s="114" t="s">
        <v>12401</v>
      </c>
    </row>
    <row r="2358" spans="1:10" ht="20" customHeight="1" thickBot="1">
      <c r="A2358" s="26" t="s">
        <v>10708</v>
      </c>
      <c r="B2358" s="26" t="s">
        <v>10708</v>
      </c>
      <c r="C2358" s="26" t="s">
        <v>10709</v>
      </c>
      <c r="D2358" s="116">
        <v>6</v>
      </c>
      <c r="E2358" s="122" t="s">
        <v>27</v>
      </c>
      <c r="F2358" s="119" t="s">
        <v>63</v>
      </c>
      <c r="G2358" s="27">
        <v>42339</v>
      </c>
      <c r="H2358" s="26" t="s">
        <v>10710</v>
      </c>
      <c r="I2358" s="113" t="s">
        <v>12400</v>
      </c>
      <c r="J2358" s="113" t="s">
        <v>12401</v>
      </c>
    </row>
    <row r="2359" spans="1:10" ht="20" customHeight="1" thickBot="1">
      <c r="A2359" s="28" t="s">
        <v>10713</v>
      </c>
      <c r="B2359" s="28" t="s">
        <v>10713</v>
      </c>
      <c r="C2359" s="28" t="s">
        <v>1556</v>
      </c>
      <c r="D2359" s="117">
        <v>14</v>
      </c>
      <c r="E2359" s="122" t="s">
        <v>35</v>
      </c>
      <c r="F2359" s="120" t="s">
        <v>57</v>
      </c>
      <c r="G2359" s="29">
        <v>45447</v>
      </c>
      <c r="H2359" s="28" t="s">
        <v>10714</v>
      </c>
      <c r="I2359" s="114" t="s">
        <v>12400</v>
      </c>
      <c r="J2359" s="114" t="s">
        <v>12401</v>
      </c>
    </row>
    <row r="2360" spans="1:10" ht="20" customHeight="1" thickBot="1">
      <c r="A2360" s="26" t="s">
        <v>10717</v>
      </c>
      <c r="B2360" s="26" t="s">
        <v>10717</v>
      </c>
      <c r="C2360" s="26" t="s">
        <v>7076</v>
      </c>
      <c r="D2360" s="116">
        <v>10</v>
      </c>
      <c r="E2360" s="122" t="s">
        <v>34</v>
      </c>
      <c r="F2360" s="119" t="s">
        <v>57</v>
      </c>
      <c r="G2360" s="27">
        <v>45941</v>
      </c>
      <c r="H2360" s="26" t="s">
        <v>10718</v>
      </c>
      <c r="I2360" s="113" t="s">
        <v>12400</v>
      </c>
      <c r="J2360" s="113" t="s">
        <v>12401</v>
      </c>
    </row>
    <row r="2361" spans="1:10" ht="20" customHeight="1" thickBot="1">
      <c r="A2361" s="28" t="s">
        <v>10721</v>
      </c>
      <c r="B2361" s="28" t="s">
        <v>10721</v>
      </c>
      <c r="C2361" s="28" t="s">
        <v>10722</v>
      </c>
      <c r="D2361" s="117">
        <v>45</v>
      </c>
      <c r="E2361" s="122" t="s">
        <v>29</v>
      </c>
      <c r="F2361" s="120" t="s">
        <v>63</v>
      </c>
      <c r="G2361" s="29">
        <v>43218</v>
      </c>
      <c r="H2361" s="28" t="s">
        <v>10723</v>
      </c>
      <c r="I2361" s="114" t="s">
        <v>12400</v>
      </c>
      <c r="J2361" s="114" t="s">
        <v>12401</v>
      </c>
    </row>
    <row r="2362" spans="1:10" ht="20" customHeight="1" thickBot="1">
      <c r="A2362" s="26" t="s">
        <v>10726</v>
      </c>
      <c r="B2362" s="26" t="s">
        <v>10726</v>
      </c>
      <c r="C2362" s="26" t="s">
        <v>7218</v>
      </c>
      <c r="D2362" s="116">
        <v>10</v>
      </c>
      <c r="E2362" s="122" t="s">
        <v>33</v>
      </c>
      <c r="F2362" s="119" t="s">
        <v>57</v>
      </c>
      <c r="G2362" s="27">
        <v>45078</v>
      </c>
      <c r="H2362" s="26" t="s">
        <v>10727</v>
      </c>
      <c r="I2362" s="113" t="s">
        <v>12400</v>
      </c>
      <c r="J2362" s="113" t="s">
        <v>12401</v>
      </c>
    </row>
    <row r="2363" spans="1:10" ht="20" customHeight="1" thickBot="1">
      <c r="A2363" s="28" t="s">
        <v>10730</v>
      </c>
      <c r="B2363" s="28" t="s">
        <v>10730</v>
      </c>
      <c r="C2363" s="28" t="s">
        <v>10731</v>
      </c>
      <c r="D2363" s="117">
        <v>10</v>
      </c>
      <c r="E2363" s="122" t="s">
        <v>27</v>
      </c>
      <c r="F2363" s="120" t="s">
        <v>63</v>
      </c>
      <c r="G2363" s="29">
        <v>41545</v>
      </c>
      <c r="H2363" s="28" t="s">
        <v>10732</v>
      </c>
      <c r="I2363" s="114" t="s">
        <v>12400</v>
      </c>
      <c r="J2363" s="114" t="s">
        <v>12401</v>
      </c>
    </row>
    <row r="2364" spans="1:10" ht="20" customHeight="1" thickBot="1">
      <c r="A2364" s="26" t="s">
        <v>10735</v>
      </c>
      <c r="B2364" s="26" t="s">
        <v>10735</v>
      </c>
      <c r="C2364" s="26" t="s">
        <v>10731</v>
      </c>
      <c r="D2364" s="116">
        <v>8</v>
      </c>
      <c r="E2364" s="122" t="s">
        <v>29</v>
      </c>
      <c r="F2364" s="119" t="s">
        <v>63</v>
      </c>
      <c r="G2364" s="27">
        <v>41573</v>
      </c>
      <c r="H2364" s="26" t="s">
        <v>10736</v>
      </c>
      <c r="I2364" s="113" t="s">
        <v>12400</v>
      </c>
      <c r="J2364" s="113" t="s">
        <v>12401</v>
      </c>
    </row>
    <row r="2365" spans="1:10" ht="20" customHeight="1" thickBot="1">
      <c r="A2365" s="28" t="s">
        <v>10739</v>
      </c>
      <c r="B2365" s="28" t="s">
        <v>10739</v>
      </c>
      <c r="C2365" s="28" t="s">
        <v>10740</v>
      </c>
      <c r="D2365" s="117">
        <v>3</v>
      </c>
      <c r="E2365" s="122" t="s">
        <v>29</v>
      </c>
      <c r="F2365" s="120" t="s">
        <v>63</v>
      </c>
      <c r="G2365" s="29">
        <v>42040</v>
      </c>
      <c r="H2365" s="28" t="s">
        <v>10741</v>
      </c>
      <c r="I2365" s="114" t="s">
        <v>12400</v>
      </c>
      <c r="J2365" s="114" t="s">
        <v>12401</v>
      </c>
    </row>
    <row r="2366" spans="1:10" ht="20" customHeight="1" thickBot="1">
      <c r="A2366" s="26" t="s">
        <v>10744</v>
      </c>
      <c r="B2366" s="26" t="s">
        <v>10744</v>
      </c>
      <c r="C2366" s="26" t="s">
        <v>2062</v>
      </c>
      <c r="D2366" s="116">
        <v>5</v>
      </c>
      <c r="E2366" s="122" t="s">
        <v>31</v>
      </c>
      <c r="F2366" s="119" t="s">
        <v>571</v>
      </c>
      <c r="G2366" s="27">
        <v>43520</v>
      </c>
      <c r="H2366" s="26" t="s">
        <v>10745</v>
      </c>
      <c r="I2366" s="113" t="s">
        <v>12400</v>
      </c>
      <c r="J2366" s="113" t="s">
        <v>12401</v>
      </c>
    </row>
    <row r="2367" spans="1:10" ht="20" customHeight="1" thickBot="1">
      <c r="A2367" s="28" t="s">
        <v>10748</v>
      </c>
      <c r="B2367" s="28" t="s">
        <v>10748</v>
      </c>
      <c r="C2367" s="28" t="s">
        <v>704</v>
      </c>
      <c r="D2367" s="117">
        <v>0</v>
      </c>
      <c r="E2367" s="122" t="s">
        <v>27</v>
      </c>
      <c r="F2367" s="120" t="s">
        <v>63</v>
      </c>
      <c r="G2367" s="29">
        <v>45604</v>
      </c>
      <c r="H2367" s="28" t="s">
        <v>10749</v>
      </c>
      <c r="I2367" s="114" t="s">
        <v>12400</v>
      </c>
      <c r="J2367" s="114" t="s">
        <v>12401</v>
      </c>
    </row>
    <row r="2368" spans="1:10" ht="20" customHeight="1" thickBot="1">
      <c r="A2368" s="26" t="s">
        <v>10752</v>
      </c>
      <c r="B2368" s="26" t="s">
        <v>10752</v>
      </c>
      <c r="C2368" s="26" t="s">
        <v>340</v>
      </c>
      <c r="D2368" s="116">
        <v>1</v>
      </c>
      <c r="E2368" s="122" t="s">
        <v>35</v>
      </c>
      <c r="F2368" s="119" t="s">
        <v>57</v>
      </c>
      <c r="G2368" s="27">
        <v>45074</v>
      </c>
      <c r="H2368" s="26" t="s">
        <v>10753</v>
      </c>
      <c r="I2368" s="113" t="s">
        <v>12400</v>
      </c>
      <c r="J2368" s="113" t="s">
        <v>12401</v>
      </c>
    </row>
    <row r="2369" spans="1:10" ht="20" customHeight="1" thickBot="1">
      <c r="A2369" s="28" t="s">
        <v>10756</v>
      </c>
      <c r="B2369" s="28" t="s">
        <v>10756</v>
      </c>
      <c r="C2369" s="28" t="s">
        <v>340</v>
      </c>
      <c r="D2369" s="117">
        <v>1</v>
      </c>
      <c r="E2369" s="122" t="s">
        <v>36</v>
      </c>
      <c r="F2369" s="120" t="s">
        <v>57</v>
      </c>
      <c r="G2369" s="29">
        <v>46000</v>
      </c>
      <c r="H2369" s="28" t="s">
        <v>10757</v>
      </c>
      <c r="I2369" s="114" t="s">
        <v>12400</v>
      </c>
      <c r="J2369" s="114" t="s">
        <v>12401</v>
      </c>
    </row>
    <row r="2370" spans="1:10" ht="20" customHeight="1" thickBot="1">
      <c r="A2370" s="26" t="s">
        <v>10760</v>
      </c>
      <c r="B2370" s="26" t="s">
        <v>10760</v>
      </c>
      <c r="C2370" s="26" t="s">
        <v>1918</v>
      </c>
      <c r="D2370" s="116">
        <v>0</v>
      </c>
      <c r="E2370" s="122" t="s">
        <v>34</v>
      </c>
      <c r="F2370" s="119" t="s">
        <v>57</v>
      </c>
      <c r="G2370" s="27">
        <v>46090</v>
      </c>
      <c r="H2370" s="26" t="s">
        <v>10761</v>
      </c>
      <c r="I2370" s="113" t="s">
        <v>12400</v>
      </c>
      <c r="J2370" s="113" t="s">
        <v>12401</v>
      </c>
    </row>
    <row r="2371" spans="1:10" ht="20" customHeight="1" thickBot="1">
      <c r="A2371" s="28" t="s">
        <v>10764</v>
      </c>
      <c r="B2371" s="28" t="s">
        <v>10764</v>
      </c>
      <c r="C2371" s="28" t="s">
        <v>2062</v>
      </c>
      <c r="D2371" s="117">
        <v>12</v>
      </c>
      <c r="E2371" s="122" t="s">
        <v>34</v>
      </c>
      <c r="F2371" s="120" t="s">
        <v>57</v>
      </c>
      <c r="G2371" s="29">
        <v>43696</v>
      </c>
      <c r="H2371" s="28" t="s">
        <v>10765</v>
      </c>
      <c r="I2371" s="114" t="s">
        <v>12400</v>
      </c>
      <c r="J2371" s="114" t="s">
        <v>12401</v>
      </c>
    </row>
    <row r="2372" spans="1:10" ht="20" customHeight="1" thickBot="1">
      <c r="A2372" s="26" t="s">
        <v>10768</v>
      </c>
      <c r="B2372" s="26" t="s">
        <v>10768</v>
      </c>
      <c r="C2372" s="26" t="s">
        <v>408</v>
      </c>
      <c r="D2372" s="116">
        <v>6</v>
      </c>
      <c r="E2372" s="122" t="s">
        <v>27</v>
      </c>
      <c r="F2372" s="119" t="s">
        <v>63</v>
      </c>
      <c r="G2372" s="27">
        <v>42027</v>
      </c>
      <c r="H2372" s="26" t="s">
        <v>10769</v>
      </c>
      <c r="I2372" s="113" t="s">
        <v>12400</v>
      </c>
      <c r="J2372" s="113" t="s">
        <v>12401</v>
      </c>
    </row>
    <row r="2373" spans="1:10" ht="20" customHeight="1" thickBot="1">
      <c r="A2373" s="28" t="s">
        <v>10772</v>
      </c>
      <c r="B2373" s="28" t="s">
        <v>10772</v>
      </c>
      <c r="C2373" s="28" t="s">
        <v>408</v>
      </c>
      <c r="D2373" s="117">
        <v>9</v>
      </c>
      <c r="E2373" s="122" t="s">
        <v>29</v>
      </c>
      <c r="F2373" s="120" t="s">
        <v>63</v>
      </c>
      <c r="G2373" s="29">
        <v>41701</v>
      </c>
      <c r="H2373" s="28" t="s">
        <v>10773</v>
      </c>
      <c r="I2373" s="114" t="s">
        <v>12400</v>
      </c>
      <c r="J2373" s="114" t="s">
        <v>12401</v>
      </c>
    </row>
    <row r="2374" spans="1:10" ht="20" customHeight="1" thickBot="1">
      <c r="A2374" s="26" t="s">
        <v>10776</v>
      </c>
      <c r="B2374" s="26" t="s">
        <v>10776</v>
      </c>
      <c r="C2374" s="26" t="s">
        <v>3580</v>
      </c>
      <c r="D2374" s="116">
        <v>12</v>
      </c>
      <c r="E2374" s="122" t="s">
        <v>34</v>
      </c>
      <c r="F2374" s="119" t="s">
        <v>57</v>
      </c>
      <c r="G2374" s="27">
        <v>45603</v>
      </c>
      <c r="H2374" s="26" t="s">
        <v>10777</v>
      </c>
      <c r="I2374" s="113" t="s">
        <v>12400</v>
      </c>
      <c r="J2374" s="113" t="s">
        <v>12401</v>
      </c>
    </row>
    <row r="2375" spans="1:10" ht="20" customHeight="1" thickBot="1">
      <c r="A2375" s="28" t="s">
        <v>10780</v>
      </c>
      <c r="B2375" s="28" t="s">
        <v>10780</v>
      </c>
      <c r="C2375" s="28" t="s">
        <v>10781</v>
      </c>
      <c r="D2375" s="117">
        <v>14</v>
      </c>
      <c r="E2375" s="122" t="s">
        <v>35</v>
      </c>
      <c r="F2375" s="120" t="s">
        <v>57</v>
      </c>
      <c r="G2375" s="29">
        <v>46101</v>
      </c>
      <c r="H2375" s="28" t="s">
        <v>10782</v>
      </c>
      <c r="I2375" s="114" t="s">
        <v>12400</v>
      </c>
      <c r="J2375" s="114" t="s">
        <v>12401</v>
      </c>
    </row>
    <row r="2376" spans="1:10" ht="20" customHeight="1" thickBot="1">
      <c r="A2376" s="26" t="s">
        <v>10785</v>
      </c>
      <c r="B2376" s="26" t="s">
        <v>10785</v>
      </c>
      <c r="C2376" s="26" t="s">
        <v>1478</v>
      </c>
      <c r="D2376" s="116">
        <v>12</v>
      </c>
      <c r="E2376" s="122" t="s">
        <v>34</v>
      </c>
      <c r="F2376" s="119" t="s">
        <v>57</v>
      </c>
      <c r="G2376" s="27">
        <v>45389</v>
      </c>
      <c r="H2376" s="26" t="s">
        <v>10786</v>
      </c>
      <c r="I2376" s="113" t="s">
        <v>12400</v>
      </c>
      <c r="J2376" s="113" t="s">
        <v>12401</v>
      </c>
    </row>
    <row r="2377" spans="1:10" ht="20" customHeight="1" thickBot="1">
      <c r="A2377" s="28" t="s">
        <v>10789</v>
      </c>
      <c r="B2377" s="28" t="s">
        <v>10789</v>
      </c>
      <c r="C2377" s="28" t="s">
        <v>10790</v>
      </c>
      <c r="D2377" s="117">
        <v>100</v>
      </c>
      <c r="E2377" s="122" t="s">
        <v>31</v>
      </c>
      <c r="F2377" s="120" t="s">
        <v>63</v>
      </c>
      <c r="G2377" s="29">
        <v>42167</v>
      </c>
      <c r="H2377" s="28" t="s">
        <v>10791</v>
      </c>
      <c r="I2377" s="114" t="s">
        <v>12400</v>
      </c>
      <c r="J2377" s="114" t="s">
        <v>12401</v>
      </c>
    </row>
    <row r="2378" spans="1:10" ht="20" customHeight="1" thickBot="1">
      <c r="A2378" s="26" t="s">
        <v>10794</v>
      </c>
      <c r="B2378" s="26" t="s">
        <v>10794</v>
      </c>
      <c r="C2378" s="26" t="s">
        <v>10790</v>
      </c>
      <c r="D2378" s="116">
        <v>107</v>
      </c>
      <c r="E2378" s="122" t="s">
        <v>31</v>
      </c>
      <c r="F2378" s="119" t="s">
        <v>63</v>
      </c>
      <c r="G2378" s="27">
        <v>42594</v>
      </c>
      <c r="H2378" s="26" t="s">
        <v>10795</v>
      </c>
      <c r="I2378" s="113" t="s">
        <v>12400</v>
      </c>
      <c r="J2378" s="113" t="s">
        <v>12401</v>
      </c>
    </row>
    <row r="2379" spans="1:10" ht="20" customHeight="1" thickBot="1">
      <c r="A2379" s="28" t="s">
        <v>10798</v>
      </c>
      <c r="B2379" s="28" t="s">
        <v>10798</v>
      </c>
      <c r="C2379" s="28" t="s">
        <v>2906</v>
      </c>
      <c r="D2379" s="117">
        <v>102</v>
      </c>
      <c r="E2379" s="122" t="s">
        <v>31</v>
      </c>
      <c r="F2379" s="120" t="s">
        <v>63</v>
      </c>
      <c r="G2379" s="29">
        <v>41916</v>
      </c>
      <c r="H2379" s="28" t="s">
        <v>10799</v>
      </c>
      <c r="I2379" s="114" t="s">
        <v>12400</v>
      </c>
      <c r="J2379" s="114" t="s">
        <v>12401</v>
      </c>
    </row>
    <row r="2380" spans="1:10" ht="20" customHeight="1" thickBot="1">
      <c r="A2380" s="26" t="s">
        <v>10802</v>
      </c>
      <c r="B2380" s="26" t="s">
        <v>10802</v>
      </c>
      <c r="C2380" s="26" t="s">
        <v>2906</v>
      </c>
      <c r="D2380" s="116">
        <v>23</v>
      </c>
      <c r="E2380" s="122" t="s">
        <v>29</v>
      </c>
      <c r="F2380" s="119" t="s">
        <v>63</v>
      </c>
      <c r="G2380" s="27">
        <v>41808</v>
      </c>
      <c r="H2380" s="26" t="s">
        <v>10803</v>
      </c>
      <c r="I2380" s="113" t="s">
        <v>12400</v>
      </c>
      <c r="J2380" s="113" t="s">
        <v>12401</v>
      </c>
    </row>
    <row r="2381" spans="1:10" ht="20" customHeight="1" thickBot="1">
      <c r="A2381" s="28" t="s">
        <v>10806</v>
      </c>
      <c r="B2381" s="28" t="s">
        <v>10806</v>
      </c>
      <c r="C2381" s="28" t="s">
        <v>627</v>
      </c>
      <c r="D2381" s="117">
        <v>4</v>
      </c>
      <c r="E2381" s="122" t="s">
        <v>33</v>
      </c>
      <c r="F2381" s="120" t="s">
        <v>115</v>
      </c>
      <c r="G2381" s="29">
        <v>46113</v>
      </c>
      <c r="H2381" s="28" t="s">
        <v>10807</v>
      </c>
      <c r="I2381" s="114" t="s">
        <v>12400</v>
      </c>
      <c r="J2381" s="114" t="s">
        <v>12401</v>
      </c>
    </row>
    <row r="2382" spans="1:10" ht="20" customHeight="1" thickBot="1">
      <c r="A2382" s="26" t="s">
        <v>10810</v>
      </c>
      <c r="B2382" s="26" t="s">
        <v>10810</v>
      </c>
      <c r="C2382" s="26" t="s">
        <v>199</v>
      </c>
      <c r="D2382" s="116">
        <v>4</v>
      </c>
      <c r="E2382" s="122" t="s">
        <v>34</v>
      </c>
      <c r="F2382" s="119" t="s">
        <v>57</v>
      </c>
      <c r="G2382" s="27">
        <v>44592</v>
      </c>
      <c r="H2382" s="26" t="s">
        <v>10811</v>
      </c>
      <c r="I2382" s="113" t="s">
        <v>12400</v>
      </c>
      <c r="J2382" s="113" t="s">
        <v>12401</v>
      </c>
    </row>
    <row r="2383" spans="1:10" ht="20" customHeight="1" thickBot="1">
      <c r="A2383" s="28" t="s">
        <v>10814</v>
      </c>
      <c r="B2383" s="28" t="s">
        <v>10814</v>
      </c>
      <c r="C2383" s="28" t="s">
        <v>10815</v>
      </c>
      <c r="D2383" s="117">
        <v>32</v>
      </c>
      <c r="E2383" s="122" t="s">
        <v>27</v>
      </c>
      <c r="F2383" s="120" t="s">
        <v>63</v>
      </c>
      <c r="G2383" s="29">
        <v>41570</v>
      </c>
      <c r="H2383" s="28" t="s">
        <v>10816</v>
      </c>
      <c r="I2383" s="114" t="s">
        <v>12400</v>
      </c>
      <c r="J2383" s="114" t="s">
        <v>12401</v>
      </c>
    </row>
    <row r="2384" spans="1:10" ht="20" customHeight="1" thickBot="1">
      <c r="A2384" s="26" t="s">
        <v>10819</v>
      </c>
      <c r="B2384" s="26" t="s">
        <v>10819</v>
      </c>
      <c r="C2384" s="26" t="s">
        <v>10820</v>
      </c>
      <c r="D2384" s="116">
        <v>34</v>
      </c>
      <c r="E2384" s="122" t="s">
        <v>31</v>
      </c>
      <c r="F2384" s="119" t="s">
        <v>63</v>
      </c>
      <c r="G2384" s="27">
        <v>44655</v>
      </c>
      <c r="H2384" s="26" t="s">
        <v>10821</v>
      </c>
      <c r="I2384" s="113" t="s">
        <v>12400</v>
      </c>
      <c r="J2384" s="113" t="s">
        <v>12401</v>
      </c>
    </row>
    <row r="2385" spans="1:10" ht="20" customHeight="1" thickBot="1">
      <c r="A2385" s="28" t="s">
        <v>10824</v>
      </c>
      <c r="B2385" s="28" t="s">
        <v>10824</v>
      </c>
      <c r="C2385" s="28" t="s">
        <v>10820</v>
      </c>
      <c r="D2385" s="117">
        <v>41</v>
      </c>
      <c r="E2385" s="122" t="s">
        <v>31</v>
      </c>
      <c r="F2385" s="120" t="s">
        <v>63</v>
      </c>
      <c r="G2385" s="29">
        <v>44736</v>
      </c>
      <c r="H2385" s="28" t="s">
        <v>10825</v>
      </c>
      <c r="I2385" s="114" t="s">
        <v>12400</v>
      </c>
      <c r="J2385" s="114" t="s">
        <v>12401</v>
      </c>
    </row>
    <row r="2386" spans="1:10" ht="20" customHeight="1" thickBot="1">
      <c r="A2386" s="26" t="s">
        <v>10828</v>
      </c>
      <c r="B2386" s="26" t="s">
        <v>10828</v>
      </c>
      <c r="C2386" s="26" t="s">
        <v>10820</v>
      </c>
      <c r="D2386" s="116">
        <v>44</v>
      </c>
      <c r="E2386" s="122" t="s">
        <v>31</v>
      </c>
      <c r="F2386" s="119" t="s">
        <v>63</v>
      </c>
      <c r="G2386" s="27">
        <v>44914</v>
      </c>
      <c r="H2386" s="26" t="s">
        <v>10829</v>
      </c>
      <c r="I2386" s="113" t="s">
        <v>12400</v>
      </c>
      <c r="J2386" s="113" t="s">
        <v>12401</v>
      </c>
    </row>
    <row r="2387" spans="1:10" ht="20" customHeight="1" thickBot="1">
      <c r="A2387" s="28" t="s">
        <v>10832</v>
      </c>
      <c r="B2387" s="28" t="s">
        <v>10832</v>
      </c>
      <c r="C2387" s="28" t="s">
        <v>10833</v>
      </c>
      <c r="D2387" s="117">
        <v>4</v>
      </c>
      <c r="E2387" s="122" t="s">
        <v>31</v>
      </c>
      <c r="F2387" s="120" t="s">
        <v>63</v>
      </c>
      <c r="G2387" s="29">
        <v>42345</v>
      </c>
      <c r="H2387" s="28" t="s">
        <v>10834</v>
      </c>
      <c r="I2387" s="114" t="s">
        <v>12400</v>
      </c>
      <c r="J2387" s="114" t="s">
        <v>12401</v>
      </c>
    </row>
    <row r="2388" spans="1:10" ht="20" customHeight="1" thickBot="1">
      <c r="A2388" s="26" t="s">
        <v>10837</v>
      </c>
      <c r="B2388" s="26" t="s">
        <v>10837</v>
      </c>
      <c r="C2388" s="26" t="s">
        <v>10838</v>
      </c>
      <c r="D2388" s="116">
        <v>8</v>
      </c>
      <c r="E2388" s="122" t="s">
        <v>36</v>
      </c>
      <c r="F2388" s="119" t="s">
        <v>57</v>
      </c>
      <c r="G2388" s="27">
        <v>45883</v>
      </c>
      <c r="H2388" s="26" t="s">
        <v>10839</v>
      </c>
      <c r="I2388" s="113" t="s">
        <v>12400</v>
      </c>
      <c r="J2388" s="113" t="s">
        <v>12401</v>
      </c>
    </row>
    <row r="2389" spans="1:10" ht="20" customHeight="1" thickBot="1">
      <c r="A2389" s="28" t="s">
        <v>10842</v>
      </c>
      <c r="B2389" s="28" t="s">
        <v>10842</v>
      </c>
      <c r="C2389" s="28" t="s">
        <v>10843</v>
      </c>
      <c r="D2389" s="117">
        <v>8</v>
      </c>
      <c r="E2389" s="122" t="s">
        <v>29</v>
      </c>
      <c r="F2389" s="120" t="s">
        <v>63</v>
      </c>
      <c r="G2389" s="29">
        <v>45391</v>
      </c>
      <c r="H2389" s="28" t="s">
        <v>10844</v>
      </c>
      <c r="I2389" s="114" t="s">
        <v>12400</v>
      </c>
      <c r="J2389" s="114" t="s">
        <v>12401</v>
      </c>
    </row>
    <row r="2390" spans="1:10" ht="20" customHeight="1" thickBot="1">
      <c r="A2390" s="26" t="s">
        <v>10847</v>
      </c>
      <c r="B2390" s="26" t="s">
        <v>10847</v>
      </c>
      <c r="C2390" s="26" t="s">
        <v>10848</v>
      </c>
      <c r="D2390" s="116">
        <v>12</v>
      </c>
      <c r="E2390" s="122" t="s">
        <v>34</v>
      </c>
      <c r="F2390" s="119" t="s">
        <v>57</v>
      </c>
      <c r="G2390" s="27">
        <v>44972</v>
      </c>
      <c r="H2390" s="26" t="s">
        <v>10849</v>
      </c>
      <c r="I2390" s="113" t="s">
        <v>12400</v>
      </c>
      <c r="J2390" s="113" t="s">
        <v>12401</v>
      </c>
    </row>
    <row r="2391" spans="1:10" ht="20" customHeight="1" thickBot="1">
      <c r="A2391" s="28" t="s">
        <v>10852</v>
      </c>
      <c r="B2391" s="28" t="s">
        <v>10852</v>
      </c>
      <c r="C2391" s="28" t="s">
        <v>2432</v>
      </c>
      <c r="D2391" s="117">
        <v>0</v>
      </c>
      <c r="E2391" s="122" t="s">
        <v>31</v>
      </c>
      <c r="F2391" s="120" t="s">
        <v>57</v>
      </c>
      <c r="G2391" s="29">
        <v>45307</v>
      </c>
      <c r="H2391" s="28" t="s">
        <v>10853</v>
      </c>
      <c r="I2391" s="114" t="s">
        <v>12400</v>
      </c>
      <c r="J2391" s="114" t="s">
        <v>12401</v>
      </c>
    </row>
    <row r="2392" spans="1:10" ht="20" customHeight="1" thickBot="1">
      <c r="A2392" s="26" t="s">
        <v>10856</v>
      </c>
      <c r="B2392" s="26" t="s">
        <v>10856</v>
      </c>
      <c r="C2392" s="26" t="s">
        <v>2260</v>
      </c>
      <c r="D2392" s="116">
        <v>13</v>
      </c>
      <c r="E2392" s="122" t="s">
        <v>29</v>
      </c>
      <c r="F2392" s="119" t="s">
        <v>63</v>
      </c>
      <c r="G2392" s="27">
        <v>42976</v>
      </c>
      <c r="H2392" s="26" t="s">
        <v>10857</v>
      </c>
      <c r="I2392" s="113" t="s">
        <v>12400</v>
      </c>
      <c r="J2392" s="113" t="s">
        <v>12401</v>
      </c>
    </row>
    <row r="2393" spans="1:10" ht="20" customHeight="1" thickBot="1">
      <c r="A2393" s="28" t="s">
        <v>10860</v>
      </c>
      <c r="B2393" s="28" t="s">
        <v>10860</v>
      </c>
      <c r="C2393" s="28" t="s">
        <v>4965</v>
      </c>
      <c r="D2393" s="117">
        <v>5</v>
      </c>
      <c r="E2393" s="122" t="s">
        <v>35</v>
      </c>
      <c r="F2393" s="120" t="s">
        <v>57</v>
      </c>
      <c r="G2393" s="29">
        <v>45054</v>
      </c>
      <c r="H2393" s="28" t="s">
        <v>10861</v>
      </c>
      <c r="I2393" s="114" t="s">
        <v>12400</v>
      </c>
      <c r="J2393" s="114" t="s">
        <v>12401</v>
      </c>
    </row>
    <row r="2394" spans="1:10" ht="20" customHeight="1" thickBot="1">
      <c r="A2394" s="26" t="s">
        <v>10864</v>
      </c>
      <c r="B2394" s="26" t="s">
        <v>10864</v>
      </c>
      <c r="C2394" s="26" t="s">
        <v>10625</v>
      </c>
      <c r="D2394" s="116">
        <v>8</v>
      </c>
      <c r="E2394" s="122" t="s">
        <v>27</v>
      </c>
      <c r="F2394" s="119" t="s">
        <v>63</v>
      </c>
      <c r="G2394" s="27">
        <v>42259</v>
      </c>
      <c r="H2394" s="26" t="s">
        <v>10865</v>
      </c>
      <c r="I2394" s="113" t="s">
        <v>12400</v>
      </c>
      <c r="J2394" s="113" t="s">
        <v>12401</v>
      </c>
    </row>
    <row r="2395" spans="1:10" ht="20" customHeight="1" thickBot="1">
      <c r="A2395" s="28" t="s">
        <v>10868</v>
      </c>
      <c r="B2395" s="28" t="s">
        <v>10868</v>
      </c>
      <c r="C2395" s="28" t="s">
        <v>10869</v>
      </c>
      <c r="D2395" s="117">
        <v>49</v>
      </c>
      <c r="E2395" s="122" t="s">
        <v>29</v>
      </c>
      <c r="F2395" s="120" t="s">
        <v>63</v>
      </c>
      <c r="G2395" s="29">
        <v>42218</v>
      </c>
      <c r="H2395" s="28" t="s">
        <v>10870</v>
      </c>
      <c r="I2395" s="114" t="s">
        <v>12400</v>
      </c>
      <c r="J2395" s="114" t="s">
        <v>12401</v>
      </c>
    </row>
    <row r="2396" spans="1:10" ht="20" customHeight="1" thickBot="1">
      <c r="A2396" s="26" t="s">
        <v>10873</v>
      </c>
      <c r="B2396" s="26" t="s">
        <v>10873</v>
      </c>
      <c r="C2396" s="26" t="s">
        <v>10869</v>
      </c>
      <c r="D2396" s="116">
        <v>7</v>
      </c>
      <c r="E2396" s="122" t="s">
        <v>27</v>
      </c>
      <c r="F2396" s="119" t="s">
        <v>63</v>
      </c>
      <c r="G2396" s="27">
        <v>41445</v>
      </c>
      <c r="H2396" s="26" t="s">
        <v>10874</v>
      </c>
      <c r="I2396" s="113" t="s">
        <v>12400</v>
      </c>
      <c r="J2396" s="113" t="s">
        <v>12401</v>
      </c>
    </row>
    <row r="2397" spans="1:10" ht="20" customHeight="1" thickBot="1">
      <c r="A2397" s="28" t="s">
        <v>10877</v>
      </c>
      <c r="B2397" s="28" t="s">
        <v>10877</v>
      </c>
      <c r="C2397" s="28" t="s">
        <v>185</v>
      </c>
      <c r="D2397" s="117">
        <v>22</v>
      </c>
      <c r="E2397" s="122" t="s">
        <v>29</v>
      </c>
      <c r="F2397" s="120" t="s">
        <v>63</v>
      </c>
      <c r="G2397" s="29">
        <v>42243</v>
      </c>
      <c r="H2397" s="28" t="s">
        <v>10878</v>
      </c>
      <c r="I2397" s="114" t="s">
        <v>12400</v>
      </c>
      <c r="J2397" s="114" t="s">
        <v>12401</v>
      </c>
    </row>
    <row r="2398" spans="1:10" ht="20" customHeight="1" thickBot="1">
      <c r="A2398" s="26" t="s">
        <v>10881</v>
      </c>
      <c r="B2398" s="26" t="s">
        <v>10881</v>
      </c>
      <c r="C2398" s="26" t="s">
        <v>10882</v>
      </c>
      <c r="D2398" s="116">
        <v>1</v>
      </c>
      <c r="E2398" s="122" t="s">
        <v>31</v>
      </c>
      <c r="F2398" s="119" t="s">
        <v>571</v>
      </c>
      <c r="G2398" s="27">
        <v>41808</v>
      </c>
      <c r="H2398" s="26" t="s">
        <v>10883</v>
      </c>
      <c r="I2398" s="113" t="s">
        <v>12400</v>
      </c>
      <c r="J2398" s="113" t="s">
        <v>12401</v>
      </c>
    </row>
    <row r="2399" spans="1:10" ht="20" customHeight="1" thickBot="1">
      <c r="A2399" s="28" t="s">
        <v>10886</v>
      </c>
      <c r="B2399" s="28" t="s">
        <v>10886</v>
      </c>
      <c r="C2399" s="28" t="s">
        <v>627</v>
      </c>
      <c r="D2399" s="117">
        <v>9</v>
      </c>
      <c r="E2399" s="122" t="s">
        <v>33</v>
      </c>
      <c r="F2399" s="120" t="s">
        <v>115</v>
      </c>
      <c r="G2399" s="29">
        <v>46132</v>
      </c>
      <c r="H2399" s="28" t="s">
        <v>10887</v>
      </c>
      <c r="I2399" s="114" t="s">
        <v>12400</v>
      </c>
      <c r="J2399" s="114" t="s">
        <v>12401</v>
      </c>
    </row>
    <row r="2400" spans="1:10" ht="20" customHeight="1" thickBot="1">
      <c r="A2400" s="26" t="s">
        <v>10890</v>
      </c>
      <c r="B2400" s="26" t="s">
        <v>10890</v>
      </c>
      <c r="C2400" s="26" t="s">
        <v>10781</v>
      </c>
      <c r="D2400" s="116">
        <v>16</v>
      </c>
      <c r="E2400" s="122" t="s">
        <v>36</v>
      </c>
      <c r="F2400" s="119" t="s">
        <v>57</v>
      </c>
      <c r="G2400" s="27">
        <v>46116</v>
      </c>
      <c r="H2400" s="26" t="s">
        <v>10891</v>
      </c>
      <c r="I2400" s="113" t="s">
        <v>12400</v>
      </c>
      <c r="J2400" s="113" t="s">
        <v>12401</v>
      </c>
    </row>
    <row r="2401" spans="1:10" ht="20" customHeight="1" thickBot="1">
      <c r="A2401" s="28" t="s">
        <v>10894</v>
      </c>
      <c r="B2401" s="28" t="s">
        <v>10894</v>
      </c>
      <c r="C2401" s="28" t="s">
        <v>10895</v>
      </c>
      <c r="D2401" s="117">
        <v>12</v>
      </c>
      <c r="E2401" s="122" t="s">
        <v>29</v>
      </c>
      <c r="F2401" s="120" t="s">
        <v>63</v>
      </c>
      <c r="G2401" s="29">
        <v>42783</v>
      </c>
      <c r="H2401" s="28" t="s">
        <v>10896</v>
      </c>
      <c r="I2401" s="114" t="s">
        <v>12400</v>
      </c>
      <c r="J2401" s="114" t="s">
        <v>12401</v>
      </c>
    </row>
    <row r="2402" spans="1:10" ht="20" customHeight="1" thickBot="1">
      <c r="A2402" s="26" t="s">
        <v>10899</v>
      </c>
      <c r="B2402" s="26" t="s">
        <v>10899</v>
      </c>
      <c r="C2402" s="26" t="s">
        <v>10900</v>
      </c>
      <c r="D2402" s="116">
        <v>18</v>
      </c>
      <c r="E2402" s="122" t="s">
        <v>35</v>
      </c>
      <c r="F2402" s="119" t="s">
        <v>57</v>
      </c>
      <c r="G2402" s="27">
        <v>44670</v>
      </c>
      <c r="H2402" s="26" t="s">
        <v>10901</v>
      </c>
      <c r="I2402" s="113" t="s">
        <v>12400</v>
      </c>
      <c r="J2402" s="113" t="s">
        <v>12401</v>
      </c>
    </row>
    <row r="2403" spans="1:10" ht="20" customHeight="1" thickBot="1">
      <c r="A2403" s="28" t="s">
        <v>10904</v>
      </c>
      <c r="B2403" s="28" t="s">
        <v>10904</v>
      </c>
      <c r="C2403" s="28" t="s">
        <v>1824</v>
      </c>
      <c r="D2403" s="117">
        <v>0</v>
      </c>
      <c r="E2403" s="122" t="s">
        <v>27</v>
      </c>
      <c r="F2403" s="120" t="s">
        <v>63</v>
      </c>
      <c r="G2403" s="29">
        <v>45961</v>
      </c>
      <c r="H2403" s="28" t="s">
        <v>10905</v>
      </c>
      <c r="I2403" s="114" t="s">
        <v>12400</v>
      </c>
      <c r="J2403" s="114" t="s">
        <v>12401</v>
      </c>
    </row>
    <row r="2404" spans="1:10" ht="20" customHeight="1" thickBot="1">
      <c r="A2404" s="26" t="s">
        <v>10908</v>
      </c>
      <c r="B2404" s="26" t="s">
        <v>10908</v>
      </c>
      <c r="C2404" s="26" t="s">
        <v>3893</v>
      </c>
      <c r="D2404" s="116">
        <v>17</v>
      </c>
      <c r="E2404" s="122" t="s">
        <v>31</v>
      </c>
      <c r="F2404" s="119" t="s">
        <v>63</v>
      </c>
      <c r="G2404" s="27">
        <v>45696</v>
      </c>
      <c r="H2404" s="26" t="s">
        <v>10909</v>
      </c>
      <c r="I2404" s="113" t="s">
        <v>12400</v>
      </c>
      <c r="J2404" s="113" t="s">
        <v>12401</v>
      </c>
    </row>
    <row r="2405" spans="1:10" ht="20" customHeight="1" thickBot="1">
      <c r="A2405" s="28" t="s">
        <v>10912</v>
      </c>
      <c r="B2405" s="28" t="s">
        <v>10912</v>
      </c>
      <c r="C2405" s="28" t="s">
        <v>3143</v>
      </c>
      <c r="D2405" s="117">
        <v>8</v>
      </c>
      <c r="E2405" s="122" t="s">
        <v>34</v>
      </c>
      <c r="F2405" s="120" t="s">
        <v>57</v>
      </c>
      <c r="G2405" s="29">
        <v>44736</v>
      </c>
      <c r="H2405" s="28" t="s">
        <v>10913</v>
      </c>
      <c r="I2405" s="114" t="s">
        <v>12400</v>
      </c>
      <c r="J2405" s="114" t="s">
        <v>12401</v>
      </c>
    </row>
    <row r="2406" spans="1:10" ht="20" customHeight="1" thickBot="1">
      <c r="A2406" s="26" t="s">
        <v>10916</v>
      </c>
      <c r="B2406" s="26" t="s">
        <v>10916</v>
      </c>
      <c r="C2406" s="26" t="s">
        <v>10917</v>
      </c>
      <c r="D2406" s="116">
        <v>4</v>
      </c>
      <c r="E2406" s="122" t="s">
        <v>29</v>
      </c>
      <c r="F2406" s="119" t="s">
        <v>63</v>
      </c>
      <c r="G2406" s="27">
        <v>42163</v>
      </c>
      <c r="H2406" s="26" t="s">
        <v>10918</v>
      </c>
      <c r="I2406" s="113" t="s">
        <v>12400</v>
      </c>
      <c r="J2406" s="113" t="s">
        <v>12401</v>
      </c>
    </row>
    <row r="2407" spans="1:10" ht="20" customHeight="1" thickBot="1">
      <c r="A2407" s="28" t="s">
        <v>10921</v>
      </c>
      <c r="B2407" s="28" t="s">
        <v>10921</v>
      </c>
      <c r="C2407" s="28" t="s">
        <v>2152</v>
      </c>
      <c r="D2407" s="117">
        <v>33</v>
      </c>
      <c r="E2407" s="122" t="s">
        <v>27</v>
      </c>
      <c r="F2407" s="120" t="s">
        <v>63</v>
      </c>
      <c r="G2407" s="29">
        <v>42445</v>
      </c>
      <c r="H2407" s="28" t="s">
        <v>10922</v>
      </c>
      <c r="I2407" s="114" t="s">
        <v>12400</v>
      </c>
      <c r="J2407" s="114" t="s">
        <v>12401</v>
      </c>
    </row>
    <row r="2408" spans="1:10" ht="20" customHeight="1" thickBot="1">
      <c r="A2408" s="26" t="s">
        <v>10925</v>
      </c>
      <c r="B2408" s="26" t="s">
        <v>10925</v>
      </c>
      <c r="C2408" s="26" t="s">
        <v>2152</v>
      </c>
      <c r="D2408" s="116">
        <v>28</v>
      </c>
      <c r="E2408" s="122" t="s">
        <v>33</v>
      </c>
      <c r="F2408" s="119" t="s">
        <v>63</v>
      </c>
      <c r="G2408" s="27">
        <v>42695</v>
      </c>
      <c r="H2408" s="26" t="s">
        <v>10926</v>
      </c>
      <c r="I2408" s="113" t="s">
        <v>12400</v>
      </c>
      <c r="J2408" s="113" t="s">
        <v>12401</v>
      </c>
    </row>
    <row r="2409" spans="1:10" ht="20" customHeight="1" thickBot="1">
      <c r="A2409" s="28" t="s">
        <v>10929</v>
      </c>
      <c r="B2409" s="28" t="s">
        <v>10929</v>
      </c>
      <c r="C2409" s="28" t="s">
        <v>2152</v>
      </c>
      <c r="D2409" s="117">
        <v>5</v>
      </c>
      <c r="E2409" s="122" t="s">
        <v>33</v>
      </c>
      <c r="F2409" s="120" t="s">
        <v>63</v>
      </c>
      <c r="G2409" s="29">
        <v>42697</v>
      </c>
      <c r="H2409" s="28" t="s">
        <v>10930</v>
      </c>
      <c r="I2409" s="114" t="s">
        <v>12400</v>
      </c>
      <c r="J2409" s="114" t="s">
        <v>12401</v>
      </c>
    </row>
    <row r="2410" spans="1:10" ht="20" customHeight="1" thickBot="1">
      <c r="A2410" s="26" t="s">
        <v>10933</v>
      </c>
      <c r="B2410" s="26" t="s">
        <v>10933</v>
      </c>
      <c r="C2410" s="26" t="s">
        <v>1306</v>
      </c>
      <c r="D2410" s="116">
        <v>0</v>
      </c>
      <c r="E2410" s="122" t="s">
        <v>31</v>
      </c>
      <c r="F2410" s="119" t="s">
        <v>63</v>
      </c>
      <c r="G2410" s="27">
        <v>45177</v>
      </c>
      <c r="H2410" s="26" t="s">
        <v>10934</v>
      </c>
      <c r="I2410" s="113" t="s">
        <v>12400</v>
      </c>
      <c r="J2410" s="113" t="s">
        <v>12401</v>
      </c>
    </row>
    <row r="2411" spans="1:10" ht="20" customHeight="1" thickBot="1">
      <c r="A2411" s="28" t="s">
        <v>10937</v>
      </c>
      <c r="B2411" s="28" t="s">
        <v>10937</v>
      </c>
      <c r="C2411" s="28" t="s">
        <v>10938</v>
      </c>
      <c r="D2411" s="117">
        <v>12</v>
      </c>
      <c r="E2411" s="122" t="s">
        <v>29</v>
      </c>
      <c r="F2411" s="120" t="s">
        <v>63</v>
      </c>
      <c r="G2411" s="29">
        <v>44428</v>
      </c>
      <c r="H2411" s="28" t="s">
        <v>10939</v>
      </c>
      <c r="I2411" s="114" t="s">
        <v>12400</v>
      </c>
      <c r="J2411" s="114" t="s">
        <v>12401</v>
      </c>
    </row>
    <row r="2412" spans="1:10" ht="20" customHeight="1" thickBot="1">
      <c r="A2412" s="26" t="s">
        <v>10942</v>
      </c>
      <c r="B2412" s="26" t="s">
        <v>10942</v>
      </c>
      <c r="C2412" s="26" t="s">
        <v>452</v>
      </c>
      <c r="D2412" s="116">
        <v>4</v>
      </c>
      <c r="E2412" s="122" t="s">
        <v>34</v>
      </c>
      <c r="F2412" s="119" t="s">
        <v>57</v>
      </c>
      <c r="G2412" s="27">
        <v>44613</v>
      </c>
      <c r="H2412" s="26" t="s">
        <v>10943</v>
      </c>
      <c r="I2412" s="113" t="s">
        <v>12400</v>
      </c>
      <c r="J2412" s="113" t="s">
        <v>12401</v>
      </c>
    </row>
    <row r="2413" spans="1:10" ht="20" customHeight="1" thickBot="1">
      <c r="A2413" s="28" t="s">
        <v>10946</v>
      </c>
      <c r="B2413" s="28" t="s">
        <v>10946</v>
      </c>
      <c r="C2413" s="28" t="s">
        <v>7304</v>
      </c>
      <c r="D2413" s="117">
        <v>7</v>
      </c>
      <c r="E2413" s="122" t="s">
        <v>34</v>
      </c>
      <c r="F2413" s="120" t="s">
        <v>57</v>
      </c>
      <c r="G2413" s="29">
        <v>44519</v>
      </c>
      <c r="H2413" s="28" t="s">
        <v>10947</v>
      </c>
      <c r="I2413" s="114" t="s">
        <v>12400</v>
      </c>
      <c r="J2413" s="114" t="s">
        <v>12401</v>
      </c>
    </row>
    <row r="2414" spans="1:10" ht="20" customHeight="1" thickBot="1">
      <c r="A2414" s="26" t="s">
        <v>10950</v>
      </c>
      <c r="B2414" s="26" t="s">
        <v>10950</v>
      </c>
      <c r="C2414" s="26" t="s">
        <v>3565</v>
      </c>
      <c r="D2414" s="116">
        <v>0</v>
      </c>
      <c r="E2414" s="122" t="s">
        <v>33</v>
      </c>
      <c r="F2414" s="119" t="s">
        <v>63</v>
      </c>
      <c r="G2414" s="27">
        <v>45898</v>
      </c>
      <c r="H2414" s="26" t="s">
        <v>10951</v>
      </c>
      <c r="I2414" s="113" t="s">
        <v>12400</v>
      </c>
      <c r="J2414" s="113" t="s">
        <v>12401</v>
      </c>
    </row>
    <row r="2415" spans="1:10" ht="20" customHeight="1" thickBot="1">
      <c r="A2415" s="28" t="s">
        <v>10954</v>
      </c>
      <c r="B2415" s="28" t="s">
        <v>10954</v>
      </c>
      <c r="C2415" s="28" t="s">
        <v>243</v>
      </c>
      <c r="D2415" s="117">
        <v>9</v>
      </c>
      <c r="E2415" s="122" t="s">
        <v>29</v>
      </c>
      <c r="F2415" s="120" t="s">
        <v>63</v>
      </c>
      <c r="G2415" s="29">
        <v>43770</v>
      </c>
      <c r="H2415" s="28" t="s">
        <v>10955</v>
      </c>
      <c r="I2415" s="114" t="s">
        <v>12400</v>
      </c>
      <c r="J2415" s="114" t="s">
        <v>12401</v>
      </c>
    </row>
    <row r="2416" spans="1:10" ht="20" customHeight="1" thickBot="1">
      <c r="A2416" s="26" t="s">
        <v>10958</v>
      </c>
      <c r="B2416" s="26" t="s">
        <v>10958</v>
      </c>
      <c r="C2416" s="26" t="s">
        <v>10959</v>
      </c>
      <c r="D2416" s="116">
        <v>9</v>
      </c>
      <c r="E2416" s="122" t="s">
        <v>29</v>
      </c>
      <c r="F2416" s="119" t="s">
        <v>63</v>
      </c>
      <c r="G2416" s="27">
        <v>41545</v>
      </c>
      <c r="H2416" s="26" t="s">
        <v>10960</v>
      </c>
      <c r="I2416" s="113" t="s">
        <v>12400</v>
      </c>
      <c r="J2416" s="113" t="s">
        <v>12401</v>
      </c>
    </row>
    <row r="2417" spans="1:10" ht="20" customHeight="1" thickBot="1">
      <c r="A2417" s="28" t="s">
        <v>10963</v>
      </c>
      <c r="B2417" s="28" t="s">
        <v>10963</v>
      </c>
      <c r="C2417" s="28" t="s">
        <v>2072</v>
      </c>
      <c r="D2417" s="117">
        <v>53</v>
      </c>
      <c r="E2417" s="122" t="s">
        <v>29</v>
      </c>
      <c r="F2417" s="120" t="s">
        <v>63</v>
      </c>
      <c r="G2417" s="29">
        <v>42484</v>
      </c>
      <c r="H2417" s="28" t="s">
        <v>10964</v>
      </c>
      <c r="I2417" s="114" t="s">
        <v>12400</v>
      </c>
      <c r="J2417" s="114" t="s">
        <v>12401</v>
      </c>
    </row>
    <row r="2418" spans="1:10" ht="20" customHeight="1" thickBot="1">
      <c r="A2418" s="26" t="s">
        <v>10967</v>
      </c>
      <c r="B2418" s="26" t="s">
        <v>10967</v>
      </c>
      <c r="C2418" s="26" t="s">
        <v>670</v>
      </c>
      <c r="D2418" s="116">
        <v>13</v>
      </c>
      <c r="E2418" s="122" t="s">
        <v>36</v>
      </c>
      <c r="F2418" s="119" t="s">
        <v>57</v>
      </c>
      <c r="G2418" s="27">
        <v>45377</v>
      </c>
      <c r="H2418" s="26" t="s">
        <v>10968</v>
      </c>
      <c r="I2418" s="113" t="s">
        <v>12400</v>
      </c>
      <c r="J2418" s="113" t="s">
        <v>12401</v>
      </c>
    </row>
    <row r="2419" spans="1:10" ht="20" customHeight="1" thickBot="1">
      <c r="A2419" s="28" t="s">
        <v>10971</v>
      </c>
      <c r="B2419" s="28" t="s">
        <v>10971</v>
      </c>
      <c r="C2419" s="28" t="s">
        <v>9745</v>
      </c>
      <c r="D2419" s="117">
        <v>2</v>
      </c>
      <c r="E2419" s="122" t="s">
        <v>29</v>
      </c>
      <c r="F2419" s="120" t="s">
        <v>63</v>
      </c>
      <c r="G2419" s="29">
        <v>41521</v>
      </c>
      <c r="H2419" s="28" t="s">
        <v>10972</v>
      </c>
      <c r="I2419" s="114" t="s">
        <v>12400</v>
      </c>
      <c r="J2419" s="114" t="s">
        <v>12401</v>
      </c>
    </row>
    <row r="2420" spans="1:10" ht="20" customHeight="1" thickBot="1">
      <c r="A2420" s="26" t="s">
        <v>10975</v>
      </c>
      <c r="B2420" s="26" t="s">
        <v>10975</v>
      </c>
      <c r="C2420" s="26" t="s">
        <v>10976</v>
      </c>
      <c r="D2420" s="116">
        <v>1</v>
      </c>
      <c r="E2420" s="122" t="s">
        <v>31</v>
      </c>
      <c r="F2420" s="119" t="s">
        <v>63</v>
      </c>
      <c r="G2420" s="27">
        <v>42691</v>
      </c>
      <c r="H2420" s="26" t="s">
        <v>10977</v>
      </c>
      <c r="I2420" s="113" t="s">
        <v>12400</v>
      </c>
      <c r="J2420" s="113" t="s">
        <v>12401</v>
      </c>
    </row>
    <row r="2421" spans="1:10" ht="20" customHeight="1" thickBot="1">
      <c r="A2421" s="28" t="s">
        <v>10980</v>
      </c>
      <c r="B2421" s="28" t="s">
        <v>10980</v>
      </c>
      <c r="C2421" s="28" t="s">
        <v>10895</v>
      </c>
      <c r="D2421" s="117">
        <v>0</v>
      </c>
      <c r="E2421" s="122" t="s">
        <v>29</v>
      </c>
      <c r="F2421" s="120" t="s">
        <v>63</v>
      </c>
      <c r="G2421" s="29">
        <v>42691</v>
      </c>
      <c r="H2421" s="28" t="s">
        <v>10981</v>
      </c>
      <c r="I2421" s="114" t="s">
        <v>12400</v>
      </c>
      <c r="J2421" s="114" t="s">
        <v>12401</v>
      </c>
    </row>
    <row r="2422" spans="1:10" ht="20" customHeight="1" thickBot="1">
      <c r="A2422" s="26" t="s">
        <v>10984</v>
      </c>
      <c r="B2422" s="26" t="s">
        <v>10984</v>
      </c>
      <c r="C2422" s="26" t="s">
        <v>10985</v>
      </c>
      <c r="D2422" s="116">
        <v>10</v>
      </c>
      <c r="E2422" s="122" t="s">
        <v>34</v>
      </c>
      <c r="F2422" s="119" t="s">
        <v>57</v>
      </c>
      <c r="G2422" s="27">
        <v>45047</v>
      </c>
      <c r="H2422" s="26" t="s">
        <v>10986</v>
      </c>
      <c r="I2422" s="113" t="s">
        <v>12400</v>
      </c>
      <c r="J2422" s="113" t="s">
        <v>12401</v>
      </c>
    </row>
    <row r="2423" spans="1:10" ht="20" customHeight="1" thickBot="1">
      <c r="A2423" s="28" t="s">
        <v>10989</v>
      </c>
      <c r="B2423" s="28" t="s">
        <v>10989</v>
      </c>
      <c r="C2423" s="28" t="s">
        <v>2568</v>
      </c>
      <c r="D2423" s="117">
        <v>14</v>
      </c>
      <c r="E2423" s="122" t="s">
        <v>29</v>
      </c>
      <c r="F2423" s="120" t="s">
        <v>63</v>
      </c>
      <c r="G2423" s="29">
        <v>42458</v>
      </c>
      <c r="H2423" s="28" t="s">
        <v>10990</v>
      </c>
      <c r="I2423" s="114" t="s">
        <v>12400</v>
      </c>
      <c r="J2423" s="114" t="s">
        <v>12401</v>
      </c>
    </row>
    <row r="2424" spans="1:10" ht="20" customHeight="1" thickBot="1">
      <c r="A2424" s="26" t="s">
        <v>10993</v>
      </c>
      <c r="B2424" s="26" t="s">
        <v>10993</v>
      </c>
      <c r="C2424" s="26" t="s">
        <v>10994</v>
      </c>
      <c r="D2424" s="116">
        <v>1</v>
      </c>
      <c r="E2424" s="122" t="s">
        <v>29</v>
      </c>
      <c r="F2424" s="119" t="s">
        <v>63</v>
      </c>
      <c r="G2424" s="27">
        <v>46036</v>
      </c>
      <c r="H2424" s="26" t="s">
        <v>10995</v>
      </c>
      <c r="I2424" s="113" t="s">
        <v>12400</v>
      </c>
      <c r="J2424" s="113" t="s">
        <v>12401</v>
      </c>
    </row>
    <row r="2425" spans="1:10" ht="20" customHeight="1" thickBot="1">
      <c r="A2425" s="28" t="s">
        <v>10998</v>
      </c>
      <c r="B2425" s="28" t="s">
        <v>10998</v>
      </c>
      <c r="C2425" s="28" t="s">
        <v>10999</v>
      </c>
      <c r="D2425" s="117">
        <v>16</v>
      </c>
      <c r="E2425" s="122" t="s">
        <v>33</v>
      </c>
      <c r="F2425" s="120" t="s">
        <v>57</v>
      </c>
      <c r="G2425" s="29">
        <v>44133</v>
      </c>
      <c r="H2425" s="28" t="s">
        <v>11000</v>
      </c>
      <c r="I2425" s="114" t="s">
        <v>12400</v>
      </c>
      <c r="J2425" s="114" t="s">
        <v>12401</v>
      </c>
    </row>
    <row r="2426" spans="1:10" ht="20" customHeight="1" thickBot="1">
      <c r="A2426" s="26" t="s">
        <v>11003</v>
      </c>
      <c r="B2426" s="26" t="s">
        <v>11003</v>
      </c>
      <c r="C2426" s="26" t="s">
        <v>243</v>
      </c>
      <c r="D2426" s="116">
        <v>8</v>
      </c>
      <c r="E2426" s="122" t="s">
        <v>29</v>
      </c>
      <c r="F2426" s="119" t="s">
        <v>63</v>
      </c>
      <c r="G2426" s="27">
        <v>43569</v>
      </c>
      <c r="H2426" s="26" t="s">
        <v>11004</v>
      </c>
      <c r="I2426" s="113" t="s">
        <v>12400</v>
      </c>
      <c r="J2426" s="113" t="s">
        <v>12401</v>
      </c>
    </row>
    <row r="2427" spans="1:10" ht="20" customHeight="1" thickBot="1">
      <c r="A2427" s="28" t="s">
        <v>11007</v>
      </c>
      <c r="B2427" s="28" t="s">
        <v>11007</v>
      </c>
      <c r="C2427" s="28" t="s">
        <v>1731</v>
      </c>
      <c r="D2427" s="117">
        <v>54</v>
      </c>
      <c r="E2427" s="122" t="s">
        <v>35</v>
      </c>
      <c r="F2427" s="120" t="s">
        <v>57</v>
      </c>
      <c r="G2427" s="29">
        <v>43374</v>
      </c>
      <c r="H2427" s="28" t="s">
        <v>11008</v>
      </c>
      <c r="I2427" s="114" t="s">
        <v>12400</v>
      </c>
      <c r="J2427" s="114" t="s">
        <v>12401</v>
      </c>
    </row>
    <row r="2428" spans="1:10" ht="20" customHeight="1" thickBot="1">
      <c r="A2428" s="26" t="s">
        <v>11011</v>
      </c>
      <c r="B2428" s="26" t="s">
        <v>11011</v>
      </c>
      <c r="C2428" s="26" t="s">
        <v>4478</v>
      </c>
      <c r="D2428" s="116">
        <v>6</v>
      </c>
      <c r="E2428" s="122" t="s">
        <v>29</v>
      </c>
      <c r="F2428" s="119" t="s">
        <v>63</v>
      </c>
      <c r="G2428" s="27">
        <v>43178</v>
      </c>
      <c r="H2428" s="26" t="s">
        <v>11012</v>
      </c>
      <c r="I2428" s="113" t="s">
        <v>12400</v>
      </c>
      <c r="J2428" s="113" t="s">
        <v>12401</v>
      </c>
    </row>
    <row r="2429" spans="1:10" ht="20" customHeight="1" thickBot="1">
      <c r="A2429" s="28" t="s">
        <v>11015</v>
      </c>
      <c r="B2429" s="28" t="s">
        <v>11015</v>
      </c>
      <c r="C2429" s="28" t="s">
        <v>370</v>
      </c>
      <c r="D2429" s="117">
        <v>16</v>
      </c>
      <c r="E2429" s="122" t="s">
        <v>34</v>
      </c>
      <c r="F2429" s="120" t="s">
        <v>57</v>
      </c>
      <c r="G2429" s="29">
        <v>44456</v>
      </c>
      <c r="H2429" s="28" t="s">
        <v>11016</v>
      </c>
      <c r="I2429" s="114" t="s">
        <v>12400</v>
      </c>
      <c r="J2429" s="114" t="s">
        <v>12401</v>
      </c>
    </row>
    <row r="2430" spans="1:10" ht="20" customHeight="1" thickBot="1">
      <c r="A2430" s="26" t="s">
        <v>11019</v>
      </c>
      <c r="B2430" s="26" t="s">
        <v>11019</v>
      </c>
      <c r="C2430" s="26" t="s">
        <v>5592</v>
      </c>
      <c r="D2430" s="116">
        <v>14</v>
      </c>
      <c r="E2430" s="122" t="s">
        <v>29</v>
      </c>
      <c r="F2430" s="119" t="s">
        <v>63</v>
      </c>
      <c r="G2430" s="27">
        <v>44098</v>
      </c>
      <c r="H2430" s="26" t="s">
        <v>11020</v>
      </c>
      <c r="I2430" s="113" t="s">
        <v>12400</v>
      </c>
      <c r="J2430" s="113" t="s">
        <v>12401</v>
      </c>
    </row>
    <row r="2431" spans="1:10" ht="20" customHeight="1" thickBot="1">
      <c r="A2431" s="28" t="s">
        <v>11023</v>
      </c>
      <c r="B2431" s="28" t="s">
        <v>11023</v>
      </c>
      <c r="C2431" s="28" t="s">
        <v>11024</v>
      </c>
      <c r="D2431" s="117">
        <v>13</v>
      </c>
      <c r="E2431" s="122" t="s">
        <v>34</v>
      </c>
      <c r="F2431" s="120" t="s">
        <v>57</v>
      </c>
      <c r="G2431" s="29">
        <v>45323</v>
      </c>
      <c r="H2431" s="28" t="s">
        <v>11025</v>
      </c>
      <c r="I2431" s="114" t="s">
        <v>12400</v>
      </c>
      <c r="J2431" s="114" t="s">
        <v>12401</v>
      </c>
    </row>
    <row r="2432" spans="1:10" ht="20" customHeight="1" thickBot="1">
      <c r="A2432" s="26" t="s">
        <v>11028</v>
      </c>
      <c r="B2432" s="26" t="s">
        <v>11028</v>
      </c>
      <c r="C2432" s="26" t="s">
        <v>7512</v>
      </c>
      <c r="D2432" s="116">
        <v>37</v>
      </c>
      <c r="E2432" s="122" t="s">
        <v>29</v>
      </c>
      <c r="F2432" s="119" t="s">
        <v>63</v>
      </c>
      <c r="G2432" s="27">
        <v>42304</v>
      </c>
      <c r="H2432" s="26" t="s">
        <v>11029</v>
      </c>
      <c r="I2432" s="113" t="s">
        <v>12400</v>
      </c>
      <c r="J2432" s="113" t="s">
        <v>12401</v>
      </c>
    </row>
    <row r="2433" spans="1:10" ht="20" customHeight="1" thickBot="1">
      <c r="A2433" s="28" t="s">
        <v>11032</v>
      </c>
      <c r="B2433" s="28" t="s">
        <v>11032</v>
      </c>
      <c r="C2433" s="28" t="s">
        <v>7512</v>
      </c>
      <c r="D2433" s="117">
        <v>36</v>
      </c>
      <c r="E2433" s="122" t="s">
        <v>29</v>
      </c>
      <c r="F2433" s="120" t="s">
        <v>63</v>
      </c>
      <c r="G2433" s="29">
        <v>42281</v>
      </c>
      <c r="H2433" s="28" t="s">
        <v>11033</v>
      </c>
      <c r="I2433" s="114" t="s">
        <v>12400</v>
      </c>
      <c r="J2433" s="114" t="s">
        <v>12401</v>
      </c>
    </row>
    <row r="2434" spans="1:10" ht="20" customHeight="1" thickBot="1">
      <c r="A2434" s="26" t="s">
        <v>11036</v>
      </c>
      <c r="B2434" s="26" t="s">
        <v>11036</v>
      </c>
      <c r="C2434" s="26" t="s">
        <v>2521</v>
      </c>
      <c r="D2434" s="116">
        <v>22</v>
      </c>
      <c r="E2434" s="122" t="s">
        <v>35</v>
      </c>
      <c r="F2434" s="119" t="s">
        <v>57</v>
      </c>
      <c r="G2434" s="27">
        <v>45721</v>
      </c>
      <c r="H2434" s="26" t="s">
        <v>11037</v>
      </c>
      <c r="I2434" s="113" t="s">
        <v>12400</v>
      </c>
      <c r="J2434" s="113" t="s">
        <v>12401</v>
      </c>
    </row>
    <row r="2435" spans="1:10" ht="20" customHeight="1" thickBot="1">
      <c r="A2435" s="28" t="s">
        <v>11040</v>
      </c>
      <c r="B2435" s="28" t="s">
        <v>11040</v>
      </c>
      <c r="C2435" s="28" t="s">
        <v>1520</v>
      </c>
      <c r="D2435" s="117">
        <v>14</v>
      </c>
      <c r="E2435" s="122" t="s">
        <v>31</v>
      </c>
      <c r="F2435" s="120" t="s">
        <v>63</v>
      </c>
      <c r="G2435" s="29">
        <v>44607</v>
      </c>
      <c r="H2435" s="28" t="s">
        <v>11041</v>
      </c>
      <c r="I2435" s="114" t="s">
        <v>12400</v>
      </c>
      <c r="J2435" s="114" t="s">
        <v>12401</v>
      </c>
    </row>
    <row r="2436" spans="1:10" ht="20" customHeight="1" thickBot="1">
      <c r="A2436" s="26" t="s">
        <v>11044</v>
      </c>
      <c r="B2436" s="26" t="s">
        <v>11044</v>
      </c>
      <c r="C2436" s="26" t="s">
        <v>547</v>
      </c>
      <c r="D2436" s="116">
        <v>15</v>
      </c>
      <c r="E2436" s="122" t="s">
        <v>29</v>
      </c>
      <c r="F2436" s="119" t="s">
        <v>63</v>
      </c>
      <c r="G2436" s="27">
        <v>42628</v>
      </c>
      <c r="H2436" s="26" t="s">
        <v>11045</v>
      </c>
      <c r="I2436" s="113" t="s">
        <v>12400</v>
      </c>
      <c r="J2436" s="113" t="s">
        <v>12401</v>
      </c>
    </row>
    <row r="2437" spans="1:10" ht="20" customHeight="1" thickBot="1">
      <c r="A2437" s="28" t="s">
        <v>11048</v>
      </c>
      <c r="B2437" s="28" t="s">
        <v>11048</v>
      </c>
      <c r="C2437" s="28" t="s">
        <v>2133</v>
      </c>
      <c r="D2437" s="117">
        <v>2</v>
      </c>
      <c r="E2437" s="122" t="s">
        <v>31</v>
      </c>
      <c r="F2437" s="120" t="s">
        <v>63</v>
      </c>
      <c r="G2437" s="29">
        <v>41974</v>
      </c>
      <c r="H2437" s="28" t="s">
        <v>11049</v>
      </c>
      <c r="I2437" s="114" t="s">
        <v>12400</v>
      </c>
      <c r="J2437" s="114" t="s">
        <v>12401</v>
      </c>
    </row>
    <row r="2438" spans="1:10" ht="20" customHeight="1" thickBot="1">
      <c r="A2438" s="26" t="s">
        <v>11052</v>
      </c>
      <c r="B2438" s="26" t="s">
        <v>11052</v>
      </c>
      <c r="C2438" s="26" t="s">
        <v>452</v>
      </c>
      <c r="D2438" s="116">
        <v>20</v>
      </c>
      <c r="E2438" s="122" t="s">
        <v>33</v>
      </c>
      <c r="F2438" s="119" t="s">
        <v>57</v>
      </c>
      <c r="G2438" s="27">
        <v>45145</v>
      </c>
      <c r="H2438" s="26" t="s">
        <v>11053</v>
      </c>
      <c r="I2438" s="113" t="s">
        <v>12400</v>
      </c>
      <c r="J2438" s="113" t="s">
        <v>12401</v>
      </c>
    </row>
    <row r="2439" spans="1:10" ht="20" customHeight="1" thickBot="1">
      <c r="A2439" s="28" t="s">
        <v>11056</v>
      </c>
      <c r="B2439" s="28" t="s">
        <v>11056</v>
      </c>
      <c r="C2439" s="28" t="s">
        <v>452</v>
      </c>
      <c r="D2439" s="117">
        <v>18</v>
      </c>
      <c r="E2439" s="122" t="s">
        <v>33</v>
      </c>
      <c r="F2439" s="120" t="s">
        <v>57</v>
      </c>
      <c r="G2439" s="29">
        <v>45195</v>
      </c>
      <c r="H2439" s="28" t="s">
        <v>11057</v>
      </c>
      <c r="I2439" s="114" t="s">
        <v>12400</v>
      </c>
      <c r="J2439" s="114" t="s">
        <v>12401</v>
      </c>
    </row>
    <row r="2440" spans="1:10" ht="20" customHeight="1" thickBot="1">
      <c r="A2440" s="26" t="s">
        <v>11060</v>
      </c>
      <c r="B2440" s="26" t="s">
        <v>11060</v>
      </c>
      <c r="C2440" s="26" t="s">
        <v>11061</v>
      </c>
      <c r="D2440" s="116">
        <v>77</v>
      </c>
      <c r="E2440" s="122" t="s">
        <v>31</v>
      </c>
      <c r="F2440" s="119" t="s">
        <v>63</v>
      </c>
      <c r="G2440" s="27">
        <v>41620</v>
      </c>
      <c r="H2440" s="26" t="s">
        <v>11062</v>
      </c>
      <c r="I2440" s="113" t="s">
        <v>12400</v>
      </c>
      <c r="J2440" s="113" t="s">
        <v>12401</v>
      </c>
    </row>
    <row r="2441" spans="1:10" ht="20" customHeight="1" thickBot="1">
      <c r="A2441" s="28" t="s">
        <v>11065</v>
      </c>
      <c r="B2441" s="28" t="s">
        <v>11065</v>
      </c>
      <c r="C2441" s="28" t="s">
        <v>4915</v>
      </c>
      <c r="D2441" s="117">
        <v>2</v>
      </c>
      <c r="E2441" s="122" t="s">
        <v>29</v>
      </c>
      <c r="F2441" s="120" t="s">
        <v>63</v>
      </c>
      <c r="G2441" s="29">
        <v>42018</v>
      </c>
      <c r="H2441" s="28" t="s">
        <v>11066</v>
      </c>
      <c r="I2441" s="114" t="s">
        <v>12400</v>
      </c>
      <c r="J2441" s="114" t="s">
        <v>12401</v>
      </c>
    </row>
    <row r="2442" spans="1:10" ht="20" customHeight="1" thickBot="1">
      <c r="A2442" s="26" t="s">
        <v>11069</v>
      </c>
      <c r="B2442" s="26" t="s">
        <v>11069</v>
      </c>
      <c r="C2442" s="26" t="s">
        <v>4915</v>
      </c>
      <c r="D2442" s="116">
        <v>6</v>
      </c>
      <c r="E2442" s="122" t="s">
        <v>29</v>
      </c>
      <c r="F2442" s="119" t="s">
        <v>63</v>
      </c>
      <c r="G2442" s="27">
        <v>41533</v>
      </c>
      <c r="H2442" s="26" t="s">
        <v>11070</v>
      </c>
      <c r="I2442" s="113" t="s">
        <v>12400</v>
      </c>
      <c r="J2442" s="113" t="s">
        <v>12401</v>
      </c>
    </row>
    <row r="2443" spans="1:10" ht="20" customHeight="1" thickBot="1">
      <c r="A2443" s="28" t="s">
        <v>11073</v>
      </c>
      <c r="B2443" s="28" t="s">
        <v>11073</v>
      </c>
      <c r="C2443" s="28" t="s">
        <v>4915</v>
      </c>
      <c r="D2443" s="117">
        <v>15</v>
      </c>
      <c r="E2443" s="122" t="s">
        <v>29</v>
      </c>
      <c r="F2443" s="120" t="s">
        <v>63</v>
      </c>
      <c r="G2443" s="29">
        <v>41563</v>
      </c>
      <c r="H2443" s="28" t="s">
        <v>11074</v>
      </c>
      <c r="I2443" s="114" t="s">
        <v>12400</v>
      </c>
      <c r="J2443" s="114" t="s">
        <v>12401</v>
      </c>
    </row>
    <row r="2444" spans="1:10" ht="20" customHeight="1" thickBot="1">
      <c r="A2444" s="26" t="s">
        <v>11077</v>
      </c>
      <c r="B2444" s="26" t="s">
        <v>11077</v>
      </c>
      <c r="C2444" s="26" t="s">
        <v>8658</v>
      </c>
      <c r="D2444" s="116">
        <v>54</v>
      </c>
      <c r="E2444" s="122" t="s">
        <v>31</v>
      </c>
      <c r="F2444" s="119" t="s">
        <v>63</v>
      </c>
      <c r="G2444" s="27">
        <v>42299</v>
      </c>
      <c r="H2444" s="26" t="s">
        <v>11078</v>
      </c>
      <c r="I2444" s="113" t="s">
        <v>12400</v>
      </c>
      <c r="J2444" s="113" t="s">
        <v>12401</v>
      </c>
    </row>
    <row r="2445" spans="1:10" ht="20" customHeight="1" thickBot="1">
      <c r="A2445" s="28" t="s">
        <v>11081</v>
      </c>
      <c r="B2445" s="28" t="s">
        <v>11081</v>
      </c>
      <c r="C2445" s="28" t="s">
        <v>11082</v>
      </c>
      <c r="D2445" s="117">
        <v>6</v>
      </c>
      <c r="E2445" s="122" t="s">
        <v>29</v>
      </c>
      <c r="F2445" s="120" t="s">
        <v>63</v>
      </c>
      <c r="G2445" s="29">
        <v>41535</v>
      </c>
      <c r="H2445" s="28" t="s">
        <v>11083</v>
      </c>
      <c r="I2445" s="114" t="s">
        <v>12400</v>
      </c>
      <c r="J2445" s="114" t="s">
        <v>12401</v>
      </c>
    </row>
    <row r="2446" spans="1:10" ht="20" customHeight="1" thickBot="1">
      <c r="A2446" s="26" t="s">
        <v>11086</v>
      </c>
      <c r="B2446" s="26" t="s">
        <v>11086</v>
      </c>
      <c r="C2446" s="26" t="s">
        <v>335</v>
      </c>
      <c r="D2446" s="116">
        <v>4</v>
      </c>
      <c r="E2446" s="122" t="s">
        <v>29</v>
      </c>
      <c r="F2446" s="119" t="s">
        <v>63</v>
      </c>
      <c r="G2446" s="27">
        <v>42066</v>
      </c>
      <c r="H2446" s="26" t="s">
        <v>11087</v>
      </c>
      <c r="I2446" s="113" t="s">
        <v>12400</v>
      </c>
      <c r="J2446" s="113" t="s">
        <v>12401</v>
      </c>
    </row>
    <row r="2447" spans="1:10" ht="20" customHeight="1" thickBot="1">
      <c r="A2447" s="28" t="s">
        <v>11090</v>
      </c>
      <c r="B2447" s="28" t="s">
        <v>11090</v>
      </c>
      <c r="C2447" s="28" t="s">
        <v>11091</v>
      </c>
      <c r="D2447" s="117">
        <v>32</v>
      </c>
      <c r="E2447" s="122" t="s">
        <v>29</v>
      </c>
      <c r="F2447" s="120" t="s">
        <v>63</v>
      </c>
      <c r="G2447" s="29">
        <v>45138</v>
      </c>
      <c r="H2447" s="28" t="s">
        <v>11092</v>
      </c>
      <c r="I2447" s="114" t="s">
        <v>12400</v>
      </c>
      <c r="J2447" s="114" t="s">
        <v>12401</v>
      </c>
    </row>
    <row r="2448" spans="1:10" ht="20" customHeight="1" thickBot="1">
      <c r="A2448" s="26" t="s">
        <v>11095</v>
      </c>
      <c r="B2448" s="26" t="s">
        <v>11095</v>
      </c>
      <c r="C2448" s="26" t="s">
        <v>11096</v>
      </c>
      <c r="D2448" s="116">
        <v>6</v>
      </c>
      <c r="E2448" s="122" t="s">
        <v>27</v>
      </c>
      <c r="F2448" s="119" t="s">
        <v>63</v>
      </c>
      <c r="G2448" s="27">
        <v>42317</v>
      </c>
      <c r="H2448" s="26" t="s">
        <v>11097</v>
      </c>
      <c r="I2448" s="113" t="s">
        <v>12400</v>
      </c>
      <c r="J2448" s="113" t="s">
        <v>12401</v>
      </c>
    </row>
    <row r="2449" spans="1:10" ht="20" customHeight="1" thickBot="1">
      <c r="A2449" s="28" t="s">
        <v>11100</v>
      </c>
      <c r="B2449" s="28" t="s">
        <v>11100</v>
      </c>
      <c r="C2449" s="28" t="s">
        <v>11101</v>
      </c>
      <c r="D2449" s="117">
        <v>25</v>
      </c>
      <c r="E2449" s="122" t="s">
        <v>31</v>
      </c>
      <c r="F2449" s="120" t="s">
        <v>63</v>
      </c>
      <c r="G2449" s="29">
        <v>44167</v>
      </c>
      <c r="H2449" s="28" t="s">
        <v>11102</v>
      </c>
      <c r="I2449" s="114" t="s">
        <v>12400</v>
      </c>
      <c r="J2449" s="114" t="s">
        <v>12401</v>
      </c>
    </row>
    <row r="2450" spans="1:10" ht="20" customHeight="1" thickBot="1">
      <c r="A2450" s="26" t="s">
        <v>11105</v>
      </c>
      <c r="B2450" s="26" t="s">
        <v>11105</v>
      </c>
      <c r="C2450" s="26" t="s">
        <v>11106</v>
      </c>
      <c r="D2450" s="116">
        <v>0</v>
      </c>
      <c r="E2450" s="122" t="s">
        <v>29</v>
      </c>
      <c r="F2450" s="119" t="s">
        <v>63</v>
      </c>
      <c r="G2450" s="27">
        <v>44676</v>
      </c>
      <c r="H2450" s="26" t="s">
        <v>11107</v>
      </c>
      <c r="I2450" s="113" t="s">
        <v>12400</v>
      </c>
      <c r="J2450" s="113" t="s">
        <v>12401</v>
      </c>
    </row>
    <row r="2451" spans="1:10" ht="20" customHeight="1" thickBot="1">
      <c r="A2451" s="28" t="s">
        <v>11110</v>
      </c>
      <c r="B2451" s="28" t="s">
        <v>11110</v>
      </c>
      <c r="C2451" s="28" t="s">
        <v>4273</v>
      </c>
      <c r="D2451" s="117">
        <v>44</v>
      </c>
      <c r="E2451" s="122" t="s">
        <v>29</v>
      </c>
      <c r="F2451" s="120" t="s">
        <v>63</v>
      </c>
      <c r="G2451" s="29">
        <v>43955</v>
      </c>
      <c r="H2451" s="28" t="s">
        <v>11111</v>
      </c>
      <c r="I2451" s="114" t="s">
        <v>12400</v>
      </c>
      <c r="J2451" s="114" t="s">
        <v>12401</v>
      </c>
    </row>
    <row r="2452" spans="1:10" ht="20" customHeight="1" thickBot="1">
      <c r="A2452" s="26" t="s">
        <v>11114</v>
      </c>
      <c r="B2452" s="26" t="s">
        <v>11114</v>
      </c>
      <c r="C2452" s="26" t="s">
        <v>11115</v>
      </c>
      <c r="D2452" s="116">
        <v>11</v>
      </c>
      <c r="E2452" s="122" t="s">
        <v>29</v>
      </c>
      <c r="F2452" s="119" t="s">
        <v>63</v>
      </c>
      <c r="G2452" s="27">
        <v>42276</v>
      </c>
      <c r="H2452" s="26" t="s">
        <v>11116</v>
      </c>
      <c r="I2452" s="113" t="s">
        <v>12400</v>
      </c>
      <c r="J2452" s="113" t="s">
        <v>12401</v>
      </c>
    </row>
    <row r="2453" spans="1:10" ht="20" customHeight="1" thickBot="1">
      <c r="A2453" s="28" t="s">
        <v>11119</v>
      </c>
      <c r="B2453" s="28" t="s">
        <v>11119</v>
      </c>
      <c r="C2453" s="28" t="s">
        <v>11120</v>
      </c>
      <c r="D2453" s="117">
        <v>13</v>
      </c>
      <c r="E2453" s="122" t="s">
        <v>29</v>
      </c>
      <c r="F2453" s="120" t="s">
        <v>63</v>
      </c>
      <c r="G2453" s="29">
        <v>42302</v>
      </c>
      <c r="H2453" s="28" t="s">
        <v>11121</v>
      </c>
      <c r="I2453" s="114" t="s">
        <v>12400</v>
      </c>
      <c r="J2453" s="114" t="s">
        <v>12401</v>
      </c>
    </row>
    <row r="2454" spans="1:10" ht="20" customHeight="1" thickBot="1">
      <c r="A2454" s="26" t="s">
        <v>11124</v>
      </c>
      <c r="B2454" s="26" t="s">
        <v>11124</v>
      </c>
      <c r="C2454" s="26" t="s">
        <v>11125</v>
      </c>
      <c r="D2454" s="116">
        <v>2</v>
      </c>
      <c r="E2454" s="122" t="s">
        <v>27</v>
      </c>
      <c r="F2454" s="119" t="s">
        <v>63</v>
      </c>
      <c r="G2454" s="27">
        <v>42018</v>
      </c>
      <c r="H2454" s="26" t="s">
        <v>11126</v>
      </c>
      <c r="I2454" s="113" t="s">
        <v>12400</v>
      </c>
      <c r="J2454" s="113" t="s">
        <v>12401</v>
      </c>
    </row>
    <row r="2455" spans="1:10" ht="20" customHeight="1" thickBot="1">
      <c r="A2455" s="28" t="s">
        <v>11129</v>
      </c>
      <c r="B2455" s="28" t="s">
        <v>11129</v>
      </c>
      <c r="C2455" s="28" t="s">
        <v>3232</v>
      </c>
      <c r="D2455" s="117">
        <v>5</v>
      </c>
      <c r="E2455" s="122" t="s">
        <v>27</v>
      </c>
      <c r="F2455" s="120" t="s">
        <v>63</v>
      </c>
      <c r="G2455" s="29">
        <v>42265</v>
      </c>
      <c r="H2455" s="28" t="s">
        <v>11130</v>
      </c>
      <c r="I2455" s="114" t="s">
        <v>12400</v>
      </c>
      <c r="J2455" s="114" t="s">
        <v>12401</v>
      </c>
    </row>
    <row r="2456" spans="1:10" ht="20" customHeight="1" thickBot="1">
      <c r="A2456" s="26" t="s">
        <v>11133</v>
      </c>
      <c r="B2456" s="26" t="s">
        <v>11133</v>
      </c>
      <c r="C2456" s="26" t="s">
        <v>3210</v>
      </c>
      <c r="D2456" s="116">
        <v>1</v>
      </c>
      <c r="E2456" s="122" t="s">
        <v>29</v>
      </c>
      <c r="F2456" s="119" t="s">
        <v>63</v>
      </c>
      <c r="G2456" s="27">
        <v>42017</v>
      </c>
      <c r="H2456" s="26" t="s">
        <v>11134</v>
      </c>
      <c r="I2456" s="113" t="s">
        <v>12400</v>
      </c>
      <c r="J2456" s="113" t="s">
        <v>12401</v>
      </c>
    </row>
    <row r="2457" spans="1:10" ht="20" customHeight="1" thickBot="1">
      <c r="A2457" s="28" t="s">
        <v>11137</v>
      </c>
      <c r="B2457" s="28" t="s">
        <v>11137</v>
      </c>
      <c r="C2457" s="28" t="s">
        <v>11138</v>
      </c>
      <c r="D2457" s="117">
        <v>4</v>
      </c>
      <c r="E2457" s="122" t="s">
        <v>34</v>
      </c>
      <c r="F2457" s="120" t="s">
        <v>57</v>
      </c>
      <c r="G2457" s="29">
        <v>42222</v>
      </c>
      <c r="H2457" s="28" t="s">
        <v>11139</v>
      </c>
      <c r="I2457" s="114" t="s">
        <v>12400</v>
      </c>
      <c r="J2457" s="114" t="s">
        <v>12401</v>
      </c>
    </row>
    <row r="2458" spans="1:10" ht="20" customHeight="1" thickBot="1">
      <c r="A2458" s="26" t="s">
        <v>11142</v>
      </c>
      <c r="B2458" s="26" t="s">
        <v>11142</v>
      </c>
      <c r="C2458" s="26" t="s">
        <v>11143</v>
      </c>
      <c r="D2458" s="116">
        <v>12</v>
      </c>
      <c r="E2458" s="122" t="s">
        <v>29</v>
      </c>
      <c r="F2458" s="119" t="s">
        <v>63</v>
      </c>
      <c r="G2458" s="27">
        <v>41567</v>
      </c>
      <c r="H2458" s="26" t="s">
        <v>11144</v>
      </c>
      <c r="I2458" s="113" t="s">
        <v>12400</v>
      </c>
      <c r="J2458" s="113" t="s">
        <v>12401</v>
      </c>
    </row>
    <row r="2459" spans="1:10" ht="20" customHeight="1" thickBot="1">
      <c r="A2459" s="28" t="s">
        <v>11147</v>
      </c>
      <c r="B2459" s="28" t="s">
        <v>11147</v>
      </c>
      <c r="C2459" s="28" t="s">
        <v>11148</v>
      </c>
      <c r="D2459" s="117">
        <v>11</v>
      </c>
      <c r="E2459" s="122" t="s">
        <v>35</v>
      </c>
      <c r="F2459" s="120" t="s">
        <v>57</v>
      </c>
      <c r="G2459" s="29">
        <v>44631</v>
      </c>
      <c r="H2459" s="28" t="s">
        <v>11149</v>
      </c>
      <c r="I2459" s="114" t="s">
        <v>12400</v>
      </c>
      <c r="J2459" s="114" t="s">
        <v>12401</v>
      </c>
    </row>
    <row r="2460" spans="1:10" ht="20" customHeight="1" thickBot="1">
      <c r="A2460" s="26" t="s">
        <v>11152</v>
      </c>
      <c r="B2460" s="26" t="s">
        <v>11152</v>
      </c>
      <c r="C2460" s="26" t="s">
        <v>1794</v>
      </c>
      <c r="D2460" s="116">
        <v>19</v>
      </c>
      <c r="E2460" s="122" t="s">
        <v>34</v>
      </c>
      <c r="F2460" s="119" t="s">
        <v>57</v>
      </c>
      <c r="G2460" s="27">
        <v>44480</v>
      </c>
      <c r="H2460" s="26" t="s">
        <v>11153</v>
      </c>
      <c r="I2460" s="113" t="s">
        <v>12400</v>
      </c>
      <c r="J2460" s="113" t="s">
        <v>12401</v>
      </c>
    </row>
    <row r="2461" spans="1:10" ht="20" customHeight="1" thickBot="1">
      <c r="A2461" s="28" t="s">
        <v>11156</v>
      </c>
      <c r="B2461" s="28" t="s">
        <v>11156</v>
      </c>
      <c r="C2461" s="28" t="s">
        <v>11157</v>
      </c>
      <c r="D2461" s="117">
        <v>96</v>
      </c>
      <c r="E2461" s="122" t="s">
        <v>35</v>
      </c>
      <c r="F2461" s="120" t="s">
        <v>63</v>
      </c>
      <c r="G2461" s="29">
        <v>41582</v>
      </c>
      <c r="H2461" s="28" t="s">
        <v>11158</v>
      </c>
      <c r="I2461" s="114" t="s">
        <v>12400</v>
      </c>
      <c r="J2461" s="114" t="s">
        <v>12401</v>
      </c>
    </row>
    <row r="2462" spans="1:10" ht="20" customHeight="1" thickBot="1">
      <c r="A2462" s="26" t="s">
        <v>11161</v>
      </c>
      <c r="B2462" s="26" t="s">
        <v>11161</v>
      </c>
      <c r="C2462" s="26" t="s">
        <v>2147</v>
      </c>
      <c r="D2462" s="116">
        <v>9</v>
      </c>
      <c r="E2462" s="122" t="s">
        <v>31</v>
      </c>
      <c r="F2462" s="119" t="s">
        <v>63</v>
      </c>
      <c r="G2462" s="27">
        <v>42040</v>
      </c>
      <c r="H2462" s="26" t="s">
        <v>11162</v>
      </c>
      <c r="I2462" s="113" t="s">
        <v>12400</v>
      </c>
      <c r="J2462" s="113" t="s">
        <v>12401</v>
      </c>
    </row>
    <row r="2463" spans="1:10" ht="20" customHeight="1" thickBot="1">
      <c r="A2463" s="28" t="s">
        <v>11165</v>
      </c>
      <c r="B2463" s="28" t="s">
        <v>11165</v>
      </c>
      <c r="C2463" s="28" t="s">
        <v>5191</v>
      </c>
      <c r="D2463" s="117">
        <v>1</v>
      </c>
      <c r="E2463" s="122" t="s">
        <v>31</v>
      </c>
      <c r="F2463" s="120" t="s">
        <v>63</v>
      </c>
      <c r="G2463" s="29">
        <v>42155</v>
      </c>
      <c r="H2463" s="28" t="s">
        <v>11166</v>
      </c>
      <c r="I2463" s="114" t="s">
        <v>12400</v>
      </c>
      <c r="J2463" s="114" t="s">
        <v>12401</v>
      </c>
    </row>
    <row r="2464" spans="1:10" ht="20" customHeight="1" thickBot="1">
      <c r="A2464" s="26" t="s">
        <v>11169</v>
      </c>
      <c r="B2464" s="26" t="s">
        <v>11169</v>
      </c>
      <c r="C2464" s="26" t="s">
        <v>3478</v>
      </c>
      <c r="D2464" s="116">
        <v>15</v>
      </c>
      <c r="E2464" s="122" t="s">
        <v>31</v>
      </c>
      <c r="F2464" s="119" t="s">
        <v>63</v>
      </c>
      <c r="G2464" s="27">
        <v>45407</v>
      </c>
      <c r="H2464" s="26" t="s">
        <v>11170</v>
      </c>
      <c r="I2464" s="113" t="s">
        <v>12400</v>
      </c>
      <c r="J2464" s="113" t="s">
        <v>12401</v>
      </c>
    </row>
    <row r="2465" spans="1:10" ht="20" customHeight="1" thickBot="1">
      <c r="A2465" s="28" t="s">
        <v>11173</v>
      </c>
      <c r="B2465" s="28" t="s">
        <v>11173</v>
      </c>
      <c r="C2465" s="28" t="s">
        <v>1530</v>
      </c>
      <c r="D2465" s="117">
        <v>1</v>
      </c>
      <c r="E2465" s="122" t="s">
        <v>35</v>
      </c>
      <c r="F2465" s="120" t="s">
        <v>89</v>
      </c>
      <c r="G2465" s="29">
        <v>42939</v>
      </c>
      <c r="H2465" s="28" t="s">
        <v>11174</v>
      </c>
      <c r="I2465" s="114" t="s">
        <v>12400</v>
      </c>
      <c r="J2465" s="114" t="s">
        <v>12401</v>
      </c>
    </row>
    <row r="2466" spans="1:10" ht="20" customHeight="1" thickBot="1">
      <c r="A2466" s="26" t="s">
        <v>11177</v>
      </c>
      <c r="B2466" s="26" t="s">
        <v>11177</v>
      </c>
      <c r="C2466" s="26" t="s">
        <v>11178</v>
      </c>
      <c r="D2466" s="116">
        <v>1</v>
      </c>
      <c r="E2466" s="122" t="s">
        <v>35</v>
      </c>
      <c r="F2466" s="119" t="s">
        <v>89</v>
      </c>
      <c r="G2466" s="27">
        <v>45209</v>
      </c>
      <c r="H2466" s="26" t="s">
        <v>11179</v>
      </c>
      <c r="I2466" s="113" t="s">
        <v>12400</v>
      </c>
      <c r="J2466" s="113" t="s">
        <v>12401</v>
      </c>
    </row>
    <row r="2467" spans="1:10" ht="20" customHeight="1" thickBot="1">
      <c r="A2467" s="28" t="s">
        <v>11182</v>
      </c>
      <c r="B2467" s="28" t="s">
        <v>11182</v>
      </c>
      <c r="C2467" s="28" t="s">
        <v>11183</v>
      </c>
      <c r="D2467" s="117">
        <v>17</v>
      </c>
      <c r="E2467" s="122" t="s">
        <v>27</v>
      </c>
      <c r="F2467" s="120" t="s">
        <v>63</v>
      </c>
      <c r="G2467" s="29">
        <v>42256</v>
      </c>
      <c r="H2467" s="28" t="s">
        <v>11184</v>
      </c>
      <c r="I2467" s="114" t="s">
        <v>12400</v>
      </c>
      <c r="J2467" s="114" t="s">
        <v>12401</v>
      </c>
    </row>
    <row r="2468" spans="1:10" ht="20" customHeight="1" thickBot="1">
      <c r="A2468" s="26" t="s">
        <v>11187</v>
      </c>
      <c r="B2468" s="26" t="s">
        <v>11187</v>
      </c>
      <c r="C2468" s="26" t="s">
        <v>10838</v>
      </c>
      <c r="D2468" s="116">
        <v>5</v>
      </c>
      <c r="E2468" s="122" t="s">
        <v>36</v>
      </c>
      <c r="F2468" s="119" t="s">
        <v>57</v>
      </c>
      <c r="G2468" s="27">
        <v>45127</v>
      </c>
      <c r="H2468" s="26" t="s">
        <v>11188</v>
      </c>
      <c r="I2468" s="113" t="s">
        <v>12400</v>
      </c>
      <c r="J2468" s="113" t="s">
        <v>12401</v>
      </c>
    </row>
    <row r="2469" spans="1:10" ht="20" customHeight="1" thickBot="1">
      <c r="A2469" s="28" t="s">
        <v>11191</v>
      </c>
      <c r="B2469" s="28" t="s">
        <v>11191</v>
      </c>
      <c r="C2469" s="28" t="s">
        <v>2465</v>
      </c>
      <c r="D2469" s="117">
        <v>22</v>
      </c>
      <c r="E2469" s="122" t="s">
        <v>34</v>
      </c>
      <c r="F2469" s="120" t="s">
        <v>57</v>
      </c>
      <c r="G2469" s="29">
        <v>44384</v>
      </c>
      <c r="H2469" s="28" t="s">
        <v>11192</v>
      </c>
      <c r="I2469" s="114" t="s">
        <v>12400</v>
      </c>
      <c r="J2469" s="114" t="s">
        <v>12401</v>
      </c>
    </row>
    <row r="2470" spans="1:10" ht="20" customHeight="1" thickBot="1">
      <c r="A2470" s="26" t="s">
        <v>11195</v>
      </c>
      <c r="B2470" s="26" t="s">
        <v>11195</v>
      </c>
      <c r="C2470" s="26" t="s">
        <v>11196</v>
      </c>
      <c r="D2470" s="116">
        <v>8</v>
      </c>
      <c r="E2470" s="122" t="s">
        <v>34</v>
      </c>
      <c r="F2470" s="119" t="s">
        <v>57</v>
      </c>
      <c r="G2470" s="27">
        <v>46194</v>
      </c>
      <c r="H2470" s="26" t="s">
        <v>11197</v>
      </c>
      <c r="I2470" s="113" t="s">
        <v>12400</v>
      </c>
      <c r="J2470" s="113" t="s">
        <v>12401</v>
      </c>
    </row>
    <row r="2471" spans="1:10" ht="20" customHeight="1" thickBot="1">
      <c r="A2471" s="28" t="s">
        <v>11200</v>
      </c>
      <c r="B2471" s="28" t="s">
        <v>11200</v>
      </c>
      <c r="C2471" s="28" t="s">
        <v>11201</v>
      </c>
      <c r="D2471" s="117">
        <v>24</v>
      </c>
      <c r="E2471" s="122" t="s">
        <v>29</v>
      </c>
      <c r="F2471" s="120" t="s">
        <v>63</v>
      </c>
      <c r="G2471" s="29">
        <v>44152</v>
      </c>
      <c r="H2471" s="28" t="s">
        <v>11202</v>
      </c>
      <c r="I2471" s="114" t="s">
        <v>12400</v>
      </c>
      <c r="J2471" s="114" t="s">
        <v>12401</v>
      </c>
    </row>
    <row r="2472" spans="1:10" ht="20" customHeight="1" thickBot="1">
      <c r="A2472" s="26" t="s">
        <v>11205</v>
      </c>
      <c r="B2472" s="26" t="s">
        <v>11205</v>
      </c>
      <c r="C2472" s="26" t="s">
        <v>11206</v>
      </c>
      <c r="D2472" s="116">
        <v>7</v>
      </c>
      <c r="E2472" s="122" t="s">
        <v>29</v>
      </c>
      <c r="F2472" s="119" t="s">
        <v>63</v>
      </c>
      <c r="G2472" s="27">
        <v>41451</v>
      </c>
      <c r="H2472" s="26" t="s">
        <v>11207</v>
      </c>
      <c r="I2472" s="113" t="s">
        <v>12400</v>
      </c>
      <c r="J2472" s="113" t="s">
        <v>12401</v>
      </c>
    </row>
    <row r="2473" spans="1:10" ht="20" customHeight="1" thickBot="1">
      <c r="A2473" s="28" t="s">
        <v>11210</v>
      </c>
      <c r="B2473" s="28" t="s">
        <v>11210</v>
      </c>
      <c r="C2473" s="28" t="s">
        <v>243</v>
      </c>
      <c r="D2473" s="117">
        <v>34</v>
      </c>
      <c r="E2473" s="122" t="s">
        <v>31</v>
      </c>
      <c r="F2473" s="120" t="s">
        <v>63</v>
      </c>
      <c r="G2473" s="29">
        <v>44868</v>
      </c>
      <c r="H2473" s="28" t="s">
        <v>11211</v>
      </c>
      <c r="I2473" s="114" t="s">
        <v>12400</v>
      </c>
      <c r="J2473" s="114" t="s">
        <v>12401</v>
      </c>
    </row>
    <row r="2474" spans="1:10" ht="20" customHeight="1" thickBot="1">
      <c r="A2474" s="26" t="s">
        <v>11214</v>
      </c>
      <c r="B2474" s="26" t="s">
        <v>11214</v>
      </c>
      <c r="C2474" s="26" t="s">
        <v>11215</v>
      </c>
      <c r="D2474" s="116">
        <v>62</v>
      </c>
      <c r="E2474" s="122" t="s">
        <v>29</v>
      </c>
      <c r="F2474" s="119" t="s">
        <v>63</v>
      </c>
      <c r="G2474" s="27">
        <v>42300</v>
      </c>
      <c r="H2474" s="26" t="s">
        <v>11216</v>
      </c>
      <c r="I2474" s="113" t="s">
        <v>12400</v>
      </c>
      <c r="J2474" s="113" t="s">
        <v>12401</v>
      </c>
    </row>
    <row r="2475" spans="1:10" ht="20" customHeight="1" thickBot="1">
      <c r="A2475" s="28" t="s">
        <v>11219</v>
      </c>
      <c r="B2475" s="28" t="s">
        <v>11219</v>
      </c>
      <c r="C2475" s="28" t="s">
        <v>1570</v>
      </c>
      <c r="D2475" s="117">
        <v>15</v>
      </c>
      <c r="E2475" s="122" t="s">
        <v>35</v>
      </c>
      <c r="F2475" s="120" t="s">
        <v>57</v>
      </c>
      <c r="G2475" s="29">
        <v>44302</v>
      </c>
      <c r="H2475" s="28" t="s">
        <v>11220</v>
      </c>
      <c r="I2475" s="114" t="s">
        <v>12400</v>
      </c>
      <c r="J2475" s="114" t="s">
        <v>12401</v>
      </c>
    </row>
    <row r="2476" spans="1:10" ht="20" customHeight="1" thickBot="1">
      <c r="A2476" s="26" t="s">
        <v>11223</v>
      </c>
      <c r="B2476" s="26" t="s">
        <v>11223</v>
      </c>
      <c r="C2476" s="26" t="s">
        <v>1570</v>
      </c>
      <c r="D2476" s="116">
        <v>10</v>
      </c>
      <c r="E2476" s="122" t="s">
        <v>35</v>
      </c>
      <c r="F2476" s="119" t="s">
        <v>57</v>
      </c>
      <c r="G2476" s="27">
        <v>44656</v>
      </c>
      <c r="H2476" s="26" t="s">
        <v>11224</v>
      </c>
      <c r="I2476" s="113" t="s">
        <v>12400</v>
      </c>
      <c r="J2476" s="113" t="s">
        <v>12401</v>
      </c>
    </row>
    <row r="2477" spans="1:10" ht="20" customHeight="1" thickBot="1">
      <c r="A2477" s="28" t="s">
        <v>11227</v>
      </c>
      <c r="B2477" s="28" t="s">
        <v>11227</v>
      </c>
      <c r="C2477" s="28" t="s">
        <v>11228</v>
      </c>
      <c r="D2477" s="117">
        <v>13</v>
      </c>
      <c r="E2477" s="122" t="s">
        <v>29</v>
      </c>
      <c r="F2477" s="120" t="s">
        <v>63</v>
      </c>
      <c r="G2477" s="29">
        <v>42209</v>
      </c>
      <c r="H2477" s="28" t="s">
        <v>11229</v>
      </c>
      <c r="I2477" s="114" t="s">
        <v>12400</v>
      </c>
      <c r="J2477" s="114" t="s">
        <v>12401</v>
      </c>
    </row>
    <row r="2478" spans="1:10" ht="20" customHeight="1" thickBot="1">
      <c r="A2478" s="26" t="s">
        <v>11232</v>
      </c>
      <c r="B2478" s="26" t="s">
        <v>11232</v>
      </c>
      <c r="C2478" s="26" t="s">
        <v>646</v>
      </c>
      <c r="D2478" s="116">
        <v>22</v>
      </c>
      <c r="E2478" s="122" t="s">
        <v>34</v>
      </c>
      <c r="F2478" s="119" t="s">
        <v>57</v>
      </c>
      <c r="G2478" s="27">
        <v>44962</v>
      </c>
      <c r="H2478" s="26" t="s">
        <v>11233</v>
      </c>
      <c r="I2478" s="113" t="s">
        <v>12400</v>
      </c>
      <c r="J2478" s="113" t="s">
        <v>12401</v>
      </c>
    </row>
    <row r="2479" spans="1:10" ht="20" customHeight="1" thickBot="1">
      <c r="A2479" s="28" t="s">
        <v>11236</v>
      </c>
      <c r="B2479" s="28" t="s">
        <v>11236</v>
      </c>
      <c r="C2479" s="28" t="s">
        <v>11237</v>
      </c>
      <c r="D2479" s="117">
        <v>7</v>
      </c>
      <c r="E2479" s="122" t="s">
        <v>27</v>
      </c>
      <c r="F2479" s="120" t="s">
        <v>63</v>
      </c>
      <c r="G2479" s="29">
        <v>42279</v>
      </c>
      <c r="H2479" s="28" t="s">
        <v>11238</v>
      </c>
      <c r="I2479" s="114" t="s">
        <v>12400</v>
      </c>
      <c r="J2479" s="114" t="s">
        <v>12401</v>
      </c>
    </row>
    <row r="2480" spans="1:10" ht="20" customHeight="1" thickBot="1">
      <c r="A2480" s="26" t="s">
        <v>11241</v>
      </c>
      <c r="B2480" s="26" t="s">
        <v>11241</v>
      </c>
      <c r="C2480" s="26" t="s">
        <v>11242</v>
      </c>
      <c r="D2480" s="116">
        <v>96</v>
      </c>
      <c r="E2480" s="122" t="s">
        <v>31</v>
      </c>
      <c r="F2480" s="119" t="s">
        <v>63</v>
      </c>
      <c r="G2480" s="27">
        <v>42339</v>
      </c>
      <c r="H2480" s="26" t="s">
        <v>11243</v>
      </c>
      <c r="I2480" s="113" t="s">
        <v>12400</v>
      </c>
      <c r="J2480" s="113" t="s">
        <v>12401</v>
      </c>
    </row>
    <row r="2481" spans="1:10" ht="20" customHeight="1" thickBot="1">
      <c r="A2481" s="28" t="s">
        <v>11246</v>
      </c>
      <c r="B2481" s="28" t="s">
        <v>11246</v>
      </c>
      <c r="C2481" s="28" t="s">
        <v>7034</v>
      </c>
      <c r="D2481" s="117">
        <v>14</v>
      </c>
      <c r="E2481" s="122" t="s">
        <v>29</v>
      </c>
      <c r="F2481" s="120" t="s">
        <v>63</v>
      </c>
      <c r="G2481" s="29">
        <v>42207</v>
      </c>
      <c r="H2481" s="28" t="s">
        <v>11247</v>
      </c>
      <c r="I2481" s="114" t="s">
        <v>12400</v>
      </c>
      <c r="J2481" s="114" t="s">
        <v>12401</v>
      </c>
    </row>
    <row r="2482" spans="1:10" ht="20" customHeight="1" thickBot="1">
      <c r="A2482" s="26" t="s">
        <v>11250</v>
      </c>
      <c r="B2482" s="26" t="s">
        <v>11250</v>
      </c>
      <c r="C2482" s="26" t="s">
        <v>2354</v>
      </c>
      <c r="D2482" s="116">
        <v>15</v>
      </c>
      <c r="E2482" s="122" t="s">
        <v>34</v>
      </c>
      <c r="F2482" s="119" t="s">
        <v>57</v>
      </c>
      <c r="G2482" s="27">
        <v>44113</v>
      </c>
      <c r="H2482" s="26" t="s">
        <v>11251</v>
      </c>
      <c r="I2482" s="113" t="s">
        <v>12400</v>
      </c>
      <c r="J2482" s="113" t="s">
        <v>12401</v>
      </c>
    </row>
    <row r="2483" spans="1:10" ht="20" customHeight="1" thickBot="1">
      <c r="A2483" s="28" t="s">
        <v>11254</v>
      </c>
      <c r="B2483" s="28" t="s">
        <v>11254</v>
      </c>
      <c r="C2483" s="28" t="s">
        <v>2354</v>
      </c>
      <c r="D2483" s="117">
        <v>20</v>
      </c>
      <c r="E2483" s="122" t="s">
        <v>35</v>
      </c>
      <c r="F2483" s="120" t="s">
        <v>57</v>
      </c>
      <c r="G2483" s="29">
        <v>44600</v>
      </c>
      <c r="H2483" s="28" t="s">
        <v>11255</v>
      </c>
      <c r="I2483" s="114" t="s">
        <v>12400</v>
      </c>
      <c r="J2483" s="114" t="s">
        <v>12401</v>
      </c>
    </row>
    <row r="2484" spans="1:10" ht="20" customHeight="1" thickBot="1">
      <c r="A2484" s="26" t="s">
        <v>11258</v>
      </c>
      <c r="B2484" s="26" t="s">
        <v>11258</v>
      </c>
      <c r="C2484" s="26" t="s">
        <v>11259</v>
      </c>
      <c r="D2484" s="116">
        <v>1</v>
      </c>
      <c r="E2484" s="122" t="s">
        <v>29</v>
      </c>
      <c r="F2484" s="119" t="s">
        <v>63</v>
      </c>
      <c r="G2484" s="27">
        <v>45320</v>
      </c>
      <c r="H2484" s="26" t="s">
        <v>11260</v>
      </c>
      <c r="I2484" s="113" t="s">
        <v>12400</v>
      </c>
      <c r="J2484" s="113" t="s">
        <v>12401</v>
      </c>
    </row>
    <row r="2485" spans="1:10" ht="20" customHeight="1" thickBot="1">
      <c r="A2485" s="28" t="s">
        <v>11263</v>
      </c>
      <c r="B2485" s="28" t="s">
        <v>11263</v>
      </c>
      <c r="C2485" s="28" t="s">
        <v>11264</v>
      </c>
      <c r="D2485" s="117">
        <v>7</v>
      </c>
      <c r="E2485" s="122" t="s">
        <v>31</v>
      </c>
      <c r="F2485" s="120" t="s">
        <v>63</v>
      </c>
      <c r="G2485" s="29">
        <v>42231</v>
      </c>
      <c r="H2485" s="28" t="s">
        <v>11265</v>
      </c>
      <c r="I2485" s="114" t="s">
        <v>12400</v>
      </c>
      <c r="J2485" s="114" t="s">
        <v>12401</v>
      </c>
    </row>
    <row r="2486" spans="1:10" ht="20" customHeight="1" thickBot="1">
      <c r="A2486" s="26" t="s">
        <v>11268</v>
      </c>
      <c r="B2486" s="26" t="s">
        <v>11268</v>
      </c>
      <c r="C2486" s="26" t="s">
        <v>11269</v>
      </c>
      <c r="D2486" s="116">
        <v>12</v>
      </c>
      <c r="E2486" s="122" t="s">
        <v>34</v>
      </c>
      <c r="F2486" s="119" t="s">
        <v>57</v>
      </c>
      <c r="G2486" s="27">
        <v>43444</v>
      </c>
      <c r="H2486" s="26" t="s">
        <v>11270</v>
      </c>
      <c r="I2486" s="113" t="s">
        <v>12400</v>
      </c>
      <c r="J2486" s="113" t="s">
        <v>12401</v>
      </c>
    </row>
    <row r="2487" spans="1:10" ht="20" customHeight="1" thickBot="1">
      <c r="A2487" s="28" t="s">
        <v>11273</v>
      </c>
      <c r="B2487" s="28" t="s">
        <v>11273</v>
      </c>
      <c r="C2487" s="28" t="s">
        <v>1345</v>
      </c>
      <c r="D2487" s="117">
        <v>11</v>
      </c>
      <c r="E2487" s="122" t="s">
        <v>35</v>
      </c>
      <c r="F2487" s="120" t="s">
        <v>57</v>
      </c>
      <c r="G2487" s="29">
        <v>43260</v>
      </c>
      <c r="H2487" s="28" t="s">
        <v>11274</v>
      </c>
      <c r="I2487" s="114" t="s">
        <v>12400</v>
      </c>
      <c r="J2487" s="114" t="s">
        <v>12401</v>
      </c>
    </row>
    <row r="2488" spans="1:10" ht="20" customHeight="1" thickBot="1">
      <c r="A2488" s="26" t="s">
        <v>11277</v>
      </c>
      <c r="B2488" s="26" t="s">
        <v>11277</v>
      </c>
      <c r="C2488" s="26" t="s">
        <v>1598</v>
      </c>
      <c r="D2488" s="116">
        <v>96</v>
      </c>
      <c r="E2488" s="122" t="s">
        <v>34</v>
      </c>
      <c r="F2488" s="119" t="s">
        <v>63</v>
      </c>
      <c r="G2488" s="27">
        <v>41455</v>
      </c>
      <c r="H2488" s="26" t="s">
        <v>11278</v>
      </c>
      <c r="I2488" s="113" t="s">
        <v>12400</v>
      </c>
      <c r="J2488" s="113" t="s">
        <v>12401</v>
      </c>
    </row>
    <row r="2489" spans="1:10" ht="20" customHeight="1" thickBot="1">
      <c r="A2489" s="28" t="s">
        <v>11281</v>
      </c>
      <c r="B2489" s="28" t="s">
        <v>11281</v>
      </c>
      <c r="C2489" s="28" t="s">
        <v>1598</v>
      </c>
      <c r="D2489" s="117">
        <v>112</v>
      </c>
      <c r="E2489" s="122" t="s">
        <v>33</v>
      </c>
      <c r="F2489" s="120" t="s">
        <v>63</v>
      </c>
      <c r="G2489" s="29">
        <v>41967</v>
      </c>
      <c r="H2489" s="28" t="s">
        <v>11282</v>
      </c>
      <c r="I2489" s="114" t="s">
        <v>12400</v>
      </c>
      <c r="J2489" s="114" t="s">
        <v>12401</v>
      </c>
    </row>
    <row r="2490" spans="1:10" ht="20" customHeight="1" thickBot="1">
      <c r="A2490" s="26" t="s">
        <v>11285</v>
      </c>
      <c r="B2490" s="26" t="s">
        <v>11285</v>
      </c>
      <c r="C2490" s="26" t="s">
        <v>1598</v>
      </c>
      <c r="D2490" s="116">
        <v>109</v>
      </c>
      <c r="E2490" s="122" t="s">
        <v>33</v>
      </c>
      <c r="F2490" s="119" t="s">
        <v>63</v>
      </c>
      <c r="G2490" s="27">
        <v>41455</v>
      </c>
      <c r="H2490" s="26" t="s">
        <v>11286</v>
      </c>
      <c r="I2490" s="113" t="s">
        <v>12400</v>
      </c>
      <c r="J2490" s="113" t="s">
        <v>12401</v>
      </c>
    </row>
    <row r="2491" spans="1:10" ht="20" customHeight="1" thickBot="1">
      <c r="A2491" s="28" t="s">
        <v>11289</v>
      </c>
      <c r="B2491" s="28" t="s">
        <v>11289</v>
      </c>
      <c r="C2491" s="28" t="s">
        <v>1598</v>
      </c>
      <c r="D2491" s="117">
        <v>117</v>
      </c>
      <c r="E2491" s="122" t="s">
        <v>33</v>
      </c>
      <c r="F2491" s="120" t="s">
        <v>63</v>
      </c>
      <c r="G2491" s="29">
        <v>43071</v>
      </c>
      <c r="H2491" s="28" t="s">
        <v>11290</v>
      </c>
      <c r="I2491" s="114" t="s">
        <v>12400</v>
      </c>
      <c r="J2491" s="114" t="s">
        <v>12401</v>
      </c>
    </row>
    <row r="2492" spans="1:10" ht="20" customHeight="1" thickBot="1">
      <c r="A2492" s="26" t="s">
        <v>11293</v>
      </c>
      <c r="B2492" s="26" t="s">
        <v>11293</v>
      </c>
      <c r="C2492" s="26" t="s">
        <v>9251</v>
      </c>
      <c r="D2492" s="116">
        <v>10</v>
      </c>
      <c r="E2492" s="122" t="s">
        <v>29</v>
      </c>
      <c r="F2492" s="119" t="s">
        <v>63</v>
      </c>
      <c r="G2492" s="27">
        <v>44084</v>
      </c>
      <c r="H2492" s="26" t="s">
        <v>11294</v>
      </c>
      <c r="I2492" s="113" t="s">
        <v>12400</v>
      </c>
      <c r="J2492" s="113" t="s">
        <v>12401</v>
      </c>
    </row>
    <row r="2493" spans="1:10" ht="20" customHeight="1" thickBot="1">
      <c r="A2493" s="28" t="s">
        <v>11297</v>
      </c>
      <c r="B2493" s="28" t="s">
        <v>11297</v>
      </c>
      <c r="C2493" s="28" t="s">
        <v>11298</v>
      </c>
      <c r="D2493" s="117">
        <v>11</v>
      </c>
      <c r="E2493" s="122" t="s">
        <v>27</v>
      </c>
      <c r="F2493" s="120" t="s">
        <v>63</v>
      </c>
      <c r="G2493" s="29">
        <v>42241</v>
      </c>
      <c r="H2493" s="28" t="s">
        <v>11299</v>
      </c>
      <c r="I2493" s="114" t="s">
        <v>12400</v>
      </c>
      <c r="J2493" s="114" t="s">
        <v>12401</v>
      </c>
    </row>
    <row r="2494" spans="1:10" ht="20" customHeight="1" thickBot="1">
      <c r="A2494" s="26" t="s">
        <v>11302</v>
      </c>
      <c r="B2494" s="26" t="s">
        <v>11302</v>
      </c>
      <c r="C2494" s="26" t="s">
        <v>11303</v>
      </c>
      <c r="D2494" s="116">
        <v>85</v>
      </c>
      <c r="E2494" s="122" t="s">
        <v>31</v>
      </c>
      <c r="F2494" s="119" t="s">
        <v>63</v>
      </c>
      <c r="G2494" s="27">
        <v>41657</v>
      </c>
      <c r="H2494" s="26" t="s">
        <v>11304</v>
      </c>
      <c r="I2494" s="113" t="s">
        <v>12400</v>
      </c>
      <c r="J2494" s="113" t="s">
        <v>12401</v>
      </c>
    </row>
    <row r="2495" spans="1:10" ht="20" customHeight="1" thickBot="1">
      <c r="A2495" s="28" t="s">
        <v>11307</v>
      </c>
      <c r="B2495" s="28" t="s">
        <v>11307</v>
      </c>
      <c r="C2495" s="28" t="s">
        <v>4478</v>
      </c>
      <c r="D2495" s="117">
        <v>7</v>
      </c>
      <c r="E2495" s="122" t="s">
        <v>27</v>
      </c>
      <c r="F2495" s="120" t="s">
        <v>63</v>
      </c>
      <c r="G2495" s="29">
        <v>42211</v>
      </c>
      <c r="H2495" s="28" t="s">
        <v>11308</v>
      </c>
      <c r="I2495" s="114" t="s">
        <v>12400</v>
      </c>
      <c r="J2495" s="114" t="s">
        <v>12401</v>
      </c>
    </row>
    <row r="2496" spans="1:10" ht="20" customHeight="1" thickBot="1">
      <c r="A2496" s="26" t="s">
        <v>11311</v>
      </c>
      <c r="B2496" s="26" t="s">
        <v>11311</v>
      </c>
      <c r="C2496" s="26" t="s">
        <v>4478</v>
      </c>
      <c r="D2496" s="116">
        <v>10</v>
      </c>
      <c r="E2496" s="122" t="s">
        <v>29</v>
      </c>
      <c r="F2496" s="119" t="s">
        <v>63</v>
      </c>
      <c r="G2496" s="27">
        <v>42546</v>
      </c>
      <c r="H2496" s="26" t="s">
        <v>11312</v>
      </c>
      <c r="I2496" s="113" t="s">
        <v>12400</v>
      </c>
      <c r="J2496" s="113" t="s">
        <v>12401</v>
      </c>
    </row>
    <row r="2497" spans="1:10" ht="20" customHeight="1" thickBot="1">
      <c r="A2497" s="28" t="s">
        <v>11315</v>
      </c>
      <c r="B2497" s="28" t="s">
        <v>11315</v>
      </c>
      <c r="C2497" s="28" t="s">
        <v>6618</v>
      </c>
      <c r="D2497" s="117">
        <v>10</v>
      </c>
      <c r="E2497" s="122" t="s">
        <v>27</v>
      </c>
      <c r="F2497" s="120" t="s">
        <v>63</v>
      </c>
      <c r="G2497" s="29">
        <v>41447</v>
      </c>
      <c r="H2497" s="28" t="s">
        <v>11316</v>
      </c>
      <c r="I2497" s="114" t="s">
        <v>12400</v>
      </c>
      <c r="J2497" s="114" t="s">
        <v>12401</v>
      </c>
    </row>
    <row r="2498" spans="1:10" ht="20" customHeight="1" thickBot="1">
      <c r="A2498" s="26" t="s">
        <v>11319</v>
      </c>
      <c r="B2498" s="26" t="s">
        <v>11319</v>
      </c>
      <c r="C2498" s="26" t="s">
        <v>11320</v>
      </c>
      <c r="D2498" s="116">
        <v>18</v>
      </c>
      <c r="E2498" s="122" t="s">
        <v>27</v>
      </c>
      <c r="F2498" s="119" t="s">
        <v>63</v>
      </c>
      <c r="G2498" s="27">
        <v>42312</v>
      </c>
      <c r="H2498" s="26" t="s">
        <v>11321</v>
      </c>
      <c r="I2498" s="113" t="s">
        <v>12400</v>
      </c>
      <c r="J2498" s="113" t="s">
        <v>12401</v>
      </c>
    </row>
    <row r="2499" spans="1:10" ht="20" customHeight="1" thickBot="1">
      <c r="A2499" s="28" t="s">
        <v>11324</v>
      </c>
      <c r="B2499" s="28" t="s">
        <v>11324</v>
      </c>
      <c r="C2499" s="28" t="s">
        <v>1434</v>
      </c>
      <c r="D2499" s="117">
        <v>8</v>
      </c>
      <c r="E2499" s="122" t="s">
        <v>33</v>
      </c>
      <c r="F2499" s="120" t="s">
        <v>57</v>
      </c>
      <c r="G2499" s="29">
        <v>45585</v>
      </c>
      <c r="H2499" s="28" t="s">
        <v>11325</v>
      </c>
      <c r="I2499" s="114" t="s">
        <v>12400</v>
      </c>
      <c r="J2499" s="114" t="s">
        <v>12401</v>
      </c>
    </row>
    <row r="2500" spans="1:10" ht="20" customHeight="1" thickBot="1">
      <c r="A2500" s="26" t="s">
        <v>11328</v>
      </c>
      <c r="B2500" s="26" t="s">
        <v>11328</v>
      </c>
      <c r="C2500" s="26" t="s">
        <v>11329</v>
      </c>
      <c r="D2500" s="116">
        <v>4</v>
      </c>
      <c r="E2500" s="122" t="s">
        <v>27</v>
      </c>
      <c r="F2500" s="119" t="s">
        <v>63</v>
      </c>
      <c r="G2500" s="27">
        <v>42209</v>
      </c>
      <c r="H2500" s="26" t="s">
        <v>11330</v>
      </c>
      <c r="I2500" s="113" t="s">
        <v>12400</v>
      </c>
      <c r="J2500" s="113" t="s">
        <v>12401</v>
      </c>
    </row>
    <row r="2501" spans="1:10" ht="20" customHeight="1" thickBot="1">
      <c r="A2501" s="28" t="s">
        <v>11333</v>
      </c>
      <c r="B2501" s="28" t="s">
        <v>11333</v>
      </c>
      <c r="C2501" s="28" t="s">
        <v>11334</v>
      </c>
      <c r="D2501" s="117">
        <v>16</v>
      </c>
      <c r="E2501" s="122" t="s">
        <v>31</v>
      </c>
      <c r="F2501" s="120" t="s">
        <v>57</v>
      </c>
      <c r="G2501" s="29">
        <v>44487</v>
      </c>
      <c r="H2501" s="28" t="s">
        <v>11335</v>
      </c>
      <c r="I2501" s="114" t="s">
        <v>12400</v>
      </c>
      <c r="J2501" s="114" t="s">
        <v>12401</v>
      </c>
    </row>
    <row r="2502" spans="1:10" ht="20" customHeight="1" thickBot="1">
      <c r="A2502" s="26" t="s">
        <v>11338</v>
      </c>
      <c r="B2502" s="26" t="s">
        <v>11338</v>
      </c>
      <c r="C2502" s="26" t="s">
        <v>11334</v>
      </c>
      <c r="D2502" s="116">
        <v>12</v>
      </c>
      <c r="E2502" s="122" t="s">
        <v>31</v>
      </c>
      <c r="F2502" s="119" t="s">
        <v>57</v>
      </c>
      <c r="G2502" s="27">
        <v>44797</v>
      </c>
      <c r="H2502" s="26" t="s">
        <v>11339</v>
      </c>
      <c r="I2502" s="113" t="s">
        <v>12400</v>
      </c>
      <c r="J2502" s="113" t="s">
        <v>12401</v>
      </c>
    </row>
    <row r="2503" spans="1:10" ht="20" customHeight="1" thickBot="1">
      <c r="A2503" s="28" t="s">
        <v>11342</v>
      </c>
      <c r="B2503" s="28" t="s">
        <v>11342</v>
      </c>
      <c r="C2503" s="28" t="s">
        <v>11334</v>
      </c>
      <c r="D2503" s="117">
        <v>13</v>
      </c>
      <c r="E2503" s="122" t="s">
        <v>33</v>
      </c>
      <c r="F2503" s="120" t="s">
        <v>57</v>
      </c>
      <c r="G2503" s="29">
        <v>44613</v>
      </c>
      <c r="H2503" s="28" t="s">
        <v>11343</v>
      </c>
      <c r="I2503" s="114" t="s">
        <v>12400</v>
      </c>
      <c r="J2503" s="114" t="s">
        <v>12401</v>
      </c>
    </row>
    <row r="2504" spans="1:10" ht="20" customHeight="1" thickBot="1">
      <c r="A2504" s="26" t="s">
        <v>11346</v>
      </c>
      <c r="B2504" s="26" t="s">
        <v>11346</v>
      </c>
      <c r="C2504" s="26" t="s">
        <v>11347</v>
      </c>
      <c r="D2504" s="116">
        <v>1</v>
      </c>
      <c r="E2504" s="122" t="s">
        <v>34</v>
      </c>
      <c r="F2504" s="119" t="s">
        <v>57</v>
      </c>
      <c r="G2504" s="27">
        <v>45215</v>
      </c>
      <c r="H2504" s="26" t="s">
        <v>11348</v>
      </c>
      <c r="I2504" s="113" t="s">
        <v>12400</v>
      </c>
      <c r="J2504" s="113" t="s">
        <v>12401</v>
      </c>
    </row>
    <row r="2505" spans="1:10" ht="20" customHeight="1" thickBot="1">
      <c r="A2505" s="28" t="s">
        <v>11351</v>
      </c>
      <c r="B2505" s="28" t="s">
        <v>11351</v>
      </c>
      <c r="C2505" s="28" t="s">
        <v>11352</v>
      </c>
      <c r="D2505" s="117">
        <v>38</v>
      </c>
      <c r="E2505" s="122" t="s">
        <v>27</v>
      </c>
      <c r="F2505" s="120" t="s">
        <v>63</v>
      </c>
      <c r="G2505" s="29">
        <v>42972</v>
      </c>
      <c r="H2505" s="28" t="s">
        <v>11353</v>
      </c>
      <c r="I2505" s="114" t="s">
        <v>12400</v>
      </c>
      <c r="J2505" s="114" t="s">
        <v>12401</v>
      </c>
    </row>
    <row r="2506" spans="1:10" ht="20" customHeight="1" thickBot="1">
      <c r="A2506" s="26" t="s">
        <v>11356</v>
      </c>
      <c r="B2506" s="26" t="s">
        <v>11356</v>
      </c>
      <c r="C2506" s="26" t="s">
        <v>11357</v>
      </c>
      <c r="D2506" s="116">
        <v>38</v>
      </c>
      <c r="E2506" s="122" t="s">
        <v>35</v>
      </c>
      <c r="F2506" s="119" t="s">
        <v>57</v>
      </c>
      <c r="G2506" s="27">
        <v>45349</v>
      </c>
      <c r="H2506" s="26" t="s">
        <v>11358</v>
      </c>
      <c r="I2506" s="113" t="s">
        <v>12400</v>
      </c>
      <c r="J2506" s="113" t="s">
        <v>12401</v>
      </c>
    </row>
    <row r="2507" spans="1:10" ht="20" customHeight="1" thickBot="1">
      <c r="A2507" s="28" t="s">
        <v>11361</v>
      </c>
      <c r="B2507" s="28" t="s">
        <v>11361</v>
      </c>
      <c r="C2507" s="28" t="s">
        <v>3289</v>
      </c>
      <c r="D2507" s="117">
        <v>5</v>
      </c>
      <c r="E2507" s="122" t="s">
        <v>29</v>
      </c>
      <c r="F2507" s="120" t="s">
        <v>63</v>
      </c>
      <c r="G2507" s="29">
        <v>42293</v>
      </c>
      <c r="H2507" s="28" t="s">
        <v>11362</v>
      </c>
      <c r="I2507" s="114" t="s">
        <v>12400</v>
      </c>
      <c r="J2507" s="114" t="s">
        <v>12401</v>
      </c>
    </row>
    <row r="2508" spans="1:10" ht="20" customHeight="1" thickBot="1">
      <c r="A2508" s="26" t="s">
        <v>11365</v>
      </c>
      <c r="B2508" s="26" t="s">
        <v>11365</v>
      </c>
      <c r="C2508" s="26" t="s">
        <v>945</v>
      </c>
      <c r="D2508" s="116">
        <v>12</v>
      </c>
      <c r="E2508" s="122" t="s">
        <v>35</v>
      </c>
      <c r="F2508" s="119" t="s">
        <v>57</v>
      </c>
      <c r="G2508" s="27">
        <v>46004</v>
      </c>
      <c r="H2508" s="26" t="s">
        <v>11366</v>
      </c>
      <c r="I2508" s="113" t="s">
        <v>12400</v>
      </c>
      <c r="J2508" s="113" t="s">
        <v>12401</v>
      </c>
    </row>
    <row r="2509" spans="1:10" ht="20" customHeight="1" thickBot="1">
      <c r="A2509" s="28" t="s">
        <v>11369</v>
      </c>
      <c r="B2509" s="28" t="s">
        <v>11369</v>
      </c>
      <c r="C2509" s="28" t="s">
        <v>11370</v>
      </c>
      <c r="D2509" s="117">
        <v>47</v>
      </c>
      <c r="E2509" s="122" t="s">
        <v>29</v>
      </c>
      <c r="F2509" s="120" t="s">
        <v>63</v>
      </c>
      <c r="G2509" s="29">
        <v>42219</v>
      </c>
      <c r="H2509" s="28" t="s">
        <v>11371</v>
      </c>
      <c r="I2509" s="114" t="s">
        <v>12400</v>
      </c>
      <c r="J2509" s="114" t="s">
        <v>12401</v>
      </c>
    </row>
    <row r="2510" spans="1:10" ht="20" customHeight="1" thickBot="1">
      <c r="A2510" s="26" t="s">
        <v>11374</v>
      </c>
      <c r="B2510" s="26" t="s">
        <v>11374</v>
      </c>
      <c r="C2510" s="26" t="s">
        <v>11375</v>
      </c>
      <c r="D2510" s="116">
        <v>6</v>
      </c>
      <c r="E2510" s="122" t="s">
        <v>29</v>
      </c>
      <c r="F2510" s="119" t="s">
        <v>63</v>
      </c>
      <c r="G2510" s="27">
        <v>42288</v>
      </c>
      <c r="H2510" s="26" t="s">
        <v>11376</v>
      </c>
      <c r="I2510" s="113" t="s">
        <v>12400</v>
      </c>
      <c r="J2510" s="113" t="s">
        <v>12401</v>
      </c>
    </row>
    <row r="2511" spans="1:10" ht="20" customHeight="1" thickBot="1">
      <c r="A2511" s="28" t="s">
        <v>11379</v>
      </c>
      <c r="B2511" s="28" t="s">
        <v>11379</v>
      </c>
      <c r="C2511" s="28" t="s">
        <v>11380</v>
      </c>
      <c r="D2511" s="117">
        <v>39</v>
      </c>
      <c r="E2511" s="122" t="s">
        <v>31</v>
      </c>
      <c r="F2511" s="120" t="s">
        <v>63</v>
      </c>
      <c r="G2511" s="29">
        <v>42397</v>
      </c>
      <c r="H2511" s="28" t="s">
        <v>11381</v>
      </c>
      <c r="I2511" s="114" t="s">
        <v>12400</v>
      </c>
      <c r="J2511" s="114" t="s">
        <v>12401</v>
      </c>
    </row>
    <row r="2512" spans="1:10" ht="20" customHeight="1" thickBot="1">
      <c r="A2512" s="26" t="s">
        <v>11384</v>
      </c>
      <c r="B2512" s="26" t="s">
        <v>11384</v>
      </c>
      <c r="C2512" s="26" t="s">
        <v>485</v>
      </c>
      <c r="D2512" s="116">
        <v>7</v>
      </c>
      <c r="E2512" s="122" t="s">
        <v>34</v>
      </c>
      <c r="F2512" s="119" t="s">
        <v>57</v>
      </c>
      <c r="G2512" s="27">
        <v>44683</v>
      </c>
      <c r="H2512" s="26" t="s">
        <v>11385</v>
      </c>
      <c r="I2512" s="113" t="s">
        <v>12400</v>
      </c>
      <c r="J2512" s="113" t="s">
        <v>12401</v>
      </c>
    </row>
    <row r="2513" spans="1:10" ht="20" customHeight="1" thickBot="1">
      <c r="A2513" s="28" t="s">
        <v>11388</v>
      </c>
      <c r="B2513" s="28" t="s">
        <v>11388</v>
      </c>
      <c r="C2513" s="28" t="s">
        <v>11389</v>
      </c>
      <c r="D2513" s="117">
        <v>11</v>
      </c>
      <c r="E2513" s="122" t="s">
        <v>34</v>
      </c>
      <c r="F2513" s="120" t="s">
        <v>57</v>
      </c>
      <c r="G2513" s="29">
        <v>43630</v>
      </c>
      <c r="H2513" s="28" t="s">
        <v>11390</v>
      </c>
      <c r="I2513" s="114" t="s">
        <v>12400</v>
      </c>
      <c r="J2513" s="114" t="s">
        <v>12401</v>
      </c>
    </row>
    <row r="2514" spans="1:10" ht="20" customHeight="1" thickBot="1">
      <c r="A2514" s="26" t="s">
        <v>11393</v>
      </c>
      <c r="B2514" s="26" t="s">
        <v>11393</v>
      </c>
      <c r="C2514" s="26" t="s">
        <v>11394</v>
      </c>
      <c r="D2514" s="116">
        <v>26</v>
      </c>
      <c r="E2514" s="122" t="s">
        <v>34</v>
      </c>
      <c r="F2514" s="119" t="s">
        <v>57</v>
      </c>
      <c r="G2514" s="27">
        <v>44365</v>
      </c>
      <c r="H2514" s="26" t="s">
        <v>11395</v>
      </c>
      <c r="I2514" s="113" t="s">
        <v>12400</v>
      </c>
      <c r="J2514" s="113" t="s">
        <v>12401</v>
      </c>
    </row>
    <row r="2515" spans="1:10" ht="20" customHeight="1" thickBot="1">
      <c r="A2515" s="28" t="s">
        <v>11398</v>
      </c>
      <c r="B2515" s="28" t="s">
        <v>11398</v>
      </c>
      <c r="C2515" s="28" t="s">
        <v>1575</v>
      </c>
      <c r="D2515" s="117">
        <v>42</v>
      </c>
      <c r="E2515" s="122" t="s">
        <v>33</v>
      </c>
      <c r="F2515" s="120" t="s">
        <v>57</v>
      </c>
      <c r="G2515" s="29">
        <v>44617</v>
      </c>
      <c r="H2515" s="28" t="s">
        <v>11399</v>
      </c>
      <c r="I2515" s="114" t="s">
        <v>12400</v>
      </c>
      <c r="J2515" s="114" t="s">
        <v>12401</v>
      </c>
    </row>
    <row r="2516" spans="1:10" ht="20" customHeight="1" thickBot="1">
      <c r="A2516" s="26" t="s">
        <v>11402</v>
      </c>
      <c r="B2516" s="26" t="s">
        <v>11402</v>
      </c>
      <c r="C2516" s="26" t="s">
        <v>11403</v>
      </c>
      <c r="D2516" s="116">
        <v>92</v>
      </c>
      <c r="E2516" s="122" t="s">
        <v>29</v>
      </c>
      <c r="F2516" s="119" t="s">
        <v>63</v>
      </c>
      <c r="G2516" s="27">
        <v>42229</v>
      </c>
      <c r="H2516" s="26" t="s">
        <v>11404</v>
      </c>
      <c r="I2516" s="113" t="s">
        <v>12400</v>
      </c>
      <c r="J2516" s="113" t="s">
        <v>12401</v>
      </c>
    </row>
    <row r="2517" spans="1:10" ht="20" customHeight="1" thickBot="1">
      <c r="A2517" s="28" t="s">
        <v>11407</v>
      </c>
      <c r="B2517" s="28" t="s">
        <v>11407</v>
      </c>
      <c r="C2517" s="28" t="s">
        <v>11403</v>
      </c>
      <c r="D2517" s="117">
        <v>93</v>
      </c>
      <c r="E2517" s="122" t="s">
        <v>29</v>
      </c>
      <c r="F2517" s="120" t="s">
        <v>63</v>
      </c>
      <c r="G2517" s="29">
        <v>41667</v>
      </c>
      <c r="H2517" s="28" t="s">
        <v>11408</v>
      </c>
      <c r="I2517" s="114" t="s">
        <v>12400</v>
      </c>
      <c r="J2517" s="114" t="s">
        <v>12401</v>
      </c>
    </row>
    <row r="2518" spans="1:10" ht="20" customHeight="1" thickBot="1">
      <c r="A2518" s="26" t="s">
        <v>11411</v>
      </c>
      <c r="B2518" s="26" t="s">
        <v>11411</v>
      </c>
      <c r="C2518" s="26" t="s">
        <v>223</v>
      </c>
      <c r="D2518" s="116">
        <v>8</v>
      </c>
      <c r="E2518" s="122" t="s">
        <v>27</v>
      </c>
      <c r="F2518" s="119" t="s">
        <v>63</v>
      </c>
      <c r="G2518" s="27">
        <v>42845</v>
      </c>
      <c r="H2518" s="26" t="s">
        <v>11412</v>
      </c>
      <c r="I2518" s="113" t="s">
        <v>12400</v>
      </c>
      <c r="J2518" s="113" t="s">
        <v>12401</v>
      </c>
    </row>
    <row r="2519" spans="1:10" ht="20" customHeight="1" thickBot="1">
      <c r="A2519" s="28" t="s">
        <v>11415</v>
      </c>
      <c r="B2519" s="28" t="s">
        <v>11415</v>
      </c>
      <c r="C2519" s="28" t="s">
        <v>11416</v>
      </c>
      <c r="D2519" s="117">
        <v>6</v>
      </c>
      <c r="E2519" s="122" t="s">
        <v>33</v>
      </c>
      <c r="F2519" s="120" t="s">
        <v>57</v>
      </c>
      <c r="G2519" s="29">
        <v>44060</v>
      </c>
      <c r="H2519" s="28" t="s">
        <v>11417</v>
      </c>
      <c r="I2519" s="114" t="s">
        <v>12400</v>
      </c>
      <c r="J2519" s="114" t="s">
        <v>12401</v>
      </c>
    </row>
    <row r="2520" spans="1:10" ht="20" customHeight="1" thickBot="1">
      <c r="A2520" s="26" t="s">
        <v>11420</v>
      </c>
      <c r="B2520" s="26" t="s">
        <v>11420</v>
      </c>
      <c r="C2520" s="26" t="s">
        <v>11421</v>
      </c>
      <c r="D2520" s="116">
        <v>15</v>
      </c>
      <c r="E2520" s="122" t="s">
        <v>34</v>
      </c>
      <c r="F2520" s="119" t="s">
        <v>57</v>
      </c>
      <c r="G2520" s="27">
        <v>45313</v>
      </c>
      <c r="H2520" s="26" t="s">
        <v>11422</v>
      </c>
      <c r="I2520" s="113" t="s">
        <v>12400</v>
      </c>
      <c r="J2520" s="113" t="s">
        <v>12401</v>
      </c>
    </row>
    <row r="2521" spans="1:10" ht="20" customHeight="1" thickBot="1">
      <c r="A2521" s="28" t="s">
        <v>11425</v>
      </c>
      <c r="B2521" s="28" t="s">
        <v>11425</v>
      </c>
      <c r="C2521" s="28" t="s">
        <v>68</v>
      </c>
      <c r="D2521" s="117">
        <v>80</v>
      </c>
      <c r="E2521" s="122" t="s">
        <v>33</v>
      </c>
      <c r="F2521" s="120" t="s">
        <v>63</v>
      </c>
      <c r="G2521" s="29">
        <v>41717</v>
      </c>
      <c r="H2521" s="28" t="s">
        <v>11426</v>
      </c>
      <c r="I2521" s="114" t="s">
        <v>12400</v>
      </c>
      <c r="J2521" s="114" t="s">
        <v>12401</v>
      </c>
    </row>
    <row r="2522" spans="1:10" ht="20" customHeight="1" thickBot="1">
      <c r="A2522" s="26" t="s">
        <v>11429</v>
      </c>
      <c r="B2522" s="26" t="s">
        <v>11429</v>
      </c>
      <c r="C2522" s="26" t="s">
        <v>9251</v>
      </c>
      <c r="D2522" s="116">
        <v>3</v>
      </c>
      <c r="E2522" s="122" t="s">
        <v>29</v>
      </c>
      <c r="F2522" s="119" t="s">
        <v>63</v>
      </c>
      <c r="G2522" s="27">
        <v>44155</v>
      </c>
      <c r="H2522" s="26" t="s">
        <v>11430</v>
      </c>
      <c r="I2522" s="113" t="s">
        <v>12400</v>
      </c>
      <c r="J2522" s="113" t="s">
        <v>12401</v>
      </c>
    </row>
    <row r="2523" spans="1:10" ht="20" customHeight="1" thickBot="1">
      <c r="A2523" s="28" t="s">
        <v>11433</v>
      </c>
      <c r="B2523" s="28" t="s">
        <v>11433</v>
      </c>
      <c r="C2523" s="28" t="s">
        <v>88</v>
      </c>
      <c r="D2523" s="117">
        <v>1</v>
      </c>
      <c r="E2523" s="122" t="s">
        <v>36</v>
      </c>
      <c r="F2523" s="120" t="s">
        <v>89</v>
      </c>
      <c r="G2523" s="29">
        <v>42854</v>
      </c>
      <c r="H2523" s="28" t="s">
        <v>11434</v>
      </c>
      <c r="I2523" s="114" t="s">
        <v>12400</v>
      </c>
      <c r="J2523" s="114" t="s">
        <v>12401</v>
      </c>
    </row>
    <row r="2524" spans="1:10" ht="20" customHeight="1" thickBot="1">
      <c r="A2524" s="26" t="s">
        <v>11437</v>
      </c>
      <c r="B2524" s="26" t="s">
        <v>11437</v>
      </c>
      <c r="C2524" s="26" t="s">
        <v>5271</v>
      </c>
      <c r="D2524" s="116">
        <v>5</v>
      </c>
      <c r="E2524" s="122" t="s">
        <v>27</v>
      </c>
      <c r="F2524" s="119" t="s">
        <v>63</v>
      </c>
      <c r="G2524" s="27">
        <v>41491</v>
      </c>
      <c r="H2524" s="26" t="s">
        <v>11438</v>
      </c>
      <c r="I2524" s="113" t="s">
        <v>12400</v>
      </c>
      <c r="J2524" s="113" t="s">
        <v>12401</v>
      </c>
    </row>
    <row r="2525" spans="1:10" ht="20" customHeight="1" thickBot="1">
      <c r="A2525" s="28" t="s">
        <v>11441</v>
      </c>
      <c r="B2525" s="28" t="s">
        <v>11441</v>
      </c>
      <c r="C2525" s="28" t="s">
        <v>11442</v>
      </c>
      <c r="D2525" s="117">
        <v>43</v>
      </c>
      <c r="E2525" s="122" t="s">
        <v>31</v>
      </c>
      <c r="F2525" s="120" t="s">
        <v>63</v>
      </c>
      <c r="G2525" s="29">
        <v>42276</v>
      </c>
      <c r="H2525" s="28" t="s">
        <v>11443</v>
      </c>
      <c r="I2525" s="114" t="s">
        <v>12400</v>
      </c>
      <c r="J2525" s="114" t="s">
        <v>12401</v>
      </c>
    </row>
    <row r="2526" spans="1:10" ht="20" customHeight="1" thickBot="1">
      <c r="A2526" s="26" t="s">
        <v>11446</v>
      </c>
      <c r="B2526" s="26" t="s">
        <v>11446</v>
      </c>
      <c r="C2526" s="26" t="s">
        <v>6458</v>
      </c>
      <c r="D2526" s="116">
        <v>13</v>
      </c>
      <c r="E2526" s="122" t="s">
        <v>34</v>
      </c>
      <c r="F2526" s="119" t="s">
        <v>57</v>
      </c>
      <c r="G2526" s="27">
        <v>46199</v>
      </c>
      <c r="H2526" s="26" t="s">
        <v>11447</v>
      </c>
      <c r="I2526" s="113" t="s">
        <v>12400</v>
      </c>
      <c r="J2526" s="113" t="s">
        <v>12401</v>
      </c>
    </row>
    <row r="2527" spans="1:10" ht="20" customHeight="1" thickBot="1">
      <c r="A2527" s="28" t="s">
        <v>11450</v>
      </c>
      <c r="B2527" s="28" t="s">
        <v>11450</v>
      </c>
      <c r="C2527" s="28" t="s">
        <v>11451</v>
      </c>
      <c r="D2527" s="117">
        <v>13</v>
      </c>
      <c r="E2527" s="122" t="s">
        <v>31</v>
      </c>
      <c r="F2527" s="120" t="s">
        <v>63</v>
      </c>
      <c r="G2527" s="29">
        <v>45076</v>
      </c>
      <c r="H2527" s="28" t="s">
        <v>11452</v>
      </c>
      <c r="I2527" s="114" t="s">
        <v>12400</v>
      </c>
      <c r="J2527" s="114" t="s">
        <v>12401</v>
      </c>
    </row>
    <row r="2528" spans="1:10" ht="20" customHeight="1" thickBot="1">
      <c r="A2528" s="26" t="s">
        <v>11455</v>
      </c>
      <c r="B2528" s="26" t="s">
        <v>11455</v>
      </c>
      <c r="C2528" s="26" t="s">
        <v>2133</v>
      </c>
      <c r="D2528" s="116">
        <v>10</v>
      </c>
      <c r="E2528" s="122" t="s">
        <v>35</v>
      </c>
      <c r="F2528" s="119" t="s">
        <v>57</v>
      </c>
      <c r="G2528" s="27">
        <v>44455</v>
      </c>
      <c r="H2528" s="26" t="s">
        <v>11456</v>
      </c>
      <c r="I2528" s="113" t="s">
        <v>12400</v>
      </c>
      <c r="J2528" s="113" t="s">
        <v>12401</v>
      </c>
    </row>
    <row r="2529" spans="1:10" ht="20" customHeight="1" thickBot="1">
      <c r="A2529" s="28" t="s">
        <v>11459</v>
      </c>
      <c r="B2529" s="28" t="s">
        <v>11459</v>
      </c>
      <c r="C2529" s="28" t="s">
        <v>718</v>
      </c>
      <c r="D2529" s="117">
        <v>80</v>
      </c>
      <c r="E2529" s="122" t="s">
        <v>34</v>
      </c>
      <c r="F2529" s="120" t="s">
        <v>57</v>
      </c>
      <c r="G2529" s="29">
        <v>44545</v>
      </c>
      <c r="H2529" s="28" t="s">
        <v>11460</v>
      </c>
      <c r="I2529" s="114" t="s">
        <v>12400</v>
      </c>
      <c r="J2529" s="114" t="s">
        <v>12401</v>
      </c>
    </row>
    <row r="2530" spans="1:10" ht="20" customHeight="1" thickBot="1">
      <c r="A2530" s="26" t="s">
        <v>11463</v>
      </c>
      <c r="B2530" s="26" t="s">
        <v>11463</v>
      </c>
      <c r="C2530" s="26" t="s">
        <v>2230</v>
      </c>
      <c r="D2530" s="116">
        <v>14</v>
      </c>
      <c r="E2530" s="122" t="s">
        <v>31</v>
      </c>
      <c r="F2530" s="119" t="s">
        <v>57</v>
      </c>
      <c r="G2530" s="27">
        <v>44272</v>
      </c>
      <c r="H2530" s="26" t="s">
        <v>11464</v>
      </c>
      <c r="I2530" s="113" t="s">
        <v>12400</v>
      </c>
      <c r="J2530" s="113" t="s">
        <v>12401</v>
      </c>
    </row>
    <row r="2531" spans="1:10" ht="20" customHeight="1" thickBot="1">
      <c r="A2531" s="28" t="s">
        <v>11467</v>
      </c>
      <c r="B2531" s="28" t="s">
        <v>11467</v>
      </c>
      <c r="C2531" s="28" t="s">
        <v>2706</v>
      </c>
      <c r="D2531" s="117">
        <v>15</v>
      </c>
      <c r="E2531" s="122" t="s">
        <v>33</v>
      </c>
      <c r="F2531" s="120" t="s">
        <v>57</v>
      </c>
      <c r="G2531" s="29">
        <v>44864</v>
      </c>
      <c r="H2531" s="28" t="s">
        <v>11468</v>
      </c>
      <c r="I2531" s="114" t="s">
        <v>12400</v>
      </c>
      <c r="J2531" s="114" t="s">
        <v>12401</v>
      </c>
    </row>
    <row r="2532" spans="1:10" ht="20" customHeight="1" thickBot="1">
      <c r="A2532" s="26" t="s">
        <v>11471</v>
      </c>
      <c r="B2532" s="26" t="s">
        <v>11471</v>
      </c>
      <c r="C2532" s="26" t="s">
        <v>704</v>
      </c>
      <c r="D2532" s="116">
        <v>56</v>
      </c>
      <c r="E2532" s="122" t="s">
        <v>27</v>
      </c>
      <c r="F2532" s="119" t="s">
        <v>63</v>
      </c>
      <c r="G2532" s="27">
        <v>44661</v>
      </c>
      <c r="H2532" s="26" t="s">
        <v>11472</v>
      </c>
      <c r="I2532" s="113" t="s">
        <v>12400</v>
      </c>
      <c r="J2532" s="113" t="s">
        <v>12401</v>
      </c>
    </row>
    <row r="2533" spans="1:10" ht="20" customHeight="1" thickBot="1">
      <c r="A2533" s="28" t="s">
        <v>11475</v>
      </c>
      <c r="B2533" s="28" t="s">
        <v>11475</v>
      </c>
      <c r="C2533" s="28" t="s">
        <v>11476</v>
      </c>
      <c r="D2533" s="117">
        <v>118</v>
      </c>
      <c r="E2533" s="122" t="s">
        <v>31</v>
      </c>
      <c r="F2533" s="120" t="s">
        <v>63</v>
      </c>
      <c r="G2533" s="29">
        <v>45081</v>
      </c>
      <c r="H2533" s="28" t="s">
        <v>11477</v>
      </c>
      <c r="I2533" s="114" t="s">
        <v>12400</v>
      </c>
      <c r="J2533" s="114" t="s">
        <v>12401</v>
      </c>
    </row>
    <row r="2534" spans="1:10" ht="20" customHeight="1" thickBot="1">
      <c r="A2534" s="26" t="s">
        <v>11480</v>
      </c>
      <c r="B2534" s="26" t="s">
        <v>11480</v>
      </c>
      <c r="C2534" s="26" t="s">
        <v>895</v>
      </c>
      <c r="D2534" s="116">
        <v>7</v>
      </c>
      <c r="E2534" s="122" t="s">
        <v>31</v>
      </c>
      <c r="F2534" s="119" t="s">
        <v>63</v>
      </c>
      <c r="G2534" s="27">
        <v>42744</v>
      </c>
      <c r="H2534" s="26" t="s">
        <v>11481</v>
      </c>
      <c r="I2534" s="113" t="s">
        <v>12400</v>
      </c>
      <c r="J2534" s="113" t="s">
        <v>12401</v>
      </c>
    </row>
    <row r="2535" spans="1:10" ht="20" customHeight="1" thickBot="1">
      <c r="A2535" s="28" t="s">
        <v>11484</v>
      </c>
      <c r="B2535" s="28" t="s">
        <v>11484</v>
      </c>
      <c r="C2535" s="28" t="s">
        <v>11485</v>
      </c>
      <c r="D2535" s="117">
        <v>26</v>
      </c>
      <c r="E2535" s="122" t="s">
        <v>33</v>
      </c>
      <c r="F2535" s="120" t="s">
        <v>57</v>
      </c>
      <c r="G2535" s="29">
        <v>44396</v>
      </c>
      <c r="H2535" s="28" t="s">
        <v>11486</v>
      </c>
      <c r="I2535" s="114" t="s">
        <v>12400</v>
      </c>
      <c r="J2535" s="114" t="s">
        <v>12401</v>
      </c>
    </row>
    <row r="2536" spans="1:10" ht="20" customHeight="1" thickBot="1">
      <c r="A2536" s="26" t="s">
        <v>11489</v>
      </c>
      <c r="B2536" s="26" t="s">
        <v>11489</v>
      </c>
      <c r="C2536" s="26" t="s">
        <v>1389</v>
      </c>
      <c r="D2536" s="116">
        <v>9</v>
      </c>
      <c r="E2536" s="122" t="s">
        <v>29</v>
      </c>
      <c r="F2536" s="119" t="s">
        <v>57</v>
      </c>
      <c r="G2536" s="27">
        <v>46167</v>
      </c>
      <c r="H2536" s="26" t="s">
        <v>11490</v>
      </c>
      <c r="I2536" s="113" t="s">
        <v>12400</v>
      </c>
      <c r="J2536" s="113" t="s">
        <v>12401</v>
      </c>
    </row>
    <row r="2537" spans="1:10" ht="20" customHeight="1" thickBot="1">
      <c r="A2537" s="28" t="s">
        <v>11493</v>
      </c>
      <c r="B2537" s="28" t="s">
        <v>11493</v>
      </c>
      <c r="C2537" s="28" t="s">
        <v>4492</v>
      </c>
      <c r="D2537" s="117">
        <v>21</v>
      </c>
      <c r="E2537" s="122" t="s">
        <v>27</v>
      </c>
      <c r="F2537" s="120" t="s">
        <v>63</v>
      </c>
      <c r="G2537" s="29">
        <v>42230</v>
      </c>
      <c r="H2537" s="28" t="s">
        <v>11494</v>
      </c>
      <c r="I2537" s="114" t="s">
        <v>12400</v>
      </c>
      <c r="J2537" s="114" t="s">
        <v>12401</v>
      </c>
    </row>
    <row r="2538" spans="1:10" ht="20" customHeight="1" thickBot="1">
      <c r="A2538" s="26" t="s">
        <v>11497</v>
      </c>
      <c r="B2538" s="26" t="s">
        <v>11497</v>
      </c>
      <c r="C2538" s="26" t="s">
        <v>340</v>
      </c>
      <c r="D2538" s="116">
        <v>1</v>
      </c>
      <c r="E2538" s="122" t="s">
        <v>35</v>
      </c>
      <c r="F2538" s="119" t="s">
        <v>57</v>
      </c>
      <c r="G2538" s="27">
        <v>45214</v>
      </c>
      <c r="H2538" s="26" t="s">
        <v>11498</v>
      </c>
      <c r="I2538" s="113" t="s">
        <v>12400</v>
      </c>
      <c r="J2538" s="113" t="s">
        <v>12401</v>
      </c>
    </row>
    <row r="2539" spans="1:10" ht="20" customHeight="1" thickBot="1">
      <c r="A2539" s="28" t="s">
        <v>11501</v>
      </c>
      <c r="B2539" s="28" t="s">
        <v>11501</v>
      </c>
      <c r="C2539" s="28" t="s">
        <v>6268</v>
      </c>
      <c r="D2539" s="117">
        <v>12</v>
      </c>
      <c r="E2539" s="122" t="s">
        <v>31</v>
      </c>
      <c r="F2539" s="120" t="s">
        <v>63</v>
      </c>
      <c r="G2539" s="29">
        <v>45941</v>
      </c>
      <c r="H2539" s="28" t="s">
        <v>11502</v>
      </c>
      <c r="I2539" s="114" t="s">
        <v>12400</v>
      </c>
      <c r="J2539" s="114" t="s">
        <v>12401</v>
      </c>
    </row>
    <row r="2540" spans="1:10" ht="20" customHeight="1" thickBot="1">
      <c r="A2540" s="26" t="s">
        <v>11505</v>
      </c>
      <c r="B2540" s="26" t="s">
        <v>11505</v>
      </c>
      <c r="C2540" s="26" t="s">
        <v>11506</v>
      </c>
      <c r="D2540" s="116">
        <v>22</v>
      </c>
      <c r="E2540" s="122" t="s">
        <v>29</v>
      </c>
      <c r="F2540" s="119" t="s">
        <v>63</v>
      </c>
      <c r="G2540" s="27">
        <v>42326</v>
      </c>
      <c r="H2540" s="26" t="s">
        <v>11507</v>
      </c>
      <c r="I2540" s="113" t="s">
        <v>12400</v>
      </c>
      <c r="J2540" s="113" t="s">
        <v>12401</v>
      </c>
    </row>
    <row r="2541" spans="1:10" ht="20" customHeight="1" thickBot="1">
      <c r="A2541" s="28" t="s">
        <v>11510</v>
      </c>
      <c r="B2541" s="28" t="s">
        <v>11510</v>
      </c>
      <c r="C2541" s="28" t="s">
        <v>83</v>
      </c>
      <c r="D2541" s="117">
        <v>17</v>
      </c>
      <c r="E2541" s="122" t="s">
        <v>33</v>
      </c>
      <c r="F2541" s="120" t="s">
        <v>57</v>
      </c>
      <c r="G2541" s="29">
        <v>46075</v>
      </c>
      <c r="H2541" s="28" t="s">
        <v>11511</v>
      </c>
      <c r="I2541" s="114" t="s">
        <v>12400</v>
      </c>
      <c r="J2541" s="114" t="s">
        <v>12401</v>
      </c>
    </row>
    <row r="2542" spans="1:10" ht="20" customHeight="1" thickBot="1">
      <c r="A2542" s="26" t="s">
        <v>11514</v>
      </c>
      <c r="B2542" s="26" t="s">
        <v>11514</v>
      </c>
      <c r="C2542" s="26" t="s">
        <v>5397</v>
      </c>
      <c r="D2542" s="116">
        <v>11</v>
      </c>
      <c r="E2542" s="122" t="s">
        <v>29</v>
      </c>
      <c r="F2542" s="119" t="s">
        <v>63</v>
      </c>
      <c r="G2542" s="27">
        <v>44467</v>
      </c>
      <c r="H2542" s="26" t="s">
        <v>11515</v>
      </c>
      <c r="I2542" s="113" t="s">
        <v>12400</v>
      </c>
      <c r="J2542" s="113" t="s">
        <v>12401</v>
      </c>
    </row>
    <row r="2543" spans="1:10" ht="20" customHeight="1" thickBot="1">
      <c r="A2543" s="28" t="s">
        <v>11518</v>
      </c>
      <c r="B2543" s="28" t="s">
        <v>11518</v>
      </c>
      <c r="C2543" s="28" t="s">
        <v>11519</v>
      </c>
      <c r="D2543" s="117">
        <v>12</v>
      </c>
      <c r="E2543" s="122" t="s">
        <v>33</v>
      </c>
      <c r="F2543" s="120" t="s">
        <v>63</v>
      </c>
      <c r="G2543" s="29">
        <v>45717</v>
      </c>
      <c r="H2543" s="28" t="s">
        <v>11520</v>
      </c>
      <c r="I2543" s="114" t="s">
        <v>12400</v>
      </c>
      <c r="J2543" s="114" t="s">
        <v>12401</v>
      </c>
    </row>
    <row r="2544" spans="1:10" ht="20" customHeight="1" thickBot="1">
      <c r="A2544" s="26" t="s">
        <v>11523</v>
      </c>
      <c r="B2544" s="26" t="s">
        <v>11523</v>
      </c>
      <c r="C2544" s="26" t="s">
        <v>1570</v>
      </c>
      <c r="D2544" s="116">
        <v>4</v>
      </c>
      <c r="E2544" s="122" t="s">
        <v>33</v>
      </c>
      <c r="F2544" s="119" t="s">
        <v>57</v>
      </c>
      <c r="G2544" s="27">
        <v>44305</v>
      </c>
      <c r="H2544" s="26" t="s">
        <v>11524</v>
      </c>
      <c r="I2544" s="113" t="s">
        <v>12400</v>
      </c>
      <c r="J2544" s="113" t="s">
        <v>12401</v>
      </c>
    </row>
    <row r="2545" spans="1:10" ht="20" customHeight="1" thickBot="1">
      <c r="A2545" s="28" t="s">
        <v>11527</v>
      </c>
      <c r="B2545" s="28" t="s">
        <v>11527</v>
      </c>
      <c r="C2545" s="28" t="s">
        <v>11528</v>
      </c>
      <c r="D2545" s="117">
        <v>9</v>
      </c>
      <c r="E2545" s="122" t="s">
        <v>35</v>
      </c>
      <c r="F2545" s="120" t="s">
        <v>57</v>
      </c>
      <c r="G2545" s="29">
        <v>44523</v>
      </c>
      <c r="H2545" s="28" t="s">
        <v>11529</v>
      </c>
      <c r="I2545" s="114" t="s">
        <v>12400</v>
      </c>
      <c r="J2545" s="114" t="s">
        <v>12401</v>
      </c>
    </row>
    <row r="2546" spans="1:10" ht="20" customHeight="1" thickBot="1">
      <c r="A2546" s="26" t="s">
        <v>11532</v>
      </c>
      <c r="B2546" s="26" t="s">
        <v>11532</v>
      </c>
      <c r="C2546" s="26" t="s">
        <v>2460</v>
      </c>
      <c r="D2546" s="116">
        <v>4</v>
      </c>
      <c r="E2546" s="122" t="s">
        <v>31</v>
      </c>
      <c r="F2546" s="119" t="s">
        <v>63</v>
      </c>
      <c r="G2546" s="27">
        <v>42044</v>
      </c>
      <c r="H2546" s="26" t="s">
        <v>11533</v>
      </c>
      <c r="I2546" s="113" t="s">
        <v>12400</v>
      </c>
      <c r="J2546" s="113" t="s">
        <v>12401</v>
      </c>
    </row>
    <row r="2547" spans="1:10" ht="20" customHeight="1" thickBot="1">
      <c r="A2547" s="28" t="s">
        <v>11536</v>
      </c>
      <c r="B2547" s="28" t="s">
        <v>11536</v>
      </c>
      <c r="C2547" s="28" t="s">
        <v>1525</v>
      </c>
      <c r="D2547" s="117">
        <v>10</v>
      </c>
      <c r="E2547" s="122" t="s">
        <v>35</v>
      </c>
      <c r="F2547" s="120" t="s">
        <v>57</v>
      </c>
      <c r="G2547" s="29">
        <v>44983</v>
      </c>
      <c r="H2547" s="28" t="s">
        <v>11537</v>
      </c>
      <c r="I2547" s="114" t="s">
        <v>12400</v>
      </c>
      <c r="J2547" s="114" t="s">
        <v>12401</v>
      </c>
    </row>
    <row r="2548" spans="1:10" ht="20" customHeight="1" thickBot="1">
      <c r="A2548" s="26" t="s">
        <v>11540</v>
      </c>
      <c r="B2548" s="26" t="s">
        <v>11540</v>
      </c>
      <c r="C2548" s="26" t="s">
        <v>1794</v>
      </c>
      <c r="D2548" s="116">
        <v>11</v>
      </c>
      <c r="E2548" s="122" t="s">
        <v>35</v>
      </c>
      <c r="F2548" s="119" t="s">
        <v>57</v>
      </c>
      <c r="G2548" s="27">
        <v>44449</v>
      </c>
      <c r="H2548" s="26" t="s">
        <v>11541</v>
      </c>
      <c r="I2548" s="113" t="s">
        <v>12400</v>
      </c>
      <c r="J2548" s="113" t="s">
        <v>12401</v>
      </c>
    </row>
    <row r="2549" spans="1:10" ht="20" customHeight="1" thickBot="1">
      <c r="A2549" s="28" t="s">
        <v>11544</v>
      </c>
      <c r="B2549" s="28" t="s">
        <v>11544</v>
      </c>
      <c r="C2549" s="28" t="s">
        <v>1794</v>
      </c>
      <c r="D2549" s="117">
        <v>14</v>
      </c>
      <c r="E2549" s="122" t="s">
        <v>35</v>
      </c>
      <c r="F2549" s="120" t="s">
        <v>57</v>
      </c>
      <c r="G2549" s="29">
        <v>45424</v>
      </c>
      <c r="H2549" s="28" t="s">
        <v>11545</v>
      </c>
      <c r="I2549" s="114" t="s">
        <v>12400</v>
      </c>
      <c r="J2549" s="114" t="s">
        <v>12401</v>
      </c>
    </row>
    <row r="2550" spans="1:10" ht="20" customHeight="1" thickBot="1">
      <c r="A2550" s="26" t="s">
        <v>11548</v>
      </c>
      <c r="B2550" s="26" t="s">
        <v>11548</v>
      </c>
      <c r="C2550" s="26" t="s">
        <v>2979</v>
      </c>
      <c r="D2550" s="116">
        <v>13</v>
      </c>
      <c r="E2550" s="122" t="s">
        <v>35</v>
      </c>
      <c r="F2550" s="119" t="s">
        <v>115</v>
      </c>
      <c r="G2550" s="27">
        <v>43965</v>
      </c>
      <c r="H2550" s="26" t="s">
        <v>11549</v>
      </c>
      <c r="I2550" s="113" t="s">
        <v>12400</v>
      </c>
      <c r="J2550" s="113" t="s">
        <v>12401</v>
      </c>
    </row>
    <row r="2551" spans="1:10" ht="20" customHeight="1" thickBot="1">
      <c r="A2551" s="28" t="s">
        <v>14</v>
      </c>
      <c r="B2551" s="28" t="s">
        <v>14</v>
      </c>
      <c r="C2551" s="28" t="s">
        <v>5271</v>
      </c>
      <c r="D2551" s="117">
        <v>12</v>
      </c>
      <c r="E2551" s="122" t="s">
        <v>29</v>
      </c>
      <c r="F2551" s="120" t="s">
        <v>63</v>
      </c>
      <c r="G2551" s="29">
        <v>41445</v>
      </c>
      <c r="H2551" s="28" t="s">
        <v>11552</v>
      </c>
      <c r="I2551" s="114" t="s">
        <v>12400</v>
      </c>
      <c r="J2551" s="114" t="s">
        <v>12401</v>
      </c>
    </row>
    <row r="2552" spans="1:10" ht="20" customHeight="1" thickBot="1">
      <c r="A2552" s="26" t="s">
        <v>11555</v>
      </c>
      <c r="B2552" s="26" t="s">
        <v>11555</v>
      </c>
      <c r="C2552" s="26" t="s">
        <v>1171</v>
      </c>
      <c r="D2552" s="116">
        <v>6</v>
      </c>
      <c r="E2552" s="122" t="s">
        <v>31</v>
      </c>
      <c r="F2552" s="119" t="s">
        <v>57</v>
      </c>
      <c r="G2552" s="27">
        <v>44677</v>
      </c>
      <c r="H2552" s="26" t="s">
        <v>11556</v>
      </c>
      <c r="I2552" s="113" t="s">
        <v>12400</v>
      </c>
      <c r="J2552" s="113" t="s">
        <v>12401</v>
      </c>
    </row>
    <row r="2553" spans="1:10" ht="20" customHeight="1" thickBot="1">
      <c r="A2553" s="28" t="s">
        <v>11559</v>
      </c>
      <c r="B2553" s="28" t="s">
        <v>11559</v>
      </c>
      <c r="C2553" s="28" t="s">
        <v>5065</v>
      </c>
      <c r="D2553" s="117">
        <v>5</v>
      </c>
      <c r="E2553" s="122" t="s">
        <v>27</v>
      </c>
      <c r="F2553" s="120" t="s">
        <v>63</v>
      </c>
      <c r="G2553" s="29">
        <v>42178</v>
      </c>
      <c r="H2553" s="28" t="s">
        <v>11560</v>
      </c>
      <c r="I2553" s="114" t="s">
        <v>12400</v>
      </c>
      <c r="J2553" s="114" t="s">
        <v>12401</v>
      </c>
    </row>
    <row r="2554" spans="1:10" ht="20" customHeight="1" thickBot="1">
      <c r="A2554" s="26" t="s">
        <v>11563</v>
      </c>
      <c r="B2554" s="26" t="s">
        <v>11563</v>
      </c>
      <c r="C2554" s="26" t="s">
        <v>11564</v>
      </c>
      <c r="D2554" s="116">
        <v>11</v>
      </c>
      <c r="E2554" s="122" t="s">
        <v>35</v>
      </c>
      <c r="F2554" s="119" t="s">
        <v>57</v>
      </c>
      <c r="G2554" s="27">
        <v>45386</v>
      </c>
      <c r="H2554" s="26" t="s">
        <v>11565</v>
      </c>
      <c r="I2554" s="113" t="s">
        <v>12400</v>
      </c>
      <c r="J2554" s="113" t="s">
        <v>12401</v>
      </c>
    </row>
    <row r="2555" spans="1:10" ht="20" customHeight="1" thickBot="1">
      <c r="A2555" s="28" t="s">
        <v>11568</v>
      </c>
      <c r="B2555" s="28" t="s">
        <v>11568</v>
      </c>
      <c r="C2555" s="28" t="s">
        <v>11569</v>
      </c>
      <c r="D2555" s="117">
        <v>22</v>
      </c>
      <c r="E2555" s="122" t="s">
        <v>33</v>
      </c>
      <c r="F2555" s="120" t="s">
        <v>57</v>
      </c>
      <c r="G2555" s="29">
        <v>43970</v>
      </c>
      <c r="H2555" s="28" t="s">
        <v>11570</v>
      </c>
      <c r="I2555" s="114" t="s">
        <v>12400</v>
      </c>
      <c r="J2555" s="114" t="s">
        <v>12401</v>
      </c>
    </row>
    <row r="2556" spans="1:10" ht="20" customHeight="1" thickBot="1">
      <c r="A2556" s="26" t="s">
        <v>11573</v>
      </c>
      <c r="B2556" s="26" t="s">
        <v>11573</v>
      </c>
      <c r="C2556" s="26" t="s">
        <v>6073</v>
      </c>
      <c r="D2556" s="116">
        <v>17</v>
      </c>
      <c r="E2556" s="122" t="s">
        <v>33</v>
      </c>
      <c r="F2556" s="119" t="s">
        <v>57</v>
      </c>
      <c r="G2556" s="27">
        <v>44318</v>
      </c>
      <c r="H2556" s="26" t="s">
        <v>11574</v>
      </c>
      <c r="I2556" s="113" t="s">
        <v>12400</v>
      </c>
      <c r="J2556" s="113" t="s">
        <v>12401</v>
      </c>
    </row>
    <row r="2557" spans="1:10" ht="20" customHeight="1" thickBot="1">
      <c r="A2557" s="28" t="s">
        <v>11577</v>
      </c>
      <c r="B2557" s="28" t="s">
        <v>11577</v>
      </c>
      <c r="C2557" s="28" t="s">
        <v>452</v>
      </c>
      <c r="D2557" s="117">
        <v>18</v>
      </c>
      <c r="E2557" s="122" t="s">
        <v>31</v>
      </c>
      <c r="F2557" s="120" t="s">
        <v>63</v>
      </c>
      <c r="G2557" s="29">
        <v>45573</v>
      </c>
      <c r="H2557" s="28" t="s">
        <v>11578</v>
      </c>
      <c r="I2557" s="114" t="s">
        <v>12400</v>
      </c>
      <c r="J2557" s="114" t="s">
        <v>12401</v>
      </c>
    </row>
    <row r="2558" spans="1:10" ht="20" customHeight="1" thickBot="1">
      <c r="A2558" s="26" t="s">
        <v>11581</v>
      </c>
      <c r="B2558" s="26" t="s">
        <v>11581</v>
      </c>
      <c r="C2558" s="26" t="s">
        <v>11582</v>
      </c>
      <c r="D2558" s="116">
        <v>56</v>
      </c>
      <c r="E2558" s="122" t="s">
        <v>33</v>
      </c>
      <c r="F2558" s="119" t="s">
        <v>63</v>
      </c>
      <c r="G2558" s="27">
        <v>46222</v>
      </c>
      <c r="H2558" s="26" t="s">
        <v>11583</v>
      </c>
      <c r="I2558" s="113" t="s">
        <v>12400</v>
      </c>
      <c r="J2558" s="113" t="s">
        <v>12401</v>
      </c>
    </row>
    <row r="2559" spans="1:10" ht="20" customHeight="1" thickBot="1">
      <c r="A2559" s="28" t="s">
        <v>11586</v>
      </c>
      <c r="B2559" s="28" t="s">
        <v>11586</v>
      </c>
      <c r="C2559" s="28" t="s">
        <v>5060</v>
      </c>
      <c r="D2559" s="117">
        <v>65</v>
      </c>
      <c r="E2559" s="122" t="s">
        <v>31</v>
      </c>
      <c r="F2559" s="120" t="s">
        <v>63</v>
      </c>
      <c r="G2559" s="29">
        <v>45725</v>
      </c>
      <c r="H2559" s="28" t="s">
        <v>11587</v>
      </c>
      <c r="I2559" s="114" t="s">
        <v>12400</v>
      </c>
      <c r="J2559" s="114" t="s">
        <v>12401</v>
      </c>
    </row>
    <row r="2560" spans="1:10" ht="20" customHeight="1" thickBot="1">
      <c r="A2560" s="26" t="s">
        <v>11590</v>
      </c>
      <c r="B2560" s="26" t="s">
        <v>11590</v>
      </c>
      <c r="C2560" s="26" t="s">
        <v>11591</v>
      </c>
      <c r="D2560" s="116">
        <v>9</v>
      </c>
      <c r="E2560" s="122" t="s">
        <v>27</v>
      </c>
      <c r="F2560" s="119" t="s">
        <v>63</v>
      </c>
      <c r="G2560" s="27">
        <v>43783</v>
      </c>
      <c r="H2560" s="26" t="s">
        <v>11592</v>
      </c>
      <c r="I2560" s="113" t="s">
        <v>12400</v>
      </c>
      <c r="J2560" s="113" t="s">
        <v>12401</v>
      </c>
    </row>
    <row r="2561" spans="1:10" ht="20" customHeight="1" thickBot="1">
      <c r="A2561" s="28" t="s">
        <v>11595</v>
      </c>
      <c r="B2561" s="28" t="s">
        <v>11595</v>
      </c>
      <c r="C2561" s="28" t="s">
        <v>104</v>
      </c>
      <c r="D2561" s="117">
        <v>27</v>
      </c>
      <c r="E2561" s="122" t="s">
        <v>35</v>
      </c>
      <c r="F2561" s="120" t="s">
        <v>57</v>
      </c>
      <c r="G2561" s="29">
        <v>44872</v>
      </c>
      <c r="H2561" s="28" t="s">
        <v>11596</v>
      </c>
      <c r="I2561" s="114" t="s">
        <v>12400</v>
      </c>
      <c r="J2561" s="114" t="s">
        <v>12401</v>
      </c>
    </row>
    <row r="2562" spans="1:10" ht="20" customHeight="1" thickBot="1">
      <c r="A2562" s="26" t="s">
        <v>11599</v>
      </c>
      <c r="B2562" s="26" t="s">
        <v>11599</v>
      </c>
      <c r="C2562" s="26" t="s">
        <v>10205</v>
      </c>
      <c r="D2562" s="116">
        <v>10</v>
      </c>
      <c r="E2562" s="122" t="s">
        <v>33</v>
      </c>
      <c r="F2562" s="119" t="s">
        <v>57</v>
      </c>
      <c r="G2562" s="27">
        <v>44449</v>
      </c>
      <c r="H2562" s="26" t="s">
        <v>11600</v>
      </c>
      <c r="I2562" s="113" t="s">
        <v>12400</v>
      </c>
      <c r="J2562" s="113" t="s">
        <v>12401</v>
      </c>
    </row>
    <row r="2563" spans="1:10" ht="20" customHeight="1" thickBot="1">
      <c r="A2563" s="28" t="s">
        <v>11603</v>
      </c>
      <c r="B2563" s="28" t="s">
        <v>11603</v>
      </c>
      <c r="C2563" s="28" t="s">
        <v>485</v>
      </c>
      <c r="D2563" s="117">
        <v>9</v>
      </c>
      <c r="E2563" s="122" t="s">
        <v>35</v>
      </c>
      <c r="F2563" s="120" t="s">
        <v>57</v>
      </c>
      <c r="G2563" s="29">
        <v>44909</v>
      </c>
      <c r="H2563" s="28" t="s">
        <v>11604</v>
      </c>
      <c r="I2563" s="114" t="s">
        <v>12400</v>
      </c>
      <c r="J2563" s="114" t="s">
        <v>12401</v>
      </c>
    </row>
    <row r="2564" spans="1:10" ht="20" customHeight="1" thickBot="1">
      <c r="A2564" s="26" t="s">
        <v>11607</v>
      </c>
      <c r="B2564" s="26" t="s">
        <v>11607</v>
      </c>
      <c r="C2564" s="26" t="s">
        <v>11608</v>
      </c>
      <c r="D2564" s="116">
        <v>20</v>
      </c>
      <c r="E2564" s="122" t="s">
        <v>33</v>
      </c>
      <c r="F2564" s="119" t="s">
        <v>63</v>
      </c>
      <c r="G2564" s="27">
        <v>45859</v>
      </c>
      <c r="H2564" s="26" t="s">
        <v>11609</v>
      </c>
      <c r="I2564" s="113" t="s">
        <v>12400</v>
      </c>
      <c r="J2564" s="113" t="s">
        <v>12401</v>
      </c>
    </row>
    <row r="2565" spans="1:10" ht="20" customHeight="1" thickBot="1">
      <c r="A2565" s="28" t="s">
        <v>11612</v>
      </c>
      <c r="B2565" s="28" t="s">
        <v>11612</v>
      </c>
      <c r="C2565" s="28" t="s">
        <v>2245</v>
      </c>
      <c r="D2565" s="117">
        <v>8</v>
      </c>
      <c r="E2565" s="122" t="s">
        <v>34</v>
      </c>
      <c r="F2565" s="120" t="s">
        <v>57</v>
      </c>
      <c r="G2565" s="29">
        <v>43666</v>
      </c>
      <c r="H2565" s="28" t="s">
        <v>11613</v>
      </c>
      <c r="I2565" s="114" t="s">
        <v>12400</v>
      </c>
      <c r="J2565" s="114" t="s">
        <v>12401</v>
      </c>
    </row>
    <row r="2566" spans="1:10" ht="20" customHeight="1" thickBot="1">
      <c r="A2566" s="26" t="s">
        <v>11616</v>
      </c>
      <c r="B2566" s="26" t="s">
        <v>11616</v>
      </c>
      <c r="C2566" s="26" t="s">
        <v>2245</v>
      </c>
      <c r="D2566" s="116">
        <v>5</v>
      </c>
      <c r="E2566" s="122" t="s">
        <v>34</v>
      </c>
      <c r="F2566" s="119" t="s">
        <v>57</v>
      </c>
      <c r="G2566" s="27">
        <v>44147</v>
      </c>
      <c r="H2566" s="26" t="s">
        <v>11617</v>
      </c>
      <c r="I2566" s="113" t="s">
        <v>12400</v>
      </c>
      <c r="J2566" s="113" t="s">
        <v>12401</v>
      </c>
    </row>
    <row r="2567" spans="1:10" ht="20" customHeight="1" thickBot="1">
      <c r="A2567" s="28" t="s">
        <v>11620</v>
      </c>
      <c r="B2567" s="28" t="s">
        <v>11620</v>
      </c>
      <c r="C2567" s="28" t="s">
        <v>2245</v>
      </c>
      <c r="D2567" s="117">
        <v>7</v>
      </c>
      <c r="E2567" s="122" t="s">
        <v>34</v>
      </c>
      <c r="F2567" s="120" t="s">
        <v>57</v>
      </c>
      <c r="G2567" s="29">
        <v>44146</v>
      </c>
      <c r="H2567" s="28" t="s">
        <v>11621</v>
      </c>
      <c r="I2567" s="114" t="s">
        <v>12400</v>
      </c>
      <c r="J2567" s="114" t="s">
        <v>12401</v>
      </c>
    </row>
    <row r="2568" spans="1:10" ht="20" customHeight="1" thickBot="1">
      <c r="A2568" s="26" t="s">
        <v>11624</v>
      </c>
      <c r="B2568" s="26" t="s">
        <v>11624</v>
      </c>
      <c r="C2568" s="26" t="s">
        <v>11625</v>
      </c>
      <c r="D2568" s="116">
        <v>33</v>
      </c>
      <c r="E2568" s="122" t="s">
        <v>34</v>
      </c>
      <c r="F2568" s="119" t="s">
        <v>57</v>
      </c>
      <c r="G2568" s="27">
        <v>44735</v>
      </c>
      <c r="H2568" s="26" t="s">
        <v>11626</v>
      </c>
      <c r="I2568" s="113" t="s">
        <v>12400</v>
      </c>
      <c r="J2568" s="113" t="s">
        <v>12401</v>
      </c>
    </row>
    <row r="2569" spans="1:10" ht="20" customHeight="1" thickBot="1">
      <c r="A2569" s="28" t="s">
        <v>11629</v>
      </c>
      <c r="B2569" s="28" t="s">
        <v>11629</v>
      </c>
      <c r="C2569" s="28" t="s">
        <v>11625</v>
      </c>
      <c r="D2569" s="117">
        <v>23</v>
      </c>
      <c r="E2569" s="122" t="s">
        <v>35</v>
      </c>
      <c r="F2569" s="120" t="s">
        <v>57</v>
      </c>
      <c r="G2569" s="29">
        <v>45642</v>
      </c>
      <c r="H2569" s="28" t="s">
        <v>11630</v>
      </c>
      <c r="I2569" s="114" t="s">
        <v>12400</v>
      </c>
      <c r="J2569" s="114" t="s">
        <v>12401</v>
      </c>
    </row>
    <row r="2570" spans="1:10" ht="20" customHeight="1" thickBot="1">
      <c r="A2570" s="26" t="s">
        <v>11633</v>
      </c>
      <c r="B2570" s="26" t="s">
        <v>11633</v>
      </c>
      <c r="C2570" s="26" t="s">
        <v>11625</v>
      </c>
      <c r="D2570" s="116">
        <v>44</v>
      </c>
      <c r="E2570" s="122" t="s">
        <v>34</v>
      </c>
      <c r="F2570" s="119" t="s">
        <v>57</v>
      </c>
      <c r="G2570" s="27">
        <v>45383</v>
      </c>
      <c r="H2570" s="26" t="s">
        <v>11634</v>
      </c>
      <c r="I2570" s="113" t="s">
        <v>12400</v>
      </c>
      <c r="J2570" s="113" t="s">
        <v>12401</v>
      </c>
    </row>
    <row r="2571" spans="1:10" ht="20" customHeight="1" thickBot="1">
      <c r="A2571" s="28" t="s">
        <v>11637</v>
      </c>
      <c r="B2571" s="28" t="s">
        <v>11637</v>
      </c>
      <c r="C2571" s="28" t="s">
        <v>11638</v>
      </c>
      <c r="D2571" s="117">
        <v>26</v>
      </c>
      <c r="E2571" s="122" t="s">
        <v>31</v>
      </c>
      <c r="F2571" s="120" t="s">
        <v>63</v>
      </c>
      <c r="G2571" s="29">
        <v>44726</v>
      </c>
      <c r="H2571" s="28" t="s">
        <v>11639</v>
      </c>
      <c r="I2571" s="114" t="s">
        <v>12400</v>
      </c>
      <c r="J2571" s="114" t="s">
        <v>12401</v>
      </c>
    </row>
    <row r="2572" spans="1:10" ht="20" customHeight="1" thickBot="1">
      <c r="A2572" s="26" t="s">
        <v>11642</v>
      </c>
      <c r="B2572" s="26" t="s">
        <v>11642</v>
      </c>
      <c r="C2572" s="26" t="s">
        <v>11638</v>
      </c>
      <c r="D2572" s="116">
        <v>23</v>
      </c>
      <c r="E2572" s="122" t="s">
        <v>29</v>
      </c>
      <c r="F2572" s="119" t="s">
        <v>63</v>
      </c>
      <c r="G2572" s="27">
        <v>43449</v>
      </c>
      <c r="H2572" s="26" t="s">
        <v>11643</v>
      </c>
      <c r="I2572" s="113" t="s">
        <v>12400</v>
      </c>
      <c r="J2572" s="113" t="s">
        <v>12401</v>
      </c>
    </row>
    <row r="2573" spans="1:10" ht="20" customHeight="1" thickBot="1">
      <c r="A2573" s="28" t="s">
        <v>11646</v>
      </c>
      <c r="B2573" s="28" t="s">
        <v>11646</v>
      </c>
      <c r="C2573" s="28" t="s">
        <v>1804</v>
      </c>
      <c r="D2573" s="117">
        <v>9</v>
      </c>
      <c r="E2573" s="122" t="s">
        <v>31</v>
      </c>
      <c r="F2573" s="120" t="s">
        <v>63</v>
      </c>
      <c r="G2573" s="29">
        <v>44035</v>
      </c>
      <c r="H2573" s="28" t="s">
        <v>11647</v>
      </c>
      <c r="I2573" s="114" t="s">
        <v>12400</v>
      </c>
      <c r="J2573" s="114" t="s">
        <v>12401</v>
      </c>
    </row>
    <row r="2574" spans="1:10" ht="20" customHeight="1" thickBot="1">
      <c r="A2574" s="26" t="s">
        <v>11650</v>
      </c>
      <c r="B2574" s="26" t="s">
        <v>11650</v>
      </c>
      <c r="C2574" s="26" t="s">
        <v>4965</v>
      </c>
      <c r="D2574" s="116">
        <v>19</v>
      </c>
      <c r="E2574" s="122" t="s">
        <v>35</v>
      </c>
      <c r="F2574" s="119" t="s">
        <v>57</v>
      </c>
      <c r="G2574" s="27">
        <v>44268</v>
      </c>
      <c r="H2574" s="26" t="s">
        <v>11651</v>
      </c>
      <c r="I2574" s="113" t="s">
        <v>12400</v>
      </c>
      <c r="J2574" s="113" t="s">
        <v>12401</v>
      </c>
    </row>
    <row r="2575" spans="1:10" ht="20" customHeight="1" thickBot="1">
      <c r="A2575" s="28" t="s">
        <v>11654</v>
      </c>
      <c r="B2575" s="28" t="s">
        <v>11654</v>
      </c>
      <c r="C2575" s="28" t="s">
        <v>11655</v>
      </c>
      <c r="D2575" s="117">
        <v>18</v>
      </c>
      <c r="E2575" s="122" t="s">
        <v>31</v>
      </c>
      <c r="F2575" s="120" t="s">
        <v>63</v>
      </c>
      <c r="G2575" s="29">
        <v>41650</v>
      </c>
      <c r="H2575" s="28" t="s">
        <v>11656</v>
      </c>
      <c r="I2575" s="114" t="s">
        <v>12400</v>
      </c>
      <c r="J2575" s="114" t="s">
        <v>12401</v>
      </c>
    </row>
    <row r="2576" spans="1:10" ht="20" customHeight="1" thickBot="1">
      <c r="A2576" s="26" t="s">
        <v>11659</v>
      </c>
      <c r="B2576" s="26" t="s">
        <v>11659</v>
      </c>
      <c r="C2576" s="26" t="s">
        <v>355</v>
      </c>
      <c r="D2576" s="116">
        <v>1</v>
      </c>
      <c r="E2576" s="122" t="s">
        <v>34</v>
      </c>
      <c r="F2576" s="119" t="s">
        <v>6304</v>
      </c>
      <c r="G2576" s="27">
        <v>45736</v>
      </c>
      <c r="H2576" s="26" t="s">
        <v>11660</v>
      </c>
      <c r="I2576" s="113" t="s">
        <v>12400</v>
      </c>
      <c r="J2576" s="113" t="s">
        <v>12401</v>
      </c>
    </row>
    <row r="2577" spans="1:10" ht="20" customHeight="1" thickBot="1">
      <c r="A2577" s="28" t="s">
        <v>11663</v>
      </c>
      <c r="B2577" s="28" t="s">
        <v>11663</v>
      </c>
      <c r="C2577" s="28" t="s">
        <v>11664</v>
      </c>
      <c r="D2577" s="117">
        <v>1</v>
      </c>
      <c r="E2577" s="122" t="s">
        <v>33</v>
      </c>
      <c r="F2577" s="120" t="s">
        <v>57</v>
      </c>
      <c r="G2577" s="29">
        <v>45481</v>
      </c>
      <c r="H2577" s="28" t="s">
        <v>11665</v>
      </c>
      <c r="I2577" s="114" t="s">
        <v>12400</v>
      </c>
      <c r="J2577" s="114" t="s">
        <v>12401</v>
      </c>
    </row>
    <row r="2578" spans="1:10" ht="20" customHeight="1" thickBot="1">
      <c r="A2578" s="26" t="s">
        <v>11668</v>
      </c>
      <c r="B2578" s="26" t="s">
        <v>11668</v>
      </c>
      <c r="C2578" s="26" t="s">
        <v>11664</v>
      </c>
      <c r="D2578" s="116">
        <v>0</v>
      </c>
      <c r="E2578" s="122" t="s">
        <v>33</v>
      </c>
      <c r="F2578" s="119" t="s">
        <v>57</v>
      </c>
      <c r="G2578" s="27">
        <v>46191</v>
      </c>
      <c r="H2578" s="26" t="s">
        <v>11669</v>
      </c>
      <c r="I2578" s="113" t="s">
        <v>12400</v>
      </c>
      <c r="J2578" s="113" t="s">
        <v>12401</v>
      </c>
    </row>
    <row r="2579" spans="1:10" ht="20" customHeight="1" thickBot="1">
      <c r="A2579" s="28" t="s">
        <v>11672</v>
      </c>
      <c r="B2579" s="28" t="s">
        <v>11672</v>
      </c>
      <c r="C2579" s="28" t="s">
        <v>2493</v>
      </c>
      <c r="D2579" s="117">
        <v>1</v>
      </c>
      <c r="E2579" s="122" t="s">
        <v>34</v>
      </c>
      <c r="F2579" s="120" t="s">
        <v>57</v>
      </c>
      <c r="G2579" s="29">
        <v>42638</v>
      </c>
      <c r="H2579" s="28" t="s">
        <v>11673</v>
      </c>
      <c r="I2579" s="114" t="s">
        <v>12400</v>
      </c>
      <c r="J2579" s="114" t="s">
        <v>12401</v>
      </c>
    </row>
    <row r="2580" spans="1:10" ht="20" customHeight="1" thickBot="1">
      <c r="A2580" s="26" t="s">
        <v>11676</v>
      </c>
      <c r="B2580" s="26" t="s">
        <v>11676</v>
      </c>
      <c r="C2580" s="26" t="s">
        <v>2081</v>
      </c>
      <c r="D2580" s="116">
        <v>1</v>
      </c>
      <c r="E2580" s="122" t="s">
        <v>34</v>
      </c>
      <c r="F2580" s="119" t="s">
        <v>57</v>
      </c>
      <c r="G2580" s="27">
        <v>45613</v>
      </c>
      <c r="H2580" s="26" t="s">
        <v>11677</v>
      </c>
      <c r="I2580" s="113" t="s">
        <v>12400</v>
      </c>
      <c r="J2580" s="113" t="s">
        <v>12401</v>
      </c>
    </row>
    <row r="2581" spans="1:10" ht="20" customHeight="1" thickBot="1">
      <c r="A2581" s="28" t="s">
        <v>11680</v>
      </c>
      <c r="B2581" s="28" t="s">
        <v>11680</v>
      </c>
      <c r="C2581" s="28" t="s">
        <v>1478</v>
      </c>
      <c r="D2581" s="117">
        <v>2</v>
      </c>
      <c r="E2581" s="122" t="s">
        <v>35</v>
      </c>
      <c r="F2581" s="120" t="s">
        <v>57</v>
      </c>
      <c r="G2581" s="29">
        <v>44816</v>
      </c>
      <c r="H2581" s="28" t="s">
        <v>11681</v>
      </c>
      <c r="I2581" s="114" t="s">
        <v>12400</v>
      </c>
      <c r="J2581" s="114" t="s">
        <v>12401</v>
      </c>
    </row>
    <row r="2582" spans="1:10" ht="20" customHeight="1" thickBot="1">
      <c r="A2582" s="26" t="s">
        <v>11684</v>
      </c>
      <c r="B2582" s="26" t="s">
        <v>11684</v>
      </c>
      <c r="C2582" s="26" t="s">
        <v>1478</v>
      </c>
      <c r="D2582" s="116">
        <v>1</v>
      </c>
      <c r="E2582" s="122" t="s">
        <v>34</v>
      </c>
      <c r="F2582" s="119" t="s">
        <v>57</v>
      </c>
      <c r="G2582" s="27">
        <v>44400</v>
      </c>
      <c r="H2582" s="26" t="s">
        <v>11685</v>
      </c>
      <c r="I2582" s="113" t="s">
        <v>12400</v>
      </c>
      <c r="J2582" s="113" t="s">
        <v>12401</v>
      </c>
    </row>
    <row r="2583" spans="1:10" ht="20" customHeight="1" thickBot="1">
      <c r="A2583" s="28" t="s">
        <v>11688</v>
      </c>
      <c r="B2583" s="28" t="s">
        <v>11688</v>
      </c>
      <c r="C2583" s="28" t="s">
        <v>494</v>
      </c>
      <c r="D2583" s="117">
        <v>5</v>
      </c>
      <c r="E2583" s="122" t="s">
        <v>36</v>
      </c>
      <c r="F2583" s="120" t="s">
        <v>57</v>
      </c>
      <c r="G2583" s="29">
        <v>44953</v>
      </c>
      <c r="H2583" s="28" t="s">
        <v>11689</v>
      </c>
      <c r="I2583" s="114" t="s">
        <v>12400</v>
      </c>
      <c r="J2583" s="114" t="s">
        <v>12401</v>
      </c>
    </row>
    <row r="2584" spans="1:10" ht="20" customHeight="1" thickBot="1">
      <c r="A2584" s="26" t="s">
        <v>11692</v>
      </c>
      <c r="B2584" s="26" t="s">
        <v>11692</v>
      </c>
      <c r="C2584" s="26" t="s">
        <v>5894</v>
      </c>
      <c r="D2584" s="116">
        <v>9</v>
      </c>
      <c r="E2584" s="122" t="s">
        <v>35</v>
      </c>
      <c r="F2584" s="119" t="s">
        <v>57</v>
      </c>
      <c r="G2584" s="27">
        <v>45462</v>
      </c>
      <c r="H2584" s="26" t="s">
        <v>11693</v>
      </c>
      <c r="I2584" s="113" t="s">
        <v>12400</v>
      </c>
      <c r="J2584" s="113" t="s">
        <v>12401</v>
      </c>
    </row>
    <row r="2585" spans="1:10" ht="20" customHeight="1" thickBot="1">
      <c r="A2585" s="28" t="s">
        <v>11696</v>
      </c>
      <c r="B2585" s="28" t="s">
        <v>11696</v>
      </c>
      <c r="C2585" s="28" t="s">
        <v>6670</v>
      </c>
      <c r="D2585" s="117">
        <v>6</v>
      </c>
      <c r="E2585" s="122" t="s">
        <v>34</v>
      </c>
      <c r="F2585" s="120" t="s">
        <v>115</v>
      </c>
      <c r="G2585" s="29">
        <v>44623</v>
      </c>
      <c r="H2585" s="28" t="s">
        <v>11697</v>
      </c>
      <c r="I2585" s="114" t="s">
        <v>12400</v>
      </c>
      <c r="J2585" s="114" t="s">
        <v>12401</v>
      </c>
    </row>
    <row r="2586" spans="1:10" ht="20" customHeight="1" thickBot="1">
      <c r="A2586" s="26" t="s">
        <v>11700</v>
      </c>
      <c r="B2586" s="26" t="s">
        <v>11700</v>
      </c>
      <c r="C2586" s="26" t="s">
        <v>1996</v>
      </c>
      <c r="D2586" s="116">
        <v>20</v>
      </c>
      <c r="E2586" s="122" t="s">
        <v>31</v>
      </c>
      <c r="F2586" s="119" t="s">
        <v>63</v>
      </c>
      <c r="G2586" s="27">
        <v>42977</v>
      </c>
      <c r="H2586" s="26" t="s">
        <v>11701</v>
      </c>
      <c r="I2586" s="113" t="s">
        <v>12400</v>
      </c>
      <c r="J2586" s="113" t="s">
        <v>12401</v>
      </c>
    </row>
    <row r="2587" spans="1:10" ht="20" customHeight="1" thickBot="1">
      <c r="A2587" s="28" t="s">
        <v>11704</v>
      </c>
      <c r="B2587" s="28" t="s">
        <v>11704</v>
      </c>
      <c r="C2587" s="28" t="s">
        <v>2245</v>
      </c>
      <c r="D2587" s="117">
        <v>29</v>
      </c>
      <c r="E2587" s="122" t="s">
        <v>33</v>
      </c>
      <c r="F2587" s="120" t="s">
        <v>63</v>
      </c>
      <c r="G2587" s="29">
        <v>44312</v>
      </c>
      <c r="H2587" s="28" t="s">
        <v>11705</v>
      </c>
      <c r="I2587" s="114" t="s">
        <v>12400</v>
      </c>
      <c r="J2587" s="114" t="s">
        <v>12401</v>
      </c>
    </row>
    <row r="2588" spans="1:10" ht="20" customHeight="1" thickBot="1">
      <c r="A2588" s="26" t="s">
        <v>11708</v>
      </c>
      <c r="B2588" s="26" t="s">
        <v>11708</v>
      </c>
      <c r="C2588" s="26" t="s">
        <v>1230</v>
      </c>
      <c r="D2588" s="116">
        <v>5</v>
      </c>
      <c r="E2588" s="122" t="s">
        <v>29</v>
      </c>
      <c r="F2588" s="119" t="s">
        <v>63</v>
      </c>
      <c r="G2588" s="27">
        <v>42482</v>
      </c>
      <c r="H2588" s="26" t="s">
        <v>11709</v>
      </c>
      <c r="I2588" s="113" t="s">
        <v>12400</v>
      </c>
      <c r="J2588" s="113" t="s">
        <v>12401</v>
      </c>
    </row>
    <row r="2589" spans="1:10" ht="20" customHeight="1" thickBot="1">
      <c r="A2589" s="28" t="s">
        <v>11712</v>
      </c>
      <c r="B2589" s="28" t="s">
        <v>11712</v>
      </c>
      <c r="C2589" s="28" t="s">
        <v>11713</v>
      </c>
      <c r="D2589" s="117">
        <v>16</v>
      </c>
      <c r="E2589" s="122" t="s">
        <v>31</v>
      </c>
      <c r="F2589" s="120" t="s">
        <v>57</v>
      </c>
      <c r="G2589" s="29">
        <v>46220</v>
      </c>
      <c r="H2589" s="28" t="s">
        <v>11714</v>
      </c>
      <c r="I2589" s="114" t="s">
        <v>12400</v>
      </c>
      <c r="J2589" s="114" t="s">
        <v>12401</v>
      </c>
    </row>
    <row r="2590" spans="1:10" ht="20" customHeight="1" thickBot="1">
      <c r="A2590" s="26" t="s">
        <v>11717</v>
      </c>
      <c r="B2590" s="26" t="s">
        <v>11717</v>
      </c>
      <c r="C2590" s="26" t="s">
        <v>11718</v>
      </c>
      <c r="D2590" s="116">
        <v>8</v>
      </c>
      <c r="E2590" s="122" t="s">
        <v>34</v>
      </c>
      <c r="F2590" s="119" t="s">
        <v>57</v>
      </c>
      <c r="G2590" s="27">
        <v>43957</v>
      </c>
      <c r="H2590" s="26" t="s">
        <v>11719</v>
      </c>
      <c r="I2590" s="113" t="s">
        <v>12400</v>
      </c>
      <c r="J2590" s="113" t="s">
        <v>12401</v>
      </c>
    </row>
    <row r="2591" spans="1:10" ht="20" customHeight="1" thickBot="1">
      <c r="A2591" s="28" t="s">
        <v>11722</v>
      </c>
      <c r="B2591" s="28" t="s">
        <v>11722</v>
      </c>
      <c r="C2591" s="28" t="s">
        <v>11718</v>
      </c>
      <c r="D2591" s="117">
        <v>7</v>
      </c>
      <c r="E2591" s="122" t="s">
        <v>35</v>
      </c>
      <c r="F2591" s="120" t="s">
        <v>57</v>
      </c>
      <c r="G2591" s="29">
        <v>44506</v>
      </c>
      <c r="H2591" s="28" t="s">
        <v>11723</v>
      </c>
      <c r="I2591" s="114" t="s">
        <v>12400</v>
      </c>
      <c r="J2591" s="114" t="s">
        <v>12401</v>
      </c>
    </row>
    <row r="2592" spans="1:10" ht="20" customHeight="1" thickBot="1">
      <c r="A2592" s="26" t="s">
        <v>11726</v>
      </c>
      <c r="B2592" s="26" t="s">
        <v>11726</v>
      </c>
      <c r="C2592" s="26" t="s">
        <v>665</v>
      </c>
      <c r="D2592" s="116">
        <v>14</v>
      </c>
      <c r="E2592" s="122" t="s">
        <v>34</v>
      </c>
      <c r="F2592" s="119" t="s">
        <v>57</v>
      </c>
      <c r="G2592" s="27">
        <v>45022</v>
      </c>
      <c r="H2592" s="26" t="s">
        <v>11727</v>
      </c>
      <c r="I2592" s="113" t="s">
        <v>12400</v>
      </c>
      <c r="J2592" s="113" t="s">
        <v>12401</v>
      </c>
    </row>
    <row r="2593" spans="1:10" ht="20" customHeight="1" thickBot="1">
      <c r="A2593" s="28" t="s">
        <v>11730</v>
      </c>
      <c r="B2593" s="28" t="s">
        <v>11730</v>
      </c>
      <c r="C2593" s="28" t="s">
        <v>7218</v>
      </c>
      <c r="D2593" s="117">
        <v>10</v>
      </c>
      <c r="E2593" s="122" t="s">
        <v>31</v>
      </c>
      <c r="F2593" s="120" t="s">
        <v>63</v>
      </c>
      <c r="G2593" s="29">
        <v>45295</v>
      </c>
      <c r="H2593" s="28" t="s">
        <v>11731</v>
      </c>
      <c r="I2593" s="114" t="s">
        <v>12400</v>
      </c>
      <c r="J2593" s="114" t="s">
        <v>12401</v>
      </c>
    </row>
    <row r="2594" spans="1:10" ht="20" customHeight="1" thickBot="1">
      <c r="A2594" s="26" t="s">
        <v>11734</v>
      </c>
      <c r="B2594" s="26" t="s">
        <v>11734</v>
      </c>
      <c r="C2594" s="26" t="s">
        <v>11735</v>
      </c>
      <c r="D2594" s="116">
        <v>17</v>
      </c>
      <c r="E2594" s="122" t="s">
        <v>29</v>
      </c>
      <c r="F2594" s="119" t="s">
        <v>63</v>
      </c>
      <c r="G2594" s="27">
        <v>42611</v>
      </c>
      <c r="H2594" s="26" t="s">
        <v>11736</v>
      </c>
      <c r="I2594" s="113" t="s">
        <v>12400</v>
      </c>
      <c r="J2594" s="113" t="s">
        <v>12401</v>
      </c>
    </row>
    <row r="2595" spans="1:10" ht="20" customHeight="1" thickBot="1">
      <c r="A2595" s="28" t="s">
        <v>11739</v>
      </c>
      <c r="B2595" s="28" t="s">
        <v>11739</v>
      </c>
      <c r="C2595" s="28" t="s">
        <v>7530</v>
      </c>
      <c r="D2595" s="117">
        <v>43</v>
      </c>
      <c r="E2595" s="122" t="s">
        <v>33</v>
      </c>
      <c r="F2595" s="120" t="s">
        <v>63</v>
      </c>
      <c r="G2595" s="29">
        <v>45314</v>
      </c>
      <c r="H2595" s="28" t="s">
        <v>11740</v>
      </c>
      <c r="I2595" s="114" t="s">
        <v>12400</v>
      </c>
      <c r="J2595" s="114" t="s">
        <v>12401</v>
      </c>
    </row>
    <row r="2596" spans="1:10" ht="20" customHeight="1" thickBot="1">
      <c r="A2596" s="26" t="s">
        <v>11743</v>
      </c>
      <c r="B2596" s="26" t="s">
        <v>11743</v>
      </c>
      <c r="C2596" s="26" t="s">
        <v>8830</v>
      </c>
      <c r="D2596" s="116">
        <v>1</v>
      </c>
      <c r="E2596" s="122" t="s">
        <v>29</v>
      </c>
      <c r="F2596" s="119" t="s">
        <v>63</v>
      </c>
      <c r="G2596" s="27">
        <v>42128</v>
      </c>
      <c r="H2596" s="26" t="s">
        <v>11744</v>
      </c>
      <c r="I2596" s="113" t="s">
        <v>12400</v>
      </c>
      <c r="J2596" s="113" t="s">
        <v>12401</v>
      </c>
    </row>
    <row r="2597" spans="1:10" ht="20" customHeight="1" thickBot="1">
      <c r="A2597" s="28" t="s">
        <v>11747</v>
      </c>
      <c r="B2597" s="28" t="s">
        <v>11747</v>
      </c>
      <c r="C2597" s="28" t="s">
        <v>8543</v>
      </c>
      <c r="D2597" s="117">
        <v>9</v>
      </c>
      <c r="E2597" s="122" t="s">
        <v>29</v>
      </c>
      <c r="F2597" s="120" t="s">
        <v>63</v>
      </c>
      <c r="G2597" s="29">
        <v>41445</v>
      </c>
      <c r="H2597" s="28" t="s">
        <v>11748</v>
      </c>
      <c r="I2597" s="114" t="s">
        <v>12400</v>
      </c>
      <c r="J2597" s="114" t="s">
        <v>12401</v>
      </c>
    </row>
    <row r="2598" spans="1:10" ht="20" customHeight="1" thickBot="1">
      <c r="A2598" s="26" t="s">
        <v>11751</v>
      </c>
      <c r="B2598" s="26" t="s">
        <v>11751</v>
      </c>
      <c r="C2598" s="26" t="s">
        <v>1097</v>
      </c>
      <c r="D2598" s="116">
        <v>1</v>
      </c>
      <c r="E2598" s="122" t="s">
        <v>35</v>
      </c>
      <c r="F2598" s="119" t="s">
        <v>57</v>
      </c>
      <c r="G2598" s="27">
        <v>44197</v>
      </c>
      <c r="H2598" s="26" t="s">
        <v>11752</v>
      </c>
      <c r="I2598" s="113" t="s">
        <v>12400</v>
      </c>
      <c r="J2598" s="113" t="s">
        <v>12401</v>
      </c>
    </row>
    <row r="2599" spans="1:10" ht="20" customHeight="1" thickBot="1">
      <c r="A2599" s="28" t="s">
        <v>11755</v>
      </c>
      <c r="B2599" s="28" t="s">
        <v>11755</v>
      </c>
      <c r="C2599" s="28" t="s">
        <v>11756</v>
      </c>
      <c r="D2599" s="117">
        <v>4</v>
      </c>
      <c r="E2599" s="122" t="s">
        <v>29</v>
      </c>
      <c r="F2599" s="120" t="s">
        <v>63</v>
      </c>
      <c r="G2599" s="29">
        <v>44021</v>
      </c>
      <c r="H2599" s="28" t="s">
        <v>11757</v>
      </c>
      <c r="I2599" s="114" t="s">
        <v>12400</v>
      </c>
      <c r="J2599" s="114" t="s">
        <v>12401</v>
      </c>
    </row>
    <row r="2600" spans="1:10" ht="20" customHeight="1" thickBot="1">
      <c r="A2600" s="26" t="s">
        <v>11760</v>
      </c>
      <c r="B2600" s="26" t="s">
        <v>11760</v>
      </c>
      <c r="C2600" s="26" t="s">
        <v>11761</v>
      </c>
      <c r="D2600" s="116">
        <v>11</v>
      </c>
      <c r="E2600" s="122" t="s">
        <v>33</v>
      </c>
      <c r="F2600" s="119" t="s">
        <v>57</v>
      </c>
      <c r="G2600" s="27">
        <v>44595</v>
      </c>
      <c r="H2600" s="26" t="s">
        <v>11762</v>
      </c>
      <c r="I2600" s="113" t="s">
        <v>12400</v>
      </c>
      <c r="J2600" s="113" t="s">
        <v>12401</v>
      </c>
    </row>
    <row r="2601" spans="1:10" ht="20" customHeight="1" thickBot="1">
      <c r="A2601" s="28" t="s">
        <v>11765</v>
      </c>
      <c r="B2601" s="28" t="s">
        <v>11765</v>
      </c>
      <c r="C2601" s="28" t="s">
        <v>11766</v>
      </c>
      <c r="D2601" s="117">
        <v>31</v>
      </c>
      <c r="E2601" s="122" t="s">
        <v>29</v>
      </c>
      <c r="F2601" s="120" t="s">
        <v>63</v>
      </c>
      <c r="G2601" s="29">
        <v>45370</v>
      </c>
      <c r="H2601" s="28" t="s">
        <v>11767</v>
      </c>
      <c r="I2601" s="114" t="s">
        <v>12400</v>
      </c>
      <c r="J2601" s="114" t="s">
        <v>12401</v>
      </c>
    </row>
    <row r="2602" spans="1:10" ht="20" customHeight="1" thickBot="1">
      <c r="A2602" s="26" t="s">
        <v>11770</v>
      </c>
      <c r="B2602" s="26" t="s">
        <v>11770</v>
      </c>
      <c r="C2602" s="26" t="s">
        <v>2979</v>
      </c>
      <c r="D2602" s="116">
        <v>12</v>
      </c>
      <c r="E2602" s="122" t="s">
        <v>33</v>
      </c>
      <c r="F2602" s="119" t="s">
        <v>57</v>
      </c>
      <c r="G2602" s="27">
        <v>45680</v>
      </c>
      <c r="H2602" s="26" t="s">
        <v>11771</v>
      </c>
      <c r="I2602" s="113" t="s">
        <v>12400</v>
      </c>
      <c r="J2602" s="113" t="s">
        <v>12401</v>
      </c>
    </row>
    <row r="2603" spans="1:10" ht="20" customHeight="1" thickBot="1">
      <c r="A2603" s="28" t="s">
        <v>11774</v>
      </c>
      <c r="B2603" s="28" t="s">
        <v>11774</v>
      </c>
      <c r="C2603" s="28" t="s">
        <v>641</v>
      </c>
      <c r="D2603" s="117">
        <v>34</v>
      </c>
      <c r="E2603" s="122" t="s">
        <v>35</v>
      </c>
      <c r="F2603" s="120" t="s">
        <v>57</v>
      </c>
      <c r="G2603" s="29">
        <v>45665</v>
      </c>
      <c r="H2603" s="28" t="s">
        <v>11775</v>
      </c>
      <c r="I2603" s="114" t="s">
        <v>12400</v>
      </c>
      <c r="J2603" s="114" t="s">
        <v>12401</v>
      </c>
    </row>
    <row r="2604" spans="1:10" ht="20" customHeight="1" thickBot="1">
      <c r="A2604" s="26" t="s">
        <v>11778</v>
      </c>
      <c r="B2604" s="26" t="s">
        <v>11778</v>
      </c>
      <c r="C2604" s="26" t="s">
        <v>11779</v>
      </c>
      <c r="D2604" s="116">
        <v>4</v>
      </c>
      <c r="E2604" s="122" t="s">
        <v>29</v>
      </c>
      <c r="F2604" s="119" t="s">
        <v>63</v>
      </c>
      <c r="G2604" s="27">
        <v>42211</v>
      </c>
      <c r="H2604" s="26" t="s">
        <v>11780</v>
      </c>
      <c r="I2604" s="113" t="s">
        <v>12400</v>
      </c>
      <c r="J2604" s="113" t="s">
        <v>12401</v>
      </c>
    </row>
    <row r="2605" spans="1:10" ht="20" customHeight="1" thickBot="1">
      <c r="A2605" s="28" t="s">
        <v>11783</v>
      </c>
      <c r="B2605" s="28" t="s">
        <v>11783</v>
      </c>
      <c r="C2605" s="28" t="s">
        <v>10003</v>
      </c>
      <c r="D2605" s="117">
        <v>25</v>
      </c>
      <c r="E2605" s="122" t="s">
        <v>35</v>
      </c>
      <c r="F2605" s="120" t="s">
        <v>57</v>
      </c>
      <c r="G2605" s="29">
        <v>43449</v>
      </c>
      <c r="H2605" s="28" t="s">
        <v>11784</v>
      </c>
      <c r="I2605" s="114" t="s">
        <v>12400</v>
      </c>
      <c r="J2605" s="114" t="s">
        <v>12401</v>
      </c>
    </row>
    <row r="2606" spans="1:10" ht="20" customHeight="1" thickBot="1">
      <c r="A2606" s="26" t="s">
        <v>11787</v>
      </c>
      <c r="B2606" s="26" t="s">
        <v>11787</v>
      </c>
      <c r="C2606" s="26" t="s">
        <v>10003</v>
      </c>
      <c r="D2606" s="116">
        <v>20</v>
      </c>
      <c r="E2606" s="122" t="s">
        <v>35</v>
      </c>
      <c r="F2606" s="119" t="s">
        <v>57</v>
      </c>
      <c r="G2606" s="27">
        <v>43962</v>
      </c>
      <c r="H2606" s="26" t="s">
        <v>11788</v>
      </c>
      <c r="I2606" s="113" t="s">
        <v>12400</v>
      </c>
      <c r="J2606" s="113" t="s">
        <v>12401</v>
      </c>
    </row>
    <row r="2607" spans="1:10" ht="20" customHeight="1" thickBot="1">
      <c r="A2607" s="28" t="s">
        <v>11791</v>
      </c>
      <c r="B2607" s="28" t="s">
        <v>11791</v>
      </c>
      <c r="C2607" s="28" t="s">
        <v>10219</v>
      </c>
      <c r="D2607" s="117">
        <v>2</v>
      </c>
      <c r="E2607" s="122" t="s">
        <v>29</v>
      </c>
      <c r="F2607" s="120" t="s">
        <v>63</v>
      </c>
      <c r="G2607" s="29">
        <v>42108</v>
      </c>
      <c r="H2607" s="28" t="s">
        <v>11792</v>
      </c>
      <c r="I2607" s="114" t="s">
        <v>12400</v>
      </c>
      <c r="J2607" s="114" t="s">
        <v>12401</v>
      </c>
    </row>
    <row r="2608" spans="1:10" ht="20" customHeight="1" thickBot="1">
      <c r="A2608" s="26" t="s">
        <v>11795</v>
      </c>
      <c r="B2608" s="26" t="s">
        <v>11795</v>
      </c>
      <c r="C2608" s="26" t="s">
        <v>1967</v>
      </c>
      <c r="D2608" s="116">
        <v>11</v>
      </c>
      <c r="E2608" s="122" t="s">
        <v>35</v>
      </c>
      <c r="F2608" s="119" t="s">
        <v>57</v>
      </c>
      <c r="G2608" s="27">
        <v>44063</v>
      </c>
      <c r="H2608" s="26" t="s">
        <v>11796</v>
      </c>
      <c r="I2608" s="113" t="s">
        <v>12400</v>
      </c>
      <c r="J2608" s="113" t="s">
        <v>12401</v>
      </c>
    </row>
    <row r="2609" spans="1:10" ht="20" customHeight="1" thickBot="1">
      <c r="A2609" s="28" t="s">
        <v>11799</v>
      </c>
      <c r="B2609" s="28" t="s">
        <v>11799</v>
      </c>
      <c r="C2609" s="28" t="s">
        <v>1520</v>
      </c>
      <c r="D2609" s="117">
        <v>38</v>
      </c>
      <c r="E2609" s="122" t="s">
        <v>31</v>
      </c>
      <c r="F2609" s="120" t="s">
        <v>63</v>
      </c>
      <c r="G2609" s="29">
        <v>43723</v>
      </c>
      <c r="H2609" s="28" t="s">
        <v>11800</v>
      </c>
      <c r="I2609" s="114" t="s">
        <v>12400</v>
      </c>
      <c r="J2609" s="114" t="s">
        <v>12401</v>
      </c>
    </row>
    <row r="2610" spans="1:10" ht="20" customHeight="1" thickBot="1">
      <c r="A2610" s="26" t="s">
        <v>11803</v>
      </c>
      <c r="B2610" s="26" t="s">
        <v>11803</v>
      </c>
      <c r="C2610" s="26" t="s">
        <v>3077</v>
      </c>
      <c r="D2610" s="116">
        <v>63</v>
      </c>
      <c r="E2610" s="122" t="s">
        <v>33</v>
      </c>
      <c r="F2610" s="119" t="s">
        <v>115</v>
      </c>
      <c r="G2610" s="27">
        <v>46026</v>
      </c>
      <c r="H2610" s="26" t="s">
        <v>11804</v>
      </c>
      <c r="I2610" s="113" t="s">
        <v>12400</v>
      </c>
      <c r="J2610" s="113" t="s">
        <v>12401</v>
      </c>
    </row>
    <row r="2611" spans="1:10" ht="20" customHeight="1" thickBot="1">
      <c r="A2611" s="28" t="s">
        <v>11807</v>
      </c>
      <c r="B2611" s="28" t="s">
        <v>11807</v>
      </c>
      <c r="C2611" s="28" t="s">
        <v>11808</v>
      </c>
      <c r="D2611" s="117">
        <v>11</v>
      </c>
      <c r="E2611" s="122" t="s">
        <v>36</v>
      </c>
      <c r="F2611" s="120" t="s">
        <v>57</v>
      </c>
      <c r="G2611" s="29">
        <v>45867</v>
      </c>
      <c r="H2611" s="28" t="s">
        <v>11809</v>
      </c>
      <c r="I2611" s="114" t="s">
        <v>12400</v>
      </c>
      <c r="J2611" s="114" t="s">
        <v>12401</v>
      </c>
    </row>
    <row r="2612" spans="1:10" ht="20" customHeight="1" thickBot="1">
      <c r="A2612" s="26" t="s">
        <v>11812</v>
      </c>
      <c r="B2612" s="26" t="s">
        <v>11812</v>
      </c>
      <c r="C2612" s="26" t="s">
        <v>11813</v>
      </c>
      <c r="D2612" s="116">
        <v>8</v>
      </c>
      <c r="E2612" s="122" t="s">
        <v>27</v>
      </c>
      <c r="F2612" s="119" t="s">
        <v>63</v>
      </c>
      <c r="G2612" s="27">
        <v>43721</v>
      </c>
      <c r="H2612" s="26" t="s">
        <v>11814</v>
      </c>
      <c r="I2612" s="113" t="s">
        <v>12400</v>
      </c>
      <c r="J2612" s="113" t="s">
        <v>12401</v>
      </c>
    </row>
    <row r="2613" spans="1:10" ht="20" customHeight="1" thickBot="1">
      <c r="A2613" s="28" t="s">
        <v>11817</v>
      </c>
      <c r="B2613" s="28" t="s">
        <v>11817</v>
      </c>
      <c r="C2613" s="28" t="s">
        <v>130</v>
      </c>
      <c r="D2613" s="117">
        <v>2</v>
      </c>
      <c r="E2613" s="122" t="s">
        <v>29</v>
      </c>
      <c r="F2613" s="120" t="s">
        <v>63</v>
      </c>
      <c r="G2613" s="29">
        <v>42744</v>
      </c>
      <c r="H2613" s="28" t="s">
        <v>11818</v>
      </c>
      <c r="I2613" s="114" t="s">
        <v>12400</v>
      </c>
      <c r="J2613" s="114" t="s">
        <v>12401</v>
      </c>
    </row>
    <row r="2614" spans="1:10" ht="20" customHeight="1" thickBot="1">
      <c r="A2614" s="26" t="s">
        <v>11821</v>
      </c>
      <c r="B2614" s="26" t="s">
        <v>11821</v>
      </c>
      <c r="C2614" s="26" t="s">
        <v>1306</v>
      </c>
      <c r="D2614" s="116">
        <v>39</v>
      </c>
      <c r="E2614" s="122" t="s">
        <v>35</v>
      </c>
      <c r="F2614" s="119" t="s">
        <v>115</v>
      </c>
      <c r="G2614" s="27">
        <v>44571</v>
      </c>
      <c r="H2614" s="26" t="s">
        <v>11822</v>
      </c>
      <c r="I2614" s="113" t="s">
        <v>12400</v>
      </c>
      <c r="J2614" s="113" t="s">
        <v>12401</v>
      </c>
    </row>
    <row r="2615" spans="1:10" ht="20" customHeight="1" thickBot="1">
      <c r="A2615" s="28" t="s">
        <v>11825</v>
      </c>
      <c r="B2615" s="28" t="s">
        <v>11825</v>
      </c>
      <c r="C2615" s="28" t="s">
        <v>1306</v>
      </c>
      <c r="D2615" s="117">
        <v>27</v>
      </c>
      <c r="E2615" s="122" t="s">
        <v>31</v>
      </c>
      <c r="F2615" s="120" t="s">
        <v>63</v>
      </c>
      <c r="G2615" s="29">
        <v>44888</v>
      </c>
      <c r="H2615" s="28" t="s">
        <v>11826</v>
      </c>
      <c r="I2615" s="114" t="s">
        <v>12400</v>
      </c>
      <c r="J2615" s="114" t="s">
        <v>12401</v>
      </c>
    </row>
    <row r="2616" spans="1:10" ht="20" customHeight="1" thickBot="1">
      <c r="A2616" s="26" t="s">
        <v>11829</v>
      </c>
      <c r="B2616" s="26" t="s">
        <v>11829</v>
      </c>
      <c r="C2616" s="26" t="s">
        <v>1306</v>
      </c>
      <c r="D2616" s="116">
        <v>25</v>
      </c>
      <c r="E2616" s="122" t="s">
        <v>31</v>
      </c>
      <c r="F2616" s="119" t="s">
        <v>63</v>
      </c>
      <c r="G2616" s="27">
        <v>45189</v>
      </c>
      <c r="H2616" s="26" t="s">
        <v>11830</v>
      </c>
      <c r="I2616" s="113" t="s">
        <v>12400</v>
      </c>
      <c r="J2616" s="113" t="s">
        <v>12401</v>
      </c>
    </row>
    <row r="2617" spans="1:10" ht="20" customHeight="1" thickBot="1">
      <c r="A2617" s="28" t="s">
        <v>11833</v>
      </c>
      <c r="B2617" s="28" t="s">
        <v>11833</v>
      </c>
      <c r="C2617" s="28" t="s">
        <v>1306</v>
      </c>
      <c r="D2617" s="117">
        <v>37</v>
      </c>
      <c r="E2617" s="122" t="s">
        <v>33</v>
      </c>
      <c r="F2617" s="120" t="s">
        <v>63</v>
      </c>
      <c r="G2617" s="29">
        <v>45443</v>
      </c>
      <c r="H2617" s="28" t="s">
        <v>11834</v>
      </c>
      <c r="I2617" s="114" t="s">
        <v>12400</v>
      </c>
      <c r="J2617" s="114" t="s">
        <v>12401</v>
      </c>
    </row>
    <row r="2618" spans="1:10" ht="20" customHeight="1" thickBot="1">
      <c r="A2618" s="26" t="s">
        <v>11837</v>
      </c>
      <c r="B2618" s="26" t="s">
        <v>11837</v>
      </c>
      <c r="C2618" s="26" t="s">
        <v>11838</v>
      </c>
      <c r="D2618" s="116">
        <v>1</v>
      </c>
      <c r="E2618" s="122" t="s">
        <v>34</v>
      </c>
      <c r="F2618" s="119" t="s">
        <v>57</v>
      </c>
      <c r="G2618" s="27">
        <v>44789</v>
      </c>
      <c r="H2618" s="26" t="s">
        <v>11839</v>
      </c>
      <c r="I2618" s="113" t="s">
        <v>12400</v>
      </c>
      <c r="J2618" s="113" t="s">
        <v>12401</v>
      </c>
    </row>
    <row r="2619" spans="1:10" ht="20" customHeight="1" thickBot="1">
      <c r="A2619" s="28" t="s">
        <v>11842</v>
      </c>
      <c r="B2619" s="28" t="s">
        <v>11842</v>
      </c>
      <c r="C2619" s="28" t="s">
        <v>355</v>
      </c>
      <c r="D2619" s="117">
        <v>11</v>
      </c>
      <c r="E2619" s="122" t="s">
        <v>34</v>
      </c>
      <c r="F2619" s="120" t="s">
        <v>57</v>
      </c>
      <c r="G2619" s="29">
        <v>44172</v>
      </c>
      <c r="H2619" s="28" t="s">
        <v>11843</v>
      </c>
      <c r="I2619" s="114" t="s">
        <v>12400</v>
      </c>
      <c r="J2619" s="114" t="s">
        <v>12401</v>
      </c>
    </row>
    <row r="2620" spans="1:10" ht="20" customHeight="1" thickBot="1">
      <c r="A2620" s="26" t="s">
        <v>11846</v>
      </c>
      <c r="B2620" s="26" t="s">
        <v>11846</v>
      </c>
      <c r="C2620" s="26" t="s">
        <v>355</v>
      </c>
      <c r="D2620" s="116">
        <v>10</v>
      </c>
      <c r="E2620" s="122" t="s">
        <v>34</v>
      </c>
      <c r="F2620" s="119" t="s">
        <v>57</v>
      </c>
      <c r="G2620" s="27">
        <v>44369</v>
      </c>
      <c r="H2620" s="26" t="s">
        <v>11847</v>
      </c>
      <c r="I2620" s="113" t="s">
        <v>12400</v>
      </c>
      <c r="J2620" s="113" t="s">
        <v>12401</v>
      </c>
    </row>
    <row r="2621" spans="1:10" ht="20" customHeight="1" thickBot="1">
      <c r="A2621" s="28" t="s">
        <v>11850</v>
      </c>
      <c r="B2621" s="28" t="s">
        <v>11850</v>
      </c>
      <c r="C2621" s="28" t="s">
        <v>355</v>
      </c>
      <c r="D2621" s="117">
        <v>9</v>
      </c>
      <c r="E2621" s="122" t="s">
        <v>34</v>
      </c>
      <c r="F2621" s="120" t="s">
        <v>57</v>
      </c>
      <c r="G2621" s="29">
        <v>44833</v>
      </c>
      <c r="H2621" s="28" t="s">
        <v>11851</v>
      </c>
      <c r="I2621" s="114" t="s">
        <v>12400</v>
      </c>
      <c r="J2621" s="114" t="s">
        <v>12401</v>
      </c>
    </row>
    <row r="2622" spans="1:10" ht="20" customHeight="1" thickBot="1">
      <c r="A2622" s="26" t="s">
        <v>11854</v>
      </c>
      <c r="B2622" s="26" t="s">
        <v>11854</v>
      </c>
      <c r="C2622" s="26" t="s">
        <v>3685</v>
      </c>
      <c r="D2622" s="116">
        <v>31</v>
      </c>
      <c r="E2622" s="122" t="s">
        <v>34</v>
      </c>
      <c r="F2622" s="119" t="s">
        <v>63</v>
      </c>
      <c r="G2622" s="27">
        <v>44167</v>
      </c>
      <c r="H2622" s="26" t="s">
        <v>11855</v>
      </c>
      <c r="I2622" s="113" t="s">
        <v>12400</v>
      </c>
      <c r="J2622" s="113" t="s">
        <v>12401</v>
      </c>
    </row>
    <row r="2623" spans="1:10" ht="20" customHeight="1" thickBot="1">
      <c r="A2623" s="28" t="s">
        <v>11858</v>
      </c>
      <c r="B2623" s="28" t="s">
        <v>11858</v>
      </c>
      <c r="C2623" s="28" t="s">
        <v>1731</v>
      </c>
      <c r="D2623" s="117">
        <v>6</v>
      </c>
      <c r="E2623" s="122" t="s">
        <v>35</v>
      </c>
      <c r="F2623" s="120" t="s">
        <v>57</v>
      </c>
      <c r="G2623" s="29">
        <v>44161</v>
      </c>
      <c r="H2623" s="28" t="s">
        <v>11859</v>
      </c>
      <c r="I2623" s="114" t="s">
        <v>12400</v>
      </c>
      <c r="J2623" s="114" t="s">
        <v>12401</v>
      </c>
    </row>
    <row r="2624" spans="1:10" ht="20" customHeight="1" thickBot="1">
      <c r="A2624" s="26" t="s">
        <v>11862</v>
      </c>
      <c r="B2624" s="26" t="s">
        <v>11862</v>
      </c>
      <c r="C2624" s="26" t="s">
        <v>11863</v>
      </c>
      <c r="D2624" s="116">
        <v>12</v>
      </c>
      <c r="E2624" s="122" t="s">
        <v>31</v>
      </c>
      <c r="F2624" s="119" t="s">
        <v>63</v>
      </c>
      <c r="G2624" s="27">
        <v>43944</v>
      </c>
      <c r="H2624" s="26" t="s">
        <v>11864</v>
      </c>
      <c r="I2624" s="113" t="s">
        <v>12400</v>
      </c>
      <c r="J2624" s="113" t="s">
        <v>12401</v>
      </c>
    </row>
    <row r="2625" spans="1:10" ht="20" customHeight="1" thickBot="1">
      <c r="A2625" s="28" t="s">
        <v>11867</v>
      </c>
      <c r="B2625" s="28" t="s">
        <v>11867</v>
      </c>
      <c r="C2625" s="28" t="s">
        <v>11178</v>
      </c>
      <c r="D2625" s="117">
        <v>1</v>
      </c>
      <c r="E2625" s="122" t="s">
        <v>35</v>
      </c>
      <c r="F2625" s="120" t="s">
        <v>89</v>
      </c>
      <c r="G2625" s="29">
        <v>43228</v>
      </c>
      <c r="H2625" s="28" t="s">
        <v>11868</v>
      </c>
      <c r="I2625" s="114" t="s">
        <v>12400</v>
      </c>
      <c r="J2625" s="114" t="s">
        <v>12401</v>
      </c>
    </row>
    <row r="2626" spans="1:10" ht="20" customHeight="1" thickBot="1">
      <c r="A2626" s="26" t="s">
        <v>11871</v>
      </c>
      <c r="B2626" s="26" t="s">
        <v>11871</v>
      </c>
      <c r="C2626" s="26" t="s">
        <v>8255</v>
      </c>
      <c r="D2626" s="116">
        <v>2</v>
      </c>
      <c r="E2626" s="122" t="s">
        <v>33</v>
      </c>
      <c r="F2626" s="119" t="s">
        <v>57</v>
      </c>
      <c r="G2626" s="27">
        <v>44593</v>
      </c>
      <c r="H2626" s="26" t="s">
        <v>11872</v>
      </c>
      <c r="I2626" s="113" t="s">
        <v>12400</v>
      </c>
      <c r="J2626" s="113" t="s">
        <v>12401</v>
      </c>
    </row>
    <row r="2627" spans="1:10" ht="20" customHeight="1" thickBot="1">
      <c r="A2627" s="28" t="s">
        <v>11875</v>
      </c>
      <c r="B2627" s="28" t="s">
        <v>11875</v>
      </c>
      <c r="C2627" s="28" t="s">
        <v>641</v>
      </c>
      <c r="D2627" s="117">
        <v>10</v>
      </c>
      <c r="E2627" s="122" t="s">
        <v>36</v>
      </c>
      <c r="F2627" s="120" t="s">
        <v>57</v>
      </c>
      <c r="G2627" s="29">
        <v>44893</v>
      </c>
      <c r="H2627" s="28" t="s">
        <v>11876</v>
      </c>
      <c r="I2627" s="114" t="s">
        <v>12400</v>
      </c>
      <c r="J2627" s="114" t="s">
        <v>12401</v>
      </c>
    </row>
    <row r="2628" spans="1:10" ht="20" customHeight="1" thickBot="1">
      <c r="A2628" s="26" t="s">
        <v>11879</v>
      </c>
      <c r="B2628" s="26" t="s">
        <v>11879</v>
      </c>
      <c r="C2628" s="26" t="s">
        <v>2488</v>
      </c>
      <c r="D2628" s="116">
        <v>15</v>
      </c>
      <c r="E2628" s="122" t="s">
        <v>33</v>
      </c>
      <c r="F2628" s="119" t="s">
        <v>57</v>
      </c>
      <c r="G2628" s="27">
        <v>44882</v>
      </c>
      <c r="H2628" s="26" t="s">
        <v>11880</v>
      </c>
      <c r="I2628" s="113" t="s">
        <v>12400</v>
      </c>
      <c r="J2628" s="113" t="s">
        <v>12401</v>
      </c>
    </row>
    <row r="2629" spans="1:10" ht="20" customHeight="1" thickBot="1">
      <c r="A2629" s="28" t="s">
        <v>11883</v>
      </c>
      <c r="B2629" s="28" t="s">
        <v>11883</v>
      </c>
      <c r="C2629" s="28" t="s">
        <v>322</v>
      </c>
      <c r="D2629" s="117">
        <v>6</v>
      </c>
      <c r="E2629" s="122" t="s">
        <v>34</v>
      </c>
      <c r="F2629" s="120" t="s">
        <v>57</v>
      </c>
      <c r="G2629" s="29">
        <v>41780</v>
      </c>
      <c r="H2629" s="28" t="s">
        <v>11884</v>
      </c>
      <c r="I2629" s="114" t="s">
        <v>12400</v>
      </c>
      <c r="J2629" s="114" t="s">
        <v>12401</v>
      </c>
    </row>
    <row r="2630" spans="1:10" ht="20" customHeight="1" thickBot="1">
      <c r="A2630" s="26" t="s">
        <v>11887</v>
      </c>
      <c r="B2630" s="26" t="s">
        <v>11887</v>
      </c>
      <c r="C2630" s="26" t="s">
        <v>11888</v>
      </c>
      <c r="D2630" s="116">
        <v>8</v>
      </c>
      <c r="E2630" s="122" t="s">
        <v>34</v>
      </c>
      <c r="F2630" s="119" t="s">
        <v>57</v>
      </c>
      <c r="G2630" s="27">
        <v>43964</v>
      </c>
      <c r="H2630" s="26" t="s">
        <v>11889</v>
      </c>
      <c r="I2630" s="113" t="s">
        <v>12400</v>
      </c>
      <c r="J2630" s="113" t="s">
        <v>12401</v>
      </c>
    </row>
    <row r="2631" spans="1:10" ht="20" customHeight="1" thickBot="1">
      <c r="A2631" s="28" t="s">
        <v>11892</v>
      </c>
      <c r="B2631" s="28" t="s">
        <v>11892</v>
      </c>
      <c r="C2631" s="28" t="s">
        <v>11893</v>
      </c>
      <c r="D2631" s="117">
        <v>5</v>
      </c>
      <c r="E2631" s="122" t="s">
        <v>33</v>
      </c>
      <c r="F2631" s="120" t="s">
        <v>57</v>
      </c>
      <c r="G2631" s="29">
        <v>42093</v>
      </c>
      <c r="H2631" s="28" t="s">
        <v>11894</v>
      </c>
      <c r="I2631" s="114" t="s">
        <v>12400</v>
      </c>
      <c r="J2631" s="114" t="s">
        <v>12401</v>
      </c>
    </row>
    <row r="2632" spans="1:10" ht="20" customHeight="1" thickBot="1">
      <c r="A2632" s="26" t="s">
        <v>11897</v>
      </c>
      <c r="B2632" s="26" t="s">
        <v>11897</v>
      </c>
      <c r="C2632" s="26" t="s">
        <v>718</v>
      </c>
      <c r="D2632" s="116">
        <v>8</v>
      </c>
      <c r="E2632" s="122" t="s">
        <v>34</v>
      </c>
      <c r="F2632" s="119" t="s">
        <v>57</v>
      </c>
      <c r="G2632" s="27">
        <v>45404</v>
      </c>
      <c r="H2632" s="26" t="s">
        <v>11898</v>
      </c>
      <c r="I2632" s="113" t="s">
        <v>12400</v>
      </c>
      <c r="J2632" s="113" t="s">
        <v>12401</v>
      </c>
    </row>
    <row r="2633" spans="1:10" ht="20" customHeight="1" thickBot="1">
      <c r="A2633" s="28" t="s">
        <v>11901</v>
      </c>
      <c r="B2633" s="28" t="s">
        <v>11901</v>
      </c>
      <c r="C2633" s="28" t="s">
        <v>8078</v>
      </c>
      <c r="D2633" s="117">
        <v>8</v>
      </c>
      <c r="E2633" s="122" t="s">
        <v>34</v>
      </c>
      <c r="F2633" s="120" t="s">
        <v>57</v>
      </c>
      <c r="G2633" s="29">
        <v>45254</v>
      </c>
      <c r="H2633" s="28" t="s">
        <v>11902</v>
      </c>
      <c r="I2633" s="114" t="s">
        <v>12400</v>
      </c>
      <c r="J2633" s="114" t="s">
        <v>12401</v>
      </c>
    </row>
    <row r="2634" spans="1:10" ht="20" customHeight="1" thickBot="1">
      <c r="A2634" s="26" t="s">
        <v>11905</v>
      </c>
      <c r="B2634" s="26" t="s">
        <v>11905</v>
      </c>
      <c r="C2634" s="26" t="s">
        <v>2588</v>
      </c>
      <c r="D2634" s="116">
        <v>11</v>
      </c>
      <c r="E2634" s="122" t="s">
        <v>35</v>
      </c>
      <c r="F2634" s="119" t="s">
        <v>57</v>
      </c>
      <c r="G2634" s="27">
        <v>46080</v>
      </c>
      <c r="H2634" s="26" t="s">
        <v>11906</v>
      </c>
      <c r="I2634" s="113" t="s">
        <v>12400</v>
      </c>
      <c r="J2634" s="113" t="s">
        <v>12401</v>
      </c>
    </row>
    <row r="2635" spans="1:10" ht="20" customHeight="1" thickBot="1">
      <c r="A2635" s="28" t="s">
        <v>11909</v>
      </c>
      <c r="B2635" s="28" t="s">
        <v>11909</v>
      </c>
      <c r="C2635" s="28" t="s">
        <v>10820</v>
      </c>
      <c r="D2635" s="117">
        <v>39</v>
      </c>
      <c r="E2635" s="122" t="s">
        <v>31</v>
      </c>
      <c r="F2635" s="120" t="s">
        <v>63</v>
      </c>
      <c r="G2635" s="29">
        <v>45042</v>
      </c>
      <c r="H2635" s="28" t="s">
        <v>11910</v>
      </c>
      <c r="I2635" s="114" t="s">
        <v>12400</v>
      </c>
      <c r="J2635" s="114" t="s">
        <v>12401</v>
      </c>
    </row>
    <row r="2636" spans="1:10" ht="20" customHeight="1" thickBot="1">
      <c r="A2636" s="26" t="s">
        <v>11913</v>
      </c>
      <c r="B2636" s="26" t="s">
        <v>11913</v>
      </c>
      <c r="C2636" s="26" t="s">
        <v>1119</v>
      </c>
      <c r="D2636" s="116">
        <v>7</v>
      </c>
      <c r="E2636" s="122" t="s">
        <v>27</v>
      </c>
      <c r="F2636" s="119" t="s">
        <v>63</v>
      </c>
      <c r="G2636" s="27">
        <v>41445</v>
      </c>
      <c r="H2636" s="26" t="s">
        <v>11914</v>
      </c>
      <c r="I2636" s="113" t="s">
        <v>12400</v>
      </c>
      <c r="J2636" s="113" t="s">
        <v>12401</v>
      </c>
    </row>
    <row r="2637" spans="1:10" ht="20" customHeight="1" thickBot="1">
      <c r="A2637" s="28" t="s">
        <v>11917</v>
      </c>
      <c r="B2637" s="28" t="s">
        <v>11917</v>
      </c>
      <c r="C2637" s="28" t="s">
        <v>4638</v>
      </c>
      <c r="D2637" s="117">
        <v>74</v>
      </c>
      <c r="E2637" s="122" t="s">
        <v>31</v>
      </c>
      <c r="F2637" s="120" t="s">
        <v>63</v>
      </c>
      <c r="G2637" s="29">
        <v>45753</v>
      </c>
      <c r="H2637" s="28" t="s">
        <v>11918</v>
      </c>
      <c r="I2637" s="114" t="s">
        <v>12400</v>
      </c>
      <c r="J2637" s="114" t="s">
        <v>12401</v>
      </c>
    </row>
    <row r="2638" spans="1:10" ht="20" customHeight="1" thickBot="1">
      <c r="A2638" s="26" t="s">
        <v>11921</v>
      </c>
      <c r="B2638" s="26" t="s">
        <v>11921</v>
      </c>
      <c r="C2638" s="26" t="s">
        <v>233</v>
      </c>
      <c r="D2638" s="116">
        <v>12</v>
      </c>
      <c r="E2638" s="122" t="s">
        <v>33</v>
      </c>
      <c r="F2638" s="119" t="s">
        <v>63</v>
      </c>
      <c r="G2638" s="27">
        <v>46079</v>
      </c>
      <c r="H2638" s="26" t="s">
        <v>11922</v>
      </c>
      <c r="I2638" s="113" t="s">
        <v>12400</v>
      </c>
      <c r="J2638" s="113" t="s">
        <v>12401</v>
      </c>
    </row>
    <row r="2639" spans="1:10" ht="20" customHeight="1" thickBot="1">
      <c r="A2639" s="28" t="s">
        <v>11925</v>
      </c>
      <c r="B2639" s="28" t="s">
        <v>11925</v>
      </c>
      <c r="C2639" s="28" t="s">
        <v>5480</v>
      </c>
      <c r="D2639" s="117">
        <v>27</v>
      </c>
      <c r="E2639" s="122" t="s">
        <v>34</v>
      </c>
      <c r="F2639" s="120" t="s">
        <v>57</v>
      </c>
      <c r="G2639" s="29">
        <v>44151</v>
      </c>
      <c r="H2639" s="28" t="s">
        <v>11926</v>
      </c>
      <c r="I2639" s="114" t="s">
        <v>12400</v>
      </c>
      <c r="J2639" s="114" t="s">
        <v>12401</v>
      </c>
    </row>
    <row r="2640" spans="1:10" ht="20" customHeight="1" thickBot="1">
      <c r="A2640" s="26" t="s">
        <v>11929</v>
      </c>
      <c r="B2640" s="26" t="s">
        <v>11929</v>
      </c>
      <c r="C2640" s="26" t="s">
        <v>11930</v>
      </c>
      <c r="D2640" s="116">
        <v>17</v>
      </c>
      <c r="E2640" s="122" t="s">
        <v>29</v>
      </c>
      <c r="F2640" s="119" t="s">
        <v>63</v>
      </c>
      <c r="G2640" s="27">
        <v>44101</v>
      </c>
      <c r="H2640" s="26" t="s">
        <v>11931</v>
      </c>
      <c r="I2640" s="113" t="s">
        <v>12400</v>
      </c>
      <c r="J2640" s="113" t="s">
        <v>12401</v>
      </c>
    </row>
    <row r="2641" spans="1:10" ht="20" customHeight="1" thickBot="1">
      <c r="A2641" s="28" t="s">
        <v>11934</v>
      </c>
      <c r="B2641" s="28" t="s">
        <v>11934</v>
      </c>
      <c r="C2641" s="28" t="s">
        <v>7820</v>
      </c>
      <c r="D2641" s="117">
        <v>31</v>
      </c>
      <c r="E2641" s="122" t="s">
        <v>34</v>
      </c>
      <c r="F2641" s="120" t="s">
        <v>57</v>
      </c>
      <c r="G2641" s="29">
        <v>44691</v>
      </c>
      <c r="H2641" s="28" t="s">
        <v>11935</v>
      </c>
      <c r="I2641" s="114" t="s">
        <v>12400</v>
      </c>
      <c r="J2641" s="114" t="s">
        <v>12401</v>
      </c>
    </row>
    <row r="2642" spans="1:10" ht="20" customHeight="1" thickBot="1">
      <c r="A2642" s="26" t="s">
        <v>11938</v>
      </c>
      <c r="B2642" s="26" t="s">
        <v>11938</v>
      </c>
      <c r="C2642" s="26" t="s">
        <v>2979</v>
      </c>
      <c r="D2642" s="116">
        <v>23</v>
      </c>
      <c r="E2642" s="122" t="s">
        <v>29</v>
      </c>
      <c r="F2642" s="119" t="s">
        <v>63</v>
      </c>
      <c r="G2642" s="27">
        <v>41811</v>
      </c>
      <c r="H2642" s="26" t="s">
        <v>11939</v>
      </c>
      <c r="I2642" s="113" t="s">
        <v>12400</v>
      </c>
      <c r="J2642" s="113" t="s">
        <v>12401</v>
      </c>
    </row>
    <row r="2643" spans="1:10" ht="20" customHeight="1" thickBot="1">
      <c r="A2643" s="28" t="s">
        <v>11942</v>
      </c>
      <c r="B2643" s="28" t="s">
        <v>11942</v>
      </c>
      <c r="C2643" s="28" t="s">
        <v>504</v>
      </c>
      <c r="D2643" s="117">
        <v>14</v>
      </c>
      <c r="E2643" s="122" t="s">
        <v>29</v>
      </c>
      <c r="F2643" s="120" t="s">
        <v>63</v>
      </c>
      <c r="G2643" s="29">
        <v>43501</v>
      </c>
      <c r="H2643" s="28" t="s">
        <v>11943</v>
      </c>
      <c r="I2643" s="114" t="s">
        <v>12400</v>
      </c>
      <c r="J2643" s="114" t="s">
        <v>12401</v>
      </c>
    </row>
    <row r="2644" spans="1:10" ht="20" customHeight="1" thickBot="1">
      <c r="A2644" s="26" t="s">
        <v>11946</v>
      </c>
      <c r="B2644" s="26" t="s">
        <v>11946</v>
      </c>
      <c r="C2644" s="26" t="s">
        <v>3635</v>
      </c>
      <c r="D2644" s="116">
        <v>9</v>
      </c>
      <c r="E2644" s="122" t="s">
        <v>35</v>
      </c>
      <c r="F2644" s="119" t="s">
        <v>57</v>
      </c>
      <c r="G2644" s="27">
        <v>44453</v>
      </c>
      <c r="H2644" s="26" t="s">
        <v>11947</v>
      </c>
      <c r="I2644" s="113" t="s">
        <v>12400</v>
      </c>
      <c r="J2644" s="113" t="s">
        <v>12401</v>
      </c>
    </row>
    <row r="2645" spans="1:10" ht="20" customHeight="1" thickBot="1">
      <c r="A2645" s="28" t="s">
        <v>11950</v>
      </c>
      <c r="B2645" s="28" t="s">
        <v>11950</v>
      </c>
      <c r="C2645" s="28" t="s">
        <v>11951</v>
      </c>
      <c r="D2645" s="117">
        <v>7</v>
      </c>
      <c r="E2645" s="122" t="s">
        <v>27</v>
      </c>
      <c r="F2645" s="120" t="s">
        <v>63</v>
      </c>
      <c r="G2645" s="29">
        <v>42265</v>
      </c>
      <c r="H2645" s="28" t="s">
        <v>11952</v>
      </c>
      <c r="I2645" s="114" t="s">
        <v>12400</v>
      </c>
      <c r="J2645" s="114" t="s">
        <v>12401</v>
      </c>
    </row>
    <row r="2646" spans="1:10" ht="20" customHeight="1" thickBot="1">
      <c r="A2646" s="26" t="s">
        <v>11955</v>
      </c>
      <c r="B2646" s="26" t="s">
        <v>11955</v>
      </c>
      <c r="C2646" s="26" t="s">
        <v>1345</v>
      </c>
      <c r="D2646" s="116">
        <v>8</v>
      </c>
      <c r="E2646" s="122" t="s">
        <v>36</v>
      </c>
      <c r="F2646" s="119" t="s">
        <v>57</v>
      </c>
      <c r="G2646" s="27">
        <v>45384</v>
      </c>
      <c r="H2646" s="26" t="s">
        <v>11956</v>
      </c>
      <c r="I2646" s="113" t="s">
        <v>12400</v>
      </c>
      <c r="J2646" s="113" t="s">
        <v>12401</v>
      </c>
    </row>
    <row r="2647" spans="1:10" ht="20" customHeight="1" thickBot="1">
      <c r="A2647" s="28" t="s">
        <v>11959</v>
      </c>
      <c r="B2647" s="28" t="s">
        <v>11959</v>
      </c>
      <c r="C2647" s="28" t="s">
        <v>1306</v>
      </c>
      <c r="D2647" s="117">
        <v>72</v>
      </c>
      <c r="E2647" s="122" t="s">
        <v>35</v>
      </c>
      <c r="F2647" s="120" t="s">
        <v>115</v>
      </c>
      <c r="G2647" s="29">
        <v>45724</v>
      </c>
      <c r="H2647" s="28" t="s">
        <v>11960</v>
      </c>
      <c r="I2647" s="114" t="s">
        <v>12400</v>
      </c>
      <c r="J2647" s="114" t="s">
        <v>12401</v>
      </c>
    </row>
    <row r="2648" spans="1:10" ht="20" customHeight="1" thickBot="1">
      <c r="A2648" s="26" t="s">
        <v>11963</v>
      </c>
      <c r="B2648" s="26" t="s">
        <v>11963</v>
      </c>
      <c r="C2648" s="26" t="s">
        <v>3860</v>
      </c>
      <c r="D2648" s="116">
        <v>10</v>
      </c>
      <c r="E2648" s="122" t="s">
        <v>34</v>
      </c>
      <c r="F2648" s="119" t="s">
        <v>57</v>
      </c>
      <c r="G2648" s="27">
        <v>45419</v>
      </c>
      <c r="H2648" s="26" t="s">
        <v>11964</v>
      </c>
      <c r="I2648" s="113" t="s">
        <v>12400</v>
      </c>
      <c r="J2648" s="113" t="s">
        <v>12401</v>
      </c>
    </row>
    <row r="2649" spans="1:10" ht="20" customHeight="1" thickBot="1">
      <c r="A2649" s="28" t="s">
        <v>11967</v>
      </c>
      <c r="B2649" s="28" t="s">
        <v>11967</v>
      </c>
      <c r="C2649" s="28" t="s">
        <v>11718</v>
      </c>
      <c r="D2649" s="117">
        <v>6</v>
      </c>
      <c r="E2649" s="122" t="s">
        <v>29</v>
      </c>
      <c r="F2649" s="120" t="s">
        <v>63</v>
      </c>
      <c r="G2649" s="29">
        <v>43731</v>
      </c>
      <c r="H2649" s="28" t="s">
        <v>11968</v>
      </c>
      <c r="I2649" s="114" t="s">
        <v>12400</v>
      </c>
      <c r="J2649" s="114" t="s">
        <v>12401</v>
      </c>
    </row>
    <row r="2650" spans="1:10" ht="20" customHeight="1" thickBot="1">
      <c r="A2650" s="26" t="s">
        <v>11971</v>
      </c>
      <c r="B2650" s="26" t="s">
        <v>11971</v>
      </c>
      <c r="C2650" s="26" t="s">
        <v>2493</v>
      </c>
      <c r="D2650" s="116">
        <v>13</v>
      </c>
      <c r="E2650" s="122" t="s">
        <v>35</v>
      </c>
      <c r="F2650" s="119" t="s">
        <v>57</v>
      </c>
      <c r="G2650" s="27">
        <v>45853</v>
      </c>
      <c r="H2650" s="26" t="s">
        <v>11972</v>
      </c>
      <c r="I2650" s="113" t="s">
        <v>12400</v>
      </c>
      <c r="J2650" s="113" t="s">
        <v>12401</v>
      </c>
    </row>
    <row r="2651" spans="1:10" ht="20" customHeight="1" thickBot="1">
      <c r="A2651" s="28" t="s">
        <v>11975</v>
      </c>
      <c r="B2651" s="28" t="s">
        <v>11975</v>
      </c>
      <c r="C2651" s="28" t="s">
        <v>4255</v>
      </c>
      <c r="D2651" s="117">
        <v>14</v>
      </c>
      <c r="E2651" s="122" t="s">
        <v>34</v>
      </c>
      <c r="F2651" s="120" t="s">
        <v>57</v>
      </c>
      <c r="G2651" s="29">
        <v>44741</v>
      </c>
      <c r="H2651" s="28" t="s">
        <v>11976</v>
      </c>
      <c r="I2651" s="114" t="s">
        <v>12400</v>
      </c>
      <c r="J2651" s="114" t="s">
        <v>12401</v>
      </c>
    </row>
    <row r="2652" spans="1:10" ht="20" customHeight="1" thickBot="1">
      <c r="A2652" s="26" t="s">
        <v>11979</v>
      </c>
      <c r="B2652" s="26" t="s">
        <v>11979</v>
      </c>
      <c r="C2652" s="26" t="s">
        <v>11980</v>
      </c>
      <c r="D2652" s="116">
        <v>78</v>
      </c>
      <c r="E2652" s="122" t="s">
        <v>34</v>
      </c>
      <c r="F2652" s="119" t="s">
        <v>63</v>
      </c>
      <c r="G2652" s="27">
        <v>42234</v>
      </c>
      <c r="H2652" s="26" t="s">
        <v>11981</v>
      </c>
      <c r="I2652" s="113" t="s">
        <v>12400</v>
      </c>
      <c r="J2652" s="113" t="s">
        <v>12401</v>
      </c>
    </row>
    <row r="2653" spans="1:10" ht="20" customHeight="1" thickBot="1">
      <c r="A2653" s="28" t="s">
        <v>11984</v>
      </c>
      <c r="B2653" s="28" t="s">
        <v>11984</v>
      </c>
      <c r="C2653" s="28" t="s">
        <v>11980</v>
      </c>
      <c r="D2653" s="117">
        <v>78</v>
      </c>
      <c r="E2653" s="122" t="s">
        <v>34</v>
      </c>
      <c r="F2653" s="120" t="s">
        <v>63</v>
      </c>
      <c r="G2653" s="29">
        <v>42234</v>
      </c>
      <c r="H2653" s="28" t="s">
        <v>11985</v>
      </c>
      <c r="I2653" s="114" t="s">
        <v>12400</v>
      </c>
      <c r="J2653" s="114" t="s">
        <v>12401</v>
      </c>
    </row>
    <row r="2654" spans="1:10" ht="20" customHeight="1" thickBot="1">
      <c r="A2654" s="26" t="s">
        <v>11988</v>
      </c>
      <c r="B2654" s="26" t="s">
        <v>11988</v>
      </c>
      <c r="C2654" s="26" t="s">
        <v>11980</v>
      </c>
      <c r="D2654" s="116">
        <v>103</v>
      </c>
      <c r="E2654" s="122" t="s">
        <v>34</v>
      </c>
      <c r="F2654" s="119" t="s">
        <v>63</v>
      </c>
      <c r="G2654" s="27">
        <v>42280</v>
      </c>
      <c r="H2654" s="26" t="s">
        <v>11989</v>
      </c>
      <c r="I2654" s="113" t="s">
        <v>12400</v>
      </c>
      <c r="J2654" s="113" t="s">
        <v>12401</v>
      </c>
    </row>
    <row r="2655" spans="1:10" ht="20" customHeight="1" thickBot="1">
      <c r="A2655" s="28" t="s">
        <v>11992</v>
      </c>
      <c r="B2655" s="28" t="s">
        <v>11992</v>
      </c>
      <c r="C2655" s="28" t="s">
        <v>11980</v>
      </c>
      <c r="D2655" s="117">
        <v>103</v>
      </c>
      <c r="E2655" s="122" t="s">
        <v>34</v>
      </c>
      <c r="F2655" s="120" t="s">
        <v>63</v>
      </c>
      <c r="G2655" s="29">
        <v>42280</v>
      </c>
      <c r="H2655" s="28" t="s">
        <v>11993</v>
      </c>
      <c r="I2655" s="114" t="s">
        <v>12400</v>
      </c>
      <c r="J2655" s="114" t="s">
        <v>12401</v>
      </c>
    </row>
    <row r="2656" spans="1:10" ht="20" customHeight="1" thickBot="1">
      <c r="A2656" s="26" t="s">
        <v>11996</v>
      </c>
      <c r="B2656" s="26" t="s">
        <v>11996</v>
      </c>
      <c r="C2656" s="26" t="s">
        <v>11980</v>
      </c>
      <c r="D2656" s="116">
        <v>100</v>
      </c>
      <c r="E2656" s="122" t="s">
        <v>33</v>
      </c>
      <c r="F2656" s="119" t="s">
        <v>63</v>
      </c>
      <c r="G2656" s="27">
        <v>42325</v>
      </c>
      <c r="H2656" s="26" t="s">
        <v>11997</v>
      </c>
      <c r="I2656" s="113" t="s">
        <v>12400</v>
      </c>
      <c r="J2656" s="113" t="s">
        <v>12401</v>
      </c>
    </row>
    <row r="2657" spans="1:10" ht="20" customHeight="1" thickBot="1">
      <c r="A2657" s="28" t="s">
        <v>12000</v>
      </c>
      <c r="B2657" s="28" t="s">
        <v>12000</v>
      </c>
      <c r="C2657" s="28" t="s">
        <v>11980</v>
      </c>
      <c r="D2657" s="117">
        <v>99</v>
      </c>
      <c r="E2657" s="122" t="s">
        <v>33</v>
      </c>
      <c r="F2657" s="120" t="s">
        <v>63</v>
      </c>
      <c r="G2657" s="29">
        <v>42325</v>
      </c>
      <c r="H2657" s="28" t="s">
        <v>12001</v>
      </c>
      <c r="I2657" s="114" t="s">
        <v>12400</v>
      </c>
      <c r="J2657" s="114" t="s">
        <v>12401</v>
      </c>
    </row>
    <row r="2658" spans="1:10" ht="20" customHeight="1" thickBot="1">
      <c r="A2658" s="26" t="s">
        <v>12004</v>
      </c>
      <c r="B2658" s="26" t="s">
        <v>12004</v>
      </c>
      <c r="C2658" s="26" t="s">
        <v>11980</v>
      </c>
      <c r="D2658" s="116">
        <v>115</v>
      </c>
      <c r="E2658" s="122" t="s">
        <v>33</v>
      </c>
      <c r="F2658" s="119" t="s">
        <v>63</v>
      </c>
      <c r="G2658" s="27">
        <v>42337</v>
      </c>
      <c r="H2658" s="26" t="s">
        <v>12005</v>
      </c>
      <c r="I2658" s="113" t="s">
        <v>12400</v>
      </c>
      <c r="J2658" s="113" t="s">
        <v>12401</v>
      </c>
    </row>
    <row r="2659" spans="1:10" ht="20" customHeight="1" thickBot="1">
      <c r="A2659" s="28" t="s">
        <v>12008</v>
      </c>
      <c r="B2659" s="28" t="s">
        <v>12008</v>
      </c>
      <c r="C2659" s="28" t="s">
        <v>11980</v>
      </c>
      <c r="D2659" s="117">
        <v>115</v>
      </c>
      <c r="E2659" s="122" t="s">
        <v>33</v>
      </c>
      <c r="F2659" s="120" t="s">
        <v>63</v>
      </c>
      <c r="G2659" s="29">
        <v>42337</v>
      </c>
      <c r="H2659" s="28" t="s">
        <v>12009</v>
      </c>
      <c r="I2659" s="114" t="s">
        <v>12400</v>
      </c>
      <c r="J2659" s="114" t="s">
        <v>12401</v>
      </c>
    </row>
    <row r="2660" spans="1:10" ht="20" customHeight="1" thickBot="1">
      <c r="A2660" s="26" t="s">
        <v>12012</v>
      </c>
      <c r="B2660" s="26" t="s">
        <v>12012</v>
      </c>
      <c r="C2660" s="26" t="s">
        <v>935</v>
      </c>
      <c r="D2660" s="116">
        <v>13</v>
      </c>
      <c r="E2660" s="122" t="s">
        <v>35</v>
      </c>
      <c r="F2660" s="119" t="s">
        <v>57</v>
      </c>
      <c r="G2660" s="27">
        <v>45316</v>
      </c>
      <c r="H2660" s="26" t="s">
        <v>12013</v>
      </c>
      <c r="I2660" s="113" t="s">
        <v>12400</v>
      </c>
      <c r="J2660" s="113" t="s">
        <v>12401</v>
      </c>
    </row>
    <row r="2661" spans="1:10" ht="20" customHeight="1" thickBot="1">
      <c r="A2661" s="28" t="s">
        <v>12016</v>
      </c>
      <c r="B2661" s="28" t="s">
        <v>12016</v>
      </c>
      <c r="C2661" s="28" t="s">
        <v>3143</v>
      </c>
      <c r="D2661" s="117">
        <v>24</v>
      </c>
      <c r="E2661" s="122" t="s">
        <v>34</v>
      </c>
      <c r="F2661" s="120" t="s">
        <v>57</v>
      </c>
      <c r="G2661" s="29">
        <v>44505</v>
      </c>
      <c r="H2661" s="28" t="s">
        <v>12017</v>
      </c>
      <c r="I2661" s="114" t="s">
        <v>12400</v>
      </c>
      <c r="J2661" s="114" t="s">
        <v>12401</v>
      </c>
    </row>
    <row r="2662" spans="1:10" ht="20" customHeight="1" thickBot="1">
      <c r="A2662" s="26" t="s">
        <v>12020</v>
      </c>
      <c r="B2662" s="26" t="s">
        <v>12020</v>
      </c>
      <c r="C2662" s="26" t="s">
        <v>2733</v>
      </c>
      <c r="D2662" s="116">
        <v>22</v>
      </c>
      <c r="E2662" s="122" t="s">
        <v>34</v>
      </c>
      <c r="F2662" s="119" t="s">
        <v>3138</v>
      </c>
      <c r="G2662" s="27">
        <v>42473</v>
      </c>
      <c r="H2662" s="26" t="s">
        <v>12021</v>
      </c>
      <c r="I2662" s="113" t="s">
        <v>12400</v>
      </c>
      <c r="J2662" s="113" t="s">
        <v>12401</v>
      </c>
    </row>
    <row r="2663" spans="1:10" ht="20" customHeight="1" thickBot="1">
      <c r="A2663" s="28" t="s">
        <v>12024</v>
      </c>
      <c r="B2663" s="28" t="s">
        <v>12024</v>
      </c>
      <c r="C2663" s="28" t="s">
        <v>10579</v>
      </c>
      <c r="D2663" s="117">
        <v>8</v>
      </c>
      <c r="E2663" s="122" t="s">
        <v>34</v>
      </c>
      <c r="F2663" s="120" t="s">
        <v>57</v>
      </c>
      <c r="G2663" s="29">
        <v>45929</v>
      </c>
      <c r="H2663" s="28" t="s">
        <v>12025</v>
      </c>
      <c r="I2663" s="114" t="s">
        <v>12400</v>
      </c>
      <c r="J2663" s="114" t="s">
        <v>12401</v>
      </c>
    </row>
    <row r="2664" spans="1:10" ht="20" customHeight="1" thickBot="1">
      <c r="A2664" s="26" t="s">
        <v>12028</v>
      </c>
      <c r="B2664" s="26" t="s">
        <v>12028</v>
      </c>
      <c r="C2664" s="26" t="s">
        <v>12029</v>
      </c>
      <c r="D2664" s="116">
        <v>28</v>
      </c>
      <c r="E2664" s="122" t="s">
        <v>33</v>
      </c>
      <c r="F2664" s="119" t="s">
        <v>115</v>
      </c>
      <c r="G2664" s="27">
        <v>45216</v>
      </c>
      <c r="H2664" s="26" t="s">
        <v>12030</v>
      </c>
      <c r="I2664" s="113" t="s">
        <v>12400</v>
      </c>
      <c r="J2664" s="113" t="s">
        <v>12401</v>
      </c>
    </row>
    <row r="2665" spans="1:10" ht="20" customHeight="1" thickBot="1">
      <c r="A2665" s="28" t="s">
        <v>12033</v>
      </c>
      <c r="B2665" s="28" t="s">
        <v>12033</v>
      </c>
      <c r="C2665" s="28" t="s">
        <v>12029</v>
      </c>
      <c r="D2665" s="117">
        <v>15</v>
      </c>
      <c r="E2665" s="122" t="s">
        <v>33</v>
      </c>
      <c r="F2665" s="120" t="s">
        <v>115</v>
      </c>
      <c r="G2665" s="29">
        <v>45327</v>
      </c>
      <c r="H2665" s="28" t="s">
        <v>12034</v>
      </c>
      <c r="I2665" s="114" t="s">
        <v>12400</v>
      </c>
      <c r="J2665" s="114" t="s">
        <v>12401</v>
      </c>
    </row>
    <row r="2666" spans="1:10" ht="20" customHeight="1" thickBot="1">
      <c r="A2666" s="26" t="s">
        <v>12037</v>
      </c>
      <c r="B2666" s="26" t="s">
        <v>12037</v>
      </c>
      <c r="C2666" s="26" t="s">
        <v>12038</v>
      </c>
      <c r="D2666" s="116">
        <v>33</v>
      </c>
      <c r="E2666" s="122" t="s">
        <v>29</v>
      </c>
      <c r="F2666" s="119" t="s">
        <v>63</v>
      </c>
      <c r="G2666" s="27">
        <v>46094</v>
      </c>
      <c r="H2666" s="26" t="s">
        <v>12039</v>
      </c>
      <c r="I2666" s="113" t="s">
        <v>12400</v>
      </c>
      <c r="J2666" s="113" t="s">
        <v>12401</v>
      </c>
    </row>
    <row r="2667" spans="1:10" ht="20" customHeight="1" thickBot="1">
      <c r="A2667" s="28" t="s">
        <v>12042</v>
      </c>
      <c r="B2667" s="28" t="s">
        <v>12042</v>
      </c>
      <c r="C2667" s="28" t="s">
        <v>12043</v>
      </c>
      <c r="D2667" s="117">
        <v>10</v>
      </c>
      <c r="E2667" s="122" t="s">
        <v>29</v>
      </c>
      <c r="F2667" s="120" t="s">
        <v>63</v>
      </c>
      <c r="G2667" s="29">
        <v>42315</v>
      </c>
      <c r="H2667" s="28" t="s">
        <v>12044</v>
      </c>
      <c r="I2667" s="114" t="s">
        <v>12400</v>
      </c>
      <c r="J2667" s="114" t="s">
        <v>12401</v>
      </c>
    </row>
    <row r="2668" spans="1:10" ht="20" customHeight="1" thickBot="1">
      <c r="A2668" s="26" t="s">
        <v>12047</v>
      </c>
      <c r="B2668" s="26" t="s">
        <v>12047</v>
      </c>
      <c r="C2668" s="26" t="s">
        <v>365</v>
      </c>
      <c r="D2668" s="116">
        <v>16</v>
      </c>
      <c r="E2668" s="122" t="s">
        <v>29</v>
      </c>
      <c r="F2668" s="119" t="s">
        <v>63</v>
      </c>
      <c r="G2668" s="27">
        <v>42292</v>
      </c>
      <c r="H2668" s="26" t="s">
        <v>12048</v>
      </c>
      <c r="I2668" s="113" t="s">
        <v>12400</v>
      </c>
      <c r="J2668" s="113" t="s">
        <v>12401</v>
      </c>
    </row>
    <row r="2669" spans="1:10" ht="20" customHeight="1" thickBot="1">
      <c r="A2669" s="28" t="s">
        <v>12051</v>
      </c>
      <c r="B2669" s="28" t="s">
        <v>12051</v>
      </c>
      <c r="C2669" s="28" t="s">
        <v>4182</v>
      </c>
      <c r="D2669" s="117">
        <v>104</v>
      </c>
      <c r="E2669" s="122" t="s">
        <v>31</v>
      </c>
      <c r="F2669" s="120" t="s">
        <v>63</v>
      </c>
      <c r="G2669" s="29">
        <v>45968</v>
      </c>
      <c r="H2669" s="28" t="s">
        <v>12052</v>
      </c>
      <c r="I2669" s="114" t="s">
        <v>12400</v>
      </c>
      <c r="J2669" s="114" t="s">
        <v>12401</v>
      </c>
    </row>
    <row r="2670" spans="1:10" ht="20" customHeight="1" thickBot="1">
      <c r="A2670" s="26" t="s">
        <v>12055</v>
      </c>
      <c r="B2670" s="26" t="s">
        <v>12055</v>
      </c>
      <c r="C2670" s="26" t="s">
        <v>4182</v>
      </c>
      <c r="D2670" s="116">
        <v>112</v>
      </c>
      <c r="E2670" s="122" t="s">
        <v>31</v>
      </c>
      <c r="F2670" s="119" t="s">
        <v>63</v>
      </c>
      <c r="G2670" s="27">
        <v>44439</v>
      </c>
      <c r="H2670" s="26" t="s">
        <v>12056</v>
      </c>
      <c r="I2670" s="113" t="s">
        <v>12400</v>
      </c>
      <c r="J2670" s="113" t="s">
        <v>12401</v>
      </c>
    </row>
    <row r="2671" spans="1:10" ht="20" customHeight="1" thickBot="1">
      <c r="A2671" s="28" t="s">
        <v>12059</v>
      </c>
      <c r="B2671" s="28" t="s">
        <v>12059</v>
      </c>
      <c r="C2671" s="28" t="s">
        <v>432</v>
      </c>
      <c r="D2671" s="117">
        <v>11</v>
      </c>
      <c r="E2671" s="122" t="s">
        <v>29</v>
      </c>
      <c r="F2671" s="120" t="s">
        <v>63</v>
      </c>
      <c r="G2671" s="29">
        <v>43293</v>
      </c>
      <c r="H2671" s="28" t="s">
        <v>12060</v>
      </c>
      <c r="I2671" s="114" t="s">
        <v>12400</v>
      </c>
      <c r="J2671" s="114" t="s">
        <v>12401</v>
      </c>
    </row>
    <row r="2672" spans="1:10" ht="20" customHeight="1" thickBot="1">
      <c r="A2672" s="26" t="s">
        <v>12063</v>
      </c>
      <c r="B2672" s="26" t="s">
        <v>12063</v>
      </c>
      <c r="C2672" s="26" t="s">
        <v>1220</v>
      </c>
      <c r="D2672" s="116">
        <v>6</v>
      </c>
      <c r="E2672" s="122" t="s">
        <v>29</v>
      </c>
      <c r="F2672" s="119" t="s">
        <v>63</v>
      </c>
      <c r="G2672" s="27">
        <v>42108</v>
      </c>
      <c r="H2672" s="26" t="s">
        <v>12064</v>
      </c>
      <c r="I2672" s="113" t="s">
        <v>12400</v>
      </c>
      <c r="J2672" s="113" t="s">
        <v>12401</v>
      </c>
    </row>
    <row r="2673" spans="1:10" ht="20" customHeight="1" thickBot="1">
      <c r="A2673" s="28" t="s">
        <v>12067</v>
      </c>
      <c r="B2673" s="28" t="s">
        <v>12067</v>
      </c>
      <c r="C2673" s="28" t="s">
        <v>12068</v>
      </c>
      <c r="D2673" s="117">
        <v>5</v>
      </c>
      <c r="E2673" s="122" t="s">
        <v>27</v>
      </c>
      <c r="F2673" s="120" t="s">
        <v>63</v>
      </c>
      <c r="G2673" s="29">
        <v>42220</v>
      </c>
      <c r="H2673" s="28" t="s">
        <v>12069</v>
      </c>
      <c r="I2673" s="114" t="s">
        <v>12400</v>
      </c>
      <c r="J2673" s="114" t="s">
        <v>12401</v>
      </c>
    </row>
    <row r="2674" spans="1:10" ht="20" customHeight="1" thickBot="1">
      <c r="A2674" s="26" t="s">
        <v>12072</v>
      </c>
      <c r="B2674" s="26" t="s">
        <v>12072</v>
      </c>
      <c r="C2674" s="26" t="s">
        <v>12073</v>
      </c>
      <c r="D2674" s="116">
        <v>7</v>
      </c>
      <c r="E2674" s="122" t="s">
        <v>27</v>
      </c>
      <c r="F2674" s="119" t="s">
        <v>63</v>
      </c>
      <c r="G2674" s="27">
        <v>41445</v>
      </c>
      <c r="H2674" s="26" t="s">
        <v>12074</v>
      </c>
      <c r="I2674" s="113" t="s">
        <v>12400</v>
      </c>
      <c r="J2674" s="113" t="s">
        <v>12401</v>
      </c>
    </row>
    <row r="2675" spans="1:10" ht="20" customHeight="1" thickBot="1">
      <c r="A2675" s="28" t="s">
        <v>12077</v>
      </c>
      <c r="B2675" s="28" t="s">
        <v>12077</v>
      </c>
      <c r="C2675" s="28" t="s">
        <v>12078</v>
      </c>
      <c r="D2675" s="117">
        <v>77</v>
      </c>
      <c r="E2675" s="122" t="s">
        <v>34</v>
      </c>
      <c r="F2675" s="120" t="s">
        <v>63</v>
      </c>
      <c r="G2675" s="29">
        <v>42098</v>
      </c>
      <c r="H2675" s="28" t="s">
        <v>12079</v>
      </c>
      <c r="I2675" s="114" t="s">
        <v>12400</v>
      </c>
      <c r="J2675" s="114" t="s">
        <v>12401</v>
      </c>
    </row>
    <row r="2676" spans="1:10" ht="20" customHeight="1" thickBot="1">
      <c r="A2676" s="26" t="s">
        <v>12082</v>
      </c>
      <c r="B2676" s="26" t="s">
        <v>12082</v>
      </c>
      <c r="C2676" s="26" t="s">
        <v>4118</v>
      </c>
      <c r="D2676" s="116">
        <v>7</v>
      </c>
      <c r="E2676" s="122" t="s">
        <v>29</v>
      </c>
      <c r="F2676" s="119" t="s">
        <v>63</v>
      </c>
      <c r="G2676" s="27">
        <v>41445</v>
      </c>
      <c r="H2676" s="26" t="s">
        <v>12083</v>
      </c>
      <c r="I2676" s="113" t="s">
        <v>12400</v>
      </c>
      <c r="J2676" s="113" t="s">
        <v>12401</v>
      </c>
    </row>
    <row r="2677" spans="1:10" ht="20" customHeight="1" thickBot="1">
      <c r="A2677" s="28" t="s">
        <v>12086</v>
      </c>
      <c r="B2677" s="28" t="s">
        <v>12086</v>
      </c>
      <c r="C2677" s="28" t="s">
        <v>10205</v>
      </c>
      <c r="D2677" s="117">
        <v>10</v>
      </c>
      <c r="E2677" s="122" t="s">
        <v>33</v>
      </c>
      <c r="F2677" s="120" t="s">
        <v>57</v>
      </c>
      <c r="G2677" s="29">
        <v>44664</v>
      </c>
      <c r="H2677" s="28" t="s">
        <v>12087</v>
      </c>
      <c r="I2677" s="114" t="s">
        <v>12400</v>
      </c>
      <c r="J2677" s="114" t="s">
        <v>12401</v>
      </c>
    </row>
    <row r="2678" spans="1:10" ht="20" customHeight="1" thickBot="1">
      <c r="A2678" s="26" t="s">
        <v>12090</v>
      </c>
      <c r="B2678" s="26" t="s">
        <v>12090</v>
      </c>
      <c r="C2678" s="26" t="s">
        <v>12091</v>
      </c>
      <c r="D2678" s="116">
        <v>77</v>
      </c>
      <c r="E2678" s="122" t="s">
        <v>29</v>
      </c>
      <c r="F2678" s="119" t="s">
        <v>63</v>
      </c>
      <c r="G2678" s="27">
        <v>43300</v>
      </c>
      <c r="H2678" s="26" t="s">
        <v>12092</v>
      </c>
      <c r="I2678" s="113" t="s">
        <v>12400</v>
      </c>
      <c r="J2678" s="113" t="s">
        <v>12401</v>
      </c>
    </row>
    <row r="2679" spans="1:10" ht="20" customHeight="1" thickBot="1">
      <c r="A2679" s="28" t="s">
        <v>12095</v>
      </c>
      <c r="B2679" s="28" t="s">
        <v>12095</v>
      </c>
      <c r="C2679" s="28" t="s">
        <v>2095</v>
      </c>
      <c r="D2679" s="117">
        <v>21</v>
      </c>
      <c r="E2679" s="122" t="s">
        <v>31</v>
      </c>
      <c r="F2679" s="120" t="s">
        <v>57</v>
      </c>
      <c r="G2679" s="29">
        <v>43549</v>
      </c>
      <c r="H2679" s="28" t="s">
        <v>12096</v>
      </c>
      <c r="I2679" s="114" t="s">
        <v>12400</v>
      </c>
      <c r="J2679" s="114" t="s">
        <v>12401</v>
      </c>
    </row>
    <row r="2680" spans="1:10" ht="20" customHeight="1" thickBot="1">
      <c r="A2680" s="26" t="s">
        <v>12099</v>
      </c>
      <c r="B2680" s="26" t="s">
        <v>12099</v>
      </c>
      <c r="C2680" s="26" t="s">
        <v>1186</v>
      </c>
      <c r="D2680" s="116">
        <v>14</v>
      </c>
      <c r="E2680" s="122" t="s">
        <v>35</v>
      </c>
      <c r="F2680" s="119" t="s">
        <v>57</v>
      </c>
      <c r="G2680" s="27">
        <v>44336</v>
      </c>
      <c r="H2680" s="26" t="s">
        <v>12100</v>
      </c>
      <c r="I2680" s="113" t="s">
        <v>12400</v>
      </c>
      <c r="J2680" s="113" t="s">
        <v>12401</v>
      </c>
    </row>
    <row r="2681" spans="1:10" ht="20" customHeight="1" thickBot="1">
      <c r="A2681" s="28" t="s">
        <v>12103</v>
      </c>
      <c r="B2681" s="28" t="s">
        <v>12103</v>
      </c>
      <c r="C2681" s="28" t="s">
        <v>2531</v>
      </c>
      <c r="D2681" s="117">
        <v>5</v>
      </c>
      <c r="E2681" s="122" t="s">
        <v>35</v>
      </c>
      <c r="F2681" s="120" t="s">
        <v>57</v>
      </c>
      <c r="G2681" s="29">
        <v>45175</v>
      </c>
      <c r="H2681" s="28" t="s">
        <v>12104</v>
      </c>
      <c r="I2681" s="114" t="s">
        <v>12400</v>
      </c>
      <c r="J2681" s="114" t="s">
        <v>12401</v>
      </c>
    </row>
    <row r="2682" spans="1:10" ht="20" customHeight="1" thickBot="1">
      <c r="A2682" s="26" t="s">
        <v>12107</v>
      </c>
      <c r="B2682" s="26" t="s">
        <v>12107</v>
      </c>
      <c r="C2682" s="26" t="s">
        <v>485</v>
      </c>
      <c r="D2682" s="116">
        <v>21</v>
      </c>
      <c r="E2682" s="122" t="s">
        <v>36</v>
      </c>
      <c r="F2682" s="119" t="s">
        <v>57</v>
      </c>
      <c r="G2682" s="27">
        <v>45572</v>
      </c>
      <c r="H2682" s="26" t="s">
        <v>12108</v>
      </c>
      <c r="I2682" s="113" t="s">
        <v>12400</v>
      </c>
      <c r="J2682" s="113" t="s">
        <v>12401</v>
      </c>
    </row>
    <row r="2683" spans="1:10" ht="20" customHeight="1" thickBot="1">
      <c r="A2683" s="28" t="s">
        <v>12111</v>
      </c>
      <c r="B2683" s="28" t="s">
        <v>12111</v>
      </c>
      <c r="C2683" s="28" t="s">
        <v>8926</v>
      </c>
      <c r="D2683" s="117">
        <v>43</v>
      </c>
      <c r="E2683" s="122" t="s">
        <v>34</v>
      </c>
      <c r="F2683" s="120" t="s">
        <v>57</v>
      </c>
      <c r="G2683" s="29">
        <v>45449</v>
      </c>
      <c r="H2683" s="28" t="s">
        <v>12112</v>
      </c>
      <c r="I2683" s="114" t="s">
        <v>12400</v>
      </c>
      <c r="J2683" s="114" t="s">
        <v>12401</v>
      </c>
    </row>
    <row r="2684" spans="1:10" ht="20" customHeight="1" thickBot="1">
      <c r="A2684" s="26" t="s">
        <v>12115</v>
      </c>
      <c r="B2684" s="26" t="s">
        <v>12115</v>
      </c>
      <c r="C2684" s="26" t="s">
        <v>9897</v>
      </c>
      <c r="D2684" s="116">
        <v>6</v>
      </c>
      <c r="E2684" s="122" t="s">
        <v>34</v>
      </c>
      <c r="F2684" s="119" t="s">
        <v>57</v>
      </c>
      <c r="G2684" s="27">
        <v>45807</v>
      </c>
      <c r="H2684" s="26" t="s">
        <v>12116</v>
      </c>
      <c r="I2684" s="113" t="s">
        <v>12400</v>
      </c>
      <c r="J2684" s="113" t="s">
        <v>12401</v>
      </c>
    </row>
    <row r="2685" spans="1:10" ht="20" customHeight="1" thickBot="1">
      <c r="A2685" s="28" t="s">
        <v>12119</v>
      </c>
      <c r="B2685" s="28" t="s">
        <v>12119</v>
      </c>
      <c r="C2685" s="28" t="s">
        <v>2531</v>
      </c>
      <c r="D2685" s="117">
        <v>6</v>
      </c>
      <c r="E2685" s="122" t="s">
        <v>35</v>
      </c>
      <c r="F2685" s="120" t="s">
        <v>57</v>
      </c>
      <c r="G2685" s="29">
        <v>45516</v>
      </c>
      <c r="H2685" s="28" t="s">
        <v>12120</v>
      </c>
      <c r="I2685" s="114" t="s">
        <v>12400</v>
      </c>
      <c r="J2685" s="114" t="s">
        <v>12401</v>
      </c>
    </row>
    <row r="2686" spans="1:10" ht="20" customHeight="1" thickBot="1">
      <c r="A2686" s="26" t="s">
        <v>12123</v>
      </c>
      <c r="B2686" s="26" t="s">
        <v>12123</v>
      </c>
      <c r="C2686" s="26" t="s">
        <v>3275</v>
      </c>
      <c r="D2686" s="116">
        <v>6</v>
      </c>
      <c r="E2686" s="122" t="s">
        <v>34</v>
      </c>
      <c r="F2686" s="119" t="s">
        <v>57</v>
      </c>
      <c r="G2686" s="27">
        <v>45733</v>
      </c>
      <c r="H2686" s="26" t="s">
        <v>12124</v>
      </c>
      <c r="I2686" s="113" t="s">
        <v>12400</v>
      </c>
      <c r="J2686" s="113" t="s">
        <v>12401</v>
      </c>
    </row>
    <row r="2687" spans="1:10" ht="20" customHeight="1" thickBot="1">
      <c r="A2687" s="28" t="s">
        <v>12127</v>
      </c>
      <c r="B2687" s="28" t="s">
        <v>12127</v>
      </c>
      <c r="C2687" s="28" t="s">
        <v>12128</v>
      </c>
      <c r="D2687" s="117">
        <v>26</v>
      </c>
      <c r="E2687" s="122" t="s">
        <v>34</v>
      </c>
      <c r="F2687" s="120" t="s">
        <v>57</v>
      </c>
      <c r="G2687" s="29">
        <v>44418</v>
      </c>
      <c r="H2687" s="28" t="s">
        <v>12129</v>
      </c>
      <c r="I2687" s="114" t="s">
        <v>12400</v>
      </c>
      <c r="J2687" s="114" t="s">
        <v>12401</v>
      </c>
    </row>
    <row r="2688" spans="1:10" ht="20" customHeight="1" thickBot="1">
      <c r="A2688" s="26" t="s">
        <v>12132</v>
      </c>
      <c r="B2688" s="26" t="s">
        <v>12132</v>
      </c>
      <c r="C2688" s="26" t="s">
        <v>7525</v>
      </c>
      <c r="D2688" s="116">
        <v>10</v>
      </c>
      <c r="E2688" s="122" t="s">
        <v>31</v>
      </c>
      <c r="F2688" s="119" t="s">
        <v>63</v>
      </c>
      <c r="G2688" s="27">
        <v>44252</v>
      </c>
      <c r="H2688" s="26" t="s">
        <v>12133</v>
      </c>
      <c r="I2688" s="113" t="s">
        <v>12400</v>
      </c>
      <c r="J2688" s="113" t="s">
        <v>12401</v>
      </c>
    </row>
    <row r="2689" spans="1:10" ht="20" customHeight="1" thickBot="1">
      <c r="A2689" s="28" t="s">
        <v>12136</v>
      </c>
      <c r="B2689" s="28" t="s">
        <v>12136</v>
      </c>
      <c r="C2689" s="28" t="s">
        <v>12137</v>
      </c>
      <c r="D2689" s="117">
        <v>69</v>
      </c>
      <c r="E2689" s="122" t="s">
        <v>31</v>
      </c>
      <c r="F2689" s="120" t="s">
        <v>115</v>
      </c>
      <c r="G2689" s="29">
        <v>45558</v>
      </c>
      <c r="H2689" s="28" t="s">
        <v>12138</v>
      </c>
      <c r="I2689" s="114" t="s">
        <v>12400</v>
      </c>
      <c r="J2689" s="114" t="s">
        <v>12401</v>
      </c>
    </row>
    <row r="2690" spans="1:10" ht="20" customHeight="1" thickBot="1">
      <c r="A2690" s="26" t="s">
        <v>12141</v>
      </c>
      <c r="B2690" s="26" t="s">
        <v>12141</v>
      </c>
      <c r="C2690" s="26" t="s">
        <v>2493</v>
      </c>
      <c r="D2690" s="116">
        <v>9</v>
      </c>
      <c r="E2690" s="122" t="s">
        <v>31</v>
      </c>
      <c r="F2690" s="119" t="s">
        <v>63</v>
      </c>
      <c r="G2690" s="27">
        <v>41729</v>
      </c>
      <c r="H2690" s="26" t="s">
        <v>12142</v>
      </c>
      <c r="I2690" s="113" t="s">
        <v>12400</v>
      </c>
      <c r="J2690" s="113" t="s">
        <v>12401</v>
      </c>
    </row>
    <row r="2691" spans="1:10" ht="20" customHeight="1" thickBot="1">
      <c r="A2691" s="28" t="s">
        <v>12145</v>
      </c>
      <c r="B2691" s="28" t="s">
        <v>12145</v>
      </c>
      <c r="C2691" s="28" t="s">
        <v>1838</v>
      </c>
      <c r="D2691" s="117">
        <v>15</v>
      </c>
      <c r="E2691" s="122" t="s">
        <v>34</v>
      </c>
      <c r="F2691" s="120" t="s">
        <v>57</v>
      </c>
      <c r="G2691" s="29">
        <v>44363</v>
      </c>
      <c r="H2691" s="28" t="s">
        <v>12146</v>
      </c>
      <c r="I2691" s="114" t="s">
        <v>12400</v>
      </c>
      <c r="J2691" s="114" t="s">
        <v>12401</v>
      </c>
    </row>
    <row r="2692" spans="1:10" ht="20" customHeight="1" thickBot="1">
      <c r="A2692" s="26" t="s">
        <v>12149</v>
      </c>
      <c r="B2692" s="26" t="s">
        <v>12149</v>
      </c>
      <c r="C2692" s="26" t="s">
        <v>11951</v>
      </c>
      <c r="D2692" s="116">
        <v>8</v>
      </c>
      <c r="E2692" s="122" t="s">
        <v>29</v>
      </c>
      <c r="F2692" s="119" t="s">
        <v>63</v>
      </c>
      <c r="G2692" s="27">
        <v>42266</v>
      </c>
      <c r="H2692" s="26" t="s">
        <v>12150</v>
      </c>
      <c r="I2692" s="113" t="s">
        <v>12400</v>
      </c>
      <c r="J2692" s="113" t="s">
        <v>12401</v>
      </c>
    </row>
    <row r="2693" spans="1:10" ht="20" customHeight="1" thickBot="1">
      <c r="A2693" s="28" t="s">
        <v>12153</v>
      </c>
      <c r="B2693" s="28" t="s">
        <v>12153</v>
      </c>
      <c r="C2693" s="28" t="s">
        <v>12154</v>
      </c>
      <c r="D2693" s="117">
        <v>2</v>
      </c>
      <c r="E2693" s="122" t="s">
        <v>27</v>
      </c>
      <c r="F2693" s="120" t="s">
        <v>63</v>
      </c>
      <c r="G2693" s="29">
        <v>43871</v>
      </c>
      <c r="H2693" s="28" t="s">
        <v>12155</v>
      </c>
      <c r="I2693" s="114" t="s">
        <v>12400</v>
      </c>
      <c r="J2693" s="114" t="s">
        <v>12401</v>
      </c>
    </row>
    <row r="2694" spans="1:10" ht="20" customHeight="1" thickBot="1">
      <c r="A2694" s="26" t="s">
        <v>12158</v>
      </c>
      <c r="B2694" s="26" t="s">
        <v>12158</v>
      </c>
      <c r="C2694" s="26" t="s">
        <v>7011</v>
      </c>
      <c r="D2694" s="116">
        <v>1</v>
      </c>
      <c r="E2694" s="122" t="s">
        <v>31</v>
      </c>
      <c r="F2694" s="119" t="s">
        <v>115</v>
      </c>
      <c r="G2694" s="27">
        <v>43688</v>
      </c>
      <c r="H2694" s="26" t="s">
        <v>12159</v>
      </c>
      <c r="I2694" s="113" t="s">
        <v>12400</v>
      </c>
      <c r="J2694" s="113" t="s">
        <v>12401</v>
      </c>
    </row>
    <row r="2695" spans="1:10" ht="20" customHeight="1" thickBot="1">
      <c r="A2695" s="28" t="s">
        <v>12162</v>
      </c>
      <c r="B2695" s="28" t="s">
        <v>12162</v>
      </c>
      <c r="C2695" s="28" t="s">
        <v>485</v>
      </c>
      <c r="D2695" s="117">
        <v>6</v>
      </c>
      <c r="E2695" s="122" t="s">
        <v>36</v>
      </c>
      <c r="F2695" s="120" t="s">
        <v>57</v>
      </c>
      <c r="G2695" s="29">
        <v>45394</v>
      </c>
      <c r="H2695" s="28" t="s">
        <v>12163</v>
      </c>
      <c r="I2695" s="114" t="s">
        <v>12400</v>
      </c>
      <c r="J2695" s="114" t="s">
        <v>12401</v>
      </c>
    </row>
    <row r="2696" spans="1:10" ht="20" customHeight="1" thickBot="1">
      <c r="A2696" s="26" t="s">
        <v>12166</v>
      </c>
      <c r="B2696" s="26" t="s">
        <v>12166</v>
      </c>
      <c r="C2696" s="26" t="s">
        <v>10536</v>
      </c>
      <c r="D2696" s="116">
        <v>9</v>
      </c>
      <c r="E2696" s="122" t="s">
        <v>36</v>
      </c>
      <c r="F2696" s="119" t="s">
        <v>57</v>
      </c>
      <c r="G2696" s="27">
        <v>46207</v>
      </c>
      <c r="H2696" s="26" t="s">
        <v>12167</v>
      </c>
      <c r="I2696" s="113" t="s">
        <v>12400</v>
      </c>
      <c r="J2696" s="113" t="s">
        <v>12401</v>
      </c>
    </row>
    <row r="2697" spans="1:10" ht="20" customHeight="1" thickBot="1">
      <c r="A2697" s="28" t="s">
        <v>12170</v>
      </c>
      <c r="B2697" s="28" t="s">
        <v>12170</v>
      </c>
      <c r="C2697" s="28" t="s">
        <v>2763</v>
      </c>
      <c r="D2697" s="117">
        <v>12</v>
      </c>
      <c r="E2697" s="122" t="s">
        <v>35</v>
      </c>
      <c r="F2697" s="120" t="s">
        <v>57</v>
      </c>
      <c r="G2697" s="29">
        <v>44609</v>
      </c>
      <c r="H2697" s="28" t="s">
        <v>12171</v>
      </c>
      <c r="I2697" s="114" t="s">
        <v>12400</v>
      </c>
      <c r="J2697" s="114" t="s">
        <v>12401</v>
      </c>
    </row>
    <row r="2698" spans="1:10" ht="20" customHeight="1" thickBot="1">
      <c r="A2698" s="26" t="s">
        <v>12174</v>
      </c>
      <c r="B2698" s="26" t="s">
        <v>12174</v>
      </c>
      <c r="C2698" s="26" t="s">
        <v>12175</v>
      </c>
      <c r="D2698" s="116">
        <v>13</v>
      </c>
      <c r="E2698" s="122" t="s">
        <v>29</v>
      </c>
      <c r="F2698" s="119" t="s">
        <v>63</v>
      </c>
      <c r="G2698" s="27">
        <v>42013</v>
      </c>
      <c r="H2698" s="26" t="s">
        <v>12176</v>
      </c>
      <c r="I2698" s="113" t="s">
        <v>12400</v>
      </c>
      <c r="J2698" s="113" t="s">
        <v>12401</v>
      </c>
    </row>
    <row r="2699" spans="1:10" ht="20" customHeight="1" thickBot="1">
      <c r="A2699" s="28" t="s">
        <v>12179</v>
      </c>
      <c r="B2699" s="28" t="s">
        <v>12179</v>
      </c>
      <c r="C2699" s="28" t="s">
        <v>1804</v>
      </c>
      <c r="D2699" s="117">
        <v>11</v>
      </c>
      <c r="E2699" s="122" t="s">
        <v>31</v>
      </c>
      <c r="F2699" s="120" t="s">
        <v>63</v>
      </c>
      <c r="G2699" s="29">
        <v>42799</v>
      </c>
      <c r="H2699" s="28" t="s">
        <v>12180</v>
      </c>
      <c r="I2699" s="114" t="s">
        <v>12400</v>
      </c>
      <c r="J2699" s="114" t="s">
        <v>12401</v>
      </c>
    </row>
    <row r="2700" spans="1:10" ht="20" customHeight="1" thickBot="1">
      <c r="A2700" s="26" t="s">
        <v>12183</v>
      </c>
      <c r="B2700" s="26" t="s">
        <v>12183</v>
      </c>
      <c r="C2700" s="26" t="s">
        <v>1804</v>
      </c>
      <c r="D2700" s="116">
        <v>6</v>
      </c>
      <c r="E2700" s="122" t="s">
        <v>33</v>
      </c>
      <c r="F2700" s="119" t="s">
        <v>63</v>
      </c>
      <c r="G2700" s="27">
        <v>44990</v>
      </c>
      <c r="H2700" s="26" t="s">
        <v>12184</v>
      </c>
      <c r="I2700" s="113" t="s">
        <v>12400</v>
      </c>
      <c r="J2700" s="113" t="s">
        <v>12401</v>
      </c>
    </row>
    <row r="2701" spans="1:10" ht="20" customHeight="1" thickBot="1">
      <c r="A2701" s="28" t="s">
        <v>12187</v>
      </c>
      <c r="B2701" s="28" t="s">
        <v>12187</v>
      </c>
      <c r="C2701" s="28" t="s">
        <v>1580</v>
      </c>
      <c r="D2701" s="117">
        <v>20</v>
      </c>
      <c r="E2701" s="122" t="s">
        <v>33</v>
      </c>
      <c r="F2701" s="120" t="s">
        <v>57</v>
      </c>
      <c r="G2701" s="29">
        <v>43140</v>
      </c>
      <c r="H2701" s="28" t="s">
        <v>12188</v>
      </c>
      <c r="I2701" s="114" t="s">
        <v>12400</v>
      </c>
      <c r="J2701" s="114" t="s">
        <v>12401</v>
      </c>
    </row>
    <row r="2702" spans="1:10" ht="20" customHeight="1" thickBot="1">
      <c r="A2702" s="26" t="s">
        <v>12191</v>
      </c>
      <c r="B2702" s="26" t="s">
        <v>12191</v>
      </c>
      <c r="C2702" s="26" t="s">
        <v>12192</v>
      </c>
      <c r="D2702" s="116">
        <v>18</v>
      </c>
      <c r="E2702" s="122" t="s">
        <v>34</v>
      </c>
      <c r="F2702" s="119" t="s">
        <v>571</v>
      </c>
      <c r="G2702" s="27">
        <v>44545</v>
      </c>
      <c r="H2702" s="26" t="s">
        <v>12193</v>
      </c>
      <c r="I2702" s="113" t="s">
        <v>12400</v>
      </c>
      <c r="J2702" s="113" t="s">
        <v>12401</v>
      </c>
    </row>
    <row r="2703" spans="1:10" ht="20" customHeight="1" thickBot="1">
      <c r="A2703" s="28" t="s">
        <v>12196</v>
      </c>
      <c r="B2703" s="28" t="s">
        <v>12196</v>
      </c>
      <c r="C2703" s="28" t="s">
        <v>885</v>
      </c>
      <c r="D2703" s="117">
        <v>10</v>
      </c>
      <c r="E2703" s="122" t="s">
        <v>34</v>
      </c>
      <c r="F2703" s="120" t="s">
        <v>57</v>
      </c>
      <c r="G2703" s="29">
        <v>44070</v>
      </c>
      <c r="H2703" s="28" t="s">
        <v>12197</v>
      </c>
      <c r="I2703" s="114" t="s">
        <v>12400</v>
      </c>
      <c r="J2703" s="114" t="s">
        <v>12401</v>
      </c>
    </row>
    <row r="2704" spans="1:10" ht="20" customHeight="1" thickBot="1">
      <c r="A2704" s="26" t="s">
        <v>12200</v>
      </c>
      <c r="B2704" s="26" t="s">
        <v>12200</v>
      </c>
      <c r="C2704" s="26" t="s">
        <v>885</v>
      </c>
      <c r="D2704" s="116">
        <v>24</v>
      </c>
      <c r="E2704" s="122" t="s">
        <v>33</v>
      </c>
      <c r="F2704" s="119" t="s">
        <v>57</v>
      </c>
      <c r="G2704" s="27">
        <v>44275</v>
      </c>
      <c r="H2704" s="26" t="s">
        <v>12201</v>
      </c>
      <c r="I2704" s="113" t="s">
        <v>12400</v>
      </c>
      <c r="J2704" s="113" t="s">
        <v>12401</v>
      </c>
    </row>
    <row r="2705" spans="1:10" ht="20" customHeight="1" thickBot="1">
      <c r="A2705" s="28" t="s">
        <v>12204</v>
      </c>
      <c r="B2705" s="28" t="s">
        <v>12204</v>
      </c>
      <c r="C2705" s="28" t="s">
        <v>12205</v>
      </c>
      <c r="D2705" s="117">
        <v>34</v>
      </c>
      <c r="E2705" s="122" t="s">
        <v>33</v>
      </c>
      <c r="F2705" s="120" t="s">
        <v>63</v>
      </c>
      <c r="G2705" s="29">
        <v>41445</v>
      </c>
      <c r="H2705" s="28" t="s">
        <v>12206</v>
      </c>
      <c r="I2705" s="114" t="s">
        <v>12400</v>
      </c>
      <c r="J2705" s="114" t="s">
        <v>12401</v>
      </c>
    </row>
    <row r="2706" spans="1:10" ht="20" customHeight="1" thickBot="1">
      <c r="A2706" s="26" t="s">
        <v>12209</v>
      </c>
      <c r="B2706" s="26" t="s">
        <v>12209</v>
      </c>
      <c r="C2706" s="26" t="s">
        <v>12210</v>
      </c>
      <c r="D2706" s="116">
        <v>29</v>
      </c>
      <c r="E2706" s="122" t="s">
        <v>34</v>
      </c>
      <c r="F2706" s="119" t="s">
        <v>57</v>
      </c>
      <c r="G2706" s="27">
        <v>46030</v>
      </c>
      <c r="H2706" s="26" t="s">
        <v>12211</v>
      </c>
      <c r="I2706" s="113" t="s">
        <v>12400</v>
      </c>
      <c r="J2706" s="113" t="s">
        <v>12401</v>
      </c>
    </row>
    <row r="2707" spans="1:10" ht="20" customHeight="1" thickBot="1">
      <c r="A2707" s="28" t="s">
        <v>12214</v>
      </c>
      <c r="B2707" s="28" t="s">
        <v>12214</v>
      </c>
      <c r="C2707" s="28" t="s">
        <v>7076</v>
      </c>
      <c r="D2707" s="117">
        <v>11</v>
      </c>
      <c r="E2707" s="122" t="s">
        <v>35</v>
      </c>
      <c r="F2707" s="120" t="s">
        <v>57</v>
      </c>
      <c r="G2707" s="29">
        <v>44929</v>
      </c>
      <c r="H2707" s="28" t="s">
        <v>12215</v>
      </c>
      <c r="I2707" s="114" t="s">
        <v>12400</v>
      </c>
      <c r="J2707" s="114" t="s">
        <v>12401</v>
      </c>
    </row>
    <row r="2708" spans="1:10" ht="20" customHeight="1" thickBot="1">
      <c r="A2708" s="26" t="s">
        <v>12218</v>
      </c>
      <c r="B2708" s="26" t="s">
        <v>12218</v>
      </c>
      <c r="C2708" s="26" t="s">
        <v>718</v>
      </c>
      <c r="D2708" s="116">
        <v>0</v>
      </c>
      <c r="E2708" s="122" t="s">
        <v>33</v>
      </c>
      <c r="F2708" s="119" t="s">
        <v>57</v>
      </c>
      <c r="G2708" s="27">
        <v>44943</v>
      </c>
      <c r="H2708" s="26" t="s">
        <v>12219</v>
      </c>
      <c r="I2708" s="113" t="s">
        <v>12400</v>
      </c>
      <c r="J2708" s="113" t="s">
        <v>12401</v>
      </c>
    </row>
    <row r="2709" spans="1:10" ht="20" customHeight="1" thickBot="1">
      <c r="A2709" s="28" t="s">
        <v>12222</v>
      </c>
      <c r="B2709" s="28" t="s">
        <v>12222</v>
      </c>
      <c r="C2709" s="28" t="s">
        <v>3395</v>
      </c>
      <c r="D2709" s="117">
        <v>4</v>
      </c>
      <c r="E2709" s="122" t="s">
        <v>31</v>
      </c>
      <c r="F2709" s="120" t="s">
        <v>57</v>
      </c>
      <c r="G2709" s="29">
        <v>45802</v>
      </c>
      <c r="H2709" s="28" t="s">
        <v>12223</v>
      </c>
      <c r="I2709" s="114" t="s">
        <v>12400</v>
      </c>
      <c r="J2709" s="114" t="s">
        <v>12401</v>
      </c>
    </row>
    <row r="2710" spans="1:10" ht="20" customHeight="1" thickBot="1">
      <c r="A2710" s="26" t="s">
        <v>12226</v>
      </c>
      <c r="B2710" s="26" t="s">
        <v>12226</v>
      </c>
      <c r="C2710" s="26" t="s">
        <v>12227</v>
      </c>
      <c r="D2710" s="116">
        <v>10</v>
      </c>
      <c r="E2710" s="122" t="s">
        <v>35</v>
      </c>
      <c r="F2710" s="119" t="s">
        <v>57</v>
      </c>
      <c r="G2710" s="27">
        <v>43860</v>
      </c>
      <c r="H2710" s="26" t="s">
        <v>12228</v>
      </c>
      <c r="I2710" s="113" t="s">
        <v>12400</v>
      </c>
      <c r="J2710" s="113" t="s">
        <v>12401</v>
      </c>
    </row>
    <row r="2711" spans="1:10" ht="20" customHeight="1" thickBot="1">
      <c r="A2711" s="28" t="s">
        <v>12231</v>
      </c>
      <c r="B2711" s="28" t="s">
        <v>12231</v>
      </c>
      <c r="C2711" s="28" t="s">
        <v>2152</v>
      </c>
      <c r="D2711" s="117">
        <v>18</v>
      </c>
      <c r="E2711" s="122" t="s">
        <v>31</v>
      </c>
      <c r="F2711" s="120" t="s">
        <v>63</v>
      </c>
      <c r="G2711" s="29">
        <v>42523</v>
      </c>
      <c r="H2711" s="28" t="s">
        <v>12232</v>
      </c>
      <c r="I2711" s="114" t="s">
        <v>12400</v>
      </c>
      <c r="J2711" s="114" t="s">
        <v>12401</v>
      </c>
    </row>
    <row r="2712" spans="1:10" ht="20" customHeight="1" thickBot="1">
      <c r="A2712" s="26" t="s">
        <v>12235</v>
      </c>
      <c r="B2712" s="26" t="s">
        <v>12235</v>
      </c>
      <c r="C2712" s="26" t="s">
        <v>12236</v>
      </c>
      <c r="D2712" s="116">
        <v>67</v>
      </c>
      <c r="E2712" s="122" t="s">
        <v>33</v>
      </c>
      <c r="F2712" s="119" t="s">
        <v>63</v>
      </c>
      <c r="G2712" s="27">
        <v>45039</v>
      </c>
      <c r="H2712" s="26" t="s">
        <v>12237</v>
      </c>
      <c r="I2712" s="113" t="s">
        <v>12400</v>
      </c>
      <c r="J2712" s="113" t="s">
        <v>12401</v>
      </c>
    </row>
    <row r="2713" spans="1:10" ht="20" customHeight="1" thickBot="1">
      <c r="A2713" s="28" t="s">
        <v>12240</v>
      </c>
      <c r="B2713" s="28" t="s">
        <v>12240</v>
      </c>
      <c r="C2713" s="28" t="s">
        <v>12241</v>
      </c>
      <c r="D2713" s="117">
        <v>4</v>
      </c>
      <c r="E2713" s="122" t="s">
        <v>29</v>
      </c>
      <c r="F2713" s="120" t="s">
        <v>63</v>
      </c>
      <c r="G2713" s="29">
        <v>43221</v>
      </c>
      <c r="H2713" s="28" t="s">
        <v>12242</v>
      </c>
      <c r="I2713" s="114" t="s">
        <v>12400</v>
      </c>
      <c r="J2713" s="114" t="s">
        <v>12401</v>
      </c>
    </row>
    <row r="2714" spans="1:10" ht="20" customHeight="1" thickBot="1">
      <c r="A2714" s="26" t="s">
        <v>12245</v>
      </c>
      <c r="B2714" s="26" t="s">
        <v>12245</v>
      </c>
      <c r="C2714" s="26" t="s">
        <v>370</v>
      </c>
      <c r="D2714" s="116">
        <v>14</v>
      </c>
      <c r="E2714" s="122" t="s">
        <v>34</v>
      </c>
      <c r="F2714" s="119" t="s">
        <v>57</v>
      </c>
      <c r="G2714" s="27">
        <v>43922</v>
      </c>
      <c r="H2714" s="26" t="s">
        <v>12246</v>
      </c>
      <c r="I2714" s="113" t="s">
        <v>12400</v>
      </c>
      <c r="J2714" s="113" t="s">
        <v>12401</v>
      </c>
    </row>
    <row r="2715" spans="1:10" ht="20" customHeight="1" thickBot="1">
      <c r="A2715" s="28" t="s">
        <v>12249</v>
      </c>
      <c r="B2715" s="28" t="s">
        <v>12249</v>
      </c>
      <c r="C2715" s="28" t="s">
        <v>12250</v>
      </c>
      <c r="D2715" s="117">
        <v>2</v>
      </c>
      <c r="E2715" s="122" t="s">
        <v>33</v>
      </c>
      <c r="F2715" s="120" t="s">
        <v>115</v>
      </c>
      <c r="G2715" s="29">
        <v>45765</v>
      </c>
      <c r="H2715" s="28" t="s">
        <v>12251</v>
      </c>
      <c r="I2715" s="114" t="s">
        <v>12400</v>
      </c>
      <c r="J2715" s="114" t="s">
        <v>12401</v>
      </c>
    </row>
    <row r="2716" spans="1:10" ht="20" customHeight="1" thickBot="1">
      <c r="A2716" s="26" t="s">
        <v>12254</v>
      </c>
      <c r="B2716" s="26" t="s">
        <v>12254</v>
      </c>
      <c r="C2716" s="26" t="s">
        <v>11347</v>
      </c>
      <c r="D2716" s="116">
        <v>12</v>
      </c>
      <c r="E2716" s="122" t="s">
        <v>33</v>
      </c>
      <c r="F2716" s="119" t="s">
        <v>57</v>
      </c>
      <c r="G2716" s="27">
        <v>44318</v>
      </c>
      <c r="H2716" s="26" t="s">
        <v>12255</v>
      </c>
      <c r="I2716" s="113" t="s">
        <v>12400</v>
      </c>
      <c r="J2716" s="113" t="s">
        <v>12401</v>
      </c>
    </row>
    <row r="2717" spans="1:10" ht="20" customHeight="1" thickBot="1">
      <c r="A2717" s="28" t="s">
        <v>12258</v>
      </c>
      <c r="B2717" s="28" t="s">
        <v>12258</v>
      </c>
      <c r="C2717" s="28" t="s">
        <v>4920</v>
      </c>
      <c r="D2717" s="117">
        <v>33</v>
      </c>
      <c r="E2717" s="122" t="s">
        <v>31</v>
      </c>
      <c r="F2717" s="120" t="s">
        <v>63</v>
      </c>
      <c r="G2717" s="29">
        <v>42946</v>
      </c>
      <c r="H2717" s="28" t="s">
        <v>12259</v>
      </c>
      <c r="I2717" s="114" t="s">
        <v>12400</v>
      </c>
      <c r="J2717" s="114" t="s">
        <v>12401</v>
      </c>
    </row>
    <row r="2718" spans="1:10" ht="20" customHeight="1" thickBot="1">
      <c r="A2718" s="26" t="s">
        <v>12262</v>
      </c>
      <c r="B2718" s="26" t="s">
        <v>12262</v>
      </c>
      <c r="C2718" s="26" t="s">
        <v>2979</v>
      </c>
      <c r="D2718" s="116">
        <v>10</v>
      </c>
      <c r="E2718" s="122" t="s">
        <v>31</v>
      </c>
      <c r="F2718" s="119" t="s">
        <v>63</v>
      </c>
      <c r="G2718" s="27">
        <v>44153</v>
      </c>
      <c r="H2718" s="26" t="s">
        <v>12263</v>
      </c>
      <c r="I2718" s="113" t="s">
        <v>12400</v>
      </c>
      <c r="J2718" s="113" t="s">
        <v>12401</v>
      </c>
    </row>
    <row r="2719" spans="1:10" ht="20" customHeight="1" thickBot="1">
      <c r="A2719" s="28" t="s">
        <v>12266</v>
      </c>
      <c r="B2719" s="28" t="s">
        <v>12266</v>
      </c>
      <c r="C2719" s="28" t="s">
        <v>1230</v>
      </c>
      <c r="D2719" s="117">
        <v>1</v>
      </c>
      <c r="E2719" s="122" t="s">
        <v>31</v>
      </c>
      <c r="F2719" s="120" t="s">
        <v>63</v>
      </c>
      <c r="G2719" s="29">
        <v>42209</v>
      </c>
      <c r="H2719" s="28" t="s">
        <v>12267</v>
      </c>
      <c r="I2719" s="114" t="s">
        <v>12400</v>
      </c>
      <c r="J2719" s="114" t="s">
        <v>12401</v>
      </c>
    </row>
    <row r="2720" spans="1:10" ht="20" customHeight="1" thickBot="1">
      <c r="A2720" s="26" t="s">
        <v>12270</v>
      </c>
      <c r="B2720" s="26" t="s">
        <v>12270</v>
      </c>
      <c r="C2720" s="26" t="s">
        <v>12271</v>
      </c>
      <c r="D2720" s="116">
        <v>15</v>
      </c>
      <c r="E2720" s="122" t="s">
        <v>34</v>
      </c>
      <c r="F2720" s="119" t="s">
        <v>57</v>
      </c>
      <c r="G2720" s="27">
        <v>44504</v>
      </c>
      <c r="H2720" s="26" t="s">
        <v>12272</v>
      </c>
      <c r="I2720" s="113" t="s">
        <v>12400</v>
      </c>
      <c r="J2720" s="113" t="s">
        <v>12401</v>
      </c>
    </row>
    <row r="2721" spans="1:10" ht="20" customHeight="1" thickBot="1">
      <c r="A2721" s="28" t="s">
        <v>12275</v>
      </c>
      <c r="B2721" s="28" t="s">
        <v>12275</v>
      </c>
      <c r="C2721" s="28" t="s">
        <v>12276</v>
      </c>
      <c r="D2721" s="117">
        <v>113</v>
      </c>
      <c r="E2721" s="122" t="s">
        <v>34</v>
      </c>
      <c r="F2721" s="120" t="s">
        <v>63</v>
      </c>
      <c r="G2721" s="29">
        <v>46201</v>
      </c>
      <c r="H2721" s="28" t="s">
        <v>12277</v>
      </c>
      <c r="I2721" s="114" t="s">
        <v>12400</v>
      </c>
      <c r="J2721" s="114" t="s">
        <v>12401</v>
      </c>
    </row>
    <row r="2722" spans="1:10" ht="20" customHeight="1" thickBot="1">
      <c r="A2722" s="26" t="s">
        <v>12280</v>
      </c>
      <c r="B2722" s="26" t="s">
        <v>12280</v>
      </c>
      <c r="C2722" s="26" t="s">
        <v>2396</v>
      </c>
      <c r="D2722" s="116">
        <v>11</v>
      </c>
      <c r="E2722" s="122" t="s">
        <v>31</v>
      </c>
      <c r="F2722" s="119" t="s">
        <v>63</v>
      </c>
      <c r="G2722" s="27">
        <v>43272</v>
      </c>
      <c r="H2722" s="26" t="s">
        <v>12281</v>
      </c>
      <c r="I2722" s="113" t="s">
        <v>12400</v>
      </c>
      <c r="J2722" s="113" t="s">
        <v>12401</v>
      </c>
    </row>
    <row r="2723" spans="1:10" ht="20" customHeight="1" thickBot="1">
      <c r="A2723" s="28" t="s">
        <v>12284</v>
      </c>
      <c r="B2723" s="28" t="s">
        <v>12284</v>
      </c>
      <c r="C2723" s="28" t="s">
        <v>83</v>
      </c>
      <c r="D2723" s="117">
        <v>4</v>
      </c>
      <c r="E2723" s="122" t="s">
        <v>35</v>
      </c>
      <c r="F2723" s="120" t="s">
        <v>57</v>
      </c>
      <c r="G2723" s="29">
        <v>44284</v>
      </c>
      <c r="H2723" s="28" t="s">
        <v>12285</v>
      </c>
      <c r="I2723" s="114" t="s">
        <v>12400</v>
      </c>
      <c r="J2723" s="114" t="s">
        <v>12401</v>
      </c>
    </row>
    <row r="2724" spans="1:10" ht="20" customHeight="1" thickBot="1">
      <c r="A2724" s="26" t="s">
        <v>12288</v>
      </c>
      <c r="B2724" s="26" t="s">
        <v>12288</v>
      </c>
      <c r="C2724" s="26" t="s">
        <v>83</v>
      </c>
      <c r="D2724" s="116">
        <v>7</v>
      </c>
      <c r="E2724" s="122" t="s">
        <v>29</v>
      </c>
      <c r="F2724" s="119" t="s">
        <v>63</v>
      </c>
      <c r="G2724" s="27">
        <v>44314</v>
      </c>
      <c r="H2724" s="26" t="s">
        <v>12289</v>
      </c>
      <c r="I2724" s="113" t="s">
        <v>12400</v>
      </c>
      <c r="J2724" s="113" t="s">
        <v>12401</v>
      </c>
    </row>
    <row r="2725" spans="1:10" ht="20" customHeight="1" thickBot="1">
      <c r="A2725" s="28" t="s">
        <v>12292</v>
      </c>
      <c r="B2725" s="28" t="s">
        <v>12292</v>
      </c>
      <c r="C2725" s="28" t="s">
        <v>12293</v>
      </c>
      <c r="D2725" s="117">
        <v>14</v>
      </c>
      <c r="E2725" s="122" t="s">
        <v>27</v>
      </c>
      <c r="F2725" s="120" t="s">
        <v>63</v>
      </c>
      <c r="G2725" s="29">
        <v>42210</v>
      </c>
      <c r="H2725" s="28" t="s">
        <v>12294</v>
      </c>
      <c r="I2725" s="114" t="s">
        <v>12400</v>
      </c>
      <c r="J2725" s="114" t="s">
        <v>12401</v>
      </c>
    </row>
    <row r="2726" spans="1:10" ht="20" customHeight="1" thickBot="1">
      <c r="A2726" s="26" t="s">
        <v>12297</v>
      </c>
      <c r="B2726" s="26" t="s">
        <v>12297</v>
      </c>
      <c r="C2726" s="26" t="s">
        <v>1017</v>
      </c>
      <c r="D2726" s="116">
        <v>11</v>
      </c>
      <c r="E2726" s="122" t="s">
        <v>29</v>
      </c>
      <c r="F2726" s="119" t="s">
        <v>63</v>
      </c>
      <c r="G2726" s="27">
        <v>45093</v>
      </c>
      <c r="H2726" s="26" t="s">
        <v>12298</v>
      </c>
      <c r="I2726" s="113" t="s">
        <v>12400</v>
      </c>
      <c r="J2726" s="113" t="s">
        <v>12401</v>
      </c>
    </row>
    <row r="2727" spans="1:10" ht="20" customHeight="1" thickBot="1">
      <c r="A2727" s="28" t="s">
        <v>12301</v>
      </c>
      <c r="B2727" s="28" t="s">
        <v>12301</v>
      </c>
      <c r="C2727" s="28" t="s">
        <v>253</v>
      </c>
      <c r="D2727" s="117">
        <v>5</v>
      </c>
      <c r="E2727" s="122" t="s">
        <v>34</v>
      </c>
      <c r="F2727" s="120" t="s">
        <v>57</v>
      </c>
      <c r="G2727" s="29">
        <v>43588</v>
      </c>
      <c r="H2727" s="28" t="s">
        <v>12302</v>
      </c>
      <c r="I2727" s="114" t="s">
        <v>12400</v>
      </c>
      <c r="J2727" s="114" t="s">
        <v>12401</v>
      </c>
    </row>
    <row r="2728" spans="1:10" ht="20" customHeight="1" thickBot="1">
      <c r="A2728" s="26" t="s">
        <v>12305</v>
      </c>
      <c r="B2728" s="26" t="s">
        <v>12305</v>
      </c>
      <c r="C2728" s="26" t="s">
        <v>12306</v>
      </c>
      <c r="D2728" s="116">
        <v>12</v>
      </c>
      <c r="E2728" s="122" t="s">
        <v>33</v>
      </c>
      <c r="F2728" s="119" t="s">
        <v>63</v>
      </c>
      <c r="G2728" s="27">
        <v>44586</v>
      </c>
      <c r="H2728" s="26" t="s">
        <v>12307</v>
      </c>
      <c r="I2728" s="113" t="s">
        <v>12400</v>
      </c>
      <c r="J2728" s="113" t="s">
        <v>12401</v>
      </c>
    </row>
    <row r="2729" spans="1:10" ht="20" customHeight="1" thickBot="1">
      <c r="A2729" s="28" t="s">
        <v>12310</v>
      </c>
      <c r="B2729" s="28" t="s">
        <v>12310</v>
      </c>
      <c r="C2729" s="28" t="s">
        <v>12311</v>
      </c>
      <c r="D2729" s="117">
        <v>21</v>
      </c>
      <c r="E2729" s="122" t="s">
        <v>27</v>
      </c>
      <c r="F2729" s="120" t="s">
        <v>63</v>
      </c>
      <c r="G2729" s="29">
        <v>42277</v>
      </c>
      <c r="H2729" s="28" t="s">
        <v>12312</v>
      </c>
      <c r="I2729" s="114" t="s">
        <v>12400</v>
      </c>
      <c r="J2729" s="114" t="s">
        <v>12401</v>
      </c>
    </row>
    <row r="2730" spans="1:10" ht="20" customHeight="1" thickBot="1">
      <c r="A2730" s="26" t="s">
        <v>12315</v>
      </c>
      <c r="B2730" s="26" t="s">
        <v>12315</v>
      </c>
      <c r="C2730" s="26" t="s">
        <v>7159</v>
      </c>
      <c r="D2730" s="116">
        <v>13</v>
      </c>
      <c r="E2730" s="122" t="s">
        <v>33</v>
      </c>
      <c r="F2730" s="119" t="s">
        <v>57</v>
      </c>
      <c r="G2730" s="27">
        <v>45324</v>
      </c>
      <c r="H2730" s="26" t="s">
        <v>12316</v>
      </c>
      <c r="I2730" s="113" t="s">
        <v>12400</v>
      </c>
      <c r="J2730" s="113" t="s">
        <v>12401</v>
      </c>
    </row>
    <row r="2731" spans="1:10" ht="20" customHeight="1" thickBot="1">
      <c r="A2731" s="28" t="s">
        <v>12319</v>
      </c>
      <c r="B2731" s="28" t="s">
        <v>12319</v>
      </c>
      <c r="C2731" s="28" t="s">
        <v>6948</v>
      </c>
      <c r="D2731" s="117">
        <v>46</v>
      </c>
      <c r="E2731" s="122" t="s">
        <v>35</v>
      </c>
      <c r="F2731" s="120" t="s">
        <v>57</v>
      </c>
      <c r="G2731" s="29">
        <v>46198</v>
      </c>
      <c r="H2731" s="28" t="s">
        <v>12320</v>
      </c>
      <c r="I2731" s="114" t="s">
        <v>12400</v>
      </c>
      <c r="J2731" s="114" t="s">
        <v>12401</v>
      </c>
    </row>
    <row r="2732" spans="1:10" ht="20" customHeight="1" thickBot="1">
      <c r="A2732" s="26" t="s">
        <v>12323</v>
      </c>
      <c r="B2732" s="26" t="s">
        <v>12323</v>
      </c>
      <c r="C2732" s="26" t="s">
        <v>5214</v>
      </c>
      <c r="D2732" s="116">
        <v>100</v>
      </c>
      <c r="E2732" s="122" t="s">
        <v>35</v>
      </c>
      <c r="F2732" s="119" t="s">
        <v>63</v>
      </c>
      <c r="G2732" s="27">
        <v>42069</v>
      </c>
      <c r="H2732" s="26" t="s">
        <v>12324</v>
      </c>
      <c r="I2732" s="113" t="s">
        <v>12400</v>
      </c>
      <c r="J2732" s="113" t="s">
        <v>12401</v>
      </c>
    </row>
    <row r="2733" spans="1:10" ht="20" customHeight="1" thickBot="1">
      <c r="A2733" s="28" t="s">
        <v>12327</v>
      </c>
      <c r="B2733" s="28" t="s">
        <v>12327</v>
      </c>
      <c r="C2733" s="28" t="s">
        <v>12328</v>
      </c>
      <c r="D2733" s="117">
        <v>5</v>
      </c>
      <c r="E2733" s="122" t="s">
        <v>31</v>
      </c>
      <c r="F2733" s="120" t="s">
        <v>63</v>
      </c>
      <c r="G2733" s="29">
        <v>42264</v>
      </c>
      <c r="H2733" s="28" t="s">
        <v>12329</v>
      </c>
      <c r="I2733" s="114" t="s">
        <v>12400</v>
      </c>
      <c r="J2733" s="114" t="s">
        <v>12401</v>
      </c>
    </row>
    <row r="2734" spans="1:10" ht="20" customHeight="1" thickBot="1">
      <c r="A2734" s="26" t="s">
        <v>1535</v>
      </c>
      <c r="B2734" s="26" t="s">
        <v>1535</v>
      </c>
      <c r="C2734" s="26" t="s">
        <v>1535</v>
      </c>
      <c r="D2734" s="116">
        <v>30</v>
      </c>
      <c r="E2734" s="122" t="s">
        <v>29</v>
      </c>
      <c r="F2734" s="119" t="s">
        <v>63</v>
      </c>
      <c r="G2734" s="27">
        <v>42268</v>
      </c>
      <c r="H2734" s="26" t="s">
        <v>12332</v>
      </c>
      <c r="I2734" s="113" t="s">
        <v>12400</v>
      </c>
      <c r="J2734" s="113" t="s">
        <v>12401</v>
      </c>
    </row>
    <row r="2735" spans="1:10" ht="20" customHeight="1" thickBot="1">
      <c r="A2735" s="28" t="s">
        <v>12335</v>
      </c>
      <c r="B2735" s="28" t="s">
        <v>12335</v>
      </c>
      <c r="C2735" s="28" t="s">
        <v>704</v>
      </c>
      <c r="D2735" s="117">
        <v>0</v>
      </c>
      <c r="E2735" s="122" t="s">
        <v>31</v>
      </c>
      <c r="F2735" s="120" t="s">
        <v>63</v>
      </c>
      <c r="G2735" s="29">
        <v>45853</v>
      </c>
      <c r="H2735" s="28" t="s">
        <v>12336</v>
      </c>
      <c r="I2735" s="114" t="s">
        <v>12400</v>
      </c>
      <c r="J2735" s="114" t="s">
        <v>12401</v>
      </c>
    </row>
    <row r="2736" spans="1:10" ht="20" customHeight="1" thickBot="1">
      <c r="A2736" s="26" t="s">
        <v>12339</v>
      </c>
      <c r="B2736" s="26" t="s">
        <v>12339</v>
      </c>
      <c r="C2736" s="26" t="s">
        <v>2979</v>
      </c>
      <c r="D2736" s="116">
        <v>5</v>
      </c>
      <c r="E2736" s="122" t="s">
        <v>34</v>
      </c>
      <c r="F2736" s="119" t="s">
        <v>57</v>
      </c>
      <c r="G2736" s="27">
        <v>45768</v>
      </c>
      <c r="H2736" s="26" t="s">
        <v>12340</v>
      </c>
      <c r="I2736" s="113" t="s">
        <v>12400</v>
      </c>
      <c r="J2736" s="113" t="s">
        <v>12401</v>
      </c>
    </row>
    <row r="2737" spans="1:10" ht="20" customHeight="1" thickBot="1">
      <c r="A2737" s="28" t="s">
        <v>12343</v>
      </c>
      <c r="B2737" s="28" t="s">
        <v>12343</v>
      </c>
      <c r="C2737" s="28" t="s">
        <v>12344</v>
      </c>
      <c r="D2737" s="117">
        <v>15</v>
      </c>
      <c r="E2737" s="122" t="s">
        <v>34</v>
      </c>
      <c r="F2737" s="120" t="s">
        <v>57</v>
      </c>
      <c r="G2737" s="29">
        <v>45534</v>
      </c>
      <c r="H2737" s="28" t="s">
        <v>12345</v>
      </c>
      <c r="I2737" s="114" t="s">
        <v>12400</v>
      </c>
      <c r="J2737" s="114" t="s">
        <v>12401</v>
      </c>
    </row>
    <row r="2738" spans="1:10" ht="20" customHeight="1" thickBot="1">
      <c r="A2738" s="26" t="s">
        <v>12348</v>
      </c>
      <c r="B2738" s="26" t="s">
        <v>12348</v>
      </c>
      <c r="C2738" s="26" t="s">
        <v>12349</v>
      </c>
      <c r="D2738" s="116">
        <v>5</v>
      </c>
      <c r="E2738" s="122" t="s">
        <v>29</v>
      </c>
      <c r="F2738" s="119" t="s">
        <v>63</v>
      </c>
      <c r="G2738" s="27">
        <v>44920</v>
      </c>
      <c r="H2738" s="26" t="s">
        <v>12350</v>
      </c>
      <c r="I2738" s="113" t="s">
        <v>12400</v>
      </c>
      <c r="J2738" s="113" t="s">
        <v>12401</v>
      </c>
    </row>
    <row r="2739" spans="1:10" ht="20" customHeight="1" thickBot="1">
      <c r="A2739" s="28" t="s">
        <v>12353</v>
      </c>
      <c r="B2739" s="28" t="s">
        <v>12353</v>
      </c>
      <c r="C2739" s="28" t="s">
        <v>12354</v>
      </c>
      <c r="D2739" s="117">
        <v>120</v>
      </c>
      <c r="E2739" s="122" t="s">
        <v>34</v>
      </c>
      <c r="F2739" s="120" t="s">
        <v>115</v>
      </c>
      <c r="G2739" s="29">
        <v>42933</v>
      </c>
      <c r="H2739" s="28" t="s">
        <v>12355</v>
      </c>
      <c r="I2739" s="114" t="s">
        <v>12400</v>
      </c>
      <c r="J2739" s="114" t="s">
        <v>12401</v>
      </c>
    </row>
    <row r="2740" spans="1:10" ht="20" customHeight="1" thickBot="1">
      <c r="A2740" s="26" t="s">
        <v>12358</v>
      </c>
      <c r="B2740" s="26" t="s">
        <v>12358</v>
      </c>
      <c r="C2740" s="26" t="s">
        <v>12359</v>
      </c>
      <c r="D2740" s="116">
        <v>104</v>
      </c>
      <c r="E2740" s="122" t="s">
        <v>34</v>
      </c>
      <c r="F2740" s="119" t="s">
        <v>115</v>
      </c>
      <c r="G2740" s="27">
        <v>44030</v>
      </c>
      <c r="H2740" s="26" t="s">
        <v>12360</v>
      </c>
      <c r="I2740" s="113" t="s">
        <v>12400</v>
      </c>
      <c r="J2740" s="113" t="s">
        <v>12401</v>
      </c>
    </row>
    <row r="2741" spans="1:10" ht="20" customHeight="1" thickBot="1">
      <c r="A2741" s="28" t="s">
        <v>12363</v>
      </c>
      <c r="B2741" s="28" t="s">
        <v>12363</v>
      </c>
      <c r="C2741" s="28" t="s">
        <v>2119</v>
      </c>
      <c r="D2741" s="117">
        <v>19</v>
      </c>
      <c r="E2741" s="122" t="s">
        <v>31</v>
      </c>
      <c r="F2741" s="120" t="s">
        <v>63</v>
      </c>
      <c r="G2741" s="29">
        <v>43971</v>
      </c>
      <c r="H2741" s="28" t="s">
        <v>12364</v>
      </c>
      <c r="I2741" s="114" t="s">
        <v>12400</v>
      </c>
      <c r="J2741" s="114" t="s">
        <v>12401</v>
      </c>
    </row>
    <row r="2742" spans="1:10" ht="20" customHeight="1" thickBot="1">
      <c r="A2742" s="26" t="s">
        <v>12367</v>
      </c>
      <c r="B2742" s="26" t="s">
        <v>12367</v>
      </c>
      <c r="C2742" s="26" t="s">
        <v>7830</v>
      </c>
      <c r="D2742" s="116">
        <v>13</v>
      </c>
      <c r="E2742" s="122" t="s">
        <v>33</v>
      </c>
      <c r="F2742" s="119" t="s">
        <v>57</v>
      </c>
      <c r="G2742" s="27">
        <v>44084</v>
      </c>
      <c r="H2742" s="26" t="s">
        <v>12368</v>
      </c>
      <c r="I2742" s="113" t="s">
        <v>12400</v>
      </c>
      <c r="J2742" s="113" t="s">
        <v>12401</v>
      </c>
    </row>
    <row r="2743" spans="1:10" ht="20" customHeight="1" thickBot="1">
      <c r="A2743" s="28" t="s">
        <v>12371</v>
      </c>
      <c r="B2743" s="28" t="s">
        <v>12371</v>
      </c>
      <c r="C2743" s="28" t="s">
        <v>12372</v>
      </c>
      <c r="D2743" s="117">
        <v>64</v>
      </c>
      <c r="E2743" s="122" t="s">
        <v>29</v>
      </c>
      <c r="F2743" s="120" t="s">
        <v>63</v>
      </c>
      <c r="G2743" s="29">
        <v>42939</v>
      </c>
      <c r="H2743" s="28" t="s">
        <v>12373</v>
      </c>
      <c r="I2743" s="114" t="s">
        <v>12400</v>
      </c>
      <c r="J2743" s="114" t="s">
        <v>12401</v>
      </c>
    </row>
    <row r="2744" spans="1:10" ht="20" customHeight="1" thickBot="1">
      <c r="A2744" s="26" t="s">
        <v>12376</v>
      </c>
      <c r="B2744" s="26" t="s">
        <v>12376</v>
      </c>
      <c r="C2744" s="26" t="s">
        <v>12377</v>
      </c>
      <c r="D2744" s="116">
        <v>11</v>
      </c>
      <c r="E2744" s="122" t="s">
        <v>33</v>
      </c>
      <c r="F2744" s="119" t="s">
        <v>57</v>
      </c>
      <c r="G2744" s="27">
        <v>44886</v>
      </c>
      <c r="H2744" s="26" t="s">
        <v>12378</v>
      </c>
      <c r="I2744" s="113" t="s">
        <v>12400</v>
      </c>
      <c r="J2744" s="113" t="s">
        <v>12401</v>
      </c>
    </row>
    <row r="2745" spans="1:10" ht="20" customHeight="1" thickBot="1">
      <c r="A2745" s="28" t="s">
        <v>12381</v>
      </c>
      <c r="B2745" s="28" t="s">
        <v>12381</v>
      </c>
      <c r="C2745" s="28" t="s">
        <v>12382</v>
      </c>
      <c r="D2745" s="117">
        <v>100</v>
      </c>
      <c r="E2745" s="122" t="s">
        <v>34</v>
      </c>
      <c r="F2745" s="120" t="s">
        <v>63</v>
      </c>
      <c r="G2745" s="29">
        <v>45452</v>
      </c>
      <c r="H2745" s="28" t="s">
        <v>12383</v>
      </c>
      <c r="I2745" s="114" t="s">
        <v>12400</v>
      </c>
      <c r="J2745" s="114" t="s">
        <v>12401</v>
      </c>
    </row>
    <row r="2746" spans="1:10" ht="20" customHeight="1" thickBot="1">
      <c r="A2746" s="26" t="s">
        <v>12386</v>
      </c>
      <c r="B2746" s="26" t="s">
        <v>12386</v>
      </c>
      <c r="C2746" s="26" t="s">
        <v>12387</v>
      </c>
      <c r="D2746" s="116">
        <v>4</v>
      </c>
      <c r="E2746" s="122" t="s">
        <v>34</v>
      </c>
      <c r="F2746" s="119" t="s">
        <v>57</v>
      </c>
      <c r="G2746" s="27">
        <v>45716</v>
      </c>
      <c r="H2746" s="26" t="s">
        <v>12388</v>
      </c>
      <c r="I2746" s="113" t="s">
        <v>12400</v>
      </c>
      <c r="J2746" s="113" t="s">
        <v>12401</v>
      </c>
    </row>
    <row r="2747" spans="1:10" ht="20" customHeight="1" thickBot="1">
      <c r="A2747" s="28" t="s">
        <v>12391</v>
      </c>
      <c r="B2747" s="28" t="s">
        <v>12391</v>
      </c>
      <c r="C2747" s="28" t="s">
        <v>12392</v>
      </c>
      <c r="D2747" s="117">
        <v>18</v>
      </c>
      <c r="E2747" s="122" t="s">
        <v>31</v>
      </c>
      <c r="F2747" s="120" t="s">
        <v>63</v>
      </c>
      <c r="G2747" s="29">
        <v>43846</v>
      </c>
      <c r="H2747" s="28" t="s">
        <v>12393</v>
      </c>
      <c r="I2747" s="114" t="s">
        <v>12400</v>
      </c>
      <c r="J2747" s="114" t="s">
        <v>12401</v>
      </c>
    </row>
    <row r="2748" spans="1:10" ht="20" customHeight="1" thickBot="1">
      <c r="A2748" s="26" t="s">
        <v>12396</v>
      </c>
      <c r="B2748" s="26" t="s">
        <v>12396</v>
      </c>
      <c r="C2748" s="26" t="s">
        <v>114</v>
      </c>
      <c r="D2748" s="116">
        <v>13</v>
      </c>
      <c r="E2748" s="122" t="s">
        <v>34</v>
      </c>
      <c r="F2748" s="119" t="s">
        <v>57</v>
      </c>
      <c r="G2748" s="27">
        <v>44938</v>
      </c>
      <c r="H2748" s="26" t="s">
        <v>12397</v>
      </c>
      <c r="I2748" s="113" t="s">
        <v>12400</v>
      </c>
      <c r="J2748" s="113" t="s">
        <v>12401</v>
      </c>
    </row>
  </sheetData>
  <conditionalFormatting sqref="A2:D2747 F2:J2747">
    <cfRule type="expression" dxfId="26" priority="10">
      <formula>MOD(ROW(),2)=0</formula>
    </cfRule>
  </conditionalFormatting>
  <conditionalFormatting sqref="A2:D2748 F2:J2748">
    <cfRule type="expression" dxfId="25" priority="11">
      <formula>MOD(ROW(),2)=0</formula>
    </cfRule>
  </conditionalFormatting>
  <conditionalFormatting sqref="E2:E2748">
    <cfRule type="expression" dxfId="8" priority="1">
      <formula>MOD(ROW(),2)=0</formula>
    </cfRule>
  </conditionalFormatting>
  <conditionalFormatting sqref="E2:E2748">
    <cfRule type="expression" dxfId="7" priority="2">
      <formula>E2="Newcomer"</formula>
    </cfRule>
    <cfRule type="expression" dxfId="6" priority="3">
      <formula>E2="Casual"</formula>
    </cfRule>
    <cfRule type="expression" dxfId="5" priority="4">
      <formula>E2="Intermediate"</formula>
    </cfRule>
    <cfRule type="expression" dxfId="4" priority="5">
      <formula>E2="Advanced"</formula>
    </cfRule>
    <cfRule type="expression" dxfId="3" priority="6">
      <formula>E2="Expert"</formula>
    </cfRule>
    <cfRule type="expression" dxfId="2" priority="7">
      <formula>E2="Master"</formula>
    </cfRule>
    <cfRule type="expression" dxfId="1" priority="8">
      <formula>E2="Grandmaster"</formula>
    </cfRule>
    <cfRule type="expression" dxfId="0" priority="9">
      <formula>E2="Unranked"</formula>
    </cfRule>
  </conditionalFormatting>
  <hyperlinks>
    <hyperlink ref="I2" r:id="rId1" xr:uid="{00000000-0004-0000-0400-000000000000}"/>
    <hyperlink ref="J2" r:id="rId2" xr:uid="{00000000-0004-0000-0400-000001000000}"/>
    <hyperlink ref="I3" r:id="rId3" xr:uid="{00000000-0004-0000-0400-000002000000}"/>
    <hyperlink ref="J3" r:id="rId4" xr:uid="{00000000-0004-0000-0400-000003000000}"/>
    <hyperlink ref="I4" r:id="rId5" xr:uid="{00000000-0004-0000-0400-000004000000}"/>
    <hyperlink ref="J4" r:id="rId6" xr:uid="{00000000-0004-0000-0400-000005000000}"/>
    <hyperlink ref="I5" r:id="rId7" xr:uid="{00000000-0004-0000-0400-000006000000}"/>
    <hyperlink ref="J5" r:id="rId8" xr:uid="{00000000-0004-0000-0400-000007000000}"/>
    <hyperlink ref="I6" r:id="rId9" xr:uid="{00000000-0004-0000-0400-000008000000}"/>
    <hyperlink ref="J6" r:id="rId10" xr:uid="{00000000-0004-0000-0400-000009000000}"/>
    <hyperlink ref="I7" r:id="rId11" xr:uid="{00000000-0004-0000-0400-00000A000000}"/>
    <hyperlink ref="J7" r:id="rId12" xr:uid="{00000000-0004-0000-0400-00000B000000}"/>
    <hyperlink ref="I8" r:id="rId13" xr:uid="{00000000-0004-0000-0400-00000C000000}"/>
    <hyperlink ref="J8" r:id="rId14" xr:uid="{00000000-0004-0000-0400-00000D000000}"/>
    <hyperlink ref="I9" r:id="rId15" xr:uid="{00000000-0004-0000-0400-00000E000000}"/>
    <hyperlink ref="J9" r:id="rId16" xr:uid="{00000000-0004-0000-0400-00000F000000}"/>
    <hyperlink ref="I10" r:id="rId17" xr:uid="{00000000-0004-0000-0400-000010000000}"/>
    <hyperlink ref="J10" r:id="rId18" xr:uid="{00000000-0004-0000-0400-000011000000}"/>
    <hyperlink ref="I11" r:id="rId19" xr:uid="{00000000-0004-0000-0400-000012000000}"/>
    <hyperlink ref="J11" r:id="rId20" xr:uid="{00000000-0004-0000-0400-000013000000}"/>
    <hyperlink ref="I12" r:id="rId21" xr:uid="{00000000-0004-0000-0400-000014000000}"/>
    <hyperlink ref="J12" r:id="rId22" xr:uid="{00000000-0004-0000-0400-000015000000}"/>
    <hyperlink ref="I13" r:id="rId23" xr:uid="{00000000-0004-0000-0400-000016000000}"/>
    <hyperlink ref="J13" r:id="rId24" xr:uid="{00000000-0004-0000-0400-000017000000}"/>
    <hyperlink ref="I14" r:id="rId25" xr:uid="{00000000-0004-0000-0400-000018000000}"/>
    <hyperlink ref="J14" r:id="rId26" xr:uid="{00000000-0004-0000-0400-000019000000}"/>
    <hyperlink ref="I15" r:id="rId27" xr:uid="{00000000-0004-0000-0400-00001A000000}"/>
    <hyperlink ref="J15" r:id="rId28" xr:uid="{00000000-0004-0000-0400-00001B000000}"/>
    <hyperlink ref="I16" r:id="rId29" xr:uid="{00000000-0004-0000-0400-00001C000000}"/>
    <hyperlink ref="J16" r:id="rId30" xr:uid="{00000000-0004-0000-0400-00001D000000}"/>
    <hyperlink ref="I17" r:id="rId31" xr:uid="{00000000-0004-0000-0400-00001E000000}"/>
    <hyperlink ref="J17" r:id="rId32" xr:uid="{00000000-0004-0000-0400-00001F000000}"/>
    <hyperlink ref="I18" r:id="rId33" xr:uid="{00000000-0004-0000-0400-000020000000}"/>
    <hyperlink ref="J18" r:id="rId34" xr:uid="{00000000-0004-0000-0400-000021000000}"/>
    <hyperlink ref="I19" r:id="rId35" xr:uid="{00000000-0004-0000-0400-000022000000}"/>
    <hyperlink ref="J19" r:id="rId36" xr:uid="{00000000-0004-0000-0400-000023000000}"/>
    <hyperlink ref="I20" r:id="rId37" xr:uid="{00000000-0004-0000-0400-000024000000}"/>
    <hyperlink ref="J20" r:id="rId38" xr:uid="{00000000-0004-0000-0400-000025000000}"/>
    <hyperlink ref="I21" r:id="rId39" xr:uid="{00000000-0004-0000-0400-000026000000}"/>
    <hyperlink ref="J21" r:id="rId40" xr:uid="{00000000-0004-0000-0400-000027000000}"/>
    <hyperlink ref="I22" r:id="rId41" xr:uid="{00000000-0004-0000-0400-000028000000}"/>
    <hyperlink ref="J22" r:id="rId42" xr:uid="{00000000-0004-0000-0400-000029000000}"/>
    <hyperlink ref="I23" r:id="rId43" xr:uid="{00000000-0004-0000-0400-00002A000000}"/>
    <hyperlink ref="J23" r:id="rId44" xr:uid="{00000000-0004-0000-0400-00002B000000}"/>
    <hyperlink ref="I24" r:id="rId45" xr:uid="{00000000-0004-0000-0400-00002C000000}"/>
    <hyperlink ref="J24" r:id="rId46" xr:uid="{00000000-0004-0000-0400-00002D000000}"/>
    <hyperlink ref="I25" r:id="rId47" xr:uid="{00000000-0004-0000-0400-00002E000000}"/>
    <hyperlink ref="J25" r:id="rId48" xr:uid="{00000000-0004-0000-0400-00002F000000}"/>
    <hyperlink ref="I26" r:id="rId49" xr:uid="{00000000-0004-0000-0400-000030000000}"/>
    <hyperlink ref="J26" r:id="rId50" xr:uid="{00000000-0004-0000-0400-000031000000}"/>
    <hyperlink ref="I27" r:id="rId51" xr:uid="{00000000-0004-0000-0400-000032000000}"/>
    <hyperlink ref="J27" r:id="rId52" xr:uid="{00000000-0004-0000-0400-000033000000}"/>
    <hyperlink ref="I28" r:id="rId53" xr:uid="{00000000-0004-0000-0400-000034000000}"/>
    <hyperlink ref="J28" r:id="rId54" xr:uid="{00000000-0004-0000-0400-000035000000}"/>
    <hyperlink ref="I29" r:id="rId55" xr:uid="{00000000-0004-0000-0400-000036000000}"/>
    <hyperlink ref="J29" r:id="rId56" xr:uid="{00000000-0004-0000-0400-000037000000}"/>
    <hyperlink ref="I30" r:id="rId57" xr:uid="{00000000-0004-0000-0400-000038000000}"/>
    <hyperlink ref="J30" r:id="rId58" xr:uid="{00000000-0004-0000-0400-000039000000}"/>
    <hyperlink ref="I31" r:id="rId59" xr:uid="{00000000-0004-0000-0400-00003A000000}"/>
    <hyperlink ref="J31" r:id="rId60" xr:uid="{00000000-0004-0000-0400-00003B000000}"/>
    <hyperlink ref="I32" r:id="rId61" xr:uid="{00000000-0004-0000-0400-00003C000000}"/>
    <hyperlink ref="J32" r:id="rId62" xr:uid="{00000000-0004-0000-0400-00003D000000}"/>
    <hyperlink ref="I33" r:id="rId63" xr:uid="{00000000-0004-0000-0400-00003E000000}"/>
    <hyperlink ref="J33" r:id="rId64" xr:uid="{00000000-0004-0000-0400-00003F000000}"/>
    <hyperlink ref="I34" r:id="rId65" xr:uid="{00000000-0004-0000-0400-000040000000}"/>
    <hyperlink ref="J34" r:id="rId66" xr:uid="{00000000-0004-0000-0400-000041000000}"/>
    <hyperlink ref="I35" r:id="rId67" xr:uid="{00000000-0004-0000-0400-000042000000}"/>
    <hyperlink ref="J35" r:id="rId68" xr:uid="{00000000-0004-0000-0400-000043000000}"/>
    <hyperlink ref="I36" r:id="rId69" xr:uid="{00000000-0004-0000-0400-000044000000}"/>
    <hyperlink ref="J36" r:id="rId70" xr:uid="{00000000-0004-0000-0400-000045000000}"/>
    <hyperlink ref="I37" r:id="rId71" xr:uid="{00000000-0004-0000-0400-000046000000}"/>
    <hyperlink ref="J37" r:id="rId72" xr:uid="{00000000-0004-0000-0400-000047000000}"/>
    <hyperlink ref="I38" r:id="rId73" xr:uid="{00000000-0004-0000-0400-000048000000}"/>
    <hyperlink ref="J38" r:id="rId74" xr:uid="{00000000-0004-0000-0400-000049000000}"/>
    <hyperlink ref="I39" r:id="rId75" xr:uid="{00000000-0004-0000-0400-00004A000000}"/>
    <hyperlink ref="J39" r:id="rId76" xr:uid="{00000000-0004-0000-0400-00004B000000}"/>
    <hyperlink ref="I40" r:id="rId77" xr:uid="{00000000-0004-0000-0400-00004C000000}"/>
    <hyperlink ref="J40" r:id="rId78" xr:uid="{00000000-0004-0000-0400-00004D000000}"/>
    <hyperlink ref="I41" r:id="rId79" xr:uid="{00000000-0004-0000-0400-00004E000000}"/>
    <hyperlink ref="J41" r:id="rId80" xr:uid="{00000000-0004-0000-0400-00004F000000}"/>
    <hyperlink ref="I42" r:id="rId81" xr:uid="{00000000-0004-0000-0400-000050000000}"/>
    <hyperlink ref="J42" r:id="rId82" xr:uid="{00000000-0004-0000-0400-000051000000}"/>
    <hyperlink ref="I43" r:id="rId83" xr:uid="{00000000-0004-0000-0400-000052000000}"/>
    <hyperlink ref="J43" r:id="rId84" xr:uid="{00000000-0004-0000-0400-000053000000}"/>
    <hyperlink ref="I44" r:id="rId85" xr:uid="{00000000-0004-0000-0400-000054000000}"/>
    <hyperlink ref="J44" r:id="rId86" xr:uid="{00000000-0004-0000-0400-000055000000}"/>
    <hyperlink ref="I45" r:id="rId87" xr:uid="{00000000-0004-0000-0400-000056000000}"/>
    <hyperlink ref="J45" r:id="rId88" xr:uid="{00000000-0004-0000-0400-000057000000}"/>
    <hyperlink ref="I46" r:id="rId89" xr:uid="{00000000-0004-0000-0400-000058000000}"/>
    <hyperlink ref="J46" r:id="rId90" xr:uid="{00000000-0004-0000-0400-000059000000}"/>
    <hyperlink ref="I47" r:id="rId91" xr:uid="{00000000-0004-0000-0400-00005A000000}"/>
    <hyperlink ref="J47" r:id="rId92" xr:uid="{00000000-0004-0000-0400-00005B000000}"/>
    <hyperlink ref="I48" r:id="rId93" xr:uid="{00000000-0004-0000-0400-00005C000000}"/>
    <hyperlink ref="J48" r:id="rId94" xr:uid="{00000000-0004-0000-0400-00005D000000}"/>
    <hyperlink ref="I49" r:id="rId95" xr:uid="{00000000-0004-0000-0400-00005E000000}"/>
    <hyperlink ref="J49" r:id="rId96" xr:uid="{00000000-0004-0000-0400-00005F000000}"/>
    <hyperlink ref="I50" r:id="rId97" xr:uid="{00000000-0004-0000-0400-000060000000}"/>
    <hyperlink ref="J50" r:id="rId98" xr:uid="{00000000-0004-0000-0400-000061000000}"/>
    <hyperlink ref="I51" r:id="rId99" xr:uid="{00000000-0004-0000-0400-000062000000}"/>
    <hyperlink ref="J51" r:id="rId100" xr:uid="{00000000-0004-0000-0400-000063000000}"/>
    <hyperlink ref="I52" r:id="rId101" xr:uid="{00000000-0004-0000-0400-000064000000}"/>
    <hyperlink ref="J52" r:id="rId102" xr:uid="{00000000-0004-0000-0400-000065000000}"/>
    <hyperlink ref="I53" r:id="rId103" xr:uid="{00000000-0004-0000-0400-000066000000}"/>
    <hyperlink ref="J53" r:id="rId104" xr:uid="{00000000-0004-0000-0400-000067000000}"/>
    <hyperlink ref="I54" r:id="rId105" xr:uid="{00000000-0004-0000-0400-000068000000}"/>
    <hyperlink ref="J54" r:id="rId106" xr:uid="{00000000-0004-0000-0400-000069000000}"/>
    <hyperlink ref="I55" r:id="rId107" xr:uid="{00000000-0004-0000-0400-00006A000000}"/>
    <hyperlink ref="J55" r:id="rId108" xr:uid="{00000000-0004-0000-0400-00006B000000}"/>
    <hyperlink ref="I56" r:id="rId109" xr:uid="{00000000-0004-0000-0400-00006C000000}"/>
    <hyperlink ref="J56" r:id="rId110" xr:uid="{00000000-0004-0000-0400-00006D000000}"/>
    <hyperlink ref="I57" r:id="rId111" xr:uid="{00000000-0004-0000-0400-00006E000000}"/>
    <hyperlink ref="J57" r:id="rId112" xr:uid="{00000000-0004-0000-0400-00006F000000}"/>
    <hyperlink ref="I58" r:id="rId113" xr:uid="{00000000-0004-0000-0400-000070000000}"/>
    <hyperlink ref="J58" r:id="rId114" xr:uid="{00000000-0004-0000-0400-000071000000}"/>
    <hyperlink ref="I59" r:id="rId115" xr:uid="{00000000-0004-0000-0400-000072000000}"/>
    <hyperlink ref="J59" r:id="rId116" xr:uid="{00000000-0004-0000-0400-000073000000}"/>
    <hyperlink ref="I60" r:id="rId117" xr:uid="{00000000-0004-0000-0400-000074000000}"/>
    <hyperlink ref="J60" r:id="rId118" xr:uid="{00000000-0004-0000-0400-000075000000}"/>
    <hyperlink ref="I61" r:id="rId119" xr:uid="{00000000-0004-0000-0400-000076000000}"/>
    <hyperlink ref="J61" r:id="rId120" xr:uid="{00000000-0004-0000-0400-000077000000}"/>
    <hyperlink ref="I62" r:id="rId121" xr:uid="{00000000-0004-0000-0400-000078000000}"/>
    <hyperlink ref="J62" r:id="rId122" xr:uid="{00000000-0004-0000-0400-000079000000}"/>
    <hyperlink ref="I63" r:id="rId123" xr:uid="{00000000-0004-0000-0400-00007A000000}"/>
    <hyperlink ref="J63" r:id="rId124" xr:uid="{00000000-0004-0000-0400-00007B000000}"/>
    <hyperlink ref="I64" r:id="rId125" xr:uid="{00000000-0004-0000-0400-00007C000000}"/>
    <hyperlink ref="J64" r:id="rId126" xr:uid="{00000000-0004-0000-0400-00007D000000}"/>
    <hyperlink ref="I65" r:id="rId127" xr:uid="{00000000-0004-0000-0400-00007E000000}"/>
    <hyperlink ref="J65" r:id="rId128" xr:uid="{00000000-0004-0000-0400-00007F000000}"/>
    <hyperlink ref="I66" r:id="rId129" xr:uid="{00000000-0004-0000-0400-000080000000}"/>
    <hyperlink ref="J66" r:id="rId130" xr:uid="{00000000-0004-0000-0400-000081000000}"/>
    <hyperlink ref="I67" r:id="rId131" xr:uid="{00000000-0004-0000-0400-000082000000}"/>
    <hyperlink ref="J67" r:id="rId132" xr:uid="{00000000-0004-0000-0400-000083000000}"/>
    <hyperlink ref="I68" r:id="rId133" xr:uid="{00000000-0004-0000-0400-000084000000}"/>
    <hyperlink ref="J68" r:id="rId134" xr:uid="{00000000-0004-0000-0400-000085000000}"/>
    <hyperlink ref="I69" r:id="rId135" xr:uid="{00000000-0004-0000-0400-000086000000}"/>
    <hyperlink ref="J69" r:id="rId136" xr:uid="{00000000-0004-0000-0400-000087000000}"/>
    <hyperlink ref="I70" r:id="rId137" xr:uid="{00000000-0004-0000-0400-000088000000}"/>
    <hyperlink ref="J70" r:id="rId138" xr:uid="{00000000-0004-0000-0400-000089000000}"/>
    <hyperlink ref="I71" r:id="rId139" xr:uid="{00000000-0004-0000-0400-00008A000000}"/>
    <hyperlink ref="J71" r:id="rId140" xr:uid="{00000000-0004-0000-0400-00008B000000}"/>
    <hyperlink ref="I72" r:id="rId141" xr:uid="{00000000-0004-0000-0400-00008C000000}"/>
    <hyperlink ref="J72" r:id="rId142" xr:uid="{00000000-0004-0000-0400-00008D000000}"/>
    <hyperlink ref="I73" r:id="rId143" xr:uid="{00000000-0004-0000-0400-00008E000000}"/>
    <hyperlink ref="J73" r:id="rId144" xr:uid="{00000000-0004-0000-0400-00008F000000}"/>
    <hyperlink ref="I74" r:id="rId145" xr:uid="{00000000-0004-0000-0400-000090000000}"/>
    <hyperlink ref="J74" r:id="rId146" xr:uid="{00000000-0004-0000-0400-000091000000}"/>
    <hyperlink ref="I75" r:id="rId147" xr:uid="{00000000-0004-0000-0400-000092000000}"/>
    <hyperlink ref="J75" r:id="rId148" xr:uid="{00000000-0004-0000-0400-000093000000}"/>
    <hyperlink ref="I76" r:id="rId149" xr:uid="{00000000-0004-0000-0400-000094000000}"/>
    <hyperlink ref="J76" r:id="rId150" xr:uid="{00000000-0004-0000-0400-000095000000}"/>
    <hyperlink ref="I77" r:id="rId151" xr:uid="{00000000-0004-0000-0400-000096000000}"/>
    <hyperlink ref="J77" r:id="rId152" xr:uid="{00000000-0004-0000-0400-000097000000}"/>
    <hyperlink ref="I78" r:id="rId153" xr:uid="{00000000-0004-0000-0400-000098000000}"/>
    <hyperlink ref="J78" r:id="rId154" xr:uid="{00000000-0004-0000-0400-000099000000}"/>
    <hyperlink ref="I79" r:id="rId155" xr:uid="{00000000-0004-0000-0400-00009A000000}"/>
    <hyperlink ref="J79" r:id="rId156" xr:uid="{00000000-0004-0000-0400-00009B000000}"/>
    <hyperlink ref="I80" r:id="rId157" xr:uid="{00000000-0004-0000-0400-00009C000000}"/>
    <hyperlink ref="J80" r:id="rId158" xr:uid="{00000000-0004-0000-0400-00009D000000}"/>
    <hyperlink ref="I81" r:id="rId159" xr:uid="{00000000-0004-0000-0400-00009E000000}"/>
    <hyperlink ref="J81" r:id="rId160" xr:uid="{00000000-0004-0000-0400-00009F000000}"/>
    <hyperlink ref="I82" r:id="rId161" xr:uid="{00000000-0004-0000-0400-0000A0000000}"/>
    <hyperlink ref="J82" r:id="rId162" xr:uid="{00000000-0004-0000-0400-0000A1000000}"/>
    <hyperlink ref="I83" r:id="rId163" xr:uid="{00000000-0004-0000-0400-0000A2000000}"/>
    <hyperlink ref="J83" r:id="rId164" xr:uid="{00000000-0004-0000-0400-0000A3000000}"/>
    <hyperlink ref="I84" r:id="rId165" xr:uid="{00000000-0004-0000-0400-0000A4000000}"/>
    <hyperlink ref="J84" r:id="rId166" xr:uid="{00000000-0004-0000-0400-0000A5000000}"/>
    <hyperlink ref="I85" r:id="rId167" xr:uid="{00000000-0004-0000-0400-0000A6000000}"/>
    <hyperlink ref="J85" r:id="rId168" xr:uid="{00000000-0004-0000-0400-0000A7000000}"/>
    <hyperlink ref="I86" r:id="rId169" xr:uid="{00000000-0004-0000-0400-0000A8000000}"/>
    <hyperlink ref="J86" r:id="rId170" xr:uid="{00000000-0004-0000-0400-0000A9000000}"/>
    <hyperlink ref="I87" r:id="rId171" xr:uid="{00000000-0004-0000-0400-0000AA000000}"/>
    <hyperlink ref="J87" r:id="rId172" xr:uid="{00000000-0004-0000-0400-0000AB000000}"/>
    <hyperlink ref="I88" r:id="rId173" xr:uid="{00000000-0004-0000-0400-0000AC000000}"/>
    <hyperlink ref="J88" r:id="rId174" xr:uid="{00000000-0004-0000-0400-0000AD000000}"/>
    <hyperlink ref="I89" r:id="rId175" xr:uid="{00000000-0004-0000-0400-0000AE000000}"/>
    <hyperlink ref="J89" r:id="rId176" xr:uid="{00000000-0004-0000-0400-0000AF000000}"/>
    <hyperlink ref="I90" r:id="rId177" xr:uid="{00000000-0004-0000-0400-0000B0000000}"/>
    <hyperlink ref="J90" r:id="rId178" xr:uid="{00000000-0004-0000-0400-0000B1000000}"/>
    <hyperlink ref="I91" r:id="rId179" xr:uid="{00000000-0004-0000-0400-0000B2000000}"/>
    <hyperlink ref="J91" r:id="rId180" xr:uid="{00000000-0004-0000-0400-0000B3000000}"/>
    <hyperlink ref="I92" r:id="rId181" xr:uid="{00000000-0004-0000-0400-0000B4000000}"/>
    <hyperlink ref="J92" r:id="rId182" xr:uid="{00000000-0004-0000-0400-0000B5000000}"/>
    <hyperlink ref="I93" r:id="rId183" xr:uid="{00000000-0004-0000-0400-0000B6000000}"/>
    <hyperlink ref="J93" r:id="rId184" xr:uid="{00000000-0004-0000-0400-0000B7000000}"/>
    <hyperlink ref="I94" r:id="rId185" xr:uid="{00000000-0004-0000-0400-0000B8000000}"/>
    <hyperlink ref="J94" r:id="rId186" xr:uid="{00000000-0004-0000-0400-0000B9000000}"/>
    <hyperlink ref="I95" r:id="rId187" xr:uid="{00000000-0004-0000-0400-0000BA000000}"/>
    <hyperlink ref="J95" r:id="rId188" xr:uid="{00000000-0004-0000-0400-0000BB000000}"/>
    <hyperlink ref="I96" r:id="rId189" xr:uid="{00000000-0004-0000-0400-0000BC000000}"/>
    <hyperlink ref="J96" r:id="rId190" xr:uid="{00000000-0004-0000-0400-0000BD000000}"/>
    <hyperlink ref="I97" r:id="rId191" xr:uid="{00000000-0004-0000-0400-0000BE000000}"/>
    <hyperlink ref="J97" r:id="rId192" xr:uid="{00000000-0004-0000-0400-0000BF000000}"/>
    <hyperlink ref="I98" r:id="rId193" xr:uid="{00000000-0004-0000-0400-0000C0000000}"/>
    <hyperlink ref="J98" r:id="rId194" xr:uid="{00000000-0004-0000-0400-0000C1000000}"/>
    <hyperlink ref="I99" r:id="rId195" xr:uid="{00000000-0004-0000-0400-0000C2000000}"/>
    <hyperlink ref="J99" r:id="rId196" xr:uid="{00000000-0004-0000-0400-0000C3000000}"/>
    <hyperlink ref="I100" r:id="rId197" xr:uid="{00000000-0004-0000-0400-0000C4000000}"/>
    <hyperlink ref="J100" r:id="rId198" xr:uid="{00000000-0004-0000-0400-0000C5000000}"/>
    <hyperlink ref="I101" r:id="rId199" xr:uid="{00000000-0004-0000-0400-0000C6000000}"/>
    <hyperlink ref="J101" r:id="rId200" xr:uid="{00000000-0004-0000-0400-0000C7000000}"/>
    <hyperlink ref="I102" r:id="rId201" xr:uid="{00000000-0004-0000-0400-0000C8000000}"/>
    <hyperlink ref="J102" r:id="rId202" xr:uid="{00000000-0004-0000-0400-0000C9000000}"/>
    <hyperlink ref="I103" r:id="rId203" xr:uid="{00000000-0004-0000-0400-0000CA000000}"/>
    <hyperlink ref="J103" r:id="rId204" xr:uid="{00000000-0004-0000-0400-0000CB000000}"/>
    <hyperlink ref="I104" r:id="rId205" xr:uid="{00000000-0004-0000-0400-0000CC000000}"/>
    <hyperlink ref="J104" r:id="rId206" xr:uid="{00000000-0004-0000-0400-0000CD000000}"/>
    <hyperlink ref="I105" r:id="rId207" xr:uid="{00000000-0004-0000-0400-0000CE000000}"/>
    <hyperlink ref="J105" r:id="rId208" xr:uid="{00000000-0004-0000-0400-0000CF000000}"/>
    <hyperlink ref="I106" r:id="rId209" xr:uid="{00000000-0004-0000-0400-0000D0000000}"/>
    <hyperlink ref="J106" r:id="rId210" xr:uid="{00000000-0004-0000-0400-0000D1000000}"/>
    <hyperlink ref="I107" r:id="rId211" xr:uid="{00000000-0004-0000-0400-0000D2000000}"/>
    <hyperlink ref="J107" r:id="rId212" xr:uid="{00000000-0004-0000-0400-0000D3000000}"/>
    <hyperlink ref="I108" r:id="rId213" xr:uid="{00000000-0004-0000-0400-0000D4000000}"/>
    <hyperlink ref="J108" r:id="rId214" xr:uid="{00000000-0004-0000-0400-0000D5000000}"/>
    <hyperlink ref="I109" r:id="rId215" xr:uid="{00000000-0004-0000-0400-0000D6000000}"/>
    <hyperlink ref="J109" r:id="rId216" xr:uid="{00000000-0004-0000-0400-0000D7000000}"/>
    <hyperlink ref="I110" r:id="rId217" xr:uid="{00000000-0004-0000-0400-0000D8000000}"/>
    <hyperlink ref="J110" r:id="rId218" xr:uid="{00000000-0004-0000-0400-0000D9000000}"/>
    <hyperlink ref="I111" r:id="rId219" xr:uid="{00000000-0004-0000-0400-0000DA000000}"/>
    <hyperlink ref="J111" r:id="rId220" xr:uid="{00000000-0004-0000-0400-0000DB000000}"/>
    <hyperlink ref="I112" r:id="rId221" xr:uid="{00000000-0004-0000-0400-0000DC000000}"/>
    <hyperlink ref="J112" r:id="rId222" xr:uid="{00000000-0004-0000-0400-0000DD000000}"/>
    <hyperlink ref="I113" r:id="rId223" xr:uid="{00000000-0004-0000-0400-0000DE000000}"/>
    <hyperlink ref="J113" r:id="rId224" xr:uid="{00000000-0004-0000-0400-0000DF000000}"/>
    <hyperlink ref="I114" r:id="rId225" xr:uid="{00000000-0004-0000-0400-0000E0000000}"/>
    <hyperlink ref="J114" r:id="rId226" xr:uid="{00000000-0004-0000-0400-0000E1000000}"/>
    <hyperlink ref="I115" r:id="rId227" xr:uid="{00000000-0004-0000-0400-0000E2000000}"/>
    <hyperlink ref="J115" r:id="rId228" xr:uid="{00000000-0004-0000-0400-0000E3000000}"/>
    <hyperlink ref="I116" r:id="rId229" xr:uid="{00000000-0004-0000-0400-0000E4000000}"/>
    <hyperlink ref="J116" r:id="rId230" xr:uid="{00000000-0004-0000-0400-0000E5000000}"/>
    <hyperlink ref="I117" r:id="rId231" xr:uid="{00000000-0004-0000-0400-0000E6000000}"/>
    <hyperlink ref="J117" r:id="rId232" xr:uid="{00000000-0004-0000-0400-0000E7000000}"/>
    <hyperlink ref="I118" r:id="rId233" xr:uid="{00000000-0004-0000-0400-0000E8000000}"/>
    <hyperlink ref="J118" r:id="rId234" xr:uid="{00000000-0004-0000-0400-0000E9000000}"/>
    <hyperlink ref="I119" r:id="rId235" xr:uid="{00000000-0004-0000-0400-0000EA000000}"/>
    <hyperlink ref="J119" r:id="rId236" xr:uid="{00000000-0004-0000-0400-0000EB000000}"/>
    <hyperlink ref="I120" r:id="rId237" xr:uid="{00000000-0004-0000-0400-0000EC000000}"/>
    <hyperlink ref="J120" r:id="rId238" xr:uid="{00000000-0004-0000-0400-0000ED000000}"/>
    <hyperlink ref="I121" r:id="rId239" xr:uid="{00000000-0004-0000-0400-0000EE000000}"/>
    <hyperlink ref="J121" r:id="rId240" xr:uid="{00000000-0004-0000-0400-0000EF000000}"/>
    <hyperlink ref="I122" r:id="rId241" xr:uid="{00000000-0004-0000-0400-0000F0000000}"/>
    <hyperlink ref="J122" r:id="rId242" xr:uid="{00000000-0004-0000-0400-0000F1000000}"/>
    <hyperlink ref="I123" r:id="rId243" xr:uid="{00000000-0004-0000-0400-0000F2000000}"/>
    <hyperlink ref="J123" r:id="rId244" xr:uid="{00000000-0004-0000-0400-0000F3000000}"/>
    <hyperlink ref="I124" r:id="rId245" xr:uid="{00000000-0004-0000-0400-0000F4000000}"/>
    <hyperlink ref="J124" r:id="rId246" xr:uid="{00000000-0004-0000-0400-0000F5000000}"/>
    <hyperlink ref="I125" r:id="rId247" xr:uid="{00000000-0004-0000-0400-0000F6000000}"/>
    <hyperlink ref="J125" r:id="rId248" xr:uid="{00000000-0004-0000-0400-0000F7000000}"/>
    <hyperlink ref="I126" r:id="rId249" xr:uid="{00000000-0004-0000-0400-0000F8000000}"/>
    <hyperlink ref="J126" r:id="rId250" xr:uid="{00000000-0004-0000-0400-0000F9000000}"/>
    <hyperlink ref="I127" r:id="rId251" xr:uid="{00000000-0004-0000-0400-0000FA000000}"/>
    <hyperlink ref="J127" r:id="rId252" xr:uid="{00000000-0004-0000-0400-0000FB000000}"/>
    <hyperlink ref="I128" r:id="rId253" xr:uid="{00000000-0004-0000-0400-0000FC000000}"/>
    <hyperlink ref="J128" r:id="rId254" xr:uid="{00000000-0004-0000-0400-0000FD000000}"/>
    <hyperlink ref="I129" r:id="rId255" xr:uid="{00000000-0004-0000-0400-0000FE000000}"/>
    <hyperlink ref="J129" r:id="rId256" xr:uid="{00000000-0004-0000-0400-0000FF000000}"/>
    <hyperlink ref="I130" r:id="rId257" xr:uid="{00000000-0004-0000-0400-000000010000}"/>
    <hyperlink ref="J130" r:id="rId258" xr:uid="{00000000-0004-0000-0400-000001010000}"/>
    <hyperlink ref="I131" r:id="rId259" xr:uid="{00000000-0004-0000-0400-000002010000}"/>
    <hyperlink ref="J131" r:id="rId260" xr:uid="{00000000-0004-0000-0400-000003010000}"/>
    <hyperlink ref="I132" r:id="rId261" xr:uid="{00000000-0004-0000-0400-000004010000}"/>
    <hyperlink ref="J132" r:id="rId262" xr:uid="{00000000-0004-0000-0400-000005010000}"/>
    <hyperlink ref="I133" r:id="rId263" xr:uid="{00000000-0004-0000-0400-000006010000}"/>
    <hyperlink ref="J133" r:id="rId264" xr:uid="{00000000-0004-0000-0400-000007010000}"/>
    <hyperlink ref="I134" r:id="rId265" xr:uid="{00000000-0004-0000-0400-000008010000}"/>
    <hyperlink ref="J134" r:id="rId266" xr:uid="{00000000-0004-0000-0400-000009010000}"/>
    <hyperlink ref="I135" r:id="rId267" xr:uid="{00000000-0004-0000-0400-00000A010000}"/>
    <hyperlink ref="J135" r:id="rId268" xr:uid="{00000000-0004-0000-0400-00000B010000}"/>
    <hyperlink ref="I136" r:id="rId269" xr:uid="{00000000-0004-0000-0400-00000C010000}"/>
    <hyperlink ref="J136" r:id="rId270" xr:uid="{00000000-0004-0000-0400-00000D010000}"/>
    <hyperlink ref="I137" r:id="rId271" xr:uid="{00000000-0004-0000-0400-00000E010000}"/>
    <hyperlink ref="J137" r:id="rId272" xr:uid="{00000000-0004-0000-0400-00000F010000}"/>
    <hyperlink ref="I138" r:id="rId273" xr:uid="{00000000-0004-0000-0400-000010010000}"/>
    <hyperlink ref="J138" r:id="rId274" xr:uid="{00000000-0004-0000-0400-000011010000}"/>
    <hyperlink ref="I139" r:id="rId275" xr:uid="{00000000-0004-0000-0400-000012010000}"/>
    <hyperlink ref="J139" r:id="rId276" xr:uid="{00000000-0004-0000-0400-000013010000}"/>
    <hyperlink ref="I140" r:id="rId277" xr:uid="{00000000-0004-0000-0400-000014010000}"/>
    <hyperlink ref="J140" r:id="rId278" xr:uid="{00000000-0004-0000-0400-000015010000}"/>
    <hyperlink ref="I141" r:id="rId279" xr:uid="{00000000-0004-0000-0400-000016010000}"/>
    <hyperlink ref="J141" r:id="rId280" xr:uid="{00000000-0004-0000-0400-000017010000}"/>
    <hyperlink ref="I142" r:id="rId281" xr:uid="{00000000-0004-0000-0400-000018010000}"/>
    <hyperlink ref="J142" r:id="rId282" xr:uid="{00000000-0004-0000-0400-000019010000}"/>
    <hyperlink ref="I143" r:id="rId283" xr:uid="{00000000-0004-0000-0400-00001A010000}"/>
    <hyperlink ref="J143" r:id="rId284" xr:uid="{00000000-0004-0000-0400-00001B010000}"/>
    <hyperlink ref="I144" r:id="rId285" xr:uid="{00000000-0004-0000-0400-00001C010000}"/>
    <hyperlink ref="J144" r:id="rId286" xr:uid="{00000000-0004-0000-0400-00001D010000}"/>
    <hyperlink ref="I145" r:id="rId287" xr:uid="{00000000-0004-0000-0400-00001E010000}"/>
    <hyperlink ref="J145" r:id="rId288" xr:uid="{00000000-0004-0000-0400-00001F010000}"/>
    <hyperlink ref="I146" r:id="rId289" xr:uid="{00000000-0004-0000-0400-000020010000}"/>
    <hyperlink ref="J146" r:id="rId290" xr:uid="{00000000-0004-0000-0400-000021010000}"/>
    <hyperlink ref="I147" r:id="rId291" xr:uid="{00000000-0004-0000-0400-000022010000}"/>
    <hyperlink ref="J147" r:id="rId292" xr:uid="{00000000-0004-0000-0400-000023010000}"/>
    <hyperlink ref="I148" r:id="rId293" xr:uid="{00000000-0004-0000-0400-000024010000}"/>
    <hyperlink ref="J148" r:id="rId294" xr:uid="{00000000-0004-0000-0400-000025010000}"/>
    <hyperlink ref="I149" r:id="rId295" xr:uid="{00000000-0004-0000-0400-000026010000}"/>
    <hyperlink ref="J149" r:id="rId296" xr:uid="{00000000-0004-0000-0400-000027010000}"/>
    <hyperlink ref="I150" r:id="rId297" xr:uid="{00000000-0004-0000-0400-000028010000}"/>
    <hyperlink ref="J150" r:id="rId298" xr:uid="{00000000-0004-0000-0400-000029010000}"/>
    <hyperlink ref="I151" r:id="rId299" xr:uid="{00000000-0004-0000-0400-00002A010000}"/>
    <hyperlink ref="J151" r:id="rId300" xr:uid="{00000000-0004-0000-0400-00002B010000}"/>
    <hyperlink ref="I152" r:id="rId301" xr:uid="{00000000-0004-0000-0400-00002C010000}"/>
    <hyperlink ref="J152" r:id="rId302" xr:uid="{00000000-0004-0000-0400-00002D010000}"/>
    <hyperlink ref="I153" r:id="rId303" xr:uid="{00000000-0004-0000-0400-00002E010000}"/>
    <hyperlink ref="J153" r:id="rId304" xr:uid="{00000000-0004-0000-0400-00002F010000}"/>
    <hyperlink ref="I154" r:id="rId305" xr:uid="{00000000-0004-0000-0400-000030010000}"/>
    <hyperlink ref="J154" r:id="rId306" xr:uid="{00000000-0004-0000-0400-000031010000}"/>
    <hyperlink ref="I155" r:id="rId307" xr:uid="{00000000-0004-0000-0400-000032010000}"/>
    <hyperlink ref="J155" r:id="rId308" xr:uid="{00000000-0004-0000-0400-000033010000}"/>
    <hyperlink ref="I156" r:id="rId309" xr:uid="{00000000-0004-0000-0400-000034010000}"/>
    <hyperlink ref="J156" r:id="rId310" xr:uid="{00000000-0004-0000-0400-000035010000}"/>
    <hyperlink ref="I157" r:id="rId311" xr:uid="{00000000-0004-0000-0400-000036010000}"/>
    <hyperlink ref="J157" r:id="rId312" xr:uid="{00000000-0004-0000-0400-000037010000}"/>
    <hyperlink ref="I158" r:id="rId313" xr:uid="{00000000-0004-0000-0400-000038010000}"/>
    <hyperlink ref="J158" r:id="rId314" xr:uid="{00000000-0004-0000-0400-000039010000}"/>
    <hyperlink ref="I159" r:id="rId315" xr:uid="{00000000-0004-0000-0400-00003A010000}"/>
    <hyperlink ref="J159" r:id="rId316" xr:uid="{00000000-0004-0000-0400-00003B010000}"/>
    <hyperlink ref="I160" r:id="rId317" xr:uid="{00000000-0004-0000-0400-00003C010000}"/>
    <hyperlink ref="J160" r:id="rId318" xr:uid="{00000000-0004-0000-0400-00003D010000}"/>
    <hyperlink ref="I161" r:id="rId319" xr:uid="{00000000-0004-0000-0400-00003E010000}"/>
    <hyperlink ref="J161" r:id="rId320" xr:uid="{00000000-0004-0000-0400-00003F010000}"/>
    <hyperlink ref="I162" r:id="rId321" xr:uid="{00000000-0004-0000-0400-000040010000}"/>
    <hyperlink ref="J162" r:id="rId322" xr:uid="{00000000-0004-0000-0400-000041010000}"/>
    <hyperlink ref="I163" r:id="rId323" xr:uid="{00000000-0004-0000-0400-000042010000}"/>
    <hyperlink ref="J163" r:id="rId324" xr:uid="{00000000-0004-0000-0400-000043010000}"/>
    <hyperlink ref="I164" r:id="rId325" xr:uid="{00000000-0004-0000-0400-000044010000}"/>
    <hyperlink ref="J164" r:id="rId326" xr:uid="{00000000-0004-0000-0400-000045010000}"/>
    <hyperlink ref="I165" r:id="rId327" xr:uid="{00000000-0004-0000-0400-000046010000}"/>
    <hyperlink ref="J165" r:id="rId328" xr:uid="{00000000-0004-0000-0400-000047010000}"/>
    <hyperlink ref="I166" r:id="rId329" xr:uid="{00000000-0004-0000-0400-000048010000}"/>
    <hyperlink ref="J166" r:id="rId330" xr:uid="{00000000-0004-0000-0400-000049010000}"/>
    <hyperlink ref="I167" r:id="rId331" xr:uid="{00000000-0004-0000-0400-00004A010000}"/>
    <hyperlink ref="J167" r:id="rId332" xr:uid="{00000000-0004-0000-0400-00004B010000}"/>
    <hyperlink ref="I168" r:id="rId333" xr:uid="{00000000-0004-0000-0400-00004C010000}"/>
    <hyperlink ref="J168" r:id="rId334" xr:uid="{00000000-0004-0000-0400-00004D010000}"/>
    <hyperlink ref="I169" r:id="rId335" xr:uid="{00000000-0004-0000-0400-00004E010000}"/>
    <hyperlink ref="J169" r:id="rId336" xr:uid="{00000000-0004-0000-0400-00004F010000}"/>
    <hyperlink ref="I170" r:id="rId337" xr:uid="{00000000-0004-0000-0400-000050010000}"/>
    <hyperlink ref="J170" r:id="rId338" xr:uid="{00000000-0004-0000-0400-000051010000}"/>
    <hyperlink ref="I171" r:id="rId339" xr:uid="{00000000-0004-0000-0400-000052010000}"/>
    <hyperlink ref="J171" r:id="rId340" xr:uid="{00000000-0004-0000-0400-000053010000}"/>
    <hyperlink ref="I172" r:id="rId341" xr:uid="{00000000-0004-0000-0400-000054010000}"/>
    <hyperlink ref="J172" r:id="rId342" xr:uid="{00000000-0004-0000-0400-000055010000}"/>
    <hyperlink ref="I173" r:id="rId343" xr:uid="{00000000-0004-0000-0400-000056010000}"/>
    <hyperlink ref="J173" r:id="rId344" xr:uid="{00000000-0004-0000-0400-000057010000}"/>
    <hyperlink ref="I174" r:id="rId345" xr:uid="{00000000-0004-0000-0400-000058010000}"/>
    <hyperlink ref="J174" r:id="rId346" xr:uid="{00000000-0004-0000-0400-000059010000}"/>
    <hyperlink ref="I175" r:id="rId347" xr:uid="{00000000-0004-0000-0400-00005A010000}"/>
    <hyperlink ref="J175" r:id="rId348" xr:uid="{00000000-0004-0000-0400-00005B010000}"/>
    <hyperlink ref="I176" r:id="rId349" xr:uid="{00000000-0004-0000-0400-00005C010000}"/>
    <hyperlink ref="J176" r:id="rId350" xr:uid="{00000000-0004-0000-0400-00005D010000}"/>
    <hyperlink ref="I177" r:id="rId351" xr:uid="{00000000-0004-0000-0400-00005E010000}"/>
    <hyperlink ref="J177" r:id="rId352" xr:uid="{00000000-0004-0000-0400-00005F010000}"/>
    <hyperlink ref="I178" r:id="rId353" xr:uid="{00000000-0004-0000-0400-000060010000}"/>
    <hyperlink ref="J178" r:id="rId354" xr:uid="{00000000-0004-0000-0400-000061010000}"/>
    <hyperlink ref="I179" r:id="rId355" xr:uid="{00000000-0004-0000-0400-000062010000}"/>
    <hyperlink ref="J179" r:id="rId356" xr:uid="{00000000-0004-0000-0400-000063010000}"/>
    <hyperlink ref="I180" r:id="rId357" xr:uid="{00000000-0004-0000-0400-000064010000}"/>
    <hyperlink ref="J180" r:id="rId358" xr:uid="{00000000-0004-0000-0400-000065010000}"/>
    <hyperlink ref="I181" r:id="rId359" xr:uid="{00000000-0004-0000-0400-000066010000}"/>
    <hyperlink ref="J181" r:id="rId360" xr:uid="{00000000-0004-0000-0400-000067010000}"/>
    <hyperlink ref="I182" r:id="rId361" xr:uid="{00000000-0004-0000-0400-000068010000}"/>
    <hyperlink ref="J182" r:id="rId362" xr:uid="{00000000-0004-0000-0400-000069010000}"/>
    <hyperlink ref="I183" r:id="rId363" xr:uid="{00000000-0004-0000-0400-00006A010000}"/>
    <hyperlink ref="J183" r:id="rId364" xr:uid="{00000000-0004-0000-0400-00006B010000}"/>
    <hyperlink ref="I184" r:id="rId365" xr:uid="{00000000-0004-0000-0400-00006C010000}"/>
    <hyperlink ref="J184" r:id="rId366" xr:uid="{00000000-0004-0000-0400-00006D010000}"/>
    <hyperlink ref="I185" r:id="rId367" xr:uid="{00000000-0004-0000-0400-00006E010000}"/>
    <hyperlink ref="J185" r:id="rId368" xr:uid="{00000000-0004-0000-0400-00006F010000}"/>
    <hyperlink ref="I186" r:id="rId369" xr:uid="{00000000-0004-0000-0400-000070010000}"/>
    <hyperlink ref="J186" r:id="rId370" xr:uid="{00000000-0004-0000-0400-000071010000}"/>
    <hyperlink ref="I187" r:id="rId371" xr:uid="{00000000-0004-0000-0400-000072010000}"/>
    <hyperlink ref="J187" r:id="rId372" xr:uid="{00000000-0004-0000-0400-000073010000}"/>
    <hyperlink ref="I188" r:id="rId373" xr:uid="{00000000-0004-0000-0400-000074010000}"/>
    <hyperlink ref="J188" r:id="rId374" xr:uid="{00000000-0004-0000-0400-000075010000}"/>
    <hyperlink ref="I189" r:id="rId375" xr:uid="{00000000-0004-0000-0400-000076010000}"/>
    <hyperlink ref="J189" r:id="rId376" xr:uid="{00000000-0004-0000-0400-000077010000}"/>
    <hyperlink ref="I190" r:id="rId377" xr:uid="{00000000-0004-0000-0400-000078010000}"/>
    <hyperlink ref="J190" r:id="rId378" xr:uid="{00000000-0004-0000-0400-000079010000}"/>
    <hyperlink ref="I191" r:id="rId379" xr:uid="{00000000-0004-0000-0400-00007A010000}"/>
    <hyperlink ref="J191" r:id="rId380" xr:uid="{00000000-0004-0000-0400-00007B010000}"/>
    <hyperlink ref="I192" r:id="rId381" xr:uid="{00000000-0004-0000-0400-00007C010000}"/>
    <hyperlink ref="J192" r:id="rId382" xr:uid="{00000000-0004-0000-0400-00007D010000}"/>
    <hyperlink ref="I193" r:id="rId383" xr:uid="{00000000-0004-0000-0400-00007E010000}"/>
    <hyperlink ref="J193" r:id="rId384" xr:uid="{00000000-0004-0000-0400-00007F010000}"/>
    <hyperlink ref="I194" r:id="rId385" xr:uid="{00000000-0004-0000-0400-000080010000}"/>
    <hyperlink ref="J194" r:id="rId386" xr:uid="{00000000-0004-0000-0400-000081010000}"/>
    <hyperlink ref="I195" r:id="rId387" xr:uid="{00000000-0004-0000-0400-000082010000}"/>
    <hyperlink ref="J195" r:id="rId388" xr:uid="{00000000-0004-0000-0400-000083010000}"/>
    <hyperlink ref="I196" r:id="rId389" xr:uid="{00000000-0004-0000-0400-000084010000}"/>
    <hyperlink ref="J196" r:id="rId390" xr:uid="{00000000-0004-0000-0400-000085010000}"/>
    <hyperlink ref="I197" r:id="rId391" xr:uid="{00000000-0004-0000-0400-000086010000}"/>
    <hyperlink ref="J197" r:id="rId392" xr:uid="{00000000-0004-0000-0400-000087010000}"/>
    <hyperlink ref="I198" r:id="rId393" xr:uid="{00000000-0004-0000-0400-000088010000}"/>
    <hyperlink ref="J198" r:id="rId394" xr:uid="{00000000-0004-0000-0400-000089010000}"/>
    <hyperlink ref="I199" r:id="rId395" xr:uid="{00000000-0004-0000-0400-00008A010000}"/>
    <hyperlink ref="J199" r:id="rId396" xr:uid="{00000000-0004-0000-0400-00008B010000}"/>
    <hyperlink ref="I200" r:id="rId397" xr:uid="{00000000-0004-0000-0400-00008C010000}"/>
    <hyperlink ref="J200" r:id="rId398" xr:uid="{00000000-0004-0000-0400-00008D010000}"/>
    <hyperlink ref="I201" r:id="rId399" xr:uid="{00000000-0004-0000-0400-00008E010000}"/>
    <hyperlink ref="J201" r:id="rId400" xr:uid="{00000000-0004-0000-0400-00008F010000}"/>
    <hyperlink ref="I202" r:id="rId401" xr:uid="{00000000-0004-0000-0400-000090010000}"/>
    <hyperlink ref="J202" r:id="rId402" xr:uid="{00000000-0004-0000-0400-000091010000}"/>
    <hyperlink ref="I203" r:id="rId403" xr:uid="{00000000-0004-0000-0400-000092010000}"/>
    <hyperlink ref="J203" r:id="rId404" xr:uid="{00000000-0004-0000-0400-000093010000}"/>
    <hyperlink ref="I204" r:id="rId405" xr:uid="{00000000-0004-0000-0400-000094010000}"/>
    <hyperlink ref="J204" r:id="rId406" xr:uid="{00000000-0004-0000-0400-000095010000}"/>
    <hyperlink ref="I205" r:id="rId407" xr:uid="{00000000-0004-0000-0400-000096010000}"/>
    <hyperlink ref="J205" r:id="rId408" xr:uid="{00000000-0004-0000-0400-000097010000}"/>
    <hyperlink ref="I206" r:id="rId409" xr:uid="{00000000-0004-0000-0400-000098010000}"/>
    <hyperlink ref="J206" r:id="rId410" xr:uid="{00000000-0004-0000-0400-000099010000}"/>
    <hyperlink ref="I207" r:id="rId411" xr:uid="{00000000-0004-0000-0400-00009A010000}"/>
    <hyperlink ref="J207" r:id="rId412" xr:uid="{00000000-0004-0000-0400-00009B010000}"/>
    <hyperlink ref="I208" r:id="rId413" xr:uid="{00000000-0004-0000-0400-00009C010000}"/>
    <hyperlink ref="J208" r:id="rId414" xr:uid="{00000000-0004-0000-0400-00009D010000}"/>
    <hyperlink ref="I209" r:id="rId415" xr:uid="{00000000-0004-0000-0400-00009E010000}"/>
    <hyperlink ref="J209" r:id="rId416" xr:uid="{00000000-0004-0000-0400-00009F010000}"/>
    <hyperlink ref="I210" r:id="rId417" xr:uid="{00000000-0004-0000-0400-0000A0010000}"/>
    <hyperlink ref="J210" r:id="rId418" xr:uid="{00000000-0004-0000-0400-0000A1010000}"/>
    <hyperlink ref="I211" r:id="rId419" xr:uid="{00000000-0004-0000-0400-0000A2010000}"/>
    <hyperlink ref="J211" r:id="rId420" xr:uid="{00000000-0004-0000-0400-0000A3010000}"/>
    <hyperlink ref="I212" r:id="rId421" xr:uid="{00000000-0004-0000-0400-0000A4010000}"/>
    <hyperlink ref="J212" r:id="rId422" xr:uid="{00000000-0004-0000-0400-0000A5010000}"/>
    <hyperlink ref="I213" r:id="rId423" xr:uid="{00000000-0004-0000-0400-0000A6010000}"/>
    <hyperlink ref="J213" r:id="rId424" xr:uid="{00000000-0004-0000-0400-0000A7010000}"/>
    <hyperlink ref="I214" r:id="rId425" xr:uid="{00000000-0004-0000-0400-0000A8010000}"/>
    <hyperlink ref="J214" r:id="rId426" xr:uid="{00000000-0004-0000-0400-0000A9010000}"/>
    <hyperlink ref="I215" r:id="rId427" xr:uid="{00000000-0004-0000-0400-0000AA010000}"/>
    <hyperlink ref="J215" r:id="rId428" xr:uid="{00000000-0004-0000-0400-0000AB010000}"/>
    <hyperlink ref="I216" r:id="rId429" xr:uid="{00000000-0004-0000-0400-0000AC010000}"/>
    <hyperlink ref="J216" r:id="rId430" xr:uid="{00000000-0004-0000-0400-0000AD010000}"/>
    <hyperlink ref="I217" r:id="rId431" xr:uid="{00000000-0004-0000-0400-0000AE010000}"/>
    <hyperlink ref="J217" r:id="rId432" xr:uid="{00000000-0004-0000-0400-0000AF010000}"/>
    <hyperlink ref="I218" r:id="rId433" xr:uid="{00000000-0004-0000-0400-0000B0010000}"/>
    <hyperlink ref="J218" r:id="rId434" xr:uid="{00000000-0004-0000-0400-0000B1010000}"/>
    <hyperlink ref="I219" r:id="rId435" xr:uid="{00000000-0004-0000-0400-0000B2010000}"/>
    <hyperlink ref="J219" r:id="rId436" xr:uid="{00000000-0004-0000-0400-0000B3010000}"/>
    <hyperlink ref="I220" r:id="rId437" xr:uid="{00000000-0004-0000-0400-0000B4010000}"/>
    <hyperlink ref="J220" r:id="rId438" xr:uid="{00000000-0004-0000-0400-0000B5010000}"/>
    <hyperlink ref="I221" r:id="rId439" xr:uid="{00000000-0004-0000-0400-0000B6010000}"/>
    <hyperlink ref="J221" r:id="rId440" xr:uid="{00000000-0004-0000-0400-0000B7010000}"/>
    <hyperlink ref="I222" r:id="rId441" xr:uid="{00000000-0004-0000-0400-0000B8010000}"/>
    <hyperlink ref="J222" r:id="rId442" xr:uid="{00000000-0004-0000-0400-0000B9010000}"/>
    <hyperlink ref="I223" r:id="rId443" xr:uid="{00000000-0004-0000-0400-0000BA010000}"/>
    <hyperlink ref="J223" r:id="rId444" xr:uid="{00000000-0004-0000-0400-0000BB010000}"/>
    <hyperlink ref="I224" r:id="rId445" xr:uid="{00000000-0004-0000-0400-0000BC010000}"/>
    <hyperlink ref="J224" r:id="rId446" xr:uid="{00000000-0004-0000-0400-0000BD010000}"/>
    <hyperlink ref="I225" r:id="rId447" xr:uid="{00000000-0004-0000-0400-0000BE010000}"/>
    <hyperlink ref="J225" r:id="rId448" xr:uid="{00000000-0004-0000-0400-0000BF010000}"/>
    <hyperlink ref="I226" r:id="rId449" xr:uid="{00000000-0004-0000-0400-0000C0010000}"/>
    <hyperlink ref="J226" r:id="rId450" xr:uid="{00000000-0004-0000-0400-0000C1010000}"/>
    <hyperlink ref="I227" r:id="rId451" xr:uid="{00000000-0004-0000-0400-0000C2010000}"/>
    <hyperlink ref="J227" r:id="rId452" xr:uid="{00000000-0004-0000-0400-0000C3010000}"/>
    <hyperlink ref="I228" r:id="rId453" xr:uid="{00000000-0004-0000-0400-0000C4010000}"/>
    <hyperlink ref="J228" r:id="rId454" xr:uid="{00000000-0004-0000-0400-0000C5010000}"/>
    <hyperlink ref="I229" r:id="rId455" xr:uid="{00000000-0004-0000-0400-0000C6010000}"/>
    <hyperlink ref="J229" r:id="rId456" xr:uid="{00000000-0004-0000-0400-0000C7010000}"/>
    <hyperlink ref="I230" r:id="rId457" xr:uid="{00000000-0004-0000-0400-0000C8010000}"/>
    <hyperlink ref="J230" r:id="rId458" xr:uid="{00000000-0004-0000-0400-0000C9010000}"/>
    <hyperlink ref="I231" r:id="rId459" xr:uid="{00000000-0004-0000-0400-0000CA010000}"/>
    <hyperlink ref="J231" r:id="rId460" xr:uid="{00000000-0004-0000-0400-0000CB010000}"/>
    <hyperlink ref="I232" r:id="rId461" xr:uid="{00000000-0004-0000-0400-0000CC010000}"/>
    <hyperlink ref="J232" r:id="rId462" xr:uid="{00000000-0004-0000-0400-0000CD010000}"/>
    <hyperlink ref="I233" r:id="rId463" xr:uid="{00000000-0004-0000-0400-0000CE010000}"/>
    <hyperlink ref="J233" r:id="rId464" xr:uid="{00000000-0004-0000-0400-0000CF010000}"/>
    <hyperlink ref="I234" r:id="rId465" xr:uid="{00000000-0004-0000-0400-0000D0010000}"/>
    <hyperlink ref="J234" r:id="rId466" xr:uid="{00000000-0004-0000-0400-0000D1010000}"/>
    <hyperlink ref="I235" r:id="rId467" xr:uid="{00000000-0004-0000-0400-0000D2010000}"/>
    <hyperlink ref="J235" r:id="rId468" xr:uid="{00000000-0004-0000-0400-0000D3010000}"/>
    <hyperlink ref="I236" r:id="rId469" xr:uid="{00000000-0004-0000-0400-0000D4010000}"/>
    <hyperlink ref="J236" r:id="rId470" xr:uid="{00000000-0004-0000-0400-0000D5010000}"/>
    <hyperlink ref="I237" r:id="rId471" xr:uid="{00000000-0004-0000-0400-0000D6010000}"/>
    <hyperlink ref="J237" r:id="rId472" xr:uid="{00000000-0004-0000-0400-0000D7010000}"/>
    <hyperlink ref="I238" r:id="rId473" xr:uid="{00000000-0004-0000-0400-0000D8010000}"/>
    <hyperlink ref="J238" r:id="rId474" xr:uid="{00000000-0004-0000-0400-0000D9010000}"/>
    <hyperlink ref="I239" r:id="rId475" xr:uid="{00000000-0004-0000-0400-0000DA010000}"/>
    <hyperlink ref="J239" r:id="rId476" xr:uid="{00000000-0004-0000-0400-0000DB010000}"/>
    <hyperlink ref="I240" r:id="rId477" xr:uid="{00000000-0004-0000-0400-0000DC010000}"/>
    <hyperlink ref="J240" r:id="rId478" xr:uid="{00000000-0004-0000-0400-0000DD010000}"/>
    <hyperlink ref="I241" r:id="rId479" xr:uid="{00000000-0004-0000-0400-0000DE010000}"/>
    <hyperlink ref="J241" r:id="rId480" xr:uid="{00000000-0004-0000-0400-0000DF010000}"/>
    <hyperlink ref="I242" r:id="rId481" xr:uid="{00000000-0004-0000-0400-0000E0010000}"/>
    <hyperlink ref="J242" r:id="rId482" xr:uid="{00000000-0004-0000-0400-0000E1010000}"/>
    <hyperlink ref="I243" r:id="rId483" xr:uid="{00000000-0004-0000-0400-0000E2010000}"/>
    <hyperlink ref="J243" r:id="rId484" xr:uid="{00000000-0004-0000-0400-0000E3010000}"/>
    <hyperlink ref="I244" r:id="rId485" xr:uid="{00000000-0004-0000-0400-0000E4010000}"/>
    <hyperlink ref="J244" r:id="rId486" xr:uid="{00000000-0004-0000-0400-0000E5010000}"/>
    <hyperlink ref="I245" r:id="rId487" xr:uid="{00000000-0004-0000-0400-0000E6010000}"/>
    <hyperlink ref="J245" r:id="rId488" xr:uid="{00000000-0004-0000-0400-0000E7010000}"/>
    <hyperlink ref="I246" r:id="rId489" xr:uid="{00000000-0004-0000-0400-0000E8010000}"/>
    <hyperlink ref="J246" r:id="rId490" xr:uid="{00000000-0004-0000-0400-0000E9010000}"/>
    <hyperlink ref="I247" r:id="rId491" xr:uid="{00000000-0004-0000-0400-0000EA010000}"/>
    <hyperlink ref="J247" r:id="rId492" xr:uid="{00000000-0004-0000-0400-0000EB010000}"/>
    <hyperlink ref="I248" r:id="rId493" xr:uid="{00000000-0004-0000-0400-0000EC010000}"/>
    <hyperlink ref="J248" r:id="rId494" xr:uid="{00000000-0004-0000-0400-0000ED010000}"/>
    <hyperlink ref="I249" r:id="rId495" xr:uid="{00000000-0004-0000-0400-0000EE010000}"/>
    <hyperlink ref="J249" r:id="rId496" xr:uid="{00000000-0004-0000-0400-0000EF010000}"/>
    <hyperlink ref="I250" r:id="rId497" xr:uid="{00000000-0004-0000-0400-0000F0010000}"/>
    <hyperlink ref="J250" r:id="rId498" xr:uid="{00000000-0004-0000-0400-0000F1010000}"/>
    <hyperlink ref="I251" r:id="rId499" xr:uid="{00000000-0004-0000-0400-0000F2010000}"/>
    <hyperlink ref="J251" r:id="rId500" xr:uid="{00000000-0004-0000-0400-0000F3010000}"/>
    <hyperlink ref="I252" r:id="rId501" xr:uid="{00000000-0004-0000-0400-0000F4010000}"/>
    <hyperlink ref="J252" r:id="rId502" xr:uid="{00000000-0004-0000-0400-0000F5010000}"/>
    <hyperlink ref="I253" r:id="rId503" xr:uid="{00000000-0004-0000-0400-0000F6010000}"/>
    <hyperlink ref="J253" r:id="rId504" xr:uid="{00000000-0004-0000-0400-0000F7010000}"/>
    <hyperlink ref="I254" r:id="rId505" xr:uid="{00000000-0004-0000-0400-0000F8010000}"/>
    <hyperlink ref="J254" r:id="rId506" xr:uid="{00000000-0004-0000-0400-0000F9010000}"/>
    <hyperlink ref="I255" r:id="rId507" xr:uid="{00000000-0004-0000-0400-0000FA010000}"/>
    <hyperlink ref="J255" r:id="rId508" xr:uid="{00000000-0004-0000-0400-0000FB010000}"/>
    <hyperlink ref="I256" r:id="rId509" xr:uid="{00000000-0004-0000-0400-0000FC010000}"/>
    <hyperlink ref="J256" r:id="rId510" xr:uid="{00000000-0004-0000-0400-0000FD010000}"/>
    <hyperlink ref="I257" r:id="rId511" xr:uid="{00000000-0004-0000-0400-0000FE010000}"/>
    <hyperlink ref="J257" r:id="rId512" xr:uid="{00000000-0004-0000-0400-0000FF010000}"/>
    <hyperlink ref="I258" r:id="rId513" xr:uid="{00000000-0004-0000-0400-000000020000}"/>
    <hyperlink ref="J258" r:id="rId514" xr:uid="{00000000-0004-0000-0400-000001020000}"/>
    <hyperlink ref="I259" r:id="rId515" xr:uid="{00000000-0004-0000-0400-000002020000}"/>
    <hyperlink ref="J259" r:id="rId516" xr:uid="{00000000-0004-0000-0400-000003020000}"/>
    <hyperlink ref="I260" r:id="rId517" xr:uid="{00000000-0004-0000-0400-000004020000}"/>
    <hyperlink ref="J260" r:id="rId518" xr:uid="{00000000-0004-0000-0400-000005020000}"/>
    <hyperlink ref="I261" r:id="rId519" xr:uid="{00000000-0004-0000-0400-000006020000}"/>
    <hyperlink ref="J261" r:id="rId520" xr:uid="{00000000-0004-0000-0400-000007020000}"/>
    <hyperlink ref="I262" r:id="rId521" xr:uid="{00000000-0004-0000-0400-000008020000}"/>
    <hyperlink ref="J262" r:id="rId522" xr:uid="{00000000-0004-0000-0400-000009020000}"/>
    <hyperlink ref="I263" r:id="rId523" xr:uid="{00000000-0004-0000-0400-00000A020000}"/>
    <hyperlink ref="J263" r:id="rId524" xr:uid="{00000000-0004-0000-0400-00000B020000}"/>
    <hyperlink ref="I264" r:id="rId525" xr:uid="{00000000-0004-0000-0400-00000C020000}"/>
    <hyperlink ref="J264" r:id="rId526" xr:uid="{00000000-0004-0000-0400-00000D020000}"/>
    <hyperlink ref="I265" r:id="rId527" xr:uid="{00000000-0004-0000-0400-00000E020000}"/>
    <hyperlink ref="J265" r:id="rId528" xr:uid="{00000000-0004-0000-0400-00000F020000}"/>
    <hyperlink ref="I266" r:id="rId529" xr:uid="{00000000-0004-0000-0400-000010020000}"/>
    <hyperlink ref="J266" r:id="rId530" xr:uid="{00000000-0004-0000-0400-000011020000}"/>
    <hyperlink ref="I267" r:id="rId531" xr:uid="{00000000-0004-0000-0400-000012020000}"/>
    <hyperlink ref="J267" r:id="rId532" xr:uid="{00000000-0004-0000-0400-000013020000}"/>
    <hyperlink ref="I268" r:id="rId533" xr:uid="{00000000-0004-0000-0400-000014020000}"/>
    <hyperlink ref="J268" r:id="rId534" xr:uid="{00000000-0004-0000-0400-000015020000}"/>
    <hyperlink ref="I269" r:id="rId535" xr:uid="{00000000-0004-0000-0400-000016020000}"/>
    <hyperlink ref="J269" r:id="rId536" xr:uid="{00000000-0004-0000-0400-000017020000}"/>
    <hyperlink ref="I270" r:id="rId537" xr:uid="{00000000-0004-0000-0400-000018020000}"/>
    <hyperlink ref="J270" r:id="rId538" xr:uid="{00000000-0004-0000-0400-000019020000}"/>
    <hyperlink ref="I271" r:id="rId539" xr:uid="{00000000-0004-0000-0400-00001A020000}"/>
    <hyperlink ref="J271" r:id="rId540" xr:uid="{00000000-0004-0000-0400-00001B020000}"/>
    <hyperlink ref="I272" r:id="rId541" xr:uid="{00000000-0004-0000-0400-00001C020000}"/>
    <hyperlink ref="J272" r:id="rId542" xr:uid="{00000000-0004-0000-0400-00001D020000}"/>
    <hyperlink ref="I273" r:id="rId543" xr:uid="{00000000-0004-0000-0400-00001E020000}"/>
    <hyperlink ref="J273" r:id="rId544" xr:uid="{00000000-0004-0000-0400-00001F020000}"/>
    <hyperlink ref="I274" r:id="rId545" xr:uid="{00000000-0004-0000-0400-000020020000}"/>
    <hyperlink ref="J274" r:id="rId546" xr:uid="{00000000-0004-0000-0400-000021020000}"/>
    <hyperlink ref="I275" r:id="rId547" xr:uid="{00000000-0004-0000-0400-000022020000}"/>
    <hyperlink ref="J275" r:id="rId548" xr:uid="{00000000-0004-0000-0400-000023020000}"/>
    <hyperlink ref="I276" r:id="rId549" xr:uid="{00000000-0004-0000-0400-000024020000}"/>
    <hyperlink ref="J276" r:id="rId550" xr:uid="{00000000-0004-0000-0400-000025020000}"/>
    <hyperlink ref="I277" r:id="rId551" xr:uid="{00000000-0004-0000-0400-000026020000}"/>
    <hyperlink ref="J277" r:id="rId552" xr:uid="{00000000-0004-0000-0400-000027020000}"/>
    <hyperlink ref="I278" r:id="rId553" xr:uid="{00000000-0004-0000-0400-000028020000}"/>
    <hyperlink ref="J278" r:id="rId554" xr:uid="{00000000-0004-0000-0400-000029020000}"/>
    <hyperlink ref="I279" r:id="rId555" xr:uid="{00000000-0004-0000-0400-00002A020000}"/>
    <hyperlink ref="J279" r:id="rId556" xr:uid="{00000000-0004-0000-0400-00002B020000}"/>
    <hyperlink ref="I280" r:id="rId557" xr:uid="{00000000-0004-0000-0400-00002C020000}"/>
    <hyperlink ref="J280" r:id="rId558" xr:uid="{00000000-0004-0000-0400-00002D020000}"/>
    <hyperlink ref="I281" r:id="rId559" xr:uid="{00000000-0004-0000-0400-00002E020000}"/>
    <hyperlink ref="J281" r:id="rId560" xr:uid="{00000000-0004-0000-0400-00002F020000}"/>
    <hyperlink ref="I282" r:id="rId561" xr:uid="{00000000-0004-0000-0400-000030020000}"/>
    <hyperlink ref="J282" r:id="rId562" xr:uid="{00000000-0004-0000-0400-000031020000}"/>
    <hyperlink ref="I283" r:id="rId563" xr:uid="{00000000-0004-0000-0400-000032020000}"/>
    <hyperlink ref="J283" r:id="rId564" xr:uid="{00000000-0004-0000-0400-000033020000}"/>
    <hyperlink ref="I284" r:id="rId565" xr:uid="{00000000-0004-0000-0400-000034020000}"/>
    <hyperlink ref="J284" r:id="rId566" xr:uid="{00000000-0004-0000-0400-000035020000}"/>
    <hyperlink ref="I285" r:id="rId567" xr:uid="{00000000-0004-0000-0400-000036020000}"/>
    <hyperlink ref="J285" r:id="rId568" xr:uid="{00000000-0004-0000-0400-000037020000}"/>
    <hyperlink ref="I286" r:id="rId569" xr:uid="{00000000-0004-0000-0400-000038020000}"/>
    <hyperlink ref="J286" r:id="rId570" xr:uid="{00000000-0004-0000-0400-000039020000}"/>
    <hyperlink ref="I287" r:id="rId571" xr:uid="{00000000-0004-0000-0400-00003A020000}"/>
    <hyperlink ref="J287" r:id="rId572" xr:uid="{00000000-0004-0000-0400-00003B020000}"/>
    <hyperlink ref="I288" r:id="rId573" xr:uid="{00000000-0004-0000-0400-00003C020000}"/>
    <hyperlink ref="J288" r:id="rId574" xr:uid="{00000000-0004-0000-0400-00003D020000}"/>
    <hyperlink ref="I289" r:id="rId575" xr:uid="{00000000-0004-0000-0400-00003E020000}"/>
    <hyperlink ref="J289" r:id="rId576" xr:uid="{00000000-0004-0000-0400-00003F020000}"/>
    <hyperlink ref="I290" r:id="rId577" xr:uid="{00000000-0004-0000-0400-000040020000}"/>
    <hyperlink ref="J290" r:id="rId578" xr:uid="{00000000-0004-0000-0400-000041020000}"/>
    <hyperlink ref="I291" r:id="rId579" xr:uid="{00000000-0004-0000-0400-000042020000}"/>
    <hyperlink ref="J291" r:id="rId580" xr:uid="{00000000-0004-0000-0400-000043020000}"/>
    <hyperlink ref="I292" r:id="rId581" xr:uid="{00000000-0004-0000-0400-000044020000}"/>
    <hyperlink ref="J292" r:id="rId582" xr:uid="{00000000-0004-0000-0400-000045020000}"/>
    <hyperlink ref="I293" r:id="rId583" xr:uid="{00000000-0004-0000-0400-000046020000}"/>
    <hyperlink ref="J293" r:id="rId584" xr:uid="{00000000-0004-0000-0400-000047020000}"/>
    <hyperlink ref="I294" r:id="rId585" xr:uid="{00000000-0004-0000-0400-000048020000}"/>
    <hyperlink ref="J294" r:id="rId586" xr:uid="{00000000-0004-0000-0400-000049020000}"/>
    <hyperlink ref="I295" r:id="rId587" xr:uid="{00000000-0004-0000-0400-00004A020000}"/>
    <hyperlink ref="J295" r:id="rId588" xr:uid="{00000000-0004-0000-0400-00004B020000}"/>
    <hyperlink ref="I296" r:id="rId589" xr:uid="{00000000-0004-0000-0400-00004C020000}"/>
    <hyperlink ref="J296" r:id="rId590" xr:uid="{00000000-0004-0000-0400-00004D020000}"/>
    <hyperlink ref="I297" r:id="rId591" xr:uid="{00000000-0004-0000-0400-00004E020000}"/>
    <hyperlink ref="J297" r:id="rId592" xr:uid="{00000000-0004-0000-0400-00004F020000}"/>
    <hyperlink ref="I298" r:id="rId593" xr:uid="{00000000-0004-0000-0400-000050020000}"/>
    <hyperlink ref="J298" r:id="rId594" xr:uid="{00000000-0004-0000-0400-000051020000}"/>
    <hyperlink ref="I299" r:id="rId595" xr:uid="{00000000-0004-0000-0400-000052020000}"/>
    <hyperlink ref="J299" r:id="rId596" xr:uid="{00000000-0004-0000-0400-000053020000}"/>
    <hyperlink ref="I300" r:id="rId597" xr:uid="{00000000-0004-0000-0400-000054020000}"/>
    <hyperlink ref="J300" r:id="rId598" xr:uid="{00000000-0004-0000-0400-000055020000}"/>
    <hyperlink ref="I301" r:id="rId599" xr:uid="{00000000-0004-0000-0400-000056020000}"/>
    <hyperlink ref="J301" r:id="rId600" xr:uid="{00000000-0004-0000-0400-000057020000}"/>
    <hyperlink ref="I302" r:id="rId601" xr:uid="{00000000-0004-0000-0400-000058020000}"/>
    <hyperlink ref="J302" r:id="rId602" xr:uid="{00000000-0004-0000-0400-000059020000}"/>
    <hyperlink ref="I303" r:id="rId603" xr:uid="{00000000-0004-0000-0400-00005A020000}"/>
    <hyperlink ref="J303" r:id="rId604" xr:uid="{00000000-0004-0000-0400-00005B020000}"/>
    <hyperlink ref="I304" r:id="rId605" xr:uid="{00000000-0004-0000-0400-00005C020000}"/>
    <hyperlink ref="J304" r:id="rId606" xr:uid="{00000000-0004-0000-0400-00005D020000}"/>
    <hyperlink ref="I305" r:id="rId607" xr:uid="{00000000-0004-0000-0400-00005E020000}"/>
    <hyperlink ref="J305" r:id="rId608" xr:uid="{00000000-0004-0000-0400-00005F020000}"/>
    <hyperlink ref="I306" r:id="rId609" xr:uid="{00000000-0004-0000-0400-000060020000}"/>
    <hyperlink ref="J306" r:id="rId610" xr:uid="{00000000-0004-0000-0400-000061020000}"/>
    <hyperlink ref="I307" r:id="rId611" xr:uid="{00000000-0004-0000-0400-000062020000}"/>
    <hyperlink ref="J307" r:id="rId612" xr:uid="{00000000-0004-0000-0400-000063020000}"/>
    <hyperlink ref="I308" r:id="rId613" xr:uid="{00000000-0004-0000-0400-000064020000}"/>
    <hyperlink ref="J308" r:id="rId614" xr:uid="{00000000-0004-0000-0400-000065020000}"/>
    <hyperlink ref="I309" r:id="rId615" xr:uid="{00000000-0004-0000-0400-000066020000}"/>
    <hyperlink ref="J309" r:id="rId616" xr:uid="{00000000-0004-0000-0400-000067020000}"/>
    <hyperlink ref="I310" r:id="rId617" xr:uid="{00000000-0004-0000-0400-000068020000}"/>
    <hyperlink ref="J310" r:id="rId618" xr:uid="{00000000-0004-0000-0400-000069020000}"/>
    <hyperlink ref="I311" r:id="rId619" xr:uid="{00000000-0004-0000-0400-00006A020000}"/>
    <hyperlink ref="J311" r:id="rId620" xr:uid="{00000000-0004-0000-0400-00006B020000}"/>
    <hyperlink ref="I312" r:id="rId621" xr:uid="{00000000-0004-0000-0400-00006C020000}"/>
    <hyperlink ref="J312" r:id="rId622" xr:uid="{00000000-0004-0000-0400-00006D020000}"/>
    <hyperlink ref="I313" r:id="rId623" xr:uid="{00000000-0004-0000-0400-00006E020000}"/>
    <hyperlink ref="J313" r:id="rId624" xr:uid="{00000000-0004-0000-0400-00006F020000}"/>
    <hyperlink ref="I314" r:id="rId625" xr:uid="{00000000-0004-0000-0400-000070020000}"/>
    <hyperlink ref="J314" r:id="rId626" xr:uid="{00000000-0004-0000-0400-000071020000}"/>
    <hyperlink ref="I315" r:id="rId627" xr:uid="{00000000-0004-0000-0400-000072020000}"/>
    <hyperlink ref="J315" r:id="rId628" xr:uid="{00000000-0004-0000-0400-000073020000}"/>
    <hyperlink ref="I316" r:id="rId629" xr:uid="{00000000-0004-0000-0400-000074020000}"/>
    <hyperlink ref="J316" r:id="rId630" xr:uid="{00000000-0004-0000-0400-000075020000}"/>
    <hyperlink ref="I317" r:id="rId631" xr:uid="{00000000-0004-0000-0400-000076020000}"/>
    <hyperlink ref="J317" r:id="rId632" xr:uid="{00000000-0004-0000-0400-000077020000}"/>
    <hyperlink ref="I318" r:id="rId633" xr:uid="{00000000-0004-0000-0400-000078020000}"/>
    <hyperlink ref="J318" r:id="rId634" xr:uid="{00000000-0004-0000-0400-000079020000}"/>
    <hyperlink ref="I319" r:id="rId635" xr:uid="{00000000-0004-0000-0400-00007A020000}"/>
    <hyperlink ref="J319" r:id="rId636" xr:uid="{00000000-0004-0000-0400-00007B020000}"/>
    <hyperlink ref="I320" r:id="rId637" xr:uid="{00000000-0004-0000-0400-00007C020000}"/>
    <hyperlink ref="J320" r:id="rId638" xr:uid="{00000000-0004-0000-0400-00007D020000}"/>
    <hyperlink ref="I321" r:id="rId639" xr:uid="{00000000-0004-0000-0400-00007E020000}"/>
    <hyperlink ref="J321" r:id="rId640" xr:uid="{00000000-0004-0000-0400-00007F020000}"/>
    <hyperlink ref="I322" r:id="rId641" xr:uid="{00000000-0004-0000-0400-000080020000}"/>
    <hyperlink ref="J322" r:id="rId642" xr:uid="{00000000-0004-0000-0400-000081020000}"/>
    <hyperlink ref="I323" r:id="rId643" xr:uid="{00000000-0004-0000-0400-000082020000}"/>
    <hyperlink ref="J323" r:id="rId644" xr:uid="{00000000-0004-0000-0400-000083020000}"/>
    <hyperlink ref="I324" r:id="rId645" xr:uid="{00000000-0004-0000-0400-000084020000}"/>
    <hyperlink ref="J324" r:id="rId646" xr:uid="{00000000-0004-0000-0400-000085020000}"/>
    <hyperlink ref="I325" r:id="rId647" xr:uid="{00000000-0004-0000-0400-000086020000}"/>
    <hyperlink ref="J325" r:id="rId648" xr:uid="{00000000-0004-0000-0400-000087020000}"/>
    <hyperlink ref="I326" r:id="rId649" xr:uid="{00000000-0004-0000-0400-000088020000}"/>
    <hyperlink ref="J326" r:id="rId650" xr:uid="{00000000-0004-0000-0400-000089020000}"/>
    <hyperlink ref="I327" r:id="rId651" xr:uid="{00000000-0004-0000-0400-00008A020000}"/>
    <hyperlink ref="J327" r:id="rId652" xr:uid="{00000000-0004-0000-0400-00008B020000}"/>
    <hyperlink ref="I328" r:id="rId653" xr:uid="{00000000-0004-0000-0400-00008C020000}"/>
    <hyperlink ref="J328" r:id="rId654" xr:uid="{00000000-0004-0000-0400-00008D020000}"/>
    <hyperlink ref="I329" r:id="rId655" xr:uid="{00000000-0004-0000-0400-00008E020000}"/>
    <hyperlink ref="J329" r:id="rId656" xr:uid="{00000000-0004-0000-0400-00008F020000}"/>
    <hyperlink ref="I330" r:id="rId657" xr:uid="{00000000-0004-0000-0400-000090020000}"/>
    <hyperlink ref="J330" r:id="rId658" xr:uid="{00000000-0004-0000-0400-000091020000}"/>
    <hyperlink ref="I331" r:id="rId659" xr:uid="{00000000-0004-0000-0400-000092020000}"/>
    <hyperlink ref="J331" r:id="rId660" xr:uid="{00000000-0004-0000-0400-000093020000}"/>
    <hyperlink ref="I332" r:id="rId661" xr:uid="{00000000-0004-0000-0400-000094020000}"/>
    <hyperlink ref="J332" r:id="rId662" xr:uid="{00000000-0004-0000-0400-000095020000}"/>
    <hyperlink ref="I333" r:id="rId663" xr:uid="{00000000-0004-0000-0400-000096020000}"/>
    <hyperlink ref="J333" r:id="rId664" xr:uid="{00000000-0004-0000-0400-000097020000}"/>
    <hyperlink ref="I334" r:id="rId665" xr:uid="{00000000-0004-0000-0400-000098020000}"/>
    <hyperlink ref="J334" r:id="rId666" xr:uid="{00000000-0004-0000-0400-000099020000}"/>
    <hyperlink ref="I335" r:id="rId667" xr:uid="{00000000-0004-0000-0400-00009A020000}"/>
    <hyperlink ref="J335" r:id="rId668" xr:uid="{00000000-0004-0000-0400-00009B020000}"/>
    <hyperlink ref="I336" r:id="rId669" xr:uid="{00000000-0004-0000-0400-00009C020000}"/>
    <hyperlink ref="J336" r:id="rId670" xr:uid="{00000000-0004-0000-0400-00009D020000}"/>
    <hyperlink ref="I337" r:id="rId671" xr:uid="{00000000-0004-0000-0400-00009E020000}"/>
    <hyperlink ref="J337" r:id="rId672" xr:uid="{00000000-0004-0000-0400-00009F020000}"/>
    <hyperlink ref="I338" r:id="rId673" xr:uid="{00000000-0004-0000-0400-0000A0020000}"/>
    <hyperlink ref="J338" r:id="rId674" xr:uid="{00000000-0004-0000-0400-0000A1020000}"/>
    <hyperlink ref="I339" r:id="rId675" xr:uid="{00000000-0004-0000-0400-0000A2020000}"/>
    <hyperlink ref="J339" r:id="rId676" xr:uid="{00000000-0004-0000-0400-0000A3020000}"/>
    <hyperlink ref="I340" r:id="rId677" xr:uid="{00000000-0004-0000-0400-0000A4020000}"/>
    <hyperlink ref="J340" r:id="rId678" xr:uid="{00000000-0004-0000-0400-0000A5020000}"/>
    <hyperlink ref="I341" r:id="rId679" xr:uid="{00000000-0004-0000-0400-0000A6020000}"/>
    <hyperlink ref="J341" r:id="rId680" xr:uid="{00000000-0004-0000-0400-0000A7020000}"/>
    <hyperlink ref="I342" r:id="rId681" xr:uid="{00000000-0004-0000-0400-0000A8020000}"/>
    <hyperlink ref="J342" r:id="rId682" xr:uid="{00000000-0004-0000-0400-0000A9020000}"/>
    <hyperlink ref="I343" r:id="rId683" xr:uid="{00000000-0004-0000-0400-0000AA020000}"/>
    <hyperlink ref="J343" r:id="rId684" xr:uid="{00000000-0004-0000-0400-0000AB020000}"/>
    <hyperlink ref="I344" r:id="rId685" xr:uid="{00000000-0004-0000-0400-0000AC020000}"/>
    <hyperlink ref="J344" r:id="rId686" xr:uid="{00000000-0004-0000-0400-0000AD020000}"/>
    <hyperlink ref="I345" r:id="rId687" xr:uid="{00000000-0004-0000-0400-0000AE020000}"/>
    <hyperlink ref="J345" r:id="rId688" xr:uid="{00000000-0004-0000-0400-0000AF020000}"/>
    <hyperlink ref="I346" r:id="rId689" xr:uid="{00000000-0004-0000-0400-0000B0020000}"/>
    <hyperlink ref="J346" r:id="rId690" xr:uid="{00000000-0004-0000-0400-0000B1020000}"/>
    <hyperlink ref="I347" r:id="rId691" xr:uid="{00000000-0004-0000-0400-0000B2020000}"/>
    <hyperlink ref="J347" r:id="rId692" xr:uid="{00000000-0004-0000-0400-0000B3020000}"/>
    <hyperlink ref="I348" r:id="rId693" xr:uid="{00000000-0004-0000-0400-0000B4020000}"/>
    <hyperlink ref="J348" r:id="rId694" xr:uid="{00000000-0004-0000-0400-0000B5020000}"/>
    <hyperlink ref="I349" r:id="rId695" xr:uid="{00000000-0004-0000-0400-0000B6020000}"/>
    <hyperlink ref="J349" r:id="rId696" xr:uid="{00000000-0004-0000-0400-0000B7020000}"/>
    <hyperlink ref="I350" r:id="rId697" xr:uid="{00000000-0004-0000-0400-0000B8020000}"/>
    <hyperlink ref="J350" r:id="rId698" xr:uid="{00000000-0004-0000-0400-0000B9020000}"/>
    <hyperlink ref="I351" r:id="rId699" xr:uid="{00000000-0004-0000-0400-0000BA020000}"/>
    <hyperlink ref="J351" r:id="rId700" xr:uid="{00000000-0004-0000-0400-0000BB020000}"/>
    <hyperlink ref="I352" r:id="rId701" xr:uid="{00000000-0004-0000-0400-0000BC020000}"/>
    <hyperlink ref="J352" r:id="rId702" xr:uid="{00000000-0004-0000-0400-0000BD020000}"/>
    <hyperlink ref="I353" r:id="rId703" xr:uid="{00000000-0004-0000-0400-0000BE020000}"/>
    <hyperlink ref="J353" r:id="rId704" xr:uid="{00000000-0004-0000-0400-0000BF020000}"/>
    <hyperlink ref="I354" r:id="rId705" xr:uid="{00000000-0004-0000-0400-0000C0020000}"/>
    <hyperlink ref="J354" r:id="rId706" xr:uid="{00000000-0004-0000-0400-0000C1020000}"/>
    <hyperlink ref="I355" r:id="rId707" xr:uid="{00000000-0004-0000-0400-0000C2020000}"/>
    <hyperlink ref="J355" r:id="rId708" xr:uid="{00000000-0004-0000-0400-0000C3020000}"/>
    <hyperlink ref="I356" r:id="rId709" xr:uid="{00000000-0004-0000-0400-0000C4020000}"/>
    <hyperlink ref="J356" r:id="rId710" xr:uid="{00000000-0004-0000-0400-0000C5020000}"/>
    <hyperlink ref="I357" r:id="rId711" xr:uid="{00000000-0004-0000-0400-0000C6020000}"/>
    <hyperlink ref="J357" r:id="rId712" xr:uid="{00000000-0004-0000-0400-0000C7020000}"/>
    <hyperlink ref="I358" r:id="rId713" xr:uid="{00000000-0004-0000-0400-0000C8020000}"/>
    <hyperlink ref="J358" r:id="rId714" xr:uid="{00000000-0004-0000-0400-0000C9020000}"/>
    <hyperlink ref="I359" r:id="rId715" xr:uid="{00000000-0004-0000-0400-0000CA020000}"/>
    <hyperlink ref="J359" r:id="rId716" xr:uid="{00000000-0004-0000-0400-0000CB020000}"/>
    <hyperlink ref="I360" r:id="rId717" xr:uid="{00000000-0004-0000-0400-0000CC020000}"/>
    <hyperlink ref="J360" r:id="rId718" xr:uid="{00000000-0004-0000-0400-0000CD020000}"/>
    <hyperlink ref="I361" r:id="rId719" xr:uid="{00000000-0004-0000-0400-0000CE020000}"/>
    <hyperlink ref="J361" r:id="rId720" xr:uid="{00000000-0004-0000-0400-0000CF020000}"/>
    <hyperlink ref="I362" r:id="rId721" xr:uid="{00000000-0004-0000-0400-0000D0020000}"/>
    <hyperlink ref="J362" r:id="rId722" xr:uid="{00000000-0004-0000-0400-0000D1020000}"/>
    <hyperlink ref="I363" r:id="rId723" xr:uid="{00000000-0004-0000-0400-0000D2020000}"/>
    <hyperlink ref="J363" r:id="rId724" xr:uid="{00000000-0004-0000-0400-0000D3020000}"/>
    <hyperlink ref="I364" r:id="rId725" xr:uid="{00000000-0004-0000-0400-0000D4020000}"/>
    <hyperlink ref="J364" r:id="rId726" xr:uid="{00000000-0004-0000-0400-0000D5020000}"/>
    <hyperlink ref="I365" r:id="rId727" xr:uid="{00000000-0004-0000-0400-0000D6020000}"/>
    <hyperlink ref="J365" r:id="rId728" xr:uid="{00000000-0004-0000-0400-0000D7020000}"/>
    <hyperlink ref="I366" r:id="rId729" xr:uid="{00000000-0004-0000-0400-0000D8020000}"/>
    <hyperlink ref="J366" r:id="rId730" xr:uid="{00000000-0004-0000-0400-0000D9020000}"/>
    <hyperlink ref="I367" r:id="rId731" xr:uid="{00000000-0004-0000-0400-0000DA020000}"/>
    <hyperlink ref="J367" r:id="rId732" xr:uid="{00000000-0004-0000-0400-0000DB020000}"/>
    <hyperlink ref="I368" r:id="rId733" xr:uid="{00000000-0004-0000-0400-0000DC020000}"/>
    <hyperlink ref="J368" r:id="rId734" xr:uid="{00000000-0004-0000-0400-0000DD020000}"/>
    <hyperlink ref="I369" r:id="rId735" xr:uid="{00000000-0004-0000-0400-0000DE020000}"/>
    <hyperlink ref="J369" r:id="rId736" xr:uid="{00000000-0004-0000-0400-0000DF020000}"/>
    <hyperlink ref="I370" r:id="rId737" xr:uid="{00000000-0004-0000-0400-0000E0020000}"/>
    <hyperlink ref="J370" r:id="rId738" xr:uid="{00000000-0004-0000-0400-0000E1020000}"/>
    <hyperlink ref="I371" r:id="rId739" xr:uid="{00000000-0004-0000-0400-0000E2020000}"/>
    <hyperlink ref="J371" r:id="rId740" xr:uid="{00000000-0004-0000-0400-0000E3020000}"/>
    <hyperlink ref="I372" r:id="rId741" xr:uid="{00000000-0004-0000-0400-0000E4020000}"/>
    <hyperlink ref="J372" r:id="rId742" xr:uid="{00000000-0004-0000-0400-0000E5020000}"/>
    <hyperlink ref="I373" r:id="rId743" xr:uid="{00000000-0004-0000-0400-0000E6020000}"/>
    <hyperlink ref="J373" r:id="rId744" xr:uid="{00000000-0004-0000-0400-0000E7020000}"/>
    <hyperlink ref="I374" r:id="rId745" xr:uid="{00000000-0004-0000-0400-0000E8020000}"/>
    <hyperlink ref="J374" r:id="rId746" xr:uid="{00000000-0004-0000-0400-0000E9020000}"/>
    <hyperlink ref="I375" r:id="rId747" xr:uid="{00000000-0004-0000-0400-0000EA020000}"/>
    <hyperlink ref="J375" r:id="rId748" xr:uid="{00000000-0004-0000-0400-0000EB020000}"/>
    <hyperlink ref="I376" r:id="rId749" xr:uid="{00000000-0004-0000-0400-0000EC020000}"/>
    <hyperlink ref="J376" r:id="rId750" xr:uid="{00000000-0004-0000-0400-0000ED020000}"/>
    <hyperlink ref="I377" r:id="rId751" xr:uid="{00000000-0004-0000-0400-0000EE020000}"/>
    <hyperlink ref="J377" r:id="rId752" xr:uid="{00000000-0004-0000-0400-0000EF020000}"/>
    <hyperlink ref="I378" r:id="rId753" xr:uid="{00000000-0004-0000-0400-0000F0020000}"/>
    <hyperlink ref="J378" r:id="rId754" xr:uid="{00000000-0004-0000-0400-0000F1020000}"/>
    <hyperlink ref="I379" r:id="rId755" xr:uid="{00000000-0004-0000-0400-0000F2020000}"/>
    <hyperlink ref="J379" r:id="rId756" xr:uid="{00000000-0004-0000-0400-0000F3020000}"/>
    <hyperlink ref="I380" r:id="rId757" xr:uid="{00000000-0004-0000-0400-0000F4020000}"/>
    <hyperlink ref="J380" r:id="rId758" xr:uid="{00000000-0004-0000-0400-0000F5020000}"/>
    <hyperlink ref="I381" r:id="rId759" xr:uid="{00000000-0004-0000-0400-0000F6020000}"/>
    <hyperlink ref="J381" r:id="rId760" xr:uid="{00000000-0004-0000-0400-0000F7020000}"/>
    <hyperlink ref="I382" r:id="rId761" xr:uid="{00000000-0004-0000-0400-0000F8020000}"/>
    <hyperlink ref="J382" r:id="rId762" xr:uid="{00000000-0004-0000-0400-0000F9020000}"/>
    <hyperlink ref="I383" r:id="rId763" xr:uid="{00000000-0004-0000-0400-0000FA020000}"/>
    <hyperlink ref="J383" r:id="rId764" xr:uid="{00000000-0004-0000-0400-0000FB020000}"/>
    <hyperlink ref="I384" r:id="rId765" xr:uid="{00000000-0004-0000-0400-0000FC020000}"/>
    <hyperlink ref="J384" r:id="rId766" xr:uid="{00000000-0004-0000-0400-0000FD020000}"/>
    <hyperlink ref="I385" r:id="rId767" xr:uid="{00000000-0004-0000-0400-0000FE020000}"/>
    <hyperlink ref="J385" r:id="rId768" xr:uid="{00000000-0004-0000-0400-0000FF020000}"/>
    <hyperlink ref="I386" r:id="rId769" xr:uid="{00000000-0004-0000-0400-000000030000}"/>
    <hyperlink ref="J386" r:id="rId770" xr:uid="{00000000-0004-0000-0400-000001030000}"/>
    <hyperlink ref="I387" r:id="rId771" xr:uid="{00000000-0004-0000-0400-000002030000}"/>
    <hyperlink ref="J387" r:id="rId772" xr:uid="{00000000-0004-0000-0400-000003030000}"/>
    <hyperlink ref="I388" r:id="rId773" xr:uid="{00000000-0004-0000-0400-000004030000}"/>
    <hyperlink ref="J388" r:id="rId774" xr:uid="{00000000-0004-0000-0400-000005030000}"/>
    <hyperlink ref="I389" r:id="rId775" xr:uid="{00000000-0004-0000-0400-000006030000}"/>
    <hyperlink ref="J389" r:id="rId776" xr:uid="{00000000-0004-0000-0400-000007030000}"/>
    <hyperlink ref="I390" r:id="rId777" xr:uid="{00000000-0004-0000-0400-000008030000}"/>
    <hyperlink ref="J390" r:id="rId778" xr:uid="{00000000-0004-0000-0400-000009030000}"/>
    <hyperlink ref="I391" r:id="rId779" xr:uid="{00000000-0004-0000-0400-00000A030000}"/>
    <hyperlink ref="J391" r:id="rId780" xr:uid="{00000000-0004-0000-0400-00000B030000}"/>
    <hyperlink ref="I392" r:id="rId781" xr:uid="{00000000-0004-0000-0400-00000C030000}"/>
    <hyperlink ref="J392" r:id="rId782" xr:uid="{00000000-0004-0000-0400-00000D030000}"/>
    <hyperlink ref="I393" r:id="rId783" xr:uid="{00000000-0004-0000-0400-00000E030000}"/>
    <hyperlink ref="J393" r:id="rId784" xr:uid="{00000000-0004-0000-0400-00000F030000}"/>
    <hyperlink ref="I394" r:id="rId785" xr:uid="{00000000-0004-0000-0400-000010030000}"/>
    <hyperlink ref="J394" r:id="rId786" xr:uid="{00000000-0004-0000-0400-000011030000}"/>
    <hyperlink ref="I395" r:id="rId787" xr:uid="{00000000-0004-0000-0400-000012030000}"/>
    <hyperlink ref="J395" r:id="rId788" xr:uid="{00000000-0004-0000-0400-000013030000}"/>
    <hyperlink ref="I396" r:id="rId789" xr:uid="{00000000-0004-0000-0400-000014030000}"/>
    <hyperlink ref="J396" r:id="rId790" xr:uid="{00000000-0004-0000-0400-000015030000}"/>
    <hyperlink ref="I397" r:id="rId791" xr:uid="{00000000-0004-0000-0400-000016030000}"/>
    <hyperlink ref="J397" r:id="rId792" xr:uid="{00000000-0004-0000-0400-000017030000}"/>
    <hyperlink ref="I398" r:id="rId793" xr:uid="{00000000-0004-0000-0400-000018030000}"/>
    <hyperlink ref="J398" r:id="rId794" xr:uid="{00000000-0004-0000-0400-000019030000}"/>
    <hyperlink ref="I399" r:id="rId795" xr:uid="{00000000-0004-0000-0400-00001A030000}"/>
    <hyperlink ref="J399" r:id="rId796" xr:uid="{00000000-0004-0000-0400-00001B030000}"/>
    <hyperlink ref="I400" r:id="rId797" xr:uid="{00000000-0004-0000-0400-00001C030000}"/>
    <hyperlink ref="J400" r:id="rId798" xr:uid="{00000000-0004-0000-0400-00001D030000}"/>
    <hyperlink ref="I401" r:id="rId799" xr:uid="{00000000-0004-0000-0400-00001E030000}"/>
    <hyperlink ref="J401" r:id="rId800" xr:uid="{00000000-0004-0000-0400-00001F030000}"/>
    <hyperlink ref="I402" r:id="rId801" xr:uid="{00000000-0004-0000-0400-000020030000}"/>
    <hyperlink ref="J402" r:id="rId802" xr:uid="{00000000-0004-0000-0400-000021030000}"/>
    <hyperlink ref="I403" r:id="rId803" xr:uid="{00000000-0004-0000-0400-000022030000}"/>
    <hyperlink ref="J403" r:id="rId804" xr:uid="{00000000-0004-0000-0400-000023030000}"/>
    <hyperlink ref="I404" r:id="rId805" xr:uid="{00000000-0004-0000-0400-000024030000}"/>
    <hyperlink ref="J404" r:id="rId806" xr:uid="{00000000-0004-0000-0400-000025030000}"/>
    <hyperlink ref="I405" r:id="rId807" xr:uid="{00000000-0004-0000-0400-000026030000}"/>
    <hyperlink ref="J405" r:id="rId808" xr:uid="{00000000-0004-0000-0400-000027030000}"/>
    <hyperlink ref="I406" r:id="rId809" xr:uid="{00000000-0004-0000-0400-000028030000}"/>
    <hyperlink ref="J406" r:id="rId810" xr:uid="{00000000-0004-0000-0400-000029030000}"/>
    <hyperlink ref="I407" r:id="rId811" xr:uid="{00000000-0004-0000-0400-00002A030000}"/>
    <hyperlink ref="J407" r:id="rId812" xr:uid="{00000000-0004-0000-0400-00002B030000}"/>
    <hyperlink ref="I408" r:id="rId813" xr:uid="{00000000-0004-0000-0400-00002C030000}"/>
    <hyperlink ref="J408" r:id="rId814" xr:uid="{00000000-0004-0000-0400-00002D030000}"/>
    <hyperlink ref="I409" r:id="rId815" xr:uid="{00000000-0004-0000-0400-00002E030000}"/>
    <hyperlink ref="J409" r:id="rId816" xr:uid="{00000000-0004-0000-0400-00002F030000}"/>
    <hyperlink ref="I410" r:id="rId817" xr:uid="{00000000-0004-0000-0400-000030030000}"/>
    <hyperlink ref="J410" r:id="rId818" xr:uid="{00000000-0004-0000-0400-000031030000}"/>
    <hyperlink ref="I411" r:id="rId819" xr:uid="{00000000-0004-0000-0400-000032030000}"/>
    <hyperlink ref="J411" r:id="rId820" xr:uid="{00000000-0004-0000-0400-000033030000}"/>
    <hyperlink ref="I412" r:id="rId821" xr:uid="{00000000-0004-0000-0400-000034030000}"/>
    <hyperlink ref="J412" r:id="rId822" xr:uid="{00000000-0004-0000-0400-000035030000}"/>
    <hyperlink ref="I413" r:id="rId823" xr:uid="{00000000-0004-0000-0400-000036030000}"/>
    <hyperlink ref="J413" r:id="rId824" xr:uid="{00000000-0004-0000-0400-000037030000}"/>
    <hyperlink ref="I414" r:id="rId825" xr:uid="{00000000-0004-0000-0400-000038030000}"/>
    <hyperlink ref="J414" r:id="rId826" xr:uid="{00000000-0004-0000-0400-000039030000}"/>
    <hyperlink ref="I415" r:id="rId827" xr:uid="{00000000-0004-0000-0400-00003A030000}"/>
    <hyperlink ref="J415" r:id="rId828" xr:uid="{00000000-0004-0000-0400-00003B030000}"/>
    <hyperlink ref="I416" r:id="rId829" xr:uid="{00000000-0004-0000-0400-00003C030000}"/>
    <hyperlink ref="J416" r:id="rId830" xr:uid="{00000000-0004-0000-0400-00003D030000}"/>
    <hyperlink ref="I417" r:id="rId831" xr:uid="{00000000-0004-0000-0400-00003E030000}"/>
    <hyperlink ref="J417" r:id="rId832" xr:uid="{00000000-0004-0000-0400-00003F030000}"/>
    <hyperlink ref="I418" r:id="rId833" xr:uid="{00000000-0004-0000-0400-000040030000}"/>
    <hyperlink ref="J418" r:id="rId834" xr:uid="{00000000-0004-0000-0400-000041030000}"/>
    <hyperlink ref="I419" r:id="rId835" xr:uid="{00000000-0004-0000-0400-000042030000}"/>
    <hyperlink ref="J419" r:id="rId836" xr:uid="{00000000-0004-0000-0400-000043030000}"/>
    <hyperlink ref="I420" r:id="rId837" xr:uid="{00000000-0004-0000-0400-000044030000}"/>
    <hyperlink ref="J420" r:id="rId838" xr:uid="{00000000-0004-0000-0400-000045030000}"/>
    <hyperlink ref="I421" r:id="rId839" xr:uid="{00000000-0004-0000-0400-000046030000}"/>
    <hyperlink ref="J421" r:id="rId840" xr:uid="{00000000-0004-0000-0400-000047030000}"/>
    <hyperlink ref="I422" r:id="rId841" xr:uid="{00000000-0004-0000-0400-000048030000}"/>
    <hyperlink ref="J422" r:id="rId842" xr:uid="{00000000-0004-0000-0400-000049030000}"/>
    <hyperlink ref="I423" r:id="rId843" xr:uid="{00000000-0004-0000-0400-00004A030000}"/>
    <hyperlink ref="J423" r:id="rId844" xr:uid="{00000000-0004-0000-0400-00004B030000}"/>
    <hyperlink ref="I424" r:id="rId845" xr:uid="{00000000-0004-0000-0400-00004C030000}"/>
    <hyperlink ref="J424" r:id="rId846" xr:uid="{00000000-0004-0000-0400-00004D030000}"/>
    <hyperlink ref="I425" r:id="rId847" xr:uid="{00000000-0004-0000-0400-00004E030000}"/>
    <hyperlink ref="J425" r:id="rId848" xr:uid="{00000000-0004-0000-0400-00004F030000}"/>
    <hyperlink ref="I426" r:id="rId849" xr:uid="{00000000-0004-0000-0400-000050030000}"/>
    <hyperlink ref="J426" r:id="rId850" xr:uid="{00000000-0004-0000-0400-000051030000}"/>
    <hyperlink ref="I427" r:id="rId851" xr:uid="{00000000-0004-0000-0400-000052030000}"/>
    <hyperlink ref="J427" r:id="rId852" xr:uid="{00000000-0004-0000-0400-000053030000}"/>
    <hyperlink ref="I428" r:id="rId853" xr:uid="{00000000-0004-0000-0400-000054030000}"/>
    <hyperlink ref="J428" r:id="rId854" xr:uid="{00000000-0004-0000-0400-000055030000}"/>
    <hyperlink ref="I429" r:id="rId855" xr:uid="{00000000-0004-0000-0400-000056030000}"/>
    <hyperlink ref="J429" r:id="rId856" xr:uid="{00000000-0004-0000-0400-000057030000}"/>
    <hyperlink ref="I430" r:id="rId857" xr:uid="{00000000-0004-0000-0400-000058030000}"/>
    <hyperlink ref="J430" r:id="rId858" xr:uid="{00000000-0004-0000-0400-000059030000}"/>
    <hyperlink ref="I431" r:id="rId859" xr:uid="{00000000-0004-0000-0400-00005A030000}"/>
    <hyperlink ref="J431" r:id="rId860" xr:uid="{00000000-0004-0000-0400-00005B030000}"/>
    <hyperlink ref="I432" r:id="rId861" xr:uid="{00000000-0004-0000-0400-00005C030000}"/>
    <hyperlink ref="J432" r:id="rId862" xr:uid="{00000000-0004-0000-0400-00005D030000}"/>
    <hyperlink ref="I433" r:id="rId863" xr:uid="{00000000-0004-0000-0400-00005E030000}"/>
    <hyperlink ref="J433" r:id="rId864" xr:uid="{00000000-0004-0000-0400-00005F030000}"/>
    <hyperlink ref="I434" r:id="rId865" xr:uid="{00000000-0004-0000-0400-000060030000}"/>
    <hyperlink ref="J434" r:id="rId866" xr:uid="{00000000-0004-0000-0400-000061030000}"/>
    <hyperlink ref="I435" r:id="rId867" xr:uid="{00000000-0004-0000-0400-000062030000}"/>
    <hyperlink ref="J435" r:id="rId868" xr:uid="{00000000-0004-0000-0400-000063030000}"/>
    <hyperlink ref="I436" r:id="rId869" xr:uid="{00000000-0004-0000-0400-000064030000}"/>
    <hyperlink ref="J436" r:id="rId870" xr:uid="{00000000-0004-0000-0400-000065030000}"/>
    <hyperlink ref="I437" r:id="rId871" xr:uid="{00000000-0004-0000-0400-000066030000}"/>
    <hyperlink ref="J437" r:id="rId872" xr:uid="{00000000-0004-0000-0400-000067030000}"/>
    <hyperlink ref="I438" r:id="rId873" xr:uid="{00000000-0004-0000-0400-000068030000}"/>
    <hyperlink ref="J438" r:id="rId874" xr:uid="{00000000-0004-0000-0400-000069030000}"/>
    <hyperlink ref="I439" r:id="rId875" xr:uid="{00000000-0004-0000-0400-00006A030000}"/>
    <hyperlink ref="J439" r:id="rId876" xr:uid="{00000000-0004-0000-0400-00006B030000}"/>
    <hyperlink ref="I440" r:id="rId877" xr:uid="{00000000-0004-0000-0400-00006C030000}"/>
    <hyperlink ref="J440" r:id="rId878" xr:uid="{00000000-0004-0000-0400-00006D030000}"/>
    <hyperlink ref="I441" r:id="rId879" xr:uid="{00000000-0004-0000-0400-00006E030000}"/>
    <hyperlink ref="J441" r:id="rId880" xr:uid="{00000000-0004-0000-0400-00006F030000}"/>
    <hyperlink ref="I442" r:id="rId881" xr:uid="{00000000-0004-0000-0400-000070030000}"/>
    <hyperlink ref="J442" r:id="rId882" xr:uid="{00000000-0004-0000-0400-000071030000}"/>
    <hyperlink ref="I443" r:id="rId883" xr:uid="{00000000-0004-0000-0400-000072030000}"/>
    <hyperlink ref="J443" r:id="rId884" xr:uid="{00000000-0004-0000-0400-000073030000}"/>
    <hyperlink ref="I444" r:id="rId885" xr:uid="{00000000-0004-0000-0400-000074030000}"/>
    <hyperlink ref="J444" r:id="rId886" xr:uid="{00000000-0004-0000-0400-000075030000}"/>
    <hyperlink ref="I445" r:id="rId887" xr:uid="{00000000-0004-0000-0400-000076030000}"/>
    <hyperlink ref="J445" r:id="rId888" xr:uid="{00000000-0004-0000-0400-000077030000}"/>
    <hyperlink ref="I446" r:id="rId889" xr:uid="{00000000-0004-0000-0400-000078030000}"/>
    <hyperlink ref="J446" r:id="rId890" xr:uid="{00000000-0004-0000-0400-000079030000}"/>
    <hyperlink ref="I447" r:id="rId891" xr:uid="{00000000-0004-0000-0400-00007A030000}"/>
    <hyperlink ref="J447" r:id="rId892" xr:uid="{00000000-0004-0000-0400-00007B030000}"/>
    <hyperlink ref="I448" r:id="rId893" xr:uid="{00000000-0004-0000-0400-00007C030000}"/>
    <hyperlink ref="J448" r:id="rId894" xr:uid="{00000000-0004-0000-0400-00007D030000}"/>
    <hyperlink ref="I449" r:id="rId895" xr:uid="{00000000-0004-0000-0400-00007E030000}"/>
    <hyperlink ref="J449" r:id="rId896" xr:uid="{00000000-0004-0000-0400-00007F030000}"/>
    <hyperlink ref="I450" r:id="rId897" xr:uid="{00000000-0004-0000-0400-000080030000}"/>
    <hyperlink ref="J450" r:id="rId898" xr:uid="{00000000-0004-0000-0400-000081030000}"/>
    <hyperlink ref="I451" r:id="rId899" xr:uid="{00000000-0004-0000-0400-000082030000}"/>
    <hyperlink ref="J451" r:id="rId900" xr:uid="{00000000-0004-0000-0400-000083030000}"/>
    <hyperlink ref="I452" r:id="rId901" xr:uid="{00000000-0004-0000-0400-000084030000}"/>
    <hyperlink ref="J452" r:id="rId902" xr:uid="{00000000-0004-0000-0400-000085030000}"/>
    <hyperlink ref="I453" r:id="rId903" xr:uid="{00000000-0004-0000-0400-000086030000}"/>
    <hyperlink ref="J453" r:id="rId904" xr:uid="{00000000-0004-0000-0400-000087030000}"/>
    <hyperlink ref="I454" r:id="rId905" xr:uid="{00000000-0004-0000-0400-000088030000}"/>
    <hyperlink ref="J454" r:id="rId906" xr:uid="{00000000-0004-0000-0400-000089030000}"/>
    <hyperlink ref="I455" r:id="rId907" xr:uid="{00000000-0004-0000-0400-00008A030000}"/>
    <hyperlink ref="J455" r:id="rId908" xr:uid="{00000000-0004-0000-0400-00008B030000}"/>
    <hyperlink ref="I456" r:id="rId909" xr:uid="{00000000-0004-0000-0400-00008C030000}"/>
    <hyperlink ref="J456" r:id="rId910" xr:uid="{00000000-0004-0000-0400-00008D030000}"/>
    <hyperlink ref="I457" r:id="rId911" xr:uid="{00000000-0004-0000-0400-00008E030000}"/>
    <hyperlink ref="J457" r:id="rId912" xr:uid="{00000000-0004-0000-0400-00008F030000}"/>
    <hyperlink ref="I458" r:id="rId913" xr:uid="{00000000-0004-0000-0400-000090030000}"/>
    <hyperlink ref="J458" r:id="rId914" xr:uid="{00000000-0004-0000-0400-000091030000}"/>
    <hyperlink ref="I459" r:id="rId915" xr:uid="{00000000-0004-0000-0400-000092030000}"/>
    <hyperlink ref="J459" r:id="rId916" xr:uid="{00000000-0004-0000-0400-000093030000}"/>
    <hyperlink ref="I460" r:id="rId917" xr:uid="{00000000-0004-0000-0400-000094030000}"/>
    <hyperlink ref="J460" r:id="rId918" xr:uid="{00000000-0004-0000-0400-000095030000}"/>
    <hyperlink ref="I461" r:id="rId919" xr:uid="{00000000-0004-0000-0400-000096030000}"/>
    <hyperlink ref="J461" r:id="rId920" xr:uid="{00000000-0004-0000-0400-000097030000}"/>
    <hyperlink ref="I462" r:id="rId921" xr:uid="{00000000-0004-0000-0400-000098030000}"/>
    <hyperlink ref="J462" r:id="rId922" xr:uid="{00000000-0004-0000-0400-000099030000}"/>
    <hyperlink ref="I463" r:id="rId923" xr:uid="{00000000-0004-0000-0400-00009A030000}"/>
    <hyperlink ref="J463" r:id="rId924" xr:uid="{00000000-0004-0000-0400-00009B030000}"/>
    <hyperlink ref="I464" r:id="rId925" xr:uid="{00000000-0004-0000-0400-00009C030000}"/>
    <hyperlink ref="J464" r:id="rId926" xr:uid="{00000000-0004-0000-0400-00009D030000}"/>
    <hyperlink ref="I465" r:id="rId927" xr:uid="{00000000-0004-0000-0400-00009E030000}"/>
    <hyperlink ref="J465" r:id="rId928" xr:uid="{00000000-0004-0000-0400-00009F030000}"/>
    <hyperlink ref="I466" r:id="rId929" xr:uid="{00000000-0004-0000-0400-0000A0030000}"/>
    <hyperlink ref="J466" r:id="rId930" xr:uid="{00000000-0004-0000-0400-0000A1030000}"/>
    <hyperlink ref="I467" r:id="rId931" xr:uid="{00000000-0004-0000-0400-0000A2030000}"/>
    <hyperlink ref="J467" r:id="rId932" xr:uid="{00000000-0004-0000-0400-0000A3030000}"/>
    <hyperlink ref="I468" r:id="rId933" xr:uid="{00000000-0004-0000-0400-0000A4030000}"/>
    <hyperlink ref="J468" r:id="rId934" xr:uid="{00000000-0004-0000-0400-0000A5030000}"/>
    <hyperlink ref="I469" r:id="rId935" xr:uid="{00000000-0004-0000-0400-0000A6030000}"/>
    <hyperlink ref="J469" r:id="rId936" xr:uid="{00000000-0004-0000-0400-0000A7030000}"/>
    <hyperlink ref="I470" r:id="rId937" xr:uid="{00000000-0004-0000-0400-0000A8030000}"/>
    <hyperlink ref="J470" r:id="rId938" xr:uid="{00000000-0004-0000-0400-0000A9030000}"/>
    <hyperlink ref="I471" r:id="rId939" xr:uid="{00000000-0004-0000-0400-0000AA030000}"/>
    <hyperlink ref="J471" r:id="rId940" xr:uid="{00000000-0004-0000-0400-0000AB030000}"/>
    <hyperlink ref="I472" r:id="rId941" xr:uid="{00000000-0004-0000-0400-0000AC030000}"/>
    <hyperlink ref="J472" r:id="rId942" xr:uid="{00000000-0004-0000-0400-0000AD030000}"/>
    <hyperlink ref="I473" r:id="rId943" xr:uid="{00000000-0004-0000-0400-0000AE030000}"/>
    <hyperlink ref="J473" r:id="rId944" xr:uid="{00000000-0004-0000-0400-0000AF030000}"/>
    <hyperlink ref="I474" r:id="rId945" xr:uid="{00000000-0004-0000-0400-0000B0030000}"/>
    <hyperlink ref="J474" r:id="rId946" xr:uid="{00000000-0004-0000-0400-0000B1030000}"/>
    <hyperlink ref="I475" r:id="rId947" xr:uid="{00000000-0004-0000-0400-0000B2030000}"/>
    <hyperlink ref="J475" r:id="rId948" xr:uid="{00000000-0004-0000-0400-0000B3030000}"/>
    <hyperlink ref="I476" r:id="rId949" xr:uid="{00000000-0004-0000-0400-0000B4030000}"/>
    <hyperlink ref="J476" r:id="rId950" xr:uid="{00000000-0004-0000-0400-0000B5030000}"/>
    <hyperlink ref="I477" r:id="rId951" xr:uid="{00000000-0004-0000-0400-0000B6030000}"/>
    <hyperlink ref="J477" r:id="rId952" xr:uid="{00000000-0004-0000-0400-0000B7030000}"/>
    <hyperlink ref="I478" r:id="rId953" xr:uid="{00000000-0004-0000-0400-0000B8030000}"/>
    <hyperlink ref="J478" r:id="rId954" xr:uid="{00000000-0004-0000-0400-0000B9030000}"/>
    <hyperlink ref="I479" r:id="rId955" xr:uid="{00000000-0004-0000-0400-0000BA030000}"/>
    <hyperlink ref="J479" r:id="rId956" xr:uid="{00000000-0004-0000-0400-0000BB030000}"/>
    <hyperlink ref="I480" r:id="rId957" xr:uid="{00000000-0004-0000-0400-0000BC030000}"/>
    <hyperlink ref="J480" r:id="rId958" xr:uid="{00000000-0004-0000-0400-0000BD030000}"/>
    <hyperlink ref="I481" r:id="rId959" xr:uid="{00000000-0004-0000-0400-0000BE030000}"/>
    <hyperlink ref="J481" r:id="rId960" xr:uid="{00000000-0004-0000-0400-0000BF030000}"/>
    <hyperlink ref="I482" r:id="rId961" xr:uid="{00000000-0004-0000-0400-0000C0030000}"/>
    <hyperlink ref="J482" r:id="rId962" xr:uid="{00000000-0004-0000-0400-0000C1030000}"/>
    <hyperlink ref="I483" r:id="rId963" xr:uid="{00000000-0004-0000-0400-0000C2030000}"/>
    <hyperlink ref="J483" r:id="rId964" xr:uid="{00000000-0004-0000-0400-0000C3030000}"/>
    <hyperlink ref="I484" r:id="rId965" xr:uid="{00000000-0004-0000-0400-0000C4030000}"/>
    <hyperlink ref="J484" r:id="rId966" xr:uid="{00000000-0004-0000-0400-0000C5030000}"/>
    <hyperlink ref="I485" r:id="rId967" xr:uid="{00000000-0004-0000-0400-0000C6030000}"/>
    <hyperlink ref="J485" r:id="rId968" xr:uid="{00000000-0004-0000-0400-0000C7030000}"/>
    <hyperlink ref="I486" r:id="rId969" xr:uid="{00000000-0004-0000-0400-0000C8030000}"/>
    <hyperlink ref="J486" r:id="rId970" xr:uid="{00000000-0004-0000-0400-0000C9030000}"/>
    <hyperlink ref="I487" r:id="rId971" xr:uid="{00000000-0004-0000-0400-0000CA030000}"/>
    <hyperlink ref="J487" r:id="rId972" xr:uid="{00000000-0004-0000-0400-0000CB030000}"/>
    <hyperlink ref="I488" r:id="rId973" xr:uid="{00000000-0004-0000-0400-0000CC030000}"/>
    <hyperlink ref="J488" r:id="rId974" xr:uid="{00000000-0004-0000-0400-0000CD030000}"/>
    <hyperlink ref="I489" r:id="rId975" xr:uid="{00000000-0004-0000-0400-0000CE030000}"/>
    <hyperlink ref="J489" r:id="rId976" xr:uid="{00000000-0004-0000-0400-0000CF030000}"/>
    <hyperlink ref="I490" r:id="rId977" xr:uid="{00000000-0004-0000-0400-0000D0030000}"/>
    <hyperlink ref="J490" r:id="rId978" xr:uid="{00000000-0004-0000-0400-0000D1030000}"/>
    <hyperlink ref="I491" r:id="rId979" xr:uid="{00000000-0004-0000-0400-0000D2030000}"/>
    <hyperlink ref="J491" r:id="rId980" xr:uid="{00000000-0004-0000-0400-0000D3030000}"/>
    <hyperlink ref="I492" r:id="rId981" xr:uid="{00000000-0004-0000-0400-0000D4030000}"/>
    <hyperlink ref="J492" r:id="rId982" xr:uid="{00000000-0004-0000-0400-0000D5030000}"/>
    <hyperlink ref="I493" r:id="rId983" xr:uid="{00000000-0004-0000-0400-0000D6030000}"/>
    <hyperlink ref="J493" r:id="rId984" xr:uid="{00000000-0004-0000-0400-0000D7030000}"/>
    <hyperlink ref="I494" r:id="rId985" xr:uid="{00000000-0004-0000-0400-0000D8030000}"/>
    <hyperlink ref="J494" r:id="rId986" xr:uid="{00000000-0004-0000-0400-0000D9030000}"/>
    <hyperlink ref="I495" r:id="rId987" xr:uid="{00000000-0004-0000-0400-0000DA030000}"/>
    <hyperlink ref="J495" r:id="rId988" xr:uid="{00000000-0004-0000-0400-0000DB030000}"/>
    <hyperlink ref="I496" r:id="rId989" xr:uid="{00000000-0004-0000-0400-0000DC030000}"/>
    <hyperlink ref="J496" r:id="rId990" xr:uid="{00000000-0004-0000-0400-0000DD030000}"/>
    <hyperlink ref="I497" r:id="rId991" xr:uid="{00000000-0004-0000-0400-0000DE030000}"/>
    <hyperlink ref="J497" r:id="rId992" xr:uid="{00000000-0004-0000-0400-0000DF030000}"/>
    <hyperlink ref="I498" r:id="rId993" xr:uid="{00000000-0004-0000-0400-0000E0030000}"/>
    <hyperlink ref="J498" r:id="rId994" xr:uid="{00000000-0004-0000-0400-0000E1030000}"/>
    <hyperlink ref="I499" r:id="rId995" xr:uid="{00000000-0004-0000-0400-0000E2030000}"/>
    <hyperlink ref="J499" r:id="rId996" xr:uid="{00000000-0004-0000-0400-0000E3030000}"/>
    <hyperlink ref="I500" r:id="rId997" xr:uid="{00000000-0004-0000-0400-0000E4030000}"/>
    <hyperlink ref="J500" r:id="rId998" xr:uid="{00000000-0004-0000-0400-0000E5030000}"/>
    <hyperlink ref="I501" r:id="rId999" xr:uid="{00000000-0004-0000-0400-0000E6030000}"/>
    <hyperlink ref="J501" r:id="rId1000" xr:uid="{00000000-0004-0000-0400-0000E7030000}"/>
    <hyperlink ref="I502" r:id="rId1001" xr:uid="{00000000-0004-0000-0400-0000E8030000}"/>
    <hyperlink ref="J502" r:id="rId1002" xr:uid="{00000000-0004-0000-0400-0000E9030000}"/>
    <hyperlink ref="I503" r:id="rId1003" xr:uid="{00000000-0004-0000-0400-0000EA030000}"/>
    <hyperlink ref="J503" r:id="rId1004" xr:uid="{00000000-0004-0000-0400-0000EB030000}"/>
    <hyperlink ref="I504" r:id="rId1005" xr:uid="{00000000-0004-0000-0400-0000EC030000}"/>
    <hyperlink ref="J504" r:id="rId1006" xr:uid="{00000000-0004-0000-0400-0000ED030000}"/>
    <hyperlink ref="I505" r:id="rId1007" xr:uid="{00000000-0004-0000-0400-0000EE030000}"/>
    <hyperlink ref="J505" r:id="rId1008" xr:uid="{00000000-0004-0000-0400-0000EF030000}"/>
    <hyperlink ref="I506" r:id="rId1009" xr:uid="{00000000-0004-0000-0400-0000F0030000}"/>
    <hyperlink ref="J506" r:id="rId1010" xr:uid="{00000000-0004-0000-0400-0000F1030000}"/>
    <hyperlink ref="I507" r:id="rId1011" xr:uid="{00000000-0004-0000-0400-0000F2030000}"/>
    <hyperlink ref="J507" r:id="rId1012" xr:uid="{00000000-0004-0000-0400-0000F3030000}"/>
    <hyperlink ref="I508" r:id="rId1013" xr:uid="{00000000-0004-0000-0400-0000F4030000}"/>
    <hyperlink ref="J508" r:id="rId1014" xr:uid="{00000000-0004-0000-0400-0000F5030000}"/>
    <hyperlink ref="I509" r:id="rId1015" xr:uid="{00000000-0004-0000-0400-0000F6030000}"/>
    <hyperlink ref="J509" r:id="rId1016" xr:uid="{00000000-0004-0000-0400-0000F7030000}"/>
    <hyperlink ref="I510" r:id="rId1017" xr:uid="{00000000-0004-0000-0400-0000F8030000}"/>
    <hyperlink ref="J510" r:id="rId1018" xr:uid="{00000000-0004-0000-0400-0000F9030000}"/>
    <hyperlink ref="I511" r:id="rId1019" xr:uid="{00000000-0004-0000-0400-0000FA030000}"/>
    <hyperlink ref="J511" r:id="rId1020" xr:uid="{00000000-0004-0000-0400-0000FB030000}"/>
    <hyperlink ref="I512" r:id="rId1021" xr:uid="{00000000-0004-0000-0400-0000FC030000}"/>
    <hyperlink ref="J512" r:id="rId1022" xr:uid="{00000000-0004-0000-0400-0000FD030000}"/>
    <hyperlink ref="I513" r:id="rId1023" xr:uid="{00000000-0004-0000-0400-0000FE030000}"/>
    <hyperlink ref="J513" r:id="rId1024" xr:uid="{00000000-0004-0000-0400-0000FF030000}"/>
    <hyperlink ref="I514" r:id="rId1025" xr:uid="{00000000-0004-0000-0400-000000040000}"/>
    <hyperlink ref="J514" r:id="rId1026" xr:uid="{00000000-0004-0000-0400-000001040000}"/>
    <hyperlink ref="I515" r:id="rId1027" xr:uid="{00000000-0004-0000-0400-000002040000}"/>
    <hyperlink ref="J515" r:id="rId1028" xr:uid="{00000000-0004-0000-0400-000003040000}"/>
    <hyperlink ref="I516" r:id="rId1029" xr:uid="{00000000-0004-0000-0400-000004040000}"/>
    <hyperlink ref="J516" r:id="rId1030" xr:uid="{00000000-0004-0000-0400-000005040000}"/>
    <hyperlink ref="I517" r:id="rId1031" xr:uid="{00000000-0004-0000-0400-000006040000}"/>
    <hyperlink ref="J517" r:id="rId1032" xr:uid="{00000000-0004-0000-0400-000007040000}"/>
    <hyperlink ref="I518" r:id="rId1033" xr:uid="{00000000-0004-0000-0400-000008040000}"/>
    <hyperlink ref="J518" r:id="rId1034" xr:uid="{00000000-0004-0000-0400-000009040000}"/>
    <hyperlink ref="I519" r:id="rId1035" xr:uid="{00000000-0004-0000-0400-00000A040000}"/>
    <hyperlink ref="J519" r:id="rId1036" xr:uid="{00000000-0004-0000-0400-00000B040000}"/>
    <hyperlink ref="I520" r:id="rId1037" xr:uid="{00000000-0004-0000-0400-00000C040000}"/>
    <hyperlink ref="J520" r:id="rId1038" xr:uid="{00000000-0004-0000-0400-00000D040000}"/>
    <hyperlink ref="I521" r:id="rId1039" xr:uid="{00000000-0004-0000-0400-00000E040000}"/>
    <hyperlink ref="J521" r:id="rId1040" xr:uid="{00000000-0004-0000-0400-00000F040000}"/>
    <hyperlink ref="I522" r:id="rId1041" xr:uid="{00000000-0004-0000-0400-000010040000}"/>
    <hyperlink ref="J522" r:id="rId1042" xr:uid="{00000000-0004-0000-0400-000011040000}"/>
    <hyperlink ref="I523" r:id="rId1043" xr:uid="{00000000-0004-0000-0400-000012040000}"/>
    <hyperlink ref="J523" r:id="rId1044" xr:uid="{00000000-0004-0000-0400-000013040000}"/>
    <hyperlink ref="I524" r:id="rId1045" xr:uid="{00000000-0004-0000-0400-000014040000}"/>
    <hyperlink ref="J524" r:id="rId1046" xr:uid="{00000000-0004-0000-0400-000015040000}"/>
    <hyperlink ref="I525" r:id="rId1047" xr:uid="{00000000-0004-0000-0400-000016040000}"/>
    <hyperlink ref="J525" r:id="rId1048" xr:uid="{00000000-0004-0000-0400-000017040000}"/>
    <hyperlink ref="I526" r:id="rId1049" xr:uid="{00000000-0004-0000-0400-000018040000}"/>
    <hyperlink ref="J526" r:id="rId1050" xr:uid="{00000000-0004-0000-0400-000019040000}"/>
    <hyperlink ref="I527" r:id="rId1051" xr:uid="{00000000-0004-0000-0400-00001A040000}"/>
    <hyperlink ref="J527" r:id="rId1052" xr:uid="{00000000-0004-0000-0400-00001B040000}"/>
    <hyperlink ref="I528" r:id="rId1053" xr:uid="{00000000-0004-0000-0400-00001C040000}"/>
    <hyperlink ref="J528" r:id="rId1054" xr:uid="{00000000-0004-0000-0400-00001D040000}"/>
    <hyperlink ref="I529" r:id="rId1055" xr:uid="{00000000-0004-0000-0400-00001E040000}"/>
    <hyperlink ref="J529" r:id="rId1056" xr:uid="{00000000-0004-0000-0400-00001F040000}"/>
    <hyperlink ref="I530" r:id="rId1057" xr:uid="{00000000-0004-0000-0400-000020040000}"/>
    <hyperlink ref="J530" r:id="rId1058" xr:uid="{00000000-0004-0000-0400-000021040000}"/>
    <hyperlink ref="I531" r:id="rId1059" xr:uid="{00000000-0004-0000-0400-000022040000}"/>
    <hyperlink ref="J531" r:id="rId1060" xr:uid="{00000000-0004-0000-0400-000023040000}"/>
    <hyperlink ref="I532" r:id="rId1061" xr:uid="{00000000-0004-0000-0400-000024040000}"/>
    <hyperlink ref="J532" r:id="rId1062" xr:uid="{00000000-0004-0000-0400-000025040000}"/>
    <hyperlink ref="I533" r:id="rId1063" xr:uid="{00000000-0004-0000-0400-000026040000}"/>
    <hyperlink ref="J533" r:id="rId1064" xr:uid="{00000000-0004-0000-0400-000027040000}"/>
    <hyperlink ref="I534" r:id="rId1065" xr:uid="{00000000-0004-0000-0400-000028040000}"/>
    <hyperlink ref="J534" r:id="rId1066" xr:uid="{00000000-0004-0000-0400-000029040000}"/>
    <hyperlink ref="I535" r:id="rId1067" xr:uid="{00000000-0004-0000-0400-00002A040000}"/>
    <hyperlink ref="J535" r:id="rId1068" xr:uid="{00000000-0004-0000-0400-00002B040000}"/>
    <hyperlink ref="I536" r:id="rId1069" xr:uid="{00000000-0004-0000-0400-00002C040000}"/>
    <hyperlink ref="J536" r:id="rId1070" xr:uid="{00000000-0004-0000-0400-00002D040000}"/>
    <hyperlink ref="I537" r:id="rId1071" xr:uid="{00000000-0004-0000-0400-00002E040000}"/>
    <hyperlink ref="J537" r:id="rId1072" xr:uid="{00000000-0004-0000-0400-00002F040000}"/>
    <hyperlink ref="I538" r:id="rId1073" xr:uid="{00000000-0004-0000-0400-000030040000}"/>
    <hyperlink ref="J538" r:id="rId1074" xr:uid="{00000000-0004-0000-0400-000031040000}"/>
    <hyperlink ref="I539" r:id="rId1075" xr:uid="{00000000-0004-0000-0400-000032040000}"/>
    <hyperlink ref="J539" r:id="rId1076" xr:uid="{00000000-0004-0000-0400-000033040000}"/>
    <hyperlink ref="I540" r:id="rId1077" xr:uid="{00000000-0004-0000-0400-000034040000}"/>
    <hyperlink ref="J540" r:id="rId1078" xr:uid="{00000000-0004-0000-0400-000035040000}"/>
    <hyperlink ref="I541" r:id="rId1079" xr:uid="{00000000-0004-0000-0400-000036040000}"/>
    <hyperlink ref="J541" r:id="rId1080" xr:uid="{00000000-0004-0000-0400-000037040000}"/>
    <hyperlink ref="I542" r:id="rId1081" xr:uid="{00000000-0004-0000-0400-000038040000}"/>
    <hyperlink ref="J542" r:id="rId1082" xr:uid="{00000000-0004-0000-0400-000039040000}"/>
    <hyperlink ref="I543" r:id="rId1083" xr:uid="{00000000-0004-0000-0400-00003A040000}"/>
    <hyperlink ref="J543" r:id="rId1084" xr:uid="{00000000-0004-0000-0400-00003B040000}"/>
    <hyperlink ref="I544" r:id="rId1085" xr:uid="{00000000-0004-0000-0400-00003C040000}"/>
    <hyperlink ref="J544" r:id="rId1086" xr:uid="{00000000-0004-0000-0400-00003D040000}"/>
    <hyperlink ref="I545" r:id="rId1087" xr:uid="{00000000-0004-0000-0400-00003E040000}"/>
    <hyperlink ref="J545" r:id="rId1088" xr:uid="{00000000-0004-0000-0400-00003F040000}"/>
    <hyperlink ref="I546" r:id="rId1089" xr:uid="{00000000-0004-0000-0400-000040040000}"/>
    <hyperlink ref="J546" r:id="rId1090" xr:uid="{00000000-0004-0000-0400-000041040000}"/>
    <hyperlink ref="I547" r:id="rId1091" xr:uid="{00000000-0004-0000-0400-000042040000}"/>
    <hyperlink ref="J547" r:id="rId1092" xr:uid="{00000000-0004-0000-0400-000043040000}"/>
    <hyperlink ref="I548" r:id="rId1093" xr:uid="{00000000-0004-0000-0400-000044040000}"/>
    <hyperlink ref="J548" r:id="rId1094" xr:uid="{00000000-0004-0000-0400-000045040000}"/>
    <hyperlink ref="I549" r:id="rId1095" xr:uid="{00000000-0004-0000-0400-000046040000}"/>
    <hyperlink ref="J549" r:id="rId1096" xr:uid="{00000000-0004-0000-0400-000047040000}"/>
    <hyperlink ref="I550" r:id="rId1097" xr:uid="{00000000-0004-0000-0400-000048040000}"/>
    <hyperlink ref="J550" r:id="rId1098" xr:uid="{00000000-0004-0000-0400-000049040000}"/>
    <hyperlink ref="I551" r:id="rId1099" xr:uid="{00000000-0004-0000-0400-00004A040000}"/>
    <hyperlink ref="J551" r:id="rId1100" xr:uid="{00000000-0004-0000-0400-00004B040000}"/>
    <hyperlink ref="I552" r:id="rId1101" xr:uid="{00000000-0004-0000-0400-00004C040000}"/>
    <hyperlink ref="J552" r:id="rId1102" xr:uid="{00000000-0004-0000-0400-00004D040000}"/>
    <hyperlink ref="I553" r:id="rId1103" xr:uid="{00000000-0004-0000-0400-00004E040000}"/>
    <hyperlink ref="J553" r:id="rId1104" xr:uid="{00000000-0004-0000-0400-00004F040000}"/>
    <hyperlink ref="I554" r:id="rId1105" xr:uid="{00000000-0004-0000-0400-000050040000}"/>
    <hyperlink ref="J554" r:id="rId1106" xr:uid="{00000000-0004-0000-0400-000051040000}"/>
    <hyperlink ref="I555" r:id="rId1107" xr:uid="{00000000-0004-0000-0400-000052040000}"/>
    <hyperlink ref="J555" r:id="rId1108" xr:uid="{00000000-0004-0000-0400-000053040000}"/>
    <hyperlink ref="I556" r:id="rId1109" xr:uid="{00000000-0004-0000-0400-000054040000}"/>
    <hyperlink ref="J556" r:id="rId1110" xr:uid="{00000000-0004-0000-0400-000055040000}"/>
    <hyperlink ref="I557" r:id="rId1111" xr:uid="{00000000-0004-0000-0400-000056040000}"/>
    <hyperlink ref="J557" r:id="rId1112" xr:uid="{00000000-0004-0000-0400-000057040000}"/>
    <hyperlink ref="I558" r:id="rId1113" xr:uid="{00000000-0004-0000-0400-000058040000}"/>
    <hyperlink ref="J558" r:id="rId1114" xr:uid="{00000000-0004-0000-0400-000059040000}"/>
    <hyperlink ref="I559" r:id="rId1115" xr:uid="{00000000-0004-0000-0400-00005A040000}"/>
    <hyperlink ref="J559" r:id="rId1116" xr:uid="{00000000-0004-0000-0400-00005B040000}"/>
    <hyperlink ref="I560" r:id="rId1117" xr:uid="{00000000-0004-0000-0400-00005C040000}"/>
    <hyperlink ref="J560" r:id="rId1118" xr:uid="{00000000-0004-0000-0400-00005D040000}"/>
    <hyperlink ref="I561" r:id="rId1119" xr:uid="{00000000-0004-0000-0400-00005E040000}"/>
    <hyperlink ref="J561" r:id="rId1120" xr:uid="{00000000-0004-0000-0400-00005F040000}"/>
    <hyperlink ref="I562" r:id="rId1121" xr:uid="{00000000-0004-0000-0400-000060040000}"/>
    <hyperlink ref="J562" r:id="rId1122" xr:uid="{00000000-0004-0000-0400-000061040000}"/>
    <hyperlink ref="I563" r:id="rId1123" xr:uid="{00000000-0004-0000-0400-000062040000}"/>
    <hyperlink ref="J563" r:id="rId1124" xr:uid="{00000000-0004-0000-0400-000063040000}"/>
    <hyperlink ref="I564" r:id="rId1125" xr:uid="{00000000-0004-0000-0400-000064040000}"/>
    <hyperlink ref="J564" r:id="rId1126" xr:uid="{00000000-0004-0000-0400-000065040000}"/>
    <hyperlink ref="I565" r:id="rId1127" xr:uid="{00000000-0004-0000-0400-000066040000}"/>
    <hyperlink ref="J565" r:id="rId1128" xr:uid="{00000000-0004-0000-0400-000067040000}"/>
    <hyperlink ref="I566" r:id="rId1129" xr:uid="{00000000-0004-0000-0400-000068040000}"/>
    <hyperlink ref="J566" r:id="rId1130" xr:uid="{00000000-0004-0000-0400-000069040000}"/>
    <hyperlink ref="I567" r:id="rId1131" xr:uid="{00000000-0004-0000-0400-00006A040000}"/>
    <hyperlink ref="J567" r:id="rId1132" xr:uid="{00000000-0004-0000-0400-00006B040000}"/>
    <hyperlink ref="I568" r:id="rId1133" xr:uid="{00000000-0004-0000-0400-00006C040000}"/>
    <hyperlink ref="J568" r:id="rId1134" xr:uid="{00000000-0004-0000-0400-00006D040000}"/>
    <hyperlink ref="I569" r:id="rId1135" xr:uid="{00000000-0004-0000-0400-00006E040000}"/>
    <hyperlink ref="J569" r:id="rId1136" xr:uid="{00000000-0004-0000-0400-00006F040000}"/>
    <hyperlink ref="I570" r:id="rId1137" xr:uid="{00000000-0004-0000-0400-000070040000}"/>
    <hyperlink ref="J570" r:id="rId1138" xr:uid="{00000000-0004-0000-0400-000071040000}"/>
    <hyperlink ref="I571" r:id="rId1139" xr:uid="{00000000-0004-0000-0400-000072040000}"/>
    <hyperlink ref="J571" r:id="rId1140" xr:uid="{00000000-0004-0000-0400-000073040000}"/>
    <hyperlink ref="I572" r:id="rId1141" xr:uid="{00000000-0004-0000-0400-000074040000}"/>
    <hyperlink ref="J572" r:id="rId1142" xr:uid="{00000000-0004-0000-0400-000075040000}"/>
    <hyperlink ref="I573" r:id="rId1143" xr:uid="{00000000-0004-0000-0400-000076040000}"/>
    <hyperlink ref="J573" r:id="rId1144" xr:uid="{00000000-0004-0000-0400-000077040000}"/>
    <hyperlink ref="I574" r:id="rId1145" xr:uid="{00000000-0004-0000-0400-000078040000}"/>
    <hyperlink ref="J574" r:id="rId1146" xr:uid="{00000000-0004-0000-0400-000079040000}"/>
    <hyperlink ref="I575" r:id="rId1147" xr:uid="{00000000-0004-0000-0400-00007A040000}"/>
    <hyperlink ref="J575" r:id="rId1148" xr:uid="{00000000-0004-0000-0400-00007B040000}"/>
    <hyperlink ref="I576" r:id="rId1149" xr:uid="{00000000-0004-0000-0400-00007C040000}"/>
    <hyperlink ref="J576" r:id="rId1150" xr:uid="{00000000-0004-0000-0400-00007D040000}"/>
    <hyperlink ref="I577" r:id="rId1151" xr:uid="{00000000-0004-0000-0400-00007E040000}"/>
    <hyperlink ref="J577" r:id="rId1152" xr:uid="{00000000-0004-0000-0400-00007F040000}"/>
    <hyperlink ref="I578" r:id="rId1153" xr:uid="{00000000-0004-0000-0400-000080040000}"/>
    <hyperlink ref="J578" r:id="rId1154" xr:uid="{00000000-0004-0000-0400-000081040000}"/>
    <hyperlink ref="I579" r:id="rId1155" xr:uid="{00000000-0004-0000-0400-000082040000}"/>
    <hyperlink ref="J579" r:id="rId1156" xr:uid="{00000000-0004-0000-0400-000083040000}"/>
    <hyperlink ref="I580" r:id="rId1157" xr:uid="{00000000-0004-0000-0400-000084040000}"/>
    <hyperlink ref="J580" r:id="rId1158" xr:uid="{00000000-0004-0000-0400-000085040000}"/>
    <hyperlink ref="I581" r:id="rId1159" xr:uid="{00000000-0004-0000-0400-000086040000}"/>
    <hyperlink ref="J581" r:id="rId1160" xr:uid="{00000000-0004-0000-0400-000087040000}"/>
    <hyperlink ref="I582" r:id="rId1161" xr:uid="{00000000-0004-0000-0400-000088040000}"/>
    <hyperlink ref="J582" r:id="rId1162" xr:uid="{00000000-0004-0000-0400-000089040000}"/>
    <hyperlink ref="I583" r:id="rId1163" xr:uid="{00000000-0004-0000-0400-00008A040000}"/>
    <hyperlink ref="J583" r:id="rId1164" xr:uid="{00000000-0004-0000-0400-00008B040000}"/>
    <hyperlink ref="I584" r:id="rId1165" xr:uid="{00000000-0004-0000-0400-00008C040000}"/>
    <hyperlink ref="J584" r:id="rId1166" xr:uid="{00000000-0004-0000-0400-00008D040000}"/>
    <hyperlink ref="I585" r:id="rId1167" xr:uid="{00000000-0004-0000-0400-00008E040000}"/>
    <hyperlink ref="J585" r:id="rId1168" xr:uid="{00000000-0004-0000-0400-00008F040000}"/>
    <hyperlink ref="I586" r:id="rId1169" xr:uid="{00000000-0004-0000-0400-000090040000}"/>
    <hyperlink ref="J586" r:id="rId1170" xr:uid="{00000000-0004-0000-0400-000091040000}"/>
    <hyperlink ref="I587" r:id="rId1171" xr:uid="{00000000-0004-0000-0400-000092040000}"/>
    <hyperlink ref="J587" r:id="rId1172" xr:uid="{00000000-0004-0000-0400-000093040000}"/>
    <hyperlink ref="I588" r:id="rId1173" xr:uid="{00000000-0004-0000-0400-000094040000}"/>
    <hyperlink ref="J588" r:id="rId1174" xr:uid="{00000000-0004-0000-0400-000095040000}"/>
    <hyperlink ref="I589" r:id="rId1175" xr:uid="{00000000-0004-0000-0400-000096040000}"/>
    <hyperlink ref="J589" r:id="rId1176" xr:uid="{00000000-0004-0000-0400-000097040000}"/>
    <hyperlink ref="I590" r:id="rId1177" xr:uid="{00000000-0004-0000-0400-000098040000}"/>
    <hyperlink ref="J590" r:id="rId1178" xr:uid="{00000000-0004-0000-0400-000099040000}"/>
    <hyperlink ref="I591" r:id="rId1179" xr:uid="{00000000-0004-0000-0400-00009A040000}"/>
    <hyperlink ref="J591" r:id="rId1180" xr:uid="{00000000-0004-0000-0400-00009B040000}"/>
    <hyperlink ref="I592" r:id="rId1181" xr:uid="{00000000-0004-0000-0400-00009C040000}"/>
    <hyperlink ref="J592" r:id="rId1182" xr:uid="{00000000-0004-0000-0400-00009D040000}"/>
    <hyperlink ref="I593" r:id="rId1183" xr:uid="{00000000-0004-0000-0400-00009E040000}"/>
    <hyperlink ref="J593" r:id="rId1184" xr:uid="{00000000-0004-0000-0400-00009F040000}"/>
    <hyperlink ref="I594" r:id="rId1185" xr:uid="{00000000-0004-0000-0400-0000A0040000}"/>
    <hyperlink ref="J594" r:id="rId1186" xr:uid="{00000000-0004-0000-0400-0000A1040000}"/>
    <hyperlink ref="I595" r:id="rId1187" xr:uid="{00000000-0004-0000-0400-0000A2040000}"/>
    <hyperlink ref="J595" r:id="rId1188" xr:uid="{00000000-0004-0000-0400-0000A3040000}"/>
    <hyperlink ref="I596" r:id="rId1189" xr:uid="{00000000-0004-0000-0400-0000A4040000}"/>
    <hyperlink ref="J596" r:id="rId1190" xr:uid="{00000000-0004-0000-0400-0000A5040000}"/>
    <hyperlink ref="I597" r:id="rId1191" xr:uid="{00000000-0004-0000-0400-0000A6040000}"/>
    <hyperlink ref="J597" r:id="rId1192" xr:uid="{00000000-0004-0000-0400-0000A7040000}"/>
    <hyperlink ref="I598" r:id="rId1193" xr:uid="{00000000-0004-0000-0400-0000A8040000}"/>
    <hyperlink ref="J598" r:id="rId1194" xr:uid="{00000000-0004-0000-0400-0000A9040000}"/>
    <hyperlink ref="I599" r:id="rId1195" xr:uid="{00000000-0004-0000-0400-0000AA040000}"/>
    <hyperlink ref="J599" r:id="rId1196" xr:uid="{00000000-0004-0000-0400-0000AB040000}"/>
    <hyperlink ref="I600" r:id="rId1197" xr:uid="{00000000-0004-0000-0400-0000AC040000}"/>
    <hyperlink ref="J600" r:id="rId1198" xr:uid="{00000000-0004-0000-0400-0000AD040000}"/>
    <hyperlink ref="I601" r:id="rId1199" xr:uid="{00000000-0004-0000-0400-0000AE040000}"/>
    <hyperlink ref="J601" r:id="rId1200" xr:uid="{00000000-0004-0000-0400-0000AF040000}"/>
    <hyperlink ref="I602" r:id="rId1201" xr:uid="{00000000-0004-0000-0400-0000B0040000}"/>
    <hyperlink ref="J602" r:id="rId1202" xr:uid="{00000000-0004-0000-0400-0000B1040000}"/>
    <hyperlink ref="I603" r:id="rId1203" xr:uid="{00000000-0004-0000-0400-0000B2040000}"/>
    <hyperlink ref="J603" r:id="rId1204" xr:uid="{00000000-0004-0000-0400-0000B3040000}"/>
    <hyperlink ref="I604" r:id="rId1205" xr:uid="{00000000-0004-0000-0400-0000B4040000}"/>
    <hyperlink ref="J604" r:id="rId1206" xr:uid="{00000000-0004-0000-0400-0000B5040000}"/>
    <hyperlink ref="I605" r:id="rId1207" xr:uid="{00000000-0004-0000-0400-0000B6040000}"/>
    <hyperlink ref="J605" r:id="rId1208" xr:uid="{00000000-0004-0000-0400-0000B7040000}"/>
    <hyperlink ref="I606" r:id="rId1209" xr:uid="{00000000-0004-0000-0400-0000B8040000}"/>
    <hyperlink ref="J606" r:id="rId1210" xr:uid="{00000000-0004-0000-0400-0000B9040000}"/>
    <hyperlink ref="I607" r:id="rId1211" xr:uid="{00000000-0004-0000-0400-0000BA040000}"/>
    <hyperlink ref="J607" r:id="rId1212" xr:uid="{00000000-0004-0000-0400-0000BB040000}"/>
    <hyperlink ref="I608" r:id="rId1213" xr:uid="{00000000-0004-0000-0400-0000BC040000}"/>
    <hyperlink ref="J608" r:id="rId1214" xr:uid="{00000000-0004-0000-0400-0000BD040000}"/>
    <hyperlink ref="I609" r:id="rId1215" xr:uid="{00000000-0004-0000-0400-0000BE040000}"/>
    <hyperlink ref="J609" r:id="rId1216" xr:uid="{00000000-0004-0000-0400-0000BF040000}"/>
    <hyperlink ref="I610" r:id="rId1217" xr:uid="{00000000-0004-0000-0400-0000C0040000}"/>
    <hyperlink ref="J610" r:id="rId1218" xr:uid="{00000000-0004-0000-0400-0000C1040000}"/>
    <hyperlink ref="I611" r:id="rId1219" xr:uid="{00000000-0004-0000-0400-0000C2040000}"/>
    <hyperlink ref="J611" r:id="rId1220" xr:uid="{00000000-0004-0000-0400-0000C3040000}"/>
    <hyperlink ref="I612" r:id="rId1221" xr:uid="{00000000-0004-0000-0400-0000C4040000}"/>
    <hyperlink ref="J612" r:id="rId1222" xr:uid="{00000000-0004-0000-0400-0000C5040000}"/>
    <hyperlink ref="I613" r:id="rId1223" xr:uid="{00000000-0004-0000-0400-0000C6040000}"/>
    <hyperlink ref="J613" r:id="rId1224" xr:uid="{00000000-0004-0000-0400-0000C7040000}"/>
    <hyperlink ref="I614" r:id="rId1225" xr:uid="{00000000-0004-0000-0400-0000C8040000}"/>
    <hyperlink ref="J614" r:id="rId1226" xr:uid="{00000000-0004-0000-0400-0000C9040000}"/>
    <hyperlink ref="I615" r:id="rId1227" xr:uid="{00000000-0004-0000-0400-0000CA040000}"/>
    <hyperlink ref="J615" r:id="rId1228" xr:uid="{00000000-0004-0000-0400-0000CB040000}"/>
    <hyperlink ref="I616" r:id="rId1229" xr:uid="{00000000-0004-0000-0400-0000CC040000}"/>
    <hyperlink ref="J616" r:id="rId1230" xr:uid="{00000000-0004-0000-0400-0000CD040000}"/>
    <hyperlink ref="I617" r:id="rId1231" xr:uid="{00000000-0004-0000-0400-0000CE040000}"/>
    <hyperlink ref="J617" r:id="rId1232" xr:uid="{00000000-0004-0000-0400-0000CF040000}"/>
    <hyperlink ref="I618" r:id="rId1233" xr:uid="{00000000-0004-0000-0400-0000D0040000}"/>
    <hyperlink ref="J618" r:id="rId1234" xr:uid="{00000000-0004-0000-0400-0000D1040000}"/>
    <hyperlink ref="I619" r:id="rId1235" xr:uid="{00000000-0004-0000-0400-0000D2040000}"/>
    <hyperlink ref="J619" r:id="rId1236" xr:uid="{00000000-0004-0000-0400-0000D3040000}"/>
    <hyperlink ref="I620" r:id="rId1237" xr:uid="{00000000-0004-0000-0400-0000D4040000}"/>
    <hyperlink ref="J620" r:id="rId1238" xr:uid="{00000000-0004-0000-0400-0000D5040000}"/>
    <hyperlink ref="I621" r:id="rId1239" xr:uid="{00000000-0004-0000-0400-0000D6040000}"/>
    <hyperlink ref="J621" r:id="rId1240" xr:uid="{00000000-0004-0000-0400-0000D7040000}"/>
    <hyperlink ref="I622" r:id="rId1241" xr:uid="{00000000-0004-0000-0400-0000D8040000}"/>
    <hyperlink ref="J622" r:id="rId1242" xr:uid="{00000000-0004-0000-0400-0000D9040000}"/>
    <hyperlink ref="I623" r:id="rId1243" xr:uid="{00000000-0004-0000-0400-0000DA040000}"/>
    <hyperlink ref="J623" r:id="rId1244" xr:uid="{00000000-0004-0000-0400-0000DB040000}"/>
    <hyperlink ref="I624" r:id="rId1245" xr:uid="{00000000-0004-0000-0400-0000DC040000}"/>
    <hyperlink ref="J624" r:id="rId1246" xr:uid="{00000000-0004-0000-0400-0000DD040000}"/>
    <hyperlink ref="I625" r:id="rId1247" xr:uid="{00000000-0004-0000-0400-0000DE040000}"/>
    <hyperlink ref="J625" r:id="rId1248" xr:uid="{00000000-0004-0000-0400-0000DF040000}"/>
    <hyperlink ref="I626" r:id="rId1249" xr:uid="{00000000-0004-0000-0400-0000E0040000}"/>
    <hyperlink ref="J626" r:id="rId1250" xr:uid="{00000000-0004-0000-0400-0000E1040000}"/>
    <hyperlink ref="I627" r:id="rId1251" xr:uid="{00000000-0004-0000-0400-0000E2040000}"/>
    <hyperlink ref="J627" r:id="rId1252" xr:uid="{00000000-0004-0000-0400-0000E3040000}"/>
    <hyperlink ref="I628" r:id="rId1253" xr:uid="{00000000-0004-0000-0400-0000E4040000}"/>
    <hyperlink ref="J628" r:id="rId1254" xr:uid="{00000000-0004-0000-0400-0000E5040000}"/>
    <hyperlink ref="I629" r:id="rId1255" xr:uid="{00000000-0004-0000-0400-0000E6040000}"/>
    <hyperlink ref="J629" r:id="rId1256" xr:uid="{00000000-0004-0000-0400-0000E7040000}"/>
    <hyperlink ref="I630" r:id="rId1257" xr:uid="{00000000-0004-0000-0400-0000E8040000}"/>
    <hyperlink ref="J630" r:id="rId1258" xr:uid="{00000000-0004-0000-0400-0000E9040000}"/>
    <hyperlink ref="I631" r:id="rId1259" xr:uid="{00000000-0004-0000-0400-0000EA040000}"/>
    <hyperlink ref="J631" r:id="rId1260" xr:uid="{00000000-0004-0000-0400-0000EB040000}"/>
    <hyperlink ref="I632" r:id="rId1261" xr:uid="{00000000-0004-0000-0400-0000EC040000}"/>
    <hyperlink ref="J632" r:id="rId1262" xr:uid="{00000000-0004-0000-0400-0000ED040000}"/>
    <hyperlink ref="I633" r:id="rId1263" xr:uid="{00000000-0004-0000-0400-0000EE040000}"/>
    <hyperlink ref="J633" r:id="rId1264" xr:uid="{00000000-0004-0000-0400-0000EF040000}"/>
    <hyperlink ref="I634" r:id="rId1265" xr:uid="{00000000-0004-0000-0400-0000F0040000}"/>
    <hyperlink ref="J634" r:id="rId1266" xr:uid="{00000000-0004-0000-0400-0000F1040000}"/>
    <hyperlink ref="I635" r:id="rId1267" xr:uid="{00000000-0004-0000-0400-0000F2040000}"/>
    <hyperlink ref="J635" r:id="rId1268" xr:uid="{00000000-0004-0000-0400-0000F3040000}"/>
    <hyperlink ref="I636" r:id="rId1269" xr:uid="{00000000-0004-0000-0400-0000F4040000}"/>
    <hyperlink ref="J636" r:id="rId1270" xr:uid="{00000000-0004-0000-0400-0000F5040000}"/>
    <hyperlink ref="I637" r:id="rId1271" xr:uid="{00000000-0004-0000-0400-0000F6040000}"/>
    <hyperlink ref="J637" r:id="rId1272" xr:uid="{00000000-0004-0000-0400-0000F7040000}"/>
    <hyperlink ref="I638" r:id="rId1273" xr:uid="{00000000-0004-0000-0400-0000F8040000}"/>
    <hyperlink ref="J638" r:id="rId1274" xr:uid="{00000000-0004-0000-0400-0000F9040000}"/>
    <hyperlink ref="I639" r:id="rId1275" xr:uid="{00000000-0004-0000-0400-0000FA040000}"/>
    <hyperlink ref="J639" r:id="rId1276" xr:uid="{00000000-0004-0000-0400-0000FB040000}"/>
    <hyperlink ref="I640" r:id="rId1277" xr:uid="{00000000-0004-0000-0400-0000FC040000}"/>
    <hyperlink ref="J640" r:id="rId1278" xr:uid="{00000000-0004-0000-0400-0000FD040000}"/>
    <hyperlink ref="I641" r:id="rId1279" xr:uid="{00000000-0004-0000-0400-0000FE040000}"/>
    <hyperlink ref="J641" r:id="rId1280" xr:uid="{00000000-0004-0000-0400-0000FF040000}"/>
    <hyperlink ref="I642" r:id="rId1281" xr:uid="{00000000-0004-0000-0400-000000050000}"/>
    <hyperlink ref="J642" r:id="rId1282" xr:uid="{00000000-0004-0000-0400-000001050000}"/>
    <hyperlink ref="I643" r:id="rId1283" xr:uid="{00000000-0004-0000-0400-000002050000}"/>
    <hyperlink ref="J643" r:id="rId1284" xr:uid="{00000000-0004-0000-0400-000003050000}"/>
    <hyperlink ref="I644" r:id="rId1285" xr:uid="{00000000-0004-0000-0400-000004050000}"/>
    <hyperlink ref="J644" r:id="rId1286" xr:uid="{00000000-0004-0000-0400-000005050000}"/>
    <hyperlink ref="I645" r:id="rId1287" xr:uid="{00000000-0004-0000-0400-000006050000}"/>
    <hyperlink ref="J645" r:id="rId1288" xr:uid="{00000000-0004-0000-0400-000007050000}"/>
    <hyperlink ref="I646" r:id="rId1289" xr:uid="{00000000-0004-0000-0400-000008050000}"/>
    <hyperlink ref="J646" r:id="rId1290" xr:uid="{00000000-0004-0000-0400-000009050000}"/>
    <hyperlink ref="I647" r:id="rId1291" xr:uid="{00000000-0004-0000-0400-00000A050000}"/>
    <hyperlink ref="J647" r:id="rId1292" xr:uid="{00000000-0004-0000-0400-00000B050000}"/>
    <hyperlink ref="I648" r:id="rId1293" xr:uid="{00000000-0004-0000-0400-00000C050000}"/>
    <hyperlink ref="J648" r:id="rId1294" xr:uid="{00000000-0004-0000-0400-00000D050000}"/>
    <hyperlink ref="I649" r:id="rId1295" xr:uid="{00000000-0004-0000-0400-00000E050000}"/>
    <hyperlink ref="J649" r:id="rId1296" xr:uid="{00000000-0004-0000-0400-00000F050000}"/>
    <hyperlink ref="I650" r:id="rId1297" xr:uid="{00000000-0004-0000-0400-000010050000}"/>
    <hyperlink ref="J650" r:id="rId1298" xr:uid="{00000000-0004-0000-0400-000011050000}"/>
    <hyperlink ref="I651" r:id="rId1299" xr:uid="{00000000-0004-0000-0400-000012050000}"/>
    <hyperlink ref="J651" r:id="rId1300" xr:uid="{00000000-0004-0000-0400-000013050000}"/>
    <hyperlink ref="I652" r:id="rId1301" xr:uid="{00000000-0004-0000-0400-000014050000}"/>
    <hyperlink ref="J652" r:id="rId1302" xr:uid="{00000000-0004-0000-0400-000015050000}"/>
    <hyperlink ref="I653" r:id="rId1303" xr:uid="{00000000-0004-0000-0400-000016050000}"/>
    <hyperlink ref="J653" r:id="rId1304" xr:uid="{00000000-0004-0000-0400-000017050000}"/>
    <hyperlink ref="I654" r:id="rId1305" xr:uid="{00000000-0004-0000-0400-000018050000}"/>
    <hyperlink ref="J654" r:id="rId1306" xr:uid="{00000000-0004-0000-0400-000019050000}"/>
    <hyperlink ref="I655" r:id="rId1307" xr:uid="{00000000-0004-0000-0400-00001A050000}"/>
    <hyperlink ref="J655" r:id="rId1308" xr:uid="{00000000-0004-0000-0400-00001B050000}"/>
    <hyperlink ref="I656" r:id="rId1309" xr:uid="{00000000-0004-0000-0400-00001C050000}"/>
    <hyperlink ref="J656" r:id="rId1310" xr:uid="{00000000-0004-0000-0400-00001D050000}"/>
    <hyperlink ref="I657" r:id="rId1311" xr:uid="{00000000-0004-0000-0400-00001E050000}"/>
    <hyperlink ref="J657" r:id="rId1312" xr:uid="{00000000-0004-0000-0400-00001F050000}"/>
    <hyperlink ref="I658" r:id="rId1313" xr:uid="{00000000-0004-0000-0400-000020050000}"/>
    <hyperlink ref="J658" r:id="rId1314" xr:uid="{00000000-0004-0000-0400-000021050000}"/>
    <hyperlink ref="I659" r:id="rId1315" xr:uid="{00000000-0004-0000-0400-000022050000}"/>
    <hyperlink ref="J659" r:id="rId1316" xr:uid="{00000000-0004-0000-0400-000023050000}"/>
    <hyperlink ref="I660" r:id="rId1317" xr:uid="{00000000-0004-0000-0400-000024050000}"/>
    <hyperlink ref="J660" r:id="rId1318" xr:uid="{00000000-0004-0000-0400-000025050000}"/>
    <hyperlink ref="I661" r:id="rId1319" xr:uid="{00000000-0004-0000-0400-000026050000}"/>
    <hyperlink ref="J661" r:id="rId1320" xr:uid="{00000000-0004-0000-0400-000027050000}"/>
    <hyperlink ref="I662" r:id="rId1321" xr:uid="{00000000-0004-0000-0400-000028050000}"/>
    <hyperlink ref="J662" r:id="rId1322" xr:uid="{00000000-0004-0000-0400-000029050000}"/>
    <hyperlink ref="I663" r:id="rId1323" xr:uid="{00000000-0004-0000-0400-00002A050000}"/>
    <hyperlink ref="J663" r:id="rId1324" xr:uid="{00000000-0004-0000-0400-00002B050000}"/>
    <hyperlink ref="I664" r:id="rId1325" xr:uid="{00000000-0004-0000-0400-00002C050000}"/>
    <hyperlink ref="J664" r:id="rId1326" xr:uid="{00000000-0004-0000-0400-00002D050000}"/>
    <hyperlink ref="I665" r:id="rId1327" xr:uid="{00000000-0004-0000-0400-00002E050000}"/>
    <hyperlink ref="J665" r:id="rId1328" xr:uid="{00000000-0004-0000-0400-00002F050000}"/>
    <hyperlink ref="I666" r:id="rId1329" xr:uid="{00000000-0004-0000-0400-000030050000}"/>
    <hyperlink ref="J666" r:id="rId1330" xr:uid="{00000000-0004-0000-0400-000031050000}"/>
    <hyperlink ref="I667" r:id="rId1331" xr:uid="{00000000-0004-0000-0400-000032050000}"/>
    <hyperlink ref="J667" r:id="rId1332" xr:uid="{00000000-0004-0000-0400-000033050000}"/>
    <hyperlink ref="I668" r:id="rId1333" xr:uid="{00000000-0004-0000-0400-000034050000}"/>
    <hyperlink ref="J668" r:id="rId1334" xr:uid="{00000000-0004-0000-0400-000035050000}"/>
    <hyperlink ref="I669" r:id="rId1335" xr:uid="{00000000-0004-0000-0400-000036050000}"/>
    <hyperlink ref="J669" r:id="rId1336" xr:uid="{00000000-0004-0000-0400-000037050000}"/>
    <hyperlink ref="I670" r:id="rId1337" xr:uid="{00000000-0004-0000-0400-000038050000}"/>
    <hyperlink ref="J670" r:id="rId1338" xr:uid="{00000000-0004-0000-0400-000039050000}"/>
    <hyperlink ref="I671" r:id="rId1339" xr:uid="{00000000-0004-0000-0400-00003A050000}"/>
    <hyperlink ref="J671" r:id="rId1340" xr:uid="{00000000-0004-0000-0400-00003B050000}"/>
    <hyperlink ref="I672" r:id="rId1341" xr:uid="{00000000-0004-0000-0400-00003C050000}"/>
    <hyperlink ref="J672" r:id="rId1342" xr:uid="{00000000-0004-0000-0400-00003D050000}"/>
    <hyperlink ref="I673" r:id="rId1343" xr:uid="{00000000-0004-0000-0400-00003E050000}"/>
    <hyperlink ref="J673" r:id="rId1344" xr:uid="{00000000-0004-0000-0400-00003F050000}"/>
    <hyperlink ref="I674" r:id="rId1345" xr:uid="{00000000-0004-0000-0400-000040050000}"/>
    <hyperlink ref="J674" r:id="rId1346" xr:uid="{00000000-0004-0000-0400-000041050000}"/>
    <hyperlink ref="I675" r:id="rId1347" xr:uid="{00000000-0004-0000-0400-000042050000}"/>
    <hyperlink ref="J675" r:id="rId1348" xr:uid="{00000000-0004-0000-0400-000043050000}"/>
    <hyperlink ref="I676" r:id="rId1349" xr:uid="{00000000-0004-0000-0400-000044050000}"/>
    <hyperlink ref="J676" r:id="rId1350" xr:uid="{00000000-0004-0000-0400-000045050000}"/>
    <hyperlink ref="I677" r:id="rId1351" xr:uid="{00000000-0004-0000-0400-000046050000}"/>
    <hyperlink ref="J677" r:id="rId1352" xr:uid="{00000000-0004-0000-0400-000047050000}"/>
    <hyperlink ref="I678" r:id="rId1353" xr:uid="{00000000-0004-0000-0400-000048050000}"/>
    <hyperlink ref="J678" r:id="rId1354" xr:uid="{00000000-0004-0000-0400-000049050000}"/>
    <hyperlink ref="I679" r:id="rId1355" xr:uid="{00000000-0004-0000-0400-00004A050000}"/>
    <hyperlink ref="J679" r:id="rId1356" xr:uid="{00000000-0004-0000-0400-00004B050000}"/>
    <hyperlink ref="I680" r:id="rId1357" xr:uid="{00000000-0004-0000-0400-00004C050000}"/>
    <hyperlink ref="J680" r:id="rId1358" xr:uid="{00000000-0004-0000-0400-00004D050000}"/>
    <hyperlink ref="I681" r:id="rId1359" xr:uid="{00000000-0004-0000-0400-00004E050000}"/>
    <hyperlink ref="J681" r:id="rId1360" xr:uid="{00000000-0004-0000-0400-00004F050000}"/>
    <hyperlink ref="I682" r:id="rId1361" xr:uid="{00000000-0004-0000-0400-000050050000}"/>
    <hyperlink ref="J682" r:id="rId1362" xr:uid="{00000000-0004-0000-0400-000051050000}"/>
    <hyperlink ref="I683" r:id="rId1363" xr:uid="{00000000-0004-0000-0400-000052050000}"/>
    <hyperlink ref="J683" r:id="rId1364" xr:uid="{00000000-0004-0000-0400-000053050000}"/>
    <hyperlink ref="I684" r:id="rId1365" xr:uid="{00000000-0004-0000-0400-000054050000}"/>
    <hyperlink ref="J684" r:id="rId1366" xr:uid="{00000000-0004-0000-0400-000055050000}"/>
    <hyperlink ref="I685" r:id="rId1367" xr:uid="{00000000-0004-0000-0400-000056050000}"/>
    <hyperlink ref="J685" r:id="rId1368" xr:uid="{00000000-0004-0000-0400-000057050000}"/>
    <hyperlink ref="I686" r:id="rId1369" xr:uid="{00000000-0004-0000-0400-000058050000}"/>
    <hyperlink ref="J686" r:id="rId1370" xr:uid="{00000000-0004-0000-0400-000059050000}"/>
    <hyperlink ref="I687" r:id="rId1371" xr:uid="{00000000-0004-0000-0400-00005A050000}"/>
    <hyperlink ref="J687" r:id="rId1372" xr:uid="{00000000-0004-0000-0400-00005B050000}"/>
    <hyperlink ref="I688" r:id="rId1373" xr:uid="{00000000-0004-0000-0400-00005C050000}"/>
    <hyperlink ref="J688" r:id="rId1374" xr:uid="{00000000-0004-0000-0400-00005D050000}"/>
    <hyperlink ref="I689" r:id="rId1375" xr:uid="{00000000-0004-0000-0400-00005E050000}"/>
    <hyperlink ref="J689" r:id="rId1376" xr:uid="{00000000-0004-0000-0400-00005F050000}"/>
    <hyperlink ref="I690" r:id="rId1377" xr:uid="{00000000-0004-0000-0400-000060050000}"/>
    <hyperlink ref="J690" r:id="rId1378" xr:uid="{00000000-0004-0000-0400-000061050000}"/>
    <hyperlink ref="I691" r:id="rId1379" xr:uid="{00000000-0004-0000-0400-000062050000}"/>
    <hyperlink ref="J691" r:id="rId1380" xr:uid="{00000000-0004-0000-0400-000063050000}"/>
    <hyperlink ref="I692" r:id="rId1381" xr:uid="{00000000-0004-0000-0400-000064050000}"/>
    <hyperlink ref="J692" r:id="rId1382" xr:uid="{00000000-0004-0000-0400-000065050000}"/>
    <hyperlink ref="I693" r:id="rId1383" xr:uid="{00000000-0004-0000-0400-000066050000}"/>
    <hyperlink ref="J693" r:id="rId1384" xr:uid="{00000000-0004-0000-0400-000067050000}"/>
    <hyperlink ref="I694" r:id="rId1385" xr:uid="{00000000-0004-0000-0400-000068050000}"/>
    <hyperlink ref="J694" r:id="rId1386" xr:uid="{00000000-0004-0000-0400-000069050000}"/>
    <hyperlink ref="I695" r:id="rId1387" xr:uid="{00000000-0004-0000-0400-00006A050000}"/>
    <hyperlink ref="J695" r:id="rId1388" xr:uid="{00000000-0004-0000-0400-00006B050000}"/>
    <hyperlink ref="I696" r:id="rId1389" xr:uid="{00000000-0004-0000-0400-00006C050000}"/>
    <hyperlink ref="J696" r:id="rId1390" xr:uid="{00000000-0004-0000-0400-00006D050000}"/>
    <hyperlink ref="I697" r:id="rId1391" xr:uid="{00000000-0004-0000-0400-00006E050000}"/>
    <hyperlink ref="J697" r:id="rId1392" xr:uid="{00000000-0004-0000-0400-00006F050000}"/>
    <hyperlink ref="I698" r:id="rId1393" xr:uid="{00000000-0004-0000-0400-000070050000}"/>
    <hyperlink ref="J698" r:id="rId1394" xr:uid="{00000000-0004-0000-0400-000071050000}"/>
    <hyperlink ref="I699" r:id="rId1395" xr:uid="{00000000-0004-0000-0400-000072050000}"/>
    <hyperlink ref="J699" r:id="rId1396" xr:uid="{00000000-0004-0000-0400-000073050000}"/>
    <hyperlink ref="I700" r:id="rId1397" xr:uid="{00000000-0004-0000-0400-000074050000}"/>
    <hyperlink ref="J700" r:id="rId1398" xr:uid="{00000000-0004-0000-0400-000075050000}"/>
    <hyperlink ref="I701" r:id="rId1399" xr:uid="{00000000-0004-0000-0400-000076050000}"/>
    <hyperlink ref="J701" r:id="rId1400" xr:uid="{00000000-0004-0000-0400-000077050000}"/>
    <hyperlink ref="I702" r:id="rId1401" xr:uid="{00000000-0004-0000-0400-000078050000}"/>
    <hyperlink ref="J702" r:id="rId1402" xr:uid="{00000000-0004-0000-0400-000079050000}"/>
    <hyperlink ref="I703" r:id="rId1403" xr:uid="{00000000-0004-0000-0400-00007A050000}"/>
    <hyperlink ref="J703" r:id="rId1404" xr:uid="{00000000-0004-0000-0400-00007B050000}"/>
    <hyperlink ref="I704" r:id="rId1405" xr:uid="{00000000-0004-0000-0400-00007C050000}"/>
    <hyperlink ref="J704" r:id="rId1406" xr:uid="{00000000-0004-0000-0400-00007D050000}"/>
    <hyperlink ref="I705" r:id="rId1407" xr:uid="{00000000-0004-0000-0400-00007E050000}"/>
    <hyperlink ref="J705" r:id="rId1408" xr:uid="{00000000-0004-0000-0400-00007F050000}"/>
    <hyperlink ref="I706" r:id="rId1409" xr:uid="{00000000-0004-0000-0400-000080050000}"/>
    <hyperlink ref="J706" r:id="rId1410" xr:uid="{00000000-0004-0000-0400-000081050000}"/>
    <hyperlink ref="I707" r:id="rId1411" xr:uid="{00000000-0004-0000-0400-000082050000}"/>
    <hyperlink ref="J707" r:id="rId1412" xr:uid="{00000000-0004-0000-0400-000083050000}"/>
    <hyperlink ref="I708" r:id="rId1413" xr:uid="{00000000-0004-0000-0400-000084050000}"/>
    <hyperlink ref="J708" r:id="rId1414" xr:uid="{00000000-0004-0000-0400-000085050000}"/>
    <hyperlink ref="I709" r:id="rId1415" xr:uid="{00000000-0004-0000-0400-000086050000}"/>
    <hyperlink ref="J709" r:id="rId1416" xr:uid="{00000000-0004-0000-0400-000087050000}"/>
    <hyperlink ref="I710" r:id="rId1417" xr:uid="{00000000-0004-0000-0400-000088050000}"/>
    <hyperlink ref="J710" r:id="rId1418" xr:uid="{00000000-0004-0000-0400-000089050000}"/>
    <hyperlink ref="I711" r:id="rId1419" xr:uid="{00000000-0004-0000-0400-00008A050000}"/>
    <hyperlink ref="J711" r:id="rId1420" xr:uid="{00000000-0004-0000-0400-00008B050000}"/>
    <hyperlink ref="I712" r:id="rId1421" xr:uid="{00000000-0004-0000-0400-00008C050000}"/>
    <hyperlink ref="J712" r:id="rId1422" xr:uid="{00000000-0004-0000-0400-00008D050000}"/>
    <hyperlink ref="I713" r:id="rId1423" xr:uid="{00000000-0004-0000-0400-00008E050000}"/>
    <hyperlink ref="J713" r:id="rId1424" xr:uid="{00000000-0004-0000-0400-00008F050000}"/>
    <hyperlink ref="I714" r:id="rId1425" xr:uid="{00000000-0004-0000-0400-000090050000}"/>
    <hyperlink ref="J714" r:id="rId1426" xr:uid="{00000000-0004-0000-0400-000091050000}"/>
    <hyperlink ref="I715" r:id="rId1427" xr:uid="{00000000-0004-0000-0400-000092050000}"/>
    <hyperlink ref="J715" r:id="rId1428" xr:uid="{00000000-0004-0000-0400-000093050000}"/>
    <hyperlink ref="I716" r:id="rId1429" xr:uid="{00000000-0004-0000-0400-000094050000}"/>
    <hyperlink ref="J716" r:id="rId1430" xr:uid="{00000000-0004-0000-0400-000095050000}"/>
    <hyperlink ref="I717" r:id="rId1431" xr:uid="{00000000-0004-0000-0400-000096050000}"/>
    <hyperlink ref="J717" r:id="rId1432" xr:uid="{00000000-0004-0000-0400-000097050000}"/>
    <hyperlink ref="I718" r:id="rId1433" xr:uid="{00000000-0004-0000-0400-000098050000}"/>
    <hyperlink ref="J718" r:id="rId1434" xr:uid="{00000000-0004-0000-0400-000099050000}"/>
    <hyperlink ref="I719" r:id="rId1435" xr:uid="{00000000-0004-0000-0400-00009A050000}"/>
    <hyperlink ref="J719" r:id="rId1436" xr:uid="{00000000-0004-0000-0400-00009B050000}"/>
    <hyperlink ref="I720" r:id="rId1437" xr:uid="{00000000-0004-0000-0400-00009C050000}"/>
    <hyperlink ref="J720" r:id="rId1438" xr:uid="{00000000-0004-0000-0400-00009D050000}"/>
    <hyperlink ref="I721" r:id="rId1439" xr:uid="{00000000-0004-0000-0400-00009E050000}"/>
    <hyperlink ref="J721" r:id="rId1440" xr:uid="{00000000-0004-0000-0400-00009F050000}"/>
    <hyperlink ref="I722" r:id="rId1441" xr:uid="{00000000-0004-0000-0400-0000A0050000}"/>
    <hyperlink ref="J722" r:id="rId1442" xr:uid="{00000000-0004-0000-0400-0000A1050000}"/>
    <hyperlink ref="I723" r:id="rId1443" xr:uid="{00000000-0004-0000-0400-0000A2050000}"/>
    <hyperlink ref="J723" r:id="rId1444" xr:uid="{00000000-0004-0000-0400-0000A3050000}"/>
    <hyperlink ref="I724" r:id="rId1445" xr:uid="{00000000-0004-0000-0400-0000A4050000}"/>
    <hyperlink ref="J724" r:id="rId1446" xr:uid="{00000000-0004-0000-0400-0000A5050000}"/>
    <hyperlink ref="I725" r:id="rId1447" xr:uid="{00000000-0004-0000-0400-0000A6050000}"/>
    <hyperlink ref="J725" r:id="rId1448" xr:uid="{00000000-0004-0000-0400-0000A7050000}"/>
    <hyperlink ref="I726" r:id="rId1449" xr:uid="{00000000-0004-0000-0400-0000A8050000}"/>
    <hyperlink ref="J726" r:id="rId1450" xr:uid="{00000000-0004-0000-0400-0000A9050000}"/>
    <hyperlink ref="I727" r:id="rId1451" xr:uid="{00000000-0004-0000-0400-0000AA050000}"/>
    <hyperlink ref="J727" r:id="rId1452" xr:uid="{00000000-0004-0000-0400-0000AB050000}"/>
    <hyperlink ref="I728" r:id="rId1453" xr:uid="{00000000-0004-0000-0400-0000AC050000}"/>
    <hyperlink ref="J728" r:id="rId1454" xr:uid="{00000000-0004-0000-0400-0000AD050000}"/>
    <hyperlink ref="I729" r:id="rId1455" xr:uid="{00000000-0004-0000-0400-0000AE050000}"/>
    <hyperlink ref="J729" r:id="rId1456" xr:uid="{00000000-0004-0000-0400-0000AF050000}"/>
    <hyperlink ref="I730" r:id="rId1457" xr:uid="{00000000-0004-0000-0400-0000B0050000}"/>
    <hyperlink ref="J730" r:id="rId1458" xr:uid="{00000000-0004-0000-0400-0000B1050000}"/>
    <hyperlink ref="I731" r:id="rId1459" xr:uid="{00000000-0004-0000-0400-0000B2050000}"/>
    <hyperlink ref="J731" r:id="rId1460" xr:uid="{00000000-0004-0000-0400-0000B3050000}"/>
    <hyperlink ref="I732" r:id="rId1461" xr:uid="{00000000-0004-0000-0400-0000B4050000}"/>
    <hyperlink ref="J732" r:id="rId1462" xr:uid="{00000000-0004-0000-0400-0000B5050000}"/>
    <hyperlink ref="I733" r:id="rId1463" xr:uid="{00000000-0004-0000-0400-0000B6050000}"/>
    <hyperlink ref="J733" r:id="rId1464" xr:uid="{00000000-0004-0000-0400-0000B7050000}"/>
    <hyperlink ref="I734" r:id="rId1465" xr:uid="{00000000-0004-0000-0400-0000B8050000}"/>
    <hyperlink ref="J734" r:id="rId1466" xr:uid="{00000000-0004-0000-0400-0000B9050000}"/>
    <hyperlink ref="I735" r:id="rId1467" xr:uid="{00000000-0004-0000-0400-0000BA050000}"/>
    <hyperlink ref="J735" r:id="rId1468" xr:uid="{00000000-0004-0000-0400-0000BB050000}"/>
    <hyperlink ref="I736" r:id="rId1469" xr:uid="{00000000-0004-0000-0400-0000BC050000}"/>
    <hyperlink ref="J736" r:id="rId1470" xr:uid="{00000000-0004-0000-0400-0000BD050000}"/>
    <hyperlink ref="I737" r:id="rId1471" xr:uid="{00000000-0004-0000-0400-0000BE050000}"/>
    <hyperlink ref="J737" r:id="rId1472" xr:uid="{00000000-0004-0000-0400-0000BF050000}"/>
    <hyperlink ref="I738" r:id="rId1473" xr:uid="{00000000-0004-0000-0400-0000C0050000}"/>
    <hyperlink ref="J738" r:id="rId1474" xr:uid="{00000000-0004-0000-0400-0000C1050000}"/>
    <hyperlink ref="I739" r:id="rId1475" xr:uid="{00000000-0004-0000-0400-0000C2050000}"/>
    <hyperlink ref="J739" r:id="rId1476" xr:uid="{00000000-0004-0000-0400-0000C3050000}"/>
    <hyperlink ref="I740" r:id="rId1477" xr:uid="{00000000-0004-0000-0400-0000C4050000}"/>
    <hyperlink ref="J740" r:id="rId1478" xr:uid="{00000000-0004-0000-0400-0000C5050000}"/>
    <hyperlink ref="I741" r:id="rId1479" xr:uid="{00000000-0004-0000-0400-0000C6050000}"/>
    <hyperlink ref="J741" r:id="rId1480" xr:uid="{00000000-0004-0000-0400-0000C7050000}"/>
    <hyperlink ref="I742" r:id="rId1481" xr:uid="{00000000-0004-0000-0400-0000C8050000}"/>
    <hyperlink ref="J742" r:id="rId1482" xr:uid="{00000000-0004-0000-0400-0000C9050000}"/>
    <hyperlink ref="I743" r:id="rId1483" xr:uid="{00000000-0004-0000-0400-0000CA050000}"/>
    <hyperlink ref="J743" r:id="rId1484" xr:uid="{00000000-0004-0000-0400-0000CB050000}"/>
    <hyperlink ref="I744" r:id="rId1485" xr:uid="{00000000-0004-0000-0400-0000CC050000}"/>
    <hyperlink ref="J744" r:id="rId1486" xr:uid="{00000000-0004-0000-0400-0000CD050000}"/>
    <hyperlink ref="I745" r:id="rId1487" xr:uid="{00000000-0004-0000-0400-0000CE050000}"/>
    <hyperlink ref="J745" r:id="rId1488" xr:uid="{00000000-0004-0000-0400-0000CF050000}"/>
    <hyperlink ref="I746" r:id="rId1489" xr:uid="{00000000-0004-0000-0400-0000D0050000}"/>
    <hyperlink ref="J746" r:id="rId1490" xr:uid="{00000000-0004-0000-0400-0000D1050000}"/>
    <hyperlink ref="I747" r:id="rId1491" xr:uid="{00000000-0004-0000-0400-0000D2050000}"/>
    <hyperlink ref="J747" r:id="rId1492" xr:uid="{00000000-0004-0000-0400-0000D3050000}"/>
    <hyperlink ref="I748" r:id="rId1493" xr:uid="{00000000-0004-0000-0400-0000D4050000}"/>
    <hyperlink ref="J748" r:id="rId1494" xr:uid="{00000000-0004-0000-0400-0000D5050000}"/>
    <hyperlink ref="I749" r:id="rId1495" xr:uid="{00000000-0004-0000-0400-0000D6050000}"/>
    <hyperlink ref="J749" r:id="rId1496" xr:uid="{00000000-0004-0000-0400-0000D7050000}"/>
    <hyperlink ref="I750" r:id="rId1497" xr:uid="{00000000-0004-0000-0400-0000D8050000}"/>
    <hyperlink ref="J750" r:id="rId1498" xr:uid="{00000000-0004-0000-0400-0000D9050000}"/>
    <hyperlink ref="I751" r:id="rId1499" xr:uid="{00000000-0004-0000-0400-0000DA050000}"/>
    <hyperlink ref="J751" r:id="rId1500" xr:uid="{00000000-0004-0000-0400-0000DB050000}"/>
    <hyperlink ref="I752" r:id="rId1501" xr:uid="{00000000-0004-0000-0400-0000DC050000}"/>
    <hyperlink ref="J752" r:id="rId1502" xr:uid="{00000000-0004-0000-0400-0000DD050000}"/>
    <hyperlink ref="I753" r:id="rId1503" xr:uid="{00000000-0004-0000-0400-0000DE050000}"/>
    <hyperlink ref="J753" r:id="rId1504" xr:uid="{00000000-0004-0000-0400-0000DF050000}"/>
    <hyperlink ref="I754" r:id="rId1505" xr:uid="{00000000-0004-0000-0400-0000E0050000}"/>
    <hyperlink ref="J754" r:id="rId1506" xr:uid="{00000000-0004-0000-0400-0000E1050000}"/>
    <hyperlink ref="I755" r:id="rId1507" xr:uid="{00000000-0004-0000-0400-0000E2050000}"/>
    <hyperlink ref="J755" r:id="rId1508" xr:uid="{00000000-0004-0000-0400-0000E3050000}"/>
    <hyperlink ref="I756" r:id="rId1509" xr:uid="{00000000-0004-0000-0400-0000E4050000}"/>
    <hyperlink ref="J756" r:id="rId1510" xr:uid="{00000000-0004-0000-0400-0000E5050000}"/>
    <hyperlink ref="I757" r:id="rId1511" xr:uid="{00000000-0004-0000-0400-0000E6050000}"/>
    <hyperlink ref="J757" r:id="rId1512" xr:uid="{00000000-0004-0000-0400-0000E7050000}"/>
    <hyperlink ref="I758" r:id="rId1513" xr:uid="{00000000-0004-0000-0400-0000E8050000}"/>
    <hyperlink ref="J758" r:id="rId1514" xr:uid="{00000000-0004-0000-0400-0000E9050000}"/>
    <hyperlink ref="I759" r:id="rId1515" xr:uid="{00000000-0004-0000-0400-0000EA050000}"/>
    <hyperlink ref="J759" r:id="rId1516" xr:uid="{00000000-0004-0000-0400-0000EB050000}"/>
    <hyperlink ref="I760" r:id="rId1517" xr:uid="{00000000-0004-0000-0400-0000EC050000}"/>
    <hyperlink ref="J760" r:id="rId1518" xr:uid="{00000000-0004-0000-0400-0000ED050000}"/>
    <hyperlink ref="I761" r:id="rId1519" xr:uid="{00000000-0004-0000-0400-0000EE050000}"/>
    <hyperlink ref="J761" r:id="rId1520" xr:uid="{00000000-0004-0000-0400-0000EF050000}"/>
    <hyperlink ref="I762" r:id="rId1521" xr:uid="{00000000-0004-0000-0400-0000F0050000}"/>
    <hyperlink ref="J762" r:id="rId1522" xr:uid="{00000000-0004-0000-0400-0000F1050000}"/>
    <hyperlink ref="I763" r:id="rId1523" xr:uid="{00000000-0004-0000-0400-0000F2050000}"/>
    <hyperlink ref="J763" r:id="rId1524" xr:uid="{00000000-0004-0000-0400-0000F3050000}"/>
    <hyperlink ref="I764" r:id="rId1525" xr:uid="{00000000-0004-0000-0400-0000F4050000}"/>
    <hyperlink ref="J764" r:id="rId1526" xr:uid="{00000000-0004-0000-0400-0000F5050000}"/>
    <hyperlink ref="I765" r:id="rId1527" xr:uid="{00000000-0004-0000-0400-0000F6050000}"/>
    <hyperlink ref="J765" r:id="rId1528" xr:uid="{00000000-0004-0000-0400-0000F7050000}"/>
    <hyperlink ref="I766" r:id="rId1529" xr:uid="{00000000-0004-0000-0400-0000F8050000}"/>
    <hyperlink ref="J766" r:id="rId1530" xr:uid="{00000000-0004-0000-0400-0000F9050000}"/>
    <hyperlink ref="I767" r:id="rId1531" xr:uid="{00000000-0004-0000-0400-0000FA050000}"/>
    <hyperlink ref="J767" r:id="rId1532" xr:uid="{00000000-0004-0000-0400-0000FB050000}"/>
    <hyperlink ref="I768" r:id="rId1533" xr:uid="{00000000-0004-0000-0400-0000FC050000}"/>
    <hyperlink ref="J768" r:id="rId1534" xr:uid="{00000000-0004-0000-0400-0000FD050000}"/>
    <hyperlink ref="I769" r:id="rId1535" xr:uid="{00000000-0004-0000-0400-0000FE050000}"/>
    <hyperlink ref="J769" r:id="rId1536" xr:uid="{00000000-0004-0000-0400-0000FF050000}"/>
    <hyperlink ref="I770" r:id="rId1537" xr:uid="{00000000-0004-0000-0400-000000060000}"/>
    <hyperlink ref="J770" r:id="rId1538" xr:uid="{00000000-0004-0000-0400-000001060000}"/>
    <hyperlink ref="I771" r:id="rId1539" xr:uid="{00000000-0004-0000-0400-000002060000}"/>
    <hyperlink ref="J771" r:id="rId1540" xr:uid="{00000000-0004-0000-0400-000003060000}"/>
    <hyperlink ref="I772" r:id="rId1541" xr:uid="{00000000-0004-0000-0400-000004060000}"/>
    <hyperlink ref="J772" r:id="rId1542" xr:uid="{00000000-0004-0000-0400-000005060000}"/>
    <hyperlink ref="I773" r:id="rId1543" xr:uid="{00000000-0004-0000-0400-000006060000}"/>
    <hyperlink ref="J773" r:id="rId1544" xr:uid="{00000000-0004-0000-0400-000007060000}"/>
    <hyperlink ref="I774" r:id="rId1545" xr:uid="{00000000-0004-0000-0400-000008060000}"/>
    <hyperlink ref="J774" r:id="rId1546" xr:uid="{00000000-0004-0000-0400-000009060000}"/>
    <hyperlink ref="I775" r:id="rId1547" xr:uid="{00000000-0004-0000-0400-00000A060000}"/>
    <hyperlink ref="J775" r:id="rId1548" xr:uid="{00000000-0004-0000-0400-00000B060000}"/>
    <hyperlink ref="I776" r:id="rId1549" xr:uid="{00000000-0004-0000-0400-00000C060000}"/>
    <hyperlink ref="J776" r:id="rId1550" xr:uid="{00000000-0004-0000-0400-00000D060000}"/>
    <hyperlink ref="I777" r:id="rId1551" xr:uid="{00000000-0004-0000-0400-00000E060000}"/>
    <hyperlink ref="J777" r:id="rId1552" xr:uid="{00000000-0004-0000-0400-00000F060000}"/>
    <hyperlink ref="I778" r:id="rId1553" xr:uid="{00000000-0004-0000-0400-000010060000}"/>
    <hyperlink ref="J778" r:id="rId1554" xr:uid="{00000000-0004-0000-0400-000011060000}"/>
    <hyperlink ref="I779" r:id="rId1555" xr:uid="{00000000-0004-0000-0400-000012060000}"/>
    <hyperlink ref="J779" r:id="rId1556" xr:uid="{00000000-0004-0000-0400-000013060000}"/>
    <hyperlink ref="I780" r:id="rId1557" xr:uid="{00000000-0004-0000-0400-000014060000}"/>
    <hyperlink ref="J780" r:id="rId1558" xr:uid="{00000000-0004-0000-0400-000015060000}"/>
    <hyperlink ref="I781" r:id="rId1559" xr:uid="{00000000-0004-0000-0400-000016060000}"/>
    <hyperlink ref="J781" r:id="rId1560" xr:uid="{00000000-0004-0000-0400-000017060000}"/>
    <hyperlink ref="I782" r:id="rId1561" xr:uid="{00000000-0004-0000-0400-000018060000}"/>
    <hyperlink ref="J782" r:id="rId1562" xr:uid="{00000000-0004-0000-0400-000019060000}"/>
    <hyperlink ref="I783" r:id="rId1563" xr:uid="{00000000-0004-0000-0400-00001A060000}"/>
    <hyperlink ref="J783" r:id="rId1564" xr:uid="{00000000-0004-0000-0400-00001B060000}"/>
    <hyperlink ref="I784" r:id="rId1565" xr:uid="{00000000-0004-0000-0400-00001C060000}"/>
    <hyperlink ref="J784" r:id="rId1566" xr:uid="{00000000-0004-0000-0400-00001D060000}"/>
    <hyperlink ref="I785" r:id="rId1567" xr:uid="{00000000-0004-0000-0400-00001E060000}"/>
    <hyperlink ref="J785" r:id="rId1568" xr:uid="{00000000-0004-0000-0400-00001F060000}"/>
    <hyperlink ref="I786" r:id="rId1569" xr:uid="{00000000-0004-0000-0400-000020060000}"/>
    <hyperlink ref="J786" r:id="rId1570" xr:uid="{00000000-0004-0000-0400-000021060000}"/>
    <hyperlink ref="I787" r:id="rId1571" xr:uid="{00000000-0004-0000-0400-000022060000}"/>
    <hyperlink ref="J787" r:id="rId1572" xr:uid="{00000000-0004-0000-0400-000023060000}"/>
    <hyperlink ref="I788" r:id="rId1573" xr:uid="{00000000-0004-0000-0400-000024060000}"/>
    <hyperlink ref="J788" r:id="rId1574" xr:uid="{00000000-0004-0000-0400-000025060000}"/>
    <hyperlink ref="I789" r:id="rId1575" xr:uid="{00000000-0004-0000-0400-000026060000}"/>
    <hyperlink ref="J789" r:id="rId1576" xr:uid="{00000000-0004-0000-0400-000027060000}"/>
    <hyperlink ref="I790" r:id="rId1577" xr:uid="{00000000-0004-0000-0400-000028060000}"/>
    <hyperlink ref="J790" r:id="rId1578" xr:uid="{00000000-0004-0000-0400-000029060000}"/>
    <hyperlink ref="I791" r:id="rId1579" xr:uid="{00000000-0004-0000-0400-00002A060000}"/>
    <hyperlink ref="J791" r:id="rId1580" xr:uid="{00000000-0004-0000-0400-00002B060000}"/>
    <hyperlink ref="I792" r:id="rId1581" xr:uid="{00000000-0004-0000-0400-00002C060000}"/>
    <hyperlink ref="J792" r:id="rId1582" xr:uid="{00000000-0004-0000-0400-00002D060000}"/>
    <hyperlink ref="I793" r:id="rId1583" xr:uid="{00000000-0004-0000-0400-00002E060000}"/>
    <hyperlink ref="J793" r:id="rId1584" xr:uid="{00000000-0004-0000-0400-00002F060000}"/>
    <hyperlink ref="I794" r:id="rId1585" xr:uid="{00000000-0004-0000-0400-000030060000}"/>
    <hyperlink ref="J794" r:id="rId1586" xr:uid="{00000000-0004-0000-0400-000031060000}"/>
    <hyperlink ref="I795" r:id="rId1587" xr:uid="{00000000-0004-0000-0400-000032060000}"/>
    <hyperlink ref="J795" r:id="rId1588" xr:uid="{00000000-0004-0000-0400-000033060000}"/>
    <hyperlink ref="I796" r:id="rId1589" xr:uid="{00000000-0004-0000-0400-000034060000}"/>
    <hyperlink ref="J796" r:id="rId1590" xr:uid="{00000000-0004-0000-0400-000035060000}"/>
    <hyperlink ref="I797" r:id="rId1591" xr:uid="{00000000-0004-0000-0400-000036060000}"/>
    <hyperlink ref="J797" r:id="rId1592" xr:uid="{00000000-0004-0000-0400-000037060000}"/>
    <hyperlink ref="I798" r:id="rId1593" xr:uid="{00000000-0004-0000-0400-000038060000}"/>
    <hyperlink ref="J798" r:id="rId1594" xr:uid="{00000000-0004-0000-0400-000039060000}"/>
    <hyperlink ref="I799" r:id="rId1595" xr:uid="{00000000-0004-0000-0400-00003A060000}"/>
    <hyperlink ref="J799" r:id="rId1596" xr:uid="{00000000-0004-0000-0400-00003B060000}"/>
    <hyperlink ref="I800" r:id="rId1597" xr:uid="{00000000-0004-0000-0400-00003C060000}"/>
    <hyperlink ref="J800" r:id="rId1598" xr:uid="{00000000-0004-0000-0400-00003D060000}"/>
    <hyperlink ref="I801" r:id="rId1599" xr:uid="{00000000-0004-0000-0400-00003E060000}"/>
    <hyperlink ref="J801" r:id="rId1600" xr:uid="{00000000-0004-0000-0400-00003F060000}"/>
    <hyperlink ref="I802" r:id="rId1601" xr:uid="{00000000-0004-0000-0400-000040060000}"/>
    <hyperlink ref="J802" r:id="rId1602" xr:uid="{00000000-0004-0000-0400-000041060000}"/>
    <hyperlink ref="I803" r:id="rId1603" xr:uid="{00000000-0004-0000-0400-000042060000}"/>
    <hyperlink ref="J803" r:id="rId1604" xr:uid="{00000000-0004-0000-0400-000043060000}"/>
    <hyperlink ref="I804" r:id="rId1605" xr:uid="{00000000-0004-0000-0400-000044060000}"/>
    <hyperlink ref="J804" r:id="rId1606" xr:uid="{00000000-0004-0000-0400-000045060000}"/>
    <hyperlink ref="I805" r:id="rId1607" xr:uid="{00000000-0004-0000-0400-000046060000}"/>
    <hyperlink ref="J805" r:id="rId1608" xr:uid="{00000000-0004-0000-0400-000047060000}"/>
    <hyperlink ref="I806" r:id="rId1609" xr:uid="{00000000-0004-0000-0400-000048060000}"/>
    <hyperlink ref="J806" r:id="rId1610" xr:uid="{00000000-0004-0000-0400-000049060000}"/>
    <hyperlink ref="I807" r:id="rId1611" xr:uid="{00000000-0004-0000-0400-00004A060000}"/>
    <hyperlink ref="J807" r:id="rId1612" xr:uid="{00000000-0004-0000-0400-00004B060000}"/>
    <hyperlink ref="I808" r:id="rId1613" xr:uid="{00000000-0004-0000-0400-00004C060000}"/>
    <hyperlink ref="J808" r:id="rId1614" xr:uid="{00000000-0004-0000-0400-00004D060000}"/>
    <hyperlink ref="I809" r:id="rId1615" xr:uid="{00000000-0004-0000-0400-00004E060000}"/>
    <hyperlink ref="J809" r:id="rId1616" xr:uid="{00000000-0004-0000-0400-00004F060000}"/>
    <hyperlink ref="I810" r:id="rId1617" xr:uid="{00000000-0004-0000-0400-000050060000}"/>
    <hyperlink ref="J810" r:id="rId1618" xr:uid="{00000000-0004-0000-0400-000051060000}"/>
    <hyperlink ref="I811" r:id="rId1619" xr:uid="{00000000-0004-0000-0400-000052060000}"/>
    <hyperlink ref="J811" r:id="rId1620" xr:uid="{00000000-0004-0000-0400-000053060000}"/>
    <hyperlink ref="I812" r:id="rId1621" xr:uid="{00000000-0004-0000-0400-000054060000}"/>
    <hyperlink ref="J812" r:id="rId1622" xr:uid="{00000000-0004-0000-0400-000055060000}"/>
    <hyperlink ref="I813" r:id="rId1623" xr:uid="{00000000-0004-0000-0400-000056060000}"/>
    <hyperlink ref="J813" r:id="rId1624" xr:uid="{00000000-0004-0000-0400-000057060000}"/>
    <hyperlink ref="I814" r:id="rId1625" xr:uid="{00000000-0004-0000-0400-000058060000}"/>
    <hyperlink ref="J814" r:id="rId1626" xr:uid="{00000000-0004-0000-0400-000059060000}"/>
    <hyperlink ref="I815" r:id="rId1627" xr:uid="{00000000-0004-0000-0400-00005A060000}"/>
    <hyperlink ref="J815" r:id="rId1628" xr:uid="{00000000-0004-0000-0400-00005B060000}"/>
    <hyperlink ref="I816" r:id="rId1629" xr:uid="{00000000-0004-0000-0400-00005C060000}"/>
    <hyperlink ref="J816" r:id="rId1630" xr:uid="{00000000-0004-0000-0400-00005D060000}"/>
    <hyperlink ref="I817" r:id="rId1631" xr:uid="{00000000-0004-0000-0400-00005E060000}"/>
    <hyperlink ref="J817" r:id="rId1632" xr:uid="{00000000-0004-0000-0400-00005F060000}"/>
    <hyperlink ref="I818" r:id="rId1633" xr:uid="{00000000-0004-0000-0400-000060060000}"/>
    <hyperlink ref="J818" r:id="rId1634" xr:uid="{00000000-0004-0000-0400-000061060000}"/>
    <hyperlink ref="I819" r:id="rId1635" xr:uid="{00000000-0004-0000-0400-000062060000}"/>
    <hyperlink ref="J819" r:id="rId1636" xr:uid="{00000000-0004-0000-0400-000063060000}"/>
    <hyperlink ref="I820" r:id="rId1637" xr:uid="{00000000-0004-0000-0400-000064060000}"/>
    <hyperlink ref="J820" r:id="rId1638" xr:uid="{00000000-0004-0000-0400-000065060000}"/>
    <hyperlink ref="I821" r:id="rId1639" xr:uid="{00000000-0004-0000-0400-000066060000}"/>
    <hyperlink ref="J821" r:id="rId1640" xr:uid="{00000000-0004-0000-0400-000067060000}"/>
    <hyperlink ref="I822" r:id="rId1641" xr:uid="{00000000-0004-0000-0400-000068060000}"/>
    <hyperlink ref="J822" r:id="rId1642" xr:uid="{00000000-0004-0000-0400-000069060000}"/>
    <hyperlink ref="I823" r:id="rId1643" xr:uid="{00000000-0004-0000-0400-00006A060000}"/>
    <hyperlink ref="J823" r:id="rId1644" xr:uid="{00000000-0004-0000-0400-00006B060000}"/>
    <hyperlink ref="I824" r:id="rId1645" xr:uid="{00000000-0004-0000-0400-00006C060000}"/>
    <hyperlink ref="J824" r:id="rId1646" xr:uid="{00000000-0004-0000-0400-00006D060000}"/>
    <hyperlink ref="I825" r:id="rId1647" xr:uid="{00000000-0004-0000-0400-00006E060000}"/>
    <hyperlink ref="J825" r:id="rId1648" xr:uid="{00000000-0004-0000-0400-00006F060000}"/>
    <hyperlink ref="I826" r:id="rId1649" xr:uid="{00000000-0004-0000-0400-000070060000}"/>
    <hyperlink ref="J826" r:id="rId1650" xr:uid="{00000000-0004-0000-0400-000071060000}"/>
    <hyperlink ref="I827" r:id="rId1651" xr:uid="{00000000-0004-0000-0400-000072060000}"/>
    <hyperlink ref="J827" r:id="rId1652" xr:uid="{00000000-0004-0000-0400-000073060000}"/>
    <hyperlink ref="I828" r:id="rId1653" xr:uid="{00000000-0004-0000-0400-000074060000}"/>
    <hyperlink ref="J828" r:id="rId1654" xr:uid="{00000000-0004-0000-0400-000075060000}"/>
    <hyperlink ref="I829" r:id="rId1655" xr:uid="{00000000-0004-0000-0400-000076060000}"/>
    <hyperlink ref="J829" r:id="rId1656" xr:uid="{00000000-0004-0000-0400-000077060000}"/>
    <hyperlink ref="I830" r:id="rId1657" xr:uid="{00000000-0004-0000-0400-000078060000}"/>
    <hyperlink ref="J830" r:id="rId1658" xr:uid="{00000000-0004-0000-0400-000079060000}"/>
    <hyperlink ref="I831" r:id="rId1659" xr:uid="{00000000-0004-0000-0400-00007A060000}"/>
    <hyperlink ref="J831" r:id="rId1660" xr:uid="{00000000-0004-0000-0400-00007B060000}"/>
    <hyperlink ref="I832" r:id="rId1661" xr:uid="{00000000-0004-0000-0400-00007C060000}"/>
    <hyperlink ref="J832" r:id="rId1662" xr:uid="{00000000-0004-0000-0400-00007D060000}"/>
    <hyperlink ref="I833" r:id="rId1663" xr:uid="{00000000-0004-0000-0400-00007E060000}"/>
    <hyperlink ref="J833" r:id="rId1664" xr:uid="{00000000-0004-0000-0400-00007F060000}"/>
    <hyperlink ref="I834" r:id="rId1665" xr:uid="{00000000-0004-0000-0400-000080060000}"/>
    <hyperlink ref="J834" r:id="rId1666" xr:uid="{00000000-0004-0000-0400-000081060000}"/>
    <hyperlink ref="I835" r:id="rId1667" xr:uid="{00000000-0004-0000-0400-000082060000}"/>
    <hyperlink ref="J835" r:id="rId1668" xr:uid="{00000000-0004-0000-0400-000083060000}"/>
    <hyperlink ref="I836" r:id="rId1669" xr:uid="{00000000-0004-0000-0400-000084060000}"/>
    <hyperlink ref="J836" r:id="rId1670" xr:uid="{00000000-0004-0000-0400-000085060000}"/>
    <hyperlink ref="I837" r:id="rId1671" xr:uid="{00000000-0004-0000-0400-000086060000}"/>
    <hyperlink ref="J837" r:id="rId1672" xr:uid="{00000000-0004-0000-0400-000087060000}"/>
    <hyperlink ref="I838" r:id="rId1673" xr:uid="{00000000-0004-0000-0400-000088060000}"/>
    <hyperlink ref="J838" r:id="rId1674" xr:uid="{00000000-0004-0000-0400-000089060000}"/>
    <hyperlink ref="I839" r:id="rId1675" xr:uid="{00000000-0004-0000-0400-00008A060000}"/>
    <hyperlink ref="J839" r:id="rId1676" xr:uid="{00000000-0004-0000-0400-00008B060000}"/>
    <hyperlink ref="I840" r:id="rId1677" xr:uid="{00000000-0004-0000-0400-00008C060000}"/>
    <hyperlink ref="J840" r:id="rId1678" xr:uid="{00000000-0004-0000-0400-00008D060000}"/>
    <hyperlink ref="I841" r:id="rId1679" xr:uid="{00000000-0004-0000-0400-00008E060000}"/>
    <hyperlink ref="J841" r:id="rId1680" xr:uid="{00000000-0004-0000-0400-00008F060000}"/>
    <hyperlink ref="I842" r:id="rId1681" xr:uid="{00000000-0004-0000-0400-000090060000}"/>
    <hyperlink ref="J842" r:id="rId1682" xr:uid="{00000000-0004-0000-0400-000091060000}"/>
    <hyperlink ref="I843" r:id="rId1683" xr:uid="{00000000-0004-0000-0400-000092060000}"/>
    <hyperlink ref="J843" r:id="rId1684" xr:uid="{00000000-0004-0000-0400-000093060000}"/>
    <hyperlink ref="I844" r:id="rId1685" xr:uid="{00000000-0004-0000-0400-000094060000}"/>
    <hyperlink ref="J844" r:id="rId1686" xr:uid="{00000000-0004-0000-0400-000095060000}"/>
    <hyperlink ref="I845" r:id="rId1687" xr:uid="{00000000-0004-0000-0400-000096060000}"/>
    <hyperlink ref="J845" r:id="rId1688" xr:uid="{00000000-0004-0000-0400-000097060000}"/>
    <hyperlink ref="I846" r:id="rId1689" xr:uid="{00000000-0004-0000-0400-000098060000}"/>
    <hyperlink ref="J846" r:id="rId1690" xr:uid="{00000000-0004-0000-0400-000099060000}"/>
    <hyperlink ref="I847" r:id="rId1691" xr:uid="{00000000-0004-0000-0400-00009A060000}"/>
    <hyperlink ref="J847" r:id="rId1692" xr:uid="{00000000-0004-0000-0400-00009B060000}"/>
    <hyperlink ref="I848" r:id="rId1693" xr:uid="{00000000-0004-0000-0400-00009C060000}"/>
    <hyperlink ref="J848" r:id="rId1694" xr:uid="{00000000-0004-0000-0400-00009D060000}"/>
    <hyperlink ref="I849" r:id="rId1695" xr:uid="{00000000-0004-0000-0400-00009E060000}"/>
    <hyperlink ref="J849" r:id="rId1696" xr:uid="{00000000-0004-0000-0400-00009F060000}"/>
    <hyperlink ref="I850" r:id="rId1697" xr:uid="{00000000-0004-0000-0400-0000A0060000}"/>
    <hyperlink ref="J850" r:id="rId1698" xr:uid="{00000000-0004-0000-0400-0000A1060000}"/>
    <hyperlink ref="I851" r:id="rId1699" xr:uid="{00000000-0004-0000-0400-0000A2060000}"/>
    <hyperlink ref="J851" r:id="rId1700" xr:uid="{00000000-0004-0000-0400-0000A3060000}"/>
    <hyperlink ref="I852" r:id="rId1701" xr:uid="{00000000-0004-0000-0400-0000A4060000}"/>
    <hyperlink ref="J852" r:id="rId1702" xr:uid="{00000000-0004-0000-0400-0000A5060000}"/>
    <hyperlink ref="I853" r:id="rId1703" xr:uid="{00000000-0004-0000-0400-0000A6060000}"/>
    <hyperlink ref="J853" r:id="rId1704" xr:uid="{00000000-0004-0000-0400-0000A7060000}"/>
    <hyperlink ref="I854" r:id="rId1705" xr:uid="{00000000-0004-0000-0400-0000A8060000}"/>
    <hyperlink ref="J854" r:id="rId1706" xr:uid="{00000000-0004-0000-0400-0000A9060000}"/>
    <hyperlink ref="I855" r:id="rId1707" xr:uid="{00000000-0004-0000-0400-0000AA060000}"/>
    <hyperlink ref="J855" r:id="rId1708" xr:uid="{00000000-0004-0000-0400-0000AB060000}"/>
    <hyperlink ref="I856" r:id="rId1709" xr:uid="{00000000-0004-0000-0400-0000AC060000}"/>
    <hyperlink ref="J856" r:id="rId1710" xr:uid="{00000000-0004-0000-0400-0000AD060000}"/>
    <hyperlink ref="I857" r:id="rId1711" xr:uid="{00000000-0004-0000-0400-0000AE060000}"/>
    <hyperlink ref="J857" r:id="rId1712" xr:uid="{00000000-0004-0000-0400-0000AF060000}"/>
    <hyperlink ref="I858" r:id="rId1713" xr:uid="{00000000-0004-0000-0400-0000B0060000}"/>
    <hyperlink ref="J858" r:id="rId1714" xr:uid="{00000000-0004-0000-0400-0000B1060000}"/>
    <hyperlink ref="I859" r:id="rId1715" xr:uid="{00000000-0004-0000-0400-0000B2060000}"/>
    <hyperlink ref="J859" r:id="rId1716" xr:uid="{00000000-0004-0000-0400-0000B3060000}"/>
    <hyperlink ref="I860" r:id="rId1717" xr:uid="{00000000-0004-0000-0400-0000B4060000}"/>
    <hyperlink ref="J860" r:id="rId1718" xr:uid="{00000000-0004-0000-0400-0000B5060000}"/>
    <hyperlink ref="I861" r:id="rId1719" xr:uid="{00000000-0004-0000-0400-0000B6060000}"/>
    <hyperlink ref="J861" r:id="rId1720" xr:uid="{00000000-0004-0000-0400-0000B7060000}"/>
    <hyperlink ref="I862" r:id="rId1721" xr:uid="{00000000-0004-0000-0400-0000B8060000}"/>
    <hyperlink ref="J862" r:id="rId1722" xr:uid="{00000000-0004-0000-0400-0000B9060000}"/>
    <hyperlink ref="I863" r:id="rId1723" xr:uid="{00000000-0004-0000-0400-0000BA060000}"/>
    <hyperlink ref="J863" r:id="rId1724" xr:uid="{00000000-0004-0000-0400-0000BB060000}"/>
    <hyperlink ref="I864" r:id="rId1725" xr:uid="{00000000-0004-0000-0400-0000BC060000}"/>
    <hyperlink ref="J864" r:id="rId1726" xr:uid="{00000000-0004-0000-0400-0000BD060000}"/>
    <hyperlink ref="I865" r:id="rId1727" xr:uid="{00000000-0004-0000-0400-0000BE060000}"/>
    <hyperlink ref="J865" r:id="rId1728" xr:uid="{00000000-0004-0000-0400-0000BF060000}"/>
    <hyperlink ref="I866" r:id="rId1729" xr:uid="{00000000-0004-0000-0400-0000C0060000}"/>
    <hyperlink ref="J866" r:id="rId1730" xr:uid="{00000000-0004-0000-0400-0000C1060000}"/>
    <hyperlink ref="I867" r:id="rId1731" xr:uid="{00000000-0004-0000-0400-0000C2060000}"/>
    <hyperlink ref="J867" r:id="rId1732" xr:uid="{00000000-0004-0000-0400-0000C3060000}"/>
    <hyperlink ref="I868" r:id="rId1733" xr:uid="{00000000-0004-0000-0400-0000C4060000}"/>
    <hyperlink ref="J868" r:id="rId1734" xr:uid="{00000000-0004-0000-0400-0000C5060000}"/>
    <hyperlink ref="I869" r:id="rId1735" xr:uid="{00000000-0004-0000-0400-0000C6060000}"/>
    <hyperlink ref="J869" r:id="rId1736" xr:uid="{00000000-0004-0000-0400-0000C7060000}"/>
    <hyperlink ref="I870" r:id="rId1737" xr:uid="{00000000-0004-0000-0400-0000C8060000}"/>
    <hyperlink ref="J870" r:id="rId1738" xr:uid="{00000000-0004-0000-0400-0000C9060000}"/>
    <hyperlink ref="I871" r:id="rId1739" xr:uid="{00000000-0004-0000-0400-0000CA060000}"/>
    <hyperlink ref="J871" r:id="rId1740" xr:uid="{00000000-0004-0000-0400-0000CB060000}"/>
    <hyperlink ref="I872" r:id="rId1741" xr:uid="{00000000-0004-0000-0400-0000CC060000}"/>
    <hyperlink ref="J872" r:id="rId1742" xr:uid="{00000000-0004-0000-0400-0000CD060000}"/>
    <hyperlink ref="I873" r:id="rId1743" xr:uid="{00000000-0004-0000-0400-0000CE060000}"/>
    <hyperlink ref="J873" r:id="rId1744" xr:uid="{00000000-0004-0000-0400-0000CF060000}"/>
    <hyperlink ref="I874" r:id="rId1745" xr:uid="{00000000-0004-0000-0400-0000D0060000}"/>
    <hyperlink ref="J874" r:id="rId1746" xr:uid="{00000000-0004-0000-0400-0000D1060000}"/>
    <hyperlink ref="I875" r:id="rId1747" xr:uid="{00000000-0004-0000-0400-0000D2060000}"/>
    <hyperlink ref="J875" r:id="rId1748" xr:uid="{00000000-0004-0000-0400-0000D3060000}"/>
    <hyperlink ref="I876" r:id="rId1749" xr:uid="{00000000-0004-0000-0400-0000D4060000}"/>
    <hyperlink ref="J876" r:id="rId1750" xr:uid="{00000000-0004-0000-0400-0000D5060000}"/>
    <hyperlink ref="I877" r:id="rId1751" xr:uid="{00000000-0004-0000-0400-0000D6060000}"/>
    <hyperlink ref="J877" r:id="rId1752" xr:uid="{00000000-0004-0000-0400-0000D7060000}"/>
    <hyperlink ref="I878" r:id="rId1753" xr:uid="{00000000-0004-0000-0400-0000D8060000}"/>
    <hyperlink ref="J878" r:id="rId1754" xr:uid="{00000000-0004-0000-0400-0000D9060000}"/>
    <hyperlink ref="I879" r:id="rId1755" xr:uid="{00000000-0004-0000-0400-0000DA060000}"/>
    <hyperlink ref="J879" r:id="rId1756" xr:uid="{00000000-0004-0000-0400-0000DB060000}"/>
    <hyperlink ref="I880" r:id="rId1757" xr:uid="{00000000-0004-0000-0400-0000DC060000}"/>
    <hyperlink ref="J880" r:id="rId1758" xr:uid="{00000000-0004-0000-0400-0000DD060000}"/>
    <hyperlink ref="I881" r:id="rId1759" xr:uid="{00000000-0004-0000-0400-0000DE060000}"/>
    <hyperlink ref="J881" r:id="rId1760" xr:uid="{00000000-0004-0000-0400-0000DF060000}"/>
    <hyperlink ref="I882" r:id="rId1761" xr:uid="{00000000-0004-0000-0400-0000E0060000}"/>
    <hyperlink ref="J882" r:id="rId1762" xr:uid="{00000000-0004-0000-0400-0000E1060000}"/>
    <hyperlink ref="I883" r:id="rId1763" xr:uid="{00000000-0004-0000-0400-0000E2060000}"/>
    <hyperlink ref="J883" r:id="rId1764" xr:uid="{00000000-0004-0000-0400-0000E3060000}"/>
    <hyperlink ref="I884" r:id="rId1765" xr:uid="{00000000-0004-0000-0400-0000E4060000}"/>
    <hyperlink ref="J884" r:id="rId1766" xr:uid="{00000000-0004-0000-0400-0000E5060000}"/>
    <hyperlink ref="I885" r:id="rId1767" xr:uid="{00000000-0004-0000-0400-0000E6060000}"/>
    <hyperlink ref="J885" r:id="rId1768" xr:uid="{00000000-0004-0000-0400-0000E7060000}"/>
    <hyperlink ref="I886" r:id="rId1769" xr:uid="{00000000-0004-0000-0400-0000E8060000}"/>
    <hyperlink ref="J886" r:id="rId1770" xr:uid="{00000000-0004-0000-0400-0000E9060000}"/>
    <hyperlink ref="I887" r:id="rId1771" xr:uid="{00000000-0004-0000-0400-0000EA060000}"/>
    <hyperlink ref="J887" r:id="rId1772" xr:uid="{00000000-0004-0000-0400-0000EB060000}"/>
    <hyperlink ref="I888" r:id="rId1773" xr:uid="{00000000-0004-0000-0400-0000EC060000}"/>
    <hyperlink ref="J888" r:id="rId1774" xr:uid="{00000000-0004-0000-0400-0000ED060000}"/>
    <hyperlink ref="I889" r:id="rId1775" xr:uid="{00000000-0004-0000-0400-0000EE060000}"/>
    <hyperlink ref="J889" r:id="rId1776" xr:uid="{00000000-0004-0000-0400-0000EF060000}"/>
    <hyperlink ref="I890" r:id="rId1777" xr:uid="{00000000-0004-0000-0400-0000F0060000}"/>
    <hyperlink ref="J890" r:id="rId1778" xr:uid="{00000000-0004-0000-0400-0000F1060000}"/>
    <hyperlink ref="I891" r:id="rId1779" xr:uid="{00000000-0004-0000-0400-0000F2060000}"/>
    <hyperlink ref="J891" r:id="rId1780" xr:uid="{00000000-0004-0000-0400-0000F3060000}"/>
    <hyperlink ref="I892" r:id="rId1781" xr:uid="{00000000-0004-0000-0400-0000F4060000}"/>
    <hyperlink ref="J892" r:id="rId1782" xr:uid="{00000000-0004-0000-0400-0000F5060000}"/>
    <hyperlink ref="I893" r:id="rId1783" xr:uid="{00000000-0004-0000-0400-0000F6060000}"/>
    <hyperlink ref="J893" r:id="rId1784" xr:uid="{00000000-0004-0000-0400-0000F7060000}"/>
    <hyperlink ref="I894" r:id="rId1785" xr:uid="{00000000-0004-0000-0400-0000F8060000}"/>
    <hyperlink ref="J894" r:id="rId1786" xr:uid="{00000000-0004-0000-0400-0000F9060000}"/>
    <hyperlink ref="I895" r:id="rId1787" xr:uid="{00000000-0004-0000-0400-0000FA060000}"/>
    <hyperlink ref="J895" r:id="rId1788" xr:uid="{00000000-0004-0000-0400-0000FB060000}"/>
    <hyperlink ref="I896" r:id="rId1789" xr:uid="{00000000-0004-0000-0400-0000FC060000}"/>
    <hyperlink ref="J896" r:id="rId1790" xr:uid="{00000000-0004-0000-0400-0000FD060000}"/>
    <hyperlink ref="I897" r:id="rId1791" xr:uid="{00000000-0004-0000-0400-0000FE060000}"/>
    <hyperlink ref="J897" r:id="rId1792" xr:uid="{00000000-0004-0000-0400-0000FF060000}"/>
    <hyperlink ref="I898" r:id="rId1793" xr:uid="{00000000-0004-0000-0400-000000070000}"/>
    <hyperlink ref="J898" r:id="rId1794" xr:uid="{00000000-0004-0000-0400-000001070000}"/>
    <hyperlink ref="I899" r:id="rId1795" xr:uid="{00000000-0004-0000-0400-000002070000}"/>
    <hyperlink ref="J899" r:id="rId1796" xr:uid="{00000000-0004-0000-0400-000003070000}"/>
    <hyperlink ref="I900" r:id="rId1797" xr:uid="{00000000-0004-0000-0400-000004070000}"/>
    <hyperlink ref="J900" r:id="rId1798" xr:uid="{00000000-0004-0000-0400-000005070000}"/>
    <hyperlink ref="I901" r:id="rId1799" xr:uid="{00000000-0004-0000-0400-000006070000}"/>
    <hyperlink ref="J901" r:id="rId1800" xr:uid="{00000000-0004-0000-0400-000007070000}"/>
    <hyperlink ref="I902" r:id="rId1801" xr:uid="{00000000-0004-0000-0400-000008070000}"/>
    <hyperlink ref="J902" r:id="rId1802" xr:uid="{00000000-0004-0000-0400-000009070000}"/>
    <hyperlink ref="I903" r:id="rId1803" xr:uid="{00000000-0004-0000-0400-00000A070000}"/>
    <hyperlink ref="J903" r:id="rId1804" xr:uid="{00000000-0004-0000-0400-00000B070000}"/>
    <hyperlink ref="I904" r:id="rId1805" xr:uid="{00000000-0004-0000-0400-00000C070000}"/>
    <hyperlink ref="J904" r:id="rId1806" xr:uid="{00000000-0004-0000-0400-00000D070000}"/>
    <hyperlink ref="I905" r:id="rId1807" xr:uid="{00000000-0004-0000-0400-00000E070000}"/>
    <hyperlink ref="J905" r:id="rId1808" xr:uid="{00000000-0004-0000-0400-00000F070000}"/>
    <hyperlink ref="I906" r:id="rId1809" xr:uid="{00000000-0004-0000-0400-000010070000}"/>
    <hyperlink ref="J906" r:id="rId1810" xr:uid="{00000000-0004-0000-0400-000011070000}"/>
    <hyperlink ref="I907" r:id="rId1811" xr:uid="{00000000-0004-0000-0400-000012070000}"/>
    <hyperlink ref="J907" r:id="rId1812" xr:uid="{00000000-0004-0000-0400-000013070000}"/>
    <hyperlink ref="I908" r:id="rId1813" xr:uid="{00000000-0004-0000-0400-000014070000}"/>
    <hyperlink ref="J908" r:id="rId1814" xr:uid="{00000000-0004-0000-0400-000015070000}"/>
    <hyperlink ref="I909" r:id="rId1815" xr:uid="{00000000-0004-0000-0400-000016070000}"/>
    <hyperlink ref="J909" r:id="rId1816" xr:uid="{00000000-0004-0000-0400-000017070000}"/>
    <hyperlink ref="I910" r:id="rId1817" xr:uid="{00000000-0004-0000-0400-000018070000}"/>
    <hyperlink ref="J910" r:id="rId1818" xr:uid="{00000000-0004-0000-0400-000019070000}"/>
    <hyperlink ref="I911" r:id="rId1819" xr:uid="{00000000-0004-0000-0400-00001A070000}"/>
    <hyperlink ref="J911" r:id="rId1820" xr:uid="{00000000-0004-0000-0400-00001B070000}"/>
    <hyperlink ref="I912" r:id="rId1821" xr:uid="{00000000-0004-0000-0400-00001C070000}"/>
    <hyperlink ref="J912" r:id="rId1822" xr:uid="{00000000-0004-0000-0400-00001D070000}"/>
    <hyperlink ref="I913" r:id="rId1823" xr:uid="{00000000-0004-0000-0400-00001E070000}"/>
    <hyperlink ref="J913" r:id="rId1824" xr:uid="{00000000-0004-0000-0400-00001F070000}"/>
    <hyperlink ref="I914" r:id="rId1825" xr:uid="{00000000-0004-0000-0400-000020070000}"/>
    <hyperlink ref="J914" r:id="rId1826" xr:uid="{00000000-0004-0000-0400-000021070000}"/>
    <hyperlink ref="I915" r:id="rId1827" xr:uid="{00000000-0004-0000-0400-000022070000}"/>
    <hyperlink ref="J915" r:id="rId1828" xr:uid="{00000000-0004-0000-0400-000023070000}"/>
    <hyperlink ref="I916" r:id="rId1829" xr:uid="{00000000-0004-0000-0400-000024070000}"/>
    <hyperlink ref="J916" r:id="rId1830" xr:uid="{00000000-0004-0000-0400-000025070000}"/>
    <hyperlink ref="I917" r:id="rId1831" xr:uid="{00000000-0004-0000-0400-000026070000}"/>
    <hyperlink ref="J917" r:id="rId1832" xr:uid="{00000000-0004-0000-0400-000027070000}"/>
    <hyperlink ref="I918" r:id="rId1833" xr:uid="{00000000-0004-0000-0400-000028070000}"/>
    <hyperlink ref="J918" r:id="rId1834" xr:uid="{00000000-0004-0000-0400-000029070000}"/>
    <hyperlink ref="I919" r:id="rId1835" xr:uid="{00000000-0004-0000-0400-00002A070000}"/>
    <hyperlink ref="J919" r:id="rId1836" xr:uid="{00000000-0004-0000-0400-00002B070000}"/>
    <hyperlink ref="I920" r:id="rId1837" xr:uid="{00000000-0004-0000-0400-00002C070000}"/>
    <hyperlink ref="J920" r:id="rId1838" xr:uid="{00000000-0004-0000-0400-00002D070000}"/>
    <hyperlink ref="I921" r:id="rId1839" xr:uid="{00000000-0004-0000-0400-00002E070000}"/>
    <hyperlink ref="J921" r:id="rId1840" xr:uid="{00000000-0004-0000-0400-00002F070000}"/>
    <hyperlink ref="I922" r:id="rId1841" xr:uid="{00000000-0004-0000-0400-000030070000}"/>
    <hyperlink ref="J922" r:id="rId1842" xr:uid="{00000000-0004-0000-0400-000031070000}"/>
    <hyperlink ref="I923" r:id="rId1843" xr:uid="{00000000-0004-0000-0400-000032070000}"/>
    <hyperlink ref="J923" r:id="rId1844" xr:uid="{00000000-0004-0000-0400-000033070000}"/>
    <hyperlink ref="I924" r:id="rId1845" xr:uid="{00000000-0004-0000-0400-000034070000}"/>
    <hyperlink ref="J924" r:id="rId1846" xr:uid="{00000000-0004-0000-0400-000035070000}"/>
    <hyperlink ref="I925" r:id="rId1847" xr:uid="{00000000-0004-0000-0400-000036070000}"/>
    <hyperlink ref="J925" r:id="rId1848" xr:uid="{00000000-0004-0000-0400-000037070000}"/>
    <hyperlink ref="I926" r:id="rId1849" xr:uid="{00000000-0004-0000-0400-000038070000}"/>
    <hyperlink ref="J926" r:id="rId1850" xr:uid="{00000000-0004-0000-0400-000039070000}"/>
    <hyperlink ref="I927" r:id="rId1851" xr:uid="{00000000-0004-0000-0400-00003A070000}"/>
    <hyperlink ref="J927" r:id="rId1852" xr:uid="{00000000-0004-0000-0400-00003B070000}"/>
    <hyperlink ref="I928" r:id="rId1853" xr:uid="{00000000-0004-0000-0400-00003C070000}"/>
    <hyperlink ref="J928" r:id="rId1854" xr:uid="{00000000-0004-0000-0400-00003D070000}"/>
    <hyperlink ref="I929" r:id="rId1855" xr:uid="{00000000-0004-0000-0400-00003E070000}"/>
    <hyperlink ref="J929" r:id="rId1856" xr:uid="{00000000-0004-0000-0400-00003F070000}"/>
    <hyperlink ref="I930" r:id="rId1857" xr:uid="{00000000-0004-0000-0400-000040070000}"/>
    <hyperlink ref="J930" r:id="rId1858" xr:uid="{00000000-0004-0000-0400-000041070000}"/>
    <hyperlink ref="I931" r:id="rId1859" xr:uid="{00000000-0004-0000-0400-000042070000}"/>
    <hyperlink ref="J931" r:id="rId1860" xr:uid="{00000000-0004-0000-0400-000043070000}"/>
    <hyperlink ref="I932" r:id="rId1861" xr:uid="{00000000-0004-0000-0400-000044070000}"/>
    <hyperlink ref="J932" r:id="rId1862" xr:uid="{00000000-0004-0000-0400-000045070000}"/>
    <hyperlink ref="I933" r:id="rId1863" xr:uid="{00000000-0004-0000-0400-000046070000}"/>
    <hyperlink ref="J933" r:id="rId1864" xr:uid="{00000000-0004-0000-0400-000047070000}"/>
    <hyperlink ref="I934" r:id="rId1865" xr:uid="{00000000-0004-0000-0400-000048070000}"/>
    <hyperlink ref="J934" r:id="rId1866" xr:uid="{00000000-0004-0000-0400-000049070000}"/>
    <hyperlink ref="I935" r:id="rId1867" xr:uid="{00000000-0004-0000-0400-00004A070000}"/>
    <hyperlink ref="J935" r:id="rId1868" xr:uid="{00000000-0004-0000-0400-00004B070000}"/>
    <hyperlink ref="I936" r:id="rId1869" xr:uid="{00000000-0004-0000-0400-00004C070000}"/>
    <hyperlink ref="J936" r:id="rId1870" xr:uid="{00000000-0004-0000-0400-00004D070000}"/>
    <hyperlink ref="I937" r:id="rId1871" xr:uid="{00000000-0004-0000-0400-00004E070000}"/>
    <hyperlink ref="J937" r:id="rId1872" xr:uid="{00000000-0004-0000-0400-00004F070000}"/>
    <hyperlink ref="I938" r:id="rId1873" xr:uid="{00000000-0004-0000-0400-000050070000}"/>
    <hyperlink ref="J938" r:id="rId1874" xr:uid="{00000000-0004-0000-0400-000051070000}"/>
    <hyperlink ref="I939" r:id="rId1875" xr:uid="{00000000-0004-0000-0400-000052070000}"/>
    <hyperlink ref="J939" r:id="rId1876" xr:uid="{00000000-0004-0000-0400-000053070000}"/>
    <hyperlink ref="I940" r:id="rId1877" xr:uid="{00000000-0004-0000-0400-000054070000}"/>
    <hyperlink ref="J940" r:id="rId1878" xr:uid="{00000000-0004-0000-0400-000055070000}"/>
    <hyperlink ref="I941" r:id="rId1879" xr:uid="{00000000-0004-0000-0400-000056070000}"/>
    <hyperlink ref="J941" r:id="rId1880" xr:uid="{00000000-0004-0000-0400-000057070000}"/>
    <hyperlink ref="I942" r:id="rId1881" xr:uid="{00000000-0004-0000-0400-000058070000}"/>
    <hyperlink ref="J942" r:id="rId1882" xr:uid="{00000000-0004-0000-0400-000059070000}"/>
    <hyperlink ref="I943" r:id="rId1883" xr:uid="{00000000-0004-0000-0400-00005A070000}"/>
    <hyperlink ref="J943" r:id="rId1884" xr:uid="{00000000-0004-0000-0400-00005B070000}"/>
    <hyperlink ref="I944" r:id="rId1885" xr:uid="{00000000-0004-0000-0400-00005C070000}"/>
    <hyperlink ref="J944" r:id="rId1886" xr:uid="{00000000-0004-0000-0400-00005D070000}"/>
    <hyperlink ref="I945" r:id="rId1887" xr:uid="{00000000-0004-0000-0400-00005E070000}"/>
    <hyperlink ref="J945" r:id="rId1888" xr:uid="{00000000-0004-0000-0400-00005F070000}"/>
    <hyperlink ref="I946" r:id="rId1889" xr:uid="{00000000-0004-0000-0400-000060070000}"/>
    <hyperlink ref="J946" r:id="rId1890" xr:uid="{00000000-0004-0000-0400-000061070000}"/>
    <hyperlink ref="I947" r:id="rId1891" xr:uid="{00000000-0004-0000-0400-000062070000}"/>
    <hyperlink ref="J947" r:id="rId1892" xr:uid="{00000000-0004-0000-0400-000063070000}"/>
    <hyperlink ref="I948" r:id="rId1893" xr:uid="{00000000-0004-0000-0400-000064070000}"/>
    <hyperlink ref="J948" r:id="rId1894" xr:uid="{00000000-0004-0000-0400-000065070000}"/>
    <hyperlink ref="I949" r:id="rId1895" xr:uid="{00000000-0004-0000-0400-000066070000}"/>
    <hyperlink ref="J949" r:id="rId1896" xr:uid="{00000000-0004-0000-0400-000067070000}"/>
    <hyperlink ref="I950" r:id="rId1897" xr:uid="{00000000-0004-0000-0400-000068070000}"/>
    <hyperlink ref="J950" r:id="rId1898" xr:uid="{00000000-0004-0000-0400-000069070000}"/>
    <hyperlink ref="I951" r:id="rId1899" xr:uid="{00000000-0004-0000-0400-00006A070000}"/>
    <hyperlink ref="J951" r:id="rId1900" xr:uid="{00000000-0004-0000-0400-00006B070000}"/>
    <hyperlink ref="I952" r:id="rId1901" xr:uid="{00000000-0004-0000-0400-00006C070000}"/>
    <hyperlink ref="J952" r:id="rId1902" xr:uid="{00000000-0004-0000-0400-00006D070000}"/>
    <hyperlink ref="I953" r:id="rId1903" xr:uid="{00000000-0004-0000-0400-00006E070000}"/>
    <hyperlink ref="J953" r:id="rId1904" xr:uid="{00000000-0004-0000-0400-00006F070000}"/>
    <hyperlink ref="I954" r:id="rId1905" xr:uid="{00000000-0004-0000-0400-000070070000}"/>
    <hyperlink ref="J954" r:id="rId1906" xr:uid="{00000000-0004-0000-0400-000071070000}"/>
    <hyperlink ref="I955" r:id="rId1907" xr:uid="{00000000-0004-0000-0400-000072070000}"/>
    <hyperlink ref="J955" r:id="rId1908" xr:uid="{00000000-0004-0000-0400-000073070000}"/>
    <hyperlink ref="I956" r:id="rId1909" xr:uid="{00000000-0004-0000-0400-000074070000}"/>
    <hyperlink ref="J956" r:id="rId1910" xr:uid="{00000000-0004-0000-0400-000075070000}"/>
    <hyperlink ref="I957" r:id="rId1911" xr:uid="{00000000-0004-0000-0400-000076070000}"/>
    <hyperlink ref="J957" r:id="rId1912" xr:uid="{00000000-0004-0000-0400-000077070000}"/>
    <hyperlink ref="I958" r:id="rId1913" xr:uid="{00000000-0004-0000-0400-000078070000}"/>
    <hyperlink ref="J958" r:id="rId1914" xr:uid="{00000000-0004-0000-0400-000079070000}"/>
    <hyperlink ref="I959" r:id="rId1915" xr:uid="{00000000-0004-0000-0400-00007A070000}"/>
    <hyperlink ref="J959" r:id="rId1916" xr:uid="{00000000-0004-0000-0400-00007B070000}"/>
    <hyperlink ref="I960" r:id="rId1917" xr:uid="{00000000-0004-0000-0400-00007C070000}"/>
    <hyperlink ref="J960" r:id="rId1918" xr:uid="{00000000-0004-0000-0400-00007D070000}"/>
    <hyperlink ref="I961" r:id="rId1919" xr:uid="{00000000-0004-0000-0400-00007E070000}"/>
    <hyperlink ref="J961" r:id="rId1920" xr:uid="{00000000-0004-0000-0400-00007F070000}"/>
    <hyperlink ref="I962" r:id="rId1921" xr:uid="{00000000-0004-0000-0400-000080070000}"/>
    <hyperlink ref="J962" r:id="rId1922" xr:uid="{00000000-0004-0000-0400-000081070000}"/>
    <hyperlink ref="I963" r:id="rId1923" xr:uid="{00000000-0004-0000-0400-000082070000}"/>
    <hyperlink ref="J963" r:id="rId1924" xr:uid="{00000000-0004-0000-0400-000083070000}"/>
    <hyperlink ref="I964" r:id="rId1925" xr:uid="{00000000-0004-0000-0400-000084070000}"/>
    <hyperlink ref="J964" r:id="rId1926" xr:uid="{00000000-0004-0000-0400-000085070000}"/>
    <hyperlink ref="I965" r:id="rId1927" xr:uid="{00000000-0004-0000-0400-000086070000}"/>
    <hyperlink ref="J965" r:id="rId1928" xr:uid="{00000000-0004-0000-0400-000087070000}"/>
    <hyperlink ref="I966" r:id="rId1929" xr:uid="{00000000-0004-0000-0400-000088070000}"/>
    <hyperlink ref="J966" r:id="rId1930" xr:uid="{00000000-0004-0000-0400-000089070000}"/>
    <hyperlink ref="I967" r:id="rId1931" xr:uid="{00000000-0004-0000-0400-00008A070000}"/>
    <hyperlink ref="J967" r:id="rId1932" xr:uid="{00000000-0004-0000-0400-00008B070000}"/>
    <hyperlink ref="I968" r:id="rId1933" xr:uid="{00000000-0004-0000-0400-00008C070000}"/>
    <hyperlink ref="J968" r:id="rId1934" xr:uid="{00000000-0004-0000-0400-00008D070000}"/>
    <hyperlink ref="I969" r:id="rId1935" xr:uid="{00000000-0004-0000-0400-00008E070000}"/>
    <hyperlink ref="J969" r:id="rId1936" xr:uid="{00000000-0004-0000-0400-00008F070000}"/>
    <hyperlink ref="I970" r:id="rId1937" xr:uid="{00000000-0004-0000-0400-000090070000}"/>
    <hyperlink ref="J970" r:id="rId1938" xr:uid="{00000000-0004-0000-0400-000091070000}"/>
    <hyperlink ref="I971" r:id="rId1939" xr:uid="{00000000-0004-0000-0400-000092070000}"/>
    <hyperlink ref="J971" r:id="rId1940" xr:uid="{00000000-0004-0000-0400-000093070000}"/>
    <hyperlink ref="I972" r:id="rId1941" xr:uid="{00000000-0004-0000-0400-000094070000}"/>
    <hyperlink ref="J972" r:id="rId1942" xr:uid="{00000000-0004-0000-0400-000095070000}"/>
    <hyperlink ref="I973" r:id="rId1943" xr:uid="{00000000-0004-0000-0400-000096070000}"/>
    <hyperlink ref="J973" r:id="rId1944" xr:uid="{00000000-0004-0000-0400-000097070000}"/>
    <hyperlink ref="I974" r:id="rId1945" xr:uid="{00000000-0004-0000-0400-000098070000}"/>
    <hyperlink ref="J974" r:id="rId1946" xr:uid="{00000000-0004-0000-0400-000099070000}"/>
    <hyperlink ref="I975" r:id="rId1947" xr:uid="{00000000-0004-0000-0400-00009A070000}"/>
    <hyperlink ref="J975" r:id="rId1948" xr:uid="{00000000-0004-0000-0400-00009B070000}"/>
    <hyperlink ref="I976" r:id="rId1949" xr:uid="{00000000-0004-0000-0400-00009C070000}"/>
    <hyperlink ref="J976" r:id="rId1950" xr:uid="{00000000-0004-0000-0400-00009D070000}"/>
    <hyperlink ref="I977" r:id="rId1951" xr:uid="{00000000-0004-0000-0400-00009E070000}"/>
    <hyperlink ref="J977" r:id="rId1952" xr:uid="{00000000-0004-0000-0400-00009F070000}"/>
    <hyperlink ref="I978" r:id="rId1953" xr:uid="{00000000-0004-0000-0400-0000A0070000}"/>
    <hyperlink ref="J978" r:id="rId1954" xr:uid="{00000000-0004-0000-0400-0000A1070000}"/>
    <hyperlink ref="I979" r:id="rId1955" xr:uid="{00000000-0004-0000-0400-0000A2070000}"/>
    <hyperlink ref="J979" r:id="rId1956" xr:uid="{00000000-0004-0000-0400-0000A3070000}"/>
    <hyperlink ref="I980" r:id="rId1957" xr:uid="{00000000-0004-0000-0400-0000A4070000}"/>
    <hyperlink ref="J980" r:id="rId1958" xr:uid="{00000000-0004-0000-0400-0000A5070000}"/>
    <hyperlink ref="I981" r:id="rId1959" xr:uid="{00000000-0004-0000-0400-0000A6070000}"/>
    <hyperlink ref="J981" r:id="rId1960" xr:uid="{00000000-0004-0000-0400-0000A7070000}"/>
    <hyperlink ref="I982" r:id="rId1961" xr:uid="{00000000-0004-0000-0400-0000A8070000}"/>
    <hyperlink ref="J982" r:id="rId1962" xr:uid="{00000000-0004-0000-0400-0000A9070000}"/>
    <hyperlink ref="I983" r:id="rId1963" xr:uid="{00000000-0004-0000-0400-0000AA070000}"/>
    <hyperlink ref="J983" r:id="rId1964" xr:uid="{00000000-0004-0000-0400-0000AB070000}"/>
    <hyperlink ref="I984" r:id="rId1965" xr:uid="{00000000-0004-0000-0400-0000AC070000}"/>
    <hyperlink ref="J984" r:id="rId1966" xr:uid="{00000000-0004-0000-0400-0000AD070000}"/>
    <hyperlink ref="I985" r:id="rId1967" xr:uid="{00000000-0004-0000-0400-0000AE070000}"/>
    <hyperlink ref="J985" r:id="rId1968" xr:uid="{00000000-0004-0000-0400-0000AF070000}"/>
    <hyperlink ref="I986" r:id="rId1969" xr:uid="{00000000-0004-0000-0400-0000B0070000}"/>
    <hyperlink ref="J986" r:id="rId1970" xr:uid="{00000000-0004-0000-0400-0000B1070000}"/>
    <hyperlink ref="I987" r:id="rId1971" xr:uid="{00000000-0004-0000-0400-0000B2070000}"/>
    <hyperlink ref="J987" r:id="rId1972" xr:uid="{00000000-0004-0000-0400-0000B3070000}"/>
    <hyperlink ref="I988" r:id="rId1973" xr:uid="{00000000-0004-0000-0400-0000B4070000}"/>
    <hyperlink ref="J988" r:id="rId1974" xr:uid="{00000000-0004-0000-0400-0000B5070000}"/>
    <hyperlink ref="I989" r:id="rId1975" xr:uid="{00000000-0004-0000-0400-0000B6070000}"/>
    <hyperlink ref="J989" r:id="rId1976" xr:uid="{00000000-0004-0000-0400-0000B7070000}"/>
    <hyperlink ref="I990" r:id="rId1977" xr:uid="{00000000-0004-0000-0400-0000B8070000}"/>
    <hyperlink ref="J990" r:id="rId1978" xr:uid="{00000000-0004-0000-0400-0000B9070000}"/>
    <hyperlink ref="I991" r:id="rId1979" xr:uid="{00000000-0004-0000-0400-0000BA070000}"/>
    <hyperlink ref="J991" r:id="rId1980" xr:uid="{00000000-0004-0000-0400-0000BB070000}"/>
    <hyperlink ref="I992" r:id="rId1981" xr:uid="{00000000-0004-0000-0400-0000BC070000}"/>
    <hyperlink ref="J992" r:id="rId1982" xr:uid="{00000000-0004-0000-0400-0000BD070000}"/>
    <hyperlink ref="I993" r:id="rId1983" xr:uid="{00000000-0004-0000-0400-0000BE070000}"/>
    <hyperlink ref="J993" r:id="rId1984" xr:uid="{00000000-0004-0000-0400-0000BF070000}"/>
    <hyperlink ref="I994" r:id="rId1985" xr:uid="{00000000-0004-0000-0400-0000C0070000}"/>
    <hyperlink ref="J994" r:id="rId1986" xr:uid="{00000000-0004-0000-0400-0000C1070000}"/>
    <hyperlink ref="I995" r:id="rId1987" xr:uid="{00000000-0004-0000-0400-0000C2070000}"/>
    <hyperlink ref="J995" r:id="rId1988" xr:uid="{00000000-0004-0000-0400-0000C3070000}"/>
    <hyperlink ref="I996" r:id="rId1989" xr:uid="{00000000-0004-0000-0400-0000C4070000}"/>
    <hyperlink ref="J996" r:id="rId1990" xr:uid="{00000000-0004-0000-0400-0000C5070000}"/>
    <hyperlink ref="I997" r:id="rId1991" xr:uid="{00000000-0004-0000-0400-0000C6070000}"/>
    <hyperlink ref="J997" r:id="rId1992" xr:uid="{00000000-0004-0000-0400-0000C7070000}"/>
    <hyperlink ref="I998" r:id="rId1993" xr:uid="{00000000-0004-0000-0400-0000C8070000}"/>
    <hyperlink ref="J998" r:id="rId1994" xr:uid="{00000000-0004-0000-0400-0000C9070000}"/>
    <hyperlink ref="I999" r:id="rId1995" xr:uid="{00000000-0004-0000-0400-0000CA070000}"/>
    <hyperlink ref="J999" r:id="rId1996" xr:uid="{00000000-0004-0000-0400-0000CB070000}"/>
    <hyperlink ref="I1000" r:id="rId1997" xr:uid="{00000000-0004-0000-0400-0000CC070000}"/>
    <hyperlink ref="J1000" r:id="rId1998" xr:uid="{00000000-0004-0000-0400-0000CD070000}"/>
    <hyperlink ref="I1001" r:id="rId1999" xr:uid="{00000000-0004-0000-0400-0000CE070000}"/>
    <hyperlink ref="J1001" r:id="rId2000" xr:uid="{00000000-0004-0000-0400-0000CF070000}"/>
    <hyperlink ref="I1002" r:id="rId2001" xr:uid="{00000000-0004-0000-0400-0000D0070000}"/>
    <hyperlink ref="J1002" r:id="rId2002" xr:uid="{00000000-0004-0000-0400-0000D1070000}"/>
    <hyperlink ref="I1003" r:id="rId2003" xr:uid="{00000000-0004-0000-0400-0000D2070000}"/>
    <hyperlink ref="J1003" r:id="rId2004" xr:uid="{00000000-0004-0000-0400-0000D3070000}"/>
    <hyperlink ref="I1004" r:id="rId2005" xr:uid="{00000000-0004-0000-0400-0000D4070000}"/>
    <hyperlink ref="J1004" r:id="rId2006" xr:uid="{00000000-0004-0000-0400-0000D5070000}"/>
    <hyperlink ref="I1005" r:id="rId2007" xr:uid="{00000000-0004-0000-0400-0000D6070000}"/>
    <hyperlink ref="J1005" r:id="rId2008" xr:uid="{00000000-0004-0000-0400-0000D7070000}"/>
    <hyperlink ref="I1006" r:id="rId2009" xr:uid="{00000000-0004-0000-0400-0000D8070000}"/>
    <hyperlink ref="J1006" r:id="rId2010" xr:uid="{00000000-0004-0000-0400-0000D9070000}"/>
    <hyperlink ref="I1007" r:id="rId2011" xr:uid="{00000000-0004-0000-0400-0000DA070000}"/>
    <hyperlink ref="J1007" r:id="rId2012" xr:uid="{00000000-0004-0000-0400-0000DB070000}"/>
    <hyperlink ref="I1008" r:id="rId2013" xr:uid="{00000000-0004-0000-0400-0000DC070000}"/>
    <hyperlink ref="J1008" r:id="rId2014" xr:uid="{00000000-0004-0000-0400-0000DD070000}"/>
    <hyperlink ref="I1009" r:id="rId2015" xr:uid="{00000000-0004-0000-0400-0000DE070000}"/>
    <hyperlink ref="J1009" r:id="rId2016" xr:uid="{00000000-0004-0000-0400-0000DF070000}"/>
    <hyperlink ref="I1010" r:id="rId2017" xr:uid="{00000000-0004-0000-0400-0000E0070000}"/>
    <hyperlink ref="J1010" r:id="rId2018" xr:uid="{00000000-0004-0000-0400-0000E1070000}"/>
    <hyperlink ref="I1011" r:id="rId2019" xr:uid="{00000000-0004-0000-0400-0000E2070000}"/>
    <hyperlink ref="J1011" r:id="rId2020" xr:uid="{00000000-0004-0000-0400-0000E3070000}"/>
    <hyperlink ref="I1012" r:id="rId2021" xr:uid="{00000000-0004-0000-0400-0000E4070000}"/>
    <hyperlink ref="J1012" r:id="rId2022" xr:uid="{00000000-0004-0000-0400-0000E5070000}"/>
    <hyperlink ref="I1013" r:id="rId2023" xr:uid="{00000000-0004-0000-0400-0000E6070000}"/>
    <hyperlink ref="J1013" r:id="rId2024" xr:uid="{00000000-0004-0000-0400-0000E7070000}"/>
    <hyperlink ref="I1014" r:id="rId2025" xr:uid="{00000000-0004-0000-0400-0000E8070000}"/>
    <hyperlink ref="J1014" r:id="rId2026" xr:uid="{00000000-0004-0000-0400-0000E9070000}"/>
    <hyperlink ref="I1015" r:id="rId2027" xr:uid="{00000000-0004-0000-0400-0000EA070000}"/>
    <hyperlink ref="J1015" r:id="rId2028" xr:uid="{00000000-0004-0000-0400-0000EB070000}"/>
    <hyperlink ref="I1016" r:id="rId2029" xr:uid="{00000000-0004-0000-0400-0000EC070000}"/>
    <hyperlink ref="J1016" r:id="rId2030" xr:uid="{00000000-0004-0000-0400-0000ED070000}"/>
    <hyperlink ref="I1017" r:id="rId2031" xr:uid="{00000000-0004-0000-0400-0000EE070000}"/>
    <hyperlink ref="J1017" r:id="rId2032" xr:uid="{00000000-0004-0000-0400-0000EF070000}"/>
    <hyperlink ref="I1018" r:id="rId2033" xr:uid="{00000000-0004-0000-0400-0000F0070000}"/>
    <hyperlink ref="J1018" r:id="rId2034" xr:uid="{00000000-0004-0000-0400-0000F1070000}"/>
    <hyperlink ref="I1019" r:id="rId2035" xr:uid="{00000000-0004-0000-0400-0000F2070000}"/>
    <hyperlink ref="J1019" r:id="rId2036" xr:uid="{00000000-0004-0000-0400-0000F3070000}"/>
    <hyperlink ref="I1020" r:id="rId2037" xr:uid="{00000000-0004-0000-0400-0000F4070000}"/>
    <hyperlink ref="J1020" r:id="rId2038" xr:uid="{00000000-0004-0000-0400-0000F5070000}"/>
    <hyperlink ref="I1021" r:id="rId2039" xr:uid="{00000000-0004-0000-0400-0000F6070000}"/>
    <hyperlink ref="J1021" r:id="rId2040" xr:uid="{00000000-0004-0000-0400-0000F7070000}"/>
    <hyperlink ref="I1022" r:id="rId2041" xr:uid="{00000000-0004-0000-0400-0000F8070000}"/>
    <hyperlink ref="J1022" r:id="rId2042" xr:uid="{00000000-0004-0000-0400-0000F9070000}"/>
    <hyperlink ref="I1023" r:id="rId2043" xr:uid="{00000000-0004-0000-0400-0000FA070000}"/>
    <hyperlink ref="J1023" r:id="rId2044" xr:uid="{00000000-0004-0000-0400-0000FB070000}"/>
    <hyperlink ref="I1024" r:id="rId2045" xr:uid="{00000000-0004-0000-0400-0000FC070000}"/>
    <hyperlink ref="J1024" r:id="rId2046" xr:uid="{00000000-0004-0000-0400-0000FD070000}"/>
    <hyperlink ref="I1025" r:id="rId2047" xr:uid="{00000000-0004-0000-0400-0000FE070000}"/>
    <hyperlink ref="J1025" r:id="rId2048" xr:uid="{00000000-0004-0000-0400-0000FF070000}"/>
    <hyperlink ref="I1026" r:id="rId2049" xr:uid="{00000000-0004-0000-0400-000000080000}"/>
    <hyperlink ref="J1026" r:id="rId2050" xr:uid="{00000000-0004-0000-0400-000001080000}"/>
    <hyperlink ref="I1027" r:id="rId2051" xr:uid="{00000000-0004-0000-0400-000002080000}"/>
    <hyperlink ref="J1027" r:id="rId2052" xr:uid="{00000000-0004-0000-0400-000003080000}"/>
    <hyperlink ref="I1028" r:id="rId2053" xr:uid="{00000000-0004-0000-0400-000004080000}"/>
    <hyperlink ref="J1028" r:id="rId2054" xr:uid="{00000000-0004-0000-0400-000005080000}"/>
    <hyperlink ref="I1029" r:id="rId2055" xr:uid="{00000000-0004-0000-0400-000006080000}"/>
    <hyperlink ref="J1029" r:id="rId2056" xr:uid="{00000000-0004-0000-0400-000007080000}"/>
    <hyperlink ref="I1030" r:id="rId2057" xr:uid="{00000000-0004-0000-0400-000008080000}"/>
    <hyperlink ref="J1030" r:id="rId2058" xr:uid="{00000000-0004-0000-0400-000009080000}"/>
    <hyperlink ref="I1031" r:id="rId2059" xr:uid="{00000000-0004-0000-0400-00000A080000}"/>
    <hyperlink ref="J1031" r:id="rId2060" xr:uid="{00000000-0004-0000-0400-00000B080000}"/>
    <hyperlink ref="I1032" r:id="rId2061" xr:uid="{00000000-0004-0000-0400-00000C080000}"/>
    <hyperlink ref="J1032" r:id="rId2062" xr:uid="{00000000-0004-0000-0400-00000D080000}"/>
    <hyperlink ref="I1033" r:id="rId2063" xr:uid="{00000000-0004-0000-0400-00000E080000}"/>
    <hyperlink ref="J1033" r:id="rId2064" xr:uid="{00000000-0004-0000-0400-00000F080000}"/>
    <hyperlink ref="I1034" r:id="rId2065" xr:uid="{00000000-0004-0000-0400-000010080000}"/>
    <hyperlink ref="J1034" r:id="rId2066" xr:uid="{00000000-0004-0000-0400-000011080000}"/>
    <hyperlink ref="I1035" r:id="rId2067" xr:uid="{00000000-0004-0000-0400-000012080000}"/>
    <hyperlink ref="J1035" r:id="rId2068" xr:uid="{00000000-0004-0000-0400-000013080000}"/>
    <hyperlink ref="I1036" r:id="rId2069" xr:uid="{00000000-0004-0000-0400-000014080000}"/>
    <hyperlink ref="J1036" r:id="rId2070" xr:uid="{00000000-0004-0000-0400-000015080000}"/>
    <hyperlink ref="I1037" r:id="rId2071" xr:uid="{00000000-0004-0000-0400-000016080000}"/>
    <hyperlink ref="J1037" r:id="rId2072" xr:uid="{00000000-0004-0000-0400-000017080000}"/>
    <hyperlink ref="I1038" r:id="rId2073" xr:uid="{00000000-0004-0000-0400-000018080000}"/>
    <hyperlink ref="J1038" r:id="rId2074" xr:uid="{00000000-0004-0000-0400-000019080000}"/>
    <hyperlink ref="I1039" r:id="rId2075" xr:uid="{00000000-0004-0000-0400-00001A080000}"/>
    <hyperlink ref="J1039" r:id="rId2076" xr:uid="{00000000-0004-0000-0400-00001B080000}"/>
    <hyperlink ref="I1040" r:id="rId2077" xr:uid="{00000000-0004-0000-0400-00001C080000}"/>
    <hyperlink ref="J1040" r:id="rId2078" xr:uid="{00000000-0004-0000-0400-00001D080000}"/>
    <hyperlink ref="I1041" r:id="rId2079" xr:uid="{00000000-0004-0000-0400-00001E080000}"/>
    <hyperlink ref="J1041" r:id="rId2080" xr:uid="{00000000-0004-0000-0400-00001F080000}"/>
    <hyperlink ref="I1042" r:id="rId2081" xr:uid="{00000000-0004-0000-0400-000020080000}"/>
    <hyperlink ref="J1042" r:id="rId2082" xr:uid="{00000000-0004-0000-0400-000021080000}"/>
    <hyperlink ref="I1043" r:id="rId2083" xr:uid="{00000000-0004-0000-0400-000022080000}"/>
    <hyperlink ref="J1043" r:id="rId2084" xr:uid="{00000000-0004-0000-0400-000023080000}"/>
    <hyperlink ref="I1044" r:id="rId2085" xr:uid="{00000000-0004-0000-0400-000024080000}"/>
    <hyperlink ref="J1044" r:id="rId2086" xr:uid="{00000000-0004-0000-0400-000025080000}"/>
    <hyperlink ref="I1045" r:id="rId2087" xr:uid="{00000000-0004-0000-0400-000026080000}"/>
    <hyperlink ref="J1045" r:id="rId2088" xr:uid="{00000000-0004-0000-0400-000027080000}"/>
    <hyperlink ref="I1046" r:id="rId2089" xr:uid="{00000000-0004-0000-0400-000028080000}"/>
    <hyperlink ref="J1046" r:id="rId2090" xr:uid="{00000000-0004-0000-0400-000029080000}"/>
    <hyperlink ref="I1047" r:id="rId2091" xr:uid="{00000000-0004-0000-0400-00002A080000}"/>
    <hyperlink ref="J1047" r:id="rId2092" xr:uid="{00000000-0004-0000-0400-00002B080000}"/>
    <hyperlink ref="I1048" r:id="rId2093" xr:uid="{00000000-0004-0000-0400-00002C080000}"/>
    <hyperlink ref="J1048" r:id="rId2094" xr:uid="{00000000-0004-0000-0400-00002D080000}"/>
    <hyperlink ref="I1049" r:id="rId2095" xr:uid="{00000000-0004-0000-0400-00002E080000}"/>
    <hyperlink ref="J1049" r:id="rId2096" xr:uid="{00000000-0004-0000-0400-00002F080000}"/>
    <hyperlink ref="I1050" r:id="rId2097" xr:uid="{00000000-0004-0000-0400-000030080000}"/>
    <hyperlink ref="J1050" r:id="rId2098" xr:uid="{00000000-0004-0000-0400-000031080000}"/>
    <hyperlink ref="I1051" r:id="rId2099" xr:uid="{00000000-0004-0000-0400-000032080000}"/>
    <hyperlink ref="J1051" r:id="rId2100" xr:uid="{00000000-0004-0000-0400-000033080000}"/>
    <hyperlink ref="I1052" r:id="rId2101" xr:uid="{00000000-0004-0000-0400-000034080000}"/>
    <hyperlink ref="J1052" r:id="rId2102" xr:uid="{00000000-0004-0000-0400-000035080000}"/>
    <hyperlink ref="I1053" r:id="rId2103" xr:uid="{00000000-0004-0000-0400-000036080000}"/>
    <hyperlink ref="J1053" r:id="rId2104" xr:uid="{00000000-0004-0000-0400-000037080000}"/>
    <hyperlink ref="I1054" r:id="rId2105" xr:uid="{00000000-0004-0000-0400-000038080000}"/>
    <hyperlink ref="J1054" r:id="rId2106" xr:uid="{00000000-0004-0000-0400-000039080000}"/>
    <hyperlink ref="I1055" r:id="rId2107" xr:uid="{00000000-0004-0000-0400-00003A080000}"/>
    <hyperlink ref="J1055" r:id="rId2108" xr:uid="{00000000-0004-0000-0400-00003B080000}"/>
    <hyperlink ref="I1056" r:id="rId2109" xr:uid="{00000000-0004-0000-0400-00003C080000}"/>
    <hyperlink ref="J1056" r:id="rId2110" xr:uid="{00000000-0004-0000-0400-00003D080000}"/>
    <hyperlink ref="I1057" r:id="rId2111" xr:uid="{00000000-0004-0000-0400-00003E080000}"/>
    <hyperlink ref="J1057" r:id="rId2112" xr:uid="{00000000-0004-0000-0400-00003F080000}"/>
    <hyperlink ref="I1058" r:id="rId2113" xr:uid="{00000000-0004-0000-0400-000040080000}"/>
    <hyperlink ref="J1058" r:id="rId2114" xr:uid="{00000000-0004-0000-0400-000041080000}"/>
    <hyperlink ref="I1059" r:id="rId2115" xr:uid="{00000000-0004-0000-0400-000042080000}"/>
    <hyperlink ref="J1059" r:id="rId2116" xr:uid="{00000000-0004-0000-0400-000043080000}"/>
    <hyperlink ref="I1060" r:id="rId2117" xr:uid="{00000000-0004-0000-0400-000044080000}"/>
    <hyperlink ref="J1060" r:id="rId2118" xr:uid="{00000000-0004-0000-0400-000045080000}"/>
    <hyperlink ref="I1061" r:id="rId2119" xr:uid="{00000000-0004-0000-0400-000046080000}"/>
    <hyperlink ref="J1061" r:id="rId2120" xr:uid="{00000000-0004-0000-0400-000047080000}"/>
    <hyperlink ref="I1062" r:id="rId2121" xr:uid="{00000000-0004-0000-0400-000048080000}"/>
    <hyperlink ref="J1062" r:id="rId2122" xr:uid="{00000000-0004-0000-0400-000049080000}"/>
    <hyperlink ref="I1063" r:id="rId2123" xr:uid="{00000000-0004-0000-0400-00004A080000}"/>
    <hyperlink ref="J1063" r:id="rId2124" xr:uid="{00000000-0004-0000-0400-00004B080000}"/>
    <hyperlink ref="I1064" r:id="rId2125" xr:uid="{00000000-0004-0000-0400-00004C080000}"/>
    <hyperlink ref="J1064" r:id="rId2126" xr:uid="{00000000-0004-0000-0400-00004D080000}"/>
    <hyperlink ref="I1065" r:id="rId2127" xr:uid="{00000000-0004-0000-0400-00004E080000}"/>
    <hyperlink ref="J1065" r:id="rId2128" xr:uid="{00000000-0004-0000-0400-00004F080000}"/>
    <hyperlink ref="I1066" r:id="rId2129" xr:uid="{00000000-0004-0000-0400-000050080000}"/>
    <hyperlink ref="J1066" r:id="rId2130" xr:uid="{00000000-0004-0000-0400-000051080000}"/>
    <hyperlink ref="I1067" r:id="rId2131" xr:uid="{00000000-0004-0000-0400-000052080000}"/>
    <hyperlink ref="J1067" r:id="rId2132" xr:uid="{00000000-0004-0000-0400-000053080000}"/>
    <hyperlink ref="I1068" r:id="rId2133" xr:uid="{00000000-0004-0000-0400-000054080000}"/>
    <hyperlink ref="J1068" r:id="rId2134" xr:uid="{00000000-0004-0000-0400-000055080000}"/>
    <hyperlink ref="I1069" r:id="rId2135" xr:uid="{00000000-0004-0000-0400-000056080000}"/>
    <hyperlink ref="J1069" r:id="rId2136" xr:uid="{00000000-0004-0000-0400-000057080000}"/>
    <hyperlink ref="I1070" r:id="rId2137" xr:uid="{00000000-0004-0000-0400-000058080000}"/>
    <hyperlink ref="J1070" r:id="rId2138" xr:uid="{00000000-0004-0000-0400-000059080000}"/>
    <hyperlink ref="I1071" r:id="rId2139" xr:uid="{00000000-0004-0000-0400-00005A080000}"/>
    <hyperlink ref="J1071" r:id="rId2140" xr:uid="{00000000-0004-0000-0400-00005B080000}"/>
    <hyperlink ref="I1072" r:id="rId2141" xr:uid="{00000000-0004-0000-0400-00005C080000}"/>
    <hyperlink ref="J1072" r:id="rId2142" xr:uid="{00000000-0004-0000-0400-00005D080000}"/>
    <hyperlink ref="I1073" r:id="rId2143" xr:uid="{00000000-0004-0000-0400-00005E080000}"/>
    <hyperlink ref="J1073" r:id="rId2144" xr:uid="{00000000-0004-0000-0400-00005F080000}"/>
    <hyperlink ref="I1074" r:id="rId2145" xr:uid="{00000000-0004-0000-0400-000060080000}"/>
    <hyperlink ref="J1074" r:id="rId2146" xr:uid="{00000000-0004-0000-0400-000061080000}"/>
    <hyperlink ref="I1075" r:id="rId2147" xr:uid="{00000000-0004-0000-0400-000062080000}"/>
    <hyperlink ref="J1075" r:id="rId2148" xr:uid="{00000000-0004-0000-0400-000063080000}"/>
    <hyperlink ref="I1076" r:id="rId2149" xr:uid="{00000000-0004-0000-0400-000064080000}"/>
    <hyperlink ref="J1076" r:id="rId2150" xr:uid="{00000000-0004-0000-0400-000065080000}"/>
    <hyperlink ref="I1077" r:id="rId2151" xr:uid="{00000000-0004-0000-0400-000066080000}"/>
    <hyperlink ref="J1077" r:id="rId2152" xr:uid="{00000000-0004-0000-0400-000067080000}"/>
    <hyperlink ref="I1078" r:id="rId2153" xr:uid="{00000000-0004-0000-0400-000068080000}"/>
    <hyperlink ref="J1078" r:id="rId2154" xr:uid="{00000000-0004-0000-0400-000069080000}"/>
    <hyperlink ref="I1079" r:id="rId2155" xr:uid="{00000000-0004-0000-0400-00006A080000}"/>
    <hyperlink ref="J1079" r:id="rId2156" xr:uid="{00000000-0004-0000-0400-00006B080000}"/>
    <hyperlink ref="I1080" r:id="rId2157" xr:uid="{00000000-0004-0000-0400-00006C080000}"/>
    <hyperlink ref="J1080" r:id="rId2158" xr:uid="{00000000-0004-0000-0400-00006D080000}"/>
    <hyperlink ref="I1081" r:id="rId2159" xr:uid="{00000000-0004-0000-0400-00006E080000}"/>
    <hyperlink ref="J1081" r:id="rId2160" xr:uid="{00000000-0004-0000-0400-00006F080000}"/>
    <hyperlink ref="I1082" r:id="rId2161" xr:uid="{00000000-0004-0000-0400-000070080000}"/>
    <hyperlink ref="J1082" r:id="rId2162" xr:uid="{00000000-0004-0000-0400-000071080000}"/>
    <hyperlink ref="I1083" r:id="rId2163" xr:uid="{00000000-0004-0000-0400-000072080000}"/>
    <hyperlink ref="J1083" r:id="rId2164" xr:uid="{00000000-0004-0000-0400-000073080000}"/>
    <hyperlink ref="I1084" r:id="rId2165" xr:uid="{00000000-0004-0000-0400-000074080000}"/>
    <hyperlink ref="J1084" r:id="rId2166" xr:uid="{00000000-0004-0000-0400-000075080000}"/>
    <hyperlink ref="I1085" r:id="rId2167" xr:uid="{00000000-0004-0000-0400-000076080000}"/>
    <hyperlink ref="J1085" r:id="rId2168" xr:uid="{00000000-0004-0000-0400-000077080000}"/>
    <hyperlink ref="I1086" r:id="rId2169" xr:uid="{00000000-0004-0000-0400-000078080000}"/>
    <hyperlink ref="J1086" r:id="rId2170" xr:uid="{00000000-0004-0000-0400-000079080000}"/>
    <hyperlink ref="I1087" r:id="rId2171" xr:uid="{00000000-0004-0000-0400-00007A080000}"/>
    <hyperlink ref="J1087" r:id="rId2172" xr:uid="{00000000-0004-0000-0400-00007B080000}"/>
    <hyperlink ref="I1088" r:id="rId2173" xr:uid="{00000000-0004-0000-0400-00007C080000}"/>
    <hyperlink ref="J1088" r:id="rId2174" xr:uid="{00000000-0004-0000-0400-00007D080000}"/>
    <hyperlink ref="I1089" r:id="rId2175" xr:uid="{00000000-0004-0000-0400-00007E080000}"/>
    <hyperlink ref="J1089" r:id="rId2176" xr:uid="{00000000-0004-0000-0400-00007F080000}"/>
    <hyperlink ref="I1090" r:id="rId2177" xr:uid="{00000000-0004-0000-0400-000080080000}"/>
    <hyperlink ref="J1090" r:id="rId2178" xr:uid="{00000000-0004-0000-0400-000081080000}"/>
    <hyperlink ref="I1091" r:id="rId2179" xr:uid="{00000000-0004-0000-0400-000082080000}"/>
    <hyperlink ref="J1091" r:id="rId2180" xr:uid="{00000000-0004-0000-0400-000083080000}"/>
    <hyperlink ref="I1092" r:id="rId2181" xr:uid="{00000000-0004-0000-0400-000084080000}"/>
    <hyperlink ref="J1092" r:id="rId2182" xr:uid="{00000000-0004-0000-0400-000085080000}"/>
    <hyperlink ref="I1093" r:id="rId2183" xr:uid="{00000000-0004-0000-0400-000086080000}"/>
    <hyperlink ref="J1093" r:id="rId2184" xr:uid="{00000000-0004-0000-0400-000087080000}"/>
    <hyperlink ref="I1094" r:id="rId2185" xr:uid="{00000000-0004-0000-0400-000088080000}"/>
    <hyperlink ref="J1094" r:id="rId2186" xr:uid="{00000000-0004-0000-0400-000089080000}"/>
    <hyperlink ref="I1095" r:id="rId2187" xr:uid="{00000000-0004-0000-0400-00008A080000}"/>
    <hyperlink ref="J1095" r:id="rId2188" xr:uid="{00000000-0004-0000-0400-00008B080000}"/>
    <hyperlink ref="I1096" r:id="rId2189" xr:uid="{00000000-0004-0000-0400-00008C080000}"/>
    <hyperlink ref="J1096" r:id="rId2190" xr:uid="{00000000-0004-0000-0400-00008D080000}"/>
    <hyperlink ref="I1097" r:id="rId2191" xr:uid="{00000000-0004-0000-0400-00008E080000}"/>
    <hyperlink ref="J1097" r:id="rId2192" xr:uid="{00000000-0004-0000-0400-00008F080000}"/>
    <hyperlink ref="I1098" r:id="rId2193" xr:uid="{00000000-0004-0000-0400-000090080000}"/>
    <hyperlink ref="J1098" r:id="rId2194" xr:uid="{00000000-0004-0000-0400-000091080000}"/>
    <hyperlink ref="I1099" r:id="rId2195" xr:uid="{00000000-0004-0000-0400-000092080000}"/>
    <hyperlink ref="J1099" r:id="rId2196" xr:uid="{00000000-0004-0000-0400-000093080000}"/>
    <hyperlink ref="I1100" r:id="rId2197" xr:uid="{00000000-0004-0000-0400-000094080000}"/>
    <hyperlink ref="J1100" r:id="rId2198" xr:uid="{00000000-0004-0000-0400-000095080000}"/>
    <hyperlink ref="I1101" r:id="rId2199" xr:uid="{00000000-0004-0000-0400-000096080000}"/>
    <hyperlink ref="J1101" r:id="rId2200" xr:uid="{00000000-0004-0000-0400-000097080000}"/>
    <hyperlink ref="I1102" r:id="rId2201" xr:uid="{00000000-0004-0000-0400-000098080000}"/>
    <hyperlink ref="J1102" r:id="rId2202" xr:uid="{00000000-0004-0000-0400-000099080000}"/>
    <hyperlink ref="I1103" r:id="rId2203" xr:uid="{00000000-0004-0000-0400-00009A080000}"/>
    <hyperlink ref="J1103" r:id="rId2204" xr:uid="{00000000-0004-0000-0400-00009B080000}"/>
    <hyperlink ref="I1104" r:id="rId2205" xr:uid="{00000000-0004-0000-0400-00009C080000}"/>
    <hyperlink ref="J1104" r:id="rId2206" xr:uid="{00000000-0004-0000-0400-00009D080000}"/>
    <hyperlink ref="I1105" r:id="rId2207" xr:uid="{00000000-0004-0000-0400-00009E080000}"/>
    <hyperlink ref="J1105" r:id="rId2208" xr:uid="{00000000-0004-0000-0400-00009F080000}"/>
    <hyperlink ref="I1106" r:id="rId2209" xr:uid="{00000000-0004-0000-0400-0000A0080000}"/>
    <hyperlink ref="J1106" r:id="rId2210" xr:uid="{00000000-0004-0000-0400-0000A1080000}"/>
    <hyperlink ref="I1107" r:id="rId2211" xr:uid="{00000000-0004-0000-0400-0000A2080000}"/>
    <hyperlink ref="J1107" r:id="rId2212" xr:uid="{00000000-0004-0000-0400-0000A3080000}"/>
    <hyperlink ref="I1108" r:id="rId2213" xr:uid="{00000000-0004-0000-0400-0000A4080000}"/>
    <hyperlink ref="J1108" r:id="rId2214" xr:uid="{00000000-0004-0000-0400-0000A5080000}"/>
    <hyperlink ref="I1109" r:id="rId2215" xr:uid="{00000000-0004-0000-0400-0000A6080000}"/>
    <hyperlink ref="J1109" r:id="rId2216" xr:uid="{00000000-0004-0000-0400-0000A7080000}"/>
    <hyperlink ref="I1110" r:id="rId2217" xr:uid="{00000000-0004-0000-0400-0000A8080000}"/>
    <hyperlink ref="J1110" r:id="rId2218" xr:uid="{00000000-0004-0000-0400-0000A9080000}"/>
    <hyperlink ref="I1111" r:id="rId2219" xr:uid="{00000000-0004-0000-0400-0000AA080000}"/>
    <hyperlink ref="J1111" r:id="rId2220" xr:uid="{00000000-0004-0000-0400-0000AB080000}"/>
    <hyperlink ref="I1112" r:id="rId2221" xr:uid="{00000000-0004-0000-0400-0000AC080000}"/>
    <hyperlink ref="J1112" r:id="rId2222" xr:uid="{00000000-0004-0000-0400-0000AD080000}"/>
    <hyperlink ref="I1113" r:id="rId2223" xr:uid="{00000000-0004-0000-0400-0000AE080000}"/>
    <hyperlink ref="J1113" r:id="rId2224" xr:uid="{00000000-0004-0000-0400-0000AF080000}"/>
    <hyperlink ref="I1114" r:id="rId2225" xr:uid="{00000000-0004-0000-0400-0000B0080000}"/>
    <hyperlink ref="J1114" r:id="rId2226" xr:uid="{00000000-0004-0000-0400-0000B1080000}"/>
    <hyperlink ref="I1115" r:id="rId2227" xr:uid="{00000000-0004-0000-0400-0000B2080000}"/>
    <hyperlink ref="J1115" r:id="rId2228" xr:uid="{00000000-0004-0000-0400-0000B3080000}"/>
    <hyperlink ref="I1116" r:id="rId2229" xr:uid="{00000000-0004-0000-0400-0000B4080000}"/>
    <hyperlink ref="J1116" r:id="rId2230" xr:uid="{00000000-0004-0000-0400-0000B5080000}"/>
    <hyperlink ref="I1117" r:id="rId2231" xr:uid="{00000000-0004-0000-0400-0000B6080000}"/>
    <hyperlink ref="J1117" r:id="rId2232" xr:uid="{00000000-0004-0000-0400-0000B7080000}"/>
    <hyperlink ref="I1118" r:id="rId2233" xr:uid="{00000000-0004-0000-0400-0000B8080000}"/>
    <hyperlink ref="J1118" r:id="rId2234" xr:uid="{00000000-0004-0000-0400-0000B9080000}"/>
    <hyperlink ref="I1119" r:id="rId2235" xr:uid="{00000000-0004-0000-0400-0000BA080000}"/>
    <hyperlink ref="J1119" r:id="rId2236" xr:uid="{00000000-0004-0000-0400-0000BB080000}"/>
    <hyperlink ref="I1120" r:id="rId2237" xr:uid="{00000000-0004-0000-0400-0000BC080000}"/>
    <hyperlink ref="J1120" r:id="rId2238" xr:uid="{00000000-0004-0000-0400-0000BD080000}"/>
    <hyperlink ref="I1121" r:id="rId2239" xr:uid="{00000000-0004-0000-0400-0000BE080000}"/>
    <hyperlink ref="J1121" r:id="rId2240" xr:uid="{00000000-0004-0000-0400-0000BF080000}"/>
    <hyperlink ref="I1122" r:id="rId2241" xr:uid="{00000000-0004-0000-0400-0000C0080000}"/>
    <hyperlink ref="J1122" r:id="rId2242" xr:uid="{00000000-0004-0000-0400-0000C1080000}"/>
    <hyperlink ref="I1123" r:id="rId2243" xr:uid="{00000000-0004-0000-0400-0000C2080000}"/>
    <hyperlink ref="J1123" r:id="rId2244" xr:uid="{00000000-0004-0000-0400-0000C3080000}"/>
    <hyperlink ref="I1124" r:id="rId2245" xr:uid="{00000000-0004-0000-0400-0000C4080000}"/>
    <hyperlink ref="J1124" r:id="rId2246" xr:uid="{00000000-0004-0000-0400-0000C5080000}"/>
    <hyperlink ref="I1125" r:id="rId2247" xr:uid="{00000000-0004-0000-0400-0000C6080000}"/>
    <hyperlink ref="J1125" r:id="rId2248" xr:uid="{00000000-0004-0000-0400-0000C7080000}"/>
    <hyperlink ref="I1126" r:id="rId2249" xr:uid="{00000000-0004-0000-0400-0000C8080000}"/>
    <hyperlink ref="J1126" r:id="rId2250" xr:uid="{00000000-0004-0000-0400-0000C9080000}"/>
    <hyperlink ref="I1127" r:id="rId2251" xr:uid="{00000000-0004-0000-0400-0000CA080000}"/>
    <hyperlink ref="J1127" r:id="rId2252" xr:uid="{00000000-0004-0000-0400-0000CB080000}"/>
    <hyperlink ref="I1128" r:id="rId2253" xr:uid="{00000000-0004-0000-0400-0000CC080000}"/>
    <hyperlink ref="J1128" r:id="rId2254" xr:uid="{00000000-0004-0000-0400-0000CD080000}"/>
    <hyperlink ref="I1129" r:id="rId2255" xr:uid="{00000000-0004-0000-0400-0000CE080000}"/>
    <hyperlink ref="J1129" r:id="rId2256" xr:uid="{00000000-0004-0000-0400-0000CF080000}"/>
    <hyperlink ref="I1130" r:id="rId2257" xr:uid="{00000000-0004-0000-0400-0000D0080000}"/>
    <hyperlink ref="J1130" r:id="rId2258" xr:uid="{00000000-0004-0000-0400-0000D1080000}"/>
    <hyperlink ref="I1131" r:id="rId2259" xr:uid="{00000000-0004-0000-0400-0000D2080000}"/>
    <hyperlink ref="J1131" r:id="rId2260" xr:uid="{00000000-0004-0000-0400-0000D3080000}"/>
    <hyperlink ref="I1132" r:id="rId2261" xr:uid="{00000000-0004-0000-0400-0000D4080000}"/>
    <hyperlink ref="J1132" r:id="rId2262" xr:uid="{00000000-0004-0000-0400-0000D5080000}"/>
    <hyperlink ref="I1133" r:id="rId2263" xr:uid="{00000000-0004-0000-0400-0000D6080000}"/>
    <hyperlink ref="J1133" r:id="rId2264" xr:uid="{00000000-0004-0000-0400-0000D7080000}"/>
    <hyperlink ref="I1134" r:id="rId2265" xr:uid="{00000000-0004-0000-0400-0000D8080000}"/>
    <hyperlink ref="J1134" r:id="rId2266" xr:uid="{00000000-0004-0000-0400-0000D9080000}"/>
    <hyperlink ref="I1135" r:id="rId2267" xr:uid="{00000000-0004-0000-0400-0000DA080000}"/>
    <hyperlink ref="J1135" r:id="rId2268" xr:uid="{00000000-0004-0000-0400-0000DB080000}"/>
    <hyperlink ref="I1136" r:id="rId2269" xr:uid="{00000000-0004-0000-0400-0000DC080000}"/>
    <hyperlink ref="J1136" r:id="rId2270" xr:uid="{00000000-0004-0000-0400-0000DD080000}"/>
    <hyperlink ref="I1137" r:id="rId2271" xr:uid="{00000000-0004-0000-0400-0000DE080000}"/>
    <hyperlink ref="J1137" r:id="rId2272" xr:uid="{00000000-0004-0000-0400-0000DF080000}"/>
    <hyperlink ref="I1138" r:id="rId2273" xr:uid="{00000000-0004-0000-0400-0000E0080000}"/>
    <hyperlink ref="J1138" r:id="rId2274" xr:uid="{00000000-0004-0000-0400-0000E1080000}"/>
    <hyperlink ref="I1139" r:id="rId2275" xr:uid="{00000000-0004-0000-0400-0000E2080000}"/>
    <hyperlink ref="J1139" r:id="rId2276" xr:uid="{00000000-0004-0000-0400-0000E3080000}"/>
    <hyperlink ref="I1140" r:id="rId2277" xr:uid="{00000000-0004-0000-0400-0000E4080000}"/>
    <hyperlink ref="J1140" r:id="rId2278" xr:uid="{00000000-0004-0000-0400-0000E5080000}"/>
    <hyperlink ref="I1141" r:id="rId2279" xr:uid="{00000000-0004-0000-0400-0000E6080000}"/>
    <hyperlink ref="J1141" r:id="rId2280" xr:uid="{00000000-0004-0000-0400-0000E7080000}"/>
    <hyperlink ref="I1142" r:id="rId2281" xr:uid="{00000000-0004-0000-0400-0000E8080000}"/>
    <hyperlink ref="J1142" r:id="rId2282" xr:uid="{00000000-0004-0000-0400-0000E9080000}"/>
    <hyperlink ref="I1143" r:id="rId2283" xr:uid="{00000000-0004-0000-0400-0000EA080000}"/>
    <hyperlink ref="J1143" r:id="rId2284" xr:uid="{00000000-0004-0000-0400-0000EB080000}"/>
    <hyperlink ref="I1144" r:id="rId2285" xr:uid="{00000000-0004-0000-0400-0000EC080000}"/>
    <hyperlink ref="J1144" r:id="rId2286" xr:uid="{00000000-0004-0000-0400-0000ED080000}"/>
    <hyperlink ref="I1145" r:id="rId2287" xr:uid="{00000000-0004-0000-0400-0000EE080000}"/>
    <hyperlink ref="J1145" r:id="rId2288" xr:uid="{00000000-0004-0000-0400-0000EF080000}"/>
    <hyperlink ref="I1146" r:id="rId2289" xr:uid="{00000000-0004-0000-0400-0000F0080000}"/>
    <hyperlink ref="J1146" r:id="rId2290" xr:uid="{00000000-0004-0000-0400-0000F1080000}"/>
    <hyperlink ref="I1147" r:id="rId2291" xr:uid="{00000000-0004-0000-0400-0000F2080000}"/>
    <hyperlink ref="J1147" r:id="rId2292" xr:uid="{00000000-0004-0000-0400-0000F3080000}"/>
    <hyperlink ref="I1148" r:id="rId2293" xr:uid="{00000000-0004-0000-0400-0000F4080000}"/>
    <hyperlink ref="J1148" r:id="rId2294" xr:uid="{00000000-0004-0000-0400-0000F5080000}"/>
    <hyperlink ref="I1149" r:id="rId2295" xr:uid="{00000000-0004-0000-0400-0000F6080000}"/>
    <hyperlink ref="J1149" r:id="rId2296" xr:uid="{00000000-0004-0000-0400-0000F7080000}"/>
    <hyperlink ref="I1150" r:id="rId2297" xr:uid="{00000000-0004-0000-0400-0000F8080000}"/>
    <hyperlink ref="J1150" r:id="rId2298" xr:uid="{00000000-0004-0000-0400-0000F9080000}"/>
    <hyperlink ref="I1151" r:id="rId2299" xr:uid="{00000000-0004-0000-0400-0000FA080000}"/>
    <hyperlink ref="J1151" r:id="rId2300" xr:uid="{00000000-0004-0000-0400-0000FB080000}"/>
    <hyperlink ref="I1152" r:id="rId2301" xr:uid="{00000000-0004-0000-0400-0000FC080000}"/>
    <hyperlink ref="J1152" r:id="rId2302" xr:uid="{00000000-0004-0000-0400-0000FD080000}"/>
    <hyperlink ref="I1153" r:id="rId2303" xr:uid="{00000000-0004-0000-0400-0000FE080000}"/>
    <hyperlink ref="J1153" r:id="rId2304" xr:uid="{00000000-0004-0000-0400-0000FF080000}"/>
    <hyperlink ref="I1154" r:id="rId2305" xr:uid="{00000000-0004-0000-0400-000000090000}"/>
    <hyperlink ref="J1154" r:id="rId2306" xr:uid="{00000000-0004-0000-0400-000001090000}"/>
    <hyperlink ref="I1155" r:id="rId2307" xr:uid="{00000000-0004-0000-0400-000002090000}"/>
    <hyperlink ref="J1155" r:id="rId2308" xr:uid="{00000000-0004-0000-0400-000003090000}"/>
    <hyperlink ref="I1156" r:id="rId2309" xr:uid="{00000000-0004-0000-0400-000004090000}"/>
    <hyperlink ref="J1156" r:id="rId2310" xr:uid="{00000000-0004-0000-0400-000005090000}"/>
    <hyperlink ref="I1157" r:id="rId2311" xr:uid="{00000000-0004-0000-0400-000006090000}"/>
    <hyperlink ref="J1157" r:id="rId2312" xr:uid="{00000000-0004-0000-0400-000007090000}"/>
    <hyperlink ref="I1158" r:id="rId2313" xr:uid="{00000000-0004-0000-0400-000008090000}"/>
    <hyperlink ref="J1158" r:id="rId2314" xr:uid="{00000000-0004-0000-0400-000009090000}"/>
    <hyperlink ref="I1159" r:id="rId2315" xr:uid="{00000000-0004-0000-0400-00000A090000}"/>
    <hyperlink ref="J1159" r:id="rId2316" xr:uid="{00000000-0004-0000-0400-00000B090000}"/>
    <hyperlink ref="I1160" r:id="rId2317" xr:uid="{00000000-0004-0000-0400-00000C090000}"/>
    <hyperlink ref="J1160" r:id="rId2318" xr:uid="{00000000-0004-0000-0400-00000D090000}"/>
    <hyperlink ref="I1161" r:id="rId2319" xr:uid="{00000000-0004-0000-0400-00000E090000}"/>
    <hyperlink ref="J1161" r:id="rId2320" xr:uid="{00000000-0004-0000-0400-00000F090000}"/>
    <hyperlink ref="I1162" r:id="rId2321" xr:uid="{00000000-0004-0000-0400-000010090000}"/>
    <hyperlink ref="J1162" r:id="rId2322" xr:uid="{00000000-0004-0000-0400-000011090000}"/>
    <hyperlink ref="I1163" r:id="rId2323" xr:uid="{00000000-0004-0000-0400-000012090000}"/>
    <hyperlink ref="J1163" r:id="rId2324" xr:uid="{00000000-0004-0000-0400-000013090000}"/>
    <hyperlink ref="I1164" r:id="rId2325" xr:uid="{00000000-0004-0000-0400-000014090000}"/>
    <hyperlink ref="J1164" r:id="rId2326" xr:uid="{00000000-0004-0000-0400-000015090000}"/>
    <hyperlink ref="I1165" r:id="rId2327" xr:uid="{00000000-0004-0000-0400-000016090000}"/>
    <hyperlink ref="J1165" r:id="rId2328" xr:uid="{00000000-0004-0000-0400-000017090000}"/>
    <hyperlink ref="I1166" r:id="rId2329" xr:uid="{00000000-0004-0000-0400-000018090000}"/>
    <hyperlink ref="J1166" r:id="rId2330" xr:uid="{00000000-0004-0000-0400-000019090000}"/>
    <hyperlink ref="I1167" r:id="rId2331" xr:uid="{00000000-0004-0000-0400-00001A090000}"/>
    <hyperlink ref="J1167" r:id="rId2332" xr:uid="{00000000-0004-0000-0400-00001B090000}"/>
    <hyperlink ref="I1168" r:id="rId2333" xr:uid="{00000000-0004-0000-0400-00001C090000}"/>
    <hyperlink ref="J1168" r:id="rId2334" xr:uid="{00000000-0004-0000-0400-00001D090000}"/>
    <hyperlink ref="I1169" r:id="rId2335" xr:uid="{00000000-0004-0000-0400-00001E090000}"/>
    <hyperlink ref="J1169" r:id="rId2336" xr:uid="{00000000-0004-0000-0400-00001F090000}"/>
    <hyperlink ref="I1170" r:id="rId2337" xr:uid="{00000000-0004-0000-0400-000020090000}"/>
    <hyperlink ref="J1170" r:id="rId2338" xr:uid="{00000000-0004-0000-0400-000021090000}"/>
    <hyperlink ref="I1171" r:id="rId2339" xr:uid="{00000000-0004-0000-0400-000022090000}"/>
    <hyperlink ref="J1171" r:id="rId2340" xr:uid="{00000000-0004-0000-0400-000023090000}"/>
    <hyperlink ref="I1172" r:id="rId2341" xr:uid="{00000000-0004-0000-0400-000024090000}"/>
    <hyperlink ref="J1172" r:id="rId2342" xr:uid="{00000000-0004-0000-0400-000025090000}"/>
    <hyperlink ref="I1173" r:id="rId2343" xr:uid="{00000000-0004-0000-0400-000026090000}"/>
    <hyperlink ref="J1173" r:id="rId2344" xr:uid="{00000000-0004-0000-0400-000027090000}"/>
    <hyperlink ref="I1174" r:id="rId2345" xr:uid="{00000000-0004-0000-0400-000028090000}"/>
    <hyperlink ref="J1174" r:id="rId2346" xr:uid="{00000000-0004-0000-0400-000029090000}"/>
    <hyperlink ref="I1175" r:id="rId2347" xr:uid="{00000000-0004-0000-0400-00002A090000}"/>
    <hyperlink ref="J1175" r:id="rId2348" xr:uid="{00000000-0004-0000-0400-00002B090000}"/>
    <hyperlink ref="I1176" r:id="rId2349" xr:uid="{00000000-0004-0000-0400-00002C090000}"/>
    <hyperlink ref="J1176" r:id="rId2350" xr:uid="{00000000-0004-0000-0400-00002D090000}"/>
    <hyperlink ref="I1177" r:id="rId2351" xr:uid="{00000000-0004-0000-0400-00002E090000}"/>
    <hyperlink ref="J1177" r:id="rId2352" xr:uid="{00000000-0004-0000-0400-00002F090000}"/>
    <hyperlink ref="I1178" r:id="rId2353" xr:uid="{00000000-0004-0000-0400-000030090000}"/>
    <hyperlink ref="J1178" r:id="rId2354" xr:uid="{00000000-0004-0000-0400-000031090000}"/>
    <hyperlink ref="I1179" r:id="rId2355" xr:uid="{00000000-0004-0000-0400-000032090000}"/>
    <hyperlink ref="J1179" r:id="rId2356" xr:uid="{00000000-0004-0000-0400-000033090000}"/>
    <hyperlink ref="I1180" r:id="rId2357" xr:uid="{00000000-0004-0000-0400-000034090000}"/>
    <hyperlink ref="J1180" r:id="rId2358" xr:uid="{00000000-0004-0000-0400-000035090000}"/>
    <hyperlink ref="I1181" r:id="rId2359" xr:uid="{00000000-0004-0000-0400-000036090000}"/>
    <hyperlink ref="J1181" r:id="rId2360" xr:uid="{00000000-0004-0000-0400-000037090000}"/>
    <hyperlink ref="I1182" r:id="rId2361" xr:uid="{00000000-0004-0000-0400-000038090000}"/>
    <hyperlink ref="J1182" r:id="rId2362" xr:uid="{00000000-0004-0000-0400-000039090000}"/>
    <hyperlink ref="I1183" r:id="rId2363" xr:uid="{00000000-0004-0000-0400-00003A090000}"/>
    <hyperlink ref="J1183" r:id="rId2364" xr:uid="{00000000-0004-0000-0400-00003B090000}"/>
    <hyperlink ref="I1184" r:id="rId2365" xr:uid="{00000000-0004-0000-0400-00003C090000}"/>
    <hyperlink ref="J1184" r:id="rId2366" xr:uid="{00000000-0004-0000-0400-00003D090000}"/>
    <hyperlink ref="I1185" r:id="rId2367" xr:uid="{00000000-0004-0000-0400-00003E090000}"/>
    <hyperlink ref="J1185" r:id="rId2368" xr:uid="{00000000-0004-0000-0400-00003F090000}"/>
    <hyperlink ref="I1186" r:id="rId2369" xr:uid="{00000000-0004-0000-0400-000040090000}"/>
    <hyperlink ref="J1186" r:id="rId2370" xr:uid="{00000000-0004-0000-0400-000041090000}"/>
    <hyperlink ref="I1187" r:id="rId2371" xr:uid="{00000000-0004-0000-0400-000042090000}"/>
    <hyperlink ref="J1187" r:id="rId2372" xr:uid="{00000000-0004-0000-0400-000043090000}"/>
    <hyperlink ref="I1188" r:id="rId2373" xr:uid="{00000000-0004-0000-0400-000044090000}"/>
    <hyperlink ref="J1188" r:id="rId2374" xr:uid="{00000000-0004-0000-0400-000045090000}"/>
    <hyperlink ref="I1189" r:id="rId2375" xr:uid="{00000000-0004-0000-0400-000046090000}"/>
    <hyperlink ref="J1189" r:id="rId2376" xr:uid="{00000000-0004-0000-0400-000047090000}"/>
    <hyperlink ref="I1190" r:id="rId2377" xr:uid="{00000000-0004-0000-0400-000048090000}"/>
    <hyperlink ref="J1190" r:id="rId2378" xr:uid="{00000000-0004-0000-0400-000049090000}"/>
    <hyperlink ref="I1191" r:id="rId2379" xr:uid="{00000000-0004-0000-0400-00004A090000}"/>
    <hyperlink ref="J1191" r:id="rId2380" xr:uid="{00000000-0004-0000-0400-00004B090000}"/>
    <hyperlink ref="I1192" r:id="rId2381" xr:uid="{00000000-0004-0000-0400-00004C090000}"/>
    <hyperlink ref="J1192" r:id="rId2382" xr:uid="{00000000-0004-0000-0400-00004D090000}"/>
    <hyperlink ref="I1193" r:id="rId2383" xr:uid="{00000000-0004-0000-0400-00004E090000}"/>
    <hyperlink ref="J1193" r:id="rId2384" xr:uid="{00000000-0004-0000-0400-00004F090000}"/>
    <hyperlink ref="I1194" r:id="rId2385" xr:uid="{00000000-0004-0000-0400-000050090000}"/>
    <hyperlink ref="J1194" r:id="rId2386" xr:uid="{00000000-0004-0000-0400-000051090000}"/>
    <hyperlink ref="I1195" r:id="rId2387" xr:uid="{00000000-0004-0000-0400-000052090000}"/>
    <hyperlink ref="J1195" r:id="rId2388" xr:uid="{00000000-0004-0000-0400-000053090000}"/>
    <hyperlink ref="I1196" r:id="rId2389" xr:uid="{00000000-0004-0000-0400-000054090000}"/>
    <hyperlink ref="J1196" r:id="rId2390" xr:uid="{00000000-0004-0000-0400-000055090000}"/>
    <hyperlink ref="I1197" r:id="rId2391" xr:uid="{00000000-0004-0000-0400-000056090000}"/>
    <hyperlink ref="J1197" r:id="rId2392" xr:uid="{00000000-0004-0000-0400-000057090000}"/>
    <hyperlink ref="I1198" r:id="rId2393" xr:uid="{00000000-0004-0000-0400-000058090000}"/>
    <hyperlink ref="J1198" r:id="rId2394" xr:uid="{00000000-0004-0000-0400-000059090000}"/>
    <hyperlink ref="I1199" r:id="rId2395" xr:uid="{00000000-0004-0000-0400-00005A090000}"/>
    <hyperlink ref="J1199" r:id="rId2396" xr:uid="{00000000-0004-0000-0400-00005B090000}"/>
    <hyperlink ref="I1200" r:id="rId2397" xr:uid="{00000000-0004-0000-0400-00005C090000}"/>
    <hyperlink ref="J1200" r:id="rId2398" xr:uid="{00000000-0004-0000-0400-00005D090000}"/>
    <hyperlink ref="I1201" r:id="rId2399" xr:uid="{00000000-0004-0000-0400-00005E090000}"/>
    <hyperlink ref="J1201" r:id="rId2400" xr:uid="{00000000-0004-0000-0400-00005F090000}"/>
    <hyperlink ref="I1202" r:id="rId2401" xr:uid="{00000000-0004-0000-0400-000060090000}"/>
    <hyperlink ref="J1202" r:id="rId2402" xr:uid="{00000000-0004-0000-0400-000061090000}"/>
    <hyperlink ref="I1203" r:id="rId2403" xr:uid="{00000000-0004-0000-0400-000062090000}"/>
    <hyperlink ref="J1203" r:id="rId2404" xr:uid="{00000000-0004-0000-0400-000063090000}"/>
    <hyperlink ref="I1204" r:id="rId2405" xr:uid="{00000000-0004-0000-0400-000064090000}"/>
    <hyperlink ref="J1204" r:id="rId2406" xr:uid="{00000000-0004-0000-0400-000065090000}"/>
    <hyperlink ref="I1205" r:id="rId2407" xr:uid="{00000000-0004-0000-0400-000066090000}"/>
    <hyperlink ref="J1205" r:id="rId2408" xr:uid="{00000000-0004-0000-0400-000067090000}"/>
    <hyperlink ref="I1206" r:id="rId2409" xr:uid="{00000000-0004-0000-0400-000068090000}"/>
    <hyperlink ref="J1206" r:id="rId2410" xr:uid="{00000000-0004-0000-0400-000069090000}"/>
    <hyperlink ref="I1207" r:id="rId2411" xr:uid="{00000000-0004-0000-0400-00006A090000}"/>
    <hyperlink ref="J1207" r:id="rId2412" xr:uid="{00000000-0004-0000-0400-00006B090000}"/>
    <hyperlink ref="I1208" r:id="rId2413" xr:uid="{00000000-0004-0000-0400-00006C090000}"/>
    <hyperlink ref="J1208" r:id="rId2414" xr:uid="{00000000-0004-0000-0400-00006D090000}"/>
    <hyperlink ref="I1209" r:id="rId2415" xr:uid="{00000000-0004-0000-0400-00006E090000}"/>
    <hyperlink ref="J1209" r:id="rId2416" xr:uid="{00000000-0004-0000-0400-00006F090000}"/>
    <hyperlink ref="I1210" r:id="rId2417" xr:uid="{00000000-0004-0000-0400-000070090000}"/>
    <hyperlink ref="J1210" r:id="rId2418" xr:uid="{00000000-0004-0000-0400-000071090000}"/>
    <hyperlink ref="I1211" r:id="rId2419" xr:uid="{00000000-0004-0000-0400-000072090000}"/>
    <hyperlink ref="J1211" r:id="rId2420" xr:uid="{00000000-0004-0000-0400-000073090000}"/>
    <hyperlink ref="I1212" r:id="rId2421" xr:uid="{00000000-0004-0000-0400-000074090000}"/>
    <hyperlink ref="J1212" r:id="rId2422" xr:uid="{00000000-0004-0000-0400-000075090000}"/>
    <hyperlink ref="I1213" r:id="rId2423" xr:uid="{00000000-0004-0000-0400-000076090000}"/>
    <hyperlink ref="J1213" r:id="rId2424" xr:uid="{00000000-0004-0000-0400-000077090000}"/>
    <hyperlink ref="I1214" r:id="rId2425" xr:uid="{00000000-0004-0000-0400-000078090000}"/>
    <hyperlink ref="J1214" r:id="rId2426" xr:uid="{00000000-0004-0000-0400-000079090000}"/>
    <hyperlink ref="I1215" r:id="rId2427" xr:uid="{00000000-0004-0000-0400-00007A090000}"/>
    <hyperlink ref="J1215" r:id="rId2428" xr:uid="{00000000-0004-0000-0400-00007B090000}"/>
    <hyperlink ref="I1216" r:id="rId2429" xr:uid="{00000000-0004-0000-0400-00007C090000}"/>
    <hyperlink ref="J1216" r:id="rId2430" xr:uid="{00000000-0004-0000-0400-00007D090000}"/>
    <hyperlink ref="I1217" r:id="rId2431" xr:uid="{00000000-0004-0000-0400-00007E090000}"/>
    <hyperlink ref="J1217" r:id="rId2432" xr:uid="{00000000-0004-0000-0400-00007F090000}"/>
    <hyperlink ref="I1218" r:id="rId2433" xr:uid="{00000000-0004-0000-0400-000080090000}"/>
    <hyperlink ref="J1218" r:id="rId2434" xr:uid="{00000000-0004-0000-0400-000081090000}"/>
    <hyperlink ref="I1219" r:id="rId2435" xr:uid="{00000000-0004-0000-0400-000082090000}"/>
    <hyperlink ref="J1219" r:id="rId2436" xr:uid="{00000000-0004-0000-0400-000083090000}"/>
    <hyperlink ref="I1220" r:id="rId2437" xr:uid="{00000000-0004-0000-0400-000084090000}"/>
    <hyperlink ref="J1220" r:id="rId2438" xr:uid="{00000000-0004-0000-0400-000085090000}"/>
    <hyperlink ref="I1221" r:id="rId2439" xr:uid="{00000000-0004-0000-0400-000086090000}"/>
    <hyperlink ref="J1221" r:id="rId2440" xr:uid="{00000000-0004-0000-0400-000087090000}"/>
    <hyperlink ref="I1222" r:id="rId2441" xr:uid="{00000000-0004-0000-0400-000088090000}"/>
    <hyperlink ref="J1222" r:id="rId2442" xr:uid="{00000000-0004-0000-0400-000089090000}"/>
    <hyperlink ref="I1223" r:id="rId2443" xr:uid="{00000000-0004-0000-0400-00008A090000}"/>
    <hyperlink ref="J1223" r:id="rId2444" xr:uid="{00000000-0004-0000-0400-00008B090000}"/>
    <hyperlink ref="I1224" r:id="rId2445" xr:uid="{00000000-0004-0000-0400-00008C090000}"/>
    <hyperlink ref="J1224" r:id="rId2446" xr:uid="{00000000-0004-0000-0400-00008D090000}"/>
    <hyperlink ref="I1225" r:id="rId2447" xr:uid="{00000000-0004-0000-0400-00008E090000}"/>
    <hyperlink ref="J1225" r:id="rId2448" xr:uid="{00000000-0004-0000-0400-00008F090000}"/>
    <hyperlink ref="I1226" r:id="rId2449" xr:uid="{00000000-0004-0000-0400-000090090000}"/>
    <hyperlink ref="J1226" r:id="rId2450" xr:uid="{00000000-0004-0000-0400-000091090000}"/>
    <hyperlink ref="I1227" r:id="rId2451" xr:uid="{00000000-0004-0000-0400-000092090000}"/>
    <hyperlink ref="J1227" r:id="rId2452" xr:uid="{00000000-0004-0000-0400-000093090000}"/>
    <hyperlink ref="I1228" r:id="rId2453" xr:uid="{00000000-0004-0000-0400-000094090000}"/>
    <hyperlink ref="J1228" r:id="rId2454" xr:uid="{00000000-0004-0000-0400-000095090000}"/>
    <hyperlink ref="I1229" r:id="rId2455" xr:uid="{00000000-0004-0000-0400-000096090000}"/>
    <hyperlink ref="J1229" r:id="rId2456" xr:uid="{00000000-0004-0000-0400-000097090000}"/>
    <hyperlink ref="I1230" r:id="rId2457" xr:uid="{00000000-0004-0000-0400-000098090000}"/>
    <hyperlink ref="J1230" r:id="rId2458" xr:uid="{00000000-0004-0000-0400-000099090000}"/>
    <hyperlink ref="I1231" r:id="rId2459" xr:uid="{00000000-0004-0000-0400-00009A090000}"/>
    <hyperlink ref="J1231" r:id="rId2460" xr:uid="{00000000-0004-0000-0400-00009B090000}"/>
    <hyperlink ref="I1232" r:id="rId2461" xr:uid="{00000000-0004-0000-0400-00009C090000}"/>
    <hyperlink ref="J1232" r:id="rId2462" xr:uid="{00000000-0004-0000-0400-00009D090000}"/>
    <hyperlink ref="I1233" r:id="rId2463" xr:uid="{00000000-0004-0000-0400-00009E090000}"/>
    <hyperlink ref="J1233" r:id="rId2464" xr:uid="{00000000-0004-0000-0400-00009F090000}"/>
    <hyperlink ref="I1234" r:id="rId2465" xr:uid="{00000000-0004-0000-0400-0000A0090000}"/>
    <hyperlink ref="J1234" r:id="rId2466" xr:uid="{00000000-0004-0000-0400-0000A1090000}"/>
    <hyperlink ref="I1235" r:id="rId2467" xr:uid="{00000000-0004-0000-0400-0000A2090000}"/>
    <hyperlink ref="J1235" r:id="rId2468" xr:uid="{00000000-0004-0000-0400-0000A3090000}"/>
    <hyperlink ref="I1236" r:id="rId2469" xr:uid="{00000000-0004-0000-0400-0000A4090000}"/>
    <hyperlink ref="J1236" r:id="rId2470" xr:uid="{00000000-0004-0000-0400-0000A5090000}"/>
    <hyperlink ref="I1237" r:id="rId2471" xr:uid="{00000000-0004-0000-0400-0000A6090000}"/>
    <hyperlink ref="J1237" r:id="rId2472" xr:uid="{00000000-0004-0000-0400-0000A7090000}"/>
    <hyperlink ref="I1238" r:id="rId2473" xr:uid="{00000000-0004-0000-0400-0000A8090000}"/>
    <hyperlink ref="J1238" r:id="rId2474" xr:uid="{00000000-0004-0000-0400-0000A9090000}"/>
    <hyperlink ref="I1239" r:id="rId2475" xr:uid="{00000000-0004-0000-0400-0000AA090000}"/>
    <hyperlink ref="J1239" r:id="rId2476" xr:uid="{00000000-0004-0000-0400-0000AB090000}"/>
    <hyperlink ref="I1240" r:id="rId2477" xr:uid="{00000000-0004-0000-0400-0000AC090000}"/>
    <hyperlink ref="J1240" r:id="rId2478" xr:uid="{00000000-0004-0000-0400-0000AD090000}"/>
    <hyperlink ref="I1241" r:id="rId2479" xr:uid="{00000000-0004-0000-0400-0000AE090000}"/>
    <hyperlink ref="J1241" r:id="rId2480" xr:uid="{00000000-0004-0000-0400-0000AF090000}"/>
    <hyperlink ref="I1242" r:id="rId2481" xr:uid="{00000000-0004-0000-0400-0000B0090000}"/>
    <hyperlink ref="J1242" r:id="rId2482" xr:uid="{00000000-0004-0000-0400-0000B1090000}"/>
    <hyperlink ref="I1243" r:id="rId2483" xr:uid="{00000000-0004-0000-0400-0000B2090000}"/>
    <hyperlink ref="J1243" r:id="rId2484" xr:uid="{00000000-0004-0000-0400-0000B3090000}"/>
    <hyperlink ref="I1244" r:id="rId2485" xr:uid="{00000000-0004-0000-0400-0000B4090000}"/>
    <hyperlink ref="J1244" r:id="rId2486" xr:uid="{00000000-0004-0000-0400-0000B5090000}"/>
    <hyperlink ref="I1245" r:id="rId2487" xr:uid="{00000000-0004-0000-0400-0000B6090000}"/>
    <hyperlink ref="J1245" r:id="rId2488" xr:uid="{00000000-0004-0000-0400-0000B7090000}"/>
    <hyperlink ref="I1246" r:id="rId2489" xr:uid="{00000000-0004-0000-0400-0000B8090000}"/>
    <hyperlink ref="J1246" r:id="rId2490" xr:uid="{00000000-0004-0000-0400-0000B9090000}"/>
    <hyperlink ref="I1247" r:id="rId2491" xr:uid="{00000000-0004-0000-0400-0000BA090000}"/>
    <hyperlink ref="J1247" r:id="rId2492" xr:uid="{00000000-0004-0000-0400-0000BB090000}"/>
    <hyperlink ref="I1248" r:id="rId2493" xr:uid="{00000000-0004-0000-0400-0000BC090000}"/>
    <hyperlink ref="J1248" r:id="rId2494" xr:uid="{00000000-0004-0000-0400-0000BD090000}"/>
    <hyperlink ref="I1249" r:id="rId2495" xr:uid="{00000000-0004-0000-0400-0000BE090000}"/>
    <hyperlink ref="J1249" r:id="rId2496" xr:uid="{00000000-0004-0000-0400-0000BF090000}"/>
    <hyperlink ref="I1250" r:id="rId2497" xr:uid="{00000000-0004-0000-0400-0000C0090000}"/>
    <hyperlink ref="J1250" r:id="rId2498" xr:uid="{00000000-0004-0000-0400-0000C1090000}"/>
    <hyperlink ref="I1251" r:id="rId2499" xr:uid="{00000000-0004-0000-0400-0000C2090000}"/>
    <hyperlink ref="J1251" r:id="rId2500" xr:uid="{00000000-0004-0000-0400-0000C3090000}"/>
    <hyperlink ref="I1252" r:id="rId2501" xr:uid="{00000000-0004-0000-0400-0000C4090000}"/>
    <hyperlink ref="J1252" r:id="rId2502" xr:uid="{00000000-0004-0000-0400-0000C5090000}"/>
    <hyperlink ref="I1253" r:id="rId2503" xr:uid="{00000000-0004-0000-0400-0000C6090000}"/>
    <hyperlink ref="J1253" r:id="rId2504" xr:uid="{00000000-0004-0000-0400-0000C7090000}"/>
    <hyperlink ref="I1254" r:id="rId2505" xr:uid="{00000000-0004-0000-0400-0000C8090000}"/>
    <hyperlink ref="J1254" r:id="rId2506" xr:uid="{00000000-0004-0000-0400-0000C9090000}"/>
    <hyperlink ref="I1255" r:id="rId2507" xr:uid="{00000000-0004-0000-0400-0000CA090000}"/>
    <hyperlink ref="J1255" r:id="rId2508" xr:uid="{00000000-0004-0000-0400-0000CB090000}"/>
    <hyperlink ref="I1256" r:id="rId2509" xr:uid="{00000000-0004-0000-0400-0000CC090000}"/>
    <hyperlink ref="J1256" r:id="rId2510" xr:uid="{00000000-0004-0000-0400-0000CD090000}"/>
    <hyperlink ref="I1257" r:id="rId2511" xr:uid="{00000000-0004-0000-0400-0000CE090000}"/>
    <hyperlink ref="J1257" r:id="rId2512" xr:uid="{00000000-0004-0000-0400-0000CF090000}"/>
    <hyperlink ref="I1258" r:id="rId2513" xr:uid="{00000000-0004-0000-0400-0000D0090000}"/>
    <hyperlink ref="J1258" r:id="rId2514" xr:uid="{00000000-0004-0000-0400-0000D1090000}"/>
    <hyperlink ref="I1259" r:id="rId2515" xr:uid="{00000000-0004-0000-0400-0000D2090000}"/>
    <hyperlink ref="J1259" r:id="rId2516" xr:uid="{00000000-0004-0000-0400-0000D3090000}"/>
    <hyperlink ref="I1260" r:id="rId2517" xr:uid="{00000000-0004-0000-0400-0000D4090000}"/>
    <hyperlink ref="J1260" r:id="rId2518" xr:uid="{00000000-0004-0000-0400-0000D5090000}"/>
    <hyperlink ref="I1261" r:id="rId2519" xr:uid="{00000000-0004-0000-0400-0000D6090000}"/>
    <hyperlink ref="J1261" r:id="rId2520" xr:uid="{00000000-0004-0000-0400-0000D7090000}"/>
    <hyperlink ref="I1262" r:id="rId2521" xr:uid="{00000000-0004-0000-0400-0000D8090000}"/>
    <hyperlink ref="J1262" r:id="rId2522" xr:uid="{00000000-0004-0000-0400-0000D9090000}"/>
    <hyperlink ref="I1263" r:id="rId2523" xr:uid="{00000000-0004-0000-0400-0000DA090000}"/>
    <hyperlink ref="J1263" r:id="rId2524" xr:uid="{00000000-0004-0000-0400-0000DB090000}"/>
    <hyperlink ref="I1264" r:id="rId2525" xr:uid="{00000000-0004-0000-0400-0000DC090000}"/>
    <hyperlink ref="J1264" r:id="rId2526" xr:uid="{00000000-0004-0000-0400-0000DD090000}"/>
    <hyperlink ref="I1265" r:id="rId2527" xr:uid="{00000000-0004-0000-0400-0000DE090000}"/>
    <hyperlink ref="J1265" r:id="rId2528" xr:uid="{00000000-0004-0000-0400-0000DF090000}"/>
    <hyperlink ref="I1266" r:id="rId2529" xr:uid="{00000000-0004-0000-0400-0000E0090000}"/>
    <hyperlink ref="J1266" r:id="rId2530" xr:uid="{00000000-0004-0000-0400-0000E1090000}"/>
    <hyperlink ref="I1267" r:id="rId2531" xr:uid="{00000000-0004-0000-0400-0000E2090000}"/>
    <hyperlink ref="J1267" r:id="rId2532" xr:uid="{00000000-0004-0000-0400-0000E3090000}"/>
    <hyperlink ref="I1268" r:id="rId2533" xr:uid="{00000000-0004-0000-0400-0000E4090000}"/>
    <hyperlink ref="J1268" r:id="rId2534" xr:uid="{00000000-0004-0000-0400-0000E5090000}"/>
    <hyperlink ref="I1269" r:id="rId2535" xr:uid="{00000000-0004-0000-0400-0000E6090000}"/>
    <hyperlink ref="J1269" r:id="rId2536" xr:uid="{00000000-0004-0000-0400-0000E7090000}"/>
    <hyperlink ref="I1270" r:id="rId2537" xr:uid="{00000000-0004-0000-0400-0000E8090000}"/>
    <hyperlink ref="J1270" r:id="rId2538" xr:uid="{00000000-0004-0000-0400-0000E9090000}"/>
    <hyperlink ref="I1271" r:id="rId2539" xr:uid="{00000000-0004-0000-0400-0000EA090000}"/>
    <hyperlink ref="J1271" r:id="rId2540" xr:uid="{00000000-0004-0000-0400-0000EB090000}"/>
    <hyperlink ref="I1272" r:id="rId2541" xr:uid="{00000000-0004-0000-0400-0000EC090000}"/>
    <hyperlink ref="J1272" r:id="rId2542" xr:uid="{00000000-0004-0000-0400-0000ED090000}"/>
    <hyperlink ref="I1273" r:id="rId2543" xr:uid="{00000000-0004-0000-0400-0000EE090000}"/>
    <hyperlink ref="J1273" r:id="rId2544" xr:uid="{00000000-0004-0000-0400-0000EF090000}"/>
    <hyperlink ref="I1274" r:id="rId2545" xr:uid="{00000000-0004-0000-0400-0000F0090000}"/>
    <hyperlink ref="J1274" r:id="rId2546" xr:uid="{00000000-0004-0000-0400-0000F1090000}"/>
    <hyperlink ref="I1275" r:id="rId2547" xr:uid="{00000000-0004-0000-0400-0000F2090000}"/>
    <hyperlink ref="J1275" r:id="rId2548" xr:uid="{00000000-0004-0000-0400-0000F3090000}"/>
    <hyperlink ref="I1276" r:id="rId2549" xr:uid="{00000000-0004-0000-0400-0000F4090000}"/>
    <hyperlink ref="J1276" r:id="rId2550" xr:uid="{00000000-0004-0000-0400-0000F5090000}"/>
    <hyperlink ref="I1277" r:id="rId2551" xr:uid="{00000000-0004-0000-0400-0000F6090000}"/>
    <hyperlink ref="J1277" r:id="rId2552" xr:uid="{00000000-0004-0000-0400-0000F7090000}"/>
    <hyperlink ref="I1278" r:id="rId2553" xr:uid="{00000000-0004-0000-0400-0000F8090000}"/>
    <hyperlink ref="J1278" r:id="rId2554" xr:uid="{00000000-0004-0000-0400-0000F9090000}"/>
    <hyperlink ref="I1279" r:id="rId2555" xr:uid="{00000000-0004-0000-0400-0000FA090000}"/>
    <hyperlink ref="J1279" r:id="rId2556" xr:uid="{00000000-0004-0000-0400-0000FB090000}"/>
    <hyperlink ref="I1280" r:id="rId2557" xr:uid="{00000000-0004-0000-0400-0000FC090000}"/>
    <hyperlink ref="J1280" r:id="rId2558" xr:uid="{00000000-0004-0000-0400-0000FD090000}"/>
    <hyperlink ref="I1281" r:id="rId2559" xr:uid="{00000000-0004-0000-0400-0000FE090000}"/>
    <hyperlink ref="J1281" r:id="rId2560" xr:uid="{00000000-0004-0000-0400-0000FF090000}"/>
    <hyperlink ref="I1282" r:id="rId2561" xr:uid="{00000000-0004-0000-0400-0000000A0000}"/>
    <hyperlink ref="J1282" r:id="rId2562" xr:uid="{00000000-0004-0000-0400-0000010A0000}"/>
    <hyperlink ref="I1283" r:id="rId2563" xr:uid="{00000000-0004-0000-0400-0000020A0000}"/>
    <hyperlink ref="J1283" r:id="rId2564" xr:uid="{00000000-0004-0000-0400-0000030A0000}"/>
    <hyperlink ref="I1284" r:id="rId2565" xr:uid="{00000000-0004-0000-0400-0000040A0000}"/>
    <hyperlink ref="J1284" r:id="rId2566" xr:uid="{00000000-0004-0000-0400-0000050A0000}"/>
    <hyperlink ref="I1285" r:id="rId2567" xr:uid="{00000000-0004-0000-0400-0000060A0000}"/>
    <hyperlink ref="J1285" r:id="rId2568" xr:uid="{00000000-0004-0000-0400-0000070A0000}"/>
    <hyperlink ref="I1286" r:id="rId2569" xr:uid="{00000000-0004-0000-0400-0000080A0000}"/>
    <hyperlink ref="J1286" r:id="rId2570" xr:uid="{00000000-0004-0000-0400-0000090A0000}"/>
    <hyperlink ref="I1287" r:id="rId2571" xr:uid="{00000000-0004-0000-0400-00000A0A0000}"/>
    <hyperlink ref="J1287" r:id="rId2572" xr:uid="{00000000-0004-0000-0400-00000B0A0000}"/>
    <hyperlink ref="I1288" r:id="rId2573" xr:uid="{00000000-0004-0000-0400-00000C0A0000}"/>
    <hyperlink ref="J1288" r:id="rId2574" xr:uid="{00000000-0004-0000-0400-00000D0A0000}"/>
    <hyperlink ref="I1289" r:id="rId2575" xr:uid="{00000000-0004-0000-0400-00000E0A0000}"/>
    <hyperlink ref="J1289" r:id="rId2576" xr:uid="{00000000-0004-0000-0400-00000F0A0000}"/>
    <hyperlink ref="I1290" r:id="rId2577" xr:uid="{00000000-0004-0000-0400-0000100A0000}"/>
    <hyperlink ref="J1290" r:id="rId2578" xr:uid="{00000000-0004-0000-0400-0000110A0000}"/>
    <hyperlink ref="I1291" r:id="rId2579" xr:uid="{00000000-0004-0000-0400-0000120A0000}"/>
    <hyperlink ref="J1291" r:id="rId2580" xr:uid="{00000000-0004-0000-0400-0000130A0000}"/>
    <hyperlink ref="I1292" r:id="rId2581" xr:uid="{00000000-0004-0000-0400-0000140A0000}"/>
    <hyperlink ref="J1292" r:id="rId2582" xr:uid="{00000000-0004-0000-0400-0000150A0000}"/>
    <hyperlink ref="I1293" r:id="rId2583" xr:uid="{00000000-0004-0000-0400-0000160A0000}"/>
    <hyperlink ref="J1293" r:id="rId2584" xr:uid="{00000000-0004-0000-0400-0000170A0000}"/>
    <hyperlink ref="I1294" r:id="rId2585" xr:uid="{00000000-0004-0000-0400-0000180A0000}"/>
    <hyperlink ref="J1294" r:id="rId2586" xr:uid="{00000000-0004-0000-0400-0000190A0000}"/>
    <hyperlink ref="I1295" r:id="rId2587" xr:uid="{00000000-0004-0000-0400-00001A0A0000}"/>
    <hyperlink ref="J1295" r:id="rId2588" xr:uid="{00000000-0004-0000-0400-00001B0A0000}"/>
    <hyperlink ref="I1296" r:id="rId2589" xr:uid="{00000000-0004-0000-0400-00001C0A0000}"/>
    <hyperlink ref="J1296" r:id="rId2590" xr:uid="{00000000-0004-0000-0400-00001D0A0000}"/>
    <hyperlink ref="I1297" r:id="rId2591" xr:uid="{00000000-0004-0000-0400-00001E0A0000}"/>
    <hyperlink ref="J1297" r:id="rId2592" xr:uid="{00000000-0004-0000-0400-00001F0A0000}"/>
    <hyperlink ref="I1298" r:id="rId2593" xr:uid="{00000000-0004-0000-0400-0000200A0000}"/>
    <hyperlink ref="J1298" r:id="rId2594" xr:uid="{00000000-0004-0000-0400-0000210A0000}"/>
    <hyperlink ref="I1299" r:id="rId2595" xr:uid="{00000000-0004-0000-0400-0000220A0000}"/>
    <hyperlink ref="J1299" r:id="rId2596" xr:uid="{00000000-0004-0000-0400-0000230A0000}"/>
    <hyperlink ref="I1300" r:id="rId2597" xr:uid="{00000000-0004-0000-0400-0000240A0000}"/>
    <hyperlink ref="J1300" r:id="rId2598" xr:uid="{00000000-0004-0000-0400-0000250A0000}"/>
    <hyperlink ref="I1301" r:id="rId2599" xr:uid="{00000000-0004-0000-0400-0000260A0000}"/>
    <hyperlink ref="J1301" r:id="rId2600" xr:uid="{00000000-0004-0000-0400-0000270A0000}"/>
    <hyperlink ref="I1302" r:id="rId2601" xr:uid="{00000000-0004-0000-0400-0000280A0000}"/>
    <hyperlink ref="J1302" r:id="rId2602" xr:uid="{00000000-0004-0000-0400-0000290A0000}"/>
    <hyperlink ref="I1303" r:id="rId2603" xr:uid="{00000000-0004-0000-0400-00002A0A0000}"/>
    <hyperlink ref="J1303" r:id="rId2604" xr:uid="{00000000-0004-0000-0400-00002B0A0000}"/>
    <hyperlink ref="I1304" r:id="rId2605" xr:uid="{00000000-0004-0000-0400-00002C0A0000}"/>
    <hyperlink ref="J1304" r:id="rId2606" xr:uid="{00000000-0004-0000-0400-00002D0A0000}"/>
    <hyperlink ref="I1305" r:id="rId2607" xr:uid="{00000000-0004-0000-0400-00002E0A0000}"/>
    <hyperlink ref="J1305" r:id="rId2608" xr:uid="{00000000-0004-0000-0400-00002F0A0000}"/>
    <hyperlink ref="I1306" r:id="rId2609" xr:uid="{00000000-0004-0000-0400-0000300A0000}"/>
    <hyperlink ref="J1306" r:id="rId2610" xr:uid="{00000000-0004-0000-0400-0000310A0000}"/>
    <hyperlink ref="I1307" r:id="rId2611" xr:uid="{00000000-0004-0000-0400-0000320A0000}"/>
    <hyperlink ref="J1307" r:id="rId2612" xr:uid="{00000000-0004-0000-0400-0000330A0000}"/>
    <hyperlink ref="I1308" r:id="rId2613" xr:uid="{00000000-0004-0000-0400-0000340A0000}"/>
    <hyperlink ref="J1308" r:id="rId2614" xr:uid="{00000000-0004-0000-0400-0000350A0000}"/>
    <hyperlink ref="I1309" r:id="rId2615" xr:uid="{00000000-0004-0000-0400-0000360A0000}"/>
    <hyperlink ref="J1309" r:id="rId2616" xr:uid="{00000000-0004-0000-0400-0000370A0000}"/>
    <hyperlink ref="I1310" r:id="rId2617" xr:uid="{00000000-0004-0000-0400-0000380A0000}"/>
    <hyperlink ref="J1310" r:id="rId2618" xr:uid="{00000000-0004-0000-0400-0000390A0000}"/>
    <hyperlink ref="I1311" r:id="rId2619" xr:uid="{00000000-0004-0000-0400-00003A0A0000}"/>
    <hyperlink ref="J1311" r:id="rId2620" xr:uid="{00000000-0004-0000-0400-00003B0A0000}"/>
    <hyperlink ref="I1312" r:id="rId2621" xr:uid="{00000000-0004-0000-0400-00003C0A0000}"/>
    <hyperlink ref="J1312" r:id="rId2622" xr:uid="{00000000-0004-0000-0400-00003D0A0000}"/>
    <hyperlink ref="I1313" r:id="rId2623" xr:uid="{00000000-0004-0000-0400-00003E0A0000}"/>
    <hyperlink ref="J1313" r:id="rId2624" xr:uid="{00000000-0004-0000-0400-00003F0A0000}"/>
    <hyperlink ref="I1314" r:id="rId2625" xr:uid="{00000000-0004-0000-0400-0000400A0000}"/>
    <hyperlink ref="J1314" r:id="rId2626" xr:uid="{00000000-0004-0000-0400-0000410A0000}"/>
    <hyperlink ref="I1315" r:id="rId2627" xr:uid="{00000000-0004-0000-0400-0000420A0000}"/>
    <hyperlink ref="J1315" r:id="rId2628" xr:uid="{00000000-0004-0000-0400-0000430A0000}"/>
    <hyperlink ref="I1316" r:id="rId2629" xr:uid="{00000000-0004-0000-0400-0000440A0000}"/>
    <hyperlink ref="J1316" r:id="rId2630" xr:uid="{00000000-0004-0000-0400-0000450A0000}"/>
    <hyperlink ref="I1317" r:id="rId2631" xr:uid="{00000000-0004-0000-0400-0000460A0000}"/>
    <hyperlink ref="J1317" r:id="rId2632" xr:uid="{00000000-0004-0000-0400-0000470A0000}"/>
    <hyperlink ref="I1318" r:id="rId2633" xr:uid="{00000000-0004-0000-0400-0000480A0000}"/>
    <hyperlink ref="J1318" r:id="rId2634" xr:uid="{00000000-0004-0000-0400-0000490A0000}"/>
    <hyperlink ref="I1319" r:id="rId2635" xr:uid="{00000000-0004-0000-0400-00004A0A0000}"/>
    <hyperlink ref="J1319" r:id="rId2636" xr:uid="{00000000-0004-0000-0400-00004B0A0000}"/>
    <hyperlink ref="I1320" r:id="rId2637" xr:uid="{00000000-0004-0000-0400-00004C0A0000}"/>
    <hyperlink ref="J1320" r:id="rId2638" xr:uid="{00000000-0004-0000-0400-00004D0A0000}"/>
    <hyperlink ref="I1321" r:id="rId2639" xr:uid="{00000000-0004-0000-0400-00004E0A0000}"/>
    <hyperlink ref="J1321" r:id="rId2640" xr:uid="{00000000-0004-0000-0400-00004F0A0000}"/>
    <hyperlink ref="I1322" r:id="rId2641" xr:uid="{00000000-0004-0000-0400-0000500A0000}"/>
    <hyperlink ref="J1322" r:id="rId2642" xr:uid="{00000000-0004-0000-0400-0000510A0000}"/>
    <hyperlink ref="I1323" r:id="rId2643" xr:uid="{00000000-0004-0000-0400-0000520A0000}"/>
    <hyperlink ref="J1323" r:id="rId2644" xr:uid="{00000000-0004-0000-0400-0000530A0000}"/>
    <hyperlink ref="I1324" r:id="rId2645" xr:uid="{00000000-0004-0000-0400-0000540A0000}"/>
    <hyperlink ref="J1324" r:id="rId2646" xr:uid="{00000000-0004-0000-0400-0000550A0000}"/>
    <hyperlink ref="I1325" r:id="rId2647" xr:uid="{00000000-0004-0000-0400-0000560A0000}"/>
    <hyperlink ref="J1325" r:id="rId2648" xr:uid="{00000000-0004-0000-0400-0000570A0000}"/>
    <hyperlink ref="I1326" r:id="rId2649" xr:uid="{00000000-0004-0000-0400-0000580A0000}"/>
    <hyperlink ref="J1326" r:id="rId2650" xr:uid="{00000000-0004-0000-0400-0000590A0000}"/>
    <hyperlink ref="I1327" r:id="rId2651" xr:uid="{00000000-0004-0000-0400-00005A0A0000}"/>
    <hyperlink ref="J1327" r:id="rId2652" xr:uid="{00000000-0004-0000-0400-00005B0A0000}"/>
    <hyperlink ref="I1328" r:id="rId2653" xr:uid="{00000000-0004-0000-0400-00005C0A0000}"/>
    <hyperlink ref="J1328" r:id="rId2654" xr:uid="{00000000-0004-0000-0400-00005D0A0000}"/>
    <hyperlink ref="I1329" r:id="rId2655" xr:uid="{00000000-0004-0000-0400-00005E0A0000}"/>
    <hyperlink ref="J1329" r:id="rId2656" xr:uid="{00000000-0004-0000-0400-00005F0A0000}"/>
    <hyperlink ref="I1330" r:id="rId2657" xr:uid="{00000000-0004-0000-0400-0000600A0000}"/>
    <hyperlink ref="J1330" r:id="rId2658" xr:uid="{00000000-0004-0000-0400-0000610A0000}"/>
    <hyperlink ref="I1331" r:id="rId2659" xr:uid="{00000000-0004-0000-0400-0000620A0000}"/>
    <hyperlink ref="J1331" r:id="rId2660" xr:uid="{00000000-0004-0000-0400-0000630A0000}"/>
    <hyperlink ref="I1332" r:id="rId2661" xr:uid="{00000000-0004-0000-0400-0000640A0000}"/>
    <hyperlink ref="J1332" r:id="rId2662" xr:uid="{00000000-0004-0000-0400-0000650A0000}"/>
    <hyperlink ref="I1333" r:id="rId2663" xr:uid="{00000000-0004-0000-0400-0000660A0000}"/>
    <hyperlink ref="J1333" r:id="rId2664" xr:uid="{00000000-0004-0000-0400-0000670A0000}"/>
    <hyperlink ref="I1334" r:id="rId2665" xr:uid="{00000000-0004-0000-0400-0000680A0000}"/>
    <hyperlink ref="J1334" r:id="rId2666" xr:uid="{00000000-0004-0000-0400-0000690A0000}"/>
    <hyperlink ref="I1335" r:id="rId2667" xr:uid="{00000000-0004-0000-0400-00006A0A0000}"/>
    <hyperlink ref="J1335" r:id="rId2668" xr:uid="{00000000-0004-0000-0400-00006B0A0000}"/>
    <hyperlink ref="I1336" r:id="rId2669" xr:uid="{00000000-0004-0000-0400-00006C0A0000}"/>
    <hyperlink ref="J1336" r:id="rId2670" xr:uid="{00000000-0004-0000-0400-00006D0A0000}"/>
    <hyperlink ref="I1337" r:id="rId2671" xr:uid="{00000000-0004-0000-0400-00006E0A0000}"/>
    <hyperlink ref="J1337" r:id="rId2672" xr:uid="{00000000-0004-0000-0400-00006F0A0000}"/>
    <hyperlink ref="I1338" r:id="rId2673" xr:uid="{00000000-0004-0000-0400-0000700A0000}"/>
    <hyperlink ref="J1338" r:id="rId2674" xr:uid="{00000000-0004-0000-0400-0000710A0000}"/>
    <hyperlink ref="I1339" r:id="rId2675" xr:uid="{00000000-0004-0000-0400-0000720A0000}"/>
    <hyperlink ref="J1339" r:id="rId2676" xr:uid="{00000000-0004-0000-0400-0000730A0000}"/>
    <hyperlink ref="I1340" r:id="rId2677" xr:uid="{00000000-0004-0000-0400-0000740A0000}"/>
    <hyperlink ref="J1340" r:id="rId2678" xr:uid="{00000000-0004-0000-0400-0000750A0000}"/>
    <hyperlink ref="I1341" r:id="rId2679" xr:uid="{00000000-0004-0000-0400-0000760A0000}"/>
    <hyperlink ref="J1341" r:id="rId2680" xr:uid="{00000000-0004-0000-0400-0000770A0000}"/>
    <hyperlink ref="I1342" r:id="rId2681" xr:uid="{00000000-0004-0000-0400-0000780A0000}"/>
    <hyperlink ref="J1342" r:id="rId2682" xr:uid="{00000000-0004-0000-0400-0000790A0000}"/>
    <hyperlink ref="I1343" r:id="rId2683" xr:uid="{00000000-0004-0000-0400-00007A0A0000}"/>
    <hyperlink ref="J1343" r:id="rId2684" xr:uid="{00000000-0004-0000-0400-00007B0A0000}"/>
    <hyperlink ref="I1344" r:id="rId2685" xr:uid="{00000000-0004-0000-0400-00007C0A0000}"/>
    <hyperlink ref="J1344" r:id="rId2686" xr:uid="{00000000-0004-0000-0400-00007D0A0000}"/>
    <hyperlink ref="I1345" r:id="rId2687" xr:uid="{00000000-0004-0000-0400-00007E0A0000}"/>
    <hyperlink ref="J1345" r:id="rId2688" xr:uid="{00000000-0004-0000-0400-00007F0A0000}"/>
    <hyperlink ref="I1346" r:id="rId2689" xr:uid="{00000000-0004-0000-0400-0000800A0000}"/>
    <hyperlink ref="J1346" r:id="rId2690" xr:uid="{00000000-0004-0000-0400-0000810A0000}"/>
    <hyperlink ref="I1347" r:id="rId2691" xr:uid="{00000000-0004-0000-0400-0000820A0000}"/>
    <hyperlink ref="J1347" r:id="rId2692" xr:uid="{00000000-0004-0000-0400-0000830A0000}"/>
    <hyperlink ref="I1348" r:id="rId2693" xr:uid="{00000000-0004-0000-0400-0000840A0000}"/>
    <hyperlink ref="J1348" r:id="rId2694" xr:uid="{00000000-0004-0000-0400-0000850A0000}"/>
    <hyperlink ref="I1349" r:id="rId2695" xr:uid="{00000000-0004-0000-0400-0000860A0000}"/>
    <hyperlink ref="J1349" r:id="rId2696" xr:uid="{00000000-0004-0000-0400-0000870A0000}"/>
    <hyperlink ref="I1350" r:id="rId2697" xr:uid="{00000000-0004-0000-0400-0000880A0000}"/>
    <hyperlink ref="J1350" r:id="rId2698" xr:uid="{00000000-0004-0000-0400-0000890A0000}"/>
    <hyperlink ref="I1351" r:id="rId2699" xr:uid="{00000000-0004-0000-0400-00008A0A0000}"/>
    <hyperlink ref="J1351" r:id="rId2700" xr:uid="{00000000-0004-0000-0400-00008B0A0000}"/>
    <hyperlink ref="I1352" r:id="rId2701" xr:uid="{00000000-0004-0000-0400-00008C0A0000}"/>
    <hyperlink ref="J1352" r:id="rId2702" xr:uid="{00000000-0004-0000-0400-00008D0A0000}"/>
    <hyperlink ref="I1353" r:id="rId2703" xr:uid="{00000000-0004-0000-0400-00008E0A0000}"/>
    <hyperlink ref="J1353" r:id="rId2704" xr:uid="{00000000-0004-0000-0400-00008F0A0000}"/>
    <hyperlink ref="I1354" r:id="rId2705" xr:uid="{00000000-0004-0000-0400-0000900A0000}"/>
    <hyperlink ref="J1354" r:id="rId2706" xr:uid="{00000000-0004-0000-0400-0000910A0000}"/>
    <hyperlink ref="I1355" r:id="rId2707" xr:uid="{00000000-0004-0000-0400-0000920A0000}"/>
    <hyperlink ref="J1355" r:id="rId2708" xr:uid="{00000000-0004-0000-0400-0000930A0000}"/>
    <hyperlink ref="I1356" r:id="rId2709" xr:uid="{00000000-0004-0000-0400-0000940A0000}"/>
    <hyperlink ref="J1356" r:id="rId2710" xr:uid="{00000000-0004-0000-0400-0000950A0000}"/>
    <hyperlink ref="I1357" r:id="rId2711" xr:uid="{00000000-0004-0000-0400-0000960A0000}"/>
    <hyperlink ref="J1357" r:id="rId2712" xr:uid="{00000000-0004-0000-0400-0000970A0000}"/>
    <hyperlink ref="I1358" r:id="rId2713" xr:uid="{00000000-0004-0000-0400-0000980A0000}"/>
    <hyperlink ref="J1358" r:id="rId2714" xr:uid="{00000000-0004-0000-0400-0000990A0000}"/>
    <hyperlink ref="I1359" r:id="rId2715" xr:uid="{00000000-0004-0000-0400-00009A0A0000}"/>
    <hyperlink ref="J1359" r:id="rId2716" xr:uid="{00000000-0004-0000-0400-00009B0A0000}"/>
    <hyperlink ref="I1360" r:id="rId2717" xr:uid="{00000000-0004-0000-0400-00009C0A0000}"/>
    <hyperlink ref="J1360" r:id="rId2718" xr:uid="{00000000-0004-0000-0400-00009D0A0000}"/>
    <hyperlink ref="I1361" r:id="rId2719" xr:uid="{00000000-0004-0000-0400-00009E0A0000}"/>
    <hyperlink ref="J1361" r:id="rId2720" xr:uid="{00000000-0004-0000-0400-00009F0A0000}"/>
    <hyperlink ref="I1362" r:id="rId2721" xr:uid="{00000000-0004-0000-0400-0000A00A0000}"/>
    <hyperlink ref="J1362" r:id="rId2722" xr:uid="{00000000-0004-0000-0400-0000A10A0000}"/>
    <hyperlink ref="I1363" r:id="rId2723" xr:uid="{00000000-0004-0000-0400-0000A20A0000}"/>
    <hyperlink ref="J1363" r:id="rId2724" xr:uid="{00000000-0004-0000-0400-0000A30A0000}"/>
    <hyperlink ref="I1364" r:id="rId2725" xr:uid="{00000000-0004-0000-0400-0000A40A0000}"/>
    <hyperlink ref="J1364" r:id="rId2726" xr:uid="{00000000-0004-0000-0400-0000A50A0000}"/>
    <hyperlink ref="I1365" r:id="rId2727" xr:uid="{00000000-0004-0000-0400-0000A60A0000}"/>
    <hyperlink ref="J1365" r:id="rId2728" xr:uid="{00000000-0004-0000-0400-0000A70A0000}"/>
    <hyperlink ref="I1366" r:id="rId2729" xr:uid="{00000000-0004-0000-0400-0000A80A0000}"/>
    <hyperlink ref="J1366" r:id="rId2730" xr:uid="{00000000-0004-0000-0400-0000A90A0000}"/>
    <hyperlink ref="I1367" r:id="rId2731" xr:uid="{00000000-0004-0000-0400-0000AA0A0000}"/>
    <hyperlink ref="J1367" r:id="rId2732" xr:uid="{00000000-0004-0000-0400-0000AB0A0000}"/>
    <hyperlink ref="I1368" r:id="rId2733" xr:uid="{00000000-0004-0000-0400-0000AC0A0000}"/>
    <hyperlink ref="J1368" r:id="rId2734" xr:uid="{00000000-0004-0000-0400-0000AD0A0000}"/>
    <hyperlink ref="I1369" r:id="rId2735" xr:uid="{00000000-0004-0000-0400-0000AE0A0000}"/>
    <hyperlink ref="J1369" r:id="rId2736" xr:uid="{00000000-0004-0000-0400-0000AF0A0000}"/>
    <hyperlink ref="I1370" r:id="rId2737" xr:uid="{00000000-0004-0000-0400-0000B00A0000}"/>
    <hyperlink ref="J1370" r:id="rId2738" xr:uid="{00000000-0004-0000-0400-0000B10A0000}"/>
    <hyperlink ref="I1371" r:id="rId2739" xr:uid="{00000000-0004-0000-0400-0000B20A0000}"/>
    <hyperlink ref="J1371" r:id="rId2740" xr:uid="{00000000-0004-0000-0400-0000B30A0000}"/>
    <hyperlink ref="I1372" r:id="rId2741" xr:uid="{00000000-0004-0000-0400-0000B40A0000}"/>
    <hyperlink ref="J1372" r:id="rId2742" xr:uid="{00000000-0004-0000-0400-0000B50A0000}"/>
    <hyperlink ref="I1373" r:id="rId2743" xr:uid="{00000000-0004-0000-0400-0000B60A0000}"/>
    <hyperlink ref="J1373" r:id="rId2744" xr:uid="{00000000-0004-0000-0400-0000B70A0000}"/>
    <hyperlink ref="I1374" r:id="rId2745" xr:uid="{00000000-0004-0000-0400-0000B80A0000}"/>
    <hyperlink ref="J1374" r:id="rId2746" xr:uid="{00000000-0004-0000-0400-0000B90A0000}"/>
    <hyperlink ref="I1375" r:id="rId2747" xr:uid="{00000000-0004-0000-0400-0000BA0A0000}"/>
    <hyperlink ref="J1375" r:id="rId2748" xr:uid="{00000000-0004-0000-0400-0000BB0A0000}"/>
    <hyperlink ref="I1376" r:id="rId2749" xr:uid="{00000000-0004-0000-0400-0000BC0A0000}"/>
    <hyperlink ref="J1376" r:id="rId2750" xr:uid="{00000000-0004-0000-0400-0000BD0A0000}"/>
    <hyperlink ref="I1377" r:id="rId2751" xr:uid="{00000000-0004-0000-0400-0000BE0A0000}"/>
    <hyperlink ref="J1377" r:id="rId2752" xr:uid="{00000000-0004-0000-0400-0000BF0A0000}"/>
    <hyperlink ref="I1378" r:id="rId2753" xr:uid="{00000000-0004-0000-0400-0000C00A0000}"/>
    <hyperlink ref="J1378" r:id="rId2754" xr:uid="{00000000-0004-0000-0400-0000C10A0000}"/>
    <hyperlink ref="I1379" r:id="rId2755" xr:uid="{00000000-0004-0000-0400-0000C20A0000}"/>
    <hyperlink ref="J1379" r:id="rId2756" xr:uid="{00000000-0004-0000-0400-0000C30A0000}"/>
    <hyperlink ref="I1380" r:id="rId2757" xr:uid="{00000000-0004-0000-0400-0000C40A0000}"/>
    <hyperlink ref="J1380" r:id="rId2758" xr:uid="{00000000-0004-0000-0400-0000C50A0000}"/>
    <hyperlink ref="I1381" r:id="rId2759" xr:uid="{00000000-0004-0000-0400-0000C60A0000}"/>
    <hyperlink ref="J1381" r:id="rId2760" xr:uid="{00000000-0004-0000-0400-0000C70A0000}"/>
    <hyperlink ref="I1382" r:id="rId2761" xr:uid="{00000000-0004-0000-0400-0000C80A0000}"/>
    <hyperlink ref="J1382" r:id="rId2762" xr:uid="{00000000-0004-0000-0400-0000C90A0000}"/>
    <hyperlink ref="I1383" r:id="rId2763" xr:uid="{00000000-0004-0000-0400-0000CA0A0000}"/>
    <hyperlink ref="J1383" r:id="rId2764" xr:uid="{00000000-0004-0000-0400-0000CB0A0000}"/>
    <hyperlink ref="I1384" r:id="rId2765" xr:uid="{00000000-0004-0000-0400-0000CC0A0000}"/>
    <hyperlink ref="J1384" r:id="rId2766" xr:uid="{00000000-0004-0000-0400-0000CD0A0000}"/>
    <hyperlink ref="I1385" r:id="rId2767" xr:uid="{00000000-0004-0000-0400-0000CE0A0000}"/>
    <hyperlink ref="J1385" r:id="rId2768" xr:uid="{00000000-0004-0000-0400-0000CF0A0000}"/>
    <hyperlink ref="I1386" r:id="rId2769" xr:uid="{00000000-0004-0000-0400-0000D00A0000}"/>
    <hyperlink ref="J1386" r:id="rId2770" xr:uid="{00000000-0004-0000-0400-0000D10A0000}"/>
    <hyperlink ref="I1387" r:id="rId2771" xr:uid="{00000000-0004-0000-0400-0000D20A0000}"/>
    <hyperlink ref="J1387" r:id="rId2772" xr:uid="{00000000-0004-0000-0400-0000D30A0000}"/>
    <hyperlink ref="I1388" r:id="rId2773" xr:uid="{00000000-0004-0000-0400-0000D40A0000}"/>
    <hyperlink ref="J1388" r:id="rId2774" xr:uid="{00000000-0004-0000-0400-0000D50A0000}"/>
    <hyperlink ref="I1389" r:id="rId2775" xr:uid="{00000000-0004-0000-0400-0000D60A0000}"/>
    <hyperlink ref="J1389" r:id="rId2776" xr:uid="{00000000-0004-0000-0400-0000D70A0000}"/>
    <hyperlink ref="I1390" r:id="rId2777" xr:uid="{00000000-0004-0000-0400-0000D80A0000}"/>
    <hyperlink ref="J1390" r:id="rId2778" xr:uid="{00000000-0004-0000-0400-0000D90A0000}"/>
    <hyperlink ref="I1391" r:id="rId2779" xr:uid="{00000000-0004-0000-0400-0000DA0A0000}"/>
    <hyperlink ref="J1391" r:id="rId2780" xr:uid="{00000000-0004-0000-0400-0000DB0A0000}"/>
    <hyperlink ref="I1392" r:id="rId2781" xr:uid="{00000000-0004-0000-0400-0000DC0A0000}"/>
    <hyperlink ref="J1392" r:id="rId2782" xr:uid="{00000000-0004-0000-0400-0000DD0A0000}"/>
    <hyperlink ref="I1393" r:id="rId2783" xr:uid="{00000000-0004-0000-0400-0000DE0A0000}"/>
    <hyperlink ref="J1393" r:id="rId2784" xr:uid="{00000000-0004-0000-0400-0000DF0A0000}"/>
    <hyperlink ref="I1394" r:id="rId2785" xr:uid="{00000000-0004-0000-0400-0000E00A0000}"/>
    <hyperlink ref="J1394" r:id="rId2786" xr:uid="{00000000-0004-0000-0400-0000E10A0000}"/>
    <hyperlink ref="I1395" r:id="rId2787" xr:uid="{00000000-0004-0000-0400-0000E20A0000}"/>
    <hyperlink ref="J1395" r:id="rId2788" xr:uid="{00000000-0004-0000-0400-0000E30A0000}"/>
    <hyperlink ref="I1396" r:id="rId2789" xr:uid="{00000000-0004-0000-0400-0000E40A0000}"/>
    <hyperlink ref="J1396" r:id="rId2790" xr:uid="{00000000-0004-0000-0400-0000E50A0000}"/>
    <hyperlink ref="I1397" r:id="rId2791" xr:uid="{00000000-0004-0000-0400-0000E60A0000}"/>
    <hyperlink ref="J1397" r:id="rId2792" xr:uid="{00000000-0004-0000-0400-0000E70A0000}"/>
    <hyperlink ref="I1398" r:id="rId2793" xr:uid="{00000000-0004-0000-0400-0000E80A0000}"/>
    <hyperlink ref="J1398" r:id="rId2794" xr:uid="{00000000-0004-0000-0400-0000E90A0000}"/>
    <hyperlink ref="I1399" r:id="rId2795" xr:uid="{00000000-0004-0000-0400-0000EA0A0000}"/>
    <hyperlink ref="J1399" r:id="rId2796" xr:uid="{00000000-0004-0000-0400-0000EB0A0000}"/>
    <hyperlink ref="I1400" r:id="rId2797" xr:uid="{00000000-0004-0000-0400-0000EC0A0000}"/>
    <hyperlink ref="J1400" r:id="rId2798" xr:uid="{00000000-0004-0000-0400-0000ED0A0000}"/>
    <hyperlink ref="I1401" r:id="rId2799" xr:uid="{00000000-0004-0000-0400-0000EE0A0000}"/>
    <hyperlink ref="J1401" r:id="rId2800" xr:uid="{00000000-0004-0000-0400-0000EF0A0000}"/>
    <hyperlink ref="I1402" r:id="rId2801" xr:uid="{00000000-0004-0000-0400-0000F00A0000}"/>
    <hyperlink ref="J1402" r:id="rId2802" xr:uid="{00000000-0004-0000-0400-0000F10A0000}"/>
    <hyperlink ref="I1403" r:id="rId2803" xr:uid="{00000000-0004-0000-0400-0000F20A0000}"/>
    <hyperlink ref="J1403" r:id="rId2804" xr:uid="{00000000-0004-0000-0400-0000F30A0000}"/>
    <hyperlink ref="I1404" r:id="rId2805" xr:uid="{00000000-0004-0000-0400-0000F40A0000}"/>
    <hyperlink ref="J1404" r:id="rId2806" xr:uid="{00000000-0004-0000-0400-0000F50A0000}"/>
    <hyperlink ref="I1405" r:id="rId2807" xr:uid="{00000000-0004-0000-0400-0000F60A0000}"/>
    <hyperlink ref="J1405" r:id="rId2808" xr:uid="{00000000-0004-0000-0400-0000F70A0000}"/>
    <hyperlink ref="I1406" r:id="rId2809" xr:uid="{00000000-0004-0000-0400-0000F80A0000}"/>
    <hyperlink ref="J1406" r:id="rId2810" xr:uid="{00000000-0004-0000-0400-0000F90A0000}"/>
    <hyperlink ref="I1407" r:id="rId2811" xr:uid="{00000000-0004-0000-0400-0000FA0A0000}"/>
    <hyperlink ref="J1407" r:id="rId2812" xr:uid="{00000000-0004-0000-0400-0000FB0A0000}"/>
    <hyperlink ref="I1408" r:id="rId2813" xr:uid="{00000000-0004-0000-0400-0000FC0A0000}"/>
    <hyperlink ref="J1408" r:id="rId2814" xr:uid="{00000000-0004-0000-0400-0000FD0A0000}"/>
    <hyperlink ref="I1409" r:id="rId2815" xr:uid="{00000000-0004-0000-0400-0000FE0A0000}"/>
    <hyperlink ref="J1409" r:id="rId2816" xr:uid="{00000000-0004-0000-0400-0000FF0A0000}"/>
    <hyperlink ref="I1410" r:id="rId2817" xr:uid="{00000000-0004-0000-0400-0000000B0000}"/>
    <hyperlink ref="J1410" r:id="rId2818" xr:uid="{00000000-0004-0000-0400-0000010B0000}"/>
    <hyperlink ref="I1411" r:id="rId2819" xr:uid="{00000000-0004-0000-0400-0000020B0000}"/>
    <hyperlink ref="J1411" r:id="rId2820" xr:uid="{00000000-0004-0000-0400-0000030B0000}"/>
    <hyperlink ref="I1412" r:id="rId2821" xr:uid="{00000000-0004-0000-0400-0000040B0000}"/>
    <hyperlink ref="J1412" r:id="rId2822" xr:uid="{00000000-0004-0000-0400-0000050B0000}"/>
    <hyperlink ref="I1413" r:id="rId2823" xr:uid="{00000000-0004-0000-0400-0000060B0000}"/>
    <hyperlink ref="J1413" r:id="rId2824" xr:uid="{00000000-0004-0000-0400-0000070B0000}"/>
    <hyperlink ref="I1414" r:id="rId2825" xr:uid="{00000000-0004-0000-0400-0000080B0000}"/>
    <hyperlink ref="J1414" r:id="rId2826" xr:uid="{00000000-0004-0000-0400-0000090B0000}"/>
    <hyperlink ref="I1415" r:id="rId2827" xr:uid="{00000000-0004-0000-0400-00000A0B0000}"/>
    <hyperlink ref="J1415" r:id="rId2828" xr:uid="{00000000-0004-0000-0400-00000B0B0000}"/>
    <hyperlink ref="I1416" r:id="rId2829" xr:uid="{00000000-0004-0000-0400-00000C0B0000}"/>
    <hyperlink ref="J1416" r:id="rId2830" xr:uid="{00000000-0004-0000-0400-00000D0B0000}"/>
    <hyperlink ref="I1417" r:id="rId2831" xr:uid="{00000000-0004-0000-0400-00000E0B0000}"/>
    <hyperlink ref="J1417" r:id="rId2832" xr:uid="{00000000-0004-0000-0400-00000F0B0000}"/>
    <hyperlink ref="I1418" r:id="rId2833" xr:uid="{00000000-0004-0000-0400-0000100B0000}"/>
    <hyperlink ref="J1418" r:id="rId2834" xr:uid="{00000000-0004-0000-0400-0000110B0000}"/>
    <hyperlink ref="I1419" r:id="rId2835" xr:uid="{00000000-0004-0000-0400-0000120B0000}"/>
    <hyperlink ref="J1419" r:id="rId2836" xr:uid="{00000000-0004-0000-0400-0000130B0000}"/>
    <hyperlink ref="I1420" r:id="rId2837" xr:uid="{00000000-0004-0000-0400-0000140B0000}"/>
    <hyperlink ref="J1420" r:id="rId2838" xr:uid="{00000000-0004-0000-0400-0000150B0000}"/>
    <hyperlink ref="I1421" r:id="rId2839" xr:uid="{00000000-0004-0000-0400-0000160B0000}"/>
    <hyperlink ref="J1421" r:id="rId2840" xr:uid="{00000000-0004-0000-0400-0000170B0000}"/>
    <hyperlink ref="I1422" r:id="rId2841" xr:uid="{00000000-0004-0000-0400-0000180B0000}"/>
    <hyperlink ref="J1422" r:id="rId2842" xr:uid="{00000000-0004-0000-0400-0000190B0000}"/>
    <hyperlink ref="I1423" r:id="rId2843" xr:uid="{00000000-0004-0000-0400-00001A0B0000}"/>
    <hyperlink ref="J1423" r:id="rId2844" xr:uid="{00000000-0004-0000-0400-00001B0B0000}"/>
    <hyperlink ref="I1424" r:id="rId2845" xr:uid="{00000000-0004-0000-0400-00001C0B0000}"/>
    <hyperlink ref="J1424" r:id="rId2846" xr:uid="{00000000-0004-0000-0400-00001D0B0000}"/>
    <hyperlink ref="I1425" r:id="rId2847" xr:uid="{00000000-0004-0000-0400-00001E0B0000}"/>
    <hyperlink ref="J1425" r:id="rId2848" xr:uid="{00000000-0004-0000-0400-00001F0B0000}"/>
    <hyperlink ref="I1426" r:id="rId2849" xr:uid="{00000000-0004-0000-0400-0000200B0000}"/>
    <hyperlink ref="J1426" r:id="rId2850" xr:uid="{00000000-0004-0000-0400-0000210B0000}"/>
    <hyperlink ref="I1427" r:id="rId2851" xr:uid="{00000000-0004-0000-0400-0000220B0000}"/>
    <hyperlink ref="J1427" r:id="rId2852" xr:uid="{00000000-0004-0000-0400-0000230B0000}"/>
    <hyperlink ref="I1428" r:id="rId2853" xr:uid="{00000000-0004-0000-0400-0000240B0000}"/>
    <hyperlink ref="J1428" r:id="rId2854" xr:uid="{00000000-0004-0000-0400-0000250B0000}"/>
    <hyperlink ref="I1429" r:id="rId2855" xr:uid="{00000000-0004-0000-0400-0000260B0000}"/>
    <hyperlink ref="J1429" r:id="rId2856" xr:uid="{00000000-0004-0000-0400-0000270B0000}"/>
    <hyperlink ref="I1430" r:id="rId2857" xr:uid="{00000000-0004-0000-0400-0000280B0000}"/>
    <hyperlink ref="J1430" r:id="rId2858" xr:uid="{00000000-0004-0000-0400-0000290B0000}"/>
    <hyperlink ref="I1431" r:id="rId2859" xr:uid="{00000000-0004-0000-0400-00002A0B0000}"/>
    <hyperlink ref="J1431" r:id="rId2860" xr:uid="{00000000-0004-0000-0400-00002B0B0000}"/>
    <hyperlink ref="I1432" r:id="rId2861" xr:uid="{00000000-0004-0000-0400-00002C0B0000}"/>
    <hyperlink ref="J1432" r:id="rId2862" xr:uid="{00000000-0004-0000-0400-00002D0B0000}"/>
    <hyperlink ref="I1433" r:id="rId2863" xr:uid="{00000000-0004-0000-0400-00002E0B0000}"/>
    <hyperlink ref="J1433" r:id="rId2864" xr:uid="{00000000-0004-0000-0400-00002F0B0000}"/>
    <hyperlink ref="I1434" r:id="rId2865" xr:uid="{00000000-0004-0000-0400-0000300B0000}"/>
    <hyperlink ref="J1434" r:id="rId2866" xr:uid="{00000000-0004-0000-0400-0000310B0000}"/>
    <hyperlink ref="I1435" r:id="rId2867" xr:uid="{00000000-0004-0000-0400-0000320B0000}"/>
    <hyperlink ref="J1435" r:id="rId2868" xr:uid="{00000000-0004-0000-0400-0000330B0000}"/>
    <hyperlink ref="I1436" r:id="rId2869" xr:uid="{00000000-0004-0000-0400-0000340B0000}"/>
    <hyperlink ref="J1436" r:id="rId2870" xr:uid="{00000000-0004-0000-0400-0000350B0000}"/>
    <hyperlink ref="I1437" r:id="rId2871" xr:uid="{00000000-0004-0000-0400-0000360B0000}"/>
    <hyperlink ref="J1437" r:id="rId2872" xr:uid="{00000000-0004-0000-0400-0000370B0000}"/>
    <hyperlink ref="I1438" r:id="rId2873" xr:uid="{00000000-0004-0000-0400-0000380B0000}"/>
    <hyperlink ref="J1438" r:id="rId2874" xr:uid="{00000000-0004-0000-0400-0000390B0000}"/>
    <hyperlink ref="I1439" r:id="rId2875" xr:uid="{00000000-0004-0000-0400-00003A0B0000}"/>
    <hyperlink ref="J1439" r:id="rId2876" xr:uid="{00000000-0004-0000-0400-00003B0B0000}"/>
    <hyperlink ref="I1440" r:id="rId2877" xr:uid="{00000000-0004-0000-0400-00003C0B0000}"/>
    <hyperlink ref="J1440" r:id="rId2878" xr:uid="{00000000-0004-0000-0400-00003D0B0000}"/>
    <hyperlink ref="I1441" r:id="rId2879" xr:uid="{00000000-0004-0000-0400-00003E0B0000}"/>
    <hyperlink ref="J1441" r:id="rId2880" xr:uid="{00000000-0004-0000-0400-00003F0B0000}"/>
    <hyperlink ref="I1442" r:id="rId2881" xr:uid="{00000000-0004-0000-0400-0000400B0000}"/>
    <hyperlink ref="J1442" r:id="rId2882" xr:uid="{00000000-0004-0000-0400-0000410B0000}"/>
    <hyperlink ref="I1443" r:id="rId2883" xr:uid="{00000000-0004-0000-0400-0000420B0000}"/>
    <hyperlink ref="J1443" r:id="rId2884" xr:uid="{00000000-0004-0000-0400-0000430B0000}"/>
    <hyperlink ref="I1444" r:id="rId2885" xr:uid="{00000000-0004-0000-0400-0000440B0000}"/>
    <hyperlink ref="J1444" r:id="rId2886" xr:uid="{00000000-0004-0000-0400-0000450B0000}"/>
    <hyperlink ref="I1445" r:id="rId2887" xr:uid="{00000000-0004-0000-0400-0000460B0000}"/>
    <hyperlink ref="J1445" r:id="rId2888" xr:uid="{00000000-0004-0000-0400-0000470B0000}"/>
    <hyperlink ref="I1446" r:id="rId2889" xr:uid="{00000000-0004-0000-0400-0000480B0000}"/>
    <hyperlink ref="J1446" r:id="rId2890" xr:uid="{00000000-0004-0000-0400-0000490B0000}"/>
    <hyperlink ref="I1447" r:id="rId2891" xr:uid="{00000000-0004-0000-0400-00004A0B0000}"/>
    <hyperlink ref="J1447" r:id="rId2892" xr:uid="{00000000-0004-0000-0400-00004B0B0000}"/>
    <hyperlink ref="I1448" r:id="rId2893" xr:uid="{00000000-0004-0000-0400-00004C0B0000}"/>
    <hyperlink ref="J1448" r:id="rId2894" xr:uid="{00000000-0004-0000-0400-00004D0B0000}"/>
    <hyperlink ref="I1449" r:id="rId2895" xr:uid="{00000000-0004-0000-0400-00004E0B0000}"/>
    <hyperlink ref="J1449" r:id="rId2896" xr:uid="{00000000-0004-0000-0400-00004F0B0000}"/>
    <hyperlink ref="I1450" r:id="rId2897" xr:uid="{00000000-0004-0000-0400-0000500B0000}"/>
    <hyperlink ref="J1450" r:id="rId2898" xr:uid="{00000000-0004-0000-0400-0000510B0000}"/>
    <hyperlink ref="I1451" r:id="rId2899" xr:uid="{00000000-0004-0000-0400-0000520B0000}"/>
    <hyperlink ref="J1451" r:id="rId2900" xr:uid="{00000000-0004-0000-0400-0000530B0000}"/>
    <hyperlink ref="I1452" r:id="rId2901" xr:uid="{00000000-0004-0000-0400-0000540B0000}"/>
    <hyperlink ref="J1452" r:id="rId2902" xr:uid="{00000000-0004-0000-0400-0000550B0000}"/>
    <hyperlink ref="I1453" r:id="rId2903" xr:uid="{00000000-0004-0000-0400-0000560B0000}"/>
    <hyperlink ref="J1453" r:id="rId2904" xr:uid="{00000000-0004-0000-0400-0000570B0000}"/>
    <hyperlink ref="I1454" r:id="rId2905" xr:uid="{00000000-0004-0000-0400-0000580B0000}"/>
    <hyperlink ref="J1454" r:id="rId2906" xr:uid="{00000000-0004-0000-0400-0000590B0000}"/>
    <hyperlink ref="I1455" r:id="rId2907" xr:uid="{00000000-0004-0000-0400-00005A0B0000}"/>
    <hyperlink ref="J1455" r:id="rId2908" xr:uid="{00000000-0004-0000-0400-00005B0B0000}"/>
    <hyperlink ref="I1456" r:id="rId2909" xr:uid="{00000000-0004-0000-0400-00005C0B0000}"/>
    <hyperlink ref="J1456" r:id="rId2910" xr:uid="{00000000-0004-0000-0400-00005D0B0000}"/>
    <hyperlink ref="I1457" r:id="rId2911" xr:uid="{00000000-0004-0000-0400-00005E0B0000}"/>
    <hyperlink ref="J1457" r:id="rId2912" xr:uid="{00000000-0004-0000-0400-00005F0B0000}"/>
    <hyperlink ref="I1458" r:id="rId2913" xr:uid="{00000000-0004-0000-0400-0000600B0000}"/>
    <hyperlink ref="J1458" r:id="rId2914" xr:uid="{00000000-0004-0000-0400-0000610B0000}"/>
    <hyperlink ref="I1459" r:id="rId2915" xr:uid="{00000000-0004-0000-0400-0000620B0000}"/>
    <hyperlink ref="J1459" r:id="rId2916" xr:uid="{00000000-0004-0000-0400-0000630B0000}"/>
    <hyperlink ref="I1460" r:id="rId2917" xr:uid="{00000000-0004-0000-0400-0000640B0000}"/>
    <hyperlink ref="J1460" r:id="rId2918" xr:uid="{00000000-0004-0000-0400-0000650B0000}"/>
    <hyperlink ref="I1461" r:id="rId2919" xr:uid="{00000000-0004-0000-0400-0000660B0000}"/>
    <hyperlink ref="J1461" r:id="rId2920" xr:uid="{00000000-0004-0000-0400-0000670B0000}"/>
    <hyperlink ref="I1462" r:id="rId2921" xr:uid="{00000000-0004-0000-0400-0000680B0000}"/>
    <hyperlink ref="J1462" r:id="rId2922" xr:uid="{00000000-0004-0000-0400-0000690B0000}"/>
    <hyperlink ref="I1463" r:id="rId2923" xr:uid="{00000000-0004-0000-0400-00006A0B0000}"/>
    <hyperlink ref="J1463" r:id="rId2924" xr:uid="{00000000-0004-0000-0400-00006B0B0000}"/>
    <hyperlink ref="I1464" r:id="rId2925" xr:uid="{00000000-0004-0000-0400-00006C0B0000}"/>
    <hyperlink ref="J1464" r:id="rId2926" xr:uid="{00000000-0004-0000-0400-00006D0B0000}"/>
    <hyperlink ref="I1465" r:id="rId2927" xr:uid="{00000000-0004-0000-0400-00006E0B0000}"/>
    <hyperlink ref="J1465" r:id="rId2928" xr:uid="{00000000-0004-0000-0400-00006F0B0000}"/>
    <hyperlink ref="I1466" r:id="rId2929" xr:uid="{00000000-0004-0000-0400-0000700B0000}"/>
    <hyperlink ref="J1466" r:id="rId2930" xr:uid="{00000000-0004-0000-0400-0000710B0000}"/>
    <hyperlink ref="I1467" r:id="rId2931" xr:uid="{00000000-0004-0000-0400-0000720B0000}"/>
    <hyperlink ref="J1467" r:id="rId2932" xr:uid="{00000000-0004-0000-0400-0000730B0000}"/>
    <hyperlink ref="I1468" r:id="rId2933" xr:uid="{00000000-0004-0000-0400-0000740B0000}"/>
    <hyperlink ref="J1468" r:id="rId2934" xr:uid="{00000000-0004-0000-0400-0000750B0000}"/>
    <hyperlink ref="I1469" r:id="rId2935" xr:uid="{00000000-0004-0000-0400-0000760B0000}"/>
    <hyperlink ref="J1469" r:id="rId2936" xr:uid="{00000000-0004-0000-0400-0000770B0000}"/>
    <hyperlink ref="I1470" r:id="rId2937" xr:uid="{00000000-0004-0000-0400-0000780B0000}"/>
    <hyperlink ref="J1470" r:id="rId2938" xr:uid="{00000000-0004-0000-0400-0000790B0000}"/>
    <hyperlink ref="I1471" r:id="rId2939" xr:uid="{00000000-0004-0000-0400-00007A0B0000}"/>
    <hyperlink ref="J1471" r:id="rId2940" xr:uid="{00000000-0004-0000-0400-00007B0B0000}"/>
    <hyperlink ref="I1472" r:id="rId2941" xr:uid="{00000000-0004-0000-0400-00007C0B0000}"/>
    <hyperlink ref="J1472" r:id="rId2942" xr:uid="{00000000-0004-0000-0400-00007D0B0000}"/>
    <hyperlink ref="I1473" r:id="rId2943" xr:uid="{00000000-0004-0000-0400-00007E0B0000}"/>
    <hyperlink ref="J1473" r:id="rId2944" xr:uid="{00000000-0004-0000-0400-00007F0B0000}"/>
    <hyperlink ref="I1474" r:id="rId2945" xr:uid="{00000000-0004-0000-0400-0000800B0000}"/>
    <hyperlink ref="J1474" r:id="rId2946" xr:uid="{00000000-0004-0000-0400-0000810B0000}"/>
    <hyperlink ref="I1475" r:id="rId2947" xr:uid="{00000000-0004-0000-0400-0000820B0000}"/>
    <hyperlink ref="J1475" r:id="rId2948" xr:uid="{00000000-0004-0000-0400-0000830B0000}"/>
    <hyperlink ref="I1476" r:id="rId2949" xr:uid="{00000000-0004-0000-0400-0000840B0000}"/>
    <hyperlink ref="J1476" r:id="rId2950" xr:uid="{00000000-0004-0000-0400-0000850B0000}"/>
    <hyperlink ref="I1477" r:id="rId2951" xr:uid="{00000000-0004-0000-0400-0000860B0000}"/>
    <hyperlink ref="J1477" r:id="rId2952" xr:uid="{00000000-0004-0000-0400-0000870B0000}"/>
    <hyperlink ref="I1478" r:id="rId2953" xr:uid="{00000000-0004-0000-0400-0000880B0000}"/>
    <hyperlink ref="J1478" r:id="rId2954" xr:uid="{00000000-0004-0000-0400-0000890B0000}"/>
    <hyperlink ref="I1479" r:id="rId2955" xr:uid="{00000000-0004-0000-0400-00008A0B0000}"/>
    <hyperlink ref="J1479" r:id="rId2956" xr:uid="{00000000-0004-0000-0400-00008B0B0000}"/>
    <hyperlink ref="I1480" r:id="rId2957" xr:uid="{00000000-0004-0000-0400-00008C0B0000}"/>
    <hyperlink ref="J1480" r:id="rId2958" xr:uid="{00000000-0004-0000-0400-00008D0B0000}"/>
    <hyperlink ref="I1481" r:id="rId2959" xr:uid="{00000000-0004-0000-0400-00008E0B0000}"/>
    <hyperlink ref="J1481" r:id="rId2960" xr:uid="{00000000-0004-0000-0400-00008F0B0000}"/>
    <hyperlink ref="I1482" r:id="rId2961" xr:uid="{00000000-0004-0000-0400-0000900B0000}"/>
    <hyperlink ref="J1482" r:id="rId2962" xr:uid="{00000000-0004-0000-0400-0000910B0000}"/>
    <hyperlink ref="I1483" r:id="rId2963" xr:uid="{00000000-0004-0000-0400-0000920B0000}"/>
    <hyperlink ref="J1483" r:id="rId2964" xr:uid="{00000000-0004-0000-0400-0000930B0000}"/>
    <hyperlink ref="I1484" r:id="rId2965" xr:uid="{00000000-0004-0000-0400-0000940B0000}"/>
    <hyperlink ref="J1484" r:id="rId2966" xr:uid="{00000000-0004-0000-0400-0000950B0000}"/>
    <hyperlink ref="I1485" r:id="rId2967" xr:uid="{00000000-0004-0000-0400-0000960B0000}"/>
    <hyperlink ref="J1485" r:id="rId2968" xr:uid="{00000000-0004-0000-0400-0000970B0000}"/>
    <hyperlink ref="I1486" r:id="rId2969" xr:uid="{00000000-0004-0000-0400-0000980B0000}"/>
    <hyperlink ref="J1486" r:id="rId2970" xr:uid="{00000000-0004-0000-0400-0000990B0000}"/>
    <hyperlink ref="I1487" r:id="rId2971" xr:uid="{00000000-0004-0000-0400-00009A0B0000}"/>
    <hyperlink ref="J1487" r:id="rId2972" xr:uid="{00000000-0004-0000-0400-00009B0B0000}"/>
    <hyperlink ref="I1488" r:id="rId2973" xr:uid="{00000000-0004-0000-0400-00009C0B0000}"/>
    <hyperlink ref="J1488" r:id="rId2974" xr:uid="{00000000-0004-0000-0400-00009D0B0000}"/>
    <hyperlink ref="I1489" r:id="rId2975" xr:uid="{00000000-0004-0000-0400-00009E0B0000}"/>
    <hyperlink ref="J1489" r:id="rId2976" xr:uid="{00000000-0004-0000-0400-00009F0B0000}"/>
    <hyperlink ref="I1490" r:id="rId2977" xr:uid="{00000000-0004-0000-0400-0000A00B0000}"/>
    <hyperlink ref="J1490" r:id="rId2978" xr:uid="{00000000-0004-0000-0400-0000A10B0000}"/>
    <hyperlink ref="I1491" r:id="rId2979" xr:uid="{00000000-0004-0000-0400-0000A20B0000}"/>
    <hyperlink ref="J1491" r:id="rId2980" xr:uid="{00000000-0004-0000-0400-0000A30B0000}"/>
    <hyperlink ref="I1492" r:id="rId2981" xr:uid="{00000000-0004-0000-0400-0000A40B0000}"/>
    <hyperlink ref="J1492" r:id="rId2982" xr:uid="{00000000-0004-0000-0400-0000A50B0000}"/>
    <hyperlink ref="I1493" r:id="rId2983" xr:uid="{00000000-0004-0000-0400-0000A60B0000}"/>
    <hyperlink ref="J1493" r:id="rId2984" xr:uid="{00000000-0004-0000-0400-0000A70B0000}"/>
    <hyperlink ref="I1494" r:id="rId2985" xr:uid="{00000000-0004-0000-0400-0000A80B0000}"/>
    <hyperlink ref="J1494" r:id="rId2986" xr:uid="{00000000-0004-0000-0400-0000A90B0000}"/>
    <hyperlink ref="I1495" r:id="rId2987" xr:uid="{00000000-0004-0000-0400-0000AA0B0000}"/>
    <hyperlink ref="J1495" r:id="rId2988" xr:uid="{00000000-0004-0000-0400-0000AB0B0000}"/>
    <hyperlink ref="I1496" r:id="rId2989" xr:uid="{00000000-0004-0000-0400-0000AC0B0000}"/>
    <hyperlink ref="J1496" r:id="rId2990" xr:uid="{00000000-0004-0000-0400-0000AD0B0000}"/>
    <hyperlink ref="I1497" r:id="rId2991" xr:uid="{00000000-0004-0000-0400-0000AE0B0000}"/>
    <hyperlink ref="J1497" r:id="rId2992" xr:uid="{00000000-0004-0000-0400-0000AF0B0000}"/>
    <hyperlink ref="I1498" r:id="rId2993" xr:uid="{00000000-0004-0000-0400-0000B00B0000}"/>
    <hyperlink ref="J1498" r:id="rId2994" xr:uid="{00000000-0004-0000-0400-0000B10B0000}"/>
    <hyperlink ref="I1499" r:id="rId2995" xr:uid="{00000000-0004-0000-0400-0000B20B0000}"/>
    <hyperlink ref="J1499" r:id="rId2996" xr:uid="{00000000-0004-0000-0400-0000B30B0000}"/>
    <hyperlink ref="I1500" r:id="rId2997" xr:uid="{00000000-0004-0000-0400-0000B40B0000}"/>
    <hyperlink ref="J1500" r:id="rId2998" xr:uid="{00000000-0004-0000-0400-0000B50B0000}"/>
    <hyperlink ref="I1501" r:id="rId2999" xr:uid="{00000000-0004-0000-0400-0000B60B0000}"/>
    <hyperlink ref="J1501" r:id="rId3000" xr:uid="{00000000-0004-0000-0400-0000B70B0000}"/>
    <hyperlink ref="I1502" r:id="rId3001" xr:uid="{00000000-0004-0000-0400-0000B80B0000}"/>
    <hyperlink ref="J1502" r:id="rId3002" xr:uid="{00000000-0004-0000-0400-0000B90B0000}"/>
    <hyperlink ref="I1503" r:id="rId3003" xr:uid="{00000000-0004-0000-0400-0000BA0B0000}"/>
    <hyperlink ref="J1503" r:id="rId3004" xr:uid="{00000000-0004-0000-0400-0000BB0B0000}"/>
    <hyperlink ref="I1504" r:id="rId3005" xr:uid="{00000000-0004-0000-0400-0000BC0B0000}"/>
    <hyperlink ref="J1504" r:id="rId3006" xr:uid="{00000000-0004-0000-0400-0000BD0B0000}"/>
    <hyperlink ref="I1505" r:id="rId3007" xr:uid="{00000000-0004-0000-0400-0000BE0B0000}"/>
    <hyperlink ref="J1505" r:id="rId3008" xr:uid="{00000000-0004-0000-0400-0000BF0B0000}"/>
    <hyperlink ref="I1506" r:id="rId3009" xr:uid="{00000000-0004-0000-0400-0000C00B0000}"/>
    <hyperlink ref="J1506" r:id="rId3010" xr:uid="{00000000-0004-0000-0400-0000C10B0000}"/>
    <hyperlink ref="I1507" r:id="rId3011" xr:uid="{00000000-0004-0000-0400-0000C20B0000}"/>
    <hyperlink ref="J1507" r:id="rId3012" xr:uid="{00000000-0004-0000-0400-0000C30B0000}"/>
    <hyperlink ref="I1508" r:id="rId3013" xr:uid="{00000000-0004-0000-0400-0000C40B0000}"/>
    <hyperlink ref="J1508" r:id="rId3014" xr:uid="{00000000-0004-0000-0400-0000C50B0000}"/>
    <hyperlink ref="I1509" r:id="rId3015" xr:uid="{00000000-0004-0000-0400-0000C60B0000}"/>
    <hyperlink ref="J1509" r:id="rId3016" xr:uid="{00000000-0004-0000-0400-0000C70B0000}"/>
    <hyperlink ref="I1510" r:id="rId3017" xr:uid="{00000000-0004-0000-0400-0000C80B0000}"/>
    <hyperlink ref="J1510" r:id="rId3018" xr:uid="{00000000-0004-0000-0400-0000C90B0000}"/>
    <hyperlink ref="I1511" r:id="rId3019" xr:uid="{00000000-0004-0000-0400-0000CA0B0000}"/>
    <hyperlink ref="J1511" r:id="rId3020" xr:uid="{00000000-0004-0000-0400-0000CB0B0000}"/>
    <hyperlink ref="I1512" r:id="rId3021" xr:uid="{00000000-0004-0000-0400-0000CC0B0000}"/>
    <hyperlink ref="J1512" r:id="rId3022" xr:uid="{00000000-0004-0000-0400-0000CD0B0000}"/>
    <hyperlink ref="I1513" r:id="rId3023" xr:uid="{00000000-0004-0000-0400-0000CE0B0000}"/>
    <hyperlink ref="J1513" r:id="rId3024" xr:uid="{00000000-0004-0000-0400-0000CF0B0000}"/>
    <hyperlink ref="I1514" r:id="rId3025" xr:uid="{00000000-0004-0000-0400-0000D00B0000}"/>
    <hyperlink ref="J1514" r:id="rId3026" xr:uid="{00000000-0004-0000-0400-0000D10B0000}"/>
    <hyperlink ref="I1515" r:id="rId3027" xr:uid="{00000000-0004-0000-0400-0000D20B0000}"/>
    <hyperlink ref="J1515" r:id="rId3028" xr:uid="{00000000-0004-0000-0400-0000D30B0000}"/>
    <hyperlink ref="I1516" r:id="rId3029" xr:uid="{00000000-0004-0000-0400-0000D40B0000}"/>
    <hyperlink ref="J1516" r:id="rId3030" xr:uid="{00000000-0004-0000-0400-0000D50B0000}"/>
    <hyperlink ref="I1517" r:id="rId3031" xr:uid="{00000000-0004-0000-0400-0000D60B0000}"/>
    <hyperlink ref="J1517" r:id="rId3032" xr:uid="{00000000-0004-0000-0400-0000D70B0000}"/>
    <hyperlink ref="I1518" r:id="rId3033" xr:uid="{00000000-0004-0000-0400-0000D80B0000}"/>
    <hyperlink ref="J1518" r:id="rId3034" xr:uid="{00000000-0004-0000-0400-0000D90B0000}"/>
    <hyperlink ref="I1519" r:id="rId3035" xr:uid="{00000000-0004-0000-0400-0000DA0B0000}"/>
    <hyperlink ref="J1519" r:id="rId3036" xr:uid="{00000000-0004-0000-0400-0000DB0B0000}"/>
    <hyperlink ref="I1520" r:id="rId3037" xr:uid="{00000000-0004-0000-0400-0000DC0B0000}"/>
    <hyperlink ref="J1520" r:id="rId3038" xr:uid="{00000000-0004-0000-0400-0000DD0B0000}"/>
    <hyperlink ref="I1521" r:id="rId3039" xr:uid="{00000000-0004-0000-0400-0000DE0B0000}"/>
    <hyperlink ref="J1521" r:id="rId3040" xr:uid="{00000000-0004-0000-0400-0000DF0B0000}"/>
    <hyperlink ref="I1522" r:id="rId3041" xr:uid="{00000000-0004-0000-0400-0000E00B0000}"/>
    <hyperlink ref="J1522" r:id="rId3042" xr:uid="{00000000-0004-0000-0400-0000E10B0000}"/>
    <hyperlink ref="I1523" r:id="rId3043" xr:uid="{00000000-0004-0000-0400-0000E20B0000}"/>
    <hyperlink ref="J1523" r:id="rId3044" xr:uid="{00000000-0004-0000-0400-0000E30B0000}"/>
    <hyperlink ref="I1524" r:id="rId3045" xr:uid="{00000000-0004-0000-0400-0000E40B0000}"/>
    <hyperlink ref="J1524" r:id="rId3046" xr:uid="{00000000-0004-0000-0400-0000E50B0000}"/>
    <hyperlink ref="I1525" r:id="rId3047" xr:uid="{00000000-0004-0000-0400-0000E60B0000}"/>
    <hyperlink ref="J1525" r:id="rId3048" xr:uid="{00000000-0004-0000-0400-0000E70B0000}"/>
    <hyperlink ref="I1526" r:id="rId3049" xr:uid="{00000000-0004-0000-0400-0000E80B0000}"/>
    <hyperlink ref="J1526" r:id="rId3050" xr:uid="{00000000-0004-0000-0400-0000E90B0000}"/>
    <hyperlink ref="I1527" r:id="rId3051" xr:uid="{00000000-0004-0000-0400-0000EA0B0000}"/>
    <hyperlink ref="J1527" r:id="rId3052" xr:uid="{00000000-0004-0000-0400-0000EB0B0000}"/>
    <hyperlink ref="I1528" r:id="rId3053" xr:uid="{00000000-0004-0000-0400-0000EC0B0000}"/>
    <hyperlink ref="J1528" r:id="rId3054" xr:uid="{00000000-0004-0000-0400-0000ED0B0000}"/>
    <hyperlink ref="I1529" r:id="rId3055" xr:uid="{00000000-0004-0000-0400-0000EE0B0000}"/>
    <hyperlink ref="J1529" r:id="rId3056" xr:uid="{00000000-0004-0000-0400-0000EF0B0000}"/>
    <hyperlink ref="I1530" r:id="rId3057" xr:uid="{00000000-0004-0000-0400-0000F00B0000}"/>
    <hyperlink ref="J1530" r:id="rId3058" xr:uid="{00000000-0004-0000-0400-0000F10B0000}"/>
    <hyperlink ref="I1531" r:id="rId3059" xr:uid="{00000000-0004-0000-0400-0000F20B0000}"/>
    <hyperlink ref="J1531" r:id="rId3060" xr:uid="{00000000-0004-0000-0400-0000F30B0000}"/>
    <hyperlink ref="I1532" r:id="rId3061" xr:uid="{00000000-0004-0000-0400-0000F40B0000}"/>
    <hyperlink ref="J1532" r:id="rId3062" xr:uid="{00000000-0004-0000-0400-0000F50B0000}"/>
    <hyperlink ref="I1533" r:id="rId3063" xr:uid="{00000000-0004-0000-0400-0000F60B0000}"/>
    <hyperlink ref="J1533" r:id="rId3064" xr:uid="{00000000-0004-0000-0400-0000F70B0000}"/>
    <hyperlink ref="I1534" r:id="rId3065" xr:uid="{00000000-0004-0000-0400-0000F80B0000}"/>
    <hyperlink ref="J1534" r:id="rId3066" xr:uid="{00000000-0004-0000-0400-0000F90B0000}"/>
    <hyperlink ref="I1535" r:id="rId3067" xr:uid="{00000000-0004-0000-0400-0000FA0B0000}"/>
    <hyperlink ref="J1535" r:id="rId3068" xr:uid="{00000000-0004-0000-0400-0000FB0B0000}"/>
    <hyperlink ref="I1536" r:id="rId3069" xr:uid="{00000000-0004-0000-0400-0000FC0B0000}"/>
    <hyperlink ref="J1536" r:id="rId3070" xr:uid="{00000000-0004-0000-0400-0000FD0B0000}"/>
    <hyperlink ref="I1537" r:id="rId3071" xr:uid="{00000000-0004-0000-0400-0000FE0B0000}"/>
    <hyperlink ref="J1537" r:id="rId3072" xr:uid="{00000000-0004-0000-0400-0000FF0B0000}"/>
    <hyperlink ref="I1538" r:id="rId3073" xr:uid="{00000000-0004-0000-0400-0000000C0000}"/>
    <hyperlink ref="J1538" r:id="rId3074" xr:uid="{00000000-0004-0000-0400-0000010C0000}"/>
    <hyperlink ref="I1539" r:id="rId3075" xr:uid="{00000000-0004-0000-0400-0000020C0000}"/>
    <hyperlink ref="J1539" r:id="rId3076" xr:uid="{00000000-0004-0000-0400-0000030C0000}"/>
    <hyperlink ref="I1540" r:id="rId3077" xr:uid="{00000000-0004-0000-0400-0000040C0000}"/>
    <hyperlink ref="J1540" r:id="rId3078" xr:uid="{00000000-0004-0000-0400-0000050C0000}"/>
    <hyperlink ref="I1541" r:id="rId3079" xr:uid="{00000000-0004-0000-0400-0000060C0000}"/>
    <hyperlink ref="J1541" r:id="rId3080" xr:uid="{00000000-0004-0000-0400-0000070C0000}"/>
    <hyperlink ref="I1542" r:id="rId3081" xr:uid="{00000000-0004-0000-0400-0000080C0000}"/>
    <hyperlink ref="J1542" r:id="rId3082" xr:uid="{00000000-0004-0000-0400-0000090C0000}"/>
    <hyperlink ref="I1543" r:id="rId3083" xr:uid="{00000000-0004-0000-0400-00000A0C0000}"/>
    <hyperlink ref="J1543" r:id="rId3084" xr:uid="{00000000-0004-0000-0400-00000B0C0000}"/>
    <hyperlink ref="I1544" r:id="rId3085" xr:uid="{00000000-0004-0000-0400-00000C0C0000}"/>
    <hyperlink ref="J1544" r:id="rId3086" xr:uid="{00000000-0004-0000-0400-00000D0C0000}"/>
    <hyperlink ref="I1545" r:id="rId3087" xr:uid="{00000000-0004-0000-0400-00000E0C0000}"/>
    <hyperlink ref="J1545" r:id="rId3088" xr:uid="{00000000-0004-0000-0400-00000F0C0000}"/>
    <hyperlink ref="I1546" r:id="rId3089" xr:uid="{00000000-0004-0000-0400-0000100C0000}"/>
    <hyperlink ref="J1546" r:id="rId3090" xr:uid="{00000000-0004-0000-0400-0000110C0000}"/>
    <hyperlink ref="I1547" r:id="rId3091" xr:uid="{00000000-0004-0000-0400-0000120C0000}"/>
    <hyperlink ref="J1547" r:id="rId3092" xr:uid="{00000000-0004-0000-0400-0000130C0000}"/>
    <hyperlink ref="I1548" r:id="rId3093" xr:uid="{00000000-0004-0000-0400-0000140C0000}"/>
    <hyperlink ref="J1548" r:id="rId3094" xr:uid="{00000000-0004-0000-0400-0000150C0000}"/>
    <hyperlink ref="I1549" r:id="rId3095" xr:uid="{00000000-0004-0000-0400-0000160C0000}"/>
    <hyperlink ref="J1549" r:id="rId3096" xr:uid="{00000000-0004-0000-0400-0000170C0000}"/>
    <hyperlink ref="I1550" r:id="rId3097" xr:uid="{00000000-0004-0000-0400-0000180C0000}"/>
    <hyperlink ref="J1550" r:id="rId3098" xr:uid="{00000000-0004-0000-0400-0000190C0000}"/>
    <hyperlink ref="I1551" r:id="rId3099" xr:uid="{00000000-0004-0000-0400-00001A0C0000}"/>
    <hyperlink ref="J1551" r:id="rId3100" xr:uid="{00000000-0004-0000-0400-00001B0C0000}"/>
    <hyperlink ref="I1552" r:id="rId3101" xr:uid="{00000000-0004-0000-0400-00001C0C0000}"/>
    <hyperlink ref="J1552" r:id="rId3102" xr:uid="{00000000-0004-0000-0400-00001D0C0000}"/>
    <hyperlink ref="I1553" r:id="rId3103" xr:uid="{00000000-0004-0000-0400-00001E0C0000}"/>
    <hyperlink ref="J1553" r:id="rId3104" xr:uid="{00000000-0004-0000-0400-00001F0C0000}"/>
    <hyperlink ref="I1554" r:id="rId3105" xr:uid="{00000000-0004-0000-0400-0000200C0000}"/>
    <hyperlink ref="J1554" r:id="rId3106" xr:uid="{00000000-0004-0000-0400-0000210C0000}"/>
    <hyperlink ref="I1555" r:id="rId3107" xr:uid="{00000000-0004-0000-0400-0000220C0000}"/>
    <hyperlink ref="J1555" r:id="rId3108" xr:uid="{00000000-0004-0000-0400-0000230C0000}"/>
    <hyperlink ref="I1556" r:id="rId3109" xr:uid="{00000000-0004-0000-0400-0000240C0000}"/>
    <hyperlink ref="J1556" r:id="rId3110" xr:uid="{00000000-0004-0000-0400-0000250C0000}"/>
    <hyperlink ref="I1557" r:id="rId3111" xr:uid="{00000000-0004-0000-0400-0000260C0000}"/>
    <hyperlink ref="J1557" r:id="rId3112" xr:uid="{00000000-0004-0000-0400-0000270C0000}"/>
    <hyperlink ref="I1558" r:id="rId3113" xr:uid="{00000000-0004-0000-0400-0000280C0000}"/>
    <hyperlink ref="J1558" r:id="rId3114" xr:uid="{00000000-0004-0000-0400-0000290C0000}"/>
    <hyperlink ref="I1559" r:id="rId3115" xr:uid="{00000000-0004-0000-0400-00002A0C0000}"/>
    <hyperlink ref="J1559" r:id="rId3116" xr:uid="{00000000-0004-0000-0400-00002B0C0000}"/>
    <hyperlink ref="I1560" r:id="rId3117" xr:uid="{00000000-0004-0000-0400-00002C0C0000}"/>
    <hyperlink ref="J1560" r:id="rId3118" xr:uid="{00000000-0004-0000-0400-00002D0C0000}"/>
    <hyperlink ref="I1561" r:id="rId3119" xr:uid="{00000000-0004-0000-0400-00002E0C0000}"/>
    <hyperlink ref="J1561" r:id="rId3120" xr:uid="{00000000-0004-0000-0400-00002F0C0000}"/>
    <hyperlink ref="I1562" r:id="rId3121" xr:uid="{00000000-0004-0000-0400-0000300C0000}"/>
    <hyperlink ref="J1562" r:id="rId3122" xr:uid="{00000000-0004-0000-0400-0000310C0000}"/>
    <hyperlink ref="I1563" r:id="rId3123" xr:uid="{00000000-0004-0000-0400-0000320C0000}"/>
    <hyperlink ref="J1563" r:id="rId3124" xr:uid="{00000000-0004-0000-0400-0000330C0000}"/>
    <hyperlink ref="I1564" r:id="rId3125" xr:uid="{00000000-0004-0000-0400-0000340C0000}"/>
    <hyperlink ref="J1564" r:id="rId3126" xr:uid="{00000000-0004-0000-0400-0000350C0000}"/>
    <hyperlink ref="I1565" r:id="rId3127" xr:uid="{00000000-0004-0000-0400-0000360C0000}"/>
    <hyperlink ref="J1565" r:id="rId3128" xr:uid="{00000000-0004-0000-0400-0000370C0000}"/>
    <hyperlink ref="I1566" r:id="rId3129" xr:uid="{00000000-0004-0000-0400-0000380C0000}"/>
    <hyperlink ref="J1566" r:id="rId3130" xr:uid="{00000000-0004-0000-0400-0000390C0000}"/>
    <hyperlink ref="I1567" r:id="rId3131" xr:uid="{00000000-0004-0000-0400-00003A0C0000}"/>
    <hyperlink ref="J1567" r:id="rId3132" xr:uid="{00000000-0004-0000-0400-00003B0C0000}"/>
    <hyperlink ref="I1568" r:id="rId3133" xr:uid="{00000000-0004-0000-0400-00003C0C0000}"/>
    <hyperlink ref="J1568" r:id="rId3134" xr:uid="{00000000-0004-0000-0400-00003D0C0000}"/>
    <hyperlink ref="I1569" r:id="rId3135" xr:uid="{00000000-0004-0000-0400-00003E0C0000}"/>
    <hyperlink ref="J1569" r:id="rId3136" xr:uid="{00000000-0004-0000-0400-00003F0C0000}"/>
    <hyperlink ref="I1570" r:id="rId3137" xr:uid="{00000000-0004-0000-0400-0000400C0000}"/>
    <hyperlink ref="J1570" r:id="rId3138" xr:uid="{00000000-0004-0000-0400-0000410C0000}"/>
    <hyperlink ref="I1571" r:id="rId3139" xr:uid="{00000000-0004-0000-0400-0000420C0000}"/>
    <hyperlink ref="J1571" r:id="rId3140" xr:uid="{00000000-0004-0000-0400-0000430C0000}"/>
    <hyperlink ref="I1572" r:id="rId3141" xr:uid="{00000000-0004-0000-0400-0000440C0000}"/>
    <hyperlink ref="J1572" r:id="rId3142" xr:uid="{00000000-0004-0000-0400-0000450C0000}"/>
    <hyperlink ref="I1573" r:id="rId3143" xr:uid="{00000000-0004-0000-0400-0000460C0000}"/>
    <hyperlink ref="J1573" r:id="rId3144" xr:uid="{00000000-0004-0000-0400-0000470C0000}"/>
    <hyperlink ref="I1574" r:id="rId3145" xr:uid="{00000000-0004-0000-0400-0000480C0000}"/>
    <hyperlink ref="J1574" r:id="rId3146" xr:uid="{00000000-0004-0000-0400-0000490C0000}"/>
    <hyperlink ref="I1575" r:id="rId3147" xr:uid="{00000000-0004-0000-0400-00004A0C0000}"/>
    <hyperlink ref="J1575" r:id="rId3148" xr:uid="{00000000-0004-0000-0400-00004B0C0000}"/>
    <hyperlink ref="I1576" r:id="rId3149" xr:uid="{00000000-0004-0000-0400-00004C0C0000}"/>
    <hyperlink ref="J1576" r:id="rId3150" xr:uid="{00000000-0004-0000-0400-00004D0C0000}"/>
    <hyperlink ref="I1577" r:id="rId3151" xr:uid="{00000000-0004-0000-0400-00004E0C0000}"/>
    <hyperlink ref="J1577" r:id="rId3152" xr:uid="{00000000-0004-0000-0400-00004F0C0000}"/>
    <hyperlink ref="I1578" r:id="rId3153" xr:uid="{00000000-0004-0000-0400-0000500C0000}"/>
    <hyperlink ref="J1578" r:id="rId3154" xr:uid="{00000000-0004-0000-0400-0000510C0000}"/>
    <hyperlink ref="I1579" r:id="rId3155" xr:uid="{00000000-0004-0000-0400-0000520C0000}"/>
    <hyperlink ref="J1579" r:id="rId3156" xr:uid="{00000000-0004-0000-0400-0000530C0000}"/>
    <hyperlink ref="I1580" r:id="rId3157" xr:uid="{00000000-0004-0000-0400-0000540C0000}"/>
    <hyperlink ref="J1580" r:id="rId3158" xr:uid="{00000000-0004-0000-0400-0000550C0000}"/>
    <hyperlink ref="I1581" r:id="rId3159" xr:uid="{00000000-0004-0000-0400-0000560C0000}"/>
    <hyperlink ref="J1581" r:id="rId3160" xr:uid="{00000000-0004-0000-0400-0000570C0000}"/>
    <hyperlink ref="I1582" r:id="rId3161" xr:uid="{00000000-0004-0000-0400-0000580C0000}"/>
    <hyperlink ref="J1582" r:id="rId3162" xr:uid="{00000000-0004-0000-0400-0000590C0000}"/>
    <hyperlink ref="I1583" r:id="rId3163" xr:uid="{00000000-0004-0000-0400-00005A0C0000}"/>
    <hyperlink ref="J1583" r:id="rId3164" xr:uid="{00000000-0004-0000-0400-00005B0C0000}"/>
    <hyperlink ref="I1584" r:id="rId3165" xr:uid="{00000000-0004-0000-0400-00005C0C0000}"/>
    <hyperlink ref="J1584" r:id="rId3166" xr:uid="{00000000-0004-0000-0400-00005D0C0000}"/>
    <hyperlink ref="I1585" r:id="rId3167" xr:uid="{00000000-0004-0000-0400-00005E0C0000}"/>
    <hyperlink ref="J1585" r:id="rId3168" xr:uid="{00000000-0004-0000-0400-00005F0C0000}"/>
    <hyperlink ref="I1586" r:id="rId3169" xr:uid="{00000000-0004-0000-0400-0000600C0000}"/>
    <hyperlink ref="J1586" r:id="rId3170" xr:uid="{00000000-0004-0000-0400-0000610C0000}"/>
    <hyperlink ref="I1587" r:id="rId3171" xr:uid="{00000000-0004-0000-0400-0000620C0000}"/>
    <hyperlink ref="J1587" r:id="rId3172" xr:uid="{00000000-0004-0000-0400-0000630C0000}"/>
    <hyperlink ref="I1588" r:id="rId3173" xr:uid="{00000000-0004-0000-0400-0000640C0000}"/>
    <hyperlink ref="J1588" r:id="rId3174" xr:uid="{00000000-0004-0000-0400-0000650C0000}"/>
    <hyperlink ref="I1589" r:id="rId3175" xr:uid="{00000000-0004-0000-0400-0000660C0000}"/>
    <hyperlink ref="J1589" r:id="rId3176" xr:uid="{00000000-0004-0000-0400-0000670C0000}"/>
    <hyperlink ref="I1590" r:id="rId3177" xr:uid="{00000000-0004-0000-0400-0000680C0000}"/>
    <hyperlink ref="J1590" r:id="rId3178" xr:uid="{00000000-0004-0000-0400-0000690C0000}"/>
    <hyperlink ref="I1591" r:id="rId3179" xr:uid="{00000000-0004-0000-0400-00006A0C0000}"/>
    <hyperlink ref="J1591" r:id="rId3180" xr:uid="{00000000-0004-0000-0400-00006B0C0000}"/>
    <hyperlink ref="I1592" r:id="rId3181" xr:uid="{00000000-0004-0000-0400-00006C0C0000}"/>
    <hyperlink ref="J1592" r:id="rId3182" xr:uid="{00000000-0004-0000-0400-00006D0C0000}"/>
    <hyperlink ref="I1593" r:id="rId3183" xr:uid="{00000000-0004-0000-0400-00006E0C0000}"/>
    <hyperlink ref="J1593" r:id="rId3184" xr:uid="{00000000-0004-0000-0400-00006F0C0000}"/>
    <hyperlink ref="I1594" r:id="rId3185" xr:uid="{00000000-0004-0000-0400-0000700C0000}"/>
    <hyperlink ref="J1594" r:id="rId3186" xr:uid="{00000000-0004-0000-0400-0000710C0000}"/>
    <hyperlink ref="I1595" r:id="rId3187" xr:uid="{00000000-0004-0000-0400-0000720C0000}"/>
    <hyperlink ref="J1595" r:id="rId3188" xr:uid="{00000000-0004-0000-0400-0000730C0000}"/>
    <hyperlink ref="I1596" r:id="rId3189" xr:uid="{00000000-0004-0000-0400-0000740C0000}"/>
    <hyperlink ref="J1596" r:id="rId3190" xr:uid="{00000000-0004-0000-0400-0000750C0000}"/>
    <hyperlink ref="I1597" r:id="rId3191" xr:uid="{00000000-0004-0000-0400-0000760C0000}"/>
    <hyperlink ref="J1597" r:id="rId3192" xr:uid="{00000000-0004-0000-0400-0000770C0000}"/>
    <hyperlink ref="I1598" r:id="rId3193" xr:uid="{00000000-0004-0000-0400-0000780C0000}"/>
    <hyperlink ref="J1598" r:id="rId3194" xr:uid="{00000000-0004-0000-0400-0000790C0000}"/>
    <hyperlink ref="I1599" r:id="rId3195" xr:uid="{00000000-0004-0000-0400-00007A0C0000}"/>
    <hyperlink ref="J1599" r:id="rId3196" xr:uid="{00000000-0004-0000-0400-00007B0C0000}"/>
    <hyperlink ref="I1600" r:id="rId3197" xr:uid="{00000000-0004-0000-0400-00007C0C0000}"/>
    <hyperlink ref="J1600" r:id="rId3198" xr:uid="{00000000-0004-0000-0400-00007D0C0000}"/>
    <hyperlink ref="I1601" r:id="rId3199" xr:uid="{00000000-0004-0000-0400-00007E0C0000}"/>
    <hyperlink ref="J1601" r:id="rId3200" xr:uid="{00000000-0004-0000-0400-00007F0C0000}"/>
    <hyperlink ref="I1602" r:id="rId3201" xr:uid="{00000000-0004-0000-0400-0000800C0000}"/>
    <hyperlink ref="J1602" r:id="rId3202" xr:uid="{00000000-0004-0000-0400-0000810C0000}"/>
    <hyperlink ref="I1603" r:id="rId3203" xr:uid="{00000000-0004-0000-0400-0000820C0000}"/>
    <hyperlink ref="J1603" r:id="rId3204" xr:uid="{00000000-0004-0000-0400-0000830C0000}"/>
    <hyperlink ref="I1604" r:id="rId3205" xr:uid="{00000000-0004-0000-0400-0000840C0000}"/>
    <hyperlink ref="J1604" r:id="rId3206" xr:uid="{00000000-0004-0000-0400-0000850C0000}"/>
    <hyperlink ref="I1605" r:id="rId3207" xr:uid="{00000000-0004-0000-0400-0000860C0000}"/>
    <hyperlink ref="J1605" r:id="rId3208" xr:uid="{00000000-0004-0000-0400-0000870C0000}"/>
    <hyperlink ref="I1606" r:id="rId3209" xr:uid="{00000000-0004-0000-0400-0000880C0000}"/>
    <hyperlink ref="J1606" r:id="rId3210" xr:uid="{00000000-0004-0000-0400-0000890C0000}"/>
    <hyperlink ref="I1607" r:id="rId3211" xr:uid="{00000000-0004-0000-0400-00008A0C0000}"/>
    <hyperlink ref="J1607" r:id="rId3212" xr:uid="{00000000-0004-0000-0400-00008B0C0000}"/>
    <hyperlink ref="I1608" r:id="rId3213" xr:uid="{00000000-0004-0000-0400-00008C0C0000}"/>
    <hyperlink ref="J1608" r:id="rId3214" xr:uid="{00000000-0004-0000-0400-00008D0C0000}"/>
    <hyperlink ref="I1609" r:id="rId3215" xr:uid="{00000000-0004-0000-0400-00008E0C0000}"/>
    <hyperlink ref="J1609" r:id="rId3216" xr:uid="{00000000-0004-0000-0400-00008F0C0000}"/>
    <hyperlink ref="I1610" r:id="rId3217" xr:uid="{00000000-0004-0000-0400-0000900C0000}"/>
    <hyperlink ref="J1610" r:id="rId3218" xr:uid="{00000000-0004-0000-0400-0000910C0000}"/>
    <hyperlink ref="I1611" r:id="rId3219" xr:uid="{00000000-0004-0000-0400-0000920C0000}"/>
    <hyperlink ref="J1611" r:id="rId3220" xr:uid="{00000000-0004-0000-0400-0000930C0000}"/>
    <hyperlink ref="I1612" r:id="rId3221" xr:uid="{00000000-0004-0000-0400-0000940C0000}"/>
    <hyperlink ref="J1612" r:id="rId3222" xr:uid="{00000000-0004-0000-0400-0000950C0000}"/>
    <hyperlink ref="I1613" r:id="rId3223" xr:uid="{00000000-0004-0000-0400-0000960C0000}"/>
    <hyperlink ref="J1613" r:id="rId3224" xr:uid="{00000000-0004-0000-0400-0000970C0000}"/>
    <hyperlink ref="I1614" r:id="rId3225" xr:uid="{00000000-0004-0000-0400-0000980C0000}"/>
    <hyperlink ref="J1614" r:id="rId3226" xr:uid="{00000000-0004-0000-0400-0000990C0000}"/>
    <hyperlink ref="I1615" r:id="rId3227" xr:uid="{00000000-0004-0000-0400-00009A0C0000}"/>
    <hyperlink ref="J1615" r:id="rId3228" xr:uid="{00000000-0004-0000-0400-00009B0C0000}"/>
    <hyperlink ref="I1616" r:id="rId3229" xr:uid="{00000000-0004-0000-0400-00009C0C0000}"/>
    <hyperlink ref="J1616" r:id="rId3230" xr:uid="{00000000-0004-0000-0400-00009D0C0000}"/>
    <hyperlink ref="I1617" r:id="rId3231" xr:uid="{00000000-0004-0000-0400-00009E0C0000}"/>
    <hyperlink ref="J1617" r:id="rId3232" xr:uid="{00000000-0004-0000-0400-00009F0C0000}"/>
    <hyperlink ref="I1618" r:id="rId3233" xr:uid="{00000000-0004-0000-0400-0000A00C0000}"/>
    <hyperlink ref="J1618" r:id="rId3234" xr:uid="{00000000-0004-0000-0400-0000A10C0000}"/>
    <hyperlink ref="I1619" r:id="rId3235" xr:uid="{00000000-0004-0000-0400-0000A20C0000}"/>
    <hyperlink ref="J1619" r:id="rId3236" xr:uid="{00000000-0004-0000-0400-0000A30C0000}"/>
    <hyperlink ref="I1620" r:id="rId3237" xr:uid="{00000000-0004-0000-0400-0000A40C0000}"/>
    <hyperlink ref="J1620" r:id="rId3238" xr:uid="{00000000-0004-0000-0400-0000A50C0000}"/>
    <hyperlink ref="I1621" r:id="rId3239" xr:uid="{00000000-0004-0000-0400-0000A60C0000}"/>
    <hyperlink ref="J1621" r:id="rId3240" xr:uid="{00000000-0004-0000-0400-0000A70C0000}"/>
    <hyperlink ref="I1622" r:id="rId3241" xr:uid="{00000000-0004-0000-0400-0000A80C0000}"/>
    <hyperlink ref="J1622" r:id="rId3242" xr:uid="{00000000-0004-0000-0400-0000A90C0000}"/>
    <hyperlink ref="I1623" r:id="rId3243" xr:uid="{00000000-0004-0000-0400-0000AA0C0000}"/>
    <hyperlink ref="J1623" r:id="rId3244" xr:uid="{00000000-0004-0000-0400-0000AB0C0000}"/>
    <hyperlink ref="I1624" r:id="rId3245" xr:uid="{00000000-0004-0000-0400-0000AC0C0000}"/>
    <hyperlink ref="J1624" r:id="rId3246" xr:uid="{00000000-0004-0000-0400-0000AD0C0000}"/>
    <hyperlink ref="I1625" r:id="rId3247" xr:uid="{00000000-0004-0000-0400-0000AE0C0000}"/>
    <hyperlink ref="J1625" r:id="rId3248" xr:uid="{00000000-0004-0000-0400-0000AF0C0000}"/>
    <hyperlink ref="I1626" r:id="rId3249" xr:uid="{00000000-0004-0000-0400-0000B00C0000}"/>
    <hyperlink ref="J1626" r:id="rId3250" xr:uid="{00000000-0004-0000-0400-0000B10C0000}"/>
    <hyperlink ref="I1627" r:id="rId3251" xr:uid="{00000000-0004-0000-0400-0000B20C0000}"/>
    <hyperlink ref="J1627" r:id="rId3252" xr:uid="{00000000-0004-0000-0400-0000B30C0000}"/>
    <hyperlink ref="I1628" r:id="rId3253" xr:uid="{00000000-0004-0000-0400-0000B40C0000}"/>
    <hyperlink ref="J1628" r:id="rId3254" xr:uid="{00000000-0004-0000-0400-0000B50C0000}"/>
    <hyperlink ref="I1629" r:id="rId3255" xr:uid="{00000000-0004-0000-0400-0000B60C0000}"/>
    <hyperlink ref="J1629" r:id="rId3256" xr:uid="{00000000-0004-0000-0400-0000B70C0000}"/>
    <hyperlink ref="I1630" r:id="rId3257" xr:uid="{00000000-0004-0000-0400-0000B80C0000}"/>
    <hyperlink ref="J1630" r:id="rId3258" xr:uid="{00000000-0004-0000-0400-0000B90C0000}"/>
    <hyperlink ref="I1631" r:id="rId3259" xr:uid="{00000000-0004-0000-0400-0000BA0C0000}"/>
    <hyperlink ref="J1631" r:id="rId3260" xr:uid="{00000000-0004-0000-0400-0000BB0C0000}"/>
    <hyperlink ref="I1632" r:id="rId3261" xr:uid="{00000000-0004-0000-0400-0000BC0C0000}"/>
    <hyperlink ref="J1632" r:id="rId3262" xr:uid="{00000000-0004-0000-0400-0000BD0C0000}"/>
    <hyperlink ref="I1633" r:id="rId3263" xr:uid="{00000000-0004-0000-0400-0000BE0C0000}"/>
    <hyperlink ref="J1633" r:id="rId3264" xr:uid="{00000000-0004-0000-0400-0000BF0C0000}"/>
    <hyperlink ref="I1634" r:id="rId3265" xr:uid="{00000000-0004-0000-0400-0000C00C0000}"/>
    <hyperlink ref="J1634" r:id="rId3266" xr:uid="{00000000-0004-0000-0400-0000C10C0000}"/>
    <hyperlink ref="I1635" r:id="rId3267" xr:uid="{00000000-0004-0000-0400-0000C20C0000}"/>
    <hyperlink ref="J1635" r:id="rId3268" xr:uid="{00000000-0004-0000-0400-0000C30C0000}"/>
    <hyperlink ref="I1636" r:id="rId3269" xr:uid="{00000000-0004-0000-0400-0000C40C0000}"/>
    <hyperlink ref="J1636" r:id="rId3270" xr:uid="{00000000-0004-0000-0400-0000C50C0000}"/>
    <hyperlink ref="I1637" r:id="rId3271" xr:uid="{00000000-0004-0000-0400-0000C60C0000}"/>
    <hyperlink ref="J1637" r:id="rId3272" xr:uid="{00000000-0004-0000-0400-0000C70C0000}"/>
    <hyperlink ref="I1638" r:id="rId3273" xr:uid="{00000000-0004-0000-0400-0000C80C0000}"/>
    <hyperlink ref="J1638" r:id="rId3274" xr:uid="{00000000-0004-0000-0400-0000C90C0000}"/>
    <hyperlink ref="I1639" r:id="rId3275" xr:uid="{00000000-0004-0000-0400-0000CA0C0000}"/>
    <hyperlink ref="J1639" r:id="rId3276" xr:uid="{00000000-0004-0000-0400-0000CB0C0000}"/>
    <hyperlink ref="I1640" r:id="rId3277" xr:uid="{00000000-0004-0000-0400-0000CC0C0000}"/>
    <hyperlink ref="J1640" r:id="rId3278" xr:uid="{00000000-0004-0000-0400-0000CD0C0000}"/>
    <hyperlink ref="I1641" r:id="rId3279" xr:uid="{00000000-0004-0000-0400-0000CE0C0000}"/>
    <hyperlink ref="J1641" r:id="rId3280" xr:uid="{00000000-0004-0000-0400-0000CF0C0000}"/>
    <hyperlink ref="I1642" r:id="rId3281" xr:uid="{00000000-0004-0000-0400-0000D00C0000}"/>
    <hyperlink ref="J1642" r:id="rId3282" xr:uid="{00000000-0004-0000-0400-0000D10C0000}"/>
    <hyperlink ref="I1643" r:id="rId3283" xr:uid="{00000000-0004-0000-0400-0000D20C0000}"/>
    <hyperlink ref="J1643" r:id="rId3284" xr:uid="{00000000-0004-0000-0400-0000D30C0000}"/>
    <hyperlink ref="I1644" r:id="rId3285" xr:uid="{00000000-0004-0000-0400-0000D40C0000}"/>
    <hyperlink ref="J1644" r:id="rId3286" xr:uid="{00000000-0004-0000-0400-0000D50C0000}"/>
    <hyperlink ref="I1645" r:id="rId3287" xr:uid="{00000000-0004-0000-0400-0000D60C0000}"/>
    <hyperlink ref="J1645" r:id="rId3288" xr:uid="{00000000-0004-0000-0400-0000D70C0000}"/>
    <hyperlink ref="I1646" r:id="rId3289" xr:uid="{00000000-0004-0000-0400-0000D80C0000}"/>
    <hyperlink ref="J1646" r:id="rId3290" xr:uid="{00000000-0004-0000-0400-0000D90C0000}"/>
    <hyperlink ref="I1647" r:id="rId3291" xr:uid="{00000000-0004-0000-0400-0000DA0C0000}"/>
    <hyperlink ref="J1647" r:id="rId3292" xr:uid="{00000000-0004-0000-0400-0000DB0C0000}"/>
    <hyperlink ref="I1648" r:id="rId3293" xr:uid="{00000000-0004-0000-0400-0000DC0C0000}"/>
    <hyperlink ref="J1648" r:id="rId3294" xr:uid="{00000000-0004-0000-0400-0000DD0C0000}"/>
    <hyperlink ref="I1649" r:id="rId3295" xr:uid="{00000000-0004-0000-0400-0000DE0C0000}"/>
    <hyperlink ref="J1649" r:id="rId3296" xr:uid="{00000000-0004-0000-0400-0000DF0C0000}"/>
    <hyperlink ref="I1650" r:id="rId3297" xr:uid="{00000000-0004-0000-0400-0000E00C0000}"/>
    <hyperlink ref="J1650" r:id="rId3298" xr:uid="{00000000-0004-0000-0400-0000E10C0000}"/>
    <hyperlink ref="I1651" r:id="rId3299" xr:uid="{00000000-0004-0000-0400-0000E20C0000}"/>
    <hyperlink ref="J1651" r:id="rId3300" xr:uid="{00000000-0004-0000-0400-0000E30C0000}"/>
    <hyperlink ref="I1652" r:id="rId3301" xr:uid="{00000000-0004-0000-0400-0000E40C0000}"/>
    <hyperlink ref="J1652" r:id="rId3302" xr:uid="{00000000-0004-0000-0400-0000E50C0000}"/>
    <hyperlink ref="I1653" r:id="rId3303" xr:uid="{00000000-0004-0000-0400-0000E60C0000}"/>
    <hyperlink ref="J1653" r:id="rId3304" xr:uid="{00000000-0004-0000-0400-0000E70C0000}"/>
    <hyperlink ref="I1654" r:id="rId3305" xr:uid="{00000000-0004-0000-0400-0000E80C0000}"/>
    <hyperlink ref="J1654" r:id="rId3306" xr:uid="{00000000-0004-0000-0400-0000E90C0000}"/>
    <hyperlink ref="I1655" r:id="rId3307" xr:uid="{00000000-0004-0000-0400-0000EA0C0000}"/>
    <hyperlink ref="J1655" r:id="rId3308" xr:uid="{00000000-0004-0000-0400-0000EB0C0000}"/>
    <hyperlink ref="I1656" r:id="rId3309" xr:uid="{00000000-0004-0000-0400-0000EC0C0000}"/>
    <hyperlink ref="J1656" r:id="rId3310" xr:uid="{00000000-0004-0000-0400-0000ED0C0000}"/>
    <hyperlink ref="I1657" r:id="rId3311" xr:uid="{00000000-0004-0000-0400-0000EE0C0000}"/>
    <hyperlink ref="J1657" r:id="rId3312" xr:uid="{00000000-0004-0000-0400-0000EF0C0000}"/>
    <hyperlink ref="I1658" r:id="rId3313" xr:uid="{00000000-0004-0000-0400-0000F00C0000}"/>
    <hyperlink ref="J1658" r:id="rId3314" xr:uid="{00000000-0004-0000-0400-0000F10C0000}"/>
    <hyperlink ref="I1659" r:id="rId3315" xr:uid="{00000000-0004-0000-0400-0000F20C0000}"/>
    <hyperlink ref="J1659" r:id="rId3316" xr:uid="{00000000-0004-0000-0400-0000F30C0000}"/>
    <hyperlink ref="I1660" r:id="rId3317" xr:uid="{00000000-0004-0000-0400-0000F40C0000}"/>
    <hyperlink ref="J1660" r:id="rId3318" xr:uid="{00000000-0004-0000-0400-0000F50C0000}"/>
    <hyperlink ref="I1661" r:id="rId3319" xr:uid="{00000000-0004-0000-0400-0000F60C0000}"/>
    <hyperlink ref="J1661" r:id="rId3320" xr:uid="{00000000-0004-0000-0400-0000F70C0000}"/>
    <hyperlink ref="I1662" r:id="rId3321" xr:uid="{00000000-0004-0000-0400-0000F80C0000}"/>
    <hyperlink ref="J1662" r:id="rId3322" xr:uid="{00000000-0004-0000-0400-0000F90C0000}"/>
    <hyperlink ref="I1663" r:id="rId3323" xr:uid="{00000000-0004-0000-0400-0000FA0C0000}"/>
    <hyperlink ref="J1663" r:id="rId3324" xr:uid="{00000000-0004-0000-0400-0000FB0C0000}"/>
    <hyperlink ref="I1664" r:id="rId3325" xr:uid="{00000000-0004-0000-0400-0000FC0C0000}"/>
    <hyperlink ref="J1664" r:id="rId3326" xr:uid="{00000000-0004-0000-0400-0000FD0C0000}"/>
    <hyperlink ref="I1665" r:id="rId3327" xr:uid="{00000000-0004-0000-0400-0000FE0C0000}"/>
    <hyperlink ref="J1665" r:id="rId3328" xr:uid="{00000000-0004-0000-0400-0000FF0C0000}"/>
    <hyperlink ref="I1666" r:id="rId3329" xr:uid="{00000000-0004-0000-0400-0000000D0000}"/>
    <hyperlink ref="J1666" r:id="rId3330" xr:uid="{00000000-0004-0000-0400-0000010D0000}"/>
    <hyperlink ref="I1667" r:id="rId3331" xr:uid="{00000000-0004-0000-0400-0000020D0000}"/>
    <hyperlink ref="J1667" r:id="rId3332" xr:uid="{00000000-0004-0000-0400-0000030D0000}"/>
    <hyperlink ref="I1668" r:id="rId3333" xr:uid="{00000000-0004-0000-0400-0000040D0000}"/>
    <hyperlink ref="J1668" r:id="rId3334" xr:uid="{00000000-0004-0000-0400-0000050D0000}"/>
    <hyperlink ref="I1669" r:id="rId3335" xr:uid="{00000000-0004-0000-0400-0000060D0000}"/>
    <hyperlink ref="J1669" r:id="rId3336" xr:uid="{00000000-0004-0000-0400-0000070D0000}"/>
    <hyperlink ref="I1670" r:id="rId3337" xr:uid="{00000000-0004-0000-0400-0000080D0000}"/>
    <hyperlink ref="J1670" r:id="rId3338" xr:uid="{00000000-0004-0000-0400-0000090D0000}"/>
    <hyperlink ref="I1671" r:id="rId3339" xr:uid="{00000000-0004-0000-0400-00000A0D0000}"/>
    <hyperlink ref="J1671" r:id="rId3340" xr:uid="{00000000-0004-0000-0400-00000B0D0000}"/>
    <hyperlink ref="I1672" r:id="rId3341" xr:uid="{00000000-0004-0000-0400-00000C0D0000}"/>
    <hyperlink ref="J1672" r:id="rId3342" xr:uid="{00000000-0004-0000-0400-00000D0D0000}"/>
    <hyperlink ref="I1673" r:id="rId3343" xr:uid="{00000000-0004-0000-0400-00000E0D0000}"/>
    <hyperlink ref="J1673" r:id="rId3344" xr:uid="{00000000-0004-0000-0400-00000F0D0000}"/>
    <hyperlink ref="I1674" r:id="rId3345" xr:uid="{00000000-0004-0000-0400-0000100D0000}"/>
    <hyperlink ref="J1674" r:id="rId3346" xr:uid="{00000000-0004-0000-0400-0000110D0000}"/>
    <hyperlink ref="I1675" r:id="rId3347" xr:uid="{00000000-0004-0000-0400-0000120D0000}"/>
    <hyperlink ref="J1675" r:id="rId3348" xr:uid="{00000000-0004-0000-0400-0000130D0000}"/>
    <hyperlink ref="I1676" r:id="rId3349" xr:uid="{00000000-0004-0000-0400-0000140D0000}"/>
    <hyperlink ref="J1676" r:id="rId3350" xr:uid="{00000000-0004-0000-0400-0000150D0000}"/>
    <hyperlink ref="I1677" r:id="rId3351" xr:uid="{00000000-0004-0000-0400-0000160D0000}"/>
    <hyperlink ref="J1677" r:id="rId3352" xr:uid="{00000000-0004-0000-0400-0000170D0000}"/>
    <hyperlink ref="I1678" r:id="rId3353" xr:uid="{00000000-0004-0000-0400-0000180D0000}"/>
    <hyperlink ref="J1678" r:id="rId3354" xr:uid="{00000000-0004-0000-0400-0000190D0000}"/>
    <hyperlink ref="I1679" r:id="rId3355" xr:uid="{00000000-0004-0000-0400-00001A0D0000}"/>
    <hyperlink ref="J1679" r:id="rId3356" xr:uid="{00000000-0004-0000-0400-00001B0D0000}"/>
    <hyperlink ref="I1680" r:id="rId3357" xr:uid="{00000000-0004-0000-0400-00001C0D0000}"/>
    <hyperlink ref="J1680" r:id="rId3358" xr:uid="{00000000-0004-0000-0400-00001D0D0000}"/>
    <hyperlink ref="I1681" r:id="rId3359" xr:uid="{00000000-0004-0000-0400-00001E0D0000}"/>
    <hyperlink ref="J1681" r:id="rId3360" xr:uid="{00000000-0004-0000-0400-00001F0D0000}"/>
    <hyperlink ref="I1682" r:id="rId3361" xr:uid="{00000000-0004-0000-0400-0000200D0000}"/>
    <hyperlink ref="J1682" r:id="rId3362" xr:uid="{00000000-0004-0000-0400-0000210D0000}"/>
    <hyperlink ref="I1683" r:id="rId3363" xr:uid="{00000000-0004-0000-0400-0000220D0000}"/>
    <hyperlink ref="J1683" r:id="rId3364" xr:uid="{00000000-0004-0000-0400-0000230D0000}"/>
    <hyperlink ref="I1684" r:id="rId3365" xr:uid="{00000000-0004-0000-0400-0000240D0000}"/>
    <hyperlink ref="J1684" r:id="rId3366" xr:uid="{00000000-0004-0000-0400-0000250D0000}"/>
    <hyperlink ref="I1685" r:id="rId3367" xr:uid="{00000000-0004-0000-0400-0000260D0000}"/>
    <hyperlink ref="J1685" r:id="rId3368" xr:uid="{00000000-0004-0000-0400-0000270D0000}"/>
    <hyperlink ref="I1686" r:id="rId3369" xr:uid="{00000000-0004-0000-0400-0000280D0000}"/>
    <hyperlink ref="J1686" r:id="rId3370" xr:uid="{00000000-0004-0000-0400-0000290D0000}"/>
    <hyperlink ref="I1687" r:id="rId3371" xr:uid="{00000000-0004-0000-0400-00002A0D0000}"/>
    <hyperlink ref="J1687" r:id="rId3372" xr:uid="{00000000-0004-0000-0400-00002B0D0000}"/>
    <hyperlink ref="I1688" r:id="rId3373" xr:uid="{00000000-0004-0000-0400-00002C0D0000}"/>
    <hyperlink ref="J1688" r:id="rId3374" xr:uid="{00000000-0004-0000-0400-00002D0D0000}"/>
    <hyperlink ref="I1689" r:id="rId3375" xr:uid="{00000000-0004-0000-0400-00002E0D0000}"/>
    <hyperlink ref="J1689" r:id="rId3376" xr:uid="{00000000-0004-0000-0400-00002F0D0000}"/>
    <hyperlink ref="I1690" r:id="rId3377" xr:uid="{00000000-0004-0000-0400-0000300D0000}"/>
    <hyperlink ref="J1690" r:id="rId3378" xr:uid="{00000000-0004-0000-0400-0000310D0000}"/>
    <hyperlink ref="I1691" r:id="rId3379" xr:uid="{00000000-0004-0000-0400-0000320D0000}"/>
    <hyperlink ref="J1691" r:id="rId3380" xr:uid="{00000000-0004-0000-0400-0000330D0000}"/>
    <hyperlink ref="I1692" r:id="rId3381" xr:uid="{00000000-0004-0000-0400-0000340D0000}"/>
    <hyperlink ref="J1692" r:id="rId3382" xr:uid="{00000000-0004-0000-0400-0000350D0000}"/>
    <hyperlink ref="I1693" r:id="rId3383" xr:uid="{00000000-0004-0000-0400-0000360D0000}"/>
    <hyperlink ref="J1693" r:id="rId3384" xr:uid="{00000000-0004-0000-0400-0000370D0000}"/>
    <hyperlink ref="I1694" r:id="rId3385" xr:uid="{00000000-0004-0000-0400-0000380D0000}"/>
    <hyperlink ref="J1694" r:id="rId3386" xr:uid="{00000000-0004-0000-0400-0000390D0000}"/>
    <hyperlink ref="I1695" r:id="rId3387" xr:uid="{00000000-0004-0000-0400-00003A0D0000}"/>
    <hyperlink ref="J1695" r:id="rId3388" xr:uid="{00000000-0004-0000-0400-00003B0D0000}"/>
    <hyperlink ref="I1696" r:id="rId3389" xr:uid="{00000000-0004-0000-0400-00003C0D0000}"/>
    <hyperlink ref="J1696" r:id="rId3390" xr:uid="{00000000-0004-0000-0400-00003D0D0000}"/>
    <hyperlink ref="I1697" r:id="rId3391" xr:uid="{00000000-0004-0000-0400-00003E0D0000}"/>
    <hyperlink ref="J1697" r:id="rId3392" xr:uid="{00000000-0004-0000-0400-00003F0D0000}"/>
    <hyperlink ref="I1698" r:id="rId3393" xr:uid="{00000000-0004-0000-0400-0000400D0000}"/>
    <hyperlink ref="J1698" r:id="rId3394" xr:uid="{00000000-0004-0000-0400-0000410D0000}"/>
    <hyperlink ref="I1699" r:id="rId3395" xr:uid="{00000000-0004-0000-0400-0000420D0000}"/>
    <hyperlink ref="J1699" r:id="rId3396" xr:uid="{00000000-0004-0000-0400-0000430D0000}"/>
    <hyperlink ref="I1700" r:id="rId3397" xr:uid="{00000000-0004-0000-0400-0000440D0000}"/>
    <hyperlink ref="J1700" r:id="rId3398" xr:uid="{00000000-0004-0000-0400-0000450D0000}"/>
    <hyperlink ref="I1701" r:id="rId3399" xr:uid="{00000000-0004-0000-0400-0000460D0000}"/>
    <hyperlink ref="J1701" r:id="rId3400" xr:uid="{00000000-0004-0000-0400-0000470D0000}"/>
    <hyperlink ref="I1702" r:id="rId3401" xr:uid="{00000000-0004-0000-0400-0000480D0000}"/>
    <hyperlink ref="J1702" r:id="rId3402" xr:uid="{00000000-0004-0000-0400-0000490D0000}"/>
    <hyperlink ref="I1703" r:id="rId3403" xr:uid="{00000000-0004-0000-0400-00004A0D0000}"/>
    <hyperlink ref="J1703" r:id="rId3404" xr:uid="{00000000-0004-0000-0400-00004B0D0000}"/>
    <hyperlink ref="I1704" r:id="rId3405" xr:uid="{00000000-0004-0000-0400-00004C0D0000}"/>
    <hyperlink ref="J1704" r:id="rId3406" xr:uid="{00000000-0004-0000-0400-00004D0D0000}"/>
    <hyperlink ref="I1705" r:id="rId3407" xr:uid="{00000000-0004-0000-0400-00004E0D0000}"/>
    <hyperlink ref="J1705" r:id="rId3408" xr:uid="{00000000-0004-0000-0400-00004F0D0000}"/>
    <hyperlink ref="I1706" r:id="rId3409" xr:uid="{00000000-0004-0000-0400-0000500D0000}"/>
    <hyperlink ref="J1706" r:id="rId3410" xr:uid="{00000000-0004-0000-0400-0000510D0000}"/>
    <hyperlink ref="I1707" r:id="rId3411" xr:uid="{00000000-0004-0000-0400-0000520D0000}"/>
    <hyperlink ref="J1707" r:id="rId3412" xr:uid="{00000000-0004-0000-0400-0000530D0000}"/>
    <hyperlink ref="I1708" r:id="rId3413" xr:uid="{00000000-0004-0000-0400-0000540D0000}"/>
    <hyperlink ref="J1708" r:id="rId3414" xr:uid="{00000000-0004-0000-0400-0000550D0000}"/>
    <hyperlink ref="I1709" r:id="rId3415" xr:uid="{00000000-0004-0000-0400-0000560D0000}"/>
    <hyperlink ref="J1709" r:id="rId3416" xr:uid="{00000000-0004-0000-0400-0000570D0000}"/>
    <hyperlink ref="I1710" r:id="rId3417" xr:uid="{00000000-0004-0000-0400-0000580D0000}"/>
    <hyperlink ref="J1710" r:id="rId3418" xr:uid="{00000000-0004-0000-0400-0000590D0000}"/>
    <hyperlink ref="I1711" r:id="rId3419" xr:uid="{00000000-0004-0000-0400-00005A0D0000}"/>
    <hyperlink ref="J1711" r:id="rId3420" xr:uid="{00000000-0004-0000-0400-00005B0D0000}"/>
    <hyperlink ref="I1712" r:id="rId3421" xr:uid="{00000000-0004-0000-0400-00005C0D0000}"/>
    <hyperlink ref="J1712" r:id="rId3422" xr:uid="{00000000-0004-0000-0400-00005D0D0000}"/>
    <hyperlink ref="I1713" r:id="rId3423" xr:uid="{00000000-0004-0000-0400-00005E0D0000}"/>
    <hyperlink ref="J1713" r:id="rId3424" xr:uid="{00000000-0004-0000-0400-00005F0D0000}"/>
    <hyperlink ref="I1714" r:id="rId3425" xr:uid="{00000000-0004-0000-0400-0000600D0000}"/>
    <hyperlink ref="J1714" r:id="rId3426" xr:uid="{00000000-0004-0000-0400-0000610D0000}"/>
    <hyperlink ref="I1715" r:id="rId3427" xr:uid="{00000000-0004-0000-0400-0000620D0000}"/>
    <hyperlink ref="J1715" r:id="rId3428" xr:uid="{00000000-0004-0000-0400-0000630D0000}"/>
    <hyperlink ref="I1716" r:id="rId3429" xr:uid="{00000000-0004-0000-0400-0000640D0000}"/>
    <hyperlink ref="J1716" r:id="rId3430" xr:uid="{00000000-0004-0000-0400-0000650D0000}"/>
    <hyperlink ref="I1717" r:id="rId3431" xr:uid="{00000000-0004-0000-0400-0000660D0000}"/>
    <hyperlink ref="J1717" r:id="rId3432" xr:uid="{00000000-0004-0000-0400-0000670D0000}"/>
    <hyperlink ref="I1718" r:id="rId3433" xr:uid="{00000000-0004-0000-0400-0000680D0000}"/>
    <hyperlink ref="J1718" r:id="rId3434" xr:uid="{00000000-0004-0000-0400-0000690D0000}"/>
    <hyperlink ref="I1719" r:id="rId3435" xr:uid="{00000000-0004-0000-0400-00006A0D0000}"/>
    <hyperlink ref="J1719" r:id="rId3436" xr:uid="{00000000-0004-0000-0400-00006B0D0000}"/>
    <hyperlink ref="I1720" r:id="rId3437" xr:uid="{00000000-0004-0000-0400-00006C0D0000}"/>
    <hyperlink ref="J1720" r:id="rId3438" xr:uid="{00000000-0004-0000-0400-00006D0D0000}"/>
    <hyperlink ref="I1721" r:id="rId3439" xr:uid="{00000000-0004-0000-0400-00006E0D0000}"/>
    <hyperlink ref="J1721" r:id="rId3440" xr:uid="{00000000-0004-0000-0400-00006F0D0000}"/>
    <hyperlink ref="I1722" r:id="rId3441" xr:uid="{00000000-0004-0000-0400-0000700D0000}"/>
    <hyperlink ref="J1722" r:id="rId3442" xr:uid="{00000000-0004-0000-0400-0000710D0000}"/>
    <hyperlink ref="I1723" r:id="rId3443" xr:uid="{00000000-0004-0000-0400-0000720D0000}"/>
    <hyperlink ref="J1723" r:id="rId3444" xr:uid="{00000000-0004-0000-0400-0000730D0000}"/>
    <hyperlink ref="I1724" r:id="rId3445" xr:uid="{00000000-0004-0000-0400-0000740D0000}"/>
    <hyperlink ref="J1724" r:id="rId3446" xr:uid="{00000000-0004-0000-0400-0000750D0000}"/>
    <hyperlink ref="I1725" r:id="rId3447" xr:uid="{00000000-0004-0000-0400-0000760D0000}"/>
    <hyperlink ref="J1725" r:id="rId3448" xr:uid="{00000000-0004-0000-0400-0000770D0000}"/>
    <hyperlink ref="I1726" r:id="rId3449" xr:uid="{00000000-0004-0000-0400-0000780D0000}"/>
    <hyperlink ref="J1726" r:id="rId3450" xr:uid="{00000000-0004-0000-0400-0000790D0000}"/>
    <hyperlink ref="I1727" r:id="rId3451" xr:uid="{00000000-0004-0000-0400-00007A0D0000}"/>
    <hyperlink ref="J1727" r:id="rId3452" xr:uid="{00000000-0004-0000-0400-00007B0D0000}"/>
    <hyperlink ref="I1728" r:id="rId3453" xr:uid="{00000000-0004-0000-0400-00007C0D0000}"/>
    <hyperlink ref="J1728" r:id="rId3454" xr:uid="{00000000-0004-0000-0400-00007D0D0000}"/>
    <hyperlink ref="I1729" r:id="rId3455" xr:uid="{00000000-0004-0000-0400-00007E0D0000}"/>
    <hyperlink ref="J1729" r:id="rId3456" xr:uid="{00000000-0004-0000-0400-00007F0D0000}"/>
    <hyperlink ref="I1730" r:id="rId3457" xr:uid="{00000000-0004-0000-0400-0000800D0000}"/>
    <hyperlink ref="J1730" r:id="rId3458" xr:uid="{00000000-0004-0000-0400-0000810D0000}"/>
    <hyperlink ref="I1731" r:id="rId3459" xr:uid="{00000000-0004-0000-0400-0000820D0000}"/>
    <hyperlink ref="J1731" r:id="rId3460" xr:uid="{00000000-0004-0000-0400-0000830D0000}"/>
    <hyperlink ref="I1732" r:id="rId3461" xr:uid="{00000000-0004-0000-0400-0000840D0000}"/>
    <hyperlink ref="J1732" r:id="rId3462" xr:uid="{00000000-0004-0000-0400-0000850D0000}"/>
    <hyperlink ref="I1733" r:id="rId3463" xr:uid="{00000000-0004-0000-0400-0000860D0000}"/>
    <hyperlink ref="J1733" r:id="rId3464" xr:uid="{00000000-0004-0000-0400-0000870D0000}"/>
    <hyperlink ref="I1734" r:id="rId3465" xr:uid="{00000000-0004-0000-0400-0000880D0000}"/>
    <hyperlink ref="J1734" r:id="rId3466" xr:uid="{00000000-0004-0000-0400-0000890D0000}"/>
    <hyperlink ref="I1735" r:id="rId3467" xr:uid="{00000000-0004-0000-0400-00008A0D0000}"/>
    <hyperlink ref="J1735" r:id="rId3468" xr:uid="{00000000-0004-0000-0400-00008B0D0000}"/>
    <hyperlink ref="I1736" r:id="rId3469" xr:uid="{00000000-0004-0000-0400-00008C0D0000}"/>
    <hyperlink ref="J1736" r:id="rId3470" xr:uid="{00000000-0004-0000-0400-00008D0D0000}"/>
    <hyperlink ref="I1737" r:id="rId3471" xr:uid="{00000000-0004-0000-0400-00008E0D0000}"/>
    <hyperlink ref="J1737" r:id="rId3472" xr:uid="{00000000-0004-0000-0400-00008F0D0000}"/>
    <hyperlink ref="I1738" r:id="rId3473" xr:uid="{00000000-0004-0000-0400-0000900D0000}"/>
    <hyperlink ref="J1738" r:id="rId3474" xr:uid="{00000000-0004-0000-0400-0000910D0000}"/>
    <hyperlink ref="I1739" r:id="rId3475" xr:uid="{00000000-0004-0000-0400-0000920D0000}"/>
    <hyperlink ref="J1739" r:id="rId3476" xr:uid="{00000000-0004-0000-0400-0000930D0000}"/>
    <hyperlink ref="I1740" r:id="rId3477" xr:uid="{00000000-0004-0000-0400-0000940D0000}"/>
    <hyperlink ref="J1740" r:id="rId3478" xr:uid="{00000000-0004-0000-0400-0000950D0000}"/>
    <hyperlink ref="I1741" r:id="rId3479" xr:uid="{00000000-0004-0000-0400-0000960D0000}"/>
    <hyperlink ref="J1741" r:id="rId3480" xr:uid="{00000000-0004-0000-0400-0000970D0000}"/>
    <hyperlink ref="I1742" r:id="rId3481" xr:uid="{00000000-0004-0000-0400-0000980D0000}"/>
    <hyperlink ref="J1742" r:id="rId3482" xr:uid="{00000000-0004-0000-0400-0000990D0000}"/>
    <hyperlink ref="I1743" r:id="rId3483" xr:uid="{00000000-0004-0000-0400-00009A0D0000}"/>
    <hyperlink ref="J1743" r:id="rId3484" xr:uid="{00000000-0004-0000-0400-00009B0D0000}"/>
    <hyperlink ref="I1744" r:id="rId3485" xr:uid="{00000000-0004-0000-0400-00009C0D0000}"/>
    <hyperlink ref="J1744" r:id="rId3486" xr:uid="{00000000-0004-0000-0400-00009D0D0000}"/>
    <hyperlink ref="I1745" r:id="rId3487" xr:uid="{00000000-0004-0000-0400-00009E0D0000}"/>
    <hyperlink ref="J1745" r:id="rId3488" xr:uid="{00000000-0004-0000-0400-00009F0D0000}"/>
    <hyperlink ref="I1746" r:id="rId3489" xr:uid="{00000000-0004-0000-0400-0000A00D0000}"/>
    <hyperlink ref="J1746" r:id="rId3490" xr:uid="{00000000-0004-0000-0400-0000A10D0000}"/>
    <hyperlink ref="I1747" r:id="rId3491" xr:uid="{00000000-0004-0000-0400-0000A20D0000}"/>
    <hyperlink ref="J1747" r:id="rId3492" xr:uid="{00000000-0004-0000-0400-0000A30D0000}"/>
    <hyperlink ref="I1748" r:id="rId3493" xr:uid="{00000000-0004-0000-0400-0000A40D0000}"/>
    <hyperlink ref="J1748" r:id="rId3494" xr:uid="{00000000-0004-0000-0400-0000A50D0000}"/>
    <hyperlink ref="I1749" r:id="rId3495" xr:uid="{00000000-0004-0000-0400-0000A60D0000}"/>
    <hyperlink ref="J1749" r:id="rId3496" xr:uid="{00000000-0004-0000-0400-0000A70D0000}"/>
    <hyperlink ref="I1750" r:id="rId3497" xr:uid="{00000000-0004-0000-0400-0000A80D0000}"/>
    <hyperlink ref="J1750" r:id="rId3498" xr:uid="{00000000-0004-0000-0400-0000A90D0000}"/>
    <hyperlink ref="I1751" r:id="rId3499" xr:uid="{00000000-0004-0000-0400-0000AA0D0000}"/>
    <hyperlink ref="J1751" r:id="rId3500" xr:uid="{00000000-0004-0000-0400-0000AB0D0000}"/>
    <hyperlink ref="I1752" r:id="rId3501" xr:uid="{00000000-0004-0000-0400-0000AC0D0000}"/>
    <hyperlink ref="J1752" r:id="rId3502" xr:uid="{00000000-0004-0000-0400-0000AD0D0000}"/>
    <hyperlink ref="I1753" r:id="rId3503" xr:uid="{00000000-0004-0000-0400-0000AE0D0000}"/>
    <hyperlink ref="J1753" r:id="rId3504" xr:uid="{00000000-0004-0000-0400-0000AF0D0000}"/>
    <hyperlink ref="I1754" r:id="rId3505" xr:uid="{00000000-0004-0000-0400-0000B00D0000}"/>
    <hyperlink ref="J1754" r:id="rId3506" xr:uid="{00000000-0004-0000-0400-0000B10D0000}"/>
    <hyperlink ref="I1755" r:id="rId3507" xr:uid="{00000000-0004-0000-0400-0000B20D0000}"/>
    <hyperlink ref="J1755" r:id="rId3508" xr:uid="{00000000-0004-0000-0400-0000B30D0000}"/>
    <hyperlink ref="I1756" r:id="rId3509" xr:uid="{00000000-0004-0000-0400-0000B40D0000}"/>
    <hyperlink ref="J1756" r:id="rId3510" xr:uid="{00000000-0004-0000-0400-0000B50D0000}"/>
    <hyperlink ref="I1757" r:id="rId3511" xr:uid="{00000000-0004-0000-0400-0000B60D0000}"/>
    <hyperlink ref="J1757" r:id="rId3512" xr:uid="{00000000-0004-0000-0400-0000B70D0000}"/>
    <hyperlink ref="I1758" r:id="rId3513" xr:uid="{00000000-0004-0000-0400-0000B80D0000}"/>
    <hyperlink ref="J1758" r:id="rId3514" xr:uid="{00000000-0004-0000-0400-0000B90D0000}"/>
    <hyperlink ref="I1759" r:id="rId3515" xr:uid="{00000000-0004-0000-0400-0000BA0D0000}"/>
    <hyperlink ref="J1759" r:id="rId3516" xr:uid="{00000000-0004-0000-0400-0000BB0D0000}"/>
    <hyperlink ref="I1760" r:id="rId3517" xr:uid="{00000000-0004-0000-0400-0000BC0D0000}"/>
    <hyperlink ref="J1760" r:id="rId3518" xr:uid="{00000000-0004-0000-0400-0000BD0D0000}"/>
    <hyperlink ref="I1761" r:id="rId3519" xr:uid="{00000000-0004-0000-0400-0000BE0D0000}"/>
    <hyperlink ref="J1761" r:id="rId3520" xr:uid="{00000000-0004-0000-0400-0000BF0D0000}"/>
    <hyperlink ref="I1762" r:id="rId3521" xr:uid="{00000000-0004-0000-0400-0000C00D0000}"/>
    <hyperlink ref="J1762" r:id="rId3522" xr:uid="{00000000-0004-0000-0400-0000C10D0000}"/>
    <hyperlink ref="I1763" r:id="rId3523" xr:uid="{00000000-0004-0000-0400-0000C20D0000}"/>
    <hyperlink ref="J1763" r:id="rId3524" xr:uid="{00000000-0004-0000-0400-0000C30D0000}"/>
    <hyperlink ref="I1764" r:id="rId3525" xr:uid="{00000000-0004-0000-0400-0000C40D0000}"/>
    <hyperlink ref="J1764" r:id="rId3526" xr:uid="{00000000-0004-0000-0400-0000C50D0000}"/>
    <hyperlink ref="I1765" r:id="rId3527" xr:uid="{00000000-0004-0000-0400-0000C60D0000}"/>
    <hyperlink ref="J1765" r:id="rId3528" xr:uid="{00000000-0004-0000-0400-0000C70D0000}"/>
    <hyperlink ref="I1766" r:id="rId3529" xr:uid="{00000000-0004-0000-0400-0000C80D0000}"/>
    <hyperlink ref="J1766" r:id="rId3530" xr:uid="{00000000-0004-0000-0400-0000C90D0000}"/>
    <hyperlink ref="I1767" r:id="rId3531" xr:uid="{00000000-0004-0000-0400-0000CA0D0000}"/>
    <hyperlink ref="J1767" r:id="rId3532" xr:uid="{00000000-0004-0000-0400-0000CB0D0000}"/>
    <hyperlink ref="I1768" r:id="rId3533" xr:uid="{00000000-0004-0000-0400-0000CC0D0000}"/>
    <hyperlink ref="J1768" r:id="rId3534" xr:uid="{00000000-0004-0000-0400-0000CD0D0000}"/>
    <hyperlink ref="I1769" r:id="rId3535" xr:uid="{00000000-0004-0000-0400-0000CE0D0000}"/>
    <hyperlink ref="J1769" r:id="rId3536" xr:uid="{00000000-0004-0000-0400-0000CF0D0000}"/>
    <hyperlink ref="I1770" r:id="rId3537" xr:uid="{00000000-0004-0000-0400-0000D00D0000}"/>
    <hyperlink ref="J1770" r:id="rId3538" xr:uid="{00000000-0004-0000-0400-0000D10D0000}"/>
    <hyperlink ref="I1771" r:id="rId3539" xr:uid="{00000000-0004-0000-0400-0000D20D0000}"/>
    <hyperlink ref="J1771" r:id="rId3540" xr:uid="{00000000-0004-0000-0400-0000D30D0000}"/>
    <hyperlink ref="I1772" r:id="rId3541" xr:uid="{00000000-0004-0000-0400-0000D40D0000}"/>
    <hyperlink ref="J1772" r:id="rId3542" xr:uid="{00000000-0004-0000-0400-0000D50D0000}"/>
    <hyperlink ref="I1773" r:id="rId3543" xr:uid="{00000000-0004-0000-0400-0000D60D0000}"/>
    <hyperlink ref="J1773" r:id="rId3544" xr:uid="{00000000-0004-0000-0400-0000D70D0000}"/>
    <hyperlink ref="I1774" r:id="rId3545" xr:uid="{00000000-0004-0000-0400-0000D80D0000}"/>
    <hyperlink ref="J1774" r:id="rId3546" xr:uid="{00000000-0004-0000-0400-0000D90D0000}"/>
    <hyperlink ref="I1775" r:id="rId3547" xr:uid="{00000000-0004-0000-0400-0000DA0D0000}"/>
    <hyperlink ref="J1775" r:id="rId3548" xr:uid="{00000000-0004-0000-0400-0000DB0D0000}"/>
    <hyperlink ref="I1776" r:id="rId3549" xr:uid="{00000000-0004-0000-0400-0000DC0D0000}"/>
    <hyperlink ref="J1776" r:id="rId3550" xr:uid="{00000000-0004-0000-0400-0000DD0D0000}"/>
    <hyperlink ref="I1777" r:id="rId3551" xr:uid="{00000000-0004-0000-0400-0000DE0D0000}"/>
    <hyperlink ref="J1777" r:id="rId3552" xr:uid="{00000000-0004-0000-0400-0000DF0D0000}"/>
    <hyperlink ref="I1778" r:id="rId3553" xr:uid="{00000000-0004-0000-0400-0000E00D0000}"/>
    <hyperlink ref="J1778" r:id="rId3554" xr:uid="{00000000-0004-0000-0400-0000E10D0000}"/>
    <hyperlink ref="I1779" r:id="rId3555" xr:uid="{00000000-0004-0000-0400-0000E20D0000}"/>
    <hyperlink ref="J1779" r:id="rId3556" xr:uid="{00000000-0004-0000-0400-0000E30D0000}"/>
    <hyperlink ref="I1780" r:id="rId3557" xr:uid="{00000000-0004-0000-0400-0000E40D0000}"/>
    <hyperlink ref="J1780" r:id="rId3558" xr:uid="{00000000-0004-0000-0400-0000E50D0000}"/>
    <hyperlink ref="I1781" r:id="rId3559" xr:uid="{00000000-0004-0000-0400-0000E60D0000}"/>
    <hyperlink ref="J1781" r:id="rId3560" xr:uid="{00000000-0004-0000-0400-0000E70D0000}"/>
    <hyperlink ref="I1782" r:id="rId3561" xr:uid="{00000000-0004-0000-0400-0000E80D0000}"/>
    <hyperlink ref="J1782" r:id="rId3562" xr:uid="{00000000-0004-0000-0400-0000E90D0000}"/>
    <hyperlink ref="I1783" r:id="rId3563" xr:uid="{00000000-0004-0000-0400-0000EA0D0000}"/>
    <hyperlink ref="J1783" r:id="rId3564" xr:uid="{00000000-0004-0000-0400-0000EB0D0000}"/>
    <hyperlink ref="I1784" r:id="rId3565" xr:uid="{00000000-0004-0000-0400-0000EC0D0000}"/>
    <hyperlink ref="J1784" r:id="rId3566" xr:uid="{00000000-0004-0000-0400-0000ED0D0000}"/>
    <hyperlink ref="I1785" r:id="rId3567" xr:uid="{00000000-0004-0000-0400-0000EE0D0000}"/>
    <hyperlink ref="J1785" r:id="rId3568" xr:uid="{00000000-0004-0000-0400-0000EF0D0000}"/>
    <hyperlink ref="I1786" r:id="rId3569" xr:uid="{00000000-0004-0000-0400-0000F00D0000}"/>
    <hyperlink ref="J1786" r:id="rId3570" xr:uid="{00000000-0004-0000-0400-0000F10D0000}"/>
    <hyperlink ref="I1787" r:id="rId3571" xr:uid="{00000000-0004-0000-0400-0000F20D0000}"/>
    <hyperlink ref="J1787" r:id="rId3572" xr:uid="{00000000-0004-0000-0400-0000F30D0000}"/>
    <hyperlink ref="I1788" r:id="rId3573" xr:uid="{00000000-0004-0000-0400-0000F40D0000}"/>
    <hyperlink ref="J1788" r:id="rId3574" xr:uid="{00000000-0004-0000-0400-0000F50D0000}"/>
    <hyperlink ref="I1789" r:id="rId3575" xr:uid="{00000000-0004-0000-0400-0000F60D0000}"/>
    <hyperlink ref="J1789" r:id="rId3576" xr:uid="{00000000-0004-0000-0400-0000F70D0000}"/>
    <hyperlink ref="I1790" r:id="rId3577" xr:uid="{00000000-0004-0000-0400-0000F80D0000}"/>
    <hyperlink ref="J1790" r:id="rId3578" xr:uid="{00000000-0004-0000-0400-0000F90D0000}"/>
    <hyperlink ref="I1791" r:id="rId3579" xr:uid="{00000000-0004-0000-0400-0000FA0D0000}"/>
    <hyperlink ref="J1791" r:id="rId3580" xr:uid="{00000000-0004-0000-0400-0000FB0D0000}"/>
    <hyperlink ref="I1792" r:id="rId3581" xr:uid="{00000000-0004-0000-0400-0000FC0D0000}"/>
    <hyperlink ref="J1792" r:id="rId3582" xr:uid="{00000000-0004-0000-0400-0000FD0D0000}"/>
    <hyperlink ref="I1793" r:id="rId3583" xr:uid="{00000000-0004-0000-0400-0000FE0D0000}"/>
    <hyperlink ref="J1793" r:id="rId3584" xr:uid="{00000000-0004-0000-0400-0000FF0D0000}"/>
    <hyperlink ref="I1794" r:id="rId3585" xr:uid="{00000000-0004-0000-0400-0000000E0000}"/>
    <hyperlink ref="J1794" r:id="rId3586" xr:uid="{00000000-0004-0000-0400-0000010E0000}"/>
    <hyperlink ref="I1795" r:id="rId3587" xr:uid="{00000000-0004-0000-0400-0000020E0000}"/>
    <hyperlink ref="J1795" r:id="rId3588" xr:uid="{00000000-0004-0000-0400-0000030E0000}"/>
    <hyperlink ref="I1796" r:id="rId3589" xr:uid="{00000000-0004-0000-0400-0000040E0000}"/>
    <hyperlink ref="J1796" r:id="rId3590" xr:uid="{00000000-0004-0000-0400-0000050E0000}"/>
    <hyperlink ref="I1797" r:id="rId3591" xr:uid="{00000000-0004-0000-0400-0000060E0000}"/>
    <hyperlink ref="J1797" r:id="rId3592" xr:uid="{00000000-0004-0000-0400-0000070E0000}"/>
    <hyperlink ref="I1798" r:id="rId3593" xr:uid="{00000000-0004-0000-0400-0000080E0000}"/>
    <hyperlink ref="J1798" r:id="rId3594" xr:uid="{00000000-0004-0000-0400-0000090E0000}"/>
    <hyperlink ref="I1799" r:id="rId3595" xr:uid="{00000000-0004-0000-0400-00000A0E0000}"/>
    <hyperlink ref="J1799" r:id="rId3596" xr:uid="{00000000-0004-0000-0400-00000B0E0000}"/>
    <hyperlink ref="I1800" r:id="rId3597" xr:uid="{00000000-0004-0000-0400-00000C0E0000}"/>
    <hyperlink ref="J1800" r:id="rId3598" xr:uid="{00000000-0004-0000-0400-00000D0E0000}"/>
    <hyperlink ref="I1801" r:id="rId3599" xr:uid="{00000000-0004-0000-0400-00000E0E0000}"/>
    <hyperlink ref="J1801" r:id="rId3600" xr:uid="{00000000-0004-0000-0400-00000F0E0000}"/>
    <hyperlink ref="I1802" r:id="rId3601" xr:uid="{00000000-0004-0000-0400-0000100E0000}"/>
    <hyperlink ref="J1802" r:id="rId3602" xr:uid="{00000000-0004-0000-0400-0000110E0000}"/>
    <hyperlink ref="I1803" r:id="rId3603" xr:uid="{00000000-0004-0000-0400-0000120E0000}"/>
    <hyperlink ref="J1803" r:id="rId3604" xr:uid="{00000000-0004-0000-0400-0000130E0000}"/>
    <hyperlink ref="I1804" r:id="rId3605" xr:uid="{00000000-0004-0000-0400-0000140E0000}"/>
    <hyperlink ref="J1804" r:id="rId3606" xr:uid="{00000000-0004-0000-0400-0000150E0000}"/>
    <hyperlink ref="I1805" r:id="rId3607" xr:uid="{00000000-0004-0000-0400-0000160E0000}"/>
    <hyperlink ref="J1805" r:id="rId3608" xr:uid="{00000000-0004-0000-0400-0000170E0000}"/>
    <hyperlink ref="I1806" r:id="rId3609" xr:uid="{00000000-0004-0000-0400-0000180E0000}"/>
    <hyperlink ref="J1806" r:id="rId3610" xr:uid="{00000000-0004-0000-0400-0000190E0000}"/>
    <hyperlink ref="I1807" r:id="rId3611" xr:uid="{00000000-0004-0000-0400-00001A0E0000}"/>
    <hyperlink ref="J1807" r:id="rId3612" xr:uid="{00000000-0004-0000-0400-00001B0E0000}"/>
    <hyperlink ref="I1808" r:id="rId3613" xr:uid="{00000000-0004-0000-0400-00001C0E0000}"/>
    <hyperlink ref="J1808" r:id="rId3614" xr:uid="{00000000-0004-0000-0400-00001D0E0000}"/>
    <hyperlink ref="I1809" r:id="rId3615" xr:uid="{00000000-0004-0000-0400-00001E0E0000}"/>
    <hyperlink ref="J1809" r:id="rId3616" xr:uid="{00000000-0004-0000-0400-00001F0E0000}"/>
    <hyperlink ref="I1810" r:id="rId3617" xr:uid="{00000000-0004-0000-0400-0000200E0000}"/>
    <hyperlink ref="J1810" r:id="rId3618" xr:uid="{00000000-0004-0000-0400-0000210E0000}"/>
    <hyperlink ref="I1811" r:id="rId3619" xr:uid="{00000000-0004-0000-0400-0000220E0000}"/>
    <hyperlink ref="J1811" r:id="rId3620" xr:uid="{00000000-0004-0000-0400-0000230E0000}"/>
    <hyperlink ref="I1812" r:id="rId3621" xr:uid="{00000000-0004-0000-0400-0000240E0000}"/>
    <hyperlink ref="J1812" r:id="rId3622" xr:uid="{00000000-0004-0000-0400-0000250E0000}"/>
    <hyperlink ref="I1813" r:id="rId3623" xr:uid="{00000000-0004-0000-0400-0000260E0000}"/>
    <hyperlink ref="J1813" r:id="rId3624" xr:uid="{00000000-0004-0000-0400-0000270E0000}"/>
    <hyperlink ref="I1814" r:id="rId3625" xr:uid="{00000000-0004-0000-0400-0000280E0000}"/>
    <hyperlink ref="J1814" r:id="rId3626" xr:uid="{00000000-0004-0000-0400-0000290E0000}"/>
    <hyperlink ref="I1815" r:id="rId3627" xr:uid="{00000000-0004-0000-0400-00002A0E0000}"/>
    <hyperlink ref="J1815" r:id="rId3628" xr:uid="{00000000-0004-0000-0400-00002B0E0000}"/>
    <hyperlink ref="I1816" r:id="rId3629" xr:uid="{00000000-0004-0000-0400-00002C0E0000}"/>
    <hyperlink ref="J1816" r:id="rId3630" xr:uid="{00000000-0004-0000-0400-00002D0E0000}"/>
    <hyperlink ref="I1817" r:id="rId3631" xr:uid="{00000000-0004-0000-0400-00002E0E0000}"/>
    <hyperlink ref="J1817" r:id="rId3632" xr:uid="{00000000-0004-0000-0400-00002F0E0000}"/>
    <hyperlink ref="I1818" r:id="rId3633" xr:uid="{00000000-0004-0000-0400-0000300E0000}"/>
    <hyperlink ref="J1818" r:id="rId3634" xr:uid="{00000000-0004-0000-0400-0000310E0000}"/>
    <hyperlink ref="I1819" r:id="rId3635" xr:uid="{00000000-0004-0000-0400-0000320E0000}"/>
    <hyperlink ref="J1819" r:id="rId3636" xr:uid="{00000000-0004-0000-0400-0000330E0000}"/>
    <hyperlink ref="I1820" r:id="rId3637" xr:uid="{00000000-0004-0000-0400-0000340E0000}"/>
    <hyperlink ref="J1820" r:id="rId3638" xr:uid="{00000000-0004-0000-0400-0000350E0000}"/>
    <hyperlink ref="I1821" r:id="rId3639" xr:uid="{00000000-0004-0000-0400-0000360E0000}"/>
    <hyperlink ref="J1821" r:id="rId3640" xr:uid="{00000000-0004-0000-0400-0000370E0000}"/>
    <hyperlink ref="I1822" r:id="rId3641" xr:uid="{00000000-0004-0000-0400-0000380E0000}"/>
    <hyperlink ref="J1822" r:id="rId3642" xr:uid="{00000000-0004-0000-0400-0000390E0000}"/>
    <hyperlink ref="I1823" r:id="rId3643" xr:uid="{00000000-0004-0000-0400-00003A0E0000}"/>
    <hyperlink ref="J1823" r:id="rId3644" xr:uid="{00000000-0004-0000-0400-00003B0E0000}"/>
    <hyperlink ref="I1824" r:id="rId3645" xr:uid="{00000000-0004-0000-0400-00003C0E0000}"/>
    <hyperlink ref="J1824" r:id="rId3646" xr:uid="{00000000-0004-0000-0400-00003D0E0000}"/>
    <hyperlink ref="I1825" r:id="rId3647" xr:uid="{00000000-0004-0000-0400-00003E0E0000}"/>
    <hyperlink ref="J1825" r:id="rId3648" xr:uid="{00000000-0004-0000-0400-00003F0E0000}"/>
    <hyperlink ref="I1826" r:id="rId3649" xr:uid="{00000000-0004-0000-0400-0000400E0000}"/>
    <hyperlink ref="J1826" r:id="rId3650" xr:uid="{00000000-0004-0000-0400-0000410E0000}"/>
    <hyperlink ref="I1827" r:id="rId3651" xr:uid="{00000000-0004-0000-0400-0000420E0000}"/>
    <hyperlink ref="J1827" r:id="rId3652" xr:uid="{00000000-0004-0000-0400-0000430E0000}"/>
    <hyperlink ref="I1828" r:id="rId3653" xr:uid="{00000000-0004-0000-0400-0000440E0000}"/>
    <hyperlink ref="J1828" r:id="rId3654" xr:uid="{00000000-0004-0000-0400-0000450E0000}"/>
    <hyperlink ref="I1829" r:id="rId3655" xr:uid="{00000000-0004-0000-0400-0000460E0000}"/>
    <hyperlink ref="J1829" r:id="rId3656" xr:uid="{00000000-0004-0000-0400-0000470E0000}"/>
    <hyperlink ref="I1830" r:id="rId3657" xr:uid="{00000000-0004-0000-0400-0000480E0000}"/>
    <hyperlink ref="J1830" r:id="rId3658" xr:uid="{00000000-0004-0000-0400-0000490E0000}"/>
    <hyperlink ref="I1831" r:id="rId3659" xr:uid="{00000000-0004-0000-0400-00004A0E0000}"/>
    <hyperlink ref="J1831" r:id="rId3660" xr:uid="{00000000-0004-0000-0400-00004B0E0000}"/>
    <hyperlink ref="I1832" r:id="rId3661" xr:uid="{00000000-0004-0000-0400-00004C0E0000}"/>
    <hyperlink ref="J1832" r:id="rId3662" xr:uid="{00000000-0004-0000-0400-00004D0E0000}"/>
    <hyperlink ref="I1833" r:id="rId3663" xr:uid="{00000000-0004-0000-0400-00004E0E0000}"/>
    <hyperlink ref="J1833" r:id="rId3664" xr:uid="{00000000-0004-0000-0400-00004F0E0000}"/>
    <hyperlink ref="I1834" r:id="rId3665" xr:uid="{00000000-0004-0000-0400-0000500E0000}"/>
    <hyperlink ref="J1834" r:id="rId3666" xr:uid="{00000000-0004-0000-0400-0000510E0000}"/>
    <hyperlink ref="I1835" r:id="rId3667" xr:uid="{00000000-0004-0000-0400-0000520E0000}"/>
    <hyperlink ref="J1835" r:id="rId3668" xr:uid="{00000000-0004-0000-0400-0000530E0000}"/>
    <hyperlink ref="I1836" r:id="rId3669" xr:uid="{00000000-0004-0000-0400-0000540E0000}"/>
    <hyperlink ref="J1836" r:id="rId3670" xr:uid="{00000000-0004-0000-0400-0000550E0000}"/>
    <hyperlink ref="I1837" r:id="rId3671" xr:uid="{00000000-0004-0000-0400-0000560E0000}"/>
    <hyperlink ref="J1837" r:id="rId3672" xr:uid="{00000000-0004-0000-0400-0000570E0000}"/>
    <hyperlink ref="I1838" r:id="rId3673" xr:uid="{00000000-0004-0000-0400-0000580E0000}"/>
    <hyperlink ref="J1838" r:id="rId3674" xr:uid="{00000000-0004-0000-0400-0000590E0000}"/>
    <hyperlink ref="I1839" r:id="rId3675" xr:uid="{00000000-0004-0000-0400-00005A0E0000}"/>
    <hyperlink ref="J1839" r:id="rId3676" xr:uid="{00000000-0004-0000-0400-00005B0E0000}"/>
    <hyperlink ref="I1840" r:id="rId3677" xr:uid="{00000000-0004-0000-0400-00005C0E0000}"/>
    <hyperlink ref="J1840" r:id="rId3678" xr:uid="{00000000-0004-0000-0400-00005D0E0000}"/>
    <hyperlink ref="I1841" r:id="rId3679" xr:uid="{00000000-0004-0000-0400-00005E0E0000}"/>
    <hyperlink ref="J1841" r:id="rId3680" xr:uid="{00000000-0004-0000-0400-00005F0E0000}"/>
    <hyperlink ref="I1842" r:id="rId3681" xr:uid="{00000000-0004-0000-0400-0000600E0000}"/>
    <hyperlink ref="J1842" r:id="rId3682" xr:uid="{00000000-0004-0000-0400-0000610E0000}"/>
    <hyperlink ref="I1843" r:id="rId3683" xr:uid="{00000000-0004-0000-0400-0000620E0000}"/>
    <hyperlink ref="J1843" r:id="rId3684" xr:uid="{00000000-0004-0000-0400-0000630E0000}"/>
    <hyperlink ref="I1844" r:id="rId3685" xr:uid="{00000000-0004-0000-0400-0000640E0000}"/>
    <hyperlink ref="J1844" r:id="rId3686" xr:uid="{00000000-0004-0000-0400-0000650E0000}"/>
    <hyperlink ref="I1845" r:id="rId3687" xr:uid="{00000000-0004-0000-0400-0000660E0000}"/>
    <hyperlink ref="J1845" r:id="rId3688" xr:uid="{00000000-0004-0000-0400-0000670E0000}"/>
    <hyperlink ref="I1846" r:id="rId3689" xr:uid="{00000000-0004-0000-0400-0000680E0000}"/>
    <hyperlink ref="J1846" r:id="rId3690" xr:uid="{00000000-0004-0000-0400-0000690E0000}"/>
    <hyperlink ref="I1847" r:id="rId3691" xr:uid="{00000000-0004-0000-0400-00006A0E0000}"/>
    <hyperlink ref="J1847" r:id="rId3692" xr:uid="{00000000-0004-0000-0400-00006B0E0000}"/>
    <hyperlink ref="I1848" r:id="rId3693" xr:uid="{00000000-0004-0000-0400-00006C0E0000}"/>
    <hyperlink ref="J1848" r:id="rId3694" xr:uid="{00000000-0004-0000-0400-00006D0E0000}"/>
    <hyperlink ref="I1849" r:id="rId3695" xr:uid="{00000000-0004-0000-0400-00006E0E0000}"/>
    <hyperlink ref="J1849" r:id="rId3696" xr:uid="{00000000-0004-0000-0400-00006F0E0000}"/>
    <hyperlink ref="I1850" r:id="rId3697" xr:uid="{00000000-0004-0000-0400-0000700E0000}"/>
    <hyperlink ref="J1850" r:id="rId3698" xr:uid="{00000000-0004-0000-0400-0000710E0000}"/>
    <hyperlink ref="I1851" r:id="rId3699" xr:uid="{00000000-0004-0000-0400-0000720E0000}"/>
    <hyperlink ref="J1851" r:id="rId3700" xr:uid="{00000000-0004-0000-0400-0000730E0000}"/>
    <hyperlink ref="I1852" r:id="rId3701" xr:uid="{00000000-0004-0000-0400-0000740E0000}"/>
    <hyperlink ref="J1852" r:id="rId3702" xr:uid="{00000000-0004-0000-0400-0000750E0000}"/>
    <hyperlink ref="I1853" r:id="rId3703" xr:uid="{00000000-0004-0000-0400-0000760E0000}"/>
    <hyperlink ref="J1853" r:id="rId3704" xr:uid="{00000000-0004-0000-0400-0000770E0000}"/>
    <hyperlink ref="I1854" r:id="rId3705" xr:uid="{00000000-0004-0000-0400-0000780E0000}"/>
    <hyperlink ref="J1854" r:id="rId3706" xr:uid="{00000000-0004-0000-0400-0000790E0000}"/>
    <hyperlink ref="I1855" r:id="rId3707" xr:uid="{00000000-0004-0000-0400-00007A0E0000}"/>
    <hyperlink ref="J1855" r:id="rId3708" xr:uid="{00000000-0004-0000-0400-00007B0E0000}"/>
    <hyperlink ref="I1856" r:id="rId3709" xr:uid="{00000000-0004-0000-0400-00007C0E0000}"/>
    <hyperlink ref="J1856" r:id="rId3710" xr:uid="{00000000-0004-0000-0400-00007D0E0000}"/>
    <hyperlink ref="I1857" r:id="rId3711" xr:uid="{00000000-0004-0000-0400-00007E0E0000}"/>
    <hyperlink ref="J1857" r:id="rId3712" xr:uid="{00000000-0004-0000-0400-00007F0E0000}"/>
    <hyperlink ref="I1858" r:id="rId3713" xr:uid="{00000000-0004-0000-0400-0000800E0000}"/>
    <hyperlink ref="J1858" r:id="rId3714" xr:uid="{00000000-0004-0000-0400-0000810E0000}"/>
    <hyperlink ref="I1859" r:id="rId3715" xr:uid="{00000000-0004-0000-0400-0000820E0000}"/>
    <hyperlink ref="J1859" r:id="rId3716" xr:uid="{00000000-0004-0000-0400-0000830E0000}"/>
    <hyperlink ref="I1860" r:id="rId3717" xr:uid="{00000000-0004-0000-0400-0000840E0000}"/>
    <hyperlink ref="J1860" r:id="rId3718" xr:uid="{00000000-0004-0000-0400-0000850E0000}"/>
    <hyperlink ref="I1861" r:id="rId3719" xr:uid="{00000000-0004-0000-0400-0000860E0000}"/>
    <hyperlink ref="J1861" r:id="rId3720" xr:uid="{00000000-0004-0000-0400-0000870E0000}"/>
    <hyperlink ref="I1862" r:id="rId3721" xr:uid="{00000000-0004-0000-0400-0000880E0000}"/>
    <hyperlink ref="J1862" r:id="rId3722" xr:uid="{00000000-0004-0000-0400-0000890E0000}"/>
    <hyperlink ref="I1863" r:id="rId3723" xr:uid="{00000000-0004-0000-0400-00008A0E0000}"/>
    <hyperlink ref="J1863" r:id="rId3724" xr:uid="{00000000-0004-0000-0400-00008B0E0000}"/>
    <hyperlink ref="I1864" r:id="rId3725" xr:uid="{00000000-0004-0000-0400-00008C0E0000}"/>
    <hyperlink ref="J1864" r:id="rId3726" xr:uid="{00000000-0004-0000-0400-00008D0E0000}"/>
    <hyperlink ref="I1865" r:id="rId3727" xr:uid="{00000000-0004-0000-0400-00008E0E0000}"/>
    <hyperlink ref="J1865" r:id="rId3728" xr:uid="{00000000-0004-0000-0400-00008F0E0000}"/>
    <hyperlink ref="I1866" r:id="rId3729" xr:uid="{00000000-0004-0000-0400-0000900E0000}"/>
    <hyperlink ref="J1866" r:id="rId3730" xr:uid="{00000000-0004-0000-0400-0000910E0000}"/>
    <hyperlink ref="I1867" r:id="rId3731" xr:uid="{00000000-0004-0000-0400-0000920E0000}"/>
    <hyperlink ref="J1867" r:id="rId3732" xr:uid="{00000000-0004-0000-0400-0000930E0000}"/>
    <hyperlink ref="I1868" r:id="rId3733" xr:uid="{00000000-0004-0000-0400-0000940E0000}"/>
    <hyperlink ref="J1868" r:id="rId3734" xr:uid="{00000000-0004-0000-0400-0000950E0000}"/>
    <hyperlink ref="I1869" r:id="rId3735" xr:uid="{00000000-0004-0000-0400-0000960E0000}"/>
    <hyperlink ref="J1869" r:id="rId3736" xr:uid="{00000000-0004-0000-0400-0000970E0000}"/>
    <hyperlink ref="I1870" r:id="rId3737" xr:uid="{00000000-0004-0000-0400-0000980E0000}"/>
    <hyperlink ref="J1870" r:id="rId3738" xr:uid="{00000000-0004-0000-0400-0000990E0000}"/>
    <hyperlink ref="I1871" r:id="rId3739" xr:uid="{00000000-0004-0000-0400-00009A0E0000}"/>
    <hyperlink ref="J1871" r:id="rId3740" xr:uid="{00000000-0004-0000-0400-00009B0E0000}"/>
    <hyperlink ref="I1872" r:id="rId3741" xr:uid="{00000000-0004-0000-0400-00009C0E0000}"/>
    <hyperlink ref="J1872" r:id="rId3742" xr:uid="{00000000-0004-0000-0400-00009D0E0000}"/>
    <hyperlink ref="I1873" r:id="rId3743" xr:uid="{00000000-0004-0000-0400-00009E0E0000}"/>
    <hyperlink ref="J1873" r:id="rId3744" xr:uid="{00000000-0004-0000-0400-00009F0E0000}"/>
    <hyperlink ref="I1874" r:id="rId3745" xr:uid="{00000000-0004-0000-0400-0000A00E0000}"/>
    <hyperlink ref="J1874" r:id="rId3746" xr:uid="{00000000-0004-0000-0400-0000A10E0000}"/>
    <hyperlink ref="I1875" r:id="rId3747" xr:uid="{00000000-0004-0000-0400-0000A20E0000}"/>
    <hyperlink ref="J1875" r:id="rId3748" xr:uid="{00000000-0004-0000-0400-0000A30E0000}"/>
    <hyperlink ref="I1876" r:id="rId3749" xr:uid="{00000000-0004-0000-0400-0000A40E0000}"/>
    <hyperlink ref="J1876" r:id="rId3750" xr:uid="{00000000-0004-0000-0400-0000A50E0000}"/>
    <hyperlink ref="I1877" r:id="rId3751" xr:uid="{00000000-0004-0000-0400-0000A60E0000}"/>
    <hyperlink ref="J1877" r:id="rId3752" xr:uid="{00000000-0004-0000-0400-0000A70E0000}"/>
    <hyperlink ref="I1878" r:id="rId3753" xr:uid="{00000000-0004-0000-0400-0000A80E0000}"/>
    <hyperlink ref="J1878" r:id="rId3754" xr:uid="{00000000-0004-0000-0400-0000A90E0000}"/>
    <hyperlink ref="I1879" r:id="rId3755" xr:uid="{00000000-0004-0000-0400-0000AA0E0000}"/>
    <hyperlink ref="J1879" r:id="rId3756" xr:uid="{00000000-0004-0000-0400-0000AB0E0000}"/>
    <hyperlink ref="I1880" r:id="rId3757" xr:uid="{00000000-0004-0000-0400-0000AC0E0000}"/>
    <hyperlink ref="J1880" r:id="rId3758" xr:uid="{00000000-0004-0000-0400-0000AD0E0000}"/>
    <hyperlink ref="I1881" r:id="rId3759" xr:uid="{00000000-0004-0000-0400-0000AE0E0000}"/>
    <hyperlink ref="J1881" r:id="rId3760" xr:uid="{00000000-0004-0000-0400-0000AF0E0000}"/>
    <hyperlink ref="I1882" r:id="rId3761" xr:uid="{00000000-0004-0000-0400-0000B00E0000}"/>
    <hyperlink ref="J1882" r:id="rId3762" xr:uid="{00000000-0004-0000-0400-0000B10E0000}"/>
    <hyperlink ref="I1883" r:id="rId3763" xr:uid="{00000000-0004-0000-0400-0000B20E0000}"/>
    <hyperlink ref="J1883" r:id="rId3764" xr:uid="{00000000-0004-0000-0400-0000B30E0000}"/>
    <hyperlink ref="I1884" r:id="rId3765" xr:uid="{00000000-0004-0000-0400-0000B40E0000}"/>
    <hyperlink ref="J1884" r:id="rId3766" xr:uid="{00000000-0004-0000-0400-0000B50E0000}"/>
    <hyperlink ref="I1885" r:id="rId3767" xr:uid="{00000000-0004-0000-0400-0000B60E0000}"/>
    <hyperlink ref="J1885" r:id="rId3768" xr:uid="{00000000-0004-0000-0400-0000B70E0000}"/>
    <hyperlink ref="I1886" r:id="rId3769" xr:uid="{00000000-0004-0000-0400-0000B80E0000}"/>
    <hyperlink ref="J1886" r:id="rId3770" xr:uid="{00000000-0004-0000-0400-0000B90E0000}"/>
    <hyperlink ref="I1887" r:id="rId3771" xr:uid="{00000000-0004-0000-0400-0000BA0E0000}"/>
    <hyperlink ref="J1887" r:id="rId3772" xr:uid="{00000000-0004-0000-0400-0000BB0E0000}"/>
    <hyperlink ref="I1888" r:id="rId3773" xr:uid="{00000000-0004-0000-0400-0000BC0E0000}"/>
    <hyperlink ref="J1888" r:id="rId3774" xr:uid="{00000000-0004-0000-0400-0000BD0E0000}"/>
    <hyperlink ref="I1889" r:id="rId3775" xr:uid="{00000000-0004-0000-0400-0000BE0E0000}"/>
    <hyperlink ref="J1889" r:id="rId3776" xr:uid="{00000000-0004-0000-0400-0000BF0E0000}"/>
    <hyperlink ref="I1890" r:id="rId3777" xr:uid="{00000000-0004-0000-0400-0000C00E0000}"/>
    <hyperlink ref="J1890" r:id="rId3778" xr:uid="{00000000-0004-0000-0400-0000C10E0000}"/>
    <hyperlink ref="I1891" r:id="rId3779" xr:uid="{00000000-0004-0000-0400-0000C20E0000}"/>
    <hyperlink ref="J1891" r:id="rId3780" xr:uid="{00000000-0004-0000-0400-0000C30E0000}"/>
    <hyperlink ref="I1892" r:id="rId3781" xr:uid="{00000000-0004-0000-0400-0000C40E0000}"/>
    <hyperlink ref="J1892" r:id="rId3782" xr:uid="{00000000-0004-0000-0400-0000C50E0000}"/>
    <hyperlink ref="I1893" r:id="rId3783" xr:uid="{00000000-0004-0000-0400-0000C60E0000}"/>
    <hyperlink ref="J1893" r:id="rId3784" xr:uid="{00000000-0004-0000-0400-0000C70E0000}"/>
    <hyperlink ref="I1894" r:id="rId3785" xr:uid="{00000000-0004-0000-0400-0000C80E0000}"/>
    <hyperlink ref="J1894" r:id="rId3786" xr:uid="{00000000-0004-0000-0400-0000C90E0000}"/>
    <hyperlink ref="I1895" r:id="rId3787" xr:uid="{00000000-0004-0000-0400-0000CA0E0000}"/>
    <hyperlink ref="J1895" r:id="rId3788" xr:uid="{00000000-0004-0000-0400-0000CB0E0000}"/>
    <hyperlink ref="I1896" r:id="rId3789" xr:uid="{00000000-0004-0000-0400-0000CC0E0000}"/>
    <hyperlink ref="J1896" r:id="rId3790" xr:uid="{00000000-0004-0000-0400-0000CD0E0000}"/>
    <hyperlink ref="I1897" r:id="rId3791" xr:uid="{00000000-0004-0000-0400-0000CE0E0000}"/>
    <hyperlink ref="J1897" r:id="rId3792" xr:uid="{00000000-0004-0000-0400-0000CF0E0000}"/>
    <hyperlink ref="I1898" r:id="rId3793" xr:uid="{00000000-0004-0000-0400-0000D00E0000}"/>
    <hyperlink ref="J1898" r:id="rId3794" xr:uid="{00000000-0004-0000-0400-0000D10E0000}"/>
    <hyperlink ref="I1899" r:id="rId3795" xr:uid="{00000000-0004-0000-0400-0000D20E0000}"/>
    <hyperlink ref="J1899" r:id="rId3796" xr:uid="{00000000-0004-0000-0400-0000D30E0000}"/>
    <hyperlink ref="I1900" r:id="rId3797" xr:uid="{00000000-0004-0000-0400-0000D40E0000}"/>
    <hyperlink ref="J1900" r:id="rId3798" xr:uid="{00000000-0004-0000-0400-0000D50E0000}"/>
    <hyperlink ref="I1901" r:id="rId3799" xr:uid="{00000000-0004-0000-0400-0000D60E0000}"/>
    <hyperlink ref="J1901" r:id="rId3800" xr:uid="{00000000-0004-0000-0400-0000D70E0000}"/>
    <hyperlink ref="I1902" r:id="rId3801" xr:uid="{00000000-0004-0000-0400-0000D80E0000}"/>
    <hyperlink ref="J1902" r:id="rId3802" xr:uid="{00000000-0004-0000-0400-0000D90E0000}"/>
    <hyperlink ref="I1903" r:id="rId3803" xr:uid="{00000000-0004-0000-0400-0000DA0E0000}"/>
    <hyperlink ref="J1903" r:id="rId3804" xr:uid="{00000000-0004-0000-0400-0000DB0E0000}"/>
    <hyperlink ref="I1904" r:id="rId3805" xr:uid="{00000000-0004-0000-0400-0000DC0E0000}"/>
    <hyperlink ref="J1904" r:id="rId3806" xr:uid="{00000000-0004-0000-0400-0000DD0E0000}"/>
    <hyperlink ref="I1905" r:id="rId3807" xr:uid="{00000000-0004-0000-0400-0000DE0E0000}"/>
    <hyperlink ref="J1905" r:id="rId3808" xr:uid="{00000000-0004-0000-0400-0000DF0E0000}"/>
    <hyperlink ref="I1906" r:id="rId3809" xr:uid="{00000000-0004-0000-0400-0000E00E0000}"/>
    <hyperlink ref="J1906" r:id="rId3810" xr:uid="{00000000-0004-0000-0400-0000E10E0000}"/>
    <hyperlink ref="I1907" r:id="rId3811" xr:uid="{00000000-0004-0000-0400-0000E20E0000}"/>
    <hyperlink ref="J1907" r:id="rId3812" xr:uid="{00000000-0004-0000-0400-0000E30E0000}"/>
    <hyperlink ref="I1908" r:id="rId3813" xr:uid="{00000000-0004-0000-0400-0000E40E0000}"/>
    <hyperlink ref="J1908" r:id="rId3814" xr:uid="{00000000-0004-0000-0400-0000E50E0000}"/>
    <hyperlink ref="I1909" r:id="rId3815" xr:uid="{00000000-0004-0000-0400-0000E60E0000}"/>
    <hyperlink ref="J1909" r:id="rId3816" xr:uid="{00000000-0004-0000-0400-0000E70E0000}"/>
    <hyperlink ref="I1910" r:id="rId3817" xr:uid="{00000000-0004-0000-0400-0000E80E0000}"/>
    <hyperlink ref="J1910" r:id="rId3818" xr:uid="{00000000-0004-0000-0400-0000E90E0000}"/>
    <hyperlink ref="I1911" r:id="rId3819" xr:uid="{00000000-0004-0000-0400-0000EA0E0000}"/>
    <hyperlink ref="J1911" r:id="rId3820" xr:uid="{00000000-0004-0000-0400-0000EB0E0000}"/>
    <hyperlink ref="I1912" r:id="rId3821" xr:uid="{00000000-0004-0000-0400-0000EC0E0000}"/>
    <hyperlink ref="J1912" r:id="rId3822" xr:uid="{00000000-0004-0000-0400-0000ED0E0000}"/>
    <hyperlink ref="I1913" r:id="rId3823" xr:uid="{00000000-0004-0000-0400-0000EE0E0000}"/>
    <hyperlink ref="J1913" r:id="rId3824" xr:uid="{00000000-0004-0000-0400-0000EF0E0000}"/>
    <hyperlink ref="I1914" r:id="rId3825" xr:uid="{00000000-0004-0000-0400-0000F00E0000}"/>
    <hyperlink ref="J1914" r:id="rId3826" xr:uid="{00000000-0004-0000-0400-0000F10E0000}"/>
    <hyperlink ref="I1915" r:id="rId3827" xr:uid="{00000000-0004-0000-0400-0000F20E0000}"/>
    <hyperlink ref="J1915" r:id="rId3828" xr:uid="{00000000-0004-0000-0400-0000F30E0000}"/>
    <hyperlink ref="I1916" r:id="rId3829" xr:uid="{00000000-0004-0000-0400-0000F40E0000}"/>
    <hyperlink ref="J1916" r:id="rId3830" xr:uid="{00000000-0004-0000-0400-0000F50E0000}"/>
    <hyperlink ref="I1917" r:id="rId3831" xr:uid="{00000000-0004-0000-0400-0000F60E0000}"/>
    <hyperlink ref="J1917" r:id="rId3832" xr:uid="{00000000-0004-0000-0400-0000F70E0000}"/>
    <hyperlink ref="I1918" r:id="rId3833" xr:uid="{00000000-0004-0000-0400-0000F80E0000}"/>
    <hyperlink ref="J1918" r:id="rId3834" xr:uid="{00000000-0004-0000-0400-0000F90E0000}"/>
    <hyperlink ref="I1919" r:id="rId3835" xr:uid="{00000000-0004-0000-0400-0000FA0E0000}"/>
    <hyperlink ref="J1919" r:id="rId3836" xr:uid="{00000000-0004-0000-0400-0000FB0E0000}"/>
    <hyperlink ref="I1920" r:id="rId3837" xr:uid="{00000000-0004-0000-0400-0000FC0E0000}"/>
    <hyperlink ref="J1920" r:id="rId3838" xr:uid="{00000000-0004-0000-0400-0000FD0E0000}"/>
    <hyperlink ref="I1921" r:id="rId3839" xr:uid="{00000000-0004-0000-0400-0000FE0E0000}"/>
    <hyperlink ref="J1921" r:id="rId3840" xr:uid="{00000000-0004-0000-0400-0000FF0E0000}"/>
    <hyperlink ref="I1922" r:id="rId3841" xr:uid="{00000000-0004-0000-0400-0000000F0000}"/>
    <hyperlink ref="J1922" r:id="rId3842" xr:uid="{00000000-0004-0000-0400-0000010F0000}"/>
    <hyperlink ref="I1923" r:id="rId3843" xr:uid="{00000000-0004-0000-0400-0000020F0000}"/>
    <hyperlink ref="J1923" r:id="rId3844" xr:uid="{00000000-0004-0000-0400-0000030F0000}"/>
    <hyperlink ref="I1924" r:id="rId3845" xr:uid="{00000000-0004-0000-0400-0000040F0000}"/>
    <hyperlink ref="J1924" r:id="rId3846" xr:uid="{00000000-0004-0000-0400-0000050F0000}"/>
    <hyperlink ref="I1925" r:id="rId3847" xr:uid="{00000000-0004-0000-0400-0000060F0000}"/>
    <hyperlink ref="J1925" r:id="rId3848" xr:uid="{00000000-0004-0000-0400-0000070F0000}"/>
    <hyperlink ref="I1926" r:id="rId3849" xr:uid="{00000000-0004-0000-0400-0000080F0000}"/>
    <hyperlink ref="J1926" r:id="rId3850" xr:uid="{00000000-0004-0000-0400-0000090F0000}"/>
    <hyperlink ref="I1927" r:id="rId3851" xr:uid="{00000000-0004-0000-0400-00000A0F0000}"/>
    <hyperlink ref="J1927" r:id="rId3852" xr:uid="{00000000-0004-0000-0400-00000B0F0000}"/>
    <hyperlink ref="I1928" r:id="rId3853" xr:uid="{00000000-0004-0000-0400-00000C0F0000}"/>
    <hyperlink ref="J1928" r:id="rId3854" xr:uid="{00000000-0004-0000-0400-00000D0F0000}"/>
    <hyperlink ref="I1929" r:id="rId3855" xr:uid="{00000000-0004-0000-0400-00000E0F0000}"/>
    <hyperlink ref="J1929" r:id="rId3856" xr:uid="{00000000-0004-0000-0400-00000F0F0000}"/>
    <hyperlink ref="I1930" r:id="rId3857" xr:uid="{00000000-0004-0000-0400-0000100F0000}"/>
    <hyperlink ref="J1930" r:id="rId3858" xr:uid="{00000000-0004-0000-0400-0000110F0000}"/>
    <hyperlink ref="I1931" r:id="rId3859" xr:uid="{00000000-0004-0000-0400-0000120F0000}"/>
    <hyperlink ref="J1931" r:id="rId3860" xr:uid="{00000000-0004-0000-0400-0000130F0000}"/>
    <hyperlink ref="I1932" r:id="rId3861" xr:uid="{00000000-0004-0000-0400-0000140F0000}"/>
    <hyperlink ref="J1932" r:id="rId3862" xr:uid="{00000000-0004-0000-0400-0000150F0000}"/>
    <hyperlink ref="I1933" r:id="rId3863" xr:uid="{00000000-0004-0000-0400-0000160F0000}"/>
    <hyperlink ref="J1933" r:id="rId3864" xr:uid="{00000000-0004-0000-0400-0000170F0000}"/>
    <hyperlink ref="I1934" r:id="rId3865" xr:uid="{00000000-0004-0000-0400-0000180F0000}"/>
    <hyperlink ref="J1934" r:id="rId3866" xr:uid="{00000000-0004-0000-0400-0000190F0000}"/>
    <hyperlink ref="I1935" r:id="rId3867" xr:uid="{00000000-0004-0000-0400-00001A0F0000}"/>
    <hyperlink ref="J1935" r:id="rId3868" xr:uid="{00000000-0004-0000-0400-00001B0F0000}"/>
    <hyperlink ref="I1936" r:id="rId3869" xr:uid="{00000000-0004-0000-0400-00001C0F0000}"/>
    <hyperlink ref="J1936" r:id="rId3870" xr:uid="{00000000-0004-0000-0400-00001D0F0000}"/>
    <hyperlink ref="I1937" r:id="rId3871" xr:uid="{00000000-0004-0000-0400-00001E0F0000}"/>
    <hyperlink ref="J1937" r:id="rId3872" xr:uid="{00000000-0004-0000-0400-00001F0F0000}"/>
    <hyperlink ref="I1938" r:id="rId3873" xr:uid="{00000000-0004-0000-0400-0000200F0000}"/>
    <hyperlink ref="J1938" r:id="rId3874" xr:uid="{00000000-0004-0000-0400-0000210F0000}"/>
    <hyperlink ref="I1939" r:id="rId3875" xr:uid="{00000000-0004-0000-0400-0000220F0000}"/>
    <hyperlink ref="J1939" r:id="rId3876" xr:uid="{00000000-0004-0000-0400-0000230F0000}"/>
    <hyperlink ref="I1940" r:id="rId3877" xr:uid="{00000000-0004-0000-0400-0000240F0000}"/>
    <hyperlink ref="J1940" r:id="rId3878" xr:uid="{00000000-0004-0000-0400-0000250F0000}"/>
    <hyperlink ref="I1941" r:id="rId3879" xr:uid="{00000000-0004-0000-0400-0000260F0000}"/>
    <hyperlink ref="J1941" r:id="rId3880" xr:uid="{00000000-0004-0000-0400-0000270F0000}"/>
    <hyperlink ref="I1942" r:id="rId3881" xr:uid="{00000000-0004-0000-0400-0000280F0000}"/>
    <hyperlink ref="J1942" r:id="rId3882" xr:uid="{00000000-0004-0000-0400-0000290F0000}"/>
    <hyperlink ref="I1943" r:id="rId3883" xr:uid="{00000000-0004-0000-0400-00002A0F0000}"/>
    <hyperlink ref="J1943" r:id="rId3884" xr:uid="{00000000-0004-0000-0400-00002B0F0000}"/>
    <hyperlink ref="I1944" r:id="rId3885" xr:uid="{00000000-0004-0000-0400-00002C0F0000}"/>
    <hyperlink ref="J1944" r:id="rId3886" xr:uid="{00000000-0004-0000-0400-00002D0F0000}"/>
    <hyperlink ref="I1945" r:id="rId3887" xr:uid="{00000000-0004-0000-0400-00002E0F0000}"/>
    <hyperlink ref="J1945" r:id="rId3888" xr:uid="{00000000-0004-0000-0400-00002F0F0000}"/>
    <hyperlink ref="I1946" r:id="rId3889" xr:uid="{00000000-0004-0000-0400-0000300F0000}"/>
    <hyperlink ref="J1946" r:id="rId3890" xr:uid="{00000000-0004-0000-0400-0000310F0000}"/>
    <hyperlink ref="I1947" r:id="rId3891" xr:uid="{00000000-0004-0000-0400-0000320F0000}"/>
    <hyperlink ref="J1947" r:id="rId3892" xr:uid="{00000000-0004-0000-0400-0000330F0000}"/>
    <hyperlink ref="I1948" r:id="rId3893" xr:uid="{00000000-0004-0000-0400-0000340F0000}"/>
    <hyperlink ref="J1948" r:id="rId3894" xr:uid="{00000000-0004-0000-0400-0000350F0000}"/>
    <hyperlink ref="I1949" r:id="rId3895" xr:uid="{00000000-0004-0000-0400-0000360F0000}"/>
    <hyperlink ref="J1949" r:id="rId3896" xr:uid="{00000000-0004-0000-0400-0000370F0000}"/>
    <hyperlink ref="I1950" r:id="rId3897" xr:uid="{00000000-0004-0000-0400-0000380F0000}"/>
    <hyperlink ref="J1950" r:id="rId3898" xr:uid="{00000000-0004-0000-0400-0000390F0000}"/>
    <hyperlink ref="I1951" r:id="rId3899" xr:uid="{00000000-0004-0000-0400-00003A0F0000}"/>
    <hyperlink ref="J1951" r:id="rId3900" xr:uid="{00000000-0004-0000-0400-00003B0F0000}"/>
    <hyperlink ref="I1952" r:id="rId3901" xr:uid="{00000000-0004-0000-0400-00003C0F0000}"/>
    <hyperlink ref="J1952" r:id="rId3902" xr:uid="{00000000-0004-0000-0400-00003D0F0000}"/>
    <hyperlink ref="I1953" r:id="rId3903" xr:uid="{00000000-0004-0000-0400-00003E0F0000}"/>
    <hyperlink ref="J1953" r:id="rId3904" xr:uid="{00000000-0004-0000-0400-00003F0F0000}"/>
    <hyperlink ref="I1954" r:id="rId3905" xr:uid="{00000000-0004-0000-0400-0000400F0000}"/>
    <hyperlink ref="J1954" r:id="rId3906" xr:uid="{00000000-0004-0000-0400-0000410F0000}"/>
    <hyperlink ref="I1955" r:id="rId3907" xr:uid="{00000000-0004-0000-0400-0000420F0000}"/>
    <hyperlink ref="J1955" r:id="rId3908" xr:uid="{00000000-0004-0000-0400-0000430F0000}"/>
    <hyperlink ref="I1956" r:id="rId3909" xr:uid="{00000000-0004-0000-0400-0000440F0000}"/>
    <hyperlink ref="J1956" r:id="rId3910" xr:uid="{00000000-0004-0000-0400-0000450F0000}"/>
    <hyperlink ref="I1957" r:id="rId3911" xr:uid="{00000000-0004-0000-0400-0000460F0000}"/>
    <hyperlink ref="J1957" r:id="rId3912" xr:uid="{00000000-0004-0000-0400-0000470F0000}"/>
    <hyperlink ref="I1958" r:id="rId3913" xr:uid="{00000000-0004-0000-0400-0000480F0000}"/>
    <hyperlink ref="J1958" r:id="rId3914" xr:uid="{00000000-0004-0000-0400-0000490F0000}"/>
    <hyperlink ref="I1959" r:id="rId3915" xr:uid="{00000000-0004-0000-0400-00004A0F0000}"/>
    <hyperlink ref="J1959" r:id="rId3916" xr:uid="{00000000-0004-0000-0400-00004B0F0000}"/>
    <hyperlink ref="I1960" r:id="rId3917" xr:uid="{00000000-0004-0000-0400-00004C0F0000}"/>
    <hyperlink ref="J1960" r:id="rId3918" xr:uid="{00000000-0004-0000-0400-00004D0F0000}"/>
    <hyperlink ref="I1961" r:id="rId3919" xr:uid="{00000000-0004-0000-0400-00004E0F0000}"/>
    <hyperlink ref="J1961" r:id="rId3920" xr:uid="{00000000-0004-0000-0400-00004F0F0000}"/>
    <hyperlink ref="I1962" r:id="rId3921" xr:uid="{00000000-0004-0000-0400-0000500F0000}"/>
    <hyperlink ref="J1962" r:id="rId3922" xr:uid="{00000000-0004-0000-0400-0000510F0000}"/>
    <hyperlink ref="I1963" r:id="rId3923" xr:uid="{00000000-0004-0000-0400-0000520F0000}"/>
    <hyperlink ref="J1963" r:id="rId3924" xr:uid="{00000000-0004-0000-0400-0000530F0000}"/>
    <hyperlink ref="I1964" r:id="rId3925" xr:uid="{00000000-0004-0000-0400-0000540F0000}"/>
    <hyperlink ref="J1964" r:id="rId3926" xr:uid="{00000000-0004-0000-0400-0000550F0000}"/>
    <hyperlink ref="I1965" r:id="rId3927" xr:uid="{00000000-0004-0000-0400-0000560F0000}"/>
    <hyperlink ref="J1965" r:id="rId3928" xr:uid="{00000000-0004-0000-0400-0000570F0000}"/>
    <hyperlink ref="I1966" r:id="rId3929" xr:uid="{00000000-0004-0000-0400-0000580F0000}"/>
    <hyperlink ref="J1966" r:id="rId3930" xr:uid="{00000000-0004-0000-0400-0000590F0000}"/>
    <hyperlink ref="I1967" r:id="rId3931" xr:uid="{00000000-0004-0000-0400-00005A0F0000}"/>
    <hyperlink ref="J1967" r:id="rId3932" xr:uid="{00000000-0004-0000-0400-00005B0F0000}"/>
    <hyperlink ref="I1968" r:id="rId3933" xr:uid="{00000000-0004-0000-0400-00005C0F0000}"/>
    <hyperlink ref="J1968" r:id="rId3934" xr:uid="{00000000-0004-0000-0400-00005D0F0000}"/>
    <hyperlink ref="I1969" r:id="rId3935" xr:uid="{00000000-0004-0000-0400-00005E0F0000}"/>
    <hyperlink ref="J1969" r:id="rId3936" xr:uid="{00000000-0004-0000-0400-00005F0F0000}"/>
    <hyperlink ref="I1970" r:id="rId3937" xr:uid="{00000000-0004-0000-0400-0000600F0000}"/>
    <hyperlink ref="J1970" r:id="rId3938" xr:uid="{00000000-0004-0000-0400-0000610F0000}"/>
    <hyperlink ref="I1971" r:id="rId3939" xr:uid="{00000000-0004-0000-0400-0000620F0000}"/>
    <hyperlink ref="J1971" r:id="rId3940" xr:uid="{00000000-0004-0000-0400-0000630F0000}"/>
    <hyperlink ref="I1972" r:id="rId3941" xr:uid="{00000000-0004-0000-0400-0000640F0000}"/>
    <hyperlink ref="J1972" r:id="rId3942" xr:uid="{00000000-0004-0000-0400-0000650F0000}"/>
    <hyperlink ref="I1973" r:id="rId3943" xr:uid="{00000000-0004-0000-0400-0000660F0000}"/>
    <hyperlink ref="J1973" r:id="rId3944" xr:uid="{00000000-0004-0000-0400-0000670F0000}"/>
    <hyperlink ref="I1974" r:id="rId3945" xr:uid="{00000000-0004-0000-0400-0000680F0000}"/>
    <hyperlink ref="J1974" r:id="rId3946" xr:uid="{00000000-0004-0000-0400-0000690F0000}"/>
    <hyperlink ref="I1975" r:id="rId3947" xr:uid="{00000000-0004-0000-0400-00006A0F0000}"/>
    <hyperlink ref="J1975" r:id="rId3948" xr:uid="{00000000-0004-0000-0400-00006B0F0000}"/>
    <hyperlink ref="I1976" r:id="rId3949" xr:uid="{00000000-0004-0000-0400-00006C0F0000}"/>
    <hyperlink ref="J1976" r:id="rId3950" xr:uid="{00000000-0004-0000-0400-00006D0F0000}"/>
    <hyperlink ref="I1977" r:id="rId3951" xr:uid="{00000000-0004-0000-0400-00006E0F0000}"/>
    <hyperlink ref="J1977" r:id="rId3952" xr:uid="{00000000-0004-0000-0400-00006F0F0000}"/>
    <hyperlink ref="I1978" r:id="rId3953" xr:uid="{00000000-0004-0000-0400-0000700F0000}"/>
    <hyperlink ref="J1978" r:id="rId3954" xr:uid="{00000000-0004-0000-0400-0000710F0000}"/>
    <hyperlink ref="I1979" r:id="rId3955" xr:uid="{00000000-0004-0000-0400-0000720F0000}"/>
    <hyperlink ref="J1979" r:id="rId3956" xr:uid="{00000000-0004-0000-0400-0000730F0000}"/>
    <hyperlink ref="I1980" r:id="rId3957" xr:uid="{00000000-0004-0000-0400-0000740F0000}"/>
    <hyperlink ref="J1980" r:id="rId3958" xr:uid="{00000000-0004-0000-0400-0000750F0000}"/>
    <hyperlink ref="I1981" r:id="rId3959" xr:uid="{00000000-0004-0000-0400-0000760F0000}"/>
    <hyperlink ref="J1981" r:id="rId3960" xr:uid="{00000000-0004-0000-0400-0000770F0000}"/>
    <hyperlink ref="I1982" r:id="rId3961" xr:uid="{00000000-0004-0000-0400-0000780F0000}"/>
    <hyperlink ref="J1982" r:id="rId3962" xr:uid="{00000000-0004-0000-0400-0000790F0000}"/>
    <hyperlink ref="I1983" r:id="rId3963" xr:uid="{00000000-0004-0000-0400-00007A0F0000}"/>
    <hyperlink ref="J1983" r:id="rId3964" xr:uid="{00000000-0004-0000-0400-00007B0F0000}"/>
    <hyperlink ref="I1984" r:id="rId3965" xr:uid="{00000000-0004-0000-0400-00007C0F0000}"/>
    <hyperlink ref="J1984" r:id="rId3966" xr:uid="{00000000-0004-0000-0400-00007D0F0000}"/>
    <hyperlink ref="I1985" r:id="rId3967" xr:uid="{00000000-0004-0000-0400-00007E0F0000}"/>
    <hyperlink ref="J1985" r:id="rId3968" xr:uid="{00000000-0004-0000-0400-00007F0F0000}"/>
    <hyperlink ref="I1986" r:id="rId3969" xr:uid="{00000000-0004-0000-0400-0000800F0000}"/>
    <hyperlink ref="J1986" r:id="rId3970" xr:uid="{00000000-0004-0000-0400-0000810F0000}"/>
    <hyperlink ref="I1987" r:id="rId3971" xr:uid="{00000000-0004-0000-0400-0000820F0000}"/>
    <hyperlink ref="J1987" r:id="rId3972" xr:uid="{00000000-0004-0000-0400-0000830F0000}"/>
    <hyperlink ref="I1988" r:id="rId3973" xr:uid="{00000000-0004-0000-0400-0000840F0000}"/>
    <hyperlink ref="J1988" r:id="rId3974" xr:uid="{00000000-0004-0000-0400-0000850F0000}"/>
    <hyperlink ref="I1989" r:id="rId3975" xr:uid="{00000000-0004-0000-0400-0000860F0000}"/>
    <hyperlink ref="J1989" r:id="rId3976" xr:uid="{00000000-0004-0000-0400-0000870F0000}"/>
    <hyperlink ref="I1990" r:id="rId3977" xr:uid="{00000000-0004-0000-0400-0000880F0000}"/>
    <hyperlink ref="J1990" r:id="rId3978" xr:uid="{00000000-0004-0000-0400-0000890F0000}"/>
    <hyperlink ref="I1991" r:id="rId3979" xr:uid="{00000000-0004-0000-0400-00008A0F0000}"/>
    <hyperlink ref="J1991" r:id="rId3980" xr:uid="{00000000-0004-0000-0400-00008B0F0000}"/>
    <hyperlink ref="I1992" r:id="rId3981" xr:uid="{00000000-0004-0000-0400-00008C0F0000}"/>
    <hyperlink ref="J1992" r:id="rId3982" xr:uid="{00000000-0004-0000-0400-00008D0F0000}"/>
    <hyperlink ref="I1993" r:id="rId3983" xr:uid="{00000000-0004-0000-0400-00008E0F0000}"/>
    <hyperlink ref="J1993" r:id="rId3984" xr:uid="{00000000-0004-0000-0400-00008F0F0000}"/>
    <hyperlink ref="I1994" r:id="rId3985" xr:uid="{00000000-0004-0000-0400-0000900F0000}"/>
    <hyperlink ref="J1994" r:id="rId3986" xr:uid="{00000000-0004-0000-0400-0000910F0000}"/>
    <hyperlink ref="I1995" r:id="rId3987" xr:uid="{00000000-0004-0000-0400-0000920F0000}"/>
    <hyperlink ref="J1995" r:id="rId3988" xr:uid="{00000000-0004-0000-0400-0000930F0000}"/>
    <hyperlink ref="I1996" r:id="rId3989" xr:uid="{00000000-0004-0000-0400-0000940F0000}"/>
    <hyperlink ref="J1996" r:id="rId3990" xr:uid="{00000000-0004-0000-0400-0000950F0000}"/>
    <hyperlink ref="I1997" r:id="rId3991" xr:uid="{00000000-0004-0000-0400-0000960F0000}"/>
    <hyperlink ref="J1997" r:id="rId3992" xr:uid="{00000000-0004-0000-0400-0000970F0000}"/>
    <hyperlink ref="I1998" r:id="rId3993" xr:uid="{00000000-0004-0000-0400-0000980F0000}"/>
    <hyperlink ref="J1998" r:id="rId3994" xr:uid="{00000000-0004-0000-0400-0000990F0000}"/>
    <hyperlink ref="I1999" r:id="rId3995" xr:uid="{00000000-0004-0000-0400-00009A0F0000}"/>
    <hyperlink ref="J1999" r:id="rId3996" xr:uid="{00000000-0004-0000-0400-00009B0F0000}"/>
    <hyperlink ref="I2000" r:id="rId3997" xr:uid="{00000000-0004-0000-0400-00009C0F0000}"/>
    <hyperlink ref="J2000" r:id="rId3998" xr:uid="{00000000-0004-0000-0400-00009D0F0000}"/>
    <hyperlink ref="I2001" r:id="rId3999" xr:uid="{00000000-0004-0000-0400-00009E0F0000}"/>
    <hyperlink ref="J2001" r:id="rId4000" xr:uid="{00000000-0004-0000-0400-00009F0F0000}"/>
    <hyperlink ref="I2002" r:id="rId4001" xr:uid="{00000000-0004-0000-0400-0000A00F0000}"/>
    <hyperlink ref="J2002" r:id="rId4002" xr:uid="{00000000-0004-0000-0400-0000A10F0000}"/>
    <hyperlink ref="I2003" r:id="rId4003" xr:uid="{00000000-0004-0000-0400-0000A20F0000}"/>
    <hyperlink ref="J2003" r:id="rId4004" xr:uid="{00000000-0004-0000-0400-0000A30F0000}"/>
    <hyperlink ref="I2004" r:id="rId4005" xr:uid="{00000000-0004-0000-0400-0000A40F0000}"/>
    <hyperlink ref="J2004" r:id="rId4006" xr:uid="{00000000-0004-0000-0400-0000A50F0000}"/>
    <hyperlink ref="I2005" r:id="rId4007" xr:uid="{00000000-0004-0000-0400-0000A60F0000}"/>
    <hyperlink ref="J2005" r:id="rId4008" xr:uid="{00000000-0004-0000-0400-0000A70F0000}"/>
    <hyperlink ref="I2006" r:id="rId4009" xr:uid="{00000000-0004-0000-0400-0000A80F0000}"/>
    <hyperlink ref="J2006" r:id="rId4010" xr:uid="{00000000-0004-0000-0400-0000A90F0000}"/>
    <hyperlink ref="I2007" r:id="rId4011" xr:uid="{00000000-0004-0000-0400-0000AA0F0000}"/>
    <hyperlink ref="J2007" r:id="rId4012" xr:uid="{00000000-0004-0000-0400-0000AB0F0000}"/>
    <hyperlink ref="I2008" r:id="rId4013" xr:uid="{00000000-0004-0000-0400-0000AC0F0000}"/>
    <hyperlink ref="J2008" r:id="rId4014" xr:uid="{00000000-0004-0000-0400-0000AD0F0000}"/>
    <hyperlink ref="I2009" r:id="rId4015" xr:uid="{00000000-0004-0000-0400-0000AE0F0000}"/>
    <hyperlink ref="J2009" r:id="rId4016" xr:uid="{00000000-0004-0000-0400-0000AF0F0000}"/>
    <hyperlink ref="I2010" r:id="rId4017" xr:uid="{00000000-0004-0000-0400-0000B00F0000}"/>
    <hyperlink ref="J2010" r:id="rId4018" xr:uid="{00000000-0004-0000-0400-0000B10F0000}"/>
    <hyperlink ref="I2011" r:id="rId4019" xr:uid="{00000000-0004-0000-0400-0000B20F0000}"/>
    <hyperlink ref="J2011" r:id="rId4020" xr:uid="{00000000-0004-0000-0400-0000B30F0000}"/>
    <hyperlink ref="I2012" r:id="rId4021" xr:uid="{00000000-0004-0000-0400-0000B40F0000}"/>
    <hyperlink ref="J2012" r:id="rId4022" xr:uid="{00000000-0004-0000-0400-0000B50F0000}"/>
    <hyperlink ref="I2013" r:id="rId4023" xr:uid="{00000000-0004-0000-0400-0000B60F0000}"/>
    <hyperlink ref="J2013" r:id="rId4024" xr:uid="{00000000-0004-0000-0400-0000B70F0000}"/>
    <hyperlink ref="I2014" r:id="rId4025" xr:uid="{00000000-0004-0000-0400-0000B80F0000}"/>
    <hyperlink ref="J2014" r:id="rId4026" xr:uid="{00000000-0004-0000-0400-0000B90F0000}"/>
    <hyperlink ref="I2015" r:id="rId4027" xr:uid="{00000000-0004-0000-0400-0000BA0F0000}"/>
    <hyperlink ref="J2015" r:id="rId4028" xr:uid="{00000000-0004-0000-0400-0000BB0F0000}"/>
    <hyperlink ref="I2016" r:id="rId4029" xr:uid="{00000000-0004-0000-0400-0000BC0F0000}"/>
    <hyperlink ref="J2016" r:id="rId4030" xr:uid="{00000000-0004-0000-0400-0000BD0F0000}"/>
    <hyperlink ref="I2017" r:id="rId4031" xr:uid="{00000000-0004-0000-0400-0000BE0F0000}"/>
    <hyperlink ref="J2017" r:id="rId4032" xr:uid="{00000000-0004-0000-0400-0000BF0F0000}"/>
    <hyperlink ref="I2018" r:id="rId4033" xr:uid="{00000000-0004-0000-0400-0000C00F0000}"/>
    <hyperlink ref="J2018" r:id="rId4034" xr:uid="{00000000-0004-0000-0400-0000C10F0000}"/>
    <hyperlink ref="I2019" r:id="rId4035" xr:uid="{00000000-0004-0000-0400-0000C20F0000}"/>
    <hyperlink ref="J2019" r:id="rId4036" xr:uid="{00000000-0004-0000-0400-0000C30F0000}"/>
    <hyperlink ref="I2020" r:id="rId4037" xr:uid="{00000000-0004-0000-0400-0000C40F0000}"/>
    <hyperlink ref="J2020" r:id="rId4038" xr:uid="{00000000-0004-0000-0400-0000C50F0000}"/>
    <hyperlink ref="I2021" r:id="rId4039" xr:uid="{00000000-0004-0000-0400-0000C60F0000}"/>
    <hyperlink ref="J2021" r:id="rId4040" xr:uid="{00000000-0004-0000-0400-0000C70F0000}"/>
    <hyperlink ref="I2022" r:id="rId4041" xr:uid="{00000000-0004-0000-0400-0000C80F0000}"/>
    <hyperlink ref="J2022" r:id="rId4042" xr:uid="{00000000-0004-0000-0400-0000C90F0000}"/>
    <hyperlink ref="I2023" r:id="rId4043" xr:uid="{00000000-0004-0000-0400-0000CA0F0000}"/>
    <hyperlink ref="J2023" r:id="rId4044" xr:uid="{00000000-0004-0000-0400-0000CB0F0000}"/>
    <hyperlink ref="I2024" r:id="rId4045" xr:uid="{00000000-0004-0000-0400-0000CC0F0000}"/>
    <hyperlink ref="J2024" r:id="rId4046" xr:uid="{00000000-0004-0000-0400-0000CD0F0000}"/>
    <hyperlink ref="I2025" r:id="rId4047" xr:uid="{00000000-0004-0000-0400-0000CE0F0000}"/>
    <hyperlink ref="J2025" r:id="rId4048" xr:uid="{00000000-0004-0000-0400-0000CF0F0000}"/>
    <hyperlink ref="I2026" r:id="rId4049" xr:uid="{00000000-0004-0000-0400-0000D00F0000}"/>
    <hyperlink ref="J2026" r:id="rId4050" xr:uid="{00000000-0004-0000-0400-0000D10F0000}"/>
    <hyperlink ref="I2027" r:id="rId4051" xr:uid="{00000000-0004-0000-0400-0000D20F0000}"/>
    <hyperlink ref="J2027" r:id="rId4052" xr:uid="{00000000-0004-0000-0400-0000D30F0000}"/>
    <hyperlink ref="I2028" r:id="rId4053" xr:uid="{00000000-0004-0000-0400-0000D40F0000}"/>
    <hyperlink ref="J2028" r:id="rId4054" xr:uid="{00000000-0004-0000-0400-0000D50F0000}"/>
    <hyperlink ref="I2029" r:id="rId4055" xr:uid="{00000000-0004-0000-0400-0000D60F0000}"/>
    <hyperlink ref="J2029" r:id="rId4056" xr:uid="{00000000-0004-0000-0400-0000D70F0000}"/>
    <hyperlink ref="I2030" r:id="rId4057" xr:uid="{00000000-0004-0000-0400-0000D80F0000}"/>
    <hyperlink ref="J2030" r:id="rId4058" xr:uid="{00000000-0004-0000-0400-0000D90F0000}"/>
    <hyperlink ref="I2031" r:id="rId4059" xr:uid="{00000000-0004-0000-0400-0000DA0F0000}"/>
    <hyperlink ref="J2031" r:id="rId4060" xr:uid="{00000000-0004-0000-0400-0000DB0F0000}"/>
    <hyperlink ref="I2032" r:id="rId4061" xr:uid="{00000000-0004-0000-0400-0000DC0F0000}"/>
    <hyperlink ref="J2032" r:id="rId4062" xr:uid="{00000000-0004-0000-0400-0000DD0F0000}"/>
    <hyperlink ref="I2033" r:id="rId4063" xr:uid="{00000000-0004-0000-0400-0000DE0F0000}"/>
    <hyperlink ref="J2033" r:id="rId4064" xr:uid="{00000000-0004-0000-0400-0000DF0F0000}"/>
    <hyperlink ref="I2034" r:id="rId4065" xr:uid="{00000000-0004-0000-0400-0000E00F0000}"/>
    <hyperlink ref="J2034" r:id="rId4066" xr:uid="{00000000-0004-0000-0400-0000E10F0000}"/>
    <hyperlink ref="I2035" r:id="rId4067" xr:uid="{00000000-0004-0000-0400-0000E20F0000}"/>
    <hyperlink ref="J2035" r:id="rId4068" xr:uid="{00000000-0004-0000-0400-0000E30F0000}"/>
    <hyperlink ref="I2036" r:id="rId4069" xr:uid="{00000000-0004-0000-0400-0000E40F0000}"/>
    <hyperlink ref="J2036" r:id="rId4070" xr:uid="{00000000-0004-0000-0400-0000E50F0000}"/>
    <hyperlink ref="I2037" r:id="rId4071" xr:uid="{00000000-0004-0000-0400-0000E60F0000}"/>
    <hyperlink ref="J2037" r:id="rId4072" xr:uid="{00000000-0004-0000-0400-0000E70F0000}"/>
    <hyperlink ref="I2038" r:id="rId4073" xr:uid="{00000000-0004-0000-0400-0000E80F0000}"/>
    <hyperlink ref="J2038" r:id="rId4074" xr:uid="{00000000-0004-0000-0400-0000E90F0000}"/>
    <hyperlink ref="I2039" r:id="rId4075" xr:uid="{00000000-0004-0000-0400-0000EA0F0000}"/>
    <hyperlink ref="J2039" r:id="rId4076" xr:uid="{00000000-0004-0000-0400-0000EB0F0000}"/>
    <hyperlink ref="I2040" r:id="rId4077" xr:uid="{00000000-0004-0000-0400-0000EC0F0000}"/>
    <hyperlink ref="J2040" r:id="rId4078" xr:uid="{00000000-0004-0000-0400-0000ED0F0000}"/>
    <hyperlink ref="I2041" r:id="rId4079" xr:uid="{00000000-0004-0000-0400-0000EE0F0000}"/>
    <hyperlink ref="J2041" r:id="rId4080" xr:uid="{00000000-0004-0000-0400-0000EF0F0000}"/>
    <hyperlink ref="I2042" r:id="rId4081" xr:uid="{00000000-0004-0000-0400-0000F00F0000}"/>
    <hyperlink ref="J2042" r:id="rId4082" xr:uid="{00000000-0004-0000-0400-0000F10F0000}"/>
    <hyperlink ref="I2043" r:id="rId4083" xr:uid="{00000000-0004-0000-0400-0000F20F0000}"/>
    <hyperlink ref="J2043" r:id="rId4084" xr:uid="{00000000-0004-0000-0400-0000F30F0000}"/>
    <hyperlink ref="I2044" r:id="rId4085" xr:uid="{00000000-0004-0000-0400-0000F40F0000}"/>
    <hyperlink ref="J2044" r:id="rId4086" xr:uid="{00000000-0004-0000-0400-0000F50F0000}"/>
    <hyperlink ref="I2045" r:id="rId4087" xr:uid="{00000000-0004-0000-0400-0000F60F0000}"/>
    <hyperlink ref="J2045" r:id="rId4088" xr:uid="{00000000-0004-0000-0400-0000F70F0000}"/>
    <hyperlink ref="I2046" r:id="rId4089" xr:uid="{00000000-0004-0000-0400-0000F80F0000}"/>
    <hyperlink ref="J2046" r:id="rId4090" xr:uid="{00000000-0004-0000-0400-0000F90F0000}"/>
    <hyperlink ref="I2047" r:id="rId4091" xr:uid="{00000000-0004-0000-0400-0000FA0F0000}"/>
    <hyperlink ref="J2047" r:id="rId4092" xr:uid="{00000000-0004-0000-0400-0000FB0F0000}"/>
    <hyperlink ref="I2048" r:id="rId4093" xr:uid="{00000000-0004-0000-0400-0000FC0F0000}"/>
    <hyperlink ref="J2048" r:id="rId4094" xr:uid="{00000000-0004-0000-0400-0000FD0F0000}"/>
    <hyperlink ref="I2049" r:id="rId4095" xr:uid="{00000000-0004-0000-0400-0000FE0F0000}"/>
    <hyperlink ref="J2049" r:id="rId4096" xr:uid="{00000000-0004-0000-0400-0000FF0F0000}"/>
    <hyperlink ref="I2050" r:id="rId4097" xr:uid="{00000000-0004-0000-0400-000000100000}"/>
    <hyperlink ref="J2050" r:id="rId4098" xr:uid="{00000000-0004-0000-0400-000001100000}"/>
    <hyperlink ref="I2051" r:id="rId4099" xr:uid="{00000000-0004-0000-0400-000002100000}"/>
    <hyperlink ref="J2051" r:id="rId4100" xr:uid="{00000000-0004-0000-0400-000003100000}"/>
    <hyperlink ref="I2052" r:id="rId4101" xr:uid="{00000000-0004-0000-0400-000004100000}"/>
    <hyperlink ref="J2052" r:id="rId4102" xr:uid="{00000000-0004-0000-0400-000005100000}"/>
    <hyperlink ref="I2053" r:id="rId4103" xr:uid="{00000000-0004-0000-0400-000006100000}"/>
    <hyperlink ref="J2053" r:id="rId4104" xr:uid="{00000000-0004-0000-0400-000007100000}"/>
    <hyperlink ref="I2054" r:id="rId4105" xr:uid="{00000000-0004-0000-0400-000008100000}"/>
    <hyperlink ref="J2054" r:id="rId4106" xr:uid="{00000000-0004-0000-0400-000009100000}"/>
    <hyperlink ref="I2055" r:id="rId4107" xr:uid="{00000000-0004-0000-0400-00000A100000}"/>
    <hyperlink ref="J2055" r:id="rId4108" xr:uid="{00000000-0004-0000-0400-00000B100000}"/>
    <hyperlink ref="I2056" r:id="rId4109" xr:uid="{00000000-0004-0000-0400-00000C100000}"/>
    <hyperlink ref="J2056" r:id="rId4110" xr:uid="{00000000-0004-0000-0400-00000D100000}"/>
    <hyperlink ref="I2057" r:id="rId4111" xr:uid="{00000000-0004-0000-0400-00000E100000}"/>
    <hyperlink ref="J2057" r:id="rId4112" xr:uid="{00000000-0004-0000-0400-00000F100000}"/>
    <hyperlink ref="I2058" r:id="rId4113" xr:uid="{00000000-0004-0000-0400-000010100000}"/>
    <hyperlink ref="J2058" r:id="rId4114" xr:uid="{00000000-0004-0000-0400-000011100000}"/>
    <hyperlink ref="I2059" r:id="rId4115" xr:uid="{00000000-0004-0000-0400-000012100000}"/>
    <hyperlink ref="J2059" r:id="rId4116" xr:uid="{00000000-0004-0000-0400-000013100000}"/>
    <hyperlink ref="I2060" r:id="rId4117" xr:uid="{00000000-0004-0000-0400-000014100000}"/>
    <hyperlink ref="J2060" r:id="rId4118" xr:uid="{00000000-0004-0000-0400-000015100000}"/>
    <hyperlink ref="I2061" r:id="rId4119" xr:uid="{00000000-0004-0000-0400-000016100000}"/>
    <hyperlink ref="J2061" r:id="rId4120" xr:uid="{00000000-0004-0000-0400-000017100000}"/>
    <hyperlink ref="I2062" r:id="rId4121" xr:uid="{00000000-0004-0000-0400-000018100000}"/>
    <hyperlink ref="J2062" r:id="rId4122" xr:uid="{00000000-0004-0000-0400-000019100000}"/>
    <hyperlink ref="I2063" r:id="rId4123" xr:uid="{00000000-0004-0000-0400-00001A100000}"/>
    <hyperlink ref="J2063" r:id="rId4124" xr:uid="{00000000-0004-0000-0400-00001B100000}"/>
    <hyperlink ref="I2064" r:id="rId4125" xr:uid="{00000000-0004-0000-0400-00001C100000}"/>
    <hyperlink ref="J2064" r:id="rId4126" xr:uid="{00000000-0004-0000-0400-00001D100000}"/>
    <hyperlink ref="I2065" r:id="rId4127" xr:uid="{00000000-0004-0000-0400-00001E100000}"/>
    <hyperlink ref="J2065" r:id="rId4128" xr:uid="{00000000-0004-0000-0400-00001F100000}"/>
    <hyperlink ref="I2066" r:id="rId4129" xr:uid="{00000000-0004-0000-0400-000020100000}"/>
    <hyperlink ref="J2066" r:id="rId4130" xr:uid="{00000000-0004-0000-0400-000021100000}"/>
    <hyperlink ref="I2067" r:id="rId4131" xr:uid="{00000000-0004-0000-0400-000022100000}"/>
    <hyperlink ref="J2067" r:id="rId4132" xr:uid="{00000000-0004-0000-0400-000023100000}"/>
    <hyperlink ref="I2068" r:id="rId4133" xr:uid="{00000000-0004-0000-0400-000024100000}"/>
    <hyperlink ref="J2068" r:id="rId4134" xr:uid="{00000000-0004-0000-0400-000025100000}"/>
    <hyperlink ref="I2069" r:id="rId4135" xr:uid="{00000000-0004-0000-0400-000026100000}"/>
    <hyperlink ref="J2069" r:id="rId4136" xr:uid="{00000000-0004-0000-0400-000027100000}"/>
    <hyperlink ref="I2070" r:id="rId4137" xr:uid="{00000000-0004-0000-0400-000028100000}"/>
    <hyperlink ref="J2070" r:id="rId4138" xr:uid="{00000000-0004-0000-0400-000029100000}"/>
    <hyperlink ref="I2071" r:id="rId4139" xr:uid="{00000000-0004-0000-0400-00002A100000}"/>
    <hyperlink ref="J2071" r:id="rId4140" xr:uid="{00000000-0004-0000-0400-00002B100000}"/>
    <hyperlink ref="I2072" r:id="rId4141" xr:uid="{00000000-0004-0000-0400-00002C100000}"/>
    <hyperlink ref="J2072" r:id="rId4142" xr:uid="{00000000-0004-0000-0400-00002D100000}"/>
    <hyperlink ref="I2073" r:id="rId4143" xr:uid="{00000000-0004-0000-0400-00002E100000}"/>
    <hyperlink ref="J2073" r:id="rId4144" xr:uid="{00000000-0004-0000-0400-00002F100000}"/>
    <hyperlink ref="I2074" r:id="rId4145" xr:uid="{00000000-0004-0000-0400-000030100000}"/>
    <hyperlink ref="J2074" r:id="rId4146" xr:uid="{00000000-0004-0000-0400-000031100000}"/>
    <hyperlink ref="I2075" r:id="rId4147" xr:uid="{00000000-0004-0000-0400-000032100000}"/>
    <hyperlink ref="J2075" r:id="rId4148" xr:uid="{00000000-0004-0000-0400-000033100000}"/>
    <hyperlink ref="I2076" r:id="rId4149" xr:uid="{00000000-0004-0000-0400-000034100000}"/>
    <hyperlink ref="J2076" r:id="rId4150" xr:uid="{00000000-0004-0000-0400-000035100000}"/>
    <hyperlink ref="I2077" r:id="rId4151" xr:uid="{00000000-0004-0000-0400-000036100000}"/>
    <hyperlink ref="J2077" r:id="rId4152" xr:uid="{00000000-0004-0000-0400-000037100000}"/>
    <hyperlink ref="I2078" r:id="rId4153" xr:uid="{00000000-0004-0000-0400-000038100000}"/>
    <hyperlink ref="J2078" r:id="rId4154" xr:uid="{00000000-0004-0000-0400-000039100000}"/>
    <hyperlink ref="I2079" r:id="rId4155" xr:uid="{00000000-0004-0000-0400-00003A100000}"/>
    <hyperlink ref="J2079" r:id="rId4156" xr:uid="{00000000-0004-0000-0400-00003B100000}"/>
    <hyperlink ref="I2080" r:id="rId4157" xr:uid="{00000000-0004-0000-0400-00003C100000}"/>
    <hyperlink ref="J2080" r:id="rId4158" xr:uid="{00000000-0004-0000-0400-00003D100000}"/>
    <hyperlink ref="I2081" r:id="rId4159" xr:uid="{00000000-0004-0000-0400-00003E100000}"/>
    <hyperlink ref="J2081" r:id="rId4160" xr:uid="{00000000-0004-0000-0400-00003F100000}"/>
    <hyperlink ref="I2082" r:id="rId4161" xr:uid="{00000000-0004-0000-0400-000040100000}"/>
    <hyperlink ref="J2082" r:id="rId4162" xr:uid="{00000000-0004-0000-0400-000041100000}"/>
    <hyperlink ref="I2083" r:id="rId4163" xr:uid="{00000000-0004-0000-0400-000042100000}"/>
    <hyperlink ref="J2083" r:id="rId4164" xr:uid="{00000000-0004-0000-0400-000043100000}"/>
    <hyperlink ref="I2084" r:id="rId4165" xr:uid="{00000000-0004-0000-0400-000044100000}"/>
    <hyperlink ref="J2084" r:id="rId4166" xr:uid="{00000000-0004-0000-0400-000045100000}"/>
    <hyperlink ref="I2085" r:id="rId4167" xr:uid="{00000000-0004-0000-0400-000046100000}"/>
    <hyperlink ref="J2085" r:id="rId4168" xr:uid="{00000000-0004-0000-0400-000047100000}"/>
    <hyperlink ref="I2086" r:id="rId4169" xr:uid="{00000000-0004-0000-0400-000048100000}"/>
    <hyperlink ref="J2086" r:id="rId4170" xr:uid="{00000000-0004-0000-0400-000049100000}"/>
    <hyperlink ref="I2087" r:id="rId4171" xr:uid="{00000000-0004-0000-0400-00004A100000}"/>
    <hyperlink ref="J2087" r:id="rId4172" xr:uid="{00000000-0004-0000-0400-00004B100000}"/>
    <hyperlink ref="I2088" r:id="rId4173" xr:uid="{00000000-0004-0000-0400-00004C100000}"/>
    <hyperlink ref="J2088" r:id="rId4174" xr:uid="{00000000-0004-0000-0400-00004D100000}"/>
    <hyperlink ref="I2089" r:id="rId4175" xr:uid="{00000000-0004-0000-0400-00004E100000}"/>
    <hyperlink ref="J2089" r:id="rId4176" xr:uid="{00000000-0004-0000-0400-00004F100000}"/>
    <hyperlink ref="I2090" r:id="rId4177" xr:uid="{00000000-0004-0000-0400-000050100000}"/>
    <hyperlink ref="J2090" r:id="rId4178" xr:uid="{00000000-0004-0000-0400-000051100000}"/>
    <hyperlink ref="I2091" r:id="rId4179" xr:uid="{00000000-0004-0000-0400-000052100000}"/>
    <hyperlink ref="J2091" r:id="rId4180" xr:uid="{00000000-0004-0000-0400-000053100000}"/>
    <hyperlink ref="I2092" r:id="rId4181" xr:uid="{00000000-0004-0000-0400-000054100000}"/>
    <hyperlink ref="J2092" r:id="rId4182" xr:uid="{00000000-0004-0000-0400-000055100000}"/>
    <hyperlink ref="I2093" r:id="rId4183" xr:uid="{00000000-0004-0000-0400-000056100000}"/>
    <hyperlink ref="J2093" r:id="rId4184" xr:uid="{00000000-0004-0000-0400-000057100000}"/>
    <hyperlink ref="I2094" r:id="rId4185" xr:uid="{00000000-0004-0000-0400-000058100000}"/>
    <hyperlink ref="J2094" r:id="rId4186" xr:uid="{00000000-0004-0000-0400-000059100000}"/>
    <hyperlink ref="I2095" r:id="rId4187" xr:uid="{00000000-0004-0000-0400-00005A100000}"/>
    <hyperlink ref="J2095" r:id="rId4188" xr:uid="{00000000-0004-0000-0400-00005B100000}"/>
    <hyperlink ref="I2096" r:id="rId4189" xr:uid="{00000000-0004-0000-0400-00005C100000}"/>
    <hyperlink ref="J2096" r:id="rId4190" xr:uid="{00000000-0004-0000-0400-00005D100000}"/>
    <hyperlink ref="I2097" r:id="rId4191" xr:uid="{00000000-0004-0000-0400-00005E100000}"/>
    <hyperlink ref="J2097" r:id="rId4192" xr:uid="{00000000-0004-0000-0400-00005F100000}"/>
    <hyperlink ref="I2098" r:id="rId4193" xr:uid="{00000000-0004-0000-0400-000060100000}"/>
    <hyperlink ref="J2098" r:id="rId4194" xr:uid="{00000000-0004-0000-0400-000061100000}"/>
    <hyperlink ref="I2099" r:id="rId4195" xr:uid="{00000000-0004-0000-0400-000062100000}"/>
    <hyperlink ref="J2099" r:id="rId4196" xr:uid="{00000000-0004-0000-0400-000063100000}"/>
    <hyperlink ref="I2100" r:id="rId4197" xr:uid="{00000000-0004-0000-0400-000064100000}"/>
    <hyperlink ref="J2100" r:id="rId4198" xr:uid="{00000000-0004-0000-0400-000065100000}"/>
    <hyperlink ref="I2101" r:id="rId4199" xr:uid="{00000000-0004-0000-0400-000066100000}"/>
    <hyperlink ref="J2101" r:id="rId4200" xr:uid="{00000000-0004-0000-0400-000067100000}"/>
    <hyperlink ref="I2102" r:id="rId4201" xr:uid="{00000000-0004-0000-0400-000068100000}"/>
    <hyperlink ref="J2102" r:id="rId4202" xr:uid="{00000000-0004-0000-0400-000069100000}"/>
    <hyperlink ref="I2103" r:id="rId4203" xr:uid="{00000000-0004-0000-0400-00006A100000}"/>
    <hyperlink ref="J2103" r:id="rId4204" xr:uid="{00000000-0004-0000-0400-00006B100000}"/>
    <hyperlink ref="I2104" r:id="rId4205" xr:uid="{00000000-0004-0000-0400-00006C100000}"/>
    <hyperlink ref="J2104" r:id="rId4206" xr:uid="{00000000-0004-0000-0400-00006D100000}"/>
    <hyperlink ref="I2105" r:id="rId4207" xr:uid="{00000000-0004-0000-0400-00006E100000}"/>
    <hyperlink ref="J2105" r:id="rId4208" xr:uid="{00000000-0004-0000-0400-00006F100000}"/>
    <hyperlink ref="I2106" r:id="rId4209" xr:uid="{00000000-0004-0000-0400-000070100000}"/>
    <hyperlink ref="J2106" r:id="rId4210" xr:uid="{00000000-0004-0000-0400-000071100000}"/>
    <hyperlink ref="I2107" r:id="rId4211" xr:uid="{00000000-0004-0000-0400-000072100000}"/>
    <hyperlink ref="J2107" r:id="rId4212" xr:uid="{00000000-0004-0000-0400-000073100000}"/>
    <hyperlink ref="I2108" r:id="rId4213" xr:uid="{00000000-0004-0000-0400-000074100000}"/>
    <hyperlink ref="J2108" r:id="rId4214" xr:uid="{00000000-0004-0000-0400-000075100000}"/>
    <hyperlink ref="I2109" r:id="rId4215" xr:uid="{00000000-0004-0000-0400-000076100000}"/>
    <hyperlink ref="J2109" r:id="rId4216" xr:uid="{00000000-0004-0000-0400-000077100000}"/>
    <hyperlink ref="I2110" r:id="rId4217" xr:uid="{00000000-0004-0000-0400-000078100000}"/>
    <hyperlink ref="J2110" r:id="rId4218" xr:uid="{00000000-0004-0000-0400-000079100000}"/>
    <hyperlink ref="I2111" r:id="rId4219" xr:uid="{00000000-0004-0000-0400-00007A100000}"/>
    <hyperlink ref="J2111" r:id="rId4220" xr:uid="{00000000-0004-0000-0400-00007B100000}"/>
    <hyperlink ref="I2112" r:id="rId4221" xr:uid="{00000000-0004-0000-0400-00007C100000}"/>
    <hyperlink ref="J2112" r:id="rId4222" xr:uid="{00000000-0004-0000-0400-00007D100000}"/>
    <hyperlink ref="I2113" r:id="rId4223" xr:uid="{00000000-0004-0000-0400-00007E100000}"/>
    <hyperlink ref="J2113" r:id="rId4224" xr:uid="{00000000-0004-0000-0400-00007F100000}"/>
    <hyperlink ref="I2114" r:id="rId4225" xr:uid="{00000000-0004-0000-0400-000080100000}"/>
    <hyperlink ref="J2114" r:id="rId4226" xr:uid="{00000000-0004-0000-0400-000081100000}"/>
    <hyperlink ref="I2115" r:id="rId4227" xr:uid="{00000000-0004-0000-0400-000082100000}"/>
    <hyperlink ref="J2115" r:id="rId4228" xr:uid="{00000000-0004-0000-0400-000083100000}"/>
    <hyperlink ref="I2116" r:id="rId4229" xr:uid="{00000000-0004-0000-0400-000084100000}"/>
    <hyperlink ref="J2116" r:id="rId4230" xr:uid="{00000000-0004-0000-0400-000085100000}"/>
    <hyperlink ref="I2117" r:id="rId4231" xr:uid="{00000000-0004-0000-0400-000086100000}"/>
    <hyperlink ref="J2117" r:id="rId4232" xr:uid="{00000000-0004-0000-0400-000087100000}"/>
    <hyperlink ref="I2118" r:id="rId4233" xr:uid="{00000000-0004-0000-0400-000088100000}"/>
    <hyperlink ref="J2118" r:id="rId4234" xr:uid="{00000000-0004-0000-0400-000089100000}"/>
    <hyperlink ref="I2119" r:id="rId4235" xr:uid="{00000000-0004-0000-0400-00008A100000}"/>
    <hyperlink ref="J2119" r:id="rId4236" xr:uid="{00000000-0004-0000-0400-00008B100000}"/>
    <hyperlink ref="I2120" r:id="rId4237" xr:uid="{00000000-0004-0000-0400-00008C100000}"/>
    <hyperlink ref="J2120" r:id="rId4238" xr:uid="{00000000-0004-0000-0400-00008D100000}"/>
    <hyperlink ref="I2121" r:id="rId4239" xr:uid="{00000000-0004-0000-0400-00008E100000}"/>
    <hyperlink ref="J2121" r:id="rId4240" xr:uid="{00000000-0004-0000-0400-00008F100000}"/>
    <hyperlink ref="I2122" r:id="rId4241" xr:uid="{00000000-0004-0000-0400-000090100000}"/>
    <hyperlink ref="J2122" r:id="rId4242" xr:uid="{00000000-0004-0000-0400-000091100000}"/>
    <hyperlink ref="I2123" r:id="rId4243" xr:uid="{00000000-0004-0000-0400-000092100000}"/>
    <hyperlink ref="J2123" r:id="rId4244" xr:uid="{00000000-0004-0000-0400-000093100000}"/>
    <hyperlink ref="I2124" r:id="rId4245" xr:uid="{00000000-0004-0000-0400-000094100000}"/>
    <hyperlink ref="J2124" r:id="rId4246" xr:uid="{00000000-0004-0000-0400-000095100000}"/>
    <hyperlink ref="I2125" r:id="rId4247" xr:uid="{00000000-0004-0000-0400-000096100000}"/>
    <hyperlink ref="J2125" r:id="rId4248" xr:uid="{00000000-0004-0000-0400-000097100000}"/>
    <hyperlink ref="I2126" r:id="rId4249" xr:uid="{00000000-0004-0000-0400-000098100000}"/>
    <hyperlink ref="J2126" r:id="rId4250" xr:uid="{00000000-0004-0000-0400-000099100000}"/>
    <hyperlink ref="I2127" r:id="rId4251" xr:uid="{00000000-0004-0000-0400-00009A100000}"/>
    <hyperlink ref="J2127" r:id="rId4252" xr:uid="{00000000-0004-0000-0400-00009B100000}"/>
    <hyperlink ref="I2128" r:id="rId4253" xr:uid="{00000000-0004-0000-0400-00009C100000}"/>
    <hyperlink ref="J2128" r:id="rId4254" xr:uid="{00000000-0004-0000-0400-00009D100000}"/>
    <hyperlink ref="I2129" r:id="rId4255" xr:uid="{00000000-0004-0000-0400-00009E100000}"/>
    <hyperlink ref="J2129" r:id="rId4256" xr:uid="{00000000-0004-0000-0400-00009F100000}"/>
    <hyperlink ref="I2130" r:id="rId4257" xr:uid="{00000000-0004-0000-0400-0000A0100000}"/>
    <hyperlink ref="J2130" r:id="rId4258" xr:uid="{00000000-0004-0000-0400-0000A1100000}"/>
    <hyperlink ref="I2131" r:id="rId4259" xr:uid="{00000000-0004-0000-0400-0000A2100000}"/>
    <hyperlink ref="J2131" r:id="rId4260" xr:uid="{00000000-0004-0000-0400-0000A3100000}"/>
    <hyperlink ref="I2132" r:id="rId4261" xr:uid="{00000000-0004-0000-0400-0000A4100000}"/>
    <hyperlink ref="J2132" r:id="rId4262" xr:uid="{00000000-0004-0000-0400-0000A5100000}"/>
    <hyperlink ref="I2133" r:id="rId4263" xr:uid="{00000000-0004-0000-0400-0000A6100000}"/>
    <hyperlink ref="J2133" r:id="rId4264" xr:uid="{00000000-0004-0000-0400-0000A7100000}"/>
    <hyperlink ref="I2134" r:id="rId4265" xr:uid="{00000000-0004-0000-0400-0000A8100000}"/>
    <hyperlink ref="J2134" r:id="rId4266" xr:uid="{00000000-0004-0000-0400-0000A9100000}"/>
    <hyperlink ref="I2135" r:id="rId4267" xr:uid="{00000000-0004-0000-0400-0000AA100000}"/>
    <hyperlink ref="J2135" r:id="rId4268" xr:uid="{00000000-0004-0000-0400-0000AB100000}"/>
    <hyperlink ref="I2136" r:id="rId4269" xr:uid="{00000000-0004-0000-0400-0000AC100000}"/>
    <hyperlink ref="J2136" r:id="rId4270" xr:uid="{00000000-0004-0000-0400-0000AD100000}"/>
    <hyperlink ref="I2137" r:id="rId4271" xr:uid="{00000000-0004-0000-0400-0000AE100000}"/>
    <hyperlink ref="J2137" r:id="rId4272" xr:uid="{00000000-0004-0000-0400-0000AF100000}"/>
    <hyperlink ref="I2138" r:id="rId4273" xr:uid="{00000000-0004-0000-0400-0000B0100000}"/>
    <hyperlink ref="J2138" r:id="rId4274" xr:uid="{00000000-0004-0000-0400-0000B1100000}"/>
    <hyperlink ref="I2139" r:id="rId4275" xr:uid="{00000000-0004-0000-0400-0000B2100000}"/>
    <hyperlink ref="J2139" r:id="rId4276" xr:uid="{00000000-0004-0000-0400-0000B3100000}"/>
    <hyperlink ref="I2140" r:id="rId4277" xr:uid="{00000000-0004-0000-0400-0000B4100000}"/>
    <hyperlink ref="J2140" r:id="rId4278" xr:uid="{00000000-0004-0000-0400-0000B5100000}"/>
    <hyperlink ref="I2141" r:id="rId4279" xr:uid="{00000000-0004-0000-0400-0000B6100000}"/>
    <hyperlink ref="J2141" r:id="rId4280" xr:uid="{00000000-0004-0000-0400-0000B7100000}"/>
    <hyperlink ref="I2142" r:id="rId4281" xr:uid="{00000000-0004-0000-0400-0000B8100000}"/>
    <hyperlink ref="J2142" r:id="rId4282" xr:uid="{00000000-0004-0000-0400-0000B9100000}"/>
    <hyperlink ref="I2143" r:id="rId4283" xr:uid="{00000000-0004-0000-0400-0000BA100000}"/>
    <hyperlink ref="J2143" r:id="rId4284" xr:uid="{00000000-0004-0000-0400-0000BB100000}"/>
    <hyperlink ref="I2144" r:id="rId4285" xr:uid="{00000000-0004-0000-0400-0000BC100000}"/>
    <hyperlink ref="J2144" r:id="rId4286" xr:uid="{00000000-0004-0000-0400-0000BD100000}"/>
    <hyperlink ref="I2145" r:id="rId4287" xr:uid="{00000000-0004-0000-0400-0000BE100000}"/>
    <hyperlink ref="J2145" r:id="rId4288" xr:uid="{00000000-0004-0000-0400-0000BF100000}"/>
    <hyperlink ref="I2146" r:id="rId4289" xr:uid="{00000000-0004-0000-0400-0000C0100000}"/>
    <hyperlink ref="J2146" r:id="rId4290" xr:uid="{00000000-0004-0000-0400-0000C1100000}"/>
    <hyperlink ref="I2147" r:id="rId4291" xr:uid="{00000000-0004-0000-0400-0000C2100000}"/>
    <hyperlink ref="J2147" r:id="rId4292" xr:uid="{00000000-0004-0000-0400-0000C3100000}"/>
    <hyperlink ref="I2148" r:id="rId4293" xr:uid="{00000000-0004-0000-0400-0000C4100000}"/>
    <hyperlink ref="J2148" r:id="rId4294" xr:uid="{00000000-0004-0000-0400-0000C5100000}"/>
    <hyperlink ref="I2149" r:id="rId4295" xr:uid="{00000000-0004-0000-0400-0000C6100000}"/>
    <hyperlink ref="J2149" r:id="rId4296" xr:uid="{00000000-0004-0000-0400-0000C7100000}"/>
    <hyperlink ref="I2150" r:id="rId4297" xr:uid="{00000000-0004-0000-0400-0000C8100000}"/>
    <hyperlink ref="J2150" r:id="rId4298" xr:uid="{00000000-0004-0000-0400-0000C9100000}"/>
    <hyperlink ref="I2151" r:id="rId4299" xr:uid="{00000000-0004-0000-0400-0000CA100000}"/>
    <hyperlink ref="J2151" r:id="rId4300" xr:uid="{00000000-0004-0000-0400-0000CB100000}"/>
    <hyperlink ref="I2152" r:id="rId4301" xr:uid="{00000000-0004-0000-0400-0000CC100000}"/>
    <hyperlink ref="J2152" r:id="rId4302" xr:uid="{00000000-0004-0000-0400-0000CD100000}"/>
    <hyperlink ref="I2153" r:id="rId4303" xr:uid="{00000000-0004-0000-0400-0000CE100000}"/>
    <hyperlink ref="J2153" r:id="rId4304" xr:uid="{00000000-0004-0000-0400-0000CF100000}"/>
    <hyperlink ref="I2154" r:id="rId4305" xr:uid="{00000000-0004-0000-0400-0000D0100000}"/>
    <hyperlink ref="J2154" r:id="rId4306" xr:uid="{00000000-0004-0000-0400-0000D1100000}"/>
    <hyperlink ref="I2155" r:id="rId4307" xr:uid="{00000000-0004-0000-0400-0000D2100000}"/>
    <hyperlink ref="J2155" r:id="rId4308" xr:uid="{00000000-0004-0000-0400-0000D3100000}"/>
    <hyperlink ref="I2156" r:id="rId4309" xr:uid="{00000000-0004-0000-0400-0000D4100000}"/>
    <hyperlink ref="J2156" r:id="rId4310" xr:uid="{00000000-0004-0000-0400-0000D5100000}"/>
    <hyperlink ref="I2157" r:id="rId4311" xr:uid="{00000000-0004-0000-0400-0000D6100000}"/>
    <hyperlink ref="J2157" r:id="rId4312" xr:uid="{00000000-0004-0000-0400-0000D7100000}"/>
    <hyperlink ref="I2158" r:id="rId4313" xr:uid="{00000000-0004-0000-0400-0000D8100000}"/>
    <hyperlink ref="J2158" r:id="rId4314" xr:uid="{00000000-0004-0000-0400-0000D9100000}"/>
    <hyperlink ref="I2159" r:id="rId4315" xr:uid="{00000000-0004-0000-0400-0000DA100000}"/>
    <hyperlink ref="J2159" r:id="rId4316" xr:uid="{00000000-0004-0000-0400-0000DB100000}"/>
    <hyperlink ref="I2160" r:id="rId4317" xr:uid="{00000000-0004-0000-0400-0000DC100000}"/>
    <hyperlink ref="J2160" r:id="rId4318" xr:uid="{00000000-0004-0000-0400-0000DD100000}"/>
    <hyperlink ref="I2161" r:id="rId4319" xr:uid="{00000000-0004-0000-0400-0000DE100000}"/>
    <hyperlink ref="J2161" r:id="rId4320" xr:uid="{00000000-0004-0000-0400-0000DF100000}"/>
    <hyperlink ref="I2162" r:id="rId4321" xr:uid="{00000000-0004-0000-0400-0000E0100000}"/>
    <hyperlink ref="J2162" r:id="rId4322" xr:uid="{00000000-0004-0000-0400-0000E1100000}"/>
    <hyperlink ref="I2163" r:id="rId4323" xr:uid="{00000000-0004-0000-0400-0000E2100000}"/>
    <hyperlink ref="J2163" r:id="rId4324" xr:uid="{00000000-0004-0000-0400-0000E3100000}"/>
    <hyperlink ref="I2164" r:id="rId4325" xr:uid="{00000000-0004-0000-0400-0000E4100000}"/>
    <hyperlink ref="J2164" r:id="rId4326" xr:uid="{00000000-0004-0000-0400-0000E5100000}"/>
    <hyperlink ref="I2165" r:id="rId4327" xr:uid="{00000000-0004-0000-0400-0000E6100000}"/>
    <hyperlink ref="J2165" r:id="rId4328" xr:uid="{00000000-0004-0000-0400-0000E7100000}"/>
    <hyperlink ref="I2166" r:id="rId4329" xr:uid="{00000000-0004-0000-0400-0000E8100000}"/>
    <hyperlink ref="J2166" r:id="rId4330" xr:uid="{00000000-0004-0000-0400-0000E9100000}"/>
    <hyperlink ref="I2167" r:id="rId4331" xr:uid="{00000000-0004-0000-0400-0000EA100000}"/>
    <hyperlink ref="J2167" r:id="rId4332" xr:uid="{00000000-0004-0000-0400-0000EB100000}"/>
    <hyperlink ref="I2168" r:id="rId4333" xr:uid="{00000000-0004-0000-0400-0000EC100000}"/>
    <hyperlink ref="J2168" r:id="rId4334" xr:uid="{00000000-0004-0000-0400-0000ED100000}"/>
    <hyperlink ref="I2169" r:id="rId4335" xr:uid="{00000000-0004-0000-0400-0000EE100000}"/>
    <hyperlink ref="J2169" r:id="rId4336" xr:uid="{00000000-0004-0000-0400-0000EF100000}"/>
    <hyperlink ref="I2170" r:id="rId4337" xr:uid="{00000000-0004-0000-0400-0000F0100000}"/>
    <hyperlink ref="J2170" r:id="rId4338" xr:uid="{00000000-0004-0000-0400-0000F1100000}"/>
    <hyperlink ref="I2171" r:id="rId4339" xr:uid="{00000000-0004-0000-0400-0000F2100000}"/>
    <hyperlink ref="J2171" r:id="rId4340" xr:uid="{00000000-0004-0000-0400-0000F3100000}"/>
    <hyperlink ref="I2172" r:id="rId4341" xr:uid="{00000000-0004-0000-0400-0000F4100000}"/>
    <hyperlink ref="J2172" r:id="rId4342" xr:uid="{00000000-0004-0000-0400-0000F5100000}"/>
    <hyperlink ref="I2173" r:id="rId4343" xr:uid="{00000000-0004-0000-0400-0000F6100000}"/>
    <hyperlink ref="J2173" r:id="rId4344" xr:uid="{00000000-0004-0000-0400-0000F7100000}"/>
    <hyperlink ref="I2174" r:id="rId4345" xr:uid="{00000000-0004-0000-0400-0000F8100000}"/>
    <hyperlink ref="J2174" r:id="rId4346" xr:uid="{00000000-0004-0000-0400-0000F9100000}"/>
    <hyperlink ref="I2175" r:id="rId4347" xr:uid="{00000000-0004-0000-0400-0000FA100000}"/>
    <hyperlink ref="J2175" r:id="rId4348" xr:uid="{00000000-0004-0000-0400-0000FB100000}"/>
    <hyperlink ref="I2176" r:id="rId4349" xr:uid="{00000000-0004-0000-0400-0000FC100000}"/>
    <hyperlink ref="J2176" r:id="rId4350" xr:uid="{00000000-0004-0000-0400-0000FD100000}"/>
    <hyperlink ref="I2177" r:id="rId4351" xr:uid="{00000000-0004-0000-0400-0000FE100000}"/>
    <hyperlink ref="J2177" r:id="rId4352" xr:uid="{00000000-0004-0000-0400-0000FF100000}"/>
    <hyperlink ref="I2178" r:id="rId4353" xr:uid="{00000000-0004-0000-0400-000000110000}"/>
    <hyperlink ref="J2178" r:id="rId4354" xr:uid="{00000000-0004-0000-0400-000001110000}"/>
    <hyperlink ref="I2179" r:id="rId4355" xr:uid="{00000000-0004-0000-0400-000002110000}"/>
    <hyperlink ref="J2179" r:id="rId4356" xr:uid="{00000000-0004-0000-0400-000003110000}"/>
    <hyperlink ref="I2180" r:id="rId4357" xr:uid="{00000000-0004-0000-0400-000004110000}"/>
    <hyperlink ref="J2180" r:id="rId4358" xr:uid="{00000000-0004-0000-0400-000005110000}"/>
    <hyperlink ref="I2181" r:id="rId4359" xr:uid="{00000000-0004-0000-0400-000006110000}"/>
    <hyperlink ref="J2181" r:id="rId4360" xr:uid="{00000000-0004-0000-0400-000007110000}"/>
    <hyperlink ref="I2182" r:id="rId4361" xr:uid="{00000000-0004-0000-0400-000008110000}"/>
    <hyperlink ref="J2182" r:id="rId4362" xr:uid="{00000000-0004-0000-0400-000009110000}"/>
    <hyperlink ref="I2183" r:id="rId4363" xr:uid="{00000000-0004-0000-0400-00000A110000}"/>
    <hyperlink ref="J2183" r:id="rId4364" xr:uid="{00000000-0004-0000-0400-00000B110000}"/>
    <hyperlink ref="I2184" r:id="rId4365" xr:uid="{00000000-0004-0000-0400-00000C110000}"/>
    <hyperlink ref="J2184" r:id="rId4366" xr:uid="{00000000-0004-0000-0400-00000D110000}"/>
    <hyperlink ref="I2185" r:id="rId4367" xr:uid="{00000000-0004-0000-0400-00000E110000}"/>
    <hyperlink ref="J2185" r:id="rId4368" xr:uid="{00000000-0004-0000-0400-00000F110000}"/>
    <hyperlink ref="I2186" r:id="rId4369" xr:uid="{00000000-0004-0000-0400-000010110000}"/>
    <hyperlink ref="J2186" r:id="rId4370" xr:uid="{00000000-0004-0000-0400-000011110000}"/>
    <hyperlink ref="I2187" r:id="rId4371" xr:uid="{00000000-0004-0000-0400-000012110000}"/>
    <hyperlink ref="J2187" r:id="rId4372" xr:uid="{00000000-0004-0000-0400-000013110000}"/>
    <hyperlink ref="I2188" r:id="rId4373" xr:uid="{00000000-0004-0000-0400-000014110000}"/>
    <hyperlink ref="J2188" r:id="rId4374" xr:uid="{00000000-0004-0000-0400-000015110000}"/>
    <hyperlink ref="I2189" r:id="rId4375" xr:uid="{00000000-0004-0000-0400-000016110000}"/>
    <hyperlink ref="J2189" r:id="rId4376" xr:uid="{00000000-0004-0000-0400-000017110000}"/>
    <hyperlink ref="I2190" r:id="rId4377" xr:uid="{00000000-0004-0000-0400-000018110000}"/>
    <hyperlink ref="J2190" r:id="rId4378" xr:uid="{00000000-0004-0000-0400-000019110000}"/>
    <hyperlink ref="I2191" r:id="rId4379" xr:uid="{00000000-0004-0000-0400-00001A110000}"/>
    <hyperlink ref="J2191" r:id="rId4380" xr:uid="{00000000-0004-0000-0400-00001B110000}"/>
    <hyperlink ref="I2192" r:id="rId4381" xr:uid="{00000000-0004-0000-0400-00001C110000}"/>
    <hyperlink ref="J2192" r:id="rId4382" xr:uid="{00000000-0004-0000-0400-00001D110000}"/>
    <hyperlink ref="I2193" r:id="rId4383" xr:uid="{00000000-0004-0000-0400-00001E110000}"/>
    <hyperlink ref="J2193" r:id="rId4384" xr:uid="{00000000-0004-0000-0400-00001F110000}"/>
    <hyperlink ref="I2194" r:id="rId4385" xr:uid="{00000000-0004-0000-0400-000020110000}"/>
    <hyperlink ref="J2194" r:id="rId4386" xr:uid="{00000000-0004-0000-0400-000021110000}"/>
    <hyperlink ref="I2195" r:id="rId4387" xr:uid="{00000000-0004-0000-0400-000022110000}"/>
    <hyperlink ref="J2195" r:id="rId4388" xr:uid="{00000000-0004-0000-0400-000023110000}"/>
    <hyperlink ref="I2196" r:id="rId4389" xr:uid="{00000000-0004-0000-0400-000024110000}"/>
    <hyperlink ref="J2196" r:id="rId4390" xr:uid="{00000000-0004-0000-0400-000025110000}"/>
    <hyperlink ref="I2197" r:id="rId4391" xr:uid="{00000000-0004-0000-0400-000026110000}"/>
    <hyperlink ref="J2197" r:id="rId4392" xr:uid="{00000000-0004-0000-0400-000027110000}"/>
    <hyperlink ref="I2198" r:id="rId4393" xr:uid="{00000000-0004-0000-0400-000028110000}"/>
    <hyperlink ref="J2198" r:id="rId4394" xr:uid="{00000000-0004-0000-0400-000029110000}"/>
    <hyperlink ref="I2199" r:id="rId4395" xr:uid="{00000000-0004-0000-0400-00002A110000}"/>
    <hyperlink ref="J2199" r:id="rId4396" xr:uid="{00000000-0004-0000-0400-00002B110000}"/>
    <hyperlink ref="I2200" r:id="rId4397" xr:uid="{00000000-0004-0000-0400-00002C110000}"/>
    <hyperlink ref="J2200" r:id="rId4398" xr:uid="{00000000-0004-0000-0400-00002D110000}"/>
    <hyperlink ref="I2201" r:id="rId4399" xr:uid="{00000000-0004-0000-0400-00002E110000}"/>
    <hyperlink ref="J2201" r:id="rId4400" xr:uid="{00000000-0004-0000-0400-00002F110000}"/>
    <hyperlink ref="I2202" r:id="rId4401" xr:uid="{00000000-0004-0000-0400-000030110000}"/>
    <hyperlink ref="J2202" r:id="rId4402" xr:uid="{00000000-0004-0000-0400-000031110000}"/>
    <hyperlink ref="I2203" r:id="rId4403" xr:uid="{00000000-0004-0000-0400-000032110000}"/>
    <hyperlink ref="J2203" r:id="rId4404" xr:uid="{00000000-0004-0000-0400-000033110000}"/>
    <hyperlink ref="I2204" r:id="rId4405" xr:uid="{00000000-0004-0000-0400-000034110000}"/>
    <hyperlink ref="J2204" r:id="rId4406" xr:uid="{00000000-0004-0000-0400-000035110000}"/>
    <hyperlink ref="I2205" r:id="rId4407" xr:uid="{00000000-0004-0000-0400-000036110000}"/>
    <hyperlink ref="J2205" r:id="rId4408" xr:uid="{00000000-0004-0000-0400-000037110000}"/>
    <hyperlink ref="I2206" r:id="rId4409" xr:uid="{00000000-0004-0000-0400-000038110000}"/>
    <hyperlink ref="J2206" r:id="rId4410" xr:uid="{00000000-0004-0000-0400-000039110000}"/>
    <hyperlink ref="I2207" r:id="rId4411" xr:uid="{00000000-0004-0000-0400-00003A110000}"/>
    <hyperlink ref="J2207" r:id="rId4412" xr:uid="{00000000-0004-0000-0400-00003B110000}"/>
    <hyperlink ref="I2208" r:id="rId4413" xr:uid="{00000000-0004-0000-0400-00003C110000}"/>
    <hyperlink ref="J2208" r:id="rId4414" xr:uid="{00000000-0004-0000-0400-00003D110000}"/>
    <hyperlink ref="I2209" r:id="rId4415" xr:uid="{00000000-0004-0000-0400-00003E110000}"/>
    <hyperlink ref="J2209" r:id="rId4416" xr:uid="{00000000-0004-0000-0400-00003F110000}"/>
    <hyperlink ref="I2210" r:id="rId4417" xr:uid="{00000000-0004-0000-0400-000040110000}"/>
    <hyperlink ref="J2210" r:id="rId4418" xr:uid="{00000000-0004-0000-0400-000041110000}"/>
    <hyperlink ref="I2211" r:id="rId4419" xr:uid="{00000000-0004-0000-0400-000042110000}"/>
    <hyperlink ref="J2211" r:id="rId4420" xr:uid="{00000000-0004-0000-0400-000043110000}"/>
    <hyperlink ref="I2212" r:id="rId4421" xr:uid="{00000000-0004-0000-0400-000044110000}"/>
    <hyperlink ref="J2212" r:id="rId4422" xr:uid="{00000000-0004-0000-0400-000045110000}"/>
    <hyperlink ref="I2213" r:id="rId4423" xr:uid="{00000000-0004-0000-0400-000046110000}"/>
    <hyperlink ref="J2213" r:id="rId4424" xr:uid="{00000000-0004-0000-0400-000047110000}"/>
    <hyperlink ref="I2214" r:id="rId4425" xr:uid="{00000000-0004-0000-0400-000048110000}"/>
    <hyperlink ref="J2214" r:id="rId4426" xr:uid="{00000000-0004-0000-0400-000049110000}"/>
    <hyperlink ref="I2215" r:id="rId4427" xr:uid="{00000000-0004-0000-0400-00004A110000}"/>
    <hyperlink ref="J2215" r:id="rId4428" xr:uid="{00000000-0004-0000-0400-00004B110000}"/>
    <hyperlink ref="I2216" r:id="rId4429" xr:uid="{00000000-0004-0000-0400-00004C110000}"/>
    <hyperlink ref="J2216" r:id="rId4430" xr:uid="{00000000-0004-0000-0400-00004D110000}"/>
    <hyperlink ref="I2217" r:id="rId4431" xr:uid="{00000000-0004-0000-0400-00004E110000}"/>
    <hyperlink ref="J2217" r:id="rId4432" xr:uid="{00000000-0004-0000-0400-00004F110000}"/>
    <hyperlink ref="I2218" r:id="rId4433" xr:uid="{00000000-0004-0000-0400-000050110000}"/>
    <hyperlink ref="J2218" r:id="rId4434" xr:uid="{00000000-0004-0000-0400-000051110000}"/>
    <hyperlink ref="I2219" r:id="rId4435" xr:uid="{00000000-0004-0000-0400-000052110000}"/>
    <hyperlink ref="J2219" r:id="rId4436" xr:uid="{00000000-0004-0000-0400-000053110000}"/>
    <hyperlink ref="I2220" r:id="rId4437" xr:uid="{00000000-0004-0000-0400-000054110000}"/>
    <hyperlink ref="J2220" r:id="rId4438" xr:uid="{00000000-0004-0000-0400-000055110000}"/>
    <hyperlink ref="I2221" r:id="rId4439" xr:uid="{00000000-0004-0000-0400-000056110000}"/>
    <hyperlink ref="J2221" r:id="rId4440" xr:uid="{00000000-0004-0000-0400-000057110000}"/>
    <hyperlink ref="I2222" r:id="rId4441" xr:uid="{00000000-0004-0000-0400-000058110000}"/>
    <hyperlink ref="J2222" r:id="rId4442" xr:uid="{00000000-0004-0000-0400-000059110000}"/>
    <hyperlink ref="I2223" r:id="rId4443" xr:uid="{00000000-0004-0000-0400-00005A110000}"/>
    <hyperlink ref="J2223" r:id="rId4444" xr:uid="{00000000-0004-0000-0400-00005B110000}"/>
    <hyperlink ref="I2224" r:id="rId4445" xr:uid="{00000000-0004-0000-0400-00005C110000}"/>
    <hyperlink ref="J2224" r:id="rId4446" xr:uid="{00000000-0004-0000-0400-00005D110000}"/>
    <hyperlink ref="I2225" r:id="rId4447" xr:uid="{00000000-0004-0000-0400-00005E110000}"/>
    <hyperlink ref="J2225" r:id="rId4448" xr:uid="{00000000-0004-0000-0400-00005F110000}"/>
    <hyperlink ref="I2226" r:id="rId4449" xr:uid="{00000000-0004-0000-0400-000060110000}"/>
    <hyperlink ref="J2226" r:id="rId4450" xr:uid="{00000000-0004-0000-0400-000061110000}"/>
    <hyperlink ref="I2227" r:id="rId4451" xr:uid="{00000000-0004-0000-0400-000062110000}"/>
    <hyperlink ref="J2227" r:id="rId4452" xr:uid="{00000000-0004-0000-0400-000063110000}"/>
    <hyperlink ref="I2228" r:id="rId4453" xr:uid="{00000000-0004-0000-0400-000064110000}"/>
    <hyperlink ref="J2228" r:id="rId4454" xr:uid="{00000000-0004-0000-0400-000065110000}"/>
    <hyperlink ref="I2229" r:id="rId4455" xr:uid="{00000000-0004-0000-0400-000066110000}"/>
    <hyperlink ref="J2229" r:id="rId4456" xr:uid="{00000000-0004-0000-0400-000067110000}"/>
    <hyperlink ref="I2230" r:id="rId4457" xr:uid="{00000000-0004-0000-0400-000068110000}"/>
    <hyperlink ref="J2230" r:id="rId4458" xr:uid="{00000000-0004-0000-0400-000069110000}"/>
    <hyperlink ref="I2231" r:id="rId4459" xr:uid="{00000000-0004-0000-0400-00006A110000}"/>
    <hyperlink ref="J2231" r:id="rId4460" xr:uid="{00000000-0004-0000-0400-00006B110000}"/>
    <hyperlink ref="I2232" r:id="rId4461" xr:uid="{00000000-0004-0000-0400-00006C110000}"/>
    <hyperlink ref="J2232" r:id="rId4462" xr:uid="{00000000-0004-0000-0400-00006D110000}"/>
    <hyperlink ref="I2233" r:id="rId4463" xr:uid="{00000000-0004-0000-0400-00006E110000}"/>
    <hyperlink ref="J2233" r:id="rId4464" xr:uid="{00000000-0004-0000-0400-00006F110000}"/>
    <hyperlink ref="I2234" r:id="rId4465" xr:uid="{00000000-0004-0000-0400-000070110000}"/>
    <hyperlink ref="J2234" r:id="rId4466" xr:uid="{00000000-0004-0000-0400-000071110000}"/>
    <hyperlink ref="I2235" r:id="rId4467" xr:uid="{00000000-0004-0000-0400-000072110000}"/>
    <hyperlink ref="J2235" r:id="rId4468" xr:uid="{00000000-0004-0000-0400-000073110000}"/>
    <hyperlink ref="I2236" r:id="rId4469" xr:uid="{00000000-0004-0000-0400-000074110000}"/>
    <hyperlink ref="J2236" r:id="rId4470" xr:uid="{00000000-0004-0000-0400-000075110000}"/>
    <hyperlink ref="I2237" r:id="rId4471" xr:uid="{00000000-0004-0000-0400-000076110000}"/>
    <hyperlink ref="J2237" r:id="rId4472" xr:uid="{00000000-0004-0000-0400-000077110000}"/>
    <hyperlink ref="I2238" r:id="rId4473" xr:uid="{00000000-0004-0000-0400-000078110000}"/>
    <hyperlink ref="J2238" r:id="rId4474" xr:uid="{00000000-0004-0000-0400-000079110000}"/>
    <hyperlink ref="I2239" r:id="rId4475" xr:uid="{00000000-0004-0000-0400-00007A110000}"/>
    <hyperlink ref="J2239" r:id="rId4476" xr:uid="{00000000-0004-0000-0400-00007B110000}"/>
    <hyperlink ref="I2240" r:id="rId4477" xr:uid="{00000000-0004-0000-0400-00007C110000}"/>
    <hyperlink ref="J2240" r:id="rId4478" xr:uid="{00000000-0004-0000-0400-00007D110000}"/>
    <hyperlink ref="I2241" r:id="rId4479" xr:uid="{00000000-0004-0000-0400-00007E110000}"/>
    <hyperlink ref="J2241" r:id="rId4480" xr:uid="{00000000-0004-0000-0400-00007F110000}"/>
    <hyperlink ref="I2242" r:id="rId4481" xr:uid="{00000000-0004-0000-0400-000080110000}"/>
    <hyperlink ref="J2242" r:id="rId4482" xr:uid="{00000000-0004-0000-0400-000081110000}"/>
    <hyperlink ref="I2243" r:id="rId4483" xr:uid="{00000000-0004-0000-0400-000082110000}"/>
    <hyperlink ref="J2243" r:id="rId4484" xr:uid="{00000000-0004-0000-0400-000083110000}"/>
    <hyperlink ref="I2244" r:id="rId4485" xr:uid="{00000000-0004-0000-0400-000084110000}"/>
    <hyperlink ref="J2244" r:id="rId4486" xr:uid="{00000000-0004-0000-0400-000085110000}"/>
    <hyperlink ref="I2245" r:id="rId4487" xr:uid="{00000000-0004-0000-0400-000086110000}"/>
    <hyperlink ref="J2245" r:id="rId4488" xr:uid="{00000000-0004-0000-0400-000087110000}"/>
    <hyperlink ref="I2246" r:id="rId4489" xr:uid="{00000000-0004-0000-0400-000088110000}"/>
    <hyperlink ref="J2246" r:id="rId4490" xr:uid="{00000000-0004-0000-0400-000089110000}"/>
    <hyperlink ref="I2247" r:id="rId4491" xr:uid="{00000000-0004-0000-0400-00008A110000}"/>
    <hyperlink ref="J2247" r:id="rId4492" xr:uid="{00000000-0004-0000-0400-00008B110000}"/>
    <hyperlink ref="I2248" r:id="rId4493" xr:uid="{00000000-0004-0000-0400-00008C110000}"/>
    <hyperlink ref="J2248" r:id="rId4494" xr:uid="{00000000-0004-0000-0400-00008D110000}"/>
    <hyperlink ref="I2249" r:id="rId4495" xr:uid="{00000000-0004-0000-0400-00008E110000}"/>
    <hyperlink ref="J2249" r:id="rId4496" xr:uid="{00000000-0004-0000-0400-00008F110000}"/>
    <hyperlink ref="I2250" r:id="rId4497" xr:uid="{00000000-0004-0000-0400-000090110000}"/>
    <hyperlink ref="J2250" r:id="rId4498" xr:uid="{00000000-0004-0000-0400-000091110000}"/>
    <hyperlink ref="I2251" r:id="rId4499" xr:uid="{00000000-0004-0000-0400-000092110000}"/>
    <hyperlink ref="J2251" r:id="rId4500" xr:uid="{00000000-0004-0000-0400-000093110000}"/>
    <hyperlink ref="I2252" r:id="rId4501" xr:uid="{00000000-0004-0000-0400-000094110000}"/>
    <hyperlink ref="J2252" r:id="rId4502" xr:uid="{00000000-0004-0000-0400-000095110000}"/>
    <hyperlink ref="I2253" r:id="rId4503" xr:uid="{00000000-0004-0000-0400-000096110000}"/>
    <hyperlink ref="J2253" r:id="rId4504" xr:uid="{00000000-0004-0000-0400-000097110000}"/>
    <hyperlink ref="I2254" r:id="rId4505" xr:uid="{00000000-0004-0000-0400-000098110000}"/>
    <hyperlink ref="J2254" r:id="rId4506" xr:uid="{00000000-0004-0000-0400-000099110000}"/>
    <hyperlink ref="I2255" r:id="rId4507" xr:uid="{00000000-0004-0000-0400-00009A110000}"/>
    <hyperlink ref="J2255" r:id="rId4508" xr:uid="{00000000-0004-0000-0400-00009B110000}"/>
    <hyperlink ref="I2256" r:id="rId4509" xr:uid="{00000000-0004-0000-0400-00009C110000}"/>
    <hyperlink ref="J2256" r:id="rId4510" xr:uid="{00000000-0004-0000-0400-00009D110000}"/>
    <hyperlink ref="I2257" r:id="rId4511" xr:uid="{00000000-0004-0000-0400-00009E110000}"/>
    <hyperlink ref="J2257" r:id="rId4512" xr:uid="{00000000-0004-0000-0400-00009F110000}"/>
    <hyperlink ref="I2258" r:id="rId4513" xr:uid="{00000000-0004-0000-0400-0000A0110000}"/>
    <hyperlink ref="J2258" r:id="rId4514" xr:uid="{00000000-0004-0000-0400-0000A1110000}"/>
    <hyperlink ref="I2259" r:id="rId4515" xr:uid="{00000000-0004-0000-0400-0000A2110000}"/>
    <hyperlink ref="J2259" r:id="rId4516" xr:uid="{00000000-0004-0000-0400-0000A3110000}"/>
    <hyperlink ref="I2260" r:id="rId4517" xr:uid="{00000000-0004-0000-0400-0000A4110000}"/>
    <hyperlink ref="J2260" r:id="rId4518" xr:uid="{00000000-0004-0000-0400-0000A5110000}"/>
    <hyperlink ref="I2261" r:id="rId4519" xr:uid="{00000000-0004-0000-0400-0000A6110000}"/>
    <hyperlink ref="J2261" r:id="rId4520" xr:uid="{00000000-0004-0000-0400-0000A7110000}"/>
    <hyperlink ref="I2262" r:id="rId4521" xr:uid="{00000000-0004-0000-0400-0000A8110000}"/>
    <hyperlink ref="J2262" r:id="rId4522" xr:uid="{00000000-0004-0000-0400-0000A9110000}"/>
    <hyperlink ref="I2263" r:id="rId4523" xr:uid="{00000000-0004-0000-0400-0000AA110000}"/>
    <hyperlink ref="J2263" r:id="rId4524" xr:uid="{00000000-0004-0000-0400-0000AB110000}"/>
    <hyperlink ref="I2264" r:id="rId4525" xr:uid="{00000000-0004-0000-0400-0000AC110000}"/>
    <hyperlink ref="J2264" r:id="rId4526" xr:uid="{00000000-0004-0000-0400-0000AD110000}"/>
    <hyperlink ref="I2265" r:id="rId4527" xr:uid="{00000000-0004-0000-0400-0000AE110000}"/>
    <hyperlink ref="J2265" r:id="rId4528" xr:uid="{00000000-0004-0000-0400-0000AF110000}"/>
    <hyperlink ref="I2266" r:id="rId4529" xr:uid="{00000000-0004-0000-0400-0000B0110000}"/>
    <hyperlink ref="J2266" r:id="rId4530" xr:uid="{00000000-0004-0000-0400-0000B1110000}"/>
    <hyperlink ref="I2267" r:id="rId4531" xr:uid="{00000000-0004-0000-0400-0000B2110000}"/>
    <hyperlink ref="J2267" r:id="rId4532" xr:uid="{00000000-0004-0000-0400-0000B3110000}"/>
    <hyperlink ref="I2268" r:id="rId4533" xr:uid="{00000000-0004-0000-0400-0000B4110000}"/>
    <hyperlink ref="J2268" r:id="rId4534" xr:uid="{00000000-0004-0000-0400-0000B5110000}"/>
    <hyperlink ref="I2269" r:id="rId4535" xr:uid="{00000000-0004-0000-0400-0000B6110000}"/>
    <hyperlink ref="J2269" r:id="rId4536" xr:uid="{00000000-0004-0000-0400-0000B7110000}"/>
    <hyperlink ref="I2270" r:id="rId4537" xr:uid="{00000000-0004-0000-0400-0000B8110000}"/>
    <hyperlink ref="J2270" r:id="rId4538" xr:uid="{00000000-0004-0000-0400-0000B9110000}"/>
    <hyperlink ref="I2271" r:id="rId4539" xr:uid="{00000000-0004-0000-0400-0000BA110000}"/>
    <hyperlink ref="J2271" r:id="rId4540" xr:uid="{00000000-0004-0000-0400-0000BB110000}"/>
    <hyperlink ref="I2272" r:id="rId4541" xr:uid="{00000000-0004-0000-0400-0000BC110000}"/>
    <hyperlink ref="J2272" r:id="rId4542" xr:uid="{00000000-0004-0000-0400-0000BD110000}"/>
    <hyperlink ref="I2273" r:id="rId4543" xr:uid="{00000000-0004-0000-0400-0000BE110000}"/>
    <hyperlink ref="J2273" r:id="rId4544" xr:uid="{00000000-0004-0000-0400-0000BF110000}"/>
    <hyperlink ref="I2274" r:id="rId4545" xr:uid="{00000000-0004-0000-0400-0000C0110000}"/>
    <hyperlink ref="J2274" r:id="rId4546" xr:uid="{00000000-0004-0000-0400-0000C1110000}"/>
    <hyperlink ref="I2275" r:id="rId4547" xr:uid="{00000000-0004-0000-0400-0000C2110000}"/>
    <hyperlink ref="J2275" r:id="rId4548" xr:uid="{00000000-0004-0000-0400-0000C3110000}"/>
    <hyperlink ref="I2276" r:id="rId4549" xr:uid="{00000000-0004-0000-0400-0000C4110000}"/>
    <hyperlink ref="J2276" r:id="rId4550" xr:uid="{00000000-0004-0000-0400-0000C5110000}"/>
    <hyperlink ref="I2277" r:id="rId4551" xr:uid="{00000000-0004-0000-0400-0000C6110000}"/>
    <hyperlink ref="J2277" r:id="rId4552" xr:uid="{00000000-0004-0000-0400-0000C7110000}"/>
    <hyperlink ref="I2278" r:id="rId4553" xr:uid="{00000000-0004-0000-0400-0000C8110000}"/>
    <hyperlink ref="J2278" r:id="rId4554" xr:uid="{00000000-0004-0000-0400-0000C9110000}"/>
    <hyperlink ref="I2279" r:id="rId4555" xr:uid="{00000000-0004-0000-0400-0000CA110000}"/>
    <hyperlink ref="J2279" r:id="rId4556" xr:uid="{00000000-0004-0000-0400-0000CB110000}"/>
    <hyperlink ref="I2280" r:id="rId4557" xr:uid="{00000000-0004-0000-0400-0000CC110000}"/>
    <hyperlink ref="J2280" r:id="rId4558" xr:uid="{00000000-0004-0000-0400-0000CD110000}"/>
    <hyperlink ref="I2281" r:id="rId4559" xr:uid="{00000000-0004-0000-0400-0000CE110000}"/>
    <hyperlink ref="J2281" r:id="rId4560" xr:uid="{00000000-0004-0000-0400-0000CF110000}"/>
    <hyperlink ref="I2282" r:id="rId4561" xr:uid="{00000000-0004-0000-0400-0000D0110000}"/>
    <hyperlink ref="J2282" r:id="rId4562" xr:uid="{00000000-0004-0000-0400-0000D1110000}"/>
    <hyperlink ref="I2283" r:id="rId4563" xr:uid="{00000000-0004-0000-0400-0000D2110000}"/>
    <hyperlink ref="J2283" r:id="rId4564" xr:uid="{00000000-0004-0000-0400-0000D3110000}"/>
    <hyperlink ref="I2284" r:id="rId4565" xr:uid="{00000000-0004-0000-0400-0000D4110000}"/>
    <hyperlink ref="J2284" r:id="rId4566" xr:uid="{00000000-0004-0000-0400-0000D5110000}"/>
    <hyperlink ref="I2285" r:id="rId4567" xr:uid="{00000000-0004-0000-0400-0000D6110000}"/>
    <hyperlink ref="J2285" r:id="rId4568" xr:uid="{00000000-0004-0000-0400-0000D7110000}"/>
    <hyperlink ref="I2286" r:id="rId4569" xr:uid="{00000000-0004-0000-0400-0000D8110000}"/>
    <hyperlink ref="J2286" r:id="rId4570" xr:uid="{00000000-0004-0000-0400-0000D9110000}"/>
    <hyperlink ref="I2287" r:id="rId4571" xr:uid="{00000000-0004-0000-0400-0000DA110000}"/>
    <hyperlink ref="J2287" r:id="rId4572" xr:uid="{00000000-0004-0000-0400-0000DB110000}"/>
    <hyperlink ref="I2288" r:id="rId4573" xr:uid="{00000000-0004-0000-0400-0000DC110000}"/>
    <hyperlink ref="J2288" r:id="rId4574" xr:uid="{00000000-0004-0000-0400-0000DD110000}"/>
    <hyperlink ref="I2289" r:id="rId4575" xr:uid="{00000000-0004-0000-0400-0000DE110000}"/>
    <hyperlink ref="J2289" r:id="rId4576" xr:uid="{00000000-0004-0000-0400-0000DF110000}"/>
    <hyperlink ref="I2290" r:id="rId4577" xr:uid="{00000000-0004-0000-0400-0000E0110000}"/>
    <hyperlink ref="J2290" r:id="rId4578" xr:uid="{00000000-0004-0000-0400-0000E1110000}"/>
    <hyperlink ref="I2291" r:id="rId4579" xr:uid="{00000000-0004-0000-0400-0000E2110000}"/>
    <hyperlink ref="J2291" r:id="rId4580" xr:uid="{00000000-0004-0000-0400-0000E3110000}"/>
    <hyperlink ref="I2292" r:id="rId4581" xr:uid="{00000000-0004-0000-0400-0000E4110000}"/>
    <hyperlink ref="J2292" r:id="rId4582" xr:uid="{00000000-0004-0000-0400-0000E5110000}"/>
    <hyperlink ref="I2293" r:id="rId4583" xr:uid="{00000000-0004-0000-0400-0000E6110000}"/>
    <hyperlink ref="J2293" r:id="rId4584" xr:uid="{00000000-0004-0000-0400-0000E7110000}"/>
    <hyperlink ref="I2294" r:id="rId4585" xr:uid="{00000000-0004-0000-0400-0000E8110000}"/>
    <hyperlink ref="J2294" r:id="rId4586" xr:uid="{00000000-0004-0000-0400-0000E9110000}"/>
    <hyperlink ref="I2295" r:id="rId4587" xr:uid="{00000000-0004-0000-0400-0000EA110000}"/>
    <hyperlink ref="J2295" r:id="rId4588" xr:uid="{00000000-0004-0000-0400-0000EB110000}"/>
    <hyperlink ref="I2296" r:id="rId4589" xr:uid="{00000000-0004-0000-0400-0000EC110000}"/>
    <hyperlink ref="J2296" r:id="rId4590" xr:uid="{00000000-0004-0000-0400-0000ED110000}"/>
    <hyperlink ref="I2297" r:id="rId4591" xr:uid="{00000000-0004-0000-0400-0000EE110000}"/>
    <hyperlink ref="J2297" r:id="rId4592" xr:uid="{00000000-0004-0000-0400-0000EF110000}"/>
    <hyperlink ref="I2298" r:id="rId4593" xr:uid="{00000000-0004-0000-0400-0000F0110000}"/>
    <hyperlink ref="J2298" r:id="rId4594" xr:uid="{00000000-0004-0000-0400-0000F1110000}"/>
    <hyperlink ref="I2299" r:id="rId4595" xr:uid="{00000000-0004-0000-0400-0000F2110000}"/>
    <hyperlink ref="J2299" r:id="rId4596" xr:uid="{00000000-0004-0000-0400-0000F3110000}"/>
    <hyperlink ref="I2300" r:id="rId4597" xr:uid="{00000000-0004-0000-0400-0000F4110000}"/>
    <hyperlink ref="J2300" r:id="rId4598" xr:uid="{00000000-0004-0000-0400-0000F5110000}"/>
    <hyperlink ref="I2301" r:id="rId4599" xr:uid="{00000000-0004-0000-0400-0000F6110000}"/>
    <hyperlink ref="J2301" r:id="rId4600" xr:uid="{00000000-0004-0000-0400-0000F7110000}"/>
    <hyperlink ref="I2302" r:id="rId4601" xr:uid="{00000000-0004-0000-0400-0000F8110000}"/>
    <hyperlink ref="J2302" r:id="rId4602" xr:uid="{00000000-0004-0000-0400-0000F9110000}"/>
    <hyperlink ref="I2303" r:id="rId4603" xr:uid="{00000000-0004-0000-0400-0000FA110000}"/>
    <hyperlink ref="J2303" r:id="rId4604" xr:uid="{00000000-0004-0000-0400-0000FB110000}"/>
    <hyperlink ref="I2304" r:id="rId4605" xr:uid="{00000000-0004-0000-0400-0000FC110000}"/>
    <hyperlink ref="J2304" r:id="rId4606" xr:uid="{00000000-0004-0000-0400-0000FD110000}"/>
    <hyperlink ref="I2305" r:id="rId4607" xr:uid="{00000000-0004-0000-0400-0000FE110000}"/>
    <hyperlink ref="J2305" r:id="rId4608" xr:uid="{00000000-0004-0000-0400-0000FF110000}"/>
    <hyperlink ref="I2306" r:id="rId4609" xr:uid="{00000000-0004-0000-0400-000000120000}"/>
    <hyperlink ref="J2306" r:id="rId4610" xr:uid="{00000000-0004-0000-0400-000001120000}"/>
    <hyperlink ref="I2307" r:id="rId4611" xr:uid="{00000000-0004-0000-0400-000002120000}"/>
    <hyperlink ref="J2307" r:id="rId4612" xr:uid="{00000000-0004-0000-0400-000003120000}"/>
    <hyperlink ref="I2308" r:id="rId4613" xr:uid="{00000000-0004-0000-0400-000004120000}"/>
    <hyperlink ref="J2308" r:id="rId4614" xr:uid="{00000000-0004-0000-0400-000005120000}"/>
    <hyperlink ref="I2309" r:id="rId4615" xr:uid="{00000000-0004-0000-0400-000006120000}"/>
    <hyperlink ref="J2309" r:id="rId4616" xr:uid="{00000000-0004-0000-0400-000007120000}"/>
    <hyperlink ref="I2310" r:id="rId4617" xr:uid="{00000000-0004-0000-0400-000008120000}"/>
    <hyperlink ref="J2310" r:id="rId4618" xr:uid="{00000000-0004-0000-0400-000009120000}"/>
    <hyperlink ref="I2311" r:id="rId4619" xr:uid="{00000000-0004-0000-0400-00000A120000}"/>
    <hyperlink ref="J2311" r:id="rId4620" xr:uid="{00000000-0004-0000-0400-00000B120000}"/>
    <hyperlink ref="I2312" r:id="rId4621" xr:uid="{00000000-0004-0000-0400-00000C120000}"/>
    <hyperlink ref="J2312" r:id="rId4622" xr:uid="{00000000-0004-0000-0400-00000D120000}"/>
    <hyperlink ref="I2313" r:id="rId4623" xr:uid="{00000000-0004-0000-0400-00000E120000}"/>
    <hyperlink ref="J2313" r:id="rId4624" xr:uid="{00000000-0004-0000-0400-00000F120000}"/>
    <hyperlink ref="I2314" r:id="rId4625" xr:uid="{00000000-0004-0000-0400-000010120000}"/>
    <hyperlink ref="J2314" r:id="rId4626" xr:uid="{00000000-0004-0000-0400-000011120000}"/>
    <hyperlink ref="I2315" r:id="rId4627" xr:uid="{00000000-0004-0000-0400-000012120000}"/>
    <hyperlink ref="J2315" r:id="rId4628" xr:uid="{00000000-0004-0000-0400-000013120000}"/>
    <hyperlink ref="I2316" r:id="rId4629" xr:uid="{00000000-0004-0000-0400-000014120000}"/>
    <hyperlink ref="J2316" r:id="rId4630" xr:uid="{00000000-0004-0000-0400-000015120000}"/>
    <hyperlink ref="I2317" r:id="rId4631" xr:uid="{00000000-0004-0000-0400-000016120000}"/>
    <hyperlink ref="J2317" r:id="rId4632" xr:uid="{00000000-0004-0000-0400-000017120000}"/>
    <hyperlink ref="I2318" r:id="rId4633" xr:uid="{00000000-0004-0000-0400-000018120000}"/>
    <hyperlink ref="J2318" r:id="rId4634" xr:uid="{00000000-0004-0000-0400-000019120000}"/>
    <hyperlink ref="I2319" r:id="rId4635" xr:uid="{00000000-0004-0000-0400-00001A120000}"/>
    <hyperlink ref="J2319" r:id="rId4636" xr:uid="{00000000-0004-0000-0400-00001B120000}"/>
    <hyperlink ref="I2320" r:id="rId4637" xr:uid="{00000000-0004-0000-0400-00001C120000}"/>
    <hyperlink ref="J2320" r:id="rId4638" xr:uid="{00000000-0004-0000-0400-00001D120000}"/>
    <hyperlink ref="I2321" r:id="rId4639" xr:uid="{00000000-0004-0000-0400-00001E120000}"/>
    <hyperlink ref="J2321" r:id="rId4640" xr:uid="{00000000-0004-0000-0400-00001F120000}"/>
    <hyperlink ref="I2322" r:id="rId4641" xr:uid="{00000000-0004-0000-0400-000020120000}"/>
    <hyperlink ref="J2322" r:id="rId4642" xr:uid="{00000000-0004-0000-0400-000021120000}"/>
    <hyperlink ref="I2323" r:id="rId4643" xr:uid="{00000000-0004-0000-0400-000022120000}"/>
    <hyperlink ref="J2323" r:id="rId4644" xr:uid="{00000000-0004-0000-0400-000023120000}"/>
    <hyperlink ref="I2324" r:id="rId4645" xr:uid="{00000000-0004-0000-0400-000024120000}"/>
    <hyperlink ref="J2324" r:id="rId4646" xr:uid="{00000000-0004-0000-0400-000025120000}"/>
    <hyperlink ref="I2325" r:id="rId4647" xr:uid="{00000000-0004-0000-0400-000026120000}"/>
    <hyperlink ref="J2325" r:id="rId4648" xr:uid="{00000000-0004-0000-0400-000027120000}"/>
    <hyperlink ref="I2326" r:id="rId4649" xr:uid="{00000000-0004-0000-0400-000028120000}"/>
    <hyperlink ref="J2326" r:id="rId4650" xr:uid="{00000000-0004-0000-0400-000029120000}"/>
    <hyperlink ref="I2327" r:id="rId4651" xr:uid="{00000000-0004-0000-0400-00002A120000}"/>
    <hyperlink ref="J2327" r:id="rId4652" xr:uid="{00000000-0004-0000-0400-00002B120000}"/>
    <hyperlink ref="I2328" r:id="rId4653" xr:uid="{00000000-0004-0000-0400-00002C120000}"/>
    <hyperlink ref="J2328" r:id="rId4654" xr:uid="{00000000-0004-0000-0400-00002D120000}"/>
    <hyperlink ref="I2329" r:id="rId4655" xr:uid="{00000000-0004-0000-0400-00002E120000}"/>
    <hyperlink ref="J2329" r:id="rId4656" xr:uid="{00000000-0004-0000-0400-00002F120000}"/>
    <hyperlink ref="I2330" r:id="rId4657" xr:uid="{00000000-0004-0000-0400-000030120000}"/>
    <hyperlink ref="J2330" r:id="rId4658" xr:uid="{00000000-0004-0000-0400-000031120000}"/>
    <hyperlink ref="I2331" r:id="rId4659" xr:uid="{00000000-0004-0000-0400-000032120000}"/>
    <hyperlink ref="J2331" r:id="rId4660" xr:uid="{00000000-0004-0000-0400-000033120000}"/>
    <hyperlink ref="I2332" r:id="rId4661" xr:uid="{00000000-0004-0000-0400-000034120000}"/>
    <hyperlink ref="J2332" r:id="rId4662" xr:uid="{00000000-0004-0000-0400-000035120000}"/>
    <hyperlink ref="I2333" r:id="rId4663" xr:uid="{00000000-0004-0000-0400-000036120000}"/>
    <hyperlink ref="J2333" r:id="rId4664" xr:uid="{00000000-0004-0000-0400-000037120000}"/>
    <hyperlink ref="I2334" r:id="rId4665" xr:uid="{00000000-0004-0000-0400-000038120000}"/>
    <hyperlink ref="J2334" r:id="rId4666" xr:uid="{00000000-0004-0000-0400-000039120000}"/>
    <hyperlink ref="I2335" r:id="rId4667" xr:uid="{00000000-0004-0000-0400-00003A120000}"/>
    <hyperlink ref="J2335" r:id="rId4668" xr:uid="{00000000-0004-0000-0400-00003B120000}"/>
    <hyperlink ref="I2336" r:id="rId4669" xr:uid="{00000000-0004-0000-0400-00003C120000}"/>
    <hyperlink ref="J2336" r:id="rId4670" xr:uid="{00000000-0004-0000-0400-00003D120000}"/>
    <hyperlink ref="I2337" r:id="rId4671" xr:uid="{00000000-0004-0000-0400-00003E120000}"/>
    <hyperlink ref="J2337" r:id="rId4672" xr:uid="{00000000-0004-0000-0400-00003F120000}"/>
    <hyperlink ref="I2338" r:id="rId4673" xr:uid="{00000000-0004-0000-0400-000040120000}"/>
    <hyperlink ref="J2338" r:id="rId4674" xr:uid="{00000000-0004-0000-0400-000041120000}"/>
    <hyperlink ref="I2339" r:id="rId4675" xr:uid="{00000000-0004-0000-0400-000042120000}"/>
    <hyperlink ref="J2339" r:id="rId4676" xr:uid="{00000000-0004-0000-0400-000043120000}"/>
    <hyperlink ref="I2340" r:id="rId4677" xr:uid="{00000000-0004-0000-0400-000044120000}"/>
    <hyperlink ref="J2340" r:id="rId4678" xr:uid="{00000000-0004-0000-0400-000045120000}"/>
    <hyperlink ref="I2341" r:id="rId4679" xr:uid="{00000000-0004-0000-0400-000046120000}"/>
    <hyperlink ref="J2341" r:id="rId4680" xr:uid="{00000000-0004-0000-0400-000047120000}"/>
    <hyperlink ref="I2342" r:id="rId4681" xr:uid="{00000000-0004-0000-0400-000048120000}"/>
    <hyperlink ref="J2342" r:id="rId4682" xr:uid="{00000000-0004-0000-0400-000049120000}"/>
    <hyperlink ref="I2343" r:id="rId4683" xr:uid="{00000000-0004-0000-0400-00004A120000}"/>
    <hyperlink ref="J2343" r:id="rId4684" xr:uid="{00000000-0004-0000-0400-00004B120000}"/>
    <hyperlink ref="I2344" r:id="rId4685" xr:uid="{00000000-0004-0000-0400-00004C120000}"/>
    <hyperlink ref="J2344" r:id="rId4686" xr:uid="{00000000-0004-0000-0400-00004D120000}"/>
    <hyperlink ref="I2345" r:id="rId4687" xr:uid="{00000000-0004-0000-0400-00004E120000}"/>
    <hyperlink ref="J2345" r:id="rId4688" xr:uid="{00000000-0004-0000-0400-00004F120000}"/>
    <hyperlink ref="I2346" r:id="rId4689" xr:uid="{00000000-0004-0000-0400-000050120000}"/>
    <hyperlink ref="J2346" r:id="rId4690" xr:uid="{00000000-0004-0000-0400-000051120000}"/>
    <hyperlink ref="I2347" r:id="rId4691" xr:uid="{00000000-0004-0000-0400-000052120000}"/>
    <hyperlink ref="J2347" r:id="rId4692" xr:uid="{00000000-0004-0000-0400-000053120000}"/>
    <hyperlink ref="I2348" r:id="rId4693" xr:uid="{00000000-0004-0000-0400-000054120000}"/>
    <hyperlink ref="J2348" r:id="rId4694" xr:uid="{00000000-0004-0000-0400-000055120000}"/>
    <hyperlink ref="I2349" r:id="rId4695" xr:uid="{00000000-0004-0000-0400-000056120000}"/>
    <hyperlink ref="J2349" r:id="rId4696" xr:uid="{00000000-0004-0000-0400-000057120000}"/>
    <hyperlink ref="I2350" r:id="rId4697" xr:uid="{00000000-0004-0000-0400-000058120000}"/>
    <hyperlink ref="J2350" r:id="rId4698" xr:uid="{00000000-0004-0000-0400-000059120000}"/>
    <hyperlink ref="I2351" r:id="rId4699" xr:uid="{00000000-0004-0000-0400-00005A120000}"/>
    <hyperlink ref="J2351" r:id="rId4700" xr:uid="{00000000-0004-0000-0400-00005B120000}"/>
    <hyperlink ref="I2352" r:id="rId4701" xr:uid="{00000000-0004-0000-0400-00005C120000}"/>
    <hyperlink ref="J2352" r:id="rId4702" xr:uid="{00000000-0004-0000-0400-00005D120000}"/>
    <hyperlink ref="I2353" r:id="rId4703" xr:uid="{00000000-0004-0000-0400-00005E120000}"/>
    <hyperlink ref="J2353" r:id="rId4704" xr:uid="{00000000-0004-0000-0400-00005F120000}"/>
    <hyperlink ref="I2354" r:id="rId4705" xr:uid="{00000000-0004-0000-0400-000060120000}"/>
    <hyperlink ref="J2354" r:id="rId4706" xr:uid="{00000000-0004-0000-0400-000061120000}"/>
    <hyperlink ref="I2355" r:id="rId4707" xr:uid="{00000000-0004-0000-0400-000062120000}"/>
    <hyperlink ref="J2355" r:id="rId4708" xr:uid="{00000000-0004-0000-0400-000063120000}"/>
    <hyperlink ref="I2356" r:id="rId4709" xr:uid="{00000000-0004-0000-0400-000064120000}"/>
    <hyperlink ref="J2356" r:id="rId4710" xr:uid="{00000000-0004-0000-0400-000065120000}"/>
    <hyperlink ref="I2357" r:id="rId4711" xr:uid="{00000000-0004-0000-0400-000066120000}"/>
    <hyperlink ref="J2357" r:id="rId4712" xr:uid="{00000000-0004-0000-0400-000067120000}"/>
    <hyperlink ref="I2358" r:id="rId4713" xr:uid="{00000000-0004-0000-0400-000068120000}"/>
    <hyperlink ref="J2358" r:id="rId4714" xr:uid="{00000000-0004-0000-0400-000069120000}"/>
    <hyperlink ref="I2359" r:id="rId4715" xr:uid="{00000000-0004-0000-0400-00006A120000}"/>
    <hyperlink ref="J2359" r:id="rId4716" xr:uid="{00000000-0004-0000-0400-00006B120000}"/>
    <hyperlink ref="I2360" r:id="rId4717" xr:uid="{00000000-0004-0000-0400-00006C120000}"/>
    <hyperlink ref="J2360" r:id="rId4718" xr:uid="{00000000-0004-0000-0400-00006D120000}"/>
    <hyperlink ref="I2361" r:id="rId4719" xr:uid="{00000000-0004-0000-0400-00006E120000}"/>
    <hyperlink ref="J2361" r:id="rId4720" xr:uid="{00000000-0004-0000-0400-00006F120000}"/>
    <hyperlink ref="I2362" r:id="rId4721" xr:uid="{00000000-0004-0000-0400-000070120000}"/>
    <hyperlink ref="J2362" r:id="rId4722" xr:uid="{00000000-0004-0000-0400-000071120000}"/>
    <hyperlink ref="I2363" r:id="rId4723" xr:uid="{00000000-0004-0000-0400-000072120000}"/>
    <hyperlink ref="J2363" r:id="rId4724" xr:uid="{00000000-0004-0000-0400-000073120000}"/>
    <hyperlink ref="I2364" r:id="rId4725" xr:uid="{00000000-0004-0000-0400-000074120000}"/>
    <hyperlink ref="J2364" r:id="rId4726" xr:uid="{00000000-0004-0000-0400-000075120000}"/>
    <hyperlink ref="I2365" r:id="rId4727" xr:uid="{00000000-0004-0000-0400-000076120000}"/>
    <hyperlink ref="J2365" r:id="rId4728" xr:uid="{00000000-0004-0000-0400-000077120000}"/>
    <hyperlink ref="I2366" r:id="rId4729" xr:uid="{00000000-0004-0000-0400-000078120000}"/>
    <hyperlink ref="J2366" r:id="rId4730" xr:uid="{00000000-0004-0000-0400-000079120000}"/>
    <hyperlink ref="I2367" r:id="rId4731" xr:uid="{00000000-0004-0000-0400-00007A120000}"/>
    <hyperlink ref="J2367" r:id="rId4732" xr:uid="{00000000-0004-0000-0400-00007B120000}"/>
    <hyperlink ref="I2368" r:id="rId4733" xr:uid="{00000000-0004-0000-0400-00007C120000}"/>
    <hyperlink ref="J2368" r:id="rId4734" xr:uid="{00000000-0004-0000-0400-00007D120000}"/>
    <hyperlink ref="I2369" r:id="rId4735" xr:uid="{00000000-0004-0000-0400-00007E120000}"/>
    <hyperlink ref="J2369" r:id="rId4736" xr:uid="{00000000-0004-0000-0400-00007F120000}"/>
    <hyperlink ref="I2370" r:id="rId4737" xr:uid="{00000000-0004-0000-0400-000080120000}"/>
    <hyperlink ref="J2370" r:id="rId4738" xr:uid="{00000000-0004-0000-0400-000081120000}"/>
    <hyperlink ref="I2371" r:id="rId4739" xr:uid="{00000000-0004-0000-0400-000082120000}"/>
    <hyperlink ref="J2371" r:id="rId4740" xr:uid="{00000000-0004-0000-0400-000083120000}"/>
    <hyperlink ref="I2372" r:id="rId4741" xr:uid="{00000000-0004-0000-0400-000084120000}"/>
    <hyperlink ref="J2372" r:id="rId4742" xr:uid="{00000000-0004-0000-0400-000085120000}"/>
    <hyperlink ref="I2373" r:id="rId4743" xr:uid="{00000000-0004-0000-0400-000086120000}"/>
    <hyperlink ref="J2373" r:id="rId4744" xr:uid="{00000000-0004-0000-0400-000087120000}"/>
    <hyperlink ref="I2374" r:id="rId4745" xr:uid="{00000000-0004-0000-0400-000088120000}"/>
    <hyperlink ref="J2374" r:id="rId4746" xr:uid="{00000000-0004-0000-0400-000089120000}"/>
    <hyperlink ref="I2375" r:id="rId4747" xr:uid="{00000000-0004-0000-0400-00008A120000}"/>
    <hyperlink ref="J2375" r:id="rId4748" xr:uid="{00000000-0004-0000-0400-00008B120000}"/>
    <hyperlink ref="I2376" r:id="rId4749" xr:uid="{00000000-0004-0000-0400-00008C120000}"/>
    <hyperlink ref="J2376" r:id="rId4750" xr:uid="{00000000-0004-0000-0400-00008D120000}"/>
    <hyperlink ref="I2377" r:id="rId4751" xr:uid="{00000000-0004-0000-0400-00008E120000}"/>
    <hyperlink ref="J2377" r:id="rId4752" xr:uid="{00000000-0004-0000-0400-00008F120000}"/>
    <hyperlink ref="I2378" r:id="rId4753" xr:uid="{00000000-0004-0000-0400-000090120000}"/>
    <hyperlink ref="J2378" r:id="rId4754" xr:uid="{00000000-0004-0000-0400-000091120000}"/>
    <hyperlink ref="I2379" r:id="rId4755" xr:uid="{00000000-0004-0000-0400-000092120000}"/>
    <hyperlink ref="J2379" r:id="rId4756" xr:uid="{00000000-0004-0000-0400-000093120000}"/>
    <hyperlink ref="I2380" r:id="rId4757" xr:uid="{00000000-0004-0000-0400-000094120000}"/>
    <hyperlink ref="J2380" r:id="rId4758" xr:uid="{00000000-0004-0000-0400-000095120000}"/>
    <hyperlink ref="I2381" r:id="rId4759" xr:uid="{00000000-0004-0000-0400-000096120000}"/>
    <hyperlink ref="J2381" r:id="rId4760" xr:uid="{00000000-0004-0000-0400-000097120000}"/>
    <hyperlink ref="I2382" r:id="rId4761" xr:uid="{00000000-0004-0000-0400-000098120000}"/>
    <hyperlink ref="J2382" r:id="rId4762" xr:uid="{00000000-0004-0000-0400-000099120000}"/>
    <hyperlink ref="I2383" r:id="rId4763" xr:uid="{00000000-0004-0000-0400-00009A120000}"/>
    <hyperlink ref="J2383" r:id="rId4764" xr:uid="{00000000-0004-0000-0400-00009B120000}"/>
    <hyperlink ref="I2384" r:id="rId4765" xr:uid="{00000000-0004-0000-0400-00009C120000}"/>
    <hyperlink ref="J2384" r:id="rId4766" xr:uid="{00000000-0004-0000-0400-00009D120000}"/>
    <hyperlink ref="I2385" r:id="rId4767" xr:uid="{00000000-0004-0000-0400-00009E120000}"/>
    <hyperlink ref="J2385" r:id="rId4768" xr:uid="{00000000-0004-0000-0400-00009F120000}"/>
    <hyperlink ref="I2386" r:id="rId4769" xr:uid="{00000000-0004-0000-0400-0000A0120000}"/>
    <hyperlink ref="J2386" r:id="rId4770" xr:uid="{00000000-0004-0000-0400-0000A1120000}"/>
    <hyperlink ref="I2387" r:id="rId4771" xr:uid="{00000000-0004-0000-0400-0000A2120000}"/>
    <hyperlink ref="J2387" r:id="rId4772" xr:uid="{00000000-0004-0000-0400-0000A3120000}"/>
    <hyperlink ref="I2388" r:id="rId4773" xr:uid="{00000000-0004-0000-0400-0000A4120000}"/>
    <hyperlink ref="J2388" r:id="rId4774" xr:uid="{00000000-0004-0000-0400-0000A5120000}"/>
    <hyperlink ref="I2389" r:id="rId4775" xr:uid="{00000000-0004-0000-0400-0000A6120000}"/>
    <hyperlink ref="J2389" r:id="rId4776" xr:uid="{00000000-0004-0000-0400-0000A7120000}"/>
    <hyperlink ref="I2390" r:id="rId4777" xr:uid="{00000000-0004-0000-0400-0000A8120000}"/>
    <hyperlink ref="J2390" r:id="rId4778" xr:uid="{00000000-0004-0000-0400-0000A9120000}"/>
    <hyperlink ref="I2391" r:id="rId4779" xr:uid="{00000000-0004-0000-0400-0000AA120000}"/>
    <hyperlink ref="J2391" r:id="rId4780" xr:uid="{00000000-0004-0000-0400-0000AB120000}"/>
    <hyperlink ref="I2392" r:id="rId4781" xr:uid="{00000000-0004-0000-0400-0000AC120000}"/>
    <hyperlink ref="J2392" r:id="rId4782" xr:uid="{00000000-0004-0000-0400-0000AD120000}"/>
    <hyperlink ref="I2393" r:id="rId4783" xr:uid="{00000000-0004-0000-0400-0000AE120000}"/>
    <hyperlink ref="J2393" r:id="rId4784" xr:uid="{00000000-0004-0000-0400-0000AF120000}"/>
    <hyperlink ref="I2394" r:id="rId4785" xr:uid="{00000000-0004-0000-0400-0000B0120000}"/>
    <hyperlink ref="J2394" r:id="rId4786" xr:uid="{00000000-0004-0000-0400-0000B1120000}"/>
    <hyperlink ref="I2395" r:id="rId4787" xr:uid="{00000000-0004-0000-0400-0000B2120000}"/>
    <hyperlink ref="J2395" r:id="rId4788" xr:uid="{00000000-0004-0000-0400-0000B3120000}"/>
    <hyperlink ref="I2396" r:id="rId4789" xr:uid="{00000000-0004-0000-0400-0000B4120000}"/>
    <hyperlink ref="J2396" r:id="rId4790" xr:uid="{00000000-0004-0000-0400-0000B5120000}"/>
    <hyperlink ref="I2397" r:id="rId4791" xr:uid="{00000000-0004-0000-0400-0000B6120000}"/>
    <hyperlink ref="J2397" r:id="rId4792" xr:uid="{00000000-0004-0000-0400-0000B7120000}"/>
    <hyperlink ref="I2398" r:id="rId4793" xr:uid="{00000000-0004-0000-0400-0000B8120000}"/>
    <hyperlink ref="J2398" r:id="rId4794" xr:uid="{00000000-0004-0000-0400-0000B9120000}"/>
    <hyperlink ref="I2399" r:id="rId4795" xr:uid="{00000000-0004-0000-0400-0000BA120000}"/>
    <hyperlink ref="J2399" r:id="rId4796" xr:uid="{00000000-0004-0000-0400-0000BB120000}"/>
    <hyperlink ref="I2400" r:id="rId4797" xr:uid="{00000000-0004-0000-0400-0000BC120000}"/>
    <hyperlink ref="J2400" r:id="rId4798" xr:uid="{00000000-0004-0000-0400-0000BD120000}"/>
    <hyperlink ref="I2401" r:id="rId4799" xr:uid="{00000000-0004-0000-0400-0000BE120000}"/>
    <hyperlink ref="J2401" r:id="rId4800" xr:uid="{00000000-0004-0000-0400-0000BF120000}"/>
    <hyperlink ref="I2402" r:id="rId4801" xr:uid="{00000000-0004-0000-0400-0000C0120000}"/>
    <hyperlink ref="J2402" r:id="rId4802" xr:uid="{00000000-0004-0000-0400-0000C1120000}"/>
    <hyperlink ref="I2403" r:id="rId4803" xr:uid="{00000000-0004-0000-0400-0000C2120000}"/>
    <hyperlink ref="J2403" r:id="rId4804" xr:uid="{00000000-0004-0000-0400-0000C3120000}"/>
    <hyperlink ref="I2404" r:id="rId4805" xr:uid="{00000000-0004-0000-0400-0000C4120000}"/>
    <hyperlink ref="J2404" r:id="rId4806" xr:uid="{00000000-0004-0000-0400-0000C5120000}"/>
    <hyperlink ref="I2405" r:id="rId4807" xr:uid="{00000000-0004-0000-0400-0000C6120000}"/>
    <hyperlink ref="J2405" r:id="rId4808" xr:uid="{00000000-0004-0000-0400-0000C7120000}"/>
    <hyperlink ref="I2406" r:id="rId4809" xr:uid="{00000000-0004-0000-0400-0000C8120000}"/>
    <hyperlink ref="J2406" r:id="rId4810" xr:uid="{00000000-0004-0000-0400-0000C9120000}"/>
    <hyperlink ref="I2407" r:id="rId4811" xr:uid="{00000000-0004-0000-0400-0000CA120000}"/>
    <hyperlink ref="J2407" r:id="rId4812" xr:uid="{00000000-0004-0000-0400-0000CB120000}"/>
    <hyperlink ref="I2408" r:id="rId4813" xr:uid="{00000000-0004-0000-0400-0000CC120000}"/>
    <hyperlink ref="J2408" r:id="rId4814" xr:uid="{00000000-0004-0000-0400-0000CD120000}"/>
    <hyperlink ref="I2409" r:id="rId4815" xr:uid="{00000000-0004-0000-0400-0000CE120000}"/>
    <hyperlink ref="J2409" r:id="rId4816" xr:uid="{00000000-0004-0000-0400-0000CF120000}"/>
    <hyperlink ref="I2410" r:id="rId4817" xr:uid="{00000000-0004-0000-0400-0000D0120000}"/>
    <hyperlink ref="J2410" r:id="rId4818" xr:uid="{00000000-0004-0000-0400-0000D1120000}"/>
    <hyperlink ref="I2411" r:id="rId4819" xr:uid="{00000000-0004-0000-0400-0000D2120000}"/>
    <hyperlink ref="J2411" r:id="rId4820" xr:uid="{00000000-0004-0000-0400-0000D3120000}"/>
    <hyperlink ref="I2412" r:id="rId4821" xr:uid="{00000000-0004-0000-0400-0000D4120000}"/>
    <hyperlink ref="J2412" r:id="rId4822" xr:uid="{00000000-0004-0000-0400-0000D5120000}"/>
    <hyperlink ref="I2413" r:id="rId4823" xr:uid="{00000000-0004-0000-0400-0000D6120000}"/>
    <hyperlink ref="J2413" r:id="rId4824" xr:uid="{00000000-0004-0000-0400-0000D7120000}"/>
    <hyperlink ref="I2414" r:id="rId4825" xr:uid="{00000000-0004-0000-0400-0000D8120000}"/>
    <hyperlink ref="J2414" r:id="rId4826" xr:uid="{00000000-0004-0000-0400-0000D9120000}"/>
    <hyperlink ref="I2415" r:id="rId4827" xr:uid="{00000000-0004-0000-0400-0000DA120000}"/>
    <hyperlink ref="J2415" r:id="rId4828" xr:uid="{00000000-0004-0000-0400-0000DB120000}"/>
    <hyperlink ref="I2416" r:id="rId4829" xr:uid="{00000000-0004-0000-0400-0000DC120000}"/>
    <hyperlink ref="J2416" r:id="rId4830" xr:uid="{00000000-0004-0000-0400-0000DD120000}"/>
    <hyperlink ref="I2417" r:id="rId4831" xr:uid="{00000000-0004-0000-0400-0000DE120000}"/>
    <hyperlink ref="J2417" r:id="rId4832" xr:uid="{00000000-0004-0000-0400-0000DF120000}"/>
    <hyperlink ref="I2418" r:id="rId4833" xr:uid="{00000000-0004-0000-0400-0000E0120000}"/>
    <hyperlink ref="J2418" r:id="rId4834" xr:uid="{00000000-0004-0000-0400-0000E1120000}"/>
    <hyperlink ref="I2419" r:id="rId4835" xr:uid="{00000000-0004-0000-0400-0000E2120000}"/>
    <hyperlink ref="J2419" r:id="rId4836" xr:uid="{00000000-0004-0000-0400-0000E3120000}"/>
    <hyperlink ref="I2420" r:id="rId4837" xr:uid="{00000000-0004-0000-0400-0000E4120000}"/>
    <hyperlink ref="J2420" r:id="rId4838" xr:uid="{00000000-0004-0000-0400-0000E5120000}"/>
    <hyperlink ref="I2421" r:id="rId4839" xr:uid="{00000000-0004-0000-0400-0000E6120000}"/>
    <hyperlink ref="J2421" r:id="rId4840" xr:uid="{00000000-0004-0000-0400-0000E7120000}"/>
    <hyperlink ref="I2422" r:id="rId4841" xr:uid="{00000000-0004-0000-0400-0000E8120000}"/>
    <hyperlink ref="J2422" r:id="rId4842" xr:uid="{00000000-0004-0000-0400-0000E9120000}"/>
    <hyperlink ref="I2423" r:id="rId4843" xr:uid="{00000000-0004-0000-0400-0000EA120000}"/>
    <hyperlink ref="J2423" r:id="rId4844" xr:uid="{00000000-0004-0000-0400-0000EB120000}"/>
    <hyperlink ref="I2424" r:id="rId4845" xr:uid="{00000000-0004-0000-0400-0000EC120000}"/>
    <hyperlink ref="J2424" r:id="rId4846" xr:uid="{00000000-0004-0000-0400-0000ED120000}"/>
    <hyperlink ref="I2425" r:id="rId4847" xr:uid="{00000000-0004-0000-0400-0000EE120000}"/>
    <hyperlink ref="J2425" r:id="rId4848" xr:uid="{00000000-0004-0000-0400-0000EF120000}"/>
    <hyperlink ref="I2426" r:id="rId4849" xr:uid="{00000000-0004-0000-0400-0000F0120000}"/>
    <hyperlink ref="J2426" r:id="rId4850" xr:uid="{00000000-0004-0000-0400-0000F1120000}"/>
    <hyperlink ref="I2427" r:id="rId4851" xr:uid="{00000000-0004-0000-0400-0000F2120000}"/>
    <hyperlink ref="J2427" r:id="rId4852" xr:uid="{00000000-0004-0000-0400-0000F3120000}"/>
    <hyperlink ref="I2428" r:id="rId4853" xr:uid="{00000000-0004-0000-0400-0000F4120000}"/>
    <hyperlink ref="J2428" r:id="rId4854" xr:uid="{00000000-0004-0000-0400-0000F5120000}"/>
    <hyperlink ref="I2429" r:id="rId4855" xr:uid="{00000000-0004-0000-0400-0000F6120000}"/>
    <hyperlink ref="J2429" r:id="rId4856" xr:uid="{00000000-0004-0000-0400-0000F7120000}"/>
    <hyperlink ref="I2430" r:id="rId4857" xr:uid="{00000000-0004-0000-0400-0000F8120000}"/>
    <hyperlink ref="J2430" r:id="rId4858" xr:uid="{00000000-0004-0000-0400-0000F9120000}"/>
    <hyperlink ref="I2431" r:id="rId4859" xr:uid="{00000000-0004-0000-0400-0000FA120000}"/>
    <hyperlink ref="J2431" r:id="rId4860" xr:uid="{00000000-0004-0000-0400-0000FB120000}"/>
    <hyperlink ref="I2432" r:id="rId4861" xr:uid="{00000000-0004-0000-0400-0000FC120000}"/>
    <hyperlink ref="J2432" r:id="rId4862" xr:uid="{00000000-0004-0000-0400-0000FD120000}"/>
    <hyperlink ref="I2433" r:id="rId4863" xr:uid="{00000000-0004-0000-0400-0000FE120000}"/>
    <hyperlink ref="J2433" r:id="rId4864" xr:uid="{00000000-0004-0000-0400-0000FF120000}"/>
    <hyperlink ref="I2434" r:id="rId4865" xr:uid="{00000000-0004-0000-0400-000000130000}"/>
    <hyperlink ref="J2434" r:id="rId4866" xr:uid="{00000000-0004-0000-0400-000001130000}"/>
    <hyperlink ref="I2435" r:id="rId4867" xr:uid="{00000000-0004-0000-0400-000002130000}"/>
    <hyperlink ref="J2435" r:id="rId4868" xr:uid="{00000000-0004-0000-0400-000003130000}"/>
    <hyperlink ref="I2436" r:id="rId4869" xr:uid="{00000000-0004-0000-0400-000004130000}"/>
    <hyperlink ref="J2436" r:id="rId4870" xr:uid="{00000000-0004-0000-0400-000005130000}"/>
    <hyperlink ref="I2437" r:id="rId4871" xr:uid="{00000000-0004-0000-0400-000006130000}"/>
    <hyperlink ref="J2437" r:id="rId4872" xr:uid="{00000000-0004-0000-0400-000007130000}"/>
    <hyperlink ref="I2438" r:id="rId4873" xr:uid="{00000000-0004-0000-0400-000008130000}"/>
    <hyperlink ref="J2438" r:id="rId4874" xr:uid="{00000000-0004-0000-0400-000009130000}"/>
    <hyperlink ref="I2439" r:id="rId4875" xr:uid="{00000000-0004-0000-0400-00000A130000}"/>
    <hyperlink ref="J2439" r:id="rId4876" xr:uid="{00000000-0004-0000-0400-00000B130000}"/>
    <hyperlink ref="I2440" r:id="rId4877" xr:uid="{00000000-0004-0000-0400-00000C130000}"/>
    <hyperlink ref="J2440" r:id="rId4878" xr:uid="{00000000-0004-0000-0400-00000D130000}"/>
    <hyperlink ref="I2441" r:id="rId4879" xr:uid="{00000000-0004-0000-0400-00000E130000}"/>
    <hyperlink ref="J2441" r:id="rId4880" xr:uid="{00000000-0004-0000-0400-00000F130000}"/>
    <hyperlink ref="I2442" r:id="rId4881" xr:uid="{00000000-0004-0000-0400-000010130000}"/>
    <hyperlink ref="J2442" r:id="rId4882" xr:uid="{00000000-0004-0000-0400-000011130000}"/>
    <hyperlink ref="I2443" r:id="rId4883" xr:uid="{00000000-0004-0000-0400-000012130000}"/>
    <hyperlink ref="J2443" r:id="rId4884" xr:uid="{00000000-0004-0000-0400-000013130000}"/>
    <hyperlink ref="I2444" r:id="rId4885" xr:uid="{00000000-0004-0000-0400-000014130000}"/>
    <hyperlink ref="J2444" r:id="rId4886" xr:uid="{00000000-0004-0000-0400-000015130000}"/>
    <hyperlink ref="I2445" r:id="rId4887" xr:uid="{00000000-0004-0000-0400-000016130000}"/>
    <hyperlink ref="J2445" r:id="rId4888" xr:uid="{00000000-0004-0000-0400-000017130000}"/>
    <hyperlink ref="I2446" r:id="rId4889" xr:uid="{00000000-0004-0000-0400-000018130000}"/>
    <hyperlink ref="J2446" r:id="rId4890" xr:uid="{00000000-0004-0000-0400-000019130000}"/>
    <hyperlink ref="I2447" r:id="rId4891" xr:uid="{00000000-0004-0000-0400-00001A130000}"/>
    <hyperlink ref="J2447" r:id="rId4892" xr:uid="{00000000-0004-0000-0400-00001B130000}"/>
    <hyperlink ref="I2448" r:id="rId4893" xr:uid="{00000000-0004-0000-0400-00001C130000}"/>
    <hyperlink ref="J2448" r:id="rId4894" xr:uid="{00000000-0004-0000-0400-00001D130000}"/>
    <hyperlink ref="I2449" r:id="rId4895" xr:uid="{00000000-0004-0000-0400-00001E130000}"/>
    <hyperlink ref="J2449" r:id="rId4896" xr:uid="{00000000-0004-0000-0400-00001F130000}"/>
    <hyperlink ref="I2450" r:id="rId4897" xr:uid="{00000000-0004-0000-0400-000020130000}"/>
    <hyperlink ref="J2450" r:id="rId4898" xr:uid="{00000000-0004-0000-0400-000021130000}"/>
    <hyperlink ref="I2451" r:id="rId4899" xr:uid="{00000000-0004-0000-0400-000022130000}"/>
    <hyperlink ref="J2451" r:id="rId4900" xr:uid="{00000000-0004-0000-0400-000023130000}"/>
    <hyperlink ref="I2452" r:id="rId4901" xr:uid="{00000000-0004-0000-0400-000024130000}"/>
    <hyperlink ref="J2452" r:id="rId4902" xr:uid="{00000000-0004-0000-0400-000025130000}"/>
    <hyperlink ref="I2453" r:id="rId4903" xr:uid="{00000000-0004-0000-0400-000026130000}"/>
    <hyperlink ref="J2453" r:id="rId4904" xr:uid="{00000000-0004-0000-0400-000027130000}"/>
    <hyperlink ref="I2454" r:id="rId4905" xr:uid="{00000000-0004-0000-0400-000028130000}"/>
    <hyperlink ref="J2454" r:id="rId4906" xr:uid="{00000000-0004-0000-0400-000029130000}"/>
    <hyperlink ref="I2455" r:id="rId4907" xr:uid="{00000000-0004-0000-0400-00002A130000}"/>
    <hyperlink ref="J2455" r:id="rId4908" xr:uid="{00000000-0004-0000-0400-00002B130000}"/>
    <hyperlink ref="I2456" r:id="rId4909" xr:uid="{00000000-0004-0000-0400-00002C130000}"/>
    <hyperlink ref="J2456" r:id="rId4910" xr:uid="{00000000-0004-0000-0400-00002D130000}"/>
    <hyperlink ref="I2457" r:id="rId4911" xr:uid="{00000000-0004-0000-0400-00002E130000}"/>
    <hyperlink ref="J2457" r:id="rId4912" xr:uid="{00000000-0004-0000-0400-00002F130000}"/>
    <hyperlink ref="I2458" r:id="rId4913" xr:uid="{00000000-0004-0000-0400-000030130000}"/>
    <hyperlink ref="J2458" r:id="rId4914" xr:uid="{00000000-0004-0000-0400-000031130000}"/>
    <hyperlink ref="I2459" r:id="rId4915" xr:uid="{00000000-0004-0000-0400-000032130000}"/>
    <hyperlink ref="J2459" r:id="rId4916" xr:uid="{00000000-0004-0000-0400-000033130000}"/>
    <hyperlink ref="I2460" r:id="rId4917" xr:uid="{00000000-0004-0000-0400-000034130000}"/>
    <hyperlink ref="J2460" r:id="rId4918" xr:uid="{00000000-0004-0000-0400-000035130000}"/>
    <hyperlink ref="I2461" r:id="rId4919" xr:uid="{00000000-0004-0000-0400-000036130000}"/>
    <hyperlink ref="J2461" r:id="rId4920" xr:uid="{00000000-0004-0000-0400-000037130000}"/>
    <hyperlink ref="I2462" r:id="rId4921" xr:uid="{00000000-0004-0000-0400-000038130000}"/>
    <hyperlink ref="J2462" r:id="rId4922" xr:uid="{00000000-0004-0000-0400-000039130000}"/>
    <hyperlink ref="I2463" r:id="rId4923" xr:uid="{00000000-0004-0000-0400-00003A130000}"/>
    <hyperlink ref="J2463" r:id="rId4924" xr:uid="{00000000-0004-0000-0400-00003B130000}"/>
    <hyperlink ref="I2464" r:id="rId4925" xr:uid="{00000000-0004-0000-0400-00003C130000}"/>
    <hyperlink ref="J2464" r:id="rId4926" xr:uid="{00000000-0004-0000-0400-00003D130000}"/>
    <hyperlink ref="I2465" r:id="rId4927" xr:uid="{00000000-0004-0000-0400-00003E130000}"/>
    <hyperlink ref="J2465" r:id="rId4928" xr:uid="{00000000-0004-0000-0400-00003F130000}"/>
    <hyperlink ref="I2466" r:id="rId4929" xr:uid="{00000000-0004-0000-0400-000040130000}"/>
    <hyperlink ref="J2466" r:id="rId4930" xr:uid="{00000000-0004-0000-0400-000041130000}"/>
    <hyperlink ref="I2467" r:id="rId4931" xr:uid="{00000000-0004-0000-0400-000042130000}"/>
    <hyperlink ref="J2467" r:id="rId4932" xr:uid="{00000000-0004-0000-0400-000043130000}"/>
    <hyperlink ref="I2468" r:id="rId4933" xr:uid="{00000000-0004-0000-0400-000044130000}"/>
    <hyperlink ref="J2468" r:id="rId4934" xr:uid="{00000000-0004-0000-0400-000045130000}"/>
    <hyperlink ref="I2469" r:id="rId4935" xr:uid="{00000000-0004-0000-0400-000046130000}"/>
    <hyperlink ref="J2469" r:id="rId4936" xr:uid="{00000000-0004-0000-0400-000047130000}"/>
    <hyperlink ref="I2470" r:id="rId4937" xr:uid="{00000000-0004-0000-0400-000048130000}"/>
    <hyperlink ref="J2470" r:id="rId4938" xr:uid="{00000000-0004-0000-0400-000049130000}"/>
    <hyperlink ref="I2471" r:id="rId4939" xr:uid="{00000000-0004-0000-0400-00004A130000}"/>
    <hyperlink ref="J2471" r:id="rId4940" xr:uid="{00000000-0004-0000-0400-00004B130000}"/>
    <hyperlink ref="I2472" r:id="rId4941" xr:uid="{00000000-0004-0000-0400-00004C130000}"/>
    <hyperlink ref="J2472" r:id="rId4942" xr:uid="{00000000-0004-0000-0400-00004D130000}"/>
    <hyperlink ref="I2473" r:id="rId4943" xr:uid="{00000000-0004-0000-0400-00004E130000}"/>
    <hyperlink ref="J2473" r:id="rId4944" xr:uid="{00000000-0004-0000-0400-00004F130000}"/>
    <hyperlink ref="I2474" r:id="rId4945" xr:uid="{00000000-0004-0000-0400-000050130000}"/>
    <hyperlink ref="J2474" r:id="rId4946" xr:uid="{00000000-0004-0000-0400-000051130000}"/>
    <hyperlink ref="I2475" r:id="rId4947" xr:uid="{00000000-0004-0000-0400-000052130000}"/>
    <hyperlink ref="J2475" r:id="rId4948" xr:uid="{00000000-0004-0000-0400-000053130000}"/>
    <hyperlink ref="I2476" r:id="rId4949" xr:uid="{00000000-0004-0000-0400-000054130000}"/>
    <hyperlink ref="J2476" r:id="rId4950" xr:uid="{00000000-0004-0000-0400-000055130000}"/>
    <hyperlink ref="I2477" r:id="rId4951" xr:uid="{00000000-0004-0000-0400-000056130000}"/>
    <hyperlink ref="J2477" r:id="rId4952" xr:uid="{00000000-0004-0000-0400-000057130000}"/>
    <hyperlink ref="I2478" r:id="rId4953" xr:uid="{00000000-0004-0000-0400-000058130000}"/>
    <hyperlink ref="J2478" r:id="rId4954" xr:uid="{00000000-0004-0000-0400-000059130000}"/>
    <hyperlink ref="I2479" r:id="rId4955" xr:uid="{00000000-0004-0000-0400-00005A130000}"/>
    <hyperlink ref="J2479" r:id="rId4956" xr:uid="{00000000-0004-0000-0400-00005B130000}"/>
    <hyperlink ref="I2480" r:id="rId4957" xr:uid="{00000000-0004-0000-0400-00005C130000}"/>
    <hyperlink ref="J2480" r:id="rId4958" xr:uid="{00000000-0004-0000-0400-00005D130000}"/>
    <hyperlink ref="I2481" r:id="rId4959" xr:uid="{00000000-0004-0000-0400-00005E130000}"/>
    <hyperlink ref="J2481" r:id="rId4960" xr:uid="{00000000-0004-0000-0400-00005F130000}"/>
    <hyperlink ref="I2482" r:id="rId4961" xr:uid="{00000000-0004-0000-0400-000060130000}"/>
    <hyperlink ref="J2482" r:id="rId4962" xr:uid="{00000000-0004-0000-0400-000061130000}"/>
    <hyperlink ref="I2483" r:id="rId4963" xr:uid="{00000000-0004-0000-0400-000062130000}"/>
    <hyperlink ref="J2483" r:id="rId4964" xr:uid="{00000000-0004-0000-0400-000063130000}"/>
    <hyperlink ref="I2484" r:id="rId4965" xr:uid="{00000000-0004-0000-0400-000064130000}"/>
    <hyperlink ref="J2484" r:id="rId4966" xr:uid="{00000000-0004-0000-0400-000065130000}"/>
    <hyperlink ref="I2485" r:id="rId4967" xr:uid="{00000000-0004-0000-0400-000066130000}"/>
    <hyperlink ref="J2485" r:id="rId4968" xr:uid="{00000000-0004-0000-0400-000067130000}"/>
    <hyperlink ref="I2486" r:id="rId4969" xr:uid="{00000000-0004-0000-0400-000068130000}"/>
    <hyperlink ref="J2486" r:id="rId4970" xr:uid="{00000000-0004-0000-0400-000069130000}"/>
    <hyperlink ref="I2487" r:id="rId4971" xr:uid="{00000000-0004-0000-0400-00006A130000}"/>
    <hyperlink ref="J2487" r:id="rId4972" xr:uid="{00000000-0004-0000-0400-00006B130000}"/>
    <hyperlink ref="I2488" r:id="rId4973" xr:uid="{00000000-0004-0000-0400-00006C130000}"/>
    <hyperlink ref="J2488" r:id="rId4974" xr:uid="{00000000-0004-0000-0400-00006D130000}"/>
    <hyperlink ref="I2489" r:id="rId4975" xr:uid="{00000000-0004-0000-0400-00006E130000}"/>
    <hyperlink ref="J2489" r:id="rId4976" xr:uid="{00000000-0004-0000-0400-00006F130000}"/>
    <hyperlink ref="I2490" r:id="rId4977" xr:uid="{00000000-0004-0000-0400-000070130000}"/>
    <hyperlink ref="J2490" r:id="rId4978" xr:uid="{00000000-0004-0000-0400-000071130000}"/>
    <hyperlink ref="I2491" r:id="rId4979" xr:uid="{00000000-0004-0000-0400-000072130000}"/>
    <hyperlink ref="J2491" r:id="rId4980" xr:uid="{00000000-0004-0000-0400-000073130000}"/>
    <hyperlink ref="I2492" r:id="rId4981" xr:uid="{00000000-0004-0000-0400-000074130000}"/>
    <hyperlink ref="J2492" r:id="rId4982" xr:uid="{00000000-0004-0000-0400-000075130000}"/>
    <hyperlink ref="I2493" r:id="rId4983" xr:uid="{00000000-0004-0000-0400-000076130000}"/>
    <hyperlink ref="J2493" r:id="rId4984" xr:uid="{00000000-0004-0000-0400-000077130000}"/>
    <hyperlink ref="I2494" r:id="rId4985" xr:uid="{00000000-0004-0000-0400-000078130000}"/>
    <hyperlink ref="J2494" r:id="rId4986" xr:uid="{00000000-0004-0000-0400-000079130000}"/>
    <hyperlink ref="I2495" r:id="rId4987" xr:uid="{00000000-0004-0000-0400-00007A130000}"/>
    <hyperlink ref="J2495" r:id="rId4988" xr:uid="{00000000-0004-0000-0400-00007B130000}"/>
    <hyperlink ref="I2496" r:id="rId4989" xr:uid="{00000000-0004-0000-0400-00007C130000}"/>
    <hyperlink ref="J2496" r:id="rId4990" xr:uid="{00000000-0004-0000-0400-00007D130000}"/>
    <hyperlink ref="I2497" r:id="rId4991" xr:uid="{00000000-0004-0000-0400-00007E130000}"/>
    <hyperlink ref="J2497" r:id="rId4992" xr:uid="{00000000-0004-0000-0400-00007F130000}"/>
    <hyperlink ref="I2498" r:id="rId4993" xr:uid="{00000000-0004-0000-0400-000080130000}"/>
    <hyperlink ref="J2498" r:id="rId4994" xr:uid="{00000000-0004-0000-0400-000081130000}"/>
    <hyperlink ref="I2499" r:id="rId4995" xr:uid="{00000000-0004-0000-0400-000082130000}"/>
    <hyperlink ref="J2499" r:id="rId4996" xr:uid="{00000000-0004-0000-0400-000083130000}"/>
    <hyperlink ref="I2500" r:id="rId4997" xr:uid="{00000000-0004-0000-0400-000084130000}"/>
    <hyperlink ref="J2500" r:id="rId4998" xr:uid="{00000000-0004-0000-0400-000085130000}"/>
    <hyperlink ref="I2501" r:id="rId4999" xr:uid="{00000000-0004-0000-0400-000086130000}"/>
    <hyperlink ref="J2501" r:id="rId5000" xr:uid="{00000000-0004-0000-0400-000087130000}"/>
    <hyperlink ref="I2502" r:id="rId5001" xr:uid="{00000000-0004-0000-0400-000088130000}"/>
    <hyperlink ref="J2502" r:id="rId5002" xr:uid="{00000000-0004-0000-0400-000089130000}"/>
    <hyperlink ref="I2503" r:id="rId5003" xr:uid="{00000000-0004-0000-0400-00008A130000}"/>
    <hyperlink ref="J2503" r:id="rId5004" xr:uid="{00000000-0004-0000-0400-00008B130000}"/>
    <hyperlink ref="I2504" r:id="rId5005" xr:uid="{00000000-0004-0000-0400-00008C130000}"/>
    <hyperlink ref="J2504" r:id="rId5006" xr:uid="{00000000-0004-0000-0400-00008D130000}"/>
    <hyperlink ref="I2505" r:id="rId5007" xr:uid="{00000000-0004-0000-0400-00008E130000}"/>
    <hyperlink ref="J2505" r:id="rId5008" xr:uid="{00000000-0004-0000-0400-00008F130000}"/>
    <hyperlink ref="I2506" r:id="rId5009" xr:uid="{00000000-0004-0000-0400-000090130000}"/>
    <hyperlink ref="J2506" r:id="rId5010" xr:uid="{00000000-0004-0000-0400-000091130000}"/>
    <hyperlink ref="I2507" r:id="rId5011" xr:uid="{00000000-0004-0000-0400-000092130000}"/>
    <hyperlink ref="J2507" r:id="rId5012" xr:uid="{00000000-0004-0000-0400-000093130000}"/>
    <hyperlink ref="I2508" r:id="rId5013" xr:uid="{00000000-0004-0000-0400-000094130000}"/>
    <hyperlink ref="J2508" r:id="rId5014" xr:uid="{00000000-0004-0000-0400-000095130000}"/>
    <hyperlink ref="I2509" r:id="rId5015" xr:uid="{00000000-0004-0000-0400-000096130000}"/>
    <hyperlink ref="J2509" r:id="rId5016" xr:uid="{00000000-0004-0000-0400-000097130000}"/>
    <hyperlink ref="I2510" r:id="rId5017" xr:uid="{00000000-0004-0000-0400-000098130000}"/>
    <hyperlink ref="J2510" r:id="rId5018" xr:uid="{00000000-0004-0000-0400-000099130000}"/>
    <hyperlink ref="I2511" r:id="rId5019" xr:uid="{00000000-0004-0000-0400-00009A130000}"/>
    <hyperlink ref="J2511" r:id="rId5020" xr:uid="{00000000-0004-0000-0400-00009B130000}"/>
    <hyperlink ref="I2512" r:id="rId5021" xr:uid="{00000000-0004-0000-0400-00009C130000}"/>
    <hyperlink ref="J2512" r:id="rId5022" xr:uid="{00000000-0004-0000-0400-00009D130000}"/>
    <hyperlink ref="I2513" r:id="rId5023" xr:uid="{00000000-0004-0000-0400-00009E130000}"/>
    <hyperlink ref="J2513" r:id="rId5024" xr:uid="{00000000-0004-0000-0400-00009F130000}"/>
    <hyperlink ref="I2514" r:id="rId5025" xr:uid="{00000000-0004-0000-0400-0000A0130000}"/>
    <hyperlink ref="J2514" r:id="rId5026" xr:uid="{00000000-0004-0000-0400-0000A1130000}"/>
    <hyperlink ref="I2515" r:id="rId5027" xr:uid="{00000000-0004-0000-0400-0000A2130000}"/>
    <hyperlink ref="J2515" r:id="rId5028" xr:uid="{00000000-0004-0000-0400-0000A3130000}"/>
    <hyperlink ref="I2516" r:id="rId5029" xr:uid="{00000000-0004-0000-0400-0000A4130000}"/>
    <hyperlink ref="J2516" r:id="rId5030" xr:uid="{00000000-0004-0000-0400-0000A5130000}"/>
    <hyperlink ref="I2517" r:id="rId5031" xr:uid="{00000000-0004-0000-0400-0000A6130000}"/>
    <hyperlink ref="J2517" r:id="rId5032" xr:uid="{00000000-0004-0000-0400-0000A7130000}"/>
    <hyperlink ref="I2518" r:id="rId5033" xr:uid="{00000000-0004-0000-0400-0000A8130000}"/>
    <hyperlink ref="J2518" r:id="rId5034" xr:uid="{00000000-0004-0000-0400-0000A9130000}"/>
    <hyperlink ref="I2519" r:id="rId5035" xr:uid="{00000000-0004-0000-0400-0000AA130000}"/>
    <hyperlink ref="J2519" r:id="rId5036" xr:uid="{00000000-0004-0000-0400-0000AB130000}"/>
    <hyperlink ref="I2520" r:id="rId5037" xr:uid="{00000000-0004-0000-0400-0000AC130000}"/>
    <hyperlink ref="J2520" r:id="rId5038" xr:uid="{00000000-0004-0000-0400-0000AD130000}"/>
    <hyperlink ref="I2521" r:id="rId5039" xr:uid="{00000000-0004-0000-0400-0000AE130000}"/>
    <hyperlink ref="J2521" r:id="rId5040" xr:uid="{00000000-0004-0000-0400-0000AF130000}"/>
    <hyperlink ref="I2522" r:id="rId5041" xr:uid="{00000000-0004-0000-0400-0000B0130000}"/>
    <hyperlink ref="J2522" r:id="rId5042" xr:uid="{00000000-0004-0000-0400-0000B1130000}"/>
    <hyperlink ref="I2523" r:id="rId5043" xr:uid="{00000000-0004-0000-0400-0000B2130000}"/>
    <hyperlink ref="J2523" r:id="rId5044" xr:uid="{00000000-0004-0000-0400-0000B3130000}"/>
    <hyperlink ref="I2524" r:id="rId5045" xr:uid="{00000000-0004-0000-0400-0000B4130000}"/>
    <hyperlink ref="J2524" r:id="rId5046" xr:uid="{00000000-0004-0000-0400-0000B5130000}"/>
    <hyperlink ref="I2525" r:id="rId5047" xr:uid="{00000000-0004-0000-0400-0000B6130000}"/>
    <hyperlink ref="J2525" r:id="rId5048" xr:uid="{00000000-0004-0000-0400-0000B7130000}"/>
    <hyperlink ref="I2526" r:id="rId5049" xr:uid="{00000000-0004-0000-0400-0000B8130000}"/>
    <hyperlink ref="J2526" r:id="rId5050" xr:uid="{00000000-0004-0000-0400-0000B9130000}"/>
    <hyperlink ref="I2527" r:id="rId5051" xr:uid="{00000000-0004-0000-0400-0000BA130000}"/>
    <hyperlink ref="J2527" r:id="rId5052" xr:uid="{00000000-0004-0000-0400-0000BB130000}"/>
    <hyperlink ref="I2528" r:id="rId5053" xr:uid="{00000000-0004-0000-0400-0000BC130000}"/>
    <hyperlink ref="J2528" r:id="rId5054" xr:uid="{00000000-0004-0000-0400-0000BD130000}"/>
    <hyperlink ref="I2529" r:id="rId5055" xr:uid="{00000000-0004-0000-0400-0000BE130000}"/>
    <hyperlink ref="J2529" r:id="rId5056" xr:uid="{00000000-0004-0000-0400-0000BF130000}"/>
    <hyperlink ref="I2530" r:id="rId5057" xr:uid="{00000000-0004-0000-0400-0000C0130000}"/>
    <hyperlink ref="J2530" r:id="rId5058" xr:uid="{00000000-0004-0000-0400-0000C1130000}"/>
    <hyperlink ref="I2531" r:id="rId5059" xr:uid="{00000000-0004-0000-0400-0000C2130000}"/>
    <hyperlink ref="J2531" r:id="rId5060" xr:uid="{00000000-0004-0000-0400-0000C3130000}"/>
    <hyperlink ref="I2532" r:id="rId5061" xr:uid="{00000000-0004-0000-0400-0000C4130000}"/>
    <hyperlink ref="J2532" r:id="rId5062" xr:uid="{00000000-0004-0000-0400-0000C5130000}"/>
    <hyperlink ref="I2533" r:id="rId5063" xr:uid="{00000000-0004-0000-0400-0000C6130000}"/>
    <hyperlink ref="J2533" r:id="rId5064" xr:uid="{00000000-0004-0000-0400-0000C7130000}"/>
    <hyperlink ref="I2534" r:id="rId5065" xr:uid="{00000000-0004-0000-0400-0000C8130000}"/>
    <hyperlink ref="J2534" r:id="rId5066" xr:uid="{00000000-0004-0000-0400-0000C9130000}"/>
    <hyperlink ref="I2535" r:id="rId5067" xr:uid="{00000000-0004-0000-0400-0000CA130000}"/>
    <hyperlink ref="J2535" r:id="rId5068" xr:uid="{00000000-0004-0000-0400-0000CB130000}"/>
    <hyperlink ref="I2536" r:id="rId5069" xr:uid="{00000000-0004-0000-0400-0000CC130000}"/>
    <hyperlink ref="J2536" r:id="rId5070" xr:uid="{00000000-0004-0000-0400-0000CD130000}"/>
    <hyperlink ref="I2537" r:id="rId5071" xr:uid="{00000000-0004-0000-0400-0000CE130000}"/>
    <hyperlink ref="J2537" r:id="rId5072" xr:uid="{00000000-0004-0000-0400-0000CF130000}"/>
    <hyperlink ref="I2538" r:id="rId5073" xr:uid="{00000000-0004-0000-0400-0000D0130000}"/>
    <hyperlink ref="J2538" r:id="rId5074" xr:uid="{00000000-0004-0000-0400-0000D1130000}"/>
    <hyperlink ref="I2539" r:id="rId5075" xr:uid="{00000000-0004-0000-0400-0000D2130000}"/>
    <hyperlink ref="J2539" r:id="rId5076" xr:uid="{00000000-0004-0000-0400-0000D3130000}"/>
    <hyperlink ref="I2540" r:id="rId5077" xr:uid="{00000000-0004-0000-0400-0000D4130000}"/>
    <hyperlink ref="J2540" r:id="rId5078" xr:uid="{00000000-0004-0000-0400-0000D5130000}"/>
    <hyperlink ref="I2541" r:id="rId5079" xr:uid="{00000000-0004-0000-0400-0000D6130000}"/>
    <hyperlink ref="J2541" r:id="rId5080" xr:uid="{00000000-0004-0000-0400-0000D7130000}"/>
    <hyperlink ref="I2542" r:id="rId5081" xr:uid="{00000000-0004-0000-0400-0000D8130000}"/>
    <hyperlink ref="J2542" r:id="rId5082" xr:uid="{00000000-0004-0000-0400-0000D9130000}"/>
    <hyperlink ref="I2543" r:id="rId5083" xr:uid="{00000000-0004-0000-0400-0000DA130000}"/>
    <hyperlink ref="J2543" r:id="rId5084" xr:uid="{00000000-0004-0000-0400-0000DB130000}"/>
    <hyperlink ref="I2544" r:id="rId5085" xr:uid="{00000000-0004-0000-0400-0000DC130000}"/>
    <hyperlink ref="J2544" r:id="rId5086" xr:uid="{00000000-0004-0000-0400-0000DD130000}"/>
    <hyperlink ref="I2545" r:id="rId5087" xr:uid="{00000000-0004-0000-0400-0000DE130000}"/>
    <hyperlink ref="J2545" r:id="rId5088" xr:uid="{00000000-0004-0000-0400-0000DF130000}"/>
    <hyperlink ref="I2546" r:id="rId5089" xr:uid="{00000000-0004-0000-0400-0000E0130000}"/>
    <hyperlink ref="J2546" r:id="rId5090" xr:uid="{00000000-0004-0000-0400-0000E1130000}"/>
    <hyperlink ref="I2547" r:id="rId5091" xr:uid="{00000000-0004-0000-0400-0000E2130000}"/>
    <hyperlink ref="J2547" r:id="rId5092" xr:uid="{00000000-0004-0000-0400-0000E3130000}"/>
    <hyperlink ref="I2548" r:id="rId5093" xr:uid="{00000000-0004-0000-0400-0000E4130000}"/>
    <hyperlink ref="J2548" r:id="rId5094" xr:uid="{00000000-0004-0000-0400-0000E5130000}"/>
    <hyperlink ref="I2549" r:id="rId5095" xr:uid="{00000000-0004-0000-0400-0000E6130000}"/>
    <hyperlink ref="J2549" r:id="rId5096" xr:uid="{00000000-0004-0000-0400-0000E7130000}"/>
    <hyperlink ref="I2550" r:id="rId5097" xr:uid="{00000000-0004-0000-0400-0000E8130000}"/>
    <hyperlink ref="J2550" r:id="rId5098" xr:uid="{00000000-0004-0000-0400-0000E9130000}"/>
    <hyperlink ref="I2551" r:id="rId5099" xr:uid="{00000000-0004-0000-0400-0000EA130000}"/>
    <hyperlink ref="J2551" r:id="rId5100" xr:uid="{00000000-0004-0000-0400-0000EB130000}"/>
    <hyperlink ref="I2552" r:id="rId5101" xr:uid="{00000000-0004-0000-0400-0000EC130000}"/>
    <hyperlink ref="J2552" r:id="rId5102" xr:uid="{00000000-0004-0000-0400-0000ED130000}"/>
    <hyperlink ref="I2553" r:id="rId5103" xr:uid="{00000000-0004-0000-0400-0000EE130000}"/>
    <hyperlink ref="J2553" r:id="rId5104" xr:uid="{00000000-0004-0000-0400-0000EF130000}"/>
    <hyperlink ref="I2554" r:id="rId5105" xr:uid="{00000000-0004-0000-0400-0000F0130000}"/>
    <hyperlink ref="J2554" r:id="rId5106" xr:uid="{00000000-0004-0000-0400-0000F1130000}"/>
    <hyperlink ref="I2555" r:id="rId5107" xr:uid="{00000000-0004-0000-0400-0000F2130000}"/>
    <hyperlink ref="J2555" r:id="rId5108" xr:uid="{00000000-0004-0000-0400-0000F3130000}"/>
    <hyperlink ref="I2556" r:id="rId5109" xr:uid="{00000000-0004-0000-0400-0000F4130000}"/>
    <hyperlink ref="J2556" r:id="rId5110" xr:uid="{00000000-0004-0000-0400-0000F5130000}"/>
    <hyperlink ref="I2557" r:id="rId5111" xr:uid="{00000000-0004-0000-0400-0000F6130000}"/>
    <hyperlink ref="J2557" r:id="rId5112" xr:uid="{00000000-0004-0000-0400-0000F7130000}"/>
    <hyperlink ref="I2558" r:id="rId5113" xr:uid="{00000000-0004-0000-0400-0000F8130000}"/>
    <hyperlink ref="J2558" r:id="rId5114" xr:uid="{00000000-0004-0000-0400-0000F9130000}"/>
    <hyperlink ref="I2559" r:id="rId5115" xr:uid="{00000000-0004-0000-0400-0000FA130000}"/>
    <hyperlink ref="J2559" r:id="rId5116" xr:uid="{00000000-0004-0000-0400-0000FB130000}"/>
    <hyperlink ref="I2560" r:id="rId5117" xr:uid="{00000000-0004-0000-0400-0000FC130000}"/>
    <hyperlink ref="J2560" r:id="rId5118" xr:uid="{00000000-0004-0000-0400-0000FD130000}"/>
    <hyperlink ref="I2561" r:id="rId5119" xr:uid="{00000000-0004-0000-0400-0000FE130000}"/>
    <hyperlink ref="J2561" r:id="rId5120" xr:uid="{00000000-0004-0000-0400-0000FF130000}"/>
    <hyperlink ref="I2562" r:id="rId5121" xr:uid="{00000000-0004-0000-0400-000000140000}"/>
    <hyperlink ref="J2562" r:id="rId5122" xr:uid="{00000000-0004-0000-0400-000001140000}"/>
    <hyperlink ref="I2563" r:id="rId5123" xr:uid="{00000000-0004-0000-0400-000002140000}"/>
    <hyperlink ref="J2563" r:id="rId5124" xr:uid="{00000000-0004-0000-0400-000003140000}"/>
    <hyperlink ref="I2564" r:id="rId5125" xr:uid="{00000000-0004-0000-0400-000004140000}"/>
    <hyperlink ref="J2564" r:id="rId5126" xr:uid="{00000000-0004-0000-0400-000005140000}"/>
    <hyperlink ref="I2565" r:id="rId5127" xr:uid="{00000000-0004-0000-0400-000006140000}"/>
    <hyperlink ref="J2565" r:id="rId5128" xr:uid="{00000000-0004-0000-0400-000007140000}"/>
    <hyperlink ref="I2566" r:id="rId5129" xr:uid="{00000000-0004-0000-0400-000008140000}"/>
    <hyperlink ref="J2566" r:id="rId5130" xr:uid="{00000000-0004-0000-0400-000009140000}"/>
    <hyperlink ref="I2567" r:id="rId5131" xr:uid="{00000000-0004-0000-0400-00000A140000}"/>
    <hyperlink ref="J2567" r:id="rId5132" xr:uid="{00000000-0004-0000-0400-00000B140000}"/>
    <hyperlink ref="I2568" r:id="rId5133" xr:uid="{00000000-0004-0000-0400-00000C140000}"/>
    <hyperlink ref="J2568" r:id="rId5134" xr:uid="{00000000-0004-0000-0400-00000D140000}"/>
    <hyperlink ref="I2569" r:id="rId5135" xr:uid="{00000000-0004-0000-0400-00000E140000}"/>
    <hyperlink ref="J2569" r:id="rId5136" xr:uid="{00000000-0004-0000-0400-00000F140000}"/>
    <hyperlink ref="I2570" r:id="rId5137" xr:uid="{00000000-0004-0000-0400-000010140000}"/>
    <hyperlink ref="J2570" r:id="rId5138" xr:uid="{00000000-0004-0000-0400-000011140000}"/>
    <hyperlink ref="I2571" r:id="rId5139" xr:uid="{00000000-0004-0000-0400-000012140000}"/>
    <hyperlink ref="J2571" r:id="rId5140" xr:uid="{00000000-0004-0000-0400-000013140000}"/>
    <hyperlink ref="I2572" r:id="rId5141" xr:uid="{00000000-0004-0000-0400-000014140000}"/>
    <hyperlink ref="J2572" r:id="rId5142" xr:uid="{00000000-0004-0000-0400-000015140000}"/>
    <hyperlink ref="I2573" r:id="rId5143" xr:uid="{00000000-0004-0000-0400-000016140000}"/>
    <hyperlink ref="J2573" r:id="rId5144" xr:uid="{00000000-0004-0000-0400-000017140000}"/>
    <hyperlink ref="I2574" r:id="rId5145" xr:uid="{00000000-0004-0000-0400-000018140000}"/>
    <hyperlink ref="J2574" r:id="rId5146" xr:uid="{00000000-0004-0000-0400-000019140000}"/>
    <hyperlink ref="I2575" r:id="rId5147" xr:uid="{00000000-0004-0000-0400-00001A140000}"/>
    <hyperlink ref="J2575" r:id="rId5148" xr:uid="{00000000-0004-0000-0400-00001B140000}"/>
    <hyperlink ref="I2576" r:id="rId5149" xr:uid="{00000000-0004-0000-0400-00001C140000}"/>
    <hyperlink ref="J2576" r:id="rId5150" xr:uid="{00000000-0004-0000-0400-00001D140000}"/>
    <hyperlink ref="I2577" r:id="rId5151" xr:uid="{00000000-0004-0000-0400-00001E140000}"/>
    <hyperlink ref="J2577" r:id="rId5152" xr:uid="{00000000-0004-0000-0400-00001F140000}"/>
    <hyperlink ref="I2578" r:id="rId5153" xr:uid="{00000000-0004-0000-0400-000020140000}"/>
    <hyperlink ref="J2578" r:id="rId5154" xr:uid="{00000000-0004-0000-0400-000021140000}"/>
    <hyperlink ref="I2579" r:id="rId5155" xr:uid="{00000000-0004-0000-0400-000022140000}"/>
    <hyperlink ref="J2579" r:id="rId5156" xr:uid="{00000000-0004-0000-0400-000023140000}"/>
    <hyperlink ref="I2580" r:id="rId5157" xr:uid="{00000000-0004-0000-0400-000024140000}"/>
    <hyperlink ref="J2580" r:id="rId5158" xr:uid="{00000000-0004-0000-0400-000025140000}"/>
    <hyperlink ref="I2581" r:id="rId5159" xr:uid="{00000000-0004-0000-0400-000026140000}"/>
    <hyperlink ref="J2581" r:id="rId5160" xr:uid="{00000000-0004-0000-0400-000027140000}"/>
    <hyperlink ref="I2582" r:id="rId5161" xr:uid="{00000000-0004-0000-0400-000028140000}"/>
    <hyperlink ref="J2582" r:id="rId5162" xr:uid="{00000000-0004-0000-0400-000029140000}"/>
    <hyperlink ref="I2583" r:id="rId5163" xr:uid="{00000000-0004-0000-0400-00002A140000}"/>
    <hyperlink ref="J2583" r:id="rId5164" xr:uid="{00000000-0004-0000-0400-00002B140000}"/>
    <hyperlink ref="I2584" r:id="rId5165" xr:uid="{00000000-0004-0000-0400-00002C140000}"/>
    <hyperlink ref="J2584" r:id="rId5166" xr:uid="{00000000-0004-0000-0400-00002D140000}"/>
    <hyperlink ref="I2585" r:id="rId5167" xr:uid="{00000000-0004-0000-0400-00002E140000}"/>
    <hyperlink ref="J2585" r:id="rId5168" xr:uid="{00000000-0004-0000-0400-00002F140000}"/>
    <hyperlink ref="I2586" r:id="rId5169" xr:uid="{00000000-0004-0000-0400-000030140000}"/>
    <hyperlink ref="J2586" r:id="rId5170" xr:uid="{00000000-0004-0000-0400-000031140000}"/>
    <hyperlink ref="I2587" r:id="rId5171" xr:uid="{00000000-0004-0000-0400-000032140000}"/>
    <hyperlink ref="J2587" r:id="rId5172" xr:uid="{00000000-0004-0000-0400-000033140000}"/>
    <hyperlink ref="I2588" r:id="rId5173" xr:uid="{00000000-0004-0000-0400-000034140000}"/>
    <hyperlink ref="J2588" r:id="rId5174" xr:uid="{00000000-0004-0000-0400-000035140000}"/>
    <hyperlink ref="I2589" r:id="rId5175" xr:uid="{00000000-0004-0000-0400-000036140000}"/>
    <hyperlink ref="J2589" r:id="rId5176" xr:uid="{00000000-0004-0000-0400-000037140000}"/>
    <hyperlink ref="I2590" r:id="rId5177" xr:uid="{00000000-0004-0000-0400-000038140000}"/>
    <hyperlink ref="J2590" r:id="rId5178" xr:uid="{00000000-0004-0000-0400-000039140000}"/>
    <hyperlink ref="I2591" r:id="rId5179" xr:uid="{00000000-0004-0000-0400-00003A140000}"/>
    <hyperlink ref="J2591" r:id="rId5180" xr:uid="{00000000-0004-0000-0400-00003B140000}"/>
    <hyperlink ref="I2592" r:id="rId5181" xr:uid="{00000000-0004-0000-0400-00003C140000}"/>
    <hyperlink ref="J2592" r:id="rId5182" xr:uid="{00000000-0004-0000-0400-00003D140000}"/>
    <hyperlink ref="I2593" r:id="rId5183" xr:uid="{00000000-0004-0000-0400-00003E140000}"/>
    <hyperlink ref="J2593" r:id="rId5184" xr:uid="{00000000-0004-0000-0400-00003F140000}"/>
    <hyperlink ref="I2594" r:id="rId5185" xr:uid="{00000000-0004-0000-0400-000040140000}"/>
    <hyperlink ref="J2594" r:id="rId5186" xr:uid="{00000000-0004-0000-0400-000041140000}"/>
    <hyperlink ref="I2595" r:id="rId5187" xr:uid="{00000000-0004-0000-0400-000042140000}"/>
    <hyperlink ref="J2595" r:id="rId5188" xr:uid="{00000000-0004-0000-0400-000043140000}"/>
    <hyperlink ref="I2596" r:id="rId5189" xr:uid="{00000000-0004-0000-0400-000044140000}"/>
    <hyperlink ref="J2596" r:id="rId5190" xr:uid="{00000000-0004-0000-0400-000045140000}"/>
    <hyperlink ref="I2597" r:id="rId5191" xr:uid="{00000000-0004-0000-0400-000046140000}"/>
    <hyperlink ref="J2597" r:id="rId5192" xr:uid="{00000000-0004-0000-0400-000047140000}"/>
    <hyperlink ref="I2598" r:id="rId5193" xr:uid="{00000000-0004-0000-0400-000048140000}"/>
    <hyperlink ref="J2598" r:id="rId5194" xr:uid="{00000000-0004-0000-0400-000049140000}"/>
    <hyperlink ref="I2599" r:id="rId5195" xr:uid="{00000000-0004-0000-0400-00004A140000}"/>
    <hyperlink ref="J2599" r:id="rId5196" xr:uid="{00000000-0004-0000-0400-00004B140000}"/>
    <hyperlink ref="I2600" r:id="rId5197" xr:uid="{00000000-0004-0000-0400-00004C140000}"/>
    <hyperlink ref="J2600" r:id="rId5198" xr:uid="{00000000-0004-0000-0400-00004D140000}"/>
    <hyperlink ref="I2601" r:id="rId5199" xr:uid="{00000000-0004-0000-0400-00004E140000}"/>
    <hyperlink ref="J2601" r:id="rId5200" xr:uid="{00000000-0004-0000-0400-00004F140000}"/>
    <hyperlink ref="I2602" r:id="rId5201" xr:uid="{00000000-0004-0000-0400-000050140000}"/>
    <hyperlink ref="J2602" r:id="rId5202" xr:uid="{00000000-0004-0000-0400-000051140000}"/>
    <hyperlink ref="I2603" r:id="rId5203" xr:uid="{00000000-0004-0000-0400-000052140000}"/>
    <hyperlink ref="J2603" r:id="rId5204" xr:uid="{00000000-0004-0000-0400-000053140000}"/>
    <hyperlink ref="I2604" r:id="rId5205" xr:uid="{00000000-0004-0000-0400-000054140000}"/>
    <hyperlink ref="J2604" r:id="rId5206" xr:uid="{00000000-0004-0000-0400-000055140000}"/>
    <hyperlink ref="I2605" r:id="rId5207" xr:uid="{00000000-0004-0000-0400-000056140000}"/>
    <hyperlink ref="J2605" r:id="rId5208" xr:uid="{00000000-0004-0000-0400-000057140000}"/>
    <hyperlink ref="I2606" r:id="rId5209" xr:uid="{00000000-0004-0000-0400-000058140000}"/>
    <hyperlink ref="J2606" r:id="rId5210" xr:uid="{00000000-0004-0000-0400-000059140000}"/>
    <hyperlink ref="I2607" r:id="rId5211" xr:uid="{00000000-0004-0000-0400-00005A140000}"/>
    <hyperlink ref="J2607" r:id="rId5212" xr:uid="{00000000-0004-0000-0400-00005B140000}"/>
    <hyperlink ref="I2608" r:id="rId5213" xr:uid="{00000000-0004-0000-0400-00005C140000}"/>
    <hyperlink ref="J2608" r:id="rId5214" xr:uid="{00000000-0004-0000-0400-00005D140000}"/>
    <hyperlink ref="I2609" r:id="rId5215" xr:uid="{00000000-0004-0000-0400-00005E140000}"/>
    <hyperlink ref="J2609" r:id="rId5216" xr:uid="{00000000-0004-0000-0400-00005F140000}"/>
    <hyperlink ref="I2610" r:id="rId5217" xr:uid="{00000000-0004-0000-0400-000060140000}"/>
    <hyperlink ref="J2610" r:id="rId5218" xr:uid="{00000000-0004-0000-0400-000061140000}"/>
    <hyperlink ref="I2611" r:id="rId5219" xr:uid="{00000000-0004-0000-0400-000062140000}"/>
    <hyperlink ref="J2611" r:id="rId5220" xr:uid="{00000000-0004-0000-0400-000063140000}"/>
    <hyperlink ref="I2612" r:id="rId5221" xr:uid="{00000000-0004-0000-0400-000064140000}"/>
    <hyperlink ref="J2612" r:id="rId5222" xr:uid="{00000000-0004-0000-0400-000065140000}"/>
    <hyperlink ref="I2613" r:id="rId5223" xr:uid="{00000000-0004-0000-0400-000066140000}"/>
    <hyperlink ref="J2613" r:id="rId5224" xr:uid="{00000000-0004-0000-0400-000067140000}"/>
    <hyperlink ref="I2614" r:id="rId5225" xr:uid="{00000000-0004-0000-0400-000068140000}"/>
    <hyperlink ref="J2614" r:id="rId5226" xr:uid="{00000000-0004-0000-0400-000069140000}"/>
    <hyperlink ref="I2615" r:id="rId5227" xr:uid="{00000000-0004-0000-0400-00006A140000}"/>
    <hyperlink ref="J2615" r:id="rId5228" xr:uid="{00000000-0004-0000-0400-00006B140000}"/>
    <hyperlink ref="I2616" r:id="rId5229" xr:uid="{00000000-0004-0000-0400-00006C140000}"/>
    <hyperlink ref="J2616" r:id="rId5230" xr:uid="{00000000-0004-0000-0400-00006D140000}"/>
    <hyperlink ref="I2617" r:id="rId5231" xr:uid="{00000000-0004-0000-0400-00006E140000}"/>
    <hyperlink ref="J2617" r:id="rId5232" xr:uid="{00000000-0004-0000-0400-00006F140000}"/>
    <hyperlink ref="I2618" r:id="rId5233" xr:uid="{00000000-0004-0000-0400-000070140000}"/>
    <hyperlink ref="J2618" r:id="rId5234" xr:uid="{00000000-0004-0000-0400-000071140000}"/>
    <hyperlink ref="I2619" r:id="rId5235" xr:uid="{00000000-0004-0000-0400-000072140000}"/>
    <hyperlink ref="J2619" r:id="rId5236" xr:uid="{00000000-0004-0000-0400-000073140000}"/>
    <hyperlink ref="I2620" r:id="rId5237" xr:uid="{00000000-0004-0000-0400-000074140000}"/>
    <hyperlink ref="J2620" r:id="rId5238" xr:uid="{00000000-0004-0000-0400-000075140000}"/>
    <hyperlink ref="I2621" r:id="rId5239" xr:uid="{00000000-0004-0000-0400-000076140000}"/>
    <hyperlink ref="J2621" r:id="rId5240" xr:uid="{00000000-0004-0000-0400-000077140000}"/>
    <hyperlink ref="I2622" r:id="rId5241" xr:uid="{00000000-0004-0000-0400-000078140000}"/>
    <hyperlink ref="J2622" r:id="rId5242" xr:uid="{00000000-0004-0000-0400-000079140000}"/>
    <hyperlink ref="I2623" r:id="rId5243" xr:uid="{00000000-0004-0000-0400-00007A140000}"/>
    <hyperlink ref="J2623" r:id="rId5244" xr:uid="{00000000-0004-0000-0400-00007B140000}"/>
    <hyperlink ref="I2624" r:id="rId5245" xr:uid="{00000000-0004-0000-0400-00007C140000}"/>
    <hyperlink ref="J2624" r:id="rId5246" xr:uid="{00000000-0004-0000-0400-00007D140000}"/>
    <hyperlink ref="I2625" r:id="rId5247" xr:uid="{00000000-0004-0000-0400-00007E140000}"/>
    <hyperlink ref="J2625" r:id="rId5248" xr:uid="{00000000-0004-0000-0400-00007F140000}"/>
    <hyperlink ref="I2626" r:id="rId5249" xr:uid="{00000000-0004-0000-0400-000080140000}"/>
    <hyperlink ref="J2626" r:id="rId5250" xr:uid="{00000000-0004-0000-0400-000081140000}"/>
    <hyperlink ref="I2627" r:id="rId5251" xr:uid="{00000000-0004-0000-0400-000082140000}"/>
    <hyperlink ref="J2627" r:id="rId5252" xr:uid="{00000000-0004-0000-0400-000083140000}"/>
    <hyperlink ref="I2628" r:id="rId5253" xr:uid="{00000000-0004-0000-0400-000084140000}"/>
    <hyperlink ref="J2628" r:id="rId5254" xr:uid="{00000000-0004-0000-0400-000085140000}"/>
    <hyperlink ref="I2629" r:id="rId5255" xr:uid="{00000000-0004-0000-0400-000086140000}"/>
    <hyperlink ref="J2629" r:id="rId5256" xr:uid="{00000000-0004-0000-0400-000087140000}"/>
    <hyperlink ref="I2630" r:id="rId5257" xr:uid="{00000000-0004-0000-0400-000088140000}"/>
    <hyperlink ref="J2630" r:id="rId5258" xr:uid="{00000000-0004-0000-0400-000089140000}"/>
    <hyperlink ref="I2631" r:id="rId5259" xr:uid="{00000000-0004-0000-0400-00008A140000}"/>
    <hyperlink ref="J2631" r:id="rId5260" xr:uid="{00000000-0004-0000-0400-00008B140000}"/>
    <hyperlink ref="I2632" r:id="rId5261" xr:uid="{00000000-0004-0000-0400-00008C140000}"/>
    <hyperlink ref="J2632" r:id="rId5262" xr:uid="{00000000-0004-0000-0400-00008D140000}"/>
    <hyperlink ref="I2633" r:id="rId5263" xr:uid="{00000000-0004-0000-0400-00008E140000}"/>
    <hyperlink ref="J2633" r:id="rId5264" xr:uid="{00000000-0004-0000-0400-00008F140000}"/>
    <hyperlink ref="I2634" r:id="rId5265" xr:uid="{00000000-0004-0000-0400-000090140000}"/>
    <hyperlink ref="J2634" r:id="rId5266" xr:uid="{00000000-0004-0000-0400-000091140000}"/>
    <hyperlink ref="I2635" r:id="rId5267" xr:uid="{00000000-0004-0000-0400-000092140000}"/>
    <hyperlink ref="J2635" r:id="rId5268" xr:uid="{00000000-0004-0000-0400-000093140000}"/>
    <hyperlink ref="I2636" r:id="rId5269" xr:uid="{00000000-0004-0000-0400-000094140000}"/>
    <hyperlink ref="J2636" r:id="rId5270" xr:uid="{00000000-0004-0000-0400-000095140000}"/>
    <hyperlink ref="I2637" r:id="rId5271" xr:uid="{00000000-0004-0000-0400-000096140000}"/>
    <hyperlink ref="J2637" r:id="rId5272" xr:uid="{00000000-0004-0000-0400-000097140000}"/>
    <hyperlink ref="I2638" r:id="rId5273" xr:uid="{00000000-0004-0000-0400-000098140000}"/>
    <hyperlink ref="J2638" r:id="rId5274" xr:uid="{00000000-0004-0000-0400-000099140000}"/>
    <hyperlink ref="I2639" r:id="rId5275" xr:uid="{00000000-0004-0000-0400-00009A140000}"/>
    <hyperlink ref="J2639" r:id="rId5276" xr:uid="{00000000-0004-0000-0400-00009B140000}"/>
    <hyperlink ref="I2640" r:id="rId5277" xr:uid="{00000000-0004-0000-0400-00009C140000}"/>
    <hyperlink ref="J2640" r:id="rId5278" xr:uid="{00000000-0004-0000-0400-00009D140000}"/>
    <hyperlink ref="I2641" r:id="rId5279" xr:uid="{00000000-0004-0000-0400-00009E140000}"/>
    <hyperlink ref="J2641" r:id="rId5280" xr:uid="{00000000-0004-0000-0400-00009F140000}"/>
    <hyperlink ref="I2642" r:id="rId5281" xr:uid="{00000000-0004-0000-0400-0000A0140000}"/>
    <hyperlink ref="J2642" r:id="rId5282" xr:uid="{00000000-0004-0000-0400-0000A1140000}"/>
    <hyperlink ref="I2643" r:id="rId5283" xr:uid="{00000000-0004-0000-0400-0000A2140000}"/>
    <hyperlink ref="J2643" r:id="rId5284" xr:uid="{00000000-0004-0000-0400-0000A3140000}"/>
    <hyperlink ref="I2644" r:id="rId5285" xr:uid="{00000000-0004-0000-0400-0000A4140000}"/>
    <hyperlink ref="J2644" r:id="rId5286" xr:uid="{00000000-0004-0000-0400-0000A5140000}"/>
    <hyperlink ref="I2645" r:id="rId5287" xr:uid="{00000000-0004-0000-0400-0000A6140000}"/>
    <hyperlink ref="J2645" r:id="rId5288" xr:uid="{00000000-0004-0000-0400-0000A7140000}"/>
    <hyperlink ref="I2646" r:id="rId5289" xr:uid="{00000000-0004-0000-0400-0000A8140000}"/>
    <hyperlink ref="J2646" r:id="rId5290" xr:uid="{00000000-0004-0000-0400-0000A9140000}"/>
    <hyperlink ref="I2647" r:id="rId5291" xr:uid="{00000000-0004-0000-0400-0000AA140000}"/>
    <hyperlink ref="J2647" r:id="rId5292" xr:uid="{00000000-0004-0000-0400-0000AB140000}"/>
    <hyperlink ref="I2648" r:id="rId5293" xr:uid="{00000000-0004-0000-0400-0000AC140000}"/>
    <hyperlink ref="J2648" r:id="rId5294" xr:uid="{00000000-0004-0000-0400-0000AD140000}"/>
    <hyperlink ref="I2649" r:id="rId5295" xr:uid="{00000000-0004-0000-0400-0000AE140000}"/>
    <hyperlink ref="J2649" r:id="rId5296" xr:uid="{00000000-0004-0000-0400-0000AF140000}"/>
    <hyperlink ref="I2650" r:id="rId5297" xr:uid="{00000000-0004-0000-0400-0000B0140000}"/>
    <hyperlink ref="J2650" r:id="rId5298" xr:uid="{00000000-0004-0000-0400-0000B1140000}"/>
    <hyperlink ref="I2651" r:id="rId5299" xr:uid="{00000000-0004-0000-0400-0000B2140000}"/>
    <hyperlink ref="J2651" r:id="rId5300" xr:uid="{00000000-0004-0000-0400-0000B3140000}"/>
    <hyperlink ref="I2652" r:id="rId5301" xr:uid="{00000000-0004-0000-0400-0000B4140000}"/>
    <hyperlink ref="J2652" r:id="rId5302" xr:uid="{00000000-0004-0000-0400-0000B5140000}"/>
    <hyperlink ref="I2653" r:id="rId5303" xr:uid="{00000000-0004-0000-0400-0000B6140000}"/>
    <hyperlink ref="J2653" r:id="rId5304" xr:uid="{00000000-0004-0000-0400-0000B7140000}"/>
    <hyperlink ref="I2654" r:id="rId5305" xr:uid="{00000000-0004-0000-0400-0000B8140000}"/>
    <hyperlink ref="J2654" r:id="rId5306" xr:uid="{00000000-0004-0000-0400-0000B9140000}"/>
    <hyperlink ref="I2655" r:id="rId5307" xr:uid="{00000000-0004-0000-0400-0000BA140000}"/>
    <hyperlink ref="J2655" r:id="rId5308" xr:uid="{00000000-0004-0000-0400-0000BB140000}"/>
    <hyperlink ref="I2656" r:id="rId5309" xr:uid="{00000000-0004-0000-0400-0000BC140000}"/>
    <hyperlink ref="J2656" r:id="rId5310" xr:uid="{00000000-0004-0000-0400-0000BD140000}"/>
    <hyperlink ref="I2657" r:id="rId5311" xr:uid="{00000000-0004-0000-0400-0000BE140000}"/>
    <hyperlink ref="J2657" r:id="rId5312" xr:uid="{00000000-0004-0000-0400-0000BF140000}"/>
    <hyperlink ref="I2658" r:id="rId5313" xr:uid="{00000000-0004-0000-0400-0000C0140000}"/>
    <hyperlink ref="J2658" r:id="rId5314" xr:uid="{00000000-0004-0000-0400-0000C1140000}"/>
    <hyperlink ref="I2659" r:id="rId5315" xr:uid="{00000000-0004-0000-0400-0000C2140000}"/>
    <hyperlink ref="J2659" r:id="rId5316" xr:uid="{00000000-0004-0000-0400-0000C3140000}"/>
    <hyperlink ref="I2660" r:id="rId5317" xr:uid="{00000000-0004-0000-0400-0000C4140000}"/>
    <hyperlink ref="J2660" r:id="rId5318" xr:uid="{00000000-0004-0000-0400-0000C5140000}"/>
    <hyperlink ref="I2661" r:id="rId5319" xr:uid="{00000000-0004-0000-0400-0000C6140000}"/>
    <hyperlink ref="J2661" r:id="rId5320" xr:uid="{00000000-0004-0000-0400-0000C7140000}"/>
    <hyperlink ref="I2662" r:id="rId5321" xr:uid="{00000000-0004-0000-0400-0000C8140000}"/>
    <hyperlink ref="J2662" r:id="rId5322" xr:uid="{00000000-0004-0000-0400-0000C9140000}"/>
    <hyperlink ref="I2663" r:id="rId5323" xr:uid="{00000000-0004-0000-0400-0000CA140000}"/>
    <hyperlink ref="J2663" r:id="rId5324" xr:uid="{00000000-0004-0000-0400-0000CB140000}"/>
    <hyperlink ref="I2664" r:id="rId5325" xr:uid="{00000000-0004-0000-0400-0000CC140000}"/>
    <hyperlink ref="J2664" r:id="rId5326" xr:uid="{00000000-0004-0000-0400-0000CD140000}"/>
    <hyperlink ref="I2665" r:id="rId5327" xr:uid="{00000000-0004-0000-0400-0000CE140000}"/>
    <hyperlink ref="J2665" r:id="rId5328" xr:uid="{00000000-0004-0000-0400-0000CF140000}"/>
    <hyperlink ref="I2666" r:id="rId5329" xr:uid="{00000000-0004-0000-0400-0000D0140000}"/>
    <hyperlink ref="J2666" r:id="rId5330" xr:uid="{00000000-0004-0000-0400-0000D1140000}"/>
    <hyperlink ref="I2667" r:id="rId5331" xr:uid="{00000000-0004-0000-0400-0000D2140000}"/>
    <hyperlink ref="J2667" r:id="rId5332" xr:uid="{00000000-0004-0000-0400-0000D3140000}"/>
    <hyperlink ref="I2668" r:id="rId5333" xr:uid="{00000000-0004-0000-0400-0000D4140000}"/>
    <hyperlink ref="J2668" r:id="rId5334" xr:uid="{00000000-0004-0000-0400-0000D5140000}"/>
    <hyperlink ref="I2669" r:id="rId5335" xr:uid="{00000000-0004-0000-0400-0000D6140000}"/>
    <hyperlink ref="J2669" r:id="rId5336" xr:uid="{00000000-0004-0000-0400-0000D7140000}"/>
    <hyperlink ref="I2670" r:id="rId5337" xr:uid="{00000000-0004-0000-0400-0000D8140000}"/>
    <hyperlink ref="J2670" r:id="rId5338" xr:uid="{00000000-0004-0000-0400-0000D9140000}"/>
    <hyperlink ref="I2671" r:id="rId5339" xr:uid="{00000000-0004-0000-0400-0000DA140000}"/>
    <hyperlink ref="J2671" r:id="rId5340" xr:uid="{00000000-0004-0000-0400-0000DB140000}"/>
    <hyperlink ref="I2672" r:id="rId5341" xr:uid="{00000000-0004-0000-0400-0000DC140000}"/>
    <hyperlink ref="J2672" r:id="rId5342" xr:uid="{00000000-0004-0000-0400-0000DD140000}"/>
    <hyperlink ref="I2673" r:id="rId5343" xr:uid="{00000000-0004-0000-0400-0000DE140000}"/>
    <hyperlink ref="J2673" r:id="rId5344" xr:uid="{00000000-0004-0000-0400-0000DF140000}"/>
    <hyperlink ref="I2674" r:id="rId5345" xr:uid="{00000000-0004-0000-0400-0000E0140000}"/>
    <hyperlink ref="J2674" r:id="rId5346" xr:uid="{00000000-0004-0000-0400-0000E1140000}"/>
    <hyperlink ref="I2675" r:id="rId5347" xr:uid="{00000000-0004-0000-0400-0000E2140000}"/>
    <hyperlink ref="J2675" r:id="rId5348" xr:uid="{00000000-0004-0000-0400-0000E3140000}"/>
    <hyperlink ref="I2676" r:id="rId5349" xr:uid="{00000000-0004-0000-0400-0000E4140000}"/>
    <hyperlink ref="J2676" r:id="rId5350" xr:uid="{00000000-0004-0000-0400-0000E5140000}"/>
    <hyperlink ref="I2677" r:id="rId5351" xr:uid="{00000000-0004-0000-0400-0000E6140000}"/>
    <hyperlink ref="J2677" r:id="rId5352" xr:uid="{00000000-0004-0000-0400-0000E7140000}"/>
    <hyperlink ref="I2678" r:id="rId5353" xr:uid="{00000000-0004-0000-0400-0000E8140000}"/>
    <hyperlink ref="J2678" r:id="rId5354" xr:uid="{00000000-0004-0000-0400-0000E9140000}"/>
    <hyperlink ref="I2679" r:id="rId5355" xr:uid="{00000000-0004-0000-0400-0000EA140000}"/>
    <hyperlink ref="J2679" r:id="rId5356" xr:uid="{00000000-0004-0000-0400-0000EB140000}"/>
    <hyperlink ref="I2680" r:id="rId5357" xr:uid="{00000000-0004-0000-0400-0000EC140000}"/>
    <hyperlink ref="J2680" r:id="rId5358" xr:uid="{00000000-0004-0000-0400-0000ED140000}"/>
    <hyperlink ref="I2681" r:id="rId5359" xr:uid="{00000000-0004-0000-0400-0000EE140000}"/>
    <hyperlink ref="J2681" r:id="rId5360" xr:uid="{00000000-0004-0000-0400-0000EF140000}"/>
    <hyperlink ref="I2682" r:id="rId5361" xr:uid="{00000000-0004-0000-0400-0000F0140000}"/>
    <hyperlink ref="J2682" r:id="rId5362" xr:uid="{00000000-0004-0000-0400-0000F1140000}"/>
    <hyperlink ref="I2683" r:id="rId5363" xr:uid="{00000000-0004-0000-0400-0000F2140000}"/>
    <hyperlink ref="J2683" r:id="rId5364" xr:uid="{00000000-0004-0000-0400-0000F3140000}"/>
    <hyperlink ref="I2684" r:id="rId5365" xr:uid="{00000000-0004-0000-0400-0000F4140000}"/>
    <hyperlink ref="J2684" r:id="rId5366" xr:uid="{00000000-0004-0000-0400-0000F5140000}"/>
    <hyperlink ref="I2685" r:id="rId5367" xr:uid="{00000000-0004-0000-0400-0000F6140000}"/>
    <hyperlink ref="J2685" r:id="rId5368" xr:uid="{00000000-0004-0000-0400-0000F7140000}"/>
    <hyperlink ref="I2686" r:id="rId5369" xr:uid="{00000000-0004-0000-0400-0000F8140000}"/>
    <hyperlink ref="J2686" r:id="rId5370" xr:uid="{00000000-0004-0000-0400-0000F9140000}"/>
    <hyperlink ref="I2687" r:id="rId5371" xr:uid="{00000000-0004-0000-0400-0000FA140000}"/>
    <hyperlink ref="J2687" r:id="rId5372" xr:uid="{00000000-0004-0000-0400-0000FB140000}"/>
    <hyperlink ref="I2688" r:id="rId5373" xr:uid="{00000000-0004-0000-0400-0000FC140000}"/>
    <hyperlink ref="J2688" r:id="rId5374" xr:uid="{00000000-0004-0000-0400-0000FD140000}"/>
    <hyperlink ref="I2689" r:id="rId5375" xr:uid="{00000000-0004-0000-0400-0000FE140000}"/>
    <hyperlink ref="J2689" r:id="rId5376" xr:uid="{00000000-0004-0000-0400-0000FF140000}"/>
    <hyperlink ref="I2690" r:id="rId5377" xr:uid="{00000000-0004-0000-0400-000000150000}"/>
    <hyperlink ref="J2690" r:id="rId5378" xr:uid="{00000000-0004-0000-0400-000001150000}"/>
    <hyperlink ref="I2691" r:id="rId5379" xr:uid="{00000000-0004-0000-0400-000002150000}"/>
    <hyperlink ref="J2691" r:id="rId5380" xr:uid="{00000000-0004-0000-0400-000003150000}"/>
    <hyperlink ref="I2692" r:id="rId5381" xr:uid="{00000000-0004-0000-0400-000004150000}"/>
    <hyperlink ref="J2692" r:id="rId5382" xr:uid="{00000000-0004-0000-0400-000005150000}"/>
    <hyperlink ref="I2693" r:id="rId5383" xr:uid="{00000000-0004-0000-0400-000006150000}"/>
    <hyperlink ref="J2693" r:id="rId5384" xr:uid="{00000000-0004-0000-0400-000007150000}"/>
    <hyperlink ref="I2694" r:id="rId5385" xr:uid="{00000000-0004-0000-0400-000008150000}"/>
    <hyperlink ref="J2694" r:id="rId5386" xr:uid="{00000000-0004-0000-0400-000009150000}"/>
    <hyperlink ref="I2695" r:id="rId5387" xr:uid="{00000000-0004-0000-0400-00000A150000}"/>
    <hyperlink ref="J2695" r:id="rId5388" xr:uid="{00000000-0004-0000-0400-00000B150000}"/>
    <hyperlink ref="I2696" r:id="rId5389" xr:uid="{00000000-0004-0000-0400-00000C150000}"/>
    <hyperlink ref="J2696" r:id="rId5390" xr:uid="{00000000-0004-0000-0400-00000D150000}"/>
    <hyperlink ref="I2697" r:id="rId5391" xr:uid="{00000000-0004-0000-0400-00000E150000}"/>
    <hyperlink ref="J2697" r:id="rId5392" xr:uid="{00000000-0004-0000-0400-00000F150000}"/>
    <hyperlink ref="I2698" r:id="rId5393" xr:uid="{00000000-0004-0000-0400-000010150000}"/>
    <hyperlink ref="J2698" r:id="rId5394" xr:uid="{00000000-0004-0000-0400-000011150000}"/>
    <hyperlink ref="I2699" r:id="rId5395" xr:uid="{00000000-0004-0000-0400-000012150000}"/>
    <hyperlink ref="J2699" r:id="rId5396" xr:uid="{00000000-0004-0000-0400-000013150000}"/>
    <hyperlink ref="I2700" r:id="rId5397" xr:uid="{00000000-0004-0000-0400-000014150000}"/>
    <hyperlink ref="J2700" r:id="rId5398" xr:uid="{00000000-0004-0000-0400-000015150000}"/>
    <hyperlink ref="I2701" r:id="rId5399" xr:uid="{00000000-0004-0000-0400-000016150000}"/>
    <hyperlink ref="J2701" r:id="rId5400" xr:uid="{00000000-0004-0000-0400-000017150000}"/>
    <hyperlink ref="I2702" r:id="rId5401" xr:uid="{00000000-0004-0000-0400-000018150000}"/>
    <hyperlink ref="J2702" r:id="rId5402" xr:uid="{00000000-0004-0000-0400-000019150000}"/>
    <hyperlink ref="I2703" r:id="rId5403" xr:uid="{00000000-0004-0000-0400-00001A150000}"/>
    <hyperlink ref="J2703" r:id="rId5404" xr:uid="{00000000-0004-0000-0400-00001B150000}"/>
    <hyperlink ref="I2704" r:id="rId5405" xr:uid="{00000000-0004-0000-0400-00001C150000}"/>
    <hyperlink ref="J2704" r:id="rId5406" xr:uid="{00000000-0004-0000-0400-00001D150000}"/>
    <hyperlink ref="I2705" r:id="rId5407" xr:uid="{00000000-0004-0000-0400-00001E150000}"/>
    <hyperlink ref="J2705" r:id="rId5408" xr:uid="{00000000-0004-0000-0400-00001F150000}"/>
    <hyperlink ref="I2706" r:id="rId5409" xr:uid="{00000000-0004-0000-0400-000020150000}"/>
    <hyperlink ref="J2706" r:id="rId5410" xr:uid="{00000000-0004-0000-0400-000021150000}"/>
    <hyperlink ref="I2707" r:id="rId5411" xr:uid="{00000000-0004-0000-0400-000022150000}"/>
    <hyperlink ref="J2707" r:id="rId5412" xr:uid="{00000000-0004-0000-0400-000023150000}"/>
    <hyperlink ref="I2708" r:id="rId5413" xr:uid="{00000000-0004-0000-0400-000024150000}"/>
    <hyperlink ref="J2708" r:id="rId5414" xr:uid="{00000000-0004-0000-0400-000025150000}"/>
    <hyperlink ref="I2709" r:id="rId5415" xr:uid="{00000000-0004-0000-0400-000026150000}"/>
    <hyperlink ref="J2709" r:id="rId5416" xr:uid="{00000000-0004-0000-0400-000027150000}"/>
    <hyperlink ref="I2710" r:id="rId5417" xr:uid="{00000000-0004-0000-0400-000028150000}"/>
    <hyperlink ref="J2710" r:id="rId5418" xr:uid="{00000000-0004-0000-0400-000029150000}"/>
    <hyperlink ref="I2711" r:id="rId5419" xr:uid="{00000000-0004-0000-0400-00002A150000}"/>
    <hyperlink ref="J2711" r:id="rId5420" xr:uid="{00000000-0004-0000-0400-00002B150000}"/>
    <hyperlink ref="I2712" r:id="rId5421" xr:uid="{00000000-0004-0000-0400-00002C150000}"/>
    <hyperlink ref="J2712" r:id="rId5422" xr:uid="{00000000-0004-0000-0400-00002D150000}"/>
    <hyperlink ref="I2713" r:id="rId5423" xr:uid="{00000000-0004-0000-0400-00002E150000}"/>
    <hyperlink ref="J2713" r:id="rId5424" xr:uid="{00000000-0004-0000-0400-00002F150000}"/>
    <hyperlink ref="I2714" r:id="rId5425" xr:uid="{00000000-0004-0000-0400-000030150000}"/>
    <hyperlink ref="J2714" r:id="rId5426" xr:uid="{00000000-0004-0000-0400-000031150000}"/>
    <hyperlink ref="I2715" r:id="rId5427" xr:uid="{00000000-0004-0000-0400-000032150000}"/>
    <hyperlink ref="J2715" r:id="rId5428" xr:uid="{00000000-0004-0000-0400-000033150000}"/>
    <hyperlink ref="I2716" r:id="rId5429" xr:uid="{00000000-0004-0000-0400-000034150000}"/>
    <hyperlink ref="J2716" r:id="rId5430" xr:uid="{00000000-0004-0000-0400-000035150000}"/>
    <hyperlink ref="I2717" r:id="rId5431" xr:uid="{00000000-0004-0000-0400-000036150000}"/>
    <hyperlink ref="J2717" r:id="rId5432" xr:uid="{00000000-0004-0000-0400-000037150000}"/>
    <hyperlink ref="I2718" r:id="rId5433" xr:uid="{00000000-0004-0000-0400-000038150000}"/>
    <hyperlink ref="J2718" r:id="rId5434" xr:uid="{00000000-0004-0000-0400-000039150000}"/>
    <hyperlink ref="I2719" r:id="rId5435" xr:uid="{00000000-0004-0000-0400-00003A150000}"/>
    <hyperlink ref="J2719" r:id="rId5436" xr:uid="{00000000-0004-0000-0400-00003B150000}"/>
    <hyperlink ref="I2720" r:id="rId5437" xr:uid="{00000000-0004-0000-0400-00003C150000}"/>
    <hyperlink ref="J2720" r:id="rId5438" xr:uid="{00000000-0004-0000-0400-00003D150000}"/>
    <hyperlink ref="I2721" r:id="rId5439" xr:uid="{00000000-0004-0000-0400-00003E150000}"/>
    <hyperlink ref="J2721" r:id="rId5440" xr:uid="{00000000-0004-0000-0400-00003F150000}"/>
    <hyperlink ref="I2722" r:id="rId5441" xr:uid="{00000000-0004-0000-0400-000040150000}"/>
    <hyperlink ref="J2722" r:id="rId5442" xr:uid="{00000000-0004-0000-0400-000041150000}"/>
    <hyperlink ref="I2723" r:id="rId5443" xr:uid="{00000000-0004-0000-0400-000042150000}"/>
    <hyperlink ref="J2723" r:id="rId5444" xr:uid="{00000000-0004-0000-0400-000043150000}"/>
    <hyperlink ref="I2724" r:id="rId5445" xr:uid="{00000000-0004-0000-0400-000044150000}"/>
    <hyperlink ref="J2724" r:id="rId5446" xr:uid="{00000000-0004-0000-0400-000045150000}"/>
    <hyperlink ref="I2725" r:id="rId5447" xr:uid="{00000000-0004-0000-0400-000046150000}"/>
    <hyperlink ref="J2725" r:id="rId5448" xr:uid="{00000000-0004-0000-0400-000047150000}"/>
    <hyperlink ref="I2726" r:id="rId5449" xr:uid="{00000000-0004-0000-0400-000048150000}"/>
    <hyperlink ref="J2726" r:id="rId5450" xr:uid="{00000000-0004-0000-0400-000049150000}"/>
    <hyperlink ref="I2727" r:id="rId5451" xr:uid="{00000000-0004-0000-0400-00004A150000}"/>
    <hyperlink ref="J2727" r:id="rId5452" xr:uid="{00000000-0004-0000-0400-00004B150000}"/>
    <hyperlink ref="I2728" r:id="rId5453" xr:uid="{00000000-0004-0000-0400-00004C150000}"/>
    <hyperlink ref="J2728" r:id="rId5454" xr:uid="{00000000-0004-0000-0400-00004D150000}"/>
    <hyperlink ref="I2729" r:id="rId5455" xr:uid="{00000000-0004-0000-0400-00004E150000}"/>
    <hyperlink ref="J2729" r:id="rId5456" xr:uid="{00000000-0004-0000-0400-00004F150000}"/>
    <hyperlink ref="I2730" r:id="rId5457" xr:uid="{00000000-0004-0000-0400-000050150000}"/>
    <hyperlink ref="J2730" r:id="rId5458" xr:uid="{00000000-0004-0000-0400-000051150000}"/>
    <hyperlink ref="I2731" r:id="rId5459" xr:uid="{00000000-0004-0000-0400-000052150000}"/>
    <hyperlink ref="J2731" r:id="rId5460" xr:uid="{00000000-0004-0000-0400-000053150000}"/>
    <hyperlink ref="I2732" r:id="rId5461" xr:uid="{00000000-0004-0000-0400-000054150000}"/>
    <hyperlink ref="J2732" r:id="rId5462" xr:uid="{00000000-0004-0000-0400-000055150000}"/>
    <hyperlink ref="I2733" r:id="rId5463" xr:uid="{00000000-0004-0000-0400-000056150000}"/>
    <hyperlink ref="J2733" r:id="rId5464" xr:uid="{00000000-0004-0000-0400-000057150000}"/>
    <hyperlink ref="I2734" r:id="rId5465" xr:uid="{00000000-0004-0000-0400-000058150000}"/>
    <hyperlink ref="J2734" r:id="rId5466" xr:uid="{00000000-0004-0000-0400-000059150000}"/>
    <hyperlink ref="I2735" r:id="rId5467" xr:uid="{00000000-0004-0000-0400-00005A150000}"/>
    <hyperlink ref="J2735" r:id="rId5468" xr:uid="{00000000-0004-0000-0400-00005B150000}"/>
    <hyperlink ref="I2736" r:id="rId5469" xr:uid="{00000000-0004-0000-0400-00005C150000}"/>
    <hyperlink ref="J2736" r:id="rId5470" xr:uid="{00000000-0004-0000-0400-00005D150000}"/>
    <hyperlink ref="I2737" r:id="rId5471" xr:uid="{00000000-0004-0000-0400-00005E150000}"/>
    <hyperlink ref="J2737" r:id="rId5472" xr:uid="{00000000-0004-0000-0400-00005F150000}"/>
    <hyperlink ref="I2738" r:id="rId5473" xr:uid="{00000000-0004-0000-0400-000060150000}"/>
    <hyperlink ref="J2738" r:id="rId5474" xr:uid="{00000000-0004-0000-0400-000061150000}"/>
    <hyperlink ref="I2739" r:id="rId5475" xr:uid="{00000000-0004-0000-0400-000062150000}"/>
    <hyperlink ref="J2739" r:id="rId5476" xr:uid="{00000000-0004-0000-0400-000063150000}"/>
    <hyperlink ref="I2740" r:id="rId5477" xr:uid="{00000000-0004-0000-0400-000064150000}"/>
    <hyperlink ref="J2740" r:id="rId5478" xr:uid="{00000000-0004-0000-0400-000065150000}"/>
    <hyperlink ref="I2741" r:id="rId5479" xr:uid="{00000000-0004-0000-0400-000066150000}"/>
    <hyperlink ref="J2741" r:id="rId5480" xr:uid="{00000000-0004-0000-0400-000067150000}"/>
    <hyperlink ref="I2742" r:id="rId5481" xr:uid="{00000000-0004-0000-0400-000068150000}"/>
    <hyperlink ref="J2742" r:id="rId5482" xr:uid="{00000000-0004-0000-0400-000069150000}"/>
    <hyperlink ref="I2743" r:id="rId5483" xr:uid="{00000000-0004-0000-0400-00006A150000}"/>
    <hyperlink ref="J2743" r:id="rId5484" xr:uid="{00000000-0004-0000-0400-00006B150000}"/>
    <hyperlink ref="I2744" r:id="rId5485" xr:uid="{00000000-0004-0000-0400-00006C150000}"/>
    <hyperlink ref="J2744" r:id="rId5486" xr:uid="{00000000-0004-0000-0400-00006D150000}"/>
    <hyperlink ref="I2745" r:id="rId5487" xr:uid="{00000000-0004-0000-0400-00006E150000}"/>
    <hyperlink ref="J2745" r:id="rId5488" xr:uid="{00000000-0004-0000-0400-00006F150000}"/>
    <hyperlink ref="I2746" r:id="rId5489" xr:uid="{00000000-0004-0000-0400-000070150000}"/>
    <hyperlink ref="J2746" r:id="rId5490" xr:uid="{00000000-0004-0000-0400-000071150000}"/>
    <hyperlink ref="I2747" r:id="rId5491" xr:uid="{00000000-0004-0000-0400-000072150000}"/>
    <hyperlink ref="J2747" r:id="rId5492" xr:uid="{00000000-0004-0000-0400-000073150000}"/>
    <hyperlink ref="I2748" r:id="rId5493" xr:uid="{00000000-0004-0000-0400-000074150000}"/>
    <hyperlink ref="J2748" r:id="rId5494" xr:uid="{00000000-0004-0000-0400-00007515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8B54C-EA33-4567-9AAD-D5740DD3C25B}">
  <dimension ref="A1:F14"/>
  <sheetViews>
    <sheetView workbookViewId="0">
      <selection activeCell="D22" sqref="D22"/>
    </sheetView>
  </sheetViews>
  <sheetFormatPr defaultRowHeight="14.25"/>
  <cols>
    <col min="1" max="1" width="22.5" style="92" customWidth="1"/>
    <col min="2" max="6" width="14.0625" style="92" customWidth="1"/>
    <col min="7" max="16384" width="9" style="92"/>
  </cols>
  <sheetData>
    <row r="1" spans="1:6" ht="24" thickTop="1" thickBot="1">
      <c r="A1" s="93" t="s">
        <v>13563</v>
      </c>
      <c r="B1" s="94"/>
      <c r="C1" s="94"/>
      <c r="D1" s="94"/>
      <c r="E1" s="94"/>
      <c r="F1" s="95"/>
    </row>
    <row r="2" spans="1:6" ht="15" thickTop="1" thickBot="1">
      <c r="A2" s="96" t="s">
        <v>13562</v>
      </c>
      <c r="B2" s="97"/>
      <c r="C2" s="97"/>
      <c r="D2" s="97"/>
      <c r="E2" s="97"/>
      <c r="F2" s="98"/>
    </row>
    <row r="3" spans="1:6" ht="15" thickTop="1" thickBot="1">
      <c r="A3" s="99" t="s">
        <v>13561</v>
      </c>
      <c r="B3" s="100"/>
      <c r="C3" s="101"/>
      <c r="D3" s="101"/>
      <c r="E3" s="101"/>
      <c r="F3" s="102"/>
    </row>
    <row r="4" spans="1:6" ht="15" thickTop="1" thickBot="1">
      <c r="A4" s="103"/>
      <c r="B4" s="104"/>
      <c r="C4" s="104"/>
      <c r="D4" s="104"/>
      <c r="E4" s="104"/>
      <c r="F4" s="105"/>
    </row>
    <row r="5" spans="1:6" ht="15" thickTop="1" thickBot="1">
      <c r="A5" s="106" t="s">
        <v>40</v>
      </c>
      <c r="B5" s="107" t="str">
        <f>IFERROR(VLOOKUP($B$3,'[1]Hack Database'!$A:$J,2,FALSE),"")</f>
        <v/>
      </c>
      <c r="C5" s="107"/>
      <c r="D5" s="107"/>
      <c r="E5" s="107"/>
      <c r="F5" s="107"/>
    </row>
    <row r="6" spans="1:6" ht="15" thickTop="1" thickBot="1">
      <c r="A6" s="106" t="s">
        <v>15</v>
      </c>
      <c r="B6" s="107" t="str">
        <f>IFERROR(VLOOKUP($B$3,'[1]Hack Database'!$A:$J,3,FALSE),"")</f>
        <v/>
      </c>
      <c r="C6" s="107"/>
      <c r="D6" s="107"/>
      <c r="E6" s="107"/>
      <c r="F6" s="107"/>
    </row>
    <row r="7" spans="1:6" ht="15" thickTop="1" thickBot="1">
      <c r="A7" s="106" t="s">
        <v>16</v>
      </c>
      <c r="B7" s="107" t="str">
        <f>IFERROR(VLOOKUP($B$3,'[1]Hack Database'!$A:$J,4,FALSE),"")</f>
        <v/>
      </c>
      <c r="C7" s="107"/>
      <c r="D7" s="107"/>
      <c r="E7" s="107"/>
      <c r="F7" s="107"/>
    </row>
    <row r="8" spans="1:6" ht="15" thickTop="1" thickBot="1">
      <c r="A8" s="106" t="s">
        <v>17</v>
      </c>
      <c r="B8" s="107" t="str">
        <f>IFERROR(VLOOKUP($B$3,'[1]Hack Database'!$A:$J,5,FALSE),"")</f>
        <v/>
      </c>
      <c r="C8" s="107"/>
      <c r="D8" s="107"/>
      <c r="E8" s="107"/>
      <c r="F8" s="107"/>
    </row>
    <row r="9" spans="1:6" ht="15" thickTop="1" thickBot="1">
      <c r="A9" s="106" t="s">
        <v>18</v>
      </c>
      <c r="B9" s="107" t="str">
        <f>IFERROR(VLOOKUP($B$3,'[1]Hack Database'!$A:$J,6,FALSE),"")</f>
        <v/>
      </c>
      <c r="C9" s="107"/>
      <c r="D9" s="107"/>
      <c r="E9" s="107"/>
      <c r="F9" s="107"/>
    </row>
    <row r="10" spans="1:6" ht="15" thickTop="1" thickBot="1">
      <c r="A10" s="106" t="s">
        <v>20</v>
      </c>
      <c r="B10" s="108" t="str">
        <f>IFERROR(VLOOKUP($B$3,'[1]Hack Database'!$A:$J,7,FALSE),"")</f>
        <v/>
      </c>
      <c r="C10" s="108"/>
      <c r="D10" s="108"/>
      <c r="E10" s="108"/>
      <c r="F10" s="108"/>
    </row>
    <row r="11" spans="1:6" ht="15" thickTop="1" thickBot="1">
      <c r="A11" s="106" t="s">
        <v>52</v>
      </c>
      <c r="B11" s="107" t="str">
        <f>IFERROR(VLOOKUP($B$3,'[1]Hack Database'!$A:$J,8,FALSE),"")</f>
        <v/>
      </c>
      <c r="C11" s="107"/>
      <c r="D11" s="107"/>
      <c r="E11" s="107"/>
      <c r="F11" s="107"/>
    </row>
    <row r="12" spans="1:6" ht="15" thickTop="1" thickBot="1">
      <c r="A12" s="106" t="s">
        <v>48</v>
      </c>
      <c r="B12" s="109" t="str">
        <f>IFERROR(HYPERLINK(VLOOKUP($B$3,'[1]Hack Database'!$A:$J,9,FALSE),"Open SMWCentral Page"),"")</f>
        <v/>
      </c>
      <c r="C12" s="109"/>
      <c r="D12" s="109"/>
      <c r="E12" s="109"/>
      <c r="F12" s="109"/>
    </row>
    <row r="13" spans="1:6" ht="15" thickTop="1" thickBot="1">
      <c r="A13" s="106" t="s">
        <v>13560</v>
      </c>
      <c r="B13" s="109" t="str">
        <f>IFERROR(HYPERLINK(VLOOKUP($B$3,'[1]Hack Database'!$A:$J,10,FALSE),"Download Patch"),"")</f>
        <v/>
      </c>
      <c r="C13" s="109"/>
      <c r="D13" s="109"/>
      <c r="E13" s="109"/>
      <c r="F13" s="109"/>
    </row>
    <row r="14" spans="1:6" ht="14.65" thickTop="1"/>
  </sheetData>
  <mergeCells count="13">
    <mergeCell ref="A1:F1"/>
    <mergeCell ref="A2:F2"/>
    <mergeCell ref="B3:F3"/>
    <mergeCell ref="B5:F5"/>
    <mergeCell ref="B6:F6"/>
    <mergeCell ref="B7:F7"/>
    <mergeCell ref="A4:F4"/>
    <mergeCell ref="B8:F8"/>
    <mergeCell ref="B9:F9"/>
    <mergeCell ref="B10:F10"/>
    <mergeCell ref="B11:F11"/>
    <mergeCell ref="B12:F12"/>
    <mergeCell ref="B13:F13"/>
  </mergeCells>
  <conditionalFormatting sqref="B8:F8">
    <cfRule type="expression" dxfId="16" priority="1">
      <formula>B8="Newcomer"</formula>
    </cfRule>
    <cfRule type="expression" dxfId="15" priority="2">
      <formula>B8="Casual"</formula>
    </cfRule>
    <cfRule type="expression" dxfId="14" priority="3">
      <formula>B8="Intermediate"</formula>
    </cfRule>
    <cfRule type="expression" dxfId="13" priority="4">
      <formula>B8="Advanced"</formula>
    </cfRule>
    <cfRule type="expression" dxfId="12" priority="5">
      <formula>B8="Expert"</formula>
    </cfRule>
    <cfRule type="expression" dxfId="11" priority="6">
      <formula>B8="Master"</formula>
    </cfRule>
    <cfRule type="expression" dxfId="10" priority="7">
      <formula>B8="Grandmaster"</formula>
    </cfRule>
    <cfRule type="expression" dxfId="9" priority="8">
      <formula>B8="Unranked"</formula>
    </cfRule>
  </conditionalFormatting>
  <dataValidations count="1">
    <dataValidation type="list" sqref="B3" xr:uid="{D003682C-F008-45F6-AA77-763E459B3B4A}">
      <formula1>HackList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748"/>
  <sheetViews>
    <sheetView workbookViewId="0"/>
  </sheetViews>
  <sheetFormatPr defaultRowHeight="13.5"/>
  <cols>
    <col min="1" max="1" width="52" customWidth="1"/>
    <col min="2" max="4" width="20" customWidth="1"/>
  </cols>
  <sheetData>
    <row r="1" spans="1:7">
      <c r="A1" s="1" t="s">
        <v>12402</v>
      </c>
      <c r="B1" s="2" t="s">
        <v>43</v>
      </c>
      <c r="C1" s="2" t="s">
        <v>17</v>
      </c>
      <c r="D1" s="3" t="s">
        <v>18</v>
      </c>
      <c r="E1" t="s">
        <v>45</v>
      </c>
      <c r="F1" t="s">
        <v>46</v>
      </c>
      <c r="G1" t="s">
        <v>47</v>
      </c>
    </row>
    <row r="2" spans="1:7">
      <c r="A2" t="s">
        <v>55</v>
      </c>
      <c r="B2" t="s">
        <v>12403</v>
      </c>
      <c r="C2" t="s">
        <v>27</v>
      </c>
      <c r="D2" t="s">
        <v>63</v>
      </c>
      <c r="E2" t="s">
        <v>12404</v>
      </c>
      <c r="F2" t="s">
        <v>12405</v>
      </c>
      <c r="G2" t="s">
        <v>12406</v>
      </c>
    </row>
    <row r="3" spans="1:7">
      <c r="A3" t="s">
        <v>61</v>
      </c>
      <c r="B3" t="s">
        <v>12407</v>
      </c>
      <c r="C3" t="s">
        <v>29</v>
      </c>
      <c r="D3" t="s">
        <v>57</v>
      </c>
      <c r="E3" t="s">
        <v>12408</v>
      </c>
      <c r="F3" t="s">
        <v>12409</v>
      </c>
      <c r="G3" t="s">
        <v>12410</v>
      </c>
    </row>
    <row r="4" spans="1:7">
      <c r="A4" t="s">
        <v>67</v>
      </c>
      <c r="C4" t="s">
        <v>31</v>
      </c>
      <c r="D4" t="s">
        <v>6304</v>
      </c>
      <c r="E4" t="s">
        <v>12411</v>
      </c>
      <c r="F4" t="s">
        <v>12412</v>
      </c>
      <c r="G4" t="s">
        <v>12413</v>
      </c>
    </row>
    <row r="5" spans="1:7">
      <c r="A5" t="s">
        <v>72</v>
      </c>
      <c r="C5" t="s">
        <v>33</v>
      </c>
      <c r="D5" t="s">
        <v>12414</v>
      </c>
      <c r="E5" t="s">
        <v>12415</v>
      </c>
      <c r="F5" t="s">
        <v>12416</v>
      </c>
      <c r="G5" t="s">
        <v>12417</v>
      </c>
    </row>
    <row r="6" spans="1:7">
      <c r="A6" t="s">
        <v>77</v>
      </c>
      <c r="C6" t="s">
        <v>34</v>
      </c>
      <c r="D6" t="s">
        <v>12418</v>
      </c>
      <c r="E6" t="s">
        <v>12419</v>
      </c>
      <c r="F6" t="s">
        <v>12420</v>
      </c>
      <c r="G6" t="s">
        <v>12421</v>
      </c>
    </row>
    <row r="7" spans="1:7">
      <c r="A7" t="s">
        <v>82</v>
      </c>
      <c r="C7" t="s">
        <v>35</v>
      </c>
      <c r="D7" t="s">
        <v>12422</v>
      </c>
      <c r="E7" t="s">
        <v>12423</v>
      </c>
      <c r="F7" t="s">
        <v>12424</v>
      </c>
      <c r="G7" t="s">
        <v>12425</v>
      </c>
    </row>
    <row r="8" spans="1:7">
      <c r="A8" t="s">
        <v>87</v>
      </c>
      <c r="C8" t="s">
        <v>36</v>
      </c>
      <c r="E8" t="s">
        <v>12426</v>
      </c>
      <c r="F8" t="s">
        <v>12427</v>
      </c>
      <c r="G8" t="s">
        <v>12428</v>
      </c>
    </row>
    <row r="9" spans="1:7">
      <c r="A9" t="s">
        <v>93</v>
      </c>
      <c r="C9" t="s">
        <v>37</v>
      </c>
      <c r="E9" t="s">
        <v>12429</v>
      </c>
      <c r="F9" t="s">
        <v>12430</v>
      </c>
      <c r="G9" t="s">
        <v>12431</v>
      </c>
    </row>
    <row r="10" spans="1:7">
      <c r="A10" t="s">
        <v>98</v>
      </c>
      <c r="E10" t="s">
        <v>12432</v>
      </c>
      <c r="F10" t="s">
        <v>12433</v>
      </c>
      <c r="G10" t="s">
        <v>12434</v>
      </c>
    </row>
    <row r="11" spans="1:7">
      <c r="A11" t="s">
        <v>103</v>
      </c>
      <c r="E11" t="s">
        <v>12435</v>
      </c>
      <c r="F11" t="s">
        <v>12436</v>
      </c>
      <c r="G11" t="s">
        <v>12437</v>
      </c>
    </row>
    <row r="12" spans="1:7">
      <c r="A12" t="s">
        <v>108</v>
      </c>
      <c r="E12" t="s">
        <v>12438</v>
      </c>
      <c r="F12" t="s">
        <v>12439</v>
      </c>
      <c r="G12" t="s">
        <v>12440</v>
      </c>
    </row>
    <row r="13" spans="1:7">
      <c r="A13" t="s">
        <v>113</v>
      </c>
      <c r="E13" t="s">
        <v>12441</v>
      </c>
      <c r="F13" t="s">
        <v>12442</v>
      </c>
      <c r="G13" t="s">
        <v>12443</v>
      </c>
    </row>
    <row r="14" spans="1:7">
      <c r="A14" t="s">
        <v>119</v>
      </c>
      <c r="E14" t="s">
        <v>12444</v>
      </c>
      <c r="F14" t="s">
        <v>12445</v>
      </c>
      <c r="G14" t="s">
        <v>12446</v>
      </c>
    </row>
    <row r="15" spans="1:7">
      <c r="A15" t="s">
        <v>124</v>
      </c>
      <c r="E15" t="s">
        <v>12447</v>
      </c>
      <c r="F15" t="s">
        <v>12448</v>
      </c>
      <c r="G15" t="s">
        <v>12449</v>
      </c>
    </row>
    <row r="16" spans="1:7">
      <c r="A16" t="s">
        <v>129</v>
      </c>
      <c r="E16" t="s">
        <v>12450</v>
      </c>
      <c r="F16" t="s">
        <v>12451</v>
      </c>
      <c r="G16" t="s">
        <v>12452</v>
      </c>
    </row>
    <row r="17" spans="1:7">
      <c r="A17" t="s">
        <v>134</v>
      </c>
      <c r="E17" t="s">
        <v>12453</v>
      </c>
      <c r="F17" t="s">
        <v>12454</v>
      </c>
      <c r="G17" t="s">
        <v>12455</v>
      </c>
    </row>
    <row r="18" spans="1:7">
      <c r="A18" t="s">
        <v>138</v>
      </c>
      <c r="E18" t="s">
        <v>12456</v>
      </c>
      <c r="F18" t="s">
        <v>12457</v>
      </c>
      <c r="G18" t="s">
        <v>12458</v>
      </c>
    </row>
    <row r="19" spans="1:7">
      <c r="A19" t="s">
        <v>143</v>
      </c>
      <c r="E19" t="s">
        <v>12459</v>
      </c>
      <c r="F19" t="s">
        <v>12460</v>
      </c>
      <c r="G19" t="s">
        <v>12461</v>
      </c>
    </row>
    <row r="20" spans="1:7">
      <c r="A20" t="s">
        <v>147</v>
      </c>
      <c r="E20" t="s">
        <v>12462</v>
      </c>
      <c r="F20" t="s">
        <v>12463</v>
      </c>
      <c r="G20" t="s">
        <v>12464</v>
      </c>
    </row>
    <row r="21" spans="1:7">
      <c r="A21" t="s">
        <v>151</v>
      </c>
      <c r="E21" t="s">
        <v>12465</v>
      </c>
      <c r="F21" t="s">
        <v>12466</v>
      </c>
      <c r="G21" t="s">
        <v>12467</v>
      </c>
    </row>
    <row r="22" spans="1:7">
      <c r="A22" t="s">
        <v>155</v>
      </c>
      <c r="E22" t="s">
        <v>12468</v>
      </c>
      <c r="F22" t="s">
        <v>12469</v>
      </c>
      <c r="G22" t="s">
        <v>12470</v>
      </c>
    </row>
    <row r="23" spans="1:7">
      <c r="A23" t="s">
        <v>159</v>
      </c>
      <c r="E23" t="s">
        <v>12471</v>
      </c>
      <c r="F23" t="s">
        <v>12472</v>
      </c>
      <c r="G23" t="s">
        <v>12473</v>
      </c>
    </row>
    <row r="24" spans="1:7">
      <c r="A24" t="s">
        <v>164</v>
      </c>
      <c r="E24" t="s">
        <v>12474</v>
      </c>
      <c r="F24" t="s">
        <v>12475</v>
      </c>
      <c r="G24" t="s">
        <v>12476</v>
      </c>
    </row>
    <row r="25" spans="1:7">
      <c r="A25" t="s">
        <v>169</v>
      </c>
      <c r="E25" t="s">
        <v>12477</v>
      </c>
      <c r="F25" t="s">
        <v>12478</v>
      </c>
      <c r="G25" t="s">
        <v>12479</v>
      </c>
    </row>
    <row r="26" spans="1:7">
      <c r="A26" t="s">
        <v>174</v>
      </c>
      <c r="E26" t="s">
        <v>12480</v>
      </c>
      <c r="F26" t="s">
        <v>12481</v>
      </c>
      <c r="G26" t="s">
        <v>12482</v>
      </c>
    </row>
    <row r="27" spans="1:7">
      <c r="A27" t="s">
        <v>179</v>
      </c>
      <c r="E27" t="s">
        <v>12483</v>
      </c>
      <c r="F27" t="s">
        <v>12484</v>
      </c>
      <c r="G27" t="s">
        <v>12485</v>
      </c>
    </row>
    <row r="28" spans="1:7">
      <c r="A28" t="s">
        <v>184</v>
      </c>
      <c r="E28" t="s">
        <v>12486</v>
      </c>
      <c r="F28" t="s">
        <v>12487</v>
      </c>
      <c r="G28" t="s">
        <v>12488</v>
      </c>
    </row>
    <row r="29" spans="1:7">
      <c r="A29" t="s">
        <v>189</v>
      </c>
      <c r="E29" t="s">
        <v>12489</v>
      </c>
      <c r="F29" t="s">
        <v>12490</v>
      </c>
      <c r="G29" t="s">
        <v>12491</v>
      </c>
    </row>
    <row r="30" spans="1:7">
      <c r="A30" t="s">
        <v>193</v>
      </c>
      <c r="E30" t="s">
        <v>12492</v>
      </c>
      <c r="F30" t="s">
        <v>12493</v>
      </c>
      <c r="G30" t="s">
        <v>12494</v>
      </c>
    </row>
    <row r="31" spans="1:7">
      <c r="A31" t="s">
        <v>198</v>
      </c>
      <c r="E31" t="s">
        <v>12495</v>
      </c>
      <c r="F31" t="s">
        <v>12496</v>
      </c>
      <c r="G31" t="s">
        <v>12497</v>
      </c>
    </row>
    <row r="32" spans="1:7">
      <c r="A32" t="s">
        <v>203</v>
      </c>
      <c r="E32" t="s">
        <v>12498</v>
      </c>
      <c r="F32" t="s">
        <v>12499</v>
      </c>
      <c r="G32" t="s">
        <v>12500</v>
      </c>
    </row>
    <row r="33" spans="1:7">
      <c r="A33" t="s">
        <v>207</v>
      </c>
      <c r="E33" t="s">
        <v>12501</v>
      </c>
      <c r="F33" t="s">
        <v>12502</v>
      </c>
      <c r="G33" t="s">
        <v>12503</v>
      </c>
    </row>
    <row r="34" spans="1:7">
      <c r="A34" t="s">
        <v>212</v>
      </c>
      <c r="E34" t="s">
        <v>12504</v>
      </c>
      <c r="F34" t="s">
        <v>12505</v>
      </c>
      <c r="G34" t="s">
        <v>12506</v>
      </c>
    </row>
    <row r="35" spans="1:7">
      <c r="A35" t="s">
        <v>217</v>
      </c>
      <c r="E35" t="s">
        <v>12507</v>
      </c>
      <c r="F35" t="s">
        <v>12508</v>
      </c>
      <c r="G35" t="s">
        <v>12509</v>
      </c>
    </row>
    <row r="36" spans="1:7">
      <c r="A36" t="s">
        <v>222</v>
      </c>
      <c r="E36" t="s">
        <v>12510</v>
      </c>
      <c r="F36" t="s">
        <v>12511</v>
      </c>
      <c r="G36" t="s">
        <v>12512</v>
      </c>
    </row>
    <row r="37" spans="1:7">
      <c r="A37" t="s">
        <v>227</v>
      </c>
      <c r="E37" t="s">
        <v>12513</v>
      </c>
      <c r="F37" t="s">
        <v>12514</v>
      </c>
      <c r="G37" t="s">
        <v>12515</v>
      </c>
    </row>
    <row r="38" spans="1:7">
      <c r="A38" t="s">
        <v>232</v>
      </c>
      <c r="E38" t="s">
        <v>12516</v>
      </c>
      <c r="F38" t="s">
        <v>12517</v>
      </c>
      <c r="G38" t="s">
        <v>12518</v>
      </c>
    </row>
    <row r="39" spans="1:7">
      <c r="A39" t="s">
        <v>237</v>
      </c>
      <c r="E39" t="s">
        <v>12519</v>
      </c>
      <c r="F39" t="s">
        <v>12520</v>
      </c>
      <c r="G39" t="s">
        <v>12521</v>
      </c>
    </row>
    <row r="40" spans="1:7">
      <c r="A40" t="s">
        <v>242</v>
      </c>
      <c r="E40" t="s">
        <v>12522</v>
      </c>
      <c r="F40" t="s">
        <v>12523</v>
      </c>
      <c r="G40" t="s">
        <v>12524</v>
      </c>
    </row>
    <row r="41" spans="1:7">
      <c r="A41" t="s">
        <v>247</v>
      </c>
      <c r="E41" t="s">
        <v>12525</v>
      </c>
      <c r="F41" t="s">
        <v>12526</v>
      </c>
      <c r="G41" t="s">
        <v>12527</v>
      </c>
    </row>
    <row r="42" spans="1:7">
      <c r="A42" t="s">
        <v>252</v>
      </c>
      <c r="E42" t="s">
        <v>12528</v>
      </c>
      <c r="F42" t="s">
        <v>12529</v>
      </c>
      <c r="G42" t="s">
        <v>12530</v>
      </c>
    </row>
    <row r="43" spans="1:7">
      <c r="A43" t="s">
        <v>257</v>
      </c>
      <c r="E43" t="s">
        <v>12531</v>
      </c>
      <c r="F43" t="s">
        <v>12532</v>
      </c>
      <c r="G43" t="s">
        <v>12533</v>
      </c>
    </row>
    <row r="44" spans="1:7">
      <c r="A44" t="s">
        <v>262</v>
      </c>
      <c r="E44" t="s">
        <v>12534</v>
      </c>
      <c r="F44" t="s">
        <v>12535</v>
      </c>
      <c r="G44" t="s">
        <v>12536</v>
      </c>
    </row>
    <row r="45" spans="1:7">
      <c r="A45" t="s">
        <v>267</v>
      </c>
      <c r="E45" t="s">
        <v>12537</v>
      </c>
      <c r="F45" t="s">
        <v>12538</v>
      </c>
      <c r="G45" t="s">
        <v>12539</v>
      </c>
    </row>
    <row r="46" spans="1:7">
      <c r="A46" t="s">
        <v>272</v>
      </c>
      <c r="E46" t="s">
        <v>12540</v>
      </c>
      <c r="F46" t="s">
        <v>12541</v>
      </c>
      <c r="G46" t="s">
        <v>12542</v>
      </c>
    </row>
    <row r="47" spans="1:7">
      <c r="A47" t="s">
        <v>277</v>
      </c>
      <c r="E47" t="s">
        <v>12543</v>
      </c>
      <c r="F47" t="s">
        <v>12544</v>
      </c>
      <c r="G47" t="s">
        <v>12545</v>
      </c>
    </row>
    <row r="48" spans="1:7">
      <c r="A48" t="s">
        <v>282</v>
      </c>
      <c r="E48" t="s">
        <v>12546</v>
      </c>
      <c r="F48" t="s">
        <v>12547</v>
      </c>
      <c r="G48" t="s">
        <v>12548</v>
      </c>
    </row>
    <row r="49" spans="1:7">
      <c r="A49" t="s">
        <v>286</v>
      </c>
      <c r="E49" t="s">
        <v>12549</v>
      </c>
      <c r="F49" t="s">
        <v>12550</v>
      </c>
      <c r="G49" t="s">
        <v>12551</v>
      </c>
    </row>
    <row r="50" spans="1:7">
      <c r="A50" t="s">
        <v>291</v>
      </c>
      <c r="E50" t="s">
        <v>12552</v>
      </c>
      <c r="F50" t="s">
        <v>12553</v>
      </c>
      <c r="G50" t="s">
        <v>12554</v>
      </c>
    </row>
    <row r="51" spans="1:7">
      <c r="A51" t="s">
        <v>296</v>
      </c>
      <c r="E51" t="s">
        <v>12555</v>
      </c>
      <c r="F51" t="s">
        <v>12556</v>
      </c>
      <c r="G51" t="s">
        <v>12557</v>
      </c>
    </row>
    <row r="52" spans="1:7">
      <c r="A52" t="s">
        <v>301</v>
      </c>
      <c r="E52" t="s">
        <v>12558</v>
      </c>
      <c r="F52" t="s">
        <v>12559</v>
      </c>
      <c r="G52" t="s">
        <v>12560</v>
      </c>
    </row>
    <row r="53" spans="1:7">
      <c r="A53" t="s">
        <v>306</v>
      </c>
      <c r="E53" t="s">
        <v>12561</v>
      </c>
      <c r="F53" t="s">
        <v>12562</v>
      </c>
      <c r="G53" t="s">
        <v>12563</v>
      </c>
    </row>
    <row r="54" spans="1:7">
      <c r="A54" t="s">
        <v>311</v>
      </c>
      <c r="E54" t="s">
        <v>12564</v>
      </c>
      <c r="F54" t="s">
        <v>12565</v>
      </c>
      <c r="G54" t="s">
        <v>12566</v>
      </c>
    </row>
    <row r="55" spans="1:7">
      <c r="A55" t="s">
        <v>316</v>
      </c>
      <c r="E55" t="s">
        <v>12567</v>
      </c>
      <c r="F55" t="s">
        <v>12568</v>
      </c>
      <c r="G55" t="s">
        <v>12569</v>
      </c>
    </row>
    <row r="56" spans="1:7">
      <c r="A56" t="s">
        <v>321</v>
      </c>
      <c r="E56" t="s">
        <v>12570</v>
      </c>
      <c r="F56" t="s">
        <v>12571</v>
      </c>
      <c r="G56" t="s">
        <v>12572</v>
      </c>
    </row>
    <row r="57" spans="1:7">
      <c r="A57" t="s">
        <v>326</v>
      </c>
      <c r="E57" t="s">
        <v>12573</v>
      </c>
      <c r="F57" t="s">
        <v>12574</v>
      </c>
      <c r="G57" t="s">
        <v>12575</v>
      </c>
    </row>
    <row r="58" spans="1:7">
      <c r="A58" t="s">
        <v>330</v>
      </c>
      <c r="E58" t="s">
        <v>12576</v>
      </c>
      <c r="F58" t="s">
        <v>12577</v>
      </c>
      <c r="G58" t="s">
        <v>12578</v>
      </c>
    </row>
    <row r="59" spans="1:7">
      <c r="A59" t="s">
        <v>334</v>
      </c>
      <c r="E59" t="s">
        <v>12579</v>
      </c>
      <c r="F59" t="s">
        <v>12580</v>
      </c>
      <c r="G59" t="s">
        <v>12581</v>
      </c>
    </row>
    <row r="60" spans="1:7">
      <c r="A60" t="s">
        <v>339</v>
      </c>
      <c r="E60" t="s">
        <v>12582</v>
      </c>
      <c r="F60" t="s">
        <v>12583</v>
      </c>
      <c r="G60" t="s">
        <v>12584</v>
      </c>
    </row>
    <row r="61" spans="1:7">
      <c r="A61" t="s">
        <v>344</v>
      </c>
      <c r="E61" t="s">
        <v>12585</v>
      </c>
      <c r="F61" t="s">
        <v>12586</v>
      </c>
      <c r="G61" t="s">
        <v>12587</v>
      </c>
    </row>
    <row r="62" spans="1:7">
      <c r="A62" t="s">
        <v>349</v>
      </c>
      <c r="E62" t="s">
        <v>12588</v>
      </c>
    </row>
    <row r="63" spans="1:7">
      <c r="A63" t="s">
        <v>354</v>
      </c>
      <c r="E63" t="s">
        <v>12589</v>
      </c>
    </row>
    <row r="64" spans="1:7">
      <c r="A64" t="s">
        <v>359</v>
      </c>
      <c r="E64" t="s">
        <v>12590</v>
      </c>
    </row>
    <row r="65" spans="1:5">
      <c r="A65" t="s">
        <v>364</v>
      </c>
      <c r="E65" t="s">
        <v>12591</v>
      </c>
    </row>
    <row r="66" spans="1:5">
      <c r="A66" t="s">
        <v>369</v>
      </c>
      <c r="E66" t="s">
        <v>12592</v>
      </c>
    </row>
    <row r="67" spans="1:5">
      <c r="A67" t="s">
        <v>374</v>
      </c>
      <c r="E67" t="s">
        <v>12593</v>
      </c>
    </row>
    <row r="68" spans="1:5">
      <c r="A68" t="s">
        <v>379</v>
      </c>
      <c r="E68" t="s">
        <v>12594</v>
      </c>
    </row>
    <row r="69" spans="1:5">
      <c r="A69" t="s">
        <v>384</v>
      </c>
      <c r="E69" t="s">
        <v>12595</v>
      </c>
    </row>
    <row r="70" spans="1:5">
      <c r="A70" t="s">
        <v>388</v>
      </c>
      <c r="E70" t="s">
        <v>12596</v>
      </c>
    </row>
    <row r="71" spans="1:5">
      <c r="A71" t="s">
        <v>393</v>
      </c>
      <c r="E71" t="s">
        <v>12597</v>
      </c>
    </row>
    <row r="72" spans="1:5">
      <c r="A72" t="s">
        <v>398</v>
      </c>
      <c r="E72" t="s">
        <v>12598</v>
      </c>
    </row>
    <row r="73" spans="1:5">
      <c r="A73" t="s">
        <v>403</v>
      </c>
      <c r="E73" t="s">
        <v>12599</v>
      </c>
    </row>
    <row r="74" spans="1:5">
      <c r="A74" t="s">
        <v>407</v>
      </c>
      <c r="E74" t="s">
        <v>12600</v>
      </c>
    </row>
    <row r="75" spans="1:5">
      <c r="A75" t="s">
        <v>412</v>
      </c>
      <c r="E75" t="s">
        <v>12601</v>
      </c>
    </row>
    <row r="76" spans="1:5">
      <c r="A76" t="s">
        <v>417</v>
      </c>
      <c r="E76" t="s">
        <v>12602</v>
      </c>
    </row>
    <row r="77" spans="1:5">
      <c r="A77" t="s">
        <v>421</v>
      </c>
      <c r="E77" t="s">
        <v>12603</v>
      </c>
    </row>
    <row r="78" spans="1:5">
      <c r="A78" t="s">
        <v>426</v>
      </c>
      <c r="E78" t="s">
        <v>12604</v>
      </c>
    </row>
    <row r="79" spans="1:5">
      <c r="A79" t="s">
        <v>431</v>
      </c>
      <c r="E79" t="s">
        <v>12605</v>
      </c>
    </row>
    <row r="80" spans="1:5">
      <c r="A80" t="s">
        <v>436</v>
      </c>
      <c r="E80" t="s">
        <v>12606</v>
      </c>
    </row>
    <row r="81" spans="1:5">
      <c r="A81" t="s">
        <v>441</v>
      </c>
      <c r="E81" t="s">
        <v>12607</v>
      </c>
    </row>
    <row r="82" spans="1:5">
      <c r="A82" t="s">
        <v>446</v>
      </c>
      <c r="E82" t="s">
        <v>12608</v>
      </c>
    </row>
    <row r="83" spans="1:5">
      <c r="A83" t="s">
        <v>451</v>
      </c>
      <c r="E83" t="s">
        <v>12609</v>
      </c>
    </row>
    <row r="84" spans="1:5">
      <c r="A84" t="s">
        <v>456</v>
      </c>
      <c r="E84" t="s">
        <v>12610</v>
      </c>
    </row>
    <row r="85" spans="1:5">
      <c r="A85" t="s">
        <v>460</v>
      </c>
      <c r="E85" t="s">
        <v>12611</v>
      </c>
    </row>
    <row r="86" spans="1:5">
      <c r="A86" t="s">
        <v>465</v>
      </c>
      <c r="E86" t="s">
        <v>12612</v>
      </c>
    </row>
    <row r="87" spans="1:5">
      <c r="A87" t="s">
        <v>470</v>
      </c>
      <c r="E87" t="s">
        <v>12613</v>
      </c>
    </row>
    <row r="88" spans="1:5">
      <c r="A88" t="s">
        <v>475</v>
      </c>
      <c r="E88" t="s">
        <v>12614</v>
      </c>
    </row>
    <row r="89" spans="1:5">
      <c r="A89" t="s">
        <v>479</v>
      </c>
      <c r="E89" t="s">
        <v>12615</v>
      </c>
    </row>
    <row r="90" spans="1:5">
      <c r="A90" t="s">
        <v>484</v>
      </c>
      <c r="E90" t="s">
        <v>12616</v>
      </c>
    </row>
    <row r="91" spans="1:5">
      <c r="A91" t="s">
        <v>489</v>
      </c>
      <c r="E91" t="s">
        <v>12617</v>
      </c>
    </row>
    <row r="92" spans="1:5">
      <c r="A92" t="s">
        <v>493</v>
      </c>
      <c r="E92" t="s">
        <v>12618</v>
      </c>
    </row>
    <row r="93" spans="1:5">
      <c r="A93" t="s">
        <v>498</v>
      </c>
      <c r="E93" t="s">
        <v>12619</v>
      </c>
    </row>
    <row r="94" spans="1:5">
      <c r="A94" t="s">
        <v>503</v>
      </c>
      <c r="E94" t="s">
        <v>12620</v>
      </c>
    </row>
    <row r="95" spans="1:5">
      <c r="A95" t="s">
        <v>508</v>
      </c>
      <c r="E95" t="s">
        <v>12621</v>
      </c>
    </row>
    <row r="96" spans="1:5">
      <c r="A96" t="s">
        <v>513</v>
      </c>
      <c r="E96" t="s">
        <v>12622</v>
      </c>
    </row>
    <row r="97" spans="1:5">
      <c r="A97" t="s">
        <v>518</v>
      </c>
      <c r="E97" t="s">
        <v>12623</v>
      </c>
    </row>
    <row r="98" spans="1:5">
      <c r="A98" t="s">
        <v>522</v>
      </c>
      <c r="E98" t="s">
        <v>12624</v>
      </c>
    </row>
    <row r="99" spans="1:5">
      <c r="A99" t="s">
        <v>527</v>
      </c>
      <c r="E99" t="s">
        <v>12625</v>
      </c>
    </row>
    <row r="100" spans="1:5">
      <c r="A100" t="s">
        <v>532</v>
      </c>
      <c r="E100" t="s">
        <v>12626</v>
      </c>
    </row>
    <row r="101" spans="1:5">
      <c r="A101" t="s">
        <v>537</v>
      </c>
      <c r="E101" t="s">
        <v>12627</v>
      </c>
    </row>
    <row r="102" spans="1:5">
      <c r="A102" t="s">
        <v>542</v>
      </c>
      <c r="E102" t="s">
        <v>12628</v>
      </c>
    </row>
    <row r="103" spans="1:5">
      <c r="A103" t="s">
        <v>546</v>
      </c>
      <c r="E103" t="s">
        <v>12629</v>
      </c>
    </row>
    <row r="104" spans="1:5">
      <c r="A104" t="s">
        <v>551</v>
      </c>
      <c r="E104" t="s">
        <v>12630</v>
      </c>
    </row>
    <row r="105" spans="1:5">
      <c r="A105" t="s">
        <v>556</v>
      </c>
      <c r="E105" t="s">
        <v>12631</v>
      </c>
    </row>
    <row r="106" spans="1:5">
      <c r="A106" t="s">
        <v>560</v>
      </c>
      <c r="E106" t="s">
        <v>12632</v>
      </c>
    </row>
    <row r="107" spans="1:5">
      <c r="A107" t="s">
        <v>565</v>
      </c>
      <c r="E107" t="s">
        <v>12633</v>
      </c>
    </row>
    <row r="108" spans="1:5">
      <c r="A108" t="s">
        <v>569</v>
      </c>
      <c r="E108" t="s">
        <v>12634</v>
      </c>
    </row>
    <row r="109" spans="1:5">
      <c r="A109" t="s">
        <v>575</v>
      </c>
      <c r="E109" t="s">
        <v>12635</v>
      </c>
    </row>
    <row r="110" spans="1:5">
      <c r="A110" t="s">
        <v>580</v>
      </c>
      <c r="E110" t="s">
        <v>12636</v>
      </c>
    </row>
    <row r="111" spans="1:5">
      <c r="A111" t="s">
        <v>584</v>
      </c>
      <c r="E111" t="s">
        <v>12637</v>
      </c>
    </row>
    <row r="112" spans="1:5">
      <c r="A112" t="s">
        <v>589</v>
      </c>
      <c r="E112" t="s">
        <v>12638</v>
      </c>
    </row>
    <row r="113" spans="1:5">
      <c r="A113" t="s">
        <v>594</v>
      </c>
      <c r="E113" t="s">
        <v>12639</v>
      </c>
    </row>
    <row r="114" spans="1:5">
      <c r="A114" t="s">
        <v>598</v>
      </c>
      <c r="E114" t="s">
        <v>12640</v>
      </c>
    </row>
    <row r="115" spans="1:5">
      <c r="A115" t="s">
        <v>602</v>
      </c>
      <c r="E115" t="s">
        <v>12641</v>
      </c>
    </row>
    <row r="116" spans="1:5">
      <c r="A116" t="s">
        <v>607</v>
      </c>
      <c r="E116" t="s">
        <v>12642</v>
      </c>
    </row>
    <row r="117" spans="1:5">
      <c r="A117" t="s">
        <v>612</v>
      </c>
      <c r="E117" t="s">
        <v>12643</v>
      </c>
    </row>
    <row r="118" spans="1:5">
      <c r="A118" t="s">
        <v>617</v>
      </c>
      <c r="E118" t="s">
        <v>12644</v>
      </c>
    </row>
    <row r="119" spans="1:5">
      <c r="A119" t="s">
        <v>621</v>
      </c>
      <c r="E119" t="s">
        <v>12645</v>
      </c>
    </row>
    <row r="120" spans="1:5">
      <c r="A120" t="s">
        <v>626</v>
      </c>
      <c r="E120" t="s">
        <v>12646</v>
      </c>
    </row>
    <row r="121" spans="1:5">
      <c r="A121" t="s">
        <v>631</v>
      </c>
      <c r="E121" t="s">
        <v>12647</v>
      </c>
    </row>
    <row r="122" spans="1:5">
      <c r="A122" t="s">
        <v>635</v>
      </c>
      <c r="E122" t="s">
        <v>12648</v>
      </c>
    </row>
    <row r="123" spans="1:5">
      <c r="A123" t="s">
        <v>640</v>
      </c>
      <c r="E123" t="s">
        <v>12649</v>
      </c>
    </row>
    <row r="124" spans="1:5">
      <c r="A124" t="s">
        <v>645</v>
      </c>
      <c r="E124" t="s">
        <v>12650</v>
      </c>
    </row>
    <row r="125" spans="1:5">
      <c r="A125" t="s">
        <v>650</v>
      </c>
      <c r="E125" t="s">
        <v>12651</v>
      </c>
    </row>
    <row r="126" spans="1:5">
      <c r="A126" t="s">
        <v>655</v>
      </c>
      <c r="E126" t="s">
        <v>12652</v>
      </c>
    </row>
    <row r="127" spans="1:5">
      <c r="A127" t="s">
        <v>660</v>
      </c>
      <c r="E127" t="s">
        <v>12653</v>
      </c>
    </row>
    <row r="128" spans="1:5">
      <c r="A128" t="s">
        <v>664</v>
      </c>
      <c r="E128" t="s">
        <v>12654</v>
      </c>
    </row>
    <row r="129" spans="1:5">
      <c r="A129" t="s">
        <v>669</v>
      </c>
      <c r="E129" t="s">
        <v>12655</v>
      </c>
    </row>
    <row r="130" spans="1:5">
      <c r="A130" t="s">
        <v>674</v>
      </c>
      <c r="E130" t="s">
        <v>12656</v>
      </c>
    </row>
    <row r="131" spans="1:5">
      <c r="A131" t="s">
        <v>679</v>
      </c>
      <c r="E131" t="s">
        <v>12657</v>
      </c>
    </row>
    <row r="132" spans="1:5">
      <c r="A132" t="s">
        <v>684</v>
      </c>
      <c r="E132" t="s">
        <v>12658</v>
      </c>
    </row>
    <row r="133" spans="1:5">
      <c r="A133" t="s">
        <v>689</v>
      </c>
      <c r="E133" t="s">
        <v>12659</v>
      </c>
    </row>
    <row r="134" spans="1:5">
      <c r="A134" t="s">
        <v>693</v>
      </c>
      <c r="E134" t="s">
        <v>12660</v>
      </c>
    </row>
    <row r="135" spans="1:5">
      <c r="A135" t="s">
        <v>698</v>
      </c>
      <c r="E135" t="s">
        <v>12661</v>
      </c>
    </row>
    <row r="136" spans="1:5">
      <c r="A136" t="s">
        <v>703</v>
      </c>
      <c r="E136" t="s">
        <v>12662</v>
      </c>
    </row>
    <row r="137" spans="1:5">
      <c r="A137" t="s">
        <v>708</v>
      </c>
      <c r="E137" t="s">
        <v>12663</v>
      </c>
    </row>
    <row r="138" spans="1:5">
      <c r="A138" t="s">
        <v>712</v>
      </c>
      <c r="E138" t="s">
        <v>12664</v>
      </c>
    </row>
    <row r="139" spans="1:5">
      <c r="A139" t="s">
        <v>717</v>
      </c>
      <c r="E139" t="s">
        <v>12665</v>
      </c>
    </row>
    <row r="140" spans="1:5">
      <c r="A140" t="s">
        <v>722</v>
      </c>
      <c r="E140" t="s">
        <v>12666</v>
      </c>
    </row>
    <row r="141" spans="1:5">
      <c r="A141" t="s">
        <v>727</v>
      </c>
      <c r="E141" t="s">
        <v>12667</v>
      </c>
    </row>
    <row r="142" spans="1:5">
      <c r="A142" t="s">
        <v>732</v>
      </c>
      <c r="E142" t="s">
        <v>12668</v>
      </c>
    </row>
    <row r="143" spans="1:5">
      <c r="A143" t="s">
        <v>737</v>
      </c>
      <c r="E143" t="s">
        <v>12669</v>
      </c>
    </row>
    <row r="144" spans="1:5">
      <c r="A144" t="s">
        <v>742</v>
      </c>
      <c r="E144" t="s">
        <v>12670</v>
      </c>
    </row>
    <row r="145" spans="1:5">
      <c r="A145" t="s">
        <v>747</v>
      </c>
      <c r="E145" t="s">
        <v>12671</v>
      </c>
    </row>
    <row r="146" spans="1:5">
      <c r="A146" t="s">
        <v>752</v>
      </c>
      <c r="E146" t="s">
        <v>12672</v>
      </c>
    </row>
    <row r="147" spans="1:5">
      <c r="A147" t="s">
        <v>757</v>
      </c>
      <c r="E147" t="s">
        <v>12673</v>
      </c>
    </row>
    <row r="148" spans="1:5">
      <c r="A148" t="s">
        <v>761</v>
      </c>
      <c r="E148" t="s">
        <v>12674</v>
      </c>
    </row>
    <row r="149" spans="1:5">
      <c r="A149" t="s">
        <v>766</v>
      </c>
      <c r="E149" t="s">
        <v>12675</v>
      </c>
    </row>
    <row r="150" spans="1:5">
      <c r="A150" t="s">
        <v>771</v>
      </c>
      <c r="E150" t="s">
        <v>12676</v>
      </c>
    </row>
    <row r="151" spans="1:5">
      <c r="A151" t="s">
        <v>776</v>
      </c>
      <c r="E151" t="s">
        <v>12677</v>
      </c>
    </row>
    <row r="152" spans="1:5">
      <c r="A152" t="s">
        <v>781</v>
      </c>
      <c r="E152" t="s">
        <v>12678</v>
      </c>
    </row>
    <row r="153" spans="1:5">
      <c r="A153" t="s">
        <v>785</v>
      </c>
      <c r="E153" t="s">
        <v>12679</v>
      </c>
    </row>
    <row r="154" spans="1:5">
      <c r="A154" t="s">
        <v>789</v>
      </c>
      <c r="E154" t="s">
        <v>12680</v>
      </c>
    </row>
    <row r="155" spans="1:5">
      <c r="A155" t="s">
        <v>793</v>
      </c>
      <c r="E155" t="s">
        <v>12681</v>
      </c>
    </row>
    <row r="156" spans="1:5">
      <c r="A156" t="s">
        <v>798</v>
      </c>
      <c r="E156" t="s">
        <v>12682</v>
      </c>
    </row>
    <row r="157" spans="1:5">
      <c r="A157" t="s">
        <v>803</v>
      </c>
      <c r="E157" t="s">
        <v>12683</v>
      </c>
    </row>
    <row r="158" spans="1:5">
      <c r="A158" t="s">
        <v>807</v>
      </c>
      <c r="E158" t="s">
        <v>12684</v>
      </c>
    </row>
    <row r="159" spans="1:5">
      <c r="A159" t="s">
        <v>811</v>
      </c>
      <c r="E159" t="s">
        <v>12685</v>
      </c>
    </row>
    <row r="160" spans="1:5">
      <c r="A160" t="s">
        <v>816</v>
      </c>
      <c r="E160" t="s">
        <v>12686</v>
      </c>
    </row>
    <row r="161" spans="1:5">
      <c r="A161" t="s">
        <v>821</v>
      </c>
      <c r="E161" t="s">
        <v>12687</v>
      </c>
    </row>
    <row r="162" spans="1:5">
      <c r="A162" t="s">
        <v>826</v>
      </c>
      <c r="E162" t="s">
        <v>12688</v>
      </c>
    </row>
    <row r="163" spans="1:5">
      <c r="A163" t="s">
        <v>831</v>
      </c>
      <c r="E163" t="s">
        <v>12689</v>
      </c>
    </row>
    <row r="164" spans="1:5">
      <c r="A164" t="s">
        <v>836</v>
      </c>
      <c r="E164" t="s">
        <v>12690</v>
      </c>
    </row>
    <row r="165" spans="1:5">
      <c r="A165" t="s">
        <v>841</v>
      </c>
      <c r="E165" t="s">
        <v>12691</v>
      </c>
    </row>
    <row r="166" spans="1:5">
      <c r="A166" t="s">
        <v>846</v>
      </c>
      <c r="E166" t="s">
        <v>12692</v>
      </c>
    </row>
    <row r="167" spans="1:5">
      <c r="A167" t="s">
        <v>851</v>
      </c>
      <c r="E167" t="s">
        <v>12693</v>
      </c>
    </row>
    <row r="168" spans="1:5">
      <c r="A168" t="s">
        <v>856</v>
      </c>
      <c r="E168" t="s">
        <v>12694</v>
      </c>
    </row>
    <row r="169" spans="1:5">
      <c r="A169" t="s">
        <v>860</v>
      </c>
      <c r="E169" t="s">
        <v>12695</v>
      </c>
    </row>
    <row r="170" spans="1:5">
      <c r="A170" t="s">
        <v>864</v>
      </c>
      <c r="E170" t="s">
        <v>12696</v>
      </c>
    </row>
    <row r="171" spans="1:5">
      <c r="A171" t="s">
        <v>869</v>
      </c>
      <c r="E171" t="s">
        <v>12697</v>
      </c>
    </row>
    <row r="172" spans="1:5">
      <c r="A172" t="s">
        <v>874</v>
      </c>
      <c r="E172" t="s">
        <v>12698</v>
      </c>
    </row>
    <row r="173" spans="1:5">
      <c r="A173" t="s">
        <v>879</v>
      </c>
      <c r="E173" t="s">
        <v>12699</v>
      </c>
    </row>
    <row r="174" spans="1:5">
      <c r="A174" t="s">
        <v>884</v>
      </c>
      <c r="E174" t="s">
        <v>12700</v>
      </c>
    </row>
    <row r="175" spans="1:5">
      <c r="A175" t="s">
        <v>889</v>
      </c>
      <c r="E175" t="s">
        <v>12701</v>
      </c>
    </row>
    <row r="176" spans="1:5">
      <c r="A176" t="s">
        <v>894</v>
      </c>
      <c r="E176" t="s">
        <v>12702</v>
      </c>
    </row>
    <row r="177" spans="1:5">
      <c r="A177" t="s">
        <v>899</v>
      </c>
      <c r="E177" t="s">
        <v>12703</v>
      </c>
    </row>
    <row r="178" spans="1:5">
      <c r="A178" t="s">
        <v>904</v>
      </c>
      <c r="E178" t="s">
        <v>12704</v>
      </c>
    </row>
    <row r="179" spans="1:5">
      <c r="A179" t="s">
        <v>909</v>
      </c>
      <c r="E179" t="s">
        <v>12705</v>
      </c>
    </row>
    <row r="180" spans="1:5">
      <c r="A180" t="s">
        <v>914</v>
      </c>
      <c r="E180" t="s">
        <v>12706</v>
      </c>
    </row>
    <row r="181" spans="1:5">
      <c r="A181" t="s">
        <v>919</v>
      </c>
      <c r="E181" t="s">
        <v>12707</v>
      </c>
    </row>
    <row r="182" spans="1:5">
      <c r="A182" t="s">
        <v>924</v>
      </c>
      <c r="E182" t="s">
        <v>12708</v>
      </c>
    </row>
    <row r="183" spans="1:5">
      <c r="A183" t="s">
        <v>929</v>
      </c>
      <c r="E183" t="s">
        <v>12709</v>
      </c>
    </row>
    <row r="184" spans="1:5">
      <c r="A184" t="s">
        <v>934</v>
      </c>
      <c r="E184" t="s">
        <v>12710</v>
      </c>
    </row>
    <row r="185" spans="1:5">
      <c r="A185" t="s">
        <v>939</v>
      </c>
      <c r="E185" t="s">
        <v>12711</v>
      </c>
    </row>
    <row r="186" spans="1:5">
      <c r="A186" t="s">
        <v>944</v>
      </c>
      <c r="E186" t="s">
        <v>12712</v>
      </c>
    </row>
    <row r="187" spans="1:5">
      <c r="A187" t="s">
        <v>949</v>
      </c>
      <c r="E187" t="s">
        <v>12713</v>
      </c>
    </row>
    <row r="188" spans="1:5">
      <c r="A188" t="s">
        <v>954</v>
      </c>
      <c r="E188" t="s">
        <v>12714</v>
      </c>
    </row>
    <row r="189" spans="1:5">
      <c r="A189" t="s">
        <v>959</v>
      </c>
      <c r="E189" t="s">
        <v>12715</v>
      </c>
    </row>
    <row r="190" spans="1:5">
      <c r="A190" t="s">
        <v>964</v>
      </c>
      <c r="E190" t="s">
        <v>12716</v>
      </c>
    </row>
    <row r="191" spans="1:5">
      <c r="A191" t="s">
        <v>969</v>
      </c>
      <c r="E191" t="s">
        <v>12717</v>
      </c>
    </row>
    <row r="192" spans="1:5">
      <c r="A192" t="s">
        <v>974</v>
      </c>
      <c r="E192" t="s">
        <v>12718</v>
      </c>
    </row>
    <row r="193" spans="1:5">
      <c r="A193" t="s">
        <v>979</v>
      </c>
      <c r="E193" t="s">
        <v>12719</v>
      </c>
    </row>
    <row r="194" spans="1:5">
      <c r="A194" t="s">
        <v>983</v>
      </c>
      <c r="E194" t="s">
        <v>12720</v>
      </c>
    </row>
    <row r="195" spans="1:5">
      <c r="A195" t="s">
        <v>988</v>
      </c>
      <c r="E195" t="s">
        <v>12721</v>
      </c>
    </row>
    <row r="196" spans="1:5">
      <c r="A196" t="s">
        <v>992</v>
      </c>
      <c r="E196" t="s">
        <v>12722</v>
      </c>
    </row>
    <row r="197" spans="1:5">
      <c r="A197" t="s">
        <v>997</v>
      </c>
      <c r="E197" t="s">
        <v>12723</v>
      </c>
    </row>
    <row r="198" spans="1:5">
      <c r="A198" t="s">
        <v>1002</v>
      </c>
      <c r="E198" t="s">
        <v>12724</v>
      </c>
    </row>
    <row r="199" spans="1:5">
      <c r="A199" t="s">
        <v>1007</v>
      </c>
      <c r="E199" t="s">
        <v>12725</v>
      </c>
    </row>
    <row r="200" spans="1:5">
      <c r="A200" t="s">
        <v>1011</v>
      </c>
      <c r="E200" t="s">
        <v>12726</v>
      </c>
    </row>
    <row r="201" spans="1:5">
      <c r="A201" t="s">
        <v>1016</v>
      </c>
      <c r="E201" t="s">
        <v>12727</v>
      </c>
    </row>
    <row r="202" spans="1:5">
      <c r="A202" t="s">
        <v>1021</v>
      </c>
      <c r="E202" t="s">
        <v>12728</v>
      </c>
    </row>
    <row r="203" spans="1:5">
      <c r="A203" t="s">
        <v>1026</v>
      </c>
      <c r="E203" t="s">
        <v>12729</v>
      </c>
    </row>
    <row r="204" spans="1:5">
      <c r="A204" t="s">
        <v>1030</v>
      </c>
      <c r="E204" t="s">
        <v>12730</v>
      </c>
    </row>
    <row r="205" spans="1:5">
      <c r="A205" t="s">
        <v>1034</v>
      </c>
      <c r="E205" t="s">
        <v>12731</v>
      </c>
    </row>
    <row r="206" spans="1:5">
      <c r="A206" t="s">
        <v>1039</v>
      </c>
      <c r="E206" t="s">
        <v>12732</v>
      </c>
    </row>
    <row r="207" spans="1:5">
      <c r="A207" t="s">
        <v>1043</v>
      </c>
      <c r="E207" t="s">
        <v>12733</v>
      </c>
    </row>
    <row r="208" spans="1:5">
      <c r="A208" t="s">
        <v>1048</v>
      </c>
      <c r="E208" t="s">
        <v>12734</v>
      </c>
    </row>
    <row r="209" spans="1:5">
      <c r="A209" t="s">
        <v>1053</v>
      </c>
      <c r="E209" t="s">
        <v>12735</v>
      </c>
    </row>
    <row r="210" spans="1:5">
      <c r="A210" t="s">
        <v>1058</v>
      </c>
      <c r="E210" t="s">
        <v>12736</v>
      </c>
    </row>
    <row r="211" spans="1:5">
      <c r="A211" t="s">
        <v>1063</v>
      </c>
      <c r="E211" t="s">
        <v>12737</v>
      </c>
    </row>
    <row r="212" spans="1:5">
      <c r="A212" t="s">
        <v>1068</v>
      </c>
      <c r="E212" t="s">
        <v>12738</v>
      </c>
    </row>
    <row r="213" spans="1:5">
      <c r="A213" t="s">
        <v>1073</v>
      </c>
      <c r="E213" t="s">
        <v>12739</v>
      </c>
    </row>
    <row r="214" spans="1:5">
      <c r="A214" t="s">
        <v>1078</v>
      </c>
      <c r="E214" t="s">
        <v>12740</v>
      </c>
    </row>
    <row r="215" spans="1:5">
      <c r="A215" t="s">
        <v>1082</v>
      </c>
      <c r="E215" t="s">
        <v>12741</v>
      </c>
    </row>
    <row r="216" spans="1:5">
      <c r="A216" t="s">
        <v>1087</v>
      </c>
      <c r="E216" t="s">
        <v>12742</v>
      </c>
    </row>
    <row r="217" spans="1:5">
      <c r="A217" t="s">
        <v>1091</v>
      </c>
      <c r="E217" t="s">
        <v>12743</v>
      </c>
    </row>
    <row r="218" spans="1:5">
      <c r="A218" t="s">
        <v>1096</v>
      </c>
      <c r="E218" t="s">
        <v>12744</v>
      </c>
    </row>
    <row r="219" spans="1:5">
      <c r="A219" t="s">
        <v>1101</v>
      </c>
      <c r="E219" t="s">
        <v>12745</v>
      </c>
    </row>
    <row r="220" spans="1:5">
      <c r="A220" t="s">
        <v>1105</v>
      </c>
      <c r="E220" t="s">
        <v>12746</v>
      </c>
    </row>
    <row r="221" spans="1:5">
      <c r="A221" t="s">
        <v>1109</v>
      </c>
      <c r="E221" t="s">
        <v>12747</v>
      </c>
    </row>
    <row r="222" spans="1:5">
      <c r="A222" t="s">
        <v>1114</v>
      </c>
      <c r="E222" t="s">
        <v>12748</v>
      </c>
    </row>
    <row r="223" spans="1:5">
      <c r="A223" t="s">
        <v>1118</v>
      </c>
      <c r="E223" t="s">
        <v>12749</v>
      </c>
    </row>
    <row r="224" spans="1:5">
      <c r="A224" t="s">
        <v>1123</v>
      </c>
      <c r="E224" t="s">
        <v>12750</v>
      </c>
    </row>
    <row r="225" spans="1:5">
      <c r="A225" t="s">
        <v>1128</v>
      </c>
      <c r="E225" t="s">
        <v>12751</v>
      </c>
    </row>
    <row r="226" spans="1:5">
      <c r="A226" t="s">
        <v>1133</v>
      </c>
      <c r="E226" t="s">
        <v>12752</v>
      </c>
    </row>
    <row r="227" spans="1:5">
      <c r="A227" t="s">
        <v>1137</v>
      </c>
      <c r="E227" t="s">
        <v>12753</v>
      </c>
    </row>
    <row r="228" spans="1:5">
      <c r="A228" t="s">
        <v>1141</v>
      </c>
      <c r="E228" t="s">
        <v>12754</v>
      </c>
    </row>
    <row r="229" spans="1:5">
      <c r="A229" t="s">
        <v>1146</v>
      </c>
      <c r="E229" t="s">
        <v>12755</v>
      </c>
    </row>
    <row r="230" spans="1:5">
      <c r="A230" t="s">
        <v>1150</v>
      </c>
      <c r="E230" t="s">
        <v>12756</v>
      </c>
    </row>
    <row r="231" spans="1:5">
      <c r="A231" t="s">
        <v>1155</v>
      </c>
      <c r="E231" t="s">
        <v>12757</v>
      </c>
    </row>
    <row r="232" spans="1:5">
      <c r="A232" t="s">
        <v>1160</v>
      </c>
      <c r="E232" t="s">
        <v>12758</v>
      </c>
    </row>
    <row r="233" spans="1:5">
      <c r="A233" t="s">
        <v>1165</v>
      </c>
      <c r="E233" t="s">
        <v>12759</v>
      </c>
    </row>
    <row r="234" spans="1:5">
      <c r="A234" t="s">
        <v>1170</v>
      </c>
      <c r="E234" t="s">
        <v>12760</v>
      </c>
    </row>
    <row r="235" spans="1:5">
      <c r="A235" t="s">
        <v>1175</v>
      </c>
      <c r="E235" t="s">
        <v>12761</v>
      </c>
    </row>
    <row r="236" spans="1:5">
      <c r="A236" t="s">
        <v>1180</v>
      </c>
      <c r="E236" t="s">
        <v>12762</v>
      </c>
    </row>
    <row r="237" spans="1:5">
      <c r="A237" t="s">
        <v>1185</v>
      </c>
      <c r="E237" t="s">
        <v>12763</v>
      </c>
    </row>
    <row r="238" spans="1:5">
      <c r="A238" t="s">
        <v>1190</v>
      </c>
      <c r="E238" t="s">
        <v>12764</v>
      </c>
    </row>
    <row r="239" spans="1:5">
      <c r="A239" t="s">
        <v>1194</v>
      </c>
      <c r="E239" t="s">
        <v>12765</v>
      </c>
    </row>
    <row r="240" spans="1:5">
      <c r="A240" t="s">
        <v>1199</v>
      </c>
      <c r="E240" t="s">
        <v>12766</v>
      </c>
    </row>
    <row r="241" spans="1:5">
      <c r="A241" t="s">
        <v>1204</v>
      </c>
      <c r="E241" t="s">
        <v>12767</v>
      </c>
    </row>
    <row r="242" spans="1:5">
      <c r="A242" t="s">
        <v>1209</v>
      </c>
      <c r="E242" t="s">
        <v>12768</v>
      </c>
    </row>
    <row r="243" spans="1:5">
      <c r="A243" t="s">
        <v>1214</v>
      </c>
      <c r="E243" t="s">
        <v>12769</v>
      </c>
    </row>
    <row r="244" spans="1:5">
      <c r="A244" t="s">
        <v>1219</v>
      </c>
      <c r="E244" t="s">
        <v>12770</v>
      </c>
    </row>
    <row r="245" spans="1:5">
      <c r="A245" t="s">
        <v>1224</v>
      </c>
      <c r="E245" t="s">
        <v>12771</v>
      </c>
    </row>
    <row r="246" spans="1:5">
      <c r="A246" t="s">
        <v>1229</v>
      </c>
      <c r="E246" t="s">
        <v>12772</v>
      </c>
    </row>
    <row r="247" spans="1:5">
      <c r="A247" t="s">
        <v>1234</v>
      </c>
      <c r="E247" t="s">
        <v>12773</v>
      </c>
    </row>
    <row r="248" spans="1:5">
      <c r="A248" t="s">
        <v>1239</v>
      </c>
      <c r="E248" t="s">
        <v>12774</v>
      </c>
    </row>
    <row r="249" spans="1:5">
      <c r="A249" t="s">
        <v>1243</v>
      </c>
      <c r="E249" t="s">
        <v>12775</v>
      </c>
    </row>
    <row r="250" spans="1:5">
      <c r="A250" t="s">
        <v>1248</v>
      </c>
      <c r="E250" t="s">
        <v>12776</v>
      </c>
    </row>
    <row r="251" spans="1:5">
      <c r="A251" t="s">
        <v>1252</v>
      </c>
      <c r="E251" t="s">
        <v>12777</v>
      </c>
    </row>
    <row r="252" spans="1:5">
      <c r="A252" t="s">
        <v>1257</v>
      </c>
      <c r="E252" t="s">
        <v>12778</v>
      </c>
    </row>
    <row r="253" spans="1:5">
      <c r="A253" t="s">
        <v>1262</v>
      </c>
      <c r="E253" t="s">
        <v>12779</v>
      </c>
    </row>
    <row r="254" spans="1:5">
      <c r="A254" t="s">
        <v>1267</v>
      </c>
      <c r="E254" t="s">
        <v>12780</v>
      </c>
    </row>
    <row r="255" spans="1:5">
      <c r="A255" t="s">
        <v>1272</v>
      </c>
      <c r="E255" t="s">
        <v>12781</v>
      </c>
    </row>
    <row r="256" spans="1:5">
      <c r="A256" t="s">
        <v>1276</v>
      </c>
      <c r="E256" t="s">
        <v>12782</v>
      </c>
    </row>
    <row r="257" spans="1:5">
      <c r="A257" t="s">
        <v>1281</v>
      </c>
      <c r="E257" t="s">
        <v>12783</v>
      </c>
    </row>
    <row r="258" spans="1:5">
      <c r="A258" t="s">
        <v>1286</v>
      </c>
      <c r="E258" t="s">
        <v>12784</v>
      </c>
    </row>
    <row r="259" spans="1:5">
      <c r="A259" t="s">
        <v>1290</v>
      </c>
      <c r="E259" t="s">
        <v>12785</v>
      </c>
    </row>
    <row r="260" spans="1:5">
      <c r="A260" t="s">
        <v>1295</v>
      </c>
      <c r="E260" t="s">
        <v>12786</v>
      </c>
    </row>
    <row r="261" spans="1:5">
      <c r="A261" t="s">
        <v>1300</v>
      </c>
      <c r="E261" t="s">
        <v>12787</v>
      </c>
    </row>
    <row r="262" spans="1:5">
      <c r="A262" t="s">
        <v>1305</v>
      </c>
      <c r="E262" t="s">
        <v>12788</v>
      </c>
    </row>
    <row r="263" spans="1:5">
      <c r="A263" t="s">
        <v>1310</v>
      </c>
      <c r="E263" t="s">
        <v>12789</v>
      </c>
    </row>
    <row r="264" spans="1:5">
      <c r="A264" t="s">
        <v>1314</v>
      </c>
      <c r="E264" t="s">
        <v>12790</v>
      </c>
    </row>
    <row r="265" spans="1:5">
      <c r="A265" t="s">
        <v>1318</v>
      </c>
      <c r="E265" t="s">
        <v>12791</v>
      </c>
    </row>
    <row r="266" spans="1:5">
      <c r="A266" t="s">
        <v>1322</v>
      </c>
      <c r="E266" t="s">
        <v>12792</v>
      </c>
    </row>
    <row r="267" spans="1:5">
      <c r="A267" t="s">
        <v>1327</v>
      </c>
      <c r="E267" t="s">
        <v>12793</v>
      </c>
    </row>
    <row r="268" spans="1:5">
      <c r="A268" t="s">
        <v>1331</v>
      </c>
      <c r="E268" t="s">
        <v>12794</v>
      </c>
    </row>
    <row r="269" spans="1:5">
      <c r="A269" t="s">
        <v>1336</v>
      </c>
      <c r="E269" t="s">
        <v>12795</v>
      </c>
    </row>
    <row r="270" spans="1:5">
      <c r="A270" t="s">
        <v>1340</v>
      </c>
      <c r="E270" t="s">
        <v>12796</v>
      </c>
    </row>
    <row r="271" spans="1:5">
      <c r="A271" t="s">
        <v>1344</v>
      </c>
      <c r="E271" t="s">
        <v>12797</v>
      </c>
    </row>
    <row r="272" spans="1:5">
      <c r="A272" t="s">
        <v>1349</v>
      </c>
      <c r="E272" t="s">
        <v>12798</v>
      </c>
    </row>
    <row r="273" spans="1:5">
      <c r="A273" t="s">
        <v>1354</v>
      </c>
      <c r="E273" t="s">
        <v>12799</v>
      </c>
    </row>
    <row r="274" spans="1:5">
      <c r="A274" t="s">
        <v>1359</v>
      </c>
      <c r="E274" t="s">
        <v>12800</v>
      </c>
    </row>
    <row r="275" spans="1:5">
      <c r="A275" t="s">
        <v>1363</v>
      </c>
      <c r="E275" t="s">
        <v>12801</v>
      </c>
    </row>
    <row r="276" spans="1:5">
      <c r="A276" t="s">
        <v>1368</v>
      </c>
      <c r="E276" t="s">
        <v>12802</v>
      </c>
    </row>
    <row r="277" spans="1:5">
      <c r="A277" t="s">
        <v>1373</v>
      </c>
      <c r="E277" t="s">
        <v>12803</v>
      </c>
    </row>
    <row r="278" spans="1:5">
      <c r="A278" t="s">
        <v>1378</v>
      </c>
      <c r="E278" t="s">
        <v>12804</v>
      </c>
    </row>
    <row r="279" spans="1:5">
      <c r="A279" t="s">
        <v>1383</v>
      </c>
      <c r="E279" t="s">
        <v>12805</v>
      </c>
    </row>
    <row r="280" spans="1:5">
      <c r="A280" t="s">
        <v>1388</v>
      </c>
      <c r="E280" t="s">
        <v>12806</v>
      </c>
    </row>
    <row r="281" spans="1:5">
      <c r="A281" t="s">
        <v>1393</v>
      </c>
      <c r="E281" t="s">
        <v>12807</v>
      </c>
    </row>
    <row r="282" spans="1:5">
      <c r="A282" t="s">
        <v>1397</v>
      </c>
      <c r="E282" t="s">
        <v>12808</v>
      </c>
    </row>
    <row r="283" spans="1:5">
      <c r="A283" t="s">
        <v>1401</v>
      </c>
      <c r="E283" t="s">
        <v>12809</v>
      </c>
    </row>
    <row r="284" spans="1:5">
      <c r="A284" t="s">
        <v>1406</v>
      </c>
      <c r="E284" t="s">
        <v>12810</v>
      </c>
    </row>
    <row r="285" spans="1:5">
      <c r="A285" t="s">
        <v>1411</v>
      </c>
      <c r="E285" t="s">
        <v>12811</v>
      </c>
    </row>
    <row r="286" spans="1:5">
      <c r="A286" t="s">
        <v>1415</v>
      </c>
      <c r="E286" t="s">
        <v>12812</v>
      </c>
    </row>
    <row r="287" spans="1:5">
      <c r="A287" t="s">
        <v>1419</v>
      </c>
      <c r="E287" t="s">
        <v>12813</v>
      </c>
    </row>
    <row r="288" spans="1:5">
      <c r="A288" t="s">
        <v>1424</v>
      </c>
      <c r="E288" t="s">
        <v>12814</v>
      </c>
    </row>
    <row r="289" spans="1:5">
      <c r="A289" t="s">
        <v>1428</v>
      </c>
      <c r="E289" t="s">
        <v>12815</v>
      </c>
    </row>
    <row r="290" spans="1:5">
      <c r="A290" t="s">
        <v>1433</v>
      </c>
      <c r="E290" t="s">
        <v>12816</v>
      </c>
    </row>
    <row r="291" spans="1:5">
      <c r="A291" t="s">
        <v>1438</v>
      </c>
      <c r="E291" t="s">
        <v>12817</v>
      </c>
    </row>
    <row r="292" spans="1:5">
      <c r="A292" t="s">
        <v>1442</v>
      </c>
      <c r="E292" t="s">
        <v>12818</v>
      </c>
    </row>
    <row r="293" spans="1:5">
      <c r="A293" t="s">
        <v>1446</v>
      </c>
      <c r="E293" t="s">
        <v>12819</v>
      </c>
    </row>
    <row r="294" spans="1:5">
      <c r="A294" t="s">
        <v>1450</v>
      </c>
      <c r="E294" t="s">
        <v>12820</v>
      </c>
    </row>
    <row r="295" spans="1:5">
      <c r="A295" t="s">
        <v>1454</v>
      </c>
      <c r="E295" t="s">
        <v>12821</v>
      </c>
    </row>
    <row r="296" spans="1:5">
      <c r="A296" t="s">
        <v>1458</v>
      </c>
      <c r="E296" t="s">
        <v>12822</v>
      </c>
    </row>
    <row r="297" spans="1:5">
      <c r="A297" t="s">
        <v>1463</v>
      </c>
      <c r="E297" t="s">
        <v>12823</v>
      </c>
    </row>
    <row r="298" spans="1:5">
      <c r="A298" t="s">
        <v>1468</v>
      </c>
      <c r="E298" t="s">
        <v>12824</v>
      </c>
    </row>
    <row r="299" spans="1:5">
      <c r="A299" t="s">
        <v>1472</v>
      </c>
      <c r="E299" t="s">
        <v>12825</v>
      </c>
    </row>
    <row r="300" spans="1:5">
      <c r="A300" t="s">
        <v>1477</v>
      </c>
      <c r="E300" t="s">
        <v>12826</v>
      </c>
    </row>
    <row r="301" spans="1:5">
      <c r="A301" t="s">
        <v>1482</v>
      </c>
      <c r="E301" t="s">
        <v>12827</v>
      </c>
    </row>
    <row r="302" spans="1:5">
      <c r="A302" t="s">
        <v>1487</v>
      </c>
      <c r="E302" t="s">
        <v>12828</v>
      </c>
    </row>
    <row r="303" spans="1:5">
      <c r="A303" t="s">
        <v>1491</v>
      </c>
      <c r="E303" t="s">
        <v>12829</v>
      </c>
    </row>
    <row r="304" spans="1:5">
      <c r="A304" t="s">
        <v>1496</v>
      </c>
      <c r="E304" t="s">
        <v>12830</v>
      </c>
    </row>
    <row r="305" spans="1:5">
      <c r="A305" t="s">
        <v>1501</v>
      </c>
      <c r="E305" t="s">
        <v>12831</v>
      </c>
    </row>
    <row r="306" spans="1:5">
      <c r="A306" t="s">
        <v>1505</v>
      </c>
      <c r="E306" t="s">
        <v>12832</v>
      </c>
    </row>
    <row r="307" spans="1:5">
      <c r="A307" t="s">
        <v>1510</v>
      </c>
      <c r="E307" t="s">
        <v>12833</v>
      </c>
    </row>
    <row r="308" spans="1:5">
      <c r="A308" t="s">
        <v>1515</v>
      </c>
      <c r="E308" t="s">
        <v>12834</v>
      </c>
    </row>
    <row r="309" spans="1:5">
      <c r="A309" t="s">
        <v>1519</v>
      </c>
      <c r="E309" t="s">
        <v>12835</v>
      </c>
    </row>
    <row r="310" spans="1:5">
      <c r="A310" t="s">
        <v>1524</v>
      </c>
      <c r="E310" t="s">
        <v>12836</v>
      </c>
    </row>
    <row r="311" spans="1:5">
      <c r="A311" t="s">
        <v>1529</v>
      </c>
      <c r="E311" t="s">
        <v>12837</v>
      </c>
    </row>
    <row r="312" spans="1:5">
      <c r="A312" t="s">
        <v>1534</v>
      </c>
      <c r="E312" t="s">
        <v>12838</v>
      </c>
    </row>
    <row r="313" spans="1:5">
      <c r="A313" t="s">
        <v>1539</v>
      </c>
      <c r="E313" t="s">
        <v>12839</v>
      </c>
    </row>
    <row r="314" spans="1:5">
      <c r="A314" t="s">
        <v>1543</v>
      </c>
      <c r="E314" t="s">
        <v>12840</v>
      </c>
    </row>
    <row r="315" spans="1:5">
      <c r="A315" t="s">
        <v>1547</v>
      </c>
      <c r="E315" t="s">
        <v>12841</v>
      </c>
    </row>
    <row r="316" spans="1:5">
      <c r="A316" t="s">
        <v>1551</v>
      </c>
      <c r="E316" t="s">
        <v>12842</v>
      </c>
    </row>
    <row r="317" spans="1:5">
      <c r="A317" t="s">
        <v>1555</v>
      </c>
      <c r="E317" t="s">
        <v>12843</v>
      </c>
    </row>
    <row r="318" spans="1:5">
      <c r="A318" t="s">
        <v>1560</v>
      </c>
      <c r="E318" t="s">
        <v>12844</v>
      </c>
    </row>
    <row r="319" spans="1:5">
      <c r="A319" t="s">
        <v>1564</v>
      </c>
      <c r="E319" t="s">
        <v>12845</v>
      </c>
    </row>
    <row r="320" spans="1:5">
      <c r="A320" t="s">
        <v>1569</v>
      </c>
      <c r="E320" t="s">
        <v>12846</v>
      </c>
    </row>
    <row r="321" spans="1:5">
      <c r="A321" t="s">
        <v>1574</v>
      </c>
      <c r="E321" t="s">
        <v>12847</v>
      </c>
    </row>
    <row r="322" spans="1:5">
      <c r="A322" t="s">
        <v>1579</v>
      </c>
      <c r="E322" t="s">
        <v>12848</v>
      </c>
    </row>
    <row r="323" spans="1:5">
      <c r="A323" t="s">
        <v>1584</v>
      </c>
      <c r="E323" t="s">
        <v>12849</v>
      </c>
    </row>
    <row r="324" spans="1:5">
      <c r="A324" t="s">
        <v>1588</v>
      </c>
      <c r="E324" t="s">
        <v>12850</v>
      </c>
    </row>
    <row r="325" spans="1:5">
      <c r="A325" t="s">
        <v>1592</v>
      </c>
      <c r="E325" t="s">
        <v>12851</v>
      </c>
    </row>
    <row r="326" spans="1:5">
      <c r="A326" t="s">
        <v>1597</v>
      </c>
      <c r="E326" t="s">
        <v>12852</v>
      </c>
    </row>
    <row r="327" spans="1:5">
      <c r="A327" t="s">
        <v>1602</v>
      </c>
      <c r="E327" t="s">
        <v>12853</v>
      </c>
    </row>
    <row r="328" spans="1:5">
      <c r="A328" t="s">
        <v>1607</v>
      </c>
      <c r="E328" t="s">
        <v>12854</v>
      </c>
    </row>
    <row r="329" spans="1:5">
      <c r="A329" t="s">
        <v>1612</v>
      </c>
      <c r="E329" t="s">
        <v>12855</v>
      </c>
    </row>
    <row r="330" spans="1:5">
      <c r="A330" t="s">
        <v>1616</v>
      </c>
      <c r="E330" t="s">
        <v>12856</v>
      </c>
    </row>
    <row r="331" spans="1:5">
      <c r="A331" t="s">
        <v>1621</v>
      </c>
      <c r="E331" t="s">
        <v>12857</v>
      </c>
    </row>
    <row r="332" spans="1:5">
      <c r="A332" t="s">
        <v>1626</v>
      </c>
      <c r="E332" t="s">
        <v>12858</v>
      </c>
    </row>
    <row r="333" spans="1:5">
      <c r="A333" t="s">
        <v>1631</v>
      </c>
      <c r="E333" t="s">
        <v>12859</v>
      </c>
    </row>
    <row r="334" spans="1:5">
      <c r="A334" t="s">
        <v>1636</v>
      </c>
      <c r="E334" t="s">
        <v>12860</v>
      </c>
    </row>
    <row r="335" spans="1:5">
      <c r="A335" t="s">
        <v>1641</v>
      </c>
      <c r="E335" t="s">
        <v>12861</v>
      </c>
    </row>
    <row r="336" spans="1:5">
      <c r="A336" t="s">
        <v>1645</v>
      </c>
      <c r="E336" t="s">
        <v>12862</v>
      </c>
    </row>
    <row r="337" spans="1:5">
      <c r="A337" t="s">
        <v>1650</v>
      </c>
      <c r="E337" t="s">
        <v>12863</v>
      </c>
    </row>
    <row r="338" spans="1:5">
      <c r="A338" t="s">
        <v>1655</v>
      </c>
      <c r="E338" t="s">
        <v>12864</v>
      </c>
    </row>
    <row r="339" spans="1:5">
      <c r="A339" t="s">
        <v>1659</v>
      </c>
      <c r="E339" t="s">
        <v>12865</v>
      </c>
    </row>
    <row r="340" spans="1:5">
      <c r="A340" t="s">
        <v>1664</v>
      </c>
      <c r="E340" t="s">
        <v>12866</v>
      </c>
    </row>
    <row r="341" spans="1:5">
      <c r="A341" t="s">
        <v>1669</v>
      </c>
      <c r="E341" t="s">
        <v>12867</v>
      </c>
    </row>
    <row r="342" spans="1:5">
      <c r="A342" t="s">
        <v>1673</v>
      </c>
      <c r="E342" t="s">
        <v>12868</v>
      </c>
    </row>
    <row r="343" spans="1:5">
      <c r="A343" t="s">
        <v>1677</v>
      </c>
      <c r="E343" t="s">
        <v>12869</v>
      </c>
    </row>
    <row r="344" spans="1:5">
      <c r="A344" t="s">
        <v>1681</v>
      </c>
      <c r="E344" t="s">
        <v>12870</v>
      </c>
    </row>
    <row r="345" spans="1:5">
      <c r="A345" t="s">
        <v>1685</v>
      </c>
      <c r="E345" t="s">
        <v>12871</v>
      </c>
    </row>
    <row r="346" spans="1:5">
      <c r="A346" t="s">
        <v>1690</v>
      </c>
      <c r="E346" t="s">
        <v>12872</v>
      </c>
    </row>
    <row r="347" spans="1:5">
      <c r="A347" t="s">
        <v>1694</v>
      </c>
      <c r="E347" t="s">
        <v>12873</v>
      </c>
    </row>
    <row r="348" spans="1:5">
      <c r="A348" t="s">
        <v>1698</v>
      </c>
      <c r="E348" t="s">
        <v>12874</v>
      </c>
    </row>
    <row r="349" spans="1:5">
      <c r="A349" t="s">
        <v>1703</v>
      </c>
      <c r="E349" t="s">
        <v>12875</v>
      </c>
    </row>
    <row r="350" spans="1:5">
      <c r="A350" t="s">
        <v>1708</v>
      </c>
      <c r="E350" t="s">
        <v>12876</v>
      </c>
    </row>
    <row r="351" spans="1:5">
      <c r="A351" t="s">
        <v>1713</v>
      </c>
      <c r="E351" t="s">
        <v>12877</v>
      </c>
    </row>
    <row r="352" spans="1:5">
      <c r="A352" t="s">
        <v>1718</v>
      </c>
      <c r="E352" t="s">
        <v>12878</v>
      </c>
    </row>
    <row r="353" spans="1:5">
      <c r="A353" t="s">
        <v>1722</v>
      </c>
      <c r="E353" t="s">
        <v>12879</v>
      </c>
    </row>
    <row r="354" spans="1:5">
      <c r="A354" t="s">
        <v>1726</v>
      </c>
      <c r="E354" t="s">
        <v>12880</v>
      </c>
    </row>
    <row r="355" spans="1:5">
      <c r="A355" t="s">
        <v>1730</v>
      </c>
      <c r="E355" t="s">
        <v>12881</v>
      </c>
    </row>
    <row r="356" spans="1:5">
      <c r="A356" t="s">
        <v>1735</v>
      </c>
      <c r="E356" t="s">
        <v>12882</v>
      </c>
    </row>
    <row r="357" spans="1:5">
      <c r="A357" t="s">
        <v>1739</v>
      </c>
      <c r="E357" t="s">
        <v>12883</v>
      </c>
    </row>
    <row r="358" spans="1:5">
      <c r="A358" t="s">
        <v>1744</v>
      </c>
      <c r="E358" t="s">
        <v>12884</v>
      </c>
    </row>
    <row r="359" spans="1:5">
      <c r="A359" t="s">
        <v>1749</v>
      </c>
      <c r="E359" t="s">
        <v>12885</v>
      </c>
    </row>
    <row r="360" spans="1:5">
      <c r="A360" t="s">
        <v>1754</v>
      </c>
      <c r="E360" t="s">
        <v>12886</v>
      </c>
    </row>
    <row r="361" spans="1:5">
      <c r="A361" t="s">
        <v>1758</v>
      </c>
      <c r="E361" t="s">
        <v>12887</v>
      </c>
    </row>
    <row r="362" spans="1:5">
      <c r="A362" t="s">
        <v>1763</v>
      </c>
      <c r="E362" t="s">
        <v>12888</v>
      </c>
    </row>
    <row r="363" spans="1:5">
      <c r="A363" t="s">
        <v>1769</v>
      </c>
      <c r="E363" t="s">
        <v>12889</v>
      </c>
    </row>
    <row r="364" spans="1:5">
      <c r="A364" t="s">
        <v>1775</v>
      </c>
      <c r="E364" t="s">
        <v>12890</v>
      </c>
    </row>
    <row r="365" spans="1:5">
      <c r="A365" t="s">
        <v>1779</v>
      </c>
      <c r="E365" t="s">
        <v>12891</v>
      </c>
    </row>
    <row r="366" spans="1:5">
      <c r="A366" t="s">
        <v>1783</v>
      </c>
      <c r="E366" t="s">
        <v>12892</v>
      </c>
    </row>
    <row r="367" spans="1:5">
      <c r="A367" t="s">
        <v>1788</v>
      </c>
      <c r="E367" t="s">
        <v>12893</v>
      </c>
    </row>
    <row r="368" spans="1:5">
      <c r="A368" t="s">
        <v>1793</v>
      </c>
      <c r="E368" t="s">
        <v>12894</v>
      </c>
    </row>
    <row r="369" spans="1:5">
      <c r="A369" t="s">
        <v>1798</v>
      </c>
      <c r="E369" t="s">
        <v>12895</v>
      </c>
    </row>
    <row r="370" spans="1:5">
      <c r="A370" t="s">
        <v>1803</v>
      </c>
      <c r="E370" t="s">
        <v>12896</v>
      </c>
    </row>
    <row r="371" spans="1:5">
      <c r="A371" t="s">
        <v>1808</v>
      </c>
      <c r="E371" t="s">
        <v>12897</v>
      </c>
    </row>
    <row r="372" spans="1:5">
      <c r="A372" t="s">
        <v>1813</v>
      </c>
      <c r="E372" t="s">
        <v>12898</v>
      </c>
    </row>
    <row r="373" spans="1:5">
      <c r="A373" t="s">
        <v>1818</v>
      </c>
      <c r="E373" t="s">
        <v>12899</v>
      </c>
    </row>
    <row r="374" spans="1:5">
      <c r="A374" t="s">
        <v>1823</v>
      </c>
      <c r="E374" t="s">
        <v>12900</v>
      </c>
    </row>
    <row r="375" spans="1:5">
      <c r="A375" t="s">
        <v>1828</v>
      </c>
      <c r="E375" t="s">
        <v>12901</v>
      </c>
    </row>
    <row r="376" spans="1:5">
      <c r="A376" t="s">
        <v>1832</v>
      </c>
      <c r="E376" t="s">
        <v>12902</v>
      </c>
    </row>
    <row r="377" spans="1:5">
      <c r="A377" t="s">
        <v>1837</v>
      </c>
      <c r="E377" t="s">
        <v>12903</v>
      </c>
    </row>
    <row r="378" spans="1:5">
      <c r="A378" t="s">
        <v>1842</v>
      </c>
      <c r="E378" t="s">
        <v>12904</v>
      </c>
    </row>
    <row r="379" spans="1:5">
      <c r="A379" t="s">
        <v>1847</v>
      </c>
      <c r="E379" t="s">
        <v>12905</v>
      </c>
    </row>
    <row r="380" spans="1:5">
      <c r="A380" t="s">
        <v>1852</v>
      </c>
      <c r="E380" t="s">
        <v>12906</v>
      </c>
    </row>
    <row r="381" spans="1:5">
      <c r="A381" t="s">
        <v>1856</v>
      </c>
      <c r="E381" t="s">
        <v>12907</v>
      </c>
    </row>
    <row r="382" spans="1:5">
      <c r="A382" t="s">
        <v>1860</v>
      </c>
      <c r="E382" t="s">
        <v>12908</v>
      </c>
    </row>
    <row r="383" spans="1:5">
      <c r="A383" t="s">
        <v>1865</v>
      </c>
      <c r="E383" t="s">
        <v>12909</v>
      </c>
    </row>
    <row r="384" spans="1:5">
      <c r="A384" t="s">
        <v>1869</v>
      </c>
      <c r="E384" t="s">
        <v>12910</v>
      </c>
    </row>
    <row r="385" spans="1:5">
      <c r="A385" t="s">
        <v>1874</v>
      </c>
      <c r="E385" t="s">
        <v>12911</v>
      </c>
    </row>
    <row r="386" spans="1:5">
      <c r="A386" t="s">
        <v>1879</v>
      </c>
      <c r="E386" t="s">
        <v>12912</v>
      </c>
    </row>
    <row r="387" spans="1:5">
      <c r="A387" t="s">
        <v>1883</v>
      </c>
      <c r="E387" t="s">
        <v>12913</v>
      </c>
    </row>
    <row r="388" spans="1:5">
      <c r="A388" t="s">
        <v>1888</v>
      </c>
      <c r="E388" t="s">
        <v>12914</v>
      </c>
    </row>
    <row r="389" spans="1:5">
      <c r="A389" t="s">
        <v>1892</v>
      </c>
      <c r="E389" t="s">
        <v>12915</v>
      </c>
    </row>
    <row r="390" spans="1:5">
      <c r="A390" t="s">
        <v>1896</v>
      </c>
      <c r="E390" t="s">
        <v>12916</v>
      </c>
    </row>
    <row r="391" spans="1:5">
      <c r="A391" t="s">
        <v>1900</v>
      </c>
      <c r="E391" t="s">
        <v>12917</v>
      </c>
    </row>
    <row r="392" spans="1:5">
      <c r="A392" t="s">
        <v>1904</v>
      </c>
      <c r="E392" t="s">
        <v>12918</v>
      </c>
    </row>
    <row r="393" spans="1:5">
      <c r="A393" t="s">
        <v>1909</v>
      </c>
      <c r="E393" t="s">
        <v>12919</v>
      </c>
    </row>
    <row r="394" spans="1:5">
      <c r="A394" t="s">
        <v>1913</v>
      </c>
      <c r="E394" t="s">
        <v>12920</v>
      </c>
    </row>
    <row r="395" spans="1:5">
      <c r="A395" t="s">
        <v>1917</v>
      </c>
      <c r="E395" t="s">
        <v>12921</v>
      </c>
    </row>
    <row r="396" spans="1:5">
      <c r="A396" t="s">
        <v>1922</v>
      </c>
      <c r="E396" t="s">
        <v>12922</v>
      </c>
    </row>
    <row r="397" spans="1:5">
      <c r="A397" t="s">
        <v>1926</v>
      </c>
      <c r="E397" t="s">
        <v>12923</v>
      </c>
    </row>
    <row r="398" spans="1:5">
      <c r="A398" t="s">
        <v>1931</v>
      </c>
      <c r="E398" t="s">
        <v>12924</v>
      </c>
    </row>
    <row r="399" spans="1:5">
      <c r="A399" t="s">
        <v>1936</v>
      </c>
      <c r="E399" t="s">
        <v>12925</v>
      </c>
    </row>
    <row r="400" spans="1:5">
      <c r="A400" t="s">
        <v>1940</v>
      </c>
      <c r="E400" t="s">
        <v>12926</v>
      </c>
    </row>
    <row r="401" spans="1:5">
      <c r="A401" t="s">
        <v>1944</v>
      </c>
      <c r="E401" t="s">
        <v>12927</v>
      </c>
    </row>
    <row r="402" spans="1:5">
      <c r="A402" t="s">
        <v>1949</v>
      </c>
      <c r="E402" t="s">
        <v>12928</v>
      </c>
    </row>
    <row r="403" spans="1:5">
      <c r="A403" t="s">
        <v>1953</v>
      </c>
      <c r="E403" t="s">
        <v>12929</v>
      </c>
    </row>
    <row r="404" spans="1:5">
      <c r="A404" t="s">
        <v>1957</v>
      </c>
      <c r="E404" t="s">
        <v>12930</v>
      </c>
    </row>
    <row r="405" spans="1:5">
      <c r="A405" t="s">
        <v>1962</v>
      </c>
      <c r="E405" t="s">
        <v>12931</v>
      </c>
    </row>
    <row r="406" spans="1:5">
      <c r="A406" t="s">
        <v>1966</v>
      </c>
      <c r="E406" t="s">
        <v>12932</v>
      </c>
    </row>
    <row r="407" spans="1:5">
      <c r="A407" t="s">
        <v>1971</v>
      </c>
      <c r="E407" t="s">
        <v>12933</v>
      </c>
    </row>
    <row r="408" spans="1:5">
      <c r="A408" t="s">
        <v>1975</v>
      </c>
      <c r="E408" t="s">
        <v>12934</v>
      </c>
    </row>
    <row r="409" spans="1:5">
      <c r="A409" t="s">
        <v>1980</v>
      </c>
      <c r="E409" t="s">
        <v>12935</v>
      </c>
    </row>
    <row r="410" spans="1:5">
      <c r="A410" t="s">
        <v>1985</v>
      </c>
      <c r="E410" t="s">
        <v>12936</v>
      </c>
    </row>
    <row r="411" spans="1:5">
      <c r="A411" t="s">
        <v>1990</v>
      </c>
      <c r="E411" t="s">
        <v>12937</v>
      </c>
    </row>
    <row r="412" spans="1:5">
      <c r="A412" t="s">
        <v>1995</v>
      </c>
      <c r="E412" t="s">
        <v>12938</v>
      </c>
    </row>
    <row r="413" spans="1:5">
      <c r="A413" t="s">
        <v>2000</v>
      </c>
      <c r="E413" t="s">
        <v>12939</v>
      </c>
    </row>
    <row r="414" spans="1:5">
      <c r="A414" t="s">
        <v>2005</v>
      </c>
      <c r="E414" t="s">
        <v>12940</v>
      </c>
    </row>
    <row r="415" spans="1:5">
      <c r="A415" t="s">
        <v>2010</v>
      </c>
      <c r="E415" t="s">
        <v>12941</v>
      </c>
    </row>
    <row r="416" spans="1:5">
      <c r="A416" t="s">
        <v>2015</v>
      </c>
      <c r="E416" t="s">
        <v>12942</v>
      </c>
    </row>
    <row r="417" spans="1:5">
      <c r="A417" t="s">
        <v>2020</v>
      </c>
      <c r="E417" t="s">
        <v>12943</v>
      </c>
    </row>
    <row r="418" spans="1:5">
      <c r="A418" t="s">
        <v>2025</v>
      </c>
      <c r="E418" t="s">
        <v>12944</v>
      </c>
    </row>
    <row r="419" spans="1:5">
      <c r="A419" t="s">
        <v>2029</v>
      </c>
      <c r="E419" t="s">
        <v>12945</v>
      </c>
    </row>
    <row r="420" spans="1:5">
      <c r="A420" t="s">
        <v>2034</v>
      </c>
      <c r="E420" t="s">
        <v>12946</v>
      </c>
    </row>
    <row r="421" spans="1:5">
      <c r="A421" t="s">
        <v>2039</v>
      </c>
      <c r="E421" t="s">
        <v>12947</v>
      </c>
    </row>
    <row r="422" spans="1:5">
      <c r="A422" t="s">
        <v>2043</v>
      </c>
      <c r="E422" t="s">
        <v>12948</v>
      </c>
    </row>
    <row r="423" spans="1:5">
      <c r="A423" t="s">
        <v>2048</v>
      </c>
      <c r="E423" t="s">
        <v>12949</v>
      </c>
    </row>
    <row r="424" spans="1:5">
      <c r="A424" t="s">
        <v>2052</v>
      </c>
      <c r="E424" t="s">
        <v>12950</v>
      </c>
    </row>
    <row r="425" spans="1:5">
      <c r="A425" t="s">
        <v>2056</v>
      </c>
      <c r="E425" t="s">
        <v>12951</v>
      </c>
    </row>
    <row r="426" spans="1:5">
      <c r="A426" t="s">
        <v>2061</v>
      </c>
      <c r="E426" t="s">
        <v>12952</v>
      </c>
    </row>
    <row r="427" spans="1:5">
      <c r="A427" t="s">
        <v>2066</v>
      </c>
      <c r="E427" t="s">
        <v>12953</v>
      </c>
    </row>
    <row r="428" spans="1:5">
      <c r="A428" t="s">
        <v>2071</v>
      </c>
      <c r="E428" t="s">
        <v>12954</v>
      </c>
    </row>
    <row r="429" spans="1:5">
      <c r="A429" t="s">
        <v>2076</v>
      </c>
      <c r="E429" t="s">
        <v>12955</v>
      </c>
    </row>
    <row r="430" spans="1:5">
      <c r="A430" t="s">
        <v>2080</v>
      </c>
      <c r="E430" t="s">
        <v>12956</v>
      </c>
    </row>
    <row r="431" spans="1:5">
      <c r="A431" t="s">
        <v>2085</v>
      </c>
      <c r="E431" t="s">
        <v>12957</v>
      </c>
    </row>
    <row r="432" spans="1:5">
      <c r="A432" t="s">
        <v>2090</v>
      </c>
      <c r="E432" t="s">
        <v>12958</v>
      </c>
    </row>
    <row r="433" spans="1:5">
      <c r="A433" t="s">
        <v>2094</v>
      </c>
      <c r="E433" t="s">
        <v>12959</v>
      </c>
    </row>
    <row r="434" spans="1:5">
      <c r="A434" t="s">
        <v>2099</v>
      </c>
      <c r="E434" t="s">
        <v>12960</v>
      </c>
    </row>
    <row r="435" spans="1:5">
      <c r="A435" t="s">
        <v>2104</v>
      </c>
      <c r="E435" t="s">
        <v>12961</v>
      </c>
    </row>
    <row r="436" spans="1:5">
      <c r="A436" t="s">
        <v>2108</v>
      </c>
      <c r="E436" t="s">
        <v>12962</v>
      </c>
    </row>
    <row r="437" spans="1:5">
      <c r="A437" t="s">
        <v>2113</v>
      </c>
      <c r="E437" t="s">
        <v>12963</v>
      </c>
    </row>
    <row r="438" spans="1:5">
      <c r="A438" t="s">
        <v>2118</v>
      </c>
      <c r="E438" t="s">
        <v>12964</v>
      </c>
    </row>
    <row r="439" spans="1:5">
      <c r="A439" t="s">
        <v>2123</v>
      </c>
      <c r="E439" t="s">
        <v>12965</v>
      </c>
    </row>
    <row r="440" spans="1:5">
      <c r="A440" t="s">
        <v>2127</v>
      </c>
      <c r="E440" t="s">
        <v>12966</v>
      </c>
    </row>
    <row r="441" spans="1:5">
      <c r="A441" t="s">
        <v>2132</v>
      </c>
      <c r="E441" t="s">
        <v>12967</v>
      </c>
    </row>
    <row r="442" spans="1:5">
      <c r="A442" t="s">
        <v>2137</v>
      </c>
      <c r="E442" t="s">
        <v>12968</v>
      </c>
    </row>
    <row r="443" spans="1:5">
      <c r="A443" t="s">
        <v>2141</v>
      </c>
      <c r="E443" t="s">
        <v>12969</v>
      </c>
    </row>
    <row r="444" spans="1:5">
      <c r="A444" t="s">
        <v>2146</v>
      </c>
      <c r="E444" t="s">
        <v>12970</v>
      </c>
    </row>
    <row r="445" spans="1:5">
      <c r="A445" t="s">
        <v>2151</v>
      </c>
      <c r="E445" t="s">
        <v>12971</v>
      </c>
    </row>
    <row r="446" spans="1:5">
      <c r="A446" t="s">
        <v>2156</v>
      </c>
      <c r="E446" t="s">
        <v>12972</v>
      </c>
    </row>
    <row r="447" spans="1:5">
      <c r="A447" t="s">
        <v>2160</v>
      </c>
      <c r="E447" t="s">
        <v>12973</v>
      </c>
    </row>
    <row r="448" spans="1:5">
      <c r="A448" t="s">
        <v>2164</v>
      </c>
      <c r="E448" t="s">
        <v>12974</v>
      </c>
    </row>
    <row r="449" spans="1:5">
      <c r="A449" t="s">
        <v>2169</v>
      </c>
      <c r="E449" t="s">
        <v>12975</v>
      </c>
    </row>
    <row r="450" spans="1:5">
      <c r="A450" t="s">
        <v>2173</v>
      </c>
      <c r="E450" t="s">
        <v>12976</v>
      </c>
    </row>
    <row r="451" spans="1:5">
      <c r="A451" t="s">
        <v>2178</v>
      </c>
      <c r="E451" t="s">
        <v>12977</v>
      </c>
    </row>
    <row r="452" spans="1:5">
      <c r="A452" t="s">
        <v>2183</v>
      </c>
      <c r="E452" t="s">
        <v>12978</v>
      </c>
    </row>
    <row r="453" spans="1:5">
      <c r="A453" t="s">
        <v>2187</v>
      </c>
      <c r="E453" t="s">
        <v>12979</v>
      </c>
    </row>
    <row r="454" spans="1:5">
      <c r="A454" t="s">
        <v>2192</v>
      </c>
      <c r="E454" t="s">
        <v>12980</v>
      </c>
    </row>
    <row r="455" spans="1:5">
      <c r="A455" t="s">
        <v>2196</v>
      </c>
      <c r="E455" t="s">
        <v>12981</v>
      </c>
    </row>
    <row r="456" spans="1:5">
      <c r="A456" t="s">
        <v>2201</v>
      </c>
      <c r="E456" t="s">
        <v>12982</v>
      </c>
    </row>
    <row r="457" spans="1:5">
      <c r="A457" t="s">
        <v>2205</v>
      </c>
      <c r="E457" t="s">
        <v>12983</v>
      </c>
    </row>
    <row r="458" spans="1:5">
      <c r="A458" t="s">
        <v>2209</v>
      </c>
      <c r="E458" t="s">
        <v>12984</v>
      </c>
    </row>
    <row r="459" spans="1:5">
      <c r="A459" t="s">
        <v>2214</v>
      </c>
      <c r="E459" t="s">
        <v>12985</v>
      </c>
    </row>
    <row r="460" spans="1:5">
      <c r="A460" t="s">
        <v>2219</v>
      </c>
      <c r="E460" t="s">
        <v>12986</v>
      </c>
    </row>
    <row r="461" spans="1:5">
      <c r="A461" t="s">
        <v>2224</v>
      </c>
      <c r="E461" t="s">
        <v>12987</v>
      </c>
    </row>
    <row r="462" spans="1:5">
      <c r="A462" t="s">
        <v>2229</v>
      </c>
      <c r="E462" t="s">
        <v>12988</v>
      </c>
    </row>
    <row r="463" spans="1:5">
      <c r="A463" t="s">
        <v>2234</v>
      </c>
      <c r="E463" t="s">
        <v>12989</v>
      </c>
    </row>
    <row r="464" spans="1:5">
      <c r="A464" t="s">
        <v>2239</v>
      </c>
      <c r="E464" t="s">
        <v>12990</v>
      </c>
    </row>
    <row r="465" spans="1:5">
      <c r="A465" t="s">
        <v>2244</v>
      </c>
      <c r="E465" t="s">
        <v>12991</v>
      </c>
    </row>
    <row r="466" spans="1:5">
      <c r="A466" t="s">
        <v>2249</v>
      </c>
      <c r="E466" t="s">
        <v>12992</v>
      </c>
    </row>
    <row r="467" spans="1:5">
      <c r="A467" t="s">
        <v>2254</v>
      </c>
      <c r="E467" t="s">
        <v>12993</v>
      </c>
    </row>
    <row r="468" spans="1:5">
      <c r="A468" t="s">
        <v>2259</v>
      </c>
      <c r="E468" t="s">
        <v>12994</v>
      </c>
    </row>
    <row r="469" spans="1:5">
      <c r="A469" t="s">
        <v>2264</v>
      </c>
      <c r="E469" t="s">
        <v>12995</v>
      </c>
    </row>
    <row r="470" spans="1:5">
      <c r="A470" t="s">
        <v>2268</v>
      </c>
      <c r="E470" t="s">
        <v>12996</v>
      </c>
    </row>
    <row r="471" spans="1:5">
      <c r="A471" t="s">
        <v>2273</v>
      </c>
      <c r="E471" t="s">
        <v>12997</v>
      </c>
    </row>
    <row r="472" spans="1:5">
      <c r="A472" t="s">
        <v>2277</v>
      </c>
      <c r="E472" t="s">
        <v>12998</v>
      </c>
    </row>
    <row r="473" spans="1:5">
      <c r="A473" t="s">
        <v>2281</v>
      </c>
      <c r="E473" t="s">
        <v>12999</v>
      </c>
    </row>
    <row r="474" spans="1:5">
      <c r="A474" t="s">
        <v>2285</v>
      </c>
      <c r="E474" t="s">
        <v>13000</v>
      </c>
    </row>
    <row r="475" spans="1:5">
      <c r="A475" t="s">
        <v>2289</v>
      </c>
      <c r="E475" t="s">
        <v>13001</v>
      </c>
    </row>
    <row r="476" spans="1:5">
      <c r="A476" t="s">
        <v>2294</v>
      </c>
      <c r="E476" t="s">
        <v>13002</v>
      </c>
    </row>
    <row r="477" spans="1:5">
      <c r="A477" t="s">
        <v>2298</v>
      </c>
      <c r="E477" t="s">
        <v>13003</v>
      </c>
    </row>
    <row r="478" spans="1:5">
      <c r="A478" t="s">
        <v>2303</v>
      </c>
      <c r="E478" t="s">
        <v>13004</v>
      </c>
    </row>
    <row r="479" spans="1:5">
      <c r="A479" t="s">
        <v>2308</v>
      </c>
      <c r="E479" t="s">
        <v>13005</v>
      </c>
    </row>
    <row r="480" spans="1:5">
      <c r="A480" t="s">
        <v>2313</v>
      </c>
      <c r="E480" t="s">
        <v>13006</v>
      </c>
    </row>
    <row r="481" spans="1:5">
      <c r="A481" t="s">
        <v>2317</v>
      </c>
      <c r="E481" t="s">
        <v>13007</v>
      </c>
    </row>
    <row r="482" spans="1:5">
      <c r="A482" t="s">
        <v>2321</v>
      </c>
      <c r="E482" t="s">
        <v>13008</v>
      </c>
    </row>
    <row r="483" spans="1:5">
      <c r="A483" t="s">
        <v>2325</v>
      </c>
      <c r="E483" t="s">
        <v>13009</v>
      </c>
    </row>
    <row r="484" spans="1:5">
      <c r="A484" t="s">
        <v>2330</v>
      </c>
      <c r="E484" t="s">
        <v>13010</v>
      </c>
    </row>
    <row r="485" spans="1:5">
      <c r="A485" t="s">
        <v>2335</v>
      </c>
      <c r="E485" t="s">
        <v>13011</v>
      </c>
    </row>
    <row r="486" spans="1:5">
      <c r="A486" t="s">
        <v>2339</v>
      </c>
      <c r="E486" t="s">
        <v>13012</v>
      </c>
    </row>
    <row r="487" spans="1:5">
      <c r="A487" t="s">
        <v>2344</v>
      </c>
      <c r="E487" t="s">
        <v>13013</v>
      </c>
    </row>
    <row r="488" spans="1:5">
      <c r="A488" t="s">
        <v>2349</v>
      </c>
      <c r="E488" t="s">
        <v>13014</v>
      </c>
    </row>
    <row r="489" spans="1:5">
      <c r="A489" t="s">
        <v>2353</v>
      </c>
      <c r="E489" t="s">
        <v>13015</v>
      </c>
    </row>
    <row r="490" spans="1:5">
      <c r="A490" t="s">
        <v>2358</v>
      </c>
      <c r="E490" t="s">
        <v>13016</v>
      </c>
    </row>
    <row r="491" spans="1:5">
      <c r="A491" t="s">
        <v>2363</v>
      </c>
      <c r="E491" t="s">
        <v>13017</v>
      </c>
    </row>
    <row r="492" spans="1:5">
      <c r="A492" t="s">
        <v>2367</v>
      </c>
      <c r="E492" t="s">
        <v>13018</v>
      </c>
    </row>
    <row r="493" spans="1:5">
      <c r="A493" t="s">
        <v>2372</v>
      </c>
      <c r="E493" t="s">
        <v>13019</v>
      </c>
    </row>
    <row r="494" spans="1:5">
      <c r="A494" t="s">
        <v>2377</v>
      </c>
      <c r="E494" t="s">
        <v>13020</v>
      </c>
    </row>
    <row r="495" spans="1:5">
      <c r="A495" t="s">
        <v>2381</v>
      </c>
      <c r="E495" t="s">
        <v>13021</v>
      </c>
    </row>
    <row r="496" spans="1:5">
      <c r="A496" t="s">
        <v>2386</v>
      </c>
      <c r="E496" t="s">
        <v>13022</v>
      </c>
    </row>
    <row r="497" spans="1:5">
      <c r="A497" t="s">
        <v>2390</v>
      </c>
      <c r="E497" t="s">
        <v>13023</v>
      </c>
    </row>
    <row r="498" spans="1:5">
      <c r="A498" t="s">
        <v>2395</v>
      </c>
      <c r="E498" t="s">
        <v>13024</v>
      </c>
    </row>
    <row r="499" spans="1:5">
      <c r="A499" t="s">
        <v>2400</v>
      </c>
      <c r="E499" t="s">
        <v>13025</v>
      </c>
    </row>
    <row r="500" spans="1:5">
      <c r="A500" t="s">
        <v>2405</v>
      </c>
      <c r="E500" t="s">
        <v>13026</v>
      </c>
    </row>
    <row r="501" spans="1:5">
      <c r="A501" t="s">
        <v>2409</v>
      </c>
      <c r="E501" t="s">
        <v>13027</v>
      </c>
    </row>
    <row r="502" spans="1:5">
      <c r="A502" t="s">
        <v>2414</v>
      </c>
      <c r="E502" t="s">
        <v>13028</v>
      </c>
    </row>
    <row r="503" spans="1:5">
      <c r="A503" t="s">
        <v>2419</v>
      </c>
      <c r="E503" t="s">
        <v>13029</v>
      </c>
    </row>
    <row r="504" spans="1:5">
      <c r="A504" t="s">
        <v>2423</v>
      </c>
      <c r="E504" t="s">
        <v>13030</v>
      </c>
    </row>
    <row r="505" spans="1:5">
      <c r="A505" t="s">
        <v>2427</v>
      </c>
      <c r="E505" t="s">
        <v>13031</v>
      </c>
    </row>
    <row r="506" spans="1:5">
      <c r="A506" t="s">
        <v>2431</v>
      </c>
      <c r="E506" t="s">
        <v>13032</v>
      </c>
    </row>
    <row r="507" spans="1:5">
      <c r="A507" t="s">
        <v>2437</v>
      </c>
      <c r="E507" t="s">
        <v>13033</v>
      </c>
    </row>
    <row r="508" spans="1:5">
      <c r="A508" t="s">
        <v>2441</v>
      </c>
      <c r="E508" t="s">
        <v>13034</v>
      </c>
    </row>
    <row r="509" spans="1:5">
      <c r="A509" t="s">
        <v>2446</v>
      </c>
      <c r="E509" t="s">
        <v>13035</v>
      </c>
    </row>
    <row r="510" spans="1:5">
      <c r="A510" t="s">
        <v>2451</v>
      </c>
      <c r="E510" t="s">
        <v>13036</v>
      </c>
    </row>
    <row r="511" spans="1:5">
      <c r="A511" t="s">
        <v>2455</v>
      </c>
      <c r="E511" t="s">
        <v>13037</v>
      </c>
    </row>
    <row r="512" spans="1:5">
      <c r="A512" t="s">
        <v>2459</v>
      </c>
      <c r="E512" t="s">
        <v>13038</v>
      </c>
    </row>
    <row r="513" spans="1:5">
      <c r="A513" t="s">
        <v>2464</v>
      </c>
      <c r="E513" t="s">
        <v>13039</v>
      </c>
    </row>
    <row r="514" spans="1:5">
      <c r="A514" t="s">
        <v>2469</v>
      </c>
      <c r="E514" t="s">
        <v>13040</v>
      </c>
    </row>
    <row r="515" spans="1:5">
      <c r="A515" t="s">
        <v>2473</v>
      </c>
      <c r="E515" t="s">
        <v>13041</v>
      </c>
    </row>
    <row r="516" spans="1:5">
      <c r="A516" t="s">
        <v>2477</v>
      </c>
      <c r="E516" t="s">
        <v>13042</v>
      </c>
    </row>
    <row r="517" spans="1:5">
      <c r="A517" t="s">
        <v>2482</v>
      </c>
      <c r="E517" t="s">
        <v>13043</v>
      </c>
    </row>
    <row r="518" spans="1:5">
      <c r="A518" t="s">
        <v>2487</v>
      </c>
      <c r="E518" t="s">
        <v>13044</v>
      </c>
    </row>
    <row r="519" spans="1:5">
      <c r="A519" t="s">
        <v>2492</v>
      </c>
      <c r="E519" t="s">
        <v>13045</v>
      </c>
    </row>
    <row r="520" spans="1:5">
      <c r="A520" t="s">
        <v>2497</v>
      </c>
      <c r="E520" t="s">
        <v>13046</v>
      </c>
    </row>
    <row r="521" spans="1:5">
      <c r="A521" t="s">
        <v>2501</v>
      </c>
      <c r="E521" t="s">
        <v>13047</v>
      </c>
    </row>
    <row r="522" spans="1:5">
      <c r="A522" t="s">
        <v>2506</v>
      </c>
      <c r="E522" t="s">
        <v>13048</v>
      </c>
    </row>
    <row r="523" spans="1:5">
      <c r="A523" t="s">
        <v>2511</v>
      </c>
      <c r="E523" t="s">
        <v>13049</v>
      </c>
    </row>
    <row r="524" spans="1:5">
      <c r="A524" t="s">
        <v>2516</v>
      </c>
      <c r="E524" t="s">
        <v>13050</v>
      </c>
    </row>
    <row r="525" spans="1:5">
      <c r="A525" t="s">
        <v>2520</v>
      </c>
      <c r="E525" t="s">
        <v>13051</v>
      </c>
    </row>
    <row r="526" spans="1:5">
      <c r="A526" t="s">
        <v>2525</v>
      </c>
      <c r="E526" t="s">
        <v>13052</v>
      </c>
    </row>
    <row r="527" spans="1:5">
      <c r="A527" t="s">
        <v>2530</v>
      </c>
      <c r="E527" t="s">
        <v>13053</v>
      </c>
    </row>
    <row r="528" spans="1:5">
      <c r="A528" t="s">
        <v>2535</v>
      </c>
      <c r="E528" t="s">
        <v>13054</v>
      </c>
    </row>
    <row r="529" spans="1:5">
      <c r="A529" t="s">
        <v>2539</v>
      </c>
      <c r="E529" t="s">
        <v>13055</v>
      </c>
    </row>
    <row r="530" spans="1:5">
      <c r="A530" t="s">
        <v>2543</v>
      </c>
      <c r="E530" t="s">
        <v>13056</v>
      </c>
    </row>
    <row r="531" spans="1:5">
      <c r="A531" t="s">
        <v>2548</v>
      </c>
      <c r="E531" t="s">
        <v>13057</v>
      </c>
    </row>
    <row r="532" spans="1:5">
      <c r="A532" t="s">
        <v>2553</v>
      </c>
      <c r="E532" t="s">
        <v>13058</v>
      </c>
    </row>
    <row r="533" spans="1:5">
      <c r="A533" t="s">
        <v>2558</v>
      </c>
      <c r="E533" t="s">
        <v>13059</v>
      </c>
    </row>
    <row r="534" spans="1:5">
      <c r="A534" t="s">
        <v>2563</v>
      </c>
      <c r="E534" t="s">
        <v>13060</v>
      </c>
    </row>
    <row r="535" spans="1:5">
      <c r="A535" t="s">
        <v>2567</v>
      </c>
      <c r="E535" t="s">
        <v>13061</v>
      </c>
    </row>
    <row r="536" spans="1:5">
      <c r="A536" t="s">
        <v>2572</v>
      </c>
      <c r="E536" t="s">
        <v>13062</v>
      </c>
    </row>
    <row r="537" spans="1:5">
      <c r="A537" t="s">
        <v>2577</v>
      </c>
      <c r="E537" t="s">
        <v>13063</v>
      </c>
    </row>
    <row r="538" spans="1:5">
      <c r="A538" t="s">
        <v>2582</v>
      </c>
      <c r="E538" t="s">
        <v>13064</v>
      </c>
    </row>
    <row r="539" spans="1:5">
      <c r="A539" t="s">
        <v>2587</v>
      </c>
      <c r="E539" t="s">
        <v>13065</v>
      </c>
    </row>
    <row r="540" spans="1:5">
      <c r="A540" t="s">
        <v>2592</v>
      </c>
      <c r="E540" t="s">
        <v>13066</v>
      </c>
    </row>
    <row r="541" spans="1:5">
      <c r="A541" t="s">
        <v>2597</v>
      </c>
      <c r="E541" t="s">
        <v>13067</v>
      </c>
    </row>
    <row r="542" spans="1:5">
      <c r="A542" t="s">
        <v>2602</v>
      </c>
      <c r="E542" t="s">
        <v>13068</v>
      </c>
    </row>
    <row r="543" spans="1:5">
      <c r="A543" t="s">
        <v>2606</v>
      </c>
      <c r="E543" t="s">
        <v>13069</v>
      </c>
    </row>
    <row r="544" spans="1:5">
      <c r="A544" t="s">
        <v>2610</v>
      </c>
      <c r="E544" t="s">
        <v>13070</v>
      </c>
    </row>
    <row r="545" spans="1:5">
      <c r="A545" t="s">
        <v>2614</v>
      </c>
      <c r="E545" t="s">
        <v>13071</v>
      </c>
    </row>
    <row r="546" spans="1:5">
      <c r="A546" t="s">
        <v>2619</v>
      </c>
      <c r="E546" t="s">
        <v>13072</v>
      </c>
    </row>
    <row r="547" spans="1:5">
      <c r="A547" t="s">
        <v>2624</v>
      </c>
      <c r="E547" t="s">
        <v>13073</v>
      </c>
    </row>
    <row r="548" spans="1:5">
      <c r="A548" t="s">
        <v>2629</v>
      </c>
      <c r="E548" t="s">
        <v>13074</v>
      </c>
    </row>
    <row r="549" spans="1:5">
      <c r="A549" t="s">
        <v>2633</v>
      </c>
      <c r="E549" t="s">
        <v>13075</v>
      </c>
    </row>
    <row r="550" spans="1:5">
      <c r="A550" t="s">
        <v>2637</v>
      </c>
      <c r="E550" t="s">
        <v>13076</v>
      </c>
    </row>
    <row r="551" spans="1:5">
      <c r="A551" t="s">
        <v>2641</v>
      </c>
      <c r="E551" t="s">
        <v>13077</v>
      </c>
    </row>
    <row r="552" spans="1:5">
      <c r="A552" t="s">
        <v>2645</v>
      </c>
      <c r="E552" t="s">
        <v>13078</v>
      </c>
    </row>
    <row r="553" spans="1:5">
      <c r="A553" t="s">
        <v>2650</v>
      </c>
      <c r="E553" t="s">
        <v>13079</v>
      </c>
    </row>
    <row r="554" spans="1:5">
      <c r="A554" t="s">
        <v>2654</v>
      </c>
      <c r="E554" t="s">
        <v>13080</v>
      </c>
    </row>
    <row r="555" spans="1:5">
      <c r="A555" t="s">
        <v>2659</v>
      </c>
      <c r="E555" t="s">
        <v>13081</v>
      </c>
    </row>
    <row r="556" spans="1:5">
      <c r="A556" t="s">
        <v>2663</v>
      </c>
      <c r="E556" t="s">
        <v>13082</v>
      </c>
    </row>
    <row r="557" spans="1:5">
      <c r="A557" t="s">
        <v>2667</v>
      </c>
      <c r="E557" t="s">
        <v>13083</v>
      </c>
    </row>
    <row r="558" spans="1:5">
      <c r="A558" t="s">
        <v>2672</v>
      </c>
      <c r="E558" t="s">
        <v>13084</v>
      </c>
    </row>
    <row r="559" spans="1:5">
      <c r="A559" t="s">
        <v>2677</v>
      </c>
      <c r="E559" t="s">
        <v>13085</v>
      </c>
    </row>
    <row r="560" spans="1:5">
      <c r="A560" t="s">
        <v>2682</v>
      </c>
      <c r="E560" t="s">
        <v>13086</v>
      </c>
    </row>
    <row r="561" spans="1:5">
      <c r="A561" t="s">
        <v>2686</v>
      </c>
      <c r="E561" t="s">
        <v>13087</v>
      </c>
    </row>
    <row r="562" spans="1:5">
      <c r="A562" t="s">
        <v>2691</v>
      </c>
      <c r="E562" t="s">
        <v>13088</v>
      </c>
    </row>
    <row r="563" spans="1:5">
      <c r="A563" t="s">
        <v>2696</v>
      </c>
      <c r="E563" t="s">
        <v>13089</v>
      </c>
    </row>
    <row r="564" spans="1:5">
      <c r="A564" t="s">
        <v>2700</v>
      </c>
      <c r="E564" t="s">
        <v>13090</v>
      </c>
    </row>
    <row r="565" spans="1:5">
      <c r="A565" t="s">
        <v>2705</v>
      </c>
      <c r="E565" t="s">
        <v>13091</v>
      </c>
    </row>
    <row r="566" spans="1:5">
      <c r="A566" t="s">
        <v>2710</v>
      </c>
      <c r="E566" t="s">
        <v>13092</v>
      </c>
    </row>
    <row r="567" spans="1:5">
      <c r="A567" t="s">
        <v>2714</v>
      </c>
      <c r="E567" t="s">
        <v>13093</v>
      </c>
    </row>
    <row r="568" spans="1:5">
      <c r="A568" t="s">
        <v>2719</v>
      </c>
      <c r="E568" t="s">
        <v>13094</v>
      </c>
    </row>
    <row r="569" spans="1:5">
      <c r="A569" t="s">
        <v>2724</v>
      </c>
      <c r="E569" t="s">
        <v>13095</v>
      </c>
    </row>
    <row r="570" spans="1:5">
      <c r="A570" t="s">
        <v>2728</v>
      </c>
      <c r="E570" t="s">
        <v>13096</v>
      </c>
    </row>
    <row r="571" spans="1:5">
      <c r="A571" t="s">
        <v>2732</v>
      </c>
      <c r="E571" t="s">
        <v>13097</v>
      </c>
    </row>
    <row r="572" spans="1:5">
      <c r="A572" t="s">
        <v>2737</v>
      </c>
      <c r="E572" t="s">
        <v>13098</v>
      </c>
    </row>
    <row r="573" spans="1:5">
      <c r="A573" t="s">
        <v>2742</v>
      </c>
      <c r="E573" t="s">
        <v>13099</v>
      </c>
    </row>
    <row r="574" spans="1:5">
      <c r="A574" t="s">
        <v>2746</v>
      </c>
      <c r="E574" t="s">
        <v>13100</v>
      </c>
    </row>
    <row r="575" spans="1:5">
      <c r="A575" t="s">
        <v>2750</v>
      </c>
      <c r="E575" t="s">
        <v>13101</v>
      </c>
    </row>
    <row r="576" spans="1:5">
      <c r="A576" t="s">
        <v>2754</v>
      </c>
      <c r="E576" t="s">
        <v>13102</v>
      </c>
    </row>
    <row r="577" spans="1:5">
      <c r="A577" t="s">
        <v>2758</v>
      </c>
      <c r="E577" t="s">
        <v>13103</v>
      </c>
    </row>
    <row r="578" spans="1:5">
      <c r="A578" t="s">
        <v>2762</v>
      </c>
      <c r="E578" t="s">
        <v>13104</v>
      </c>
    </row>
    <row r="579" spans="1:5">
      <c r="A579" t="s">
        <v>2767</v>
      </c>
      <c r="E579" t="s">
        <v>13105</v>
      </c>
    </row>
    <row r="580" spans="1:5">
      <c r="A580" t="s">
        <v>2771</v>
      </c>
      <c r="E580" t="s">
        <v>13106</v>
      </c>
    </row>
    <row r="581" spans="1:5">
      <c r="A581" t="s">
        <v>2776</v>
      </c>
      <c r="E581" t="s">
        <v>13107</v>
      </c>
    </row>
    <row r="582" spans="1:5">
      <c r="A582" t="s">
        <v>2781</v>
      </c>
      <c r="E582" t="s">
        <v>13108</v>
      </c>
    </row>
    <row r="583" spans="1:5">
      <c r="A583" t="s">
        <v>2786</v>
      </c>
      <c r="E583" t="s">
        <v>13109</v>
      </c>
    </row>
    <row r="584" spans="1:5">
      <c r="A584" t="s">
        <v>2790</v>
      </c>
      <c r="E584" t="s">
        <v>13110</v>
      </c>
    </row>
    <row r="585" spans="1:5">
      <c r="A585" t="s">
        <v>2794</v>
      </c>
      <c r="E585" t="s">
        <v>13111</v>
      </c>
    </row>
    <row r="586" spans="1:5">
      <c r="A586" t="s">
        <v>2798</v>
      </c>
      <c r="E586" t="s">
        <v>13112</v>
      </c>
    </row>
    <row r="587" spans="1:5">
      <c r="A587" t="s">
        <v>2802</v>
      </c>
      <c r="E587" t="s">
        <v>13113</v>
      </c>
    </row>
    <row r="588" spans="1:5">
      <c r="A588" t="s">
        <v>2806</v>
      </c>
      <c r="E588" t="s">
        <v>13114</v>
      </c>
    </row>
    <row r="589" spans="1:5">
      <c r="A589" t="s">
        <v>2810</v>
      </c>
      <c r="E589" t="s">
        <v>13115</v>
      </c>
    </row>
    <row r="590" spans="1:5">
      <c r="A590" t="s">
        <v>2814</v>
      </c>
      <c r="E590" t="s">
        <v>13116</v>
      </c>
    </row>
    <row r="591" spans="1:5">
      <c r="A591" t="s">
        <v>2818</v>
      </c>
      <c r="E591" t="s">
        <v>13117</v>
      </c>
    </row>
    <row r="592" spans="1:5">
      <c r="A592" t="s">
        <v>2822</v>
      </c>
      <c r="E592" t="s">
        <v>13118</v>
      </c>
    </row>
    <row r="593" spans="1:5">
      <c r="A593" t="s">
        <v>2827</v>
      </c>
      <c r="E593" t="s">
        <v>13119</v>
      </c>
    </row>
    <row r="594" spans="1:5">
      <c r="A594" t="s">
        <v>2832</v>
      </c>
      <c r="E594" t="s">
        <v>13120</v>
      </c>
    </row>
    <row r="595" spans="1:5">
      <c r="A595" t="s">
        <v>2837</v>
      </c>
      <c r="E595" t="s">
        <v>13121</v>
      </c>
    </row>
    <row r="596" spans="1:5">
      <c r="A596" t="s">
        <v>2841</v>
      </c>
      <c r="E596" t="s">
        <v>13122</v>
      </c>
    </row>
    <row r="597" spans="1:5">
      <c r="A597" t="s">
        <v>2845</v>
      </c>
      <c r="E597" t="s">
        <v>13123</v>
      </c>
    </row>
    <row r="598" spans="1:5">
      <c r="A598" t="s">
        <v>2850</v>
      </c>
      <c r="E598" t="s">
        <v>13124</v>
      </c>
    </row>
    <row r="599" spans="1:5">
      <c r="A599" t="s">
        <v>2855</v>
      </c>
      <c r="E599" t="s">
        <v>13125</v>
      </c>
    </row>
    <row r="600" spans="1:5">
      <c r="A600" t="s">
        <v>2860</v>
      </c>
      <c r="E600" t="s">
        <v>13126</v>
      </c>
    </row>
    <row r="601" spans="1:5">
      <c r="A601" t="s">
        <v>2864</v>
      </c>
      <c r="E601" t="s">
        <v>13127</v>
      </c>
    </row>
    <row r="602" spans="1:5">
      <c r="A602" t="s">
        <v>2869</v>
      </c>
      <c r="E602" t="s">
        <v>13128</v>
      </c>
    </row>
    <row r="603" spans="1:5">
      <c r="A603" t="s">
        <v>2873</v>
      </c>
      <c r="E603" t="s">
        <v>13129</v>
      </c>
    </row>
    <row r="604" spans="1:5">
      <c r="A604" t="s">
        <v>2878</v>
      </c>
      <c r="E604" t="s">
        <v>13130</v>
      </c>
    </row>
    <row r="605" spans="1:5">
      <c r="A605" t="s">
        <v>2883</v>
      </c>
      <c r="E605" t="s">
        <v>13131</v>
      </c>
    </row>
    <row r="606" spans="1:5">
      <c r="A606" t="s">
        <v>2887</v>
      </c>
      <c r="E606" t="s">
        <v>13132</v>
      </c>
    </row>
    <row r="607" spans="1:5">
      <c r="A607" t="s">
        <v>2892</v>
      </c>
      <c r="E607" t="s">
        <v>13133</v>
      </c>
    </row>
    <row r="608" spans="1:5">
      <c r="A608" t="s">
        <v>2896</v>
      </c>
      <c r="E608" t="s">
        <v>13134</v>
      </c>
    </row>
    <row r="609" spans="1:5">
      <c r="A609" t="s">
        <v>2900</v>
      </c>
      <c r="E609" t="s">
        <v>13135</v>
      </c>
    </row>
    <row r="610" spans="1:5">
      <c r="A610" t="s">
        <v>2905</v>
      </c>
      <c r="E610" t="s">
        <v>13136</v>
      </c>
    </row>
    <row r="611" spans="1:5">
      <c r="A611" t="s">
        <v>2910</v>
      </c>
      <c r="E611" t="s">
        <v>13137</v>
      </c>
    </row>
    <row r="612" spans="1:5">
      <c r="A612" t="s">
        <v>2914</v>
      </c>
      <c r="E612" t="s">
        <v>13138</v>
      </c>
    </row>
    <row r="613" spans="1:5">
      <c r="A613" t="s">
        <v>2918</v>
      </c>
      <c r="E613" t="s">
        <v>13139</v>
      </c>
    </row>
    <row r="614" spans="1:5">
      <c r="A614" t="s">
        <v>2922</v>
      </c>
      <c r="E614" t="s">
        <v>13140</v>
      </c>
    </row>
    <row r="615" spans="1:5">
      <c r="A615" t="s">
        <v>2926</v>
      </c>
      <c r="E615" t="s">
        <v>13141</v>
      </c>
    </row>
    <row r="616" spans="1:5">
      <c r="A616" t="s">
        <v>2930</v>
      </c>
      <c r="E616" t="s">
        <v>13142</v>
      </c>
    </row>
    <row r="617" spans="1:5">
      <c r="A617" t="s">
        <v>2934</v>
      </c>
      <c r="E617" t="s">
        <v>13143</v>
      </c>
    </row>
    <row r="618" spans="1:5">
      <c r="A618" t="s">
        <v>2938</v>
      </c>
      <c r="E618" t="s">
        <v>13144</v>
      </c>
    </row>
    <row r="619" spans="1:5">
      <c r="A619" t="s">
        <v>2942</v>
      </c>
      <c r="E619" t="s">
        <v>13145</v>
      </c>
    </row>
    <row r="620" spans="1:5">
      <c r="A620" t="s">
        <v>2946</v>
      </c>
      <c r="E620" t="s">
        <v>13146</v>
      </c>
    </row>
    <row r="621" spans="1:5">
      <c r="A621" t="s">
        <v>2950</v>
      </c>
      <c r="E621" t="s">
        <v>13147</v>
      </c>
    </row>
    <row r="622" spans="1:5">
      <c r="A622" t="s">
        <v>2954</v>
      </c>
      <c r="E622" t="s">
        <v>13148</v>
      </c>
    </row>
    <row r="623" spans="1:5">
      <c r="A623" t="s">
        <v>2958</v>
      </c>
      <c r="E623" t="s">
        <v>13149</v>
      </c>
    </row>
    <row r="624" spans="1:5">
      <c r="A624" t="s">
        <v>2962</v>
      </c>
      <c r="E624" t="s">
        <v>13150</v>
      </c>
    </row>
    <row r="625" spans="1:5">
      <c r="A625" t="s">
        <v>2966</v>
      </c>
      <c r="E625" t="s">
        <v>13151</v>
      </c>
    </row>
    <row r="626" spans="1:5">
      <c r="A626" t="s">
        <v>2970</v>
      </c>
      <c r="E626" t="s">
        <v>13152</v>
      </c>
    </row>
    <row r="627" spans="1:5">
      <c r="A627" t="s">
        <v>2974</v>
      </c>
      <c r="E627" t="s">
        <v>13153</v>
      </c>
    </row>
    <row r="628" spans="1:5">
      <c r="A628" t="s">
        <v>2978</v>
      </c>
      <c r="E628" t="s">
        <v>13154</v>
      </c>
    </row>
    <row r="629" spans="1:5">
      <c r="A629" t="s">
        <v>2983</v>
      </c>
      <c r="E629" t="s">
        <v>13155</v>
      </c>
    </row>
    <row r="630" spans="1:5">
      <c r="A630" t="s">
        <v>2987</v>
      </c>
      <c r="E630" t="s">
        <v>13156</v>
      </c>
    </row>
    <row r="631" spans="1:5">
      <c r="A631" t="s">
        <v>2991</v>
      </c>
      <c r="E631" t="s">
        <v>13157</v>
      </c>
    </row>
    <row r="632" spans="1:5">
      <c r="A632" t="s">
        <v>2996</v>
      </c>
      <c r="E632" t="s">
        <v>13158</v>
      </c>
    </row>
    <row r="633" spans="1:5">
      <c r="A633" t="s">
        <v>3000</v>
      </c>
      <c r="E633" t="s">
        <v>13159</v>
      </c>
    </row>
    <row r="634" spans="1:5">
      <c r="A634" t="s">
        <v>3004</v>
      </c>
      <c r="E634" t="s">
        <v>13160</v>
      </c>
    </row>
    <row r="635" spans="1:5">
      <c r="A635" t="s">
        <v>3008</v>
      </c>
      <c r="E635" t="s">
        <v>13161</v>
      </c>
    </row>
    <row r="636" spans="1:5">
      <c r="A636" t="s">
        <v>3013</v>
      </c>
      <c r="E636" t="s">
        <v>13162</v>
      </c>
    </row>
    <row r="637" spans="1:5">
      <c r="A637" t="s">
        <v>3018</v>
      </c>
      <c r="E637" t="s">
        <v>13163</v>
      </c>
    </row>
    <row r="638" spans="1:5">
      <c r="A638" t="s">
        <v>3022</v>
      </c>
      <c r="E638" t="s">
        <v>13164</v>
      </c>
    </row>
    <row r="639" spans="1:5">
      <c r="A639" t="s">
        <v>3027</v>
      </c>
      <c r="E639" t="s">
        <v>13165</v>
      </c>
    </row>
    <row r="640" spans="1:5">
      <c r="A640" t="s">
        <v>3032</v>
      </c>
      <c r="E640" t="s">
        <v>13166</v>
      </c>
    </row>
    <row r="641" spans="1:5">
      <c r="A641" t="s">
        <v>3036</v>
      </c>
      <c r="E641" t="s">
        <v>13167</v>
      </c>
    </row>
    <row r="642" spans="1:5">
      <c r="A642" t="s">
        <v>3040</v>
      </c>
      <c r="E642" t="s">
        <v>13168</v>
      </c>
    </row>
    <row r="643" spans="1:5">
      <c r="A643" t="s">
        <v>3044</v>
      </c>
      <c r="E643" t="s">
        <v>13169</v>
      </c>
    </row>
    <row r="644" spans="1:5">
      <c r="A644" t="s">
        <v>3048</v>
      </c>
      <c r="E644" t="s">
        <v>13170</v>
      </c>
    </row>
    <row r="645" spans="1:5">
      <c r="A645" t="s">
        <v>3053</v>
      </c>
      <c r="E645" t="s">
        <v>13171</v>
      </c>
    </row>
    <row r="646" spans="1:5">
      <c r="A646" t="s">
        <v>3058</v>
      </c>
      <c r="E646" t="s">
        <v>13172</v>
      </c>
    </row>
    <row r="647" spans="1:5">
      <c r="A647" t="s">
        <v>3062</v>
      </c>
      <c r="E647" t="s">
        <v>13173</v>
      </c>
    </row>
    <row r="648" spans="1:5">
      <c r="A648" t="s">
        <v>3066</v>
      </c>
      <c r="E648" t="s">
        <v>13174</v>
      </c>
    </row>
    <row r="649" spans="1:5">
      <c r="A649" t="s">
        <v>3071</v>
      </c>
      <c r="E649" t="s">
        <v>13175</v>
      </c>
    </row>
    <row r="650" spans="1:5">
      <c r="A650" t="s">
        <v>3076</v>
      </c>
      <c r="E650" t="s">
        <v>13176</v>
      </c>
    </row>
    <row r="651" spans="1:5">
      <c r="A651" t="s">
        <v>3081</v>
      </c>
      <c r="E651" t="s">
        <v>13177</v>
      </c>
    </row>
    <row r="652" spans="1:5">
      <c r="A652" t="s">
        <v>3085</v>
      </c>
      <c r="E652" t="s">
        <v>13178</v>
      </c>
    </row>
    <row r="653" spans="1:5">
      <c r="A653" t="s">
        <v>3089</v>
      </c>
      <c r="E653" t="s">
        <v>13179</v>
      </c>
    </row>
    <row r="654" spans="1:5">
      <c r="A654" t="s">
        <v>3093</v>
      </c>
      <c r="E654" t="s">
        <v>13180</v>
      </c>
    </row>
    <row r="655" spans="1:5">
      <c r="A655" t="s">
        <v>3098</v>
      </c>
      <c r="E655" t="s">
        <v>13181</v>
      </c>
    </row>
    <row r="656" spans="1:5">
      <c r="A656" t="s">
        <v>3102</v>
      </c>
      <c r="E656" t="s">
        <v>13182</v>
      </c>
    </row>
    <row r="657" spans="1:5">
      <c r="A657" t="s">
        <v>3106</v>
      </c>
      <c r="E657" t="s">
        <v>13183</v>
      </c>
    </row>
    <row r="658" spans="1:5">
      <c r="A658" t="s">
        <v>3111</v>
      </c>
      <c r="E658" t="s">
        <v>13184</v>
      </c>
    </row>
    <row r="659" spans="1:5">
      <c r="A659" t="s">
        <v>3115</v>
      </c>
      <c r="E659" t="s">
        <v>13185</v>
      </c>
    </row>
    <row r="660" spans="1:5">
      <c r="A660" t="s">
        <v>3119</v>
      </c>
      <c r="E660" t="s">
        <v>13186</v>
      </c>
    </row>
    <row r="661" spans="1:5">
      <c r="A661" t="s">
        <v>3123</v>
      </c>
      <c r="E661" t="s">
        <v>13187</v>
      </c>
    </row>
    <row r="662" spans="1:5">
      <c r="A662" t="s">
        <v>3127</v>
      </c>
      <c r="E662" t="s">
        <v>13188</v>
      </c>
    </row>
    <row r="663" spans="1:5">
      <c r="A663" t="s">
        <v>3131</v>
      </c>
      <c r="E663" t="s">
        <v>13189</v>
      </c>
    </row>
    <row r="664" spans="1:5">
      <c r="A664" t="s">
        <v>3136</v>
      </c>
      <c r="E664" t="s">
        <v>13190</v>
      </c>
    </row>
    <row r="665" spans="1:5">
      <c r="A665" t="s">
        <v>3142</v>
      </c>
      <c r="E665" t="s">
        <v>13191</v>
      </c>
    </row>
    <row r="666" spans="1:5">
      <c r="A666" t="s">
        <v>3147</v>
      </c>
      <c r="E666" t="s">
        <v>13192</v>
      </c>
    </row>
    <row r="667" spans="1:5">
      <c r="A667" t="s">
        <v>3151</v>
      </c>
      <c r="E667" t="s">
        <v>13193</v>
      </c>
    </row>
    <row r="668" spans="1:5">
      <c r="A668" t="s">
        <v>3156</v>
      </c>
      <c r="E668" t="s">
        <v>13194</v>
      </c>
    </row>
    <row r="669" spans="1:5">
      <c r="A669" t="s">
        <v>3161</v>
      </c>
      <c r="E669" t="s">
        <v>13195</v>
      </c>
    </row>
    <row r="670" spans="1:5">
      <c r="A670" t="s">
        <v>3166</v>
      </c>
      <c r="E670" t="s">
        <v>13196</v>
      </c>
    </row>
    <row r="671" spans="1:5">
      <c r="A671" t="s">
        <v>3170</v>
      </c>
      <c r="E671" t="s">
        <v>13197</v>
      </c>
    </row>
    <row r="672" spans="1:5">
      <c r="A672" t="s">
        <v>3174</v>
      </c>
      <c r="E672" t="s">
        <v>13198</v>
      </c>
    </row>
    <row r="673" spans="1:5">
      <c r="A673" t="s">
        <v>3178</v>
      </c>
      <c r="E673" t="s">
        <v>13199</v>
      </c>
    </row>
    <row r="674" spans="1:5">
      <c r="A674" t="s">
        <v>3183</v>
      </c>
      <c r="E674" t="s">
        <v>13200</v>
      </c>
    </row>
    <row r="675" spans="1:5">
      <c r="A675" t="s">
        <v>3187</v>
      </c>
      <c r="E675" t="s">
        <v>13201</v>
      </c>
    </row>
    <row r="676" spans="1:5">
      <c r="A676" t="s">
        <v>3192</v>
      </c>
      <c r="E676" t="s">
        <v>13202</v>
      </c>
    </row>
    <row r="677" spans="1:5">
      <c r="A677" t="s">
        <v>3196</v>
      </c>
      <c r="E677" t="s">
        <v>13203</v>
      </c>
    </row>
    <row r="678" spans="1:5">
      <c r="A678" t="s">
        <v>3200</v>
      </c>
      <c r="E678" t="s">
        <v>13204</v>
      </c>
    </row>
    <row r="679" spans="1:5">
      <c r="A679" t="s">
        <v>3205</v>
      </c>
      <c r="E679" t="s">
        <v>13205</v>
      </c>
    </row>
    <row r="680" spans="1:5">
      <c r="A680" t="s">
        <v>3209</v>
      </c>
      <c r="E680" t="s">
        <v>13206</v>
      </c>
    </row>
    <row r="681" spans="1:5">
      <c r="A681" t="s">
        <v>3214</v>
      </c>
      <c r="E681" t="s">
        <v>13207</v>
      </c>
    </row>
    <row r="682" spans="1:5">
      <c r="A682" t="s">
        <v>3218</v>
      </c>
      <c r="E682" t="s">
        <v>13208</v>
      </c>
    </row>
    <row r="683" spans="1:5">
      <c r="A683" t="s">
        <v>3223</v>
      </c>
      <c r="E683" t="s">
        <v>13209</v>
      </c>
    </row>
    <row r="684" spans="1:5">
      <c r="A684" t="s">
        <v>3227</v>
      </c>
      <c r="E684" t="s">
        <v>13210</v>
      </c>
    </row>
    <row r="685" spans="1:5">
      <c r="A685" t="s">
        <v>3231</v>
      </c>
      <c r="E685" t="s">
        <v>13211</v>
      </c>
    </row>
    <row r="686" spans="1:5">
      <c r="A686" t="s">
        <v>3236</v>
      </c>
      <c r="E686" t="s">
        <v>13212</v>
      </c>
    </row>
    <row r="687" spans="1:5">
      <c r="A687" t="s">
        <v>3241</v>
      </c>
      <c r="E687" t="s">
        <v>13213</v>
      </c>
    </row>
    <row r="688" spans="1:5">
      <c r="A688" t="s">
        <v>3246</v>
      </c>
      <c r="E688" t="s">
        <v>13214</v>
      </c>
    </row>
    <row r="689" spans="1:5">
      <c r="A689" t="s">
        <v>3251</v>
      </c>
      <c r="E689" t="s">
        <v>13215</v>
      </c>
    </row>
    <row r="690" spans="1:5">
      <c r="A690" t="s">
        <v>3256</v>
      </c>
      <c r="E690" t="s">
        <v>13216</v>
      </c>
    </row>
    <row r="691" spans="1:5">
      <c r="A691" t="s">
        <v>3261</v>
      </c>
      <c r="E691" t="s">
        <v>13217</v>
      </c>
    </row>
    <row r="692" spans="1:5">
      <c r="A692" t="s">
        <v>3266</v>
      </c>
      <c r="E692" t="s">
        <v>13218</v>
      </c>
    </row>
    <row r="693" spans="1:5">
      <c r="A693" t="s">
        <v>3270</v>
      </c>
      <c r="E693" t="s">
        <v>13219</v>
      </c>
    </row>
    <row r="694" spans="1:5">
      <c r="A694" t="s">
        <v>3274</v>
      </c>
      <c r="E694" t="s">
        <v>13220</v>
      </c>
    </row>
    <row r="695" spans="1:5">
      <c r="A695" t="s">
        <v>3279</v>
      </c>
      <c r="E695" t="s">
        <v>13221</v>
      </c>
    </row>
    <row r="696" spans="1:5">
      <c r="A696" t="s">
        <v>3284</v>
      </c>
      <c r="E696" t="s">
        <v>13222</v>
      </c>
    </row>
    <row r="697" spans="1:5">
      <c r="A697" t="s">
        <v>3288</v>
      </c>
      <c r="E697" t="s">
        <v>13223</v>
      </c>
    </row>
    <row r="698" spans="1:5">
      <c r="A698" t="s">
        <v>3293</v>
      </c>
      <c r="E698" t="s">
        <v>13224</v>
      </c>
    </row>
    <row r="699" spans="1:5">
      <c r="A699" t="s">
        <v>3298</v>
      </c>
      <c r="E699" t="s">
        <v>13225</v>
      </c>
    </row>
    <row r="700" spans="1:5">
      <c r="A700" t="s">
        <v>3302</v>
      </c>
      <c r="E700" t="s">
        <v>13226</v>
      </c>
    </row>
    <row r="701" spans="1:5">
      <c r="A701" t="s">
        <v>3306</v>
      </c>
      <c r="E701" t="s">
        <v>13227</v>
      </c>
    </row>
    <row r="702" spans="1:5">
      <c r="A702" t="s">
        <v>3310</v>
      </c>
      <c r="E702" t="s">
        <v>13228</v>
      </c>
    </row>
    <row r="703" spans="1:5">
      <c r="A703" t="s">
        <v>3314</v>
      </c>
      <c r="E703" t="s">
        <v>13229</v>
      </c>
    </row>
    <row r="704" spans="1:5">
      <c r="A704" t="s">
        <v>3319</v>
      </c>
      <c r="E704" t="s">
        <v>13230</v>
      </c>
    </row>
    <row r="705" spans="1:5">
      <c r="A705" t="s">
        <v>3323</v>
      </c>
      <c r="E705" t="s">
        <v>13231</v>
      </c>
    </row>
    <row r="706" spans="1:5">
      <c r="A706" t="s">
        <v>3328</v>
      </c>
      <c r="E706" t="s">
        <v>13232</v>
      </c>
    </row>
    <row r="707" spans="1:5">
      <c r="A707" t="s">
        <v>3332</v>
      </c>
      <c r="E707" t="s">
        <v>13233</v>
      </c>
    </row>
    <row r="708" spans="1:5">
      <c r="A708" t="s">
        <v>3337</v>
      </c>
      <c r="E708" t="s">
        <v>13234</v>
      </c>
    </row>
    <row r="709" spans="1:5">
      <c r="A709" t="s">
        <v>3341</v>
      </c>
      <c r="E709" t="s">
        <v>13235</v>
      </c>
    </row>
    <row r="710" spans="1:5">
      <c r="A710" t="s">
        <v>3345</v>
      </c>
      <c r="E710" t="s">
        <v>13236</v>
      </c>
    </row>
    <row r="711" spans="1:5">
      <c r="A711" t="s">
        <v>3350</v>
      </c>
      <c r="E711" t="s">
        <v>13237</v>
      </c>
    </row>
    <row r="712" spans="1:5">
      <c r="A712" t="s">
        <v>3355</v>
      </c>
      <c r="E712" t="s">
        <v>13238</v>
      </c>
    </row>
    <row r="713" spans="1:5">
      <c r="A713" t="s">
        <v>3360</v>
      </c>
      <c r="E713" t="s">
        <v>13239</v>
      </c>
    </row>
    <row r="714" spans="1:5">
      <c r="A714" t="s">
        <v>3364</v>
      </c>
      <c r="E714" t="s">
        <v>13240</v>
      </c>
    </row>
    <row r="715" spans="1:5">
      <c r="A715" t="s">
        <v>3368</v>
      </c>
      <c r="E715" t="s">
        <v>13241</v>
      </c>
    </row>
    <row r="716" spans="1:5">
      <c r="A716" t="s">
        <v>3372</v>
      </c>
      <c r="E716" t="s">
        <v>13242</v>
      </c>
    </row>
    <row r="717" spans="1:5">
      <c r="A717" t="s">
        <v>3377</v>
      </c>
      <c r="E717" t="s">
        <v>13243</v>
      </c>
    </row>
    <row r="718" spans="1:5">
      <c r="A718" t="s">
        <v>3381</v>
      </c>
      <c r="E718" t="s">
        <v>13244</v>
      </c>
    </row>
    <row r="719" spans="1:5">
      <c r="A719" t="s">
        <v>3385</v>
      </c>
      <c r="E719" t="s">
        <v>13245</v>
      </c>
    </row>
    <row r="720" spans="1:5">
      <c r="A720" t="s">
        <v>3389</v>
      </c>
      <c r="E720" t="s">
        <v>13246</v>
      </c>
    </row>
    <row r="721" spans="1:5">
      <c r="A721" t="s">
        <v>3394</v>
      </c>
      <c r="E721" t="s">
        <v>13247</v>
      </c>
    </row>
    <row r="722" spans="1:5">
      <c r="A722" t="s">
        <v>3399</v>
      </c>
      <c r="E722" t="s">
        <v>13248</v>
      </c>
    </row>
    <row r="723" spans="1:5">
      <c r="A723" t="s">
        <v>3404</v>
      </c>
      <c r="E723" t="s">
        <v>13249</v>
      </c>
    </row>
    <row r="724" spans="1:5">
      <c r="A724" t="s">
        <v>3409</v>
      </c>
      <c r="E724" t="s">
        <v>13250</v>
      </c>
    </row>
    <row r="725" spans="1:5">
      <c r="A725" t="s">
        <v>3413</v>
      </c>
      <c r="E725" t="s">
        <v>13251</v>
      </c>
    </row>
    <row r="726" spans="1:5">
      <c r="A726" t="s">
        <v>3418</v>
      </c>
      <c r="E726" t="s">
        <v>13252</v>
      </c>
    </row>
    <row r="727" spans="1:5">
      <c r="A727" t="s">
        <v>3422</v>
      </c>
      <c r="E727" t="s">
        <v>13253</v>
      </c>
    </row>
    <row r="728" spans="1:5">
      <c r="A728" t="s">
        <v>3426</v>
      </c>
      <c r="E728" t="s">
        <v>13254</v>
      </c>
    </row>
    <row r="729" spans="1:5">
      <c r="A729" t="s">
        <v>3430</v>
      </c>
      <c r="E729" t="s">
        <v>13255</v>
      </c>
    </row>
    <row r="730" spans="1:5">
      <c r="A730" t="s">
        <v>3435</v>
      </c>
      <c r="E730" t="s">
        <v>13256</v>
      </c>
    </row>
    <row r="731" spans="1:5">
      <c r="A731" t="s">
        <v>3440</v>
      </c>
      <c r="E731" t="s">
        <v>13257</v>
      </c>
    </row>
    <row r="732" spans="1:5">
      <c r="A732" t="s">
        <v>3444</v>
      </c>
      <c r="E732" t="s">
        <v>13258</v>
      </c>
    </row>
    <row r="733" spans="1:5">
      <c r="A733" t="s">
        <v>3449</v>
      </c>
      <c r="E733" t="s">
        <v>13259</v>
      </c>
    </row>
    <row r="734" spans="1:5">
      <c r="A734" t="s">
        <v>3454</v>
      </c>
      <c r="E734" t="s">
        <v>13260</v>
      </c>
    </row>
    <row r="735" spans="1:5">
      <c r="A735" t="s">
        <v>3459</v>
      </c>
      <c r="E735" t="s">
        <v>13261</v>
      </c>
    </row>
    <row r="736" spans="1:5">
      <c r="A736" t="s">
        <v>3463</v>
      </c>
      <c r="E736" t="s">
        <v>13262</v>
      </c>
    </row>
    <row r="737" spans="1:5">
      <c r="A737" t="s">
        <v>3468</v>
      </c>
      <c r="E737" t="s">
        <v>13263</v>
      </c>
    </row>
    <row r="738" spans="1:5">
      <c r="A738" t="s">
        <v>3472</v>
      </c>
      <c r="E738" t="s">
        <v>13264</v>
      </c>
    </row>
    <row r="739" spans="1:5">
      <c r="A739" t="s">
        <v>3477</v>
      </c>
      <c r="E739" t="s">
        <v>13265</v>
      </c>
    </row>
    <row r="740" spans="1:5">
      <c r="A740" t="s">
        <v>3482</v>
      </c>
      <c r="E740" t="s">
        <v>13266</v>
      </c>
    </row>
    <row r="741" spans="1:5">
      <c r="A741" t="s">
        <v>3487</v>
      </c>
      <c r="E741" t="s">
        <v>13267</v>
      </c>
    </row>
    <row r="742" spans="1:5">
      <c r="A742" t="s">
        <v>3491</v>
      </c>
      <c r="E742" t="s">
        <v>13268</v>
      </c>
    </row>
    <row r="743" spans="1:5">
      <c r="A743" t="s">
        <v>3495</v>
      </c>
      <c r="E743" t="s">
        <v>13269</v>
      </c>
    </row>
    <row r="744" spans="1:5">
      <c r="A744" t="s">
        <v>3499</v>
      </c>
      <c r="E744" t="s">
        <v>13270</v>
      </c>
    </row>
    <row r="745" spans="1:5">
      <c r="A745" t="s">
        <v>3503</v>
      </c>
      <c r="E745" t="s">
        <v>13271</v>
      </c>
    </row>
    <row r="746" spans="1:5">
      <c r="A746" t="s">
        <v>3508</v>
      </c>
      <c r="E746" t="s">
        <v>13272</v>
      </c>
    </row>
    <row r="747" spans="1:5">
      <c r="A747" t="s">
        <v>3512</v>
      </c>
      <c r="E747" t="s">
        <v>13273</v>
      </c>
    </row>
    <row r="748" spans="1:5">
      <c r="A748" t="s">
        <v>3517</v>
      </c>
      <c r="E748" t="s">
        <v>13274</v>
      </c>
    </row>
    <row r="749" spans="1:5">
      <c r="A749" t="s">
        <v>3522</v>
      </c>
      <c r="E749" t="s">
        <v>13275</v>
      </c>
    </row>
    <row r="750" spans="1:5">
      <c r="A750" t="s">
        <v>3527</v>
      </c>
      <c r="E750" t="s">
        <v>13276</v>
      </c>
    </row>
    <row r="751" spans="1:5">
      <c r="A751" t="s">
        <v>3531</v>
      </c>
      <c r="E751" t="s">
        <v>13277</v>
      </c>
    </row>
    <row r="752" spans="1:5">
      <c r="A752" t="s">
        <v>3536</v>
      </c>
      <c r="E752" t="s">
        <v>13278</v>
      </c>
    </row>
    <row r="753" spans="1:5">
      <c r="A753" t="s">
        <v>3541</v>
      </c>
      <c r="E753" t="s">
        <v>13279</v>
      </c>
    </row>
    <row r="754" spans="1:5">
      <c r="A754" t="s">
        <v>3545</v>
      </c>
      <c r="E754" t="s">
        <v>13280</v>
      </c>
    </row>
    <row r="755" spans="1:5">
      <c r="A755" t="s">
        <v>3549</v>
      </c>
      <c r="E755" t="s">
        <v>13281</v>
      </c>
    </row>
    <row r="756" spans="1:5">
      <c r="A756" t="s">
        <v>3554</v>
      </c>
      <c r="E756" t="s">
        <v>13282</v>
      </c>
    </row>
    <row r="757" spans="1:5">
      <c r="A757" t="s">
        <v>3559</v>
      </c>
      <c r="E757" t="s">
        <v>13283</v>
      </c>
    </row>
    <row r="758" spans="1:5">
      <c r="A758" t="s">
        <v>3564</v>
      </c>
      <c r="E758" t="s">
        <v>13284</v>
      </c>
    </row>
    <row r="759" spans="1:5">
      <c r="A759" t="s">
        <v>3569</v>
      </c>
      <c r="E759" t="s">
        <v>13285</v>
      </c>
    </row>
    <row r="760" spans="1:5">
      <c r="A760" t="s">
        <v>3574</v>
      </c>
      <c r="E760" t="s">
        <v>13286</v>
      </c>
    </row>
    <row r="761" spans="1:5">
      <c r="A761" t="s">
        <v>3579</v>
      </c>
      <c r="E761" t="s">
        <v>13287</v>
      </c>
    </row>
    <row r="762" spans="1:5">
      <c r="A762" t="s">
        <v>57</v>
      </c>
      <c r="E762" t="s">
        <v>13288</v>
      </c>
    </row>
    <row r="763" spans="1:5">
      <c r="A763" t="s">
        <v>3587</v>
      </c>
      <c r="E763" t="s">
        <v>13289</v>
      </c>
    </row>
    <row r="764" spans="1:5">
      <c r="A764" t="s">
        <v>3591</v>
      </c>
      <c r="E764" t="s">
        <v>13290</v>
      </c>
    </row>
    <row r="765" spans="1:5">
      <c r="A765" t="s">
        <v>3596</v>
      </c>
      <c r="E765" t="s">
        <v>13291</v>
      </c>
    </row>
    <row r="766" spans="1:5">
      <c r="A766" t="s">
        <v>3601</v>
      </c>
      <c r="E766" t="s">
        <v>13292</v>
      </c>
    </row>
    <row r="767" spans="1:5">
      <c r="A767" t="s">
        <v>3606</v>
      </c>
      <c r="E767" t="s">
        <v>13293</v>
      </c>
    </row>
    <row r="768" spans="1:5">
      <c r="A768" t="s">
        <v>3611</v>
      </c>
      <c r="E768" t="s">
        <v>13294</v>
      </c>
    </row>
    <row r="769" spans="1:5">
      <c r="A769" t="s">
        <v>3615</v>
      </c>
      <c r="E769" t="s">
        <v>13295</v>
      </c>
    </row>
    <row r="770" spans="1:5">
      <c r="A770" t="s">
        <v>3619</v>
      </c>
      <c r="E770" t="s">
        <v>13296</v>
      </c>
    </row>
    <row r="771" spans="1:5">
      <c r="A771" t="s">
        <v>3624</v>
      </c>
      <c r="E771" t="s">
        <v>13297</v>
      </c>
    </row>
    <row r="772" spans="1:5">
      <c r="A772" t="s">
        <v>3629</v>
      </c>
      <c r="E772" t="s">
        <v>13298</v>
      </c>
    </row>
    <row r="773" spans="1:5">
      <c r="A773" t="s">
        <v>3634</v>
      </c>
      <c r="E773" t="s">
        <v>13299</v>
      </c>
    </row>
    <row r="774" spans="1:5">
      <c r="A774" t="s">
        <v>3639</v>
      </c>
      <c r="E774" t="s">
        <v>13300</v>
      </c>
    </row>
    <row r="775" spans="1:5">
      <c r="A775" t="s">
        <v>3643</v>
      </c>
      <c r="E775" t="s">
        <v>13301</v>
      </c>
    </row>
    <row r="776" spans="1:5">
      <c r="A776" t="s">
        <v>3648</v>
      </c>
      <c r="E776" t="s">
        <v>13302</v>
      </c>
    </row>
    <row r="777" spans="1:5">
      <c r="A777" t="s">
        <v>3652</v>
      </c>
      <c r="E777" t="s">
        <v>13303</v>
      </c>
    </row>
    <row r="778" spans="1:5">
      <c r="A778" t="s">
        <v>3656</v>
      </c>
      <c r="E778" t="s">
        <v>13304</v>
      </c>
    </row>
    <row r="779" spans="1:5">
      <c r="A779" t="s">
        <v>3660</v>
      </c>
      <c r="E779" t="s">
        <v>13305</v>
      </c>
    </row>
    <row r="780" spans="1:5">
      <c r="A780" t="s">
        <v>3665</v>
      </c>
      <c r="E780" t="s">
        <v>13306</v>
      </c>
    </row>
    <row r="781" spans="1:5">
      <c r="A781" t="s">
        <v>3670</v>
      </c>
      <c r="E781" t="s">
        <v>13307</v>
      </c>
    </row>
    <row r="782" spans="1:5">
      <c r="A782" t="s">
        <v>3674</v>
      </c>
      <c r="E782" t="s">
        <v>13308</v>
      </c>
    </row>
    <row r="783" spans="1:5">
      <c r="A783" t="s">
        <v>3679</v>
      </c>
      <c r="E783" t="s">
        <v>13309</v>
      </c>
    </row>
    <row r="784" spans="1:5">
      <c r="A784" t="s">
        <v>3684</v>
      </c>
      <c r="E784" t="s">
        <v>13310</v>
      </c>
    </row>
    <row r="785" spans="1:5">
      <c r="A785" t="s">
        <v>3689</v>
      </c>
      <c r="E785" t="s">
        <v>13311</v>
      </c>
    </row>
    <row r="786" spans="1:5">
      <c r="A786" t="s">
        <v>3693</v>
      </c>
      <c r="E786" t="s">
        <v>13312</v>
      </c>
    </row>
    <row r="787" spans="1:5">
      <c r="A787" t="s">
        <v>3697</v>
      </c>
      <c r="E787" t="s">
        <v>13313</v>
      </c>
    </row>
    <row r="788" spans="1:5">
      <c r="A788" t="s">
        <v>3702</v>
      </c>
      <c r="E788" t="s">
        <v>13314</v>
      </c>
    </row>
    <row r="789" spans="1:5">
      <c r="A789" t="s">
        <v>3706</v>
      </c>
      <c r="E789" t="s">
        <v>13315</v>
      </c>
    </row>
    <row r="790" spans="1:5">
      <c r="A790" t="s">
        <v>3711</v>
      </c>
      <c r="E790" t="s">
        <v>13316</v>
      </c>
    </row>
    <row r="791" spans="1:5">
      <c r="A791" t="s">
        <v>3715</v>
      </c>
      <c r="E791" t="s">
        <v>13317</v>
      </c>
    </row>
    <row r="792" spans="1:5">
      <c r="A792" t="s">
        <v>3720</v>
      </c>
      <c r="E792" t="s">
        <v>13318</v>
      </c>
    </row>
    <row r="793" spans="1:5">
      <c r="A793" t="s">
        <v>3725</v>
      </c>
      <c r="E793" t="s">
        <v>13319</v>
      </c>
    </row>
    <row r="794" spans="1:5">
      <c r="A794" t="s">
        <v>3730</v>
      </c>
      <c r="E794" t="s">
        <v>13320</v>
      </c>
    </row>
    <row r="795" spans="1:5">
      <c r="A795" t="s">
        <v>3734</v>
      </c>
      <c r="E795" t="s">
        <v>13321</v>
      </c>
    </row>
    <row r="796" spans="1:5">
      <c r="A796" t="s">
        <v>3738</v>
      </c>
      <c r="E796" t="s">
        <v>13322</v>
      </c>
    </row>
    <row r="797" spans="1:5">
      <c r="A797" t="s">
        <v>3742</v>
      </c>
      <c r="E797" t="s">
        <v>13323</v>
      </c>
    </row>
    <row r="798" spans="1:5">
      <c r="A798" t="s">
        <v>3746</v>
      </c>
      <c r="E798" t="s">
        <v>13324</v>
      </c>
    </row>
    <row r="799" spans="1:5">
      <c r="A799" t="s">
        <v>3750</v>
      </c>
      <c r="E799" t="s">
        <v>13325</v>
      </c>
    </row>
    <row r="800" spans="1:5">
      <c r="A800" t="s">
        <v>3755</v>
      </c>
      <c r="E800" t="s">
        <v>13326</v>
      </c>
    </row>
    <row r="801" spans="1:5">
      <c r="A801" t="s">
        <v>3759</v>
      </c>
      <c r="E801" t="s">
        <v>13327</v>
      </c>
    </row>
    <row r="802" spans="1:5">
      <c r="A802" t="s">
        <v>3764</v>
      </c>
      <c r="E802" t="s">
        <v>13328</v>
      </c>
    </row>
    <row r="803" spans="1:5">
      <c r="A803" t="s">
        <v>3768</v>
      </c>
      <c r="E803" t="s">
        <v>13329</v>
      </c>
    </row>
    <row r="804" spans="1:5">
      <c r="A804" t="s">
        <v>3773</v>
      </c>
      <c r="E804" t="s">
        <v>13330</v>
      </c>
    </row>
    <row r="805" spans="1:5">
      <c r="A805" t="s">
        <v>3777</v>
      </c>
      <c r="E805" t="s">
        <v>13331</v>
      </c>
    </row>
    <row r="806" spans="1:5">
      <c r="A806" t="s">
        <v>3782</v>
      </c>
      <c r="E806" t="s">
        <v>13332</v>
      </c>
    </row>
    <row r="807" spans="1:5">
      <c r="A807" t="s">
        <v>3787</v>
      </c>
      <c r="E807" t="s">
        <v>13333</v>
      </c>
    </row>
    <row r="808" spans="1:5">
      <c r="A808" t="s">
        <v>3792</v>
      </c>
      <c r="E808" t="s">
        <v>13334</v>
      </c>
    </row>
    <row r="809" spans="1:5">
      <c r="A809" t="s">
        <v>3796</v>
      </c>
      <c r="E809" t="s">
        <v>13335</v>
      </c>
    </row>
    <row r="810" spans="1:5">
      <c r="A810" t="s">
        <v>3801</v>
      </c>
      <c r="E810" t="s">
        <v>13336</v>
      </c>
    </row>
    <row r="811" spans="1:5">
      <c r="A811" t="s">
        <v>3805</v>
      </c>
      <c r="E811" t="s">
        <v>13337</v>
      </c>
    </row>
    <row r="812" spans="1:5">
      <c r="A812" t="s">
        <v>3809</v>
      </c>
      <c r="E812" t="s">
        <v>13338</v>
      </c>
    </row>
    <row r="813" spans="1:5">
      <c r="A813" t="s">
        <v>3814</v>
      </c>
      <c r="E813" t="s">
        <v>13339</v>
      </c>
    </row>
    <row r="814" spans="1:5">
      <c r="A814" t="s">
        <v>3819</v>
      </c>
      <c r="E814" t="s">
        <v>13340</v>
      </c>
    </row>
    <row r="815" spans="1:5">
      <c r="A815" t="s">
        <v>3824</v>
      </c>
      <c r="E815" t="s">
        <v>13341</v>
      </c>
    </row>
    <row r="816" spans="1:5">
      <c r="A816" t="s">
        <v>3828</v>
      </c>
      <c r="E816" t="s">
        <v>13342</v>
      </c>
    </row>
    <row r="817" spans="1:5">
      <c r="A817" t="s">
        <v>3832</v>
      </c>
      <c r="E817" t="s">
        <v>13343</v>
      </c>
    </row>
    <row r="818" spans="1:5">
      <c r="A818" t="s">
        <v>3837</v>
      </c>
      <c r="E818" t="s">
        <v>13344</v>
      </c>
    </row>
    <row r="819" spans="1:5">
      <c r="A819" t="s">
        <v>3841</v>
      </c>
      <c r="E819" t="s">
        <v>13345</v>
      </c>
    </row>
    <row r="820" spans="1:5">
      <c r="A820" t="s">
        <v>3846</v>
      </c>
      <c r="E820" t="s">
        <v>13346</v>
      </c>
    </row>
    <row r="821" spans="1:5">
      <c r="A821" t="s">
        <v>3850</v>
      </c>
      <c r="E821" t="s">
        <v>13347</v>
      </c>
    </row>
    <row r="822" spans="1:5">
      <c r="A822" t="s">
        <v>3855</v>
      </c>
      <c r="E822" t="s">
        <v>13348</v>
      </c>
    </row>
    <row r="823" spans="1:5">
      <c r="A823" t="s">
        <v>3859</v>
      </c>
      <c r="E823" t="s">
        <v>13349</v>
      </c>
    </row>
    <row r="824" spans="1:5">
      <c r="A824" t="s">
        <v>3864</v>
      </c>
      <c r="E824" t="s">
        <v>13350</v>
      </c>
    </row>
    <row r="825" spans="1:5">
      <c r="A825" t="s">
        <v>3869</v>
      </c>
      <c r="E825" t="s">
        <v>13351</v>
      </c>
    </row>
    <row r="826" spans="1:5">
      <c r="A826" t="s">
        <v>3874</v>
      </c>
      <c r="E826" t="s">
        <v>13352</v>
      </c>
    </row>
    <row r="827" spans="1:5">
      <c r="A827" t="s">
        <v>3878</v>
      </c>
      <c r="E827" t="s">
        <v>13353</v>
      </c>
    </row>
    <row r="828" spans="1:5">
      <c r="A828" t="s">
        <v>3883</v>
      </c>
      <c r="E828" t="s">
        <v>13354</v>
      </c>
    </row>
    <row r="829" spans="1:5">
      <c r="A829" t="s">
        <v>3888</v>
      </c>
      <c r="E829" t="s">
        <v>13355</v>
      </c>
    </row>
    <row r="830" spans="1:5">
      <c r="A830" t="s">
        <v>3892</v>
      </c>
      <c r="E830" t="s">
        <v>13356</v>
      </c>
    </row>
    <row r="831" spans="1:5">
      <c r="A831" t="s">
        <v>3897</v>
      </c>
      <c r="E831" t="s">
        <v>13357</v>
      </c>
    </row>
    <row r="832" spans="1:5">
      <c r="A832" t="s">
        <v>3901</v>
      </c>
      <c r="E832" t="s">
        <v>13358</v>
      </c>
    </row>
    <row r="833" spans="1:5">
      <c r="A833" t="s">
        <v>3906</v>
      </c>
      <c r="E833" t="s">
        <v>13359</v>
      </c>
    </row>
    <row r="834" spans="1:5">
      <c r="A834" t="s">
        <v>3910</v>
      </c>
      <c r="E834" t="s">
        <v>13360</v>
      </c>
    </row>
    <row r="835" spans="1:5">
      <c r="A835" t="s">
        <v>3914</v>
      </c>
      <c r="E835" t="s">
        <v>13361</v>
      </c>
    </row>
    <row r="836" spans="1:5">
      <c r="A836" t="s">
        <v>3918</v>
      </c>
      <c r="E836" t="s">
        <v>13362</v>
      </c>
    </row>
    <row r="837" spans="1:5">
      <c r="A837" t="s">
        <v>3922</v>
      </c>
      <c r="E837" t="s">
        <v>13363</v>
      </c>
    </row>
    <row r="838" spans="1:5">
      <c r="A838" t="s">
        <v>3927</v>
      </c>
      <c r="E838" t="s">
        <v>13364</v>
      </c>
    </row>
    <row r="839" spans="1:5">
      <c r="A839" t="s">
        <v>3932</v>
      </c>
      <c r="E839" t="s">
        <v>13365</v>
      </c>
    </row>
    <row r="840" spans="1:5">
      <c r="A840" t="s">
        <v>3936</v>
      </c>
      <c r="E840" t="s">
        <v>13366</v>
      </c>
    </row>
    <row r="841" spans="1:5">
      <c r="A841" t="s">
        <v>3941</v>
      </c>
      <c r="E841" t="s">
        <v>13367</v>
      </c>
    </row>
    <row r="842" spans="1:5">
      <c r="A842" t="s">
        <v>3946</v>
      </c>
      <c r="E842" t="s">
        <v>13368</v>
      </c>
    </row>
    <row r="843" spans="1:5">
      <c r="A843" t="s">
        <v>3951</v>
      </c>
      <c r="E843" t="s">
        <v>13369</v>
      </c>
    </row>
    <row r="844" spans="1:5">
      <c r="A844" t="s">
        <v>3956</v>
      </c>
      <c r="E844" t="s">
        <v>13370</v>
      </c>
    </row>
    <row r="845" spans="1:5">
      <c r="A845" t="s">
        <v>3961</v>
      </c>
      <c r="E845" t="s">
        <v>13371</v>
      </c>
    </row>
    <row r="846" spans="1:5">
      <c r="A846" t="s">
        <v>3965</v>
      </c>
      <c r="E846" t="s">
        <v>13372</v>
      </c>
    </row>
    <row r="847" spans="1:5">
      <c r="A847" t="s">
        <v>3969</v>
      </c>
      <c r="E847" t="s">
        <v>13373</v>
      </c>
    </row>
    <row r="848" spans="1:5">
      <c r="A848" t="s">
        <v>3973</v>
      </c>
      <c r="E848" t="s">
        <v>13374</v>
      </c>
    </row>
    <row r="849" spans="1:5">
      <c r="A849" t="s">
        <v>3977</v>
      </c>
      <c r="E849" t="s">
        <v>13375</v>
      </c>
    </row>
    <row r="850" spans="1:5">
      <c r="A850" t="s">
        <v>3982</v>
      </c>
      <c r="E850" t="s">
        <v>13376</v>
      </c>
    </row>
    <row r="851" spans="1:5">
      <c r="A851" t="s">
        <v>3986</v>
      </c>
      <c r="E851" t="s">
        <v>13377</v>
      </c>
    </row>
    <row r="852" spans="1:5">
      <c r="A852" t="s">
        <v>3991</v>
      </c>
      <c r="E852" t="s">
        <v>13378</v>
      </c>
    </row>
    <row r="853" spans="1:5">
      <c r="A853" t="s">
        <v>3995</v>
      </c>
      <c r="E853" t="s">
        <v>13379</v>
      </c>
    </row>
    <row r="854" spans="1:5">
      <c r="A854" t="s">
        <v>4000</v>
      </c>
      <c r="E854" t="s">
        <v>13380</v>
      </c>
    </row>
    <row r="855" spans="1:5">
      <c r="A855" t="s">
        <v>4004</v>
      </c>
      <c r="E855" t="s">
        <v>13381</v>
      </c>
    </row>
    <row r="856" spans="1:5">
      <c r="A856" t="s">
        <v>4009</v>
      </c>
      <c r="E856" t="s">
        <v>13382</v>
      </c>
    </row>
    <row r="857" spans="1:5">
      <c r="A857" t="s">
        <v>4014</v>
      </c>
      <c r="E857" t="s">
        <v>13383</v>
      </c>
    </row>
    <row r="858" spans="1:5">
      <c r="A858" t="s">
        <v>4018</v>
      </c>
      <c r="E858" t="s">
        <v>13384</v>
      </c>
    </row>
    <row r="859" spans="1:5">
      <c r="A859" t="s">
        <v>4022</v>
      </c>
      <c r="E859" t="s">
        <v>13385</v>
      </c>
    </row>
    <row r="860" spans="1:5">
      <c r="A860" t="s">
        <v>4026</v>
      </c>
      <c r="E860" t="s">
        <v>13386</v>
      </c>
    </row>
    <row r="861" spans="1:5">
      <c r="A861" t="s">
        <v>4031</v>
      </c>
      <c r="E861" t="s">
        <v>13387</v>
      </c>
    </row>
    <row r="862" spans="1:5">
      <c r="A862" t="s">
        <v>4036</v>
      </c>
      <c r="E862" t="s">
        <v>13388</v>
      </c>
    </row>
    <row r="863" spans="1:5">
      <c r="A863" t="s">
        <v>4040</v>
      </c>
      <c r="E863" t="s">
        <v>13389</v>
      </c>
    </row>
    <row r="864" spans="1:5">
      <c r="A864" t="s">
        <v>4045</v>
      </c>
      <c r="E864" t="s">
        <v>13390</v>
      </c>
    </row>
    <row r="865" spans="1:5">
      <c r="A865" t="s">
        <v>4050</v>
      </c>
      <c r="E865" t="s">
        <v>13391</v>
      </c>
    </row>
    <row r="866" spans="1:5">
      <c r="A866" t="s">
        <v>4055</v>
      </c>
      <c r="E866" t="s">
        <v>13392</v>
      </c>
    </row>
    <row r="867" spans="1:5">
      <c r="A867" t="s">
        <v>4059</v>
      </c>
      <c r="E867" t="s">
        <v>13393</v>
      </c>
    </row>
    <row r="868" spans="1:5">
      <c r="A868" t="s">
        <v>4064</v>
      </c>
      <c r="E868" t="s">
        <v>13394</v>
      </c>
    </row>
    <row r="869" spans="1:5">
      <c r="A869" t="s">
        <v>4069</v>
      </c>
      <c r="E869" t="s">
        <v>13395</v>
      </c>
    </row>
    <row r="870" spans="1:5">
      <c r="A870" t="s">
        <v>4074</v>
      </c>
      <c r="E870" t="s">
        <v>13396</v>
      </c>
    </row>
    <row r="871" spans="1:5">
      <c r="A871" t="s">
        <v>4079</v>
      </c>
      <c r="E871" t="s">
        <v>13397</v>
      </c>
    </row>
    <row r="872" spans="1:5">
      <c r="A872" t="s">
        <v>4084</v>
      </c>
      <c r="E872" t="s">
        <v>13398</v>
      </c>
    </row>
    <row r="873" spans="1:5">
      <c r="A873" t="s">
        <v>4088</v>
      </c>
      <c r="E873" t="s">
        <v>13399</v>
      </c>
    </row>
    <row r="874" spans="1:5">
      <c r="A874" t="s">
        <v>4092</v>
      </c>
      <c r="E874" t="s">
        <v>13400</v>
      </c>
    </row>
    <row r="875" spans="1:5">
      <c r="A875" t="s">
        <v>4096</v>
      </c>
      <c r="E875" t="s">
        <v>13401</v>
      </c>
    </row>
    <row r="876" spans="1:5">
      <c r="A876" t="s">
        <v>4100</v>
      </c>
      <c r="E876" t="s">
        <v>13402</v>
      </c>
    </row>
    <row r="877" spans="1:5">
      <c r="A877" t="s">
        <v>4104</v>
      </c>
      <c r="E877" t="s">
        <v>13403</v>
      </c>
    </row>
    <row r="878" spans="1:5">
      <c r="A878" t="s">
        <v>4108</v>
      </c>
      <c r="E878" t="s">
        <v>13404</v>
      </c>
    </row>
    <row r="879" spans="1:5">
      <c r="A879" t="s">
        <v>4112</v>
      </c>
      <c r="E879" t="s">
        <v>13405</v>
      </c>
    </row>
    <row r="880" spans="1:5">
      <c r="A880" t="s">
        <v>4117</v>
      </c>
      <c r="E880" t="s">
        <v>13406</v>
      </c>
    </row>
    <row r="881" spans="1:5">
      <c r="A881" t="s">
        <v>4122</v>
      </c>
      <c r="E881" t="s">
        <v>13407</v>
      </c>
    </row>
    <row r="882" spans="1:5">
      <c r="A882" t="s">
        <v>4126</v>
      </c>
      <c r="E882" t="s">
        <v>13408</v>
      </c>
    </row>
    <row r="883" spans="1:5">
      <c r="A883" t="s">
        <v>4131</v>
      </c>
      <c r="E883" t="s">
        <v>13409</v>
      </c>
    </row>
    <row r="884" spans="1:5">
      <c r="A884" t="s">
        <v>4136</v>
      </c>
      <c r="E884" t="s">
        <v>13410</v>
      </c>
    </row>
    <row r="885" spans="1:5">
      <c r="A885" t="s">
        <v>4141</v>
      </c>
      <c r="E885" t="s">
        <v>13411</v>
      </c>
    </row>
    <row r="886" spans="1:5">
      <c r="A886" t="s">
        <v>4145</v>
      </c>
      <c r="E886" t="s">
        <v>13412</v>
      </c>
    </row>
    <row r="887" spans="1:5">
      <c r="A887" t="s">
        <v>4149</v>
      </c>
      <c r="E887" t="s">
        <v>13413</v>
      </c>
    </row>
    <row r="888" spans="1:5">
      <c r="A888" t="s">
        <v>4153</v>
      </c>
      <c r="E888" t="s">
        <v>13414</v>
      </c>
    </row>
    <row r="889" spans="1:5">
      <c r="A889" t="s">
        <v>4158</v>
      </c>
      <c r="E889" t="s">
        <v>13415</v>
      </c>
    </row>
    <row r="890" spans="1:5">
      <c r="A890" t="s">
        <v>4163</v>
      </c>
      <c r="E890" t="s">
        <v>13416</v>
      </c>
    </row>
    <row r="891" spans="1:5">
      <c r="A891" t="s">
        <v>4168</v>
      </c>
      <c r="E891" t="s">
        <v>13417</v>
      </c>
    </row>
    <row r="892" spans="1:5">
      <c r="A892" t="s">
        <v>4173</v>
      </c>
      <c r="E892" t="s">
        <v>13418</v>
      </c>
    </row>
    <row r="893" spans="1:5">
      <c r="A893" t="s">
        <v>4177</v>
      </c>
      <c r="E893" t="s">
        <v>13419</v>
      </c>
    </row>
    <row r="894" spans="1:5">
      <c r="A894" t="s">
        <v>4181</v>
      </c>
      <c r="E894" t="s">
        <v>13420</v>
      </c>
    </row>
    <row r="895" spans="1:5">
      <c r="A895" t="s">
        <v>4186</v>
      </c>
      <c r="E895" t="s">
        <v>13421</v>
      </c>
    </row>
    <row r="896" spans="1:5">
      <c r="A896" t="s">
        <v>4190</v>
      </c>
      <c r="E896" t="s">
        <v>13422</v>
      </c>
    </row>
    <row r="897" spans="1:5">
      <c r="A897" t="s">
        <v>4194</v>
      </c>
      <c r="E897" t="s">
        <v>13423</v>
      </c>
    </row>
    <row r="898" spans="1:5">
      <c r="A898" t="s">
        <v>4198</v>
      </c>
      <c r="E898" t="s">
        <v>13424</v>
      </c>
    </row>
    <row r="899" spans="1:5">
      <c r="A899" t="s">
        <v>4202</v>
      </c>
      <c r="E899" t="s">
        <v>13425</v>
      </c>
    </row>
    <row r="900" spans="1:5">
      <c r="A900" t="s">
        <v>4206</v>
      </c>
      <c r="E900" t="s">
        <v>13426</v>
      </c>
    </row>
    <row r="901" spans="1:5">
      <c r="A901" t="s">
        <v>4211</v>
      </c>
      <c r="E901" t="s">
        <v>13427</v>
      </c>
    </row>
    <row r="902" spans="1:5">
      <c r="A902" t="s">
        <v>4216</v>
      </c>
      <c r="E902" t="s">
        <v>13428</v>
      </c>
    </row>
    <row r="903" spans="1:5">
      <c r="A903" t="s">
        <v>4221</v>
      </c>
      <c r="E903" t="s">
        <v>13429</v>
      </c>
    </row>
    <row r="904" spans="1:5">
      <c r="A904" t="s">
        <v>4226</v>
      </c>
      <c r="E904" t="s">
        <v>13430</v>
      </c>
    </row>
    <row r="905" spans="1:5">
      <c r="A905" t="s">
        <v>4231</v>
      </c>
      <c r="E905" t="s">
        <v>13431</v>
      </c>
    </row>
    <row r="906" spans="1:5">
      <c r="A906" t="s">
        <v>4236</v>
      </c>
      <c r="E906" t="s">
        <v>13432</v>
      </c>
    </row>
    <row r="907" spans="1:5">
      <c r="A907" t="s">
        <v>4240</v>
      </c>
      <c r="E907" t="s">
        <v>13433</v>
      </c>
    </row>
    <row r="908" spans="1:5">
      <c r="A908" t="s">
        <v>4244</v>
      </c>
      <c r="E908" t="s">
        <v>13434</v>
      </c>
    </row>
    <row r="909" spans="1:5">
      <c r="A909" t="s">
        <v>4249</v>
      </c>
      <c r="E909" t="s">
        <v>13435</v>
      </c>
    </row>
    <row r="910" spans="1:5">
      <c r="A910" t="s">
        <v>4254</v>
      </c>
      <c r="E910" t="s">
        <v>13436</v>
      </c>
    </row>
    <row r="911" spans="1:5">
      <c r="A911" t="s">
        <v>4259</v>
      </c>
      <c r="E911" t="s">
        <v>13437</v>
      </c>
    </row>
    <row r="912" spans="1:5">
      <c r="A912" t="s">
        <v>4264</v>
      </c>
      <c r="E912" t="s">
        <v>13438</v>
      </c>
    </row>
    <row r="913" spans="1:5">
      <c r="A913" t="s">
        <v>4268</v>
      </c>
      <c r="E913" t="s">
        <v>13439</v>
      </c>
    </row>
    <row r="914" spans="1:5">
      <c r="A914" t="s">
        <v>4272</v>
      </c>
      <c r="E914" t="s">
        <v>13440</v>
      </c>
    </row>
    <row r="915" spans="1:5">
      <c r="A915" t="s">
        <v>4277</v>
      </c>
      <c r="E915" t="s">
        <v>13441</v>
      </c>
    </row>
    <row r="916" spans="1:5">
      <c r="A916" t="s">
        <v>4282</v>
      </c>
      <c r="E916" t="s">
        <v>13442</v>
      </c>
    </row>
    <row r="917" spans="1:5">
      <c r="A917" t="s">
        <v>4287</v>
      </c>
      <c r="E917" t="s">
        <v>13443</v>
      </c>
    </row>
    <row r="918" spans="1:5">
      <c r="A918" t="s">
        <v>4292</v>
      </c>
      <c r="E918" t="s">
        <v>13444</v>
      </c>
    </row>
    <row r="919" spans="1:5">
      <c r="A919" t="s">
        <v>4298</v>
      </c>
      <c r="E919" t="s">
        <v>13445</v>
      </c>
    </row>
    <row r="920" spans="1:5">
      <c r="A920" t="s">
        <v>4304</v>
      </c>
      <c r="E920" t="s">
        <v>13446</v>
      </c>
    </row>
    <row r="921" spans="1:5">
      <c r="A921" t="s">
        <v>4309</v>
      </c>
      <c r="E921" t="s">
        <v>13447</v>
      </c>
    </row>
    <row r="922" spans="1:5">
      <c r="A922" t="s">
        <v>4314</v>
      </c>
      <c r="E922" t="s">
        <v>13448</v>
      </c>
    </row>
    <row r="923" spans="1:5">
      <c r="A923" t="s">
        <v>4319</v>
      </c>
      <c r="E923" t="s">
        <v>13449</v>
      </c>
    </row>
    <row r="924" spans="1:5">
      <c r="A924" t="s">
        <v>4324</v>
      </c>
      <c r="E924" t="s">
        <v>13450</v>
      </c>
    </row>
    <row r="925" spans="1:5">
      <c r="A925" t="s">
        <v>4329</v>
      </c>
      <c r="E925" t="s">
        <v>13451</v>
      </c>
    </row>
    <row r="926" spans="1:5">
      <c r="A926" t="s">
        <v>4333</v>
      </c>
      <c r="E926" t="s">
        <v>13452</v>
      </c>
    </row>
    <row r="927" spans="1:5">
      <c r="A927" t="s">
        <v>4337</v>
      </c>
      <c r="E927" t="s">
        <v>13453</v>
      </c>
    </row>
    <row r="928" spans="1:5">
      <c r="A928" t="s">
        <v>4341</v>
      </c>
      <c r="E928" t="s">
        <v>13454</v>
      </c>
    </row>
    <row r="929" spans="1:5">
      <c r="A929" t="s">
        <v>4346</v>
      </c>
      <c r="E929" t="s">
        <v>13455</v>
      </c>
    </row>
    <row r="930" spans="1:5">
      <c r="A930" t="s">
        <v>4351</v>
      </c>
      <c r="E930" t="s">
        <v>13456</v>
      </c>
    </row>
    <row r="931" spans="1:5">
      <c r="A931" t="s">
        <v>4356</v>
      </c>
      <c r="E931" t="s">
        <v>13457</v>
      </c>
    </row>
    <row r="932" spans="1:5">
      <c r="A932" t="s">
        <v>4360</v>
      </c>
      <c r="E932" t="s">
        <v>13458</v>
      </c>
    </row>
    <row r="933" spans="1:5">
      <c r="A933" t="s">
        <v>4364</v>
      </c>
      <c r="E933" t="s">
        <v>13459</v>
      </c>
    </row>
    <row r="934" spans="1:5">
      <c r="A934" t="s">
        <v>4369</v>
      </c>
      <c r="E934" t="s">
        <v>13460</v>
      </c>
    </row>
    <row r="935" spans="1:5">
      <c r="A935" t="s">
        <v>4375</v>
      </c>
      <c r="E935" t="s">
        <v>13461</v>
      </c>
    </row>
    <row r="936" spans="1:5">
      <c r="A936" t="s">
        <v>4379</v>
      </c>
      <c r="E936" t="s">
        <v>13462</v>
      </c>
    </row>
    <row r="937" spans="1:5">
      <c r="A937" t="s">
        <v>4383</v>
      </c>
      <c r="E937" t="s">
        <v>13463</v>
      </c>
    </row>
    <row r="938" spans="1:5">
      <c r="A938" t="s">
        <v>4388</v>
      </c>
      <c r="E938" t="s">
        <v>13464</v>
      </c>
    </row>
    <row r="939" spans="1:5">
      <c r="A939" t="s">
        <v>4393</v>
      </c>
      <c r="E939" t="s">
        <v>13465</v>
      </c>
    </row>
    <row r="940" spans="1:5">
      <c r="A940" t="s">
        <v>4397</v>
      </c>
      <c r="E940" t="s">
        <v>13466</v>
      </c>
    </row>
    <row r="941" spans="1:5">
      <c r="A941" t="s">
        <v>4402</v>
      </c>
      <c r="E941" t="s">
        <v>13467</v>
      </c>
    </row>
    <row r="942" spans="1:5">
      <c r="A942" t="s">
        <v>4406</v>
      </c>
      <c r="E942" t="s">
        <v>13468</v>
      </c>
    </row>
    <row r="943" spans="1:5">
      <c r="A943" t="s">
        <v>4411</v>
      </c>
      <c r="E943" t="s">
        <v>13469</v>
      </c>
    </row>
    <row r="944" spans="1:5">
      <c r="A944" t="s">
        <v>4415</v>
      </c>
      <c r="E944" t="s">
        <v>13470</v>
      </c>
    </row>
    <row r="945" spans="1:5">
      <c r="A945" t="s">
        <v>4420</v>
      </c>
      <c r="E945" t="s">
        <v>13471</v>
      </c>
    </row>
    <row r="946" spans="1:5">
      <c r="A946" t="s">
        <v>4425</v>
      </c>
      <c r="E946" t="s">
        <v>13472</v>
      </c>
    </row>
    <row r="947" spans="1:5">
      <c r="A947" t="s">
        <v>4430</v>
      </c>
      <c r="E947" t="s">
        <v>13473</v>
      </c>
    </row>
    <row r="948" spans="1:5">
      <c r="A948" t="s">
        <v>4435</v>
      </c>
      <c r="E948" t="s">
        <v>13474</v>
      </c>
    </row>
    <row r="949" spans="1:5">
      <c r="A949" t="s">
        <v>4440</v>
      </c>
      <c r="E949" t="s">
        <v>13475</v>
      </c>
    </row>
    <row r="950" spans="1:5">
      <c r="A950" t="s">
        <v>4445</v>
      </c>
      <c r="E950" t="s">
        <v>13476</v>
      </c>
    </row>
    <row r="951" spans="1:5">
      <c r="A951" t="s">
        <v>4450</v>
      </c>
      <c r="E951" t="s">
        <v>13477</v>
      </c>
    </row>
    <row r="952" spans="1:5">
      <c r="A952" t="s">
        <v>4455</v>
      </c>
      <c r="E952" t="s">
        <v>13478</v>
      </c>
    </row>
    <row r="953" spans="1:5">
      <c r="A953" t="s">
        <v>4459</v>
      </c>
      <c r="E953" t="s">
        <v>13479</v>
      </c>
    </row>
    <row r="954" spans="1:5">
      <c r="A954" t="s">
        <v>4464</v>
      </c>
      <c r="E954" t="s">
        <v>13480</v>
      </c>
    </row>
    <row r="955" spans="1:5">
      <c r="A955" t="s">
        <v>4469</v>
      </c>
      <c r="E955" t="s">
        <v>13481</v>
      </c>
    </row>
    <row r="956" spans="1:5">
      <c r="A956" t="s">
        <v>4473</v>
      </c>
      <c r="E956" t="s">
        <v>13482</v>
      </c>
    </row>
    <row r="957" spans="1:5">
      <c r="A957" t="s">
        <v>4477</v>
      </c>
      <c r="E957" t="s">
        <v>13483</v>
      </c>
    </row>
    <row r="958" spans="1:5">
      <c r="A958" t="s">
        <v>4482</v>
      </c>
      <c r="E958" t="s">
        <v>13484</v>
      </c>
    </row>
    <row r="959" spans="1:5">
      <c r="A959" t="s">
        <v>4487</v>
      </c>
      <c r="E959" t="s">
        <v>13485</v>
      </c>
    </row>
    <row r="960" spans="1:5">
      <c r="A960" t="s">
        <v>4491</v>
      </c>
      <c r="E960" t="s">
        <v>13486</v>
      </c>
    </row>
    <row r="961" spans="1:5">
      <c r="A961" t="s">
        <v>4496</v>
      </c>
      <c r="E961" t="s">
        <v>13487</v>
      </c>
    </row>
    <row r="962" spans="1:5">
      <c r="A962" t="s">
        <v>4500</v>
      </c>
      <c r="E962" t="s">
        <v>13488</v>
      </c>
    </row>
    <row r="963" spans="1:5">
      <c r="A963" t="s">
        <v>4505</v>
      </c>
      <c r="E963" t="s">
        <v>13489</v>
      </c>
    </row>
    <row r="964" spans="1:5">
      <c r="A964" t="s">
        <v>4510</v>
      </c>
      <c r="E964" t="s">
        <v>13490</v>
      </c>
    </row>
    <row r="965" spans="1:5">
      <c r="A965" t="s">
        <v>4514</v>
      </c>
      <c r="E965" t="s">
        <v>13491</v>
      </c>
    </row>
    <row r="966" spans="1:5">
      <c r="A966" t="s">
        <v>4519</v>
      </c>
      <c r="E966" t="s">
        <v>13492</v>
      </c>
    </row>
    <row r="967" spans="1:5">
      <c r="A967" t="s">
        <v>4523</v>
      </c>
      <c r="E967" t="s">
        <v>13493</v>
      </c>
    </row>
    <row r="968" spans="1:5">
      <c r="A968" t="s">
        <v>4527</v>
      </c>
      <c r="E968" t="s">
        <v>13494</v>
      </c>
    </row>
    <row r="969" spans="1:5">
      <c r="A969" t="s">
        <v>4531</v>
      </c>
      <c r="E969" t="s">
        <v>13495</v>
      </c>
    </row>
    <row r="970" spans="1:5">
      <c r="A970" t="s">
        <v>4536</v>
      </c>
      <c r="E970" t="s">
        <v>13496</v>
      </c>
    </row>
    <row r="971" spans="1:5">
      <c r="A971" t="s">
        <v>4541</v>
      </c>
      <c r="E971" t="s">
        <v>13497</v>
      </c>
    </row>
    <row r="972" spans="1:5">
      <c r="A972" t="s">
        <v>4546</v>
      </c>
      <c r="E972" t="s">
        <v>13498</v>
      </c>
    </row>
    <row r="973" spans="1:5">
      <c r="A973" t="s">
        <v>4551</v>
      </c>
      <c r="E973" t="s">
        <v>13499</v>
      </c>
    </row>
    <row r="974" spans="1:5">
      <c r="A974" t="s">
        <v>4556</v>
      </c>
      <c r="E974" t="s">
        <v>13500</v>
      </c>
    </row>
    <row r="975" spans="1:5">
      <c r="A975" t="s">
        <v>4561</v>
      </c>
      <c r="E975" t="s">
        <v>13501</v>
      </c>
    </row>
    <row r="976" spans="1:5">
      <c r="A976" t="s">
        <v>4566</v>
      </c>
      <c r="E976" t="s">
        <v>13502</v>
      </c>
    </row>
    <row r="977" spans="1:5">
      <c r="A977" t="s">
        <v>4571</v>
      </c>
      <c r="E977" t="s">
        <v>13503</v>
      </c>
    </row>
    <row r="978" spans="1:5">
      <c r="A978" t="s">
        <v>4576</v>
      </c>
      <c r="E978" t="s">
        <v>13504</v>
      </c>
    </row>
    <row r="979" spans="1:5">
      <c r="A979" t="s">
        <v>4580</v>
      </c>
      <c r="E979" t="s">
        <v>13505</v>
      </c>
    </row>
    <row r="980" spans="1:5">
      <c r="A980" t="s">
        <v>4585</v>
      </c>
      <c r="E980" t="s">
        <v>13506</v>
      </c>
    </row>
    <row r="981" spans="1:5">
      <c r="A981" t="s">
        <v>4589</v>
      </c>
      <c r="E981" t="s">
        <v>13507</v>
      </c>
    </row>
    <row r="982" spans="1:5">
      <c r="A982" t="s">
        <v>4594</v>
      </c>
      <c r="E982" t="s">
        <v>13508</v>
      </c>
    </row>
    <row r="983" spans="1:5">
      <c r="A983" t="s">
        <v>4598</v>
      </c>
      <c r="E983" t="s">
        <v>13509</v>
      </c>
    </row>
    <row r="984" spans="1:5">
      <c r="A984" t="s">
        <v>4602</v>
      </c>
      <c r="E984" t="s">
        <v>13510</v>
      </c>
    </row>
    <row r="985" spans="1:5">
      <c r="A985" t="s">
        <v>4606</v>
      </c>
      <c r="E985" t="s">
        <v>13511</v>
      </c>
    </row>
    <row r="986" spans="1:5">
      <c r="A986" t="s">
        <v>4610</v>
      </c>
      <c r="E986" t="s">
        <v>13512</v>
      </c>
    </row>
    <row r="987" spans="1:5">
      <c r="A987" t="s">
        <v>4614</v>
      </c>
      <c r="E987" t="s">
        <v>13513</v>
      </c>
    </row>
    <row r="988" spans="1:5">
      <c r="A988" t="s">
        <v>4618</v>
      </c>
      <c r="E988" t="s">
        <v>13514</v>
      </c>
    </row>
    <row r="989" spans="1:5">
      <c r="A989" t="s">
        <v>4623</v>
      </c>
      <c r="E989" t="s">
        <v>13515</v>
      </c>
    </row>
    <row r="990" spans="1:5">
      <c r="A990" t="s">
        <v>4627</v>
      </c>
      <c r="E990" t="s">
        <v>13516</v>
      </c>
    </row>
    <row r="991" spans="1:5">
      <c r="A991" t="s">
        <v>4632</v>
      </c>
      <c r="E991" t="s">
        <v>13517</v>
      </c>
    </row>
    <row r="992" spans="1:5">
      <c r="A992" t="s">
        <v>4637</v>
      </c>
      <c r="E992" t="s">
        <v>13518</v>
      </c>
    </row>
    <row r="993" spans="1:5">
      <c r="A993" t="s">
        <v>4642</v>
      </c>
      <c r="E993" t="s">
        <v>13519</v>
      </c>
    </row>
    <row r="994" spans="1:5">
      <c r="A994" t="s">
        <v>4647</v>
      </c>
      <c r="E994" t="s">
        <v>13520</v>
      </c>
    </row>
    <row r="995" spans="1:5">
      <c r="A995" t="s">
        <v>4651</v>
      </c>
      <c r="E995" t="s">
        <v>13521</v>
      </c>
    </row>
    <row r="996" spans="1:5">
      <c r="A996" t="s">
        <v>4656</v>
      </c>
      <c r="E996" t="s">
        <v>13522</v>
      </c>
    </row>
    <row r="997" spans="1:5">
      <c r="A997" t="s">
        <v>4660</v>
      </c>
      <c r="E997" t="s">
        <v>13523</v>
      </c>
    </row>
    <row r="998" spans="1:5">
      <c r="A998" t="s">
        <v>4664</v>
      </c>
      <c r="E998" t="s">
        <v>13524</v>
      </c>
    </row>
    <row r="999" spans="1:5">
      <c r="A999" t="s">
        <v>4669</v>
      </c>
      <c r="E999" t="s">
        <v>13525</v>
      </c>
    </row>
    <row r="1000" spans="1:5">
      <c r="A1000" t="s">
        <v>4674</v>
      </c>
      <c r="E1000" t="s">
        <v>13526</v>
      </c>
    </row>
    <row r="1001" spans="1:5">
      <c r="A1001" t="s">
        <v>4678</v>
      </c>
      <c r="E1001" t="s">
        <v>13527</v>
      </c>
    </row>
    <row r="1002" spans="1:5">
      <c r="A1002" t="s">
        <v>4683</v>
      </c>
      <c r="E1002" t="s">
        <v>13528</v>
      </c>
    </row>
    <row r="1003" spans="1:5">
      <c r="A1003" t="s">
        <v>4687</v>
      </c>
    </row>
    <row r="1004" spans="1:5">
      <c r="A1004" t="s">
        <v>4691</v>
      </c>
    </row>
    <row r="1005" spans="1:5">
      <c r="A1005" t="s">
        <v>4695</v>
      </c>
    </row>
    <row r="1006" spans="1:5">
      <c r="A1006" t="s">
        <v>4699</v>
      </c>
    </row>
    <row r="1007" spans="1:5">
      <c r="A1007" t="s">
        <v>4704</v>
      </c>
    </row>
    <row r="1008" spans="1:5">
      <c r="A1008" t="s">
        <v>4709</v>
      </c>
    </row>
    <row r="1009" spans="1:1">
      <c r="A1009" t="s">
        <v>4714</v>
      </c>
    </row>
    <row r="1010" spans="1:1">
      <c r="A1010" t="s">
        <v>4718</v>
      </c>
    </row>
    <row r="1011" spans="1:1">
      <c r="A1011" t="s">
        <v>4723</v>
      </c>
    </row>
    <row r="1012" spans="1:1">
      <c r="A1012" t="s">
        <v>4728</v>
      </c>
    </row>
    <row r="1013" spans="1:1">
      <c r="A1013" t="s">
        <v>4732</v>
      </c>
    </row>
    <row r="1014" spans="1:1">
      <c r="A1014" t="s">
        <v>4737</v>
      </c>
    </row>
    <row r="1015" spans="1:1">
      <c r="A1015" t="s">
        <v>4741</v>
      </c>
    </row>
    <row r="1016" spans="1:1">
      <c r="A1016" t="s">
        <v>4745</v>
      </c>
    </row>
    <row r="1017" spans="1:1">
      <c r="A1017" t="s">
        <v>4749</v>
      </c>
    </row>
    <row r="1018" spans="1:1">
      <c r="A1018" t="s">
        <v>4754</v>
      </c>
    </row>
    <row r="1019" spans="1:1">
      <c r="A1019" t="s">
        <v>4759</v>
      </c>
    </row>
    <row r="1020" spans="1:1">
      <c r="A1020" t="s">
        <v>4763</v>
      </c>
    </row>
    <row r="1021" spans="1:1">
      <c r="A1021" t="s">
        <v>4768</v>
      </c>
    </row>
    <row r="1022" spans="1:1">
      <c r="A1022" t="s">
        <v>4772</v>
      </c>
    </row>
    <row r="1023" spans="1:1">
      <c r="A1023" t="s">
        <v>4776</v>
      </c>
    </row>
    <row r="1024" spans="1:1">
      <c r="A1024" t="s">
        <v>4780</v>
      </c>
    </row>
    <row r="1025" spans="1:1">
      <c r="A1025" t="s">
        <v>4784</v>
      </c>
    </row>
    <row r="1026" spans="1:1">
      <c r="A1026" t="s">
        <v>4789</v>
      </c>
    </row>
    <row r="1027" spans="1:1">
      <c r="A1027" t="s">
        <v>4793</v>
      </c>
    </row>
    <row r="1028" spans="1:1">
      <c r="A1028" t="s">
        <v>4797</v>
      </c>
    </row>
    <row r="1029" spans="1:1">
      <c r="A1029" t="s">
        <v>4801</v>
      </c>
    </row>
    <row r="1030" spans="1:1">
      <c r="A1030" t="s">
        <v>4805</v>
      </c>
    </row>
    <row r="1031" spans="1:1">
      <c r="A1031" t="s">
        <v>4810</v>
      </c>
    </row>
    <row r="1032" spans="1:1">
      <c r="A1032" t="s">
        <v>4814</v>
      </c>
    </row>
    <row r="1033" spans="1:1">
      <c r="A1033" t="s">
        <v>4818</v>
      </c>
    </row>
    <row r="1034" spans="1:1">
      <c r="A1034" t="s">
        <v>4822</v>
      </c>
    </row>
    <row r="1035" spans="1:1">
      <c r="A1035" t="s">
        <v>4826</v>
      </c>
    </row>
    <row r="1036" spans="1:1">
      <c r="A1036" t="s">
        <v>4830</v>
      </c>
    </row>
    <row r="1037" spans="1:1">
      <c r="A1037" t="s">
        <v>4835</v>
      </c>
    </row>
    <row r="1038" spans="1:1">
      <c r="A1038" t="s">
        <v>4839</v>
      </c>
    </row>
    <row r="1039" spans="1:1">
      <c r="A1039" t="s">
        <v>4844</v>
      </c>
    </row>
    <row r="1040" spans="1:1">
      <c r="A1040" t="s">
        <v>4848</v>
      </c>
    </row>
    <row r="1041" spans="1:1">
      <c r="A1041" t="s">
        <v>4853</v>
      </c>
    </row>
    <row r="1042" spans="1:1">
      <c r="A1042" t="s">
        <v>4858</v>
      </c>
    </row>
    <row r="1043" spans="1:1">
      <c r="A1043" t="s">
        <v>4863</v>
      </c>
    </row>
    <row r="1044" spans="1:1">
      <c r="A1044" t="s">
        <v>4868</v>
      </c>
    </row>
    <row r="1045" spans="1:1">
      <c r="A1045" t="s">
        <v>4873</v>
      </c>
    </row>
    <row r="1046" spans="1:1">
      <c r="A1046" t="s">
        <v>4877</v>
      </c>
    </row>
    <row r="1047" spans="1:1">
      <c r="A1047" t="s">
        <v>4882</v>
      </c>
    </row>
    <row r="1048" spans="1:1">
      <c r="A1048" t="s">
        <v>4886</v>
      </c>
    </row>
    <row r="1049" spans="1:1">
      <c r="A1049" t="s">
        <v>4891</v>
      </c>
    </row>
    <row r="1050" spans="1:1">
      <c r="A1050" t="s">
        <v>4896</v>
      </c>
    </row>
    <row r="1051" spans="1:1">
      <c r="A1051" t="s">
        <v>4900</v>
      </c>
    </row>
    <row r="1052" spans="1:1">
      <c r="A1052" t="s">
        <v>4904</v>
      </c>
    </row>
    <row r="1053" spans="1:1">
      <c r="A1053" t="s">
        <v>4909</v>
      </c>
    </row>
    <row r="1054" spans="1:1">
      <c r="A1054" t="s">
        <v>4914</v>
      </c>
    </row>
    <row r="1055" spans="1:1">
      <c r="A1055" t="s">
        <v>4919</v>
      </c>
    </row>
    <row r="1056" spans="1:1">
      <c r="A1056" t="s">
        <v>4924</v>
      </c>
    </row>
    <row r="1057" spans="1:1">
      <c r="A1057" t="s">
        <v>4929</v>
      </c>
    </row>
    <row r="1058" spans="1:1">
      <c r="A1058" t="s">
        <v>4934</v>
      </c>
    </row>
    <row r="1059" spans="1:1">
      <c r="A1059" t="s">
        <v>4938</v>
      </c>
    </row>
    <row r="1060" spans="1:1">
      <c r="A1060" t="s">
        <v>4943</v>
      </c>
    </row>
    <row r="1061" spans="1:1">
      <c r="A1061" t="s">
        <v>4947</v>
      </c>
    </row>
    <row r="1062" spans="1:1">
      <c r="A1062" t="s">
        <v>4951</v>
      </c>
    </row>
    <row r="1063" spans="1:1">
      <c r="A1063" t="s">
        <v>4955</v>
      </c>
    </row>
    <row r="1064" spans="1:1">
      <c r="A1064" t="s">
        <v>4959</v>
      </c>
    </row>
    <row r="1065" spans="1:1">
      <c r="A1065" t="s">
        <v>4964</v>
      </c>
    </row>
    <row r="1066" spans="1:1">
      <c r="A1066" t="s">
        <v>4969</v>
      </c>
    </row>
    <row r="1067" spans="1:1">
      <c r="A1067" t="s">
        <v>4973</v>
      </c>
    </row>
    <row r="1068" spans="1:1">
      <c r="A1068" t="s">
        <v>4978</v>
      </c>
    </row>
    <row r="1069" spans="1:1">
      <c r="A1069" t="s">
        <v>4983</v>
      </c>
    </row>
    <row r="1070" spans="1:1">
      <c r="A1070" t="s">
        <v>4988</v>
      </c>
    </row>
    <row r="1071" spans="1:1">
      <c r="A1071" t="s">
        <v>4993</v>
      </c>
    </row>
    <row r="1072" spans="1:1">
      <c r="A1072" t="s">
        <v>4997</v>
      </c>
    </row>
    <row r="1073" spans="1:1">
      <c r="A1073" t="s">
        <v>5002</v>
      </c>
    </row>
    <row r="1074" spans="1:1">
      <c r="A1074" t="s">
        <v>5006</v>
      </c>
    </row>
    <row r="1075" spans="1:1">
      <c r="A1075" t="s">
        <v>5011</v>
      </c>
    </row>
    <row r="1076" spans="1:1">
      <c r="A1076" t="s">
        <v>5015</v>
      </c>
    </row>
    <row r="1077" spans="1:1">
      <c r="A1077" t="s">
        <v>5020</v>
      </c>
    </row>
    <row r="1078" spans="1:1">
      <c r="A1078" t="s">
        <v>5025</v>
      </c>
    </row>
    <row r="1079" spans="1:1">
      <c r="A1079" t="s">
        <v>5030</v>
      </c>
    </row>
    <row r="1080" spans="1:1">
      <c r="A1080" t="s">
        <v>5034</v>
      </c>
    </row>
    <row r="1081" spans="1:1">
      <c r="A1081" t="s">
        <v>5038</v>
      </c>
    </row>
    <row r="1082" spans="1:1">
      <c r="A1082" t="s">
        <v>5042</v>
      </c>
    </row>
    <row r="1083" spans="1:1">
      <c r="A1083" t="s">
        <v>5046</v>
      </c>
    </row>
    <row r="1084" spans="1:1">
      <c r="A1084" t="s">
        <v>5050</v>
      </c>
    </row>
    <row r="1085" spans="1:1">
      <c r="A1085" t="s">
        <v>5055</v>
      </c>
    </row>
    <row r="1086" spans="1:1">
      <c r="A1086" t="s">
        <v>5059</v>
      </c>
    </row>
    <row r="1087" spans="1:1">
      <c r="A1087" t="s">
        <v>5064</v>
      </c>
    </row>
    <row r="1088" spans="1:1">
      <c r="A1088" t="s">
        <v>5069</v>
      </c>
    </row>
    <row r="1089" spans="1:1">
      <c r="A1089" t="s">
        <v>5073</v>
      </c>
    </row>
    <row r="1090" spans="1:1">
      <c r="A1090" t="s">
        <v>5077</v>
      </c>
    </row>
    <row r="1091" spans="1:1">
      <c r="A1091" t="s">
        <v>5082</v>
      </c>
    </row>
    <row r="1092" spans="1:1">
      <c r="A1092" t="s">
        <v>5087</v>
      </c>
    </row>
    <row r="1093" spans="1:1">
      <c r="A1093" t="s">
        <v>5092</v>
      </c>
    </row>
    <row r="1094" spans="1:1">
      <c r="A1094" t="s">
        <v>5096</v>
      </c>
    </row>
    <row r="1095" spans="1:1">
      <c r="A1095" t="s">
        <v>5101</v>
      </c>
    </row>
    <row r="1096" spans="1:1">
      <c r="A1096" t="s">
        <v>5105</v>
      </c>
    </row>
    <row r="1097" spans="1:1">
      <c r="A1097" t="s">
        <v>5109</v>
      </c>
    </row>
    <row r="1098" spans="1:1">
      <c r="A1098" t="s">
        <v>5114</v>
      </c>
    </row>
    <row r="1099" spans="1:1">
      <c r="A1099" t="s">
        <v>5119</v>
      </c>
    </row>
    <row r="1100" spans="1:1">
      <c r="A1100" t="s">
        <v>5123</v>
      </c>
    </row>
    <row r="1101" spans="1:1">
      <c r="A1101" t="s">
        <v>5127</v>
      </c>
    </row>
    <row r="1102" spans="1:1">
      <c r="A1102" t="s">
        <v>5131</v>
      </c>
    </row>
    <row r="1103" spans="1:1">
      <c r="A1103" t="s">
        <v>5136</v>
      </c>
    </row>
    <row r="1104" spans="1:1">
      <c r="A1104" t="s">
        <v>5141</v>
      </c>
    </row>
    <row r="1105" spans="1:1">
      <c r="A1105" t="s">
        <v>5146</v>
      </c>
    </row>
    <row r="1106" spans="1:1">
      <c r="A1106" t="s">
        <v>5151</v>
      </c>
    </row>
    <row r="1107" spans="1:1">
      <c r="A1107" t="s">
        <v>5155</v>
      </c>
    </row>
    <row r="1108" spans="1:1">
      <c r="A1108" t="s">
        <v>5159</v>
      </c>
    </row>
    <row r="1109" spans="1:1">
      <c r="A1109" t="s">
        <v>5164</v>
      </c>
    </row>
    <row r="1110" spans="1:1">
      <c r="A1110" t="s">
        <v>5168</v>
      </c>
    </row>
    <row r="1111" spans="1:1">
      <c r="A1111" t="s">
        <v>5172</v>
      </c>
    </row>
    <row r="1112" spans="1:1">
      <c r="A1112" t="s">
        <v>5177</v>
      </c>
    </row>
    <row r="1113" spans="1:1">
      <c r="A1113" t="s">
        <v>5182</v>
      </c>
    </row>
    <row r="1114" spans="1:1">
      <c r="A1114" t="s">
        <v>5186</v>
      </c>
    </row>
    <row r="1115" spans="1:1">
      <c r="A1115" t="s">
        <v>5190</v>
      </c>
    </row>
    <row r="1116" spans="1:1">
      <c r="A1116" t="s">
        <v>5195</v>
      </c>
    </row>
    <row r="1117" spans="1:1">
      <c r="A1117" t="s">
        <v>5199</v>
      </c>
    </row>
    <row r="1118" spans="1:1">
      <c r="A1118" t="s">
        <v>5203</v>
      </c>
    </row>
    <row r="1119" spans="1:1">
      <c r="A1119" t="s">
        <v>5208</v>
      </c>
    </row>
    <row r="1120" spans="1:1">
      <c r="A1120" t="s">
        <v>5213</v>
      </c>
    </row>
    <row r="1121" spans="1:1">
      <c r="A1121" t="s">
        <v>5218</v>
      </c>
    </row>
    <row r="1122" spans="1:1">
      <c r="A1122" t="s">
        <v>5223</v>
      </c>
    </row>
    <row r="1123" spans="1:1">
      <c r="A1123" t="s">
        <v>5227</v>
      </c>
    </row>
    <row r="1124" spans="1:1">
      <c r="A1124" t="s">
        <v>5231</v>
      </c>
    </row>
    <row r="1125" spans="1:1">
      <c r="A1125" t="s">
        <v>5235</v>
      </c>
    </row>
    <row r="1126" spans="1:1">
      <c r="A1126" t="s">
        <v>5239</v>
      </c>
    </row>
    <row r="1127" spans="1:1">
      <c r="A1127" t="s">
        <v>5244</v>
      </c>
    </row>
    <row r="1128" spans="1:1">
      <c r="A1128" t="s">
        <v>5249</v>
      </c>
    </row>
    <row r="1129" spans="1:1">
      <c r="A1129" t="s">
        <v>5253</v>
      </c>
    </row>
    <row r="1130" spans="1:1">
      <c r="A1130" t="s">
        <v>5257</v>
      </c>
    </row>
    <row r="1131" spans="1:1">
      <c r="A1131" t="s">
        <v>5261</v>
      </c>
    </row>
    <row r="1132" spans="1:1">
      <c r="A1132" t="s">
        <v>5265</v>
      </c>
    </row>
    <row r="1133" spans="1:1">
      <c r="A1133" t="s">
        <v>5270</v>
      </c>
    </row>
    <row r="1134" spans="1:1">
      <c r="A1134" t="s">
        <v>5275</v>
      </c>
    </row>
    <row r="1135" spans="1:1">
      <c r="A1135" t="s">
        <v>5280</v>
      </c>
    </row>
    <row r="1136" spans="1:1">
      <c r="A1136" t="s">
        <v>5284</v>
      </c>
    </row>
    <row r="1137" spans="1:1">
      <c r="A1137" t="s">
        <v>5289</v>
      </c>
    </row>
    <row r="1138" spans="1:1">
      <c r="A1138" t="s">
        <v>5294</v>
      </c>
    </row>
    <row r="1139" spans="1:1">
      <c r="A1139" t="s">
        <v>5299</v>
      </c>
    </row>
    <row r="1140" spans="1:1">
      <c r="A1140" t="s">
        <v>5304</v>
      </c>
    </row>
    <row r="1141" spans="1:1">
      <c r="A1141" t="s">
        <v>5308</v>
      </c>
    </row>
    <row r="1142" spans="1:1">
      <c r="A1142" t="s">
        <v>5312</v>
      </c>
    </row>
    <row r="1143" spans="1:1">
      <c r="A1143" t="s">
        <v>5317</v>
      </c>
    </row>
    <row r="1144" spans="1:1">
      <c r="A1144" t="s">
        <v>5321</v>
      </c>
    </row>
    <row r="1145" spans="1:1">
      <c r="A1145" t="s">
        <v>5325</v>
      </c>
    </row>
    <row r="1146" spans="1:1">
      <c r="A1146" t="s">
        <v>5329</v>
      </c>
    </row>
    <row r="1147" spans="1:1">
      <c r="A1147" t="s">
        <v>5333</v>
      </c>
    </row>
    <row r="1148" spans="1:1">
      <c r="A1148" t="s">
        <v>5337</v>
      </c>
    </row>
    <row r="1149" spans="1:1">
      <c r="A1149" t="s">
        <v>5341</v>
      </c>
    </row>
    <row r="1150" spans="1:1">
      <c r="A1150" t="s">
        <v>5345</v>
      </c>
    </row>
    <row r="1151" spans="1:1">
      <c r="A1151" t="s">
        <v>5349</v>
      </c>
    </row>
    <row r="1152" spans="1:1">
      <c r="A1152" t="s">
        <v>5353</v>
      </c>
    </row>
    <row r="1153" spans="1:1">
      <c r="A1153" t="s">
        <v>5357</v>
      </c>
    </row>
    <row r="1154" spans="1:1">
      <c r="A1154" t="s">
        <v>5361</v>
      </c>
    </row>
    <row r="1155" spans="1:1">
      <c r="A1155" t="s">
        <v>5366</v>
      </c>
    </row>
    <row r="1156" spans="1:1">
      <c r="A1156" t="s">
        <v>5370</v>
      </c>
    </row>
    <row r="1157" spans="1:1">
      <c r="A1157" t="s">
        <v>5374</v>
      </c>
    </row>
    <row r="1158" spans="1:1">
      <c r="A1158" t="s">
        <v>5379</v>
      </c>
    </row>
    <row r="1159" spans="1:1">
      <c r="A1159" t="s">
        <v>5383</v>
      </c>
    </row>
    <row r="1160" spans="1:1">
      <c r="A1160" t="s">
        <v>5387</v>
      </c>
    </row>
    <row r="1161" spans="1:1">
      <c r="A1161" t="s">
        <v>5392</v>
      </c>
    </row>
    <row r="1162" spans="1:1">
      <c r="A1162" t="s">
        <v>5396</v>
      </c>
    </row>
    <row r="1163" spans="1:1">
      <c r="A1163" t="s">
        <v>5401</v>
      </c>
    </row>
    <row r="1164" spans="1:1">
      <c r="A1164" t="s">
        <v>5406</v>
      </c>
    </row>
    <row r="1165" spans="1:1">
      <c r="A1165" t="s">
        <v>5411</v>
      </c>
    </row>
    <row r="1166" spans="1:1">
      <c r="A1166" t="s">
        <v>5416</v>
      </c>
    </row>
    <row r="1167" spans="1:1">
      <c r="A1167" t="s">
        <v>5421</v>
      </c>
    </row>
    <row r="1168" spans="1:1">
      <c r="A1168" t="s">
        <v>5425</v>
      </c>
    </row>
    <row r="1169" spans="1:1">
      <c r="A1169" t="s">
        <v>5431</v>
      </c>
    </row>
    <row r="1170" spans="1:1">
      <c r="A1170" t="s">
        <v>5435</v>
      </c>
    </row>
    <row r="1171" spans="1:1">
      <c r="A1171" t="s">
        <v>5439</v>
      </c>
    </row>
    <row r="1172" spans="1:1">
      <c r="A1172" t="s">
        <v>5444</v>
      </c>
    </row>
    <row r="1173" spans="1:1">
      <c r="A1173" t="s">
        <v>5448</v>
      </c>
    </row>
    <row r="1174" spans="1:1">
      <c r="A1174" t="s">
        <v>5452</v>
      </c>
    </row>
    <row r="1175" spans="1:1">
      <c r="A1175" t="s">
        <v>5456</v>
      </c>
    </row>
    <row r="1176" spans="1:1">
      <c r="A1176" t="s">
        <v>5460</v>
      </c>
    </row>
    <row r="1177" spans="1:1">
      <c r="A1177" t="s">
        <v>5465</v>
      </c>
    </row>
    <row r="1178" spans="1:1">
      <c r="A1178" t="s">
        <v>5470</v>
      </c>
    </row>
    <row r="1179" spans="1:1">
      <c r="A1179" t="s">
        <v>5475</v>
      </c>
    </row>
    <row r="1180" spans="1:1">
      <c r="A1180" t="s">
        <v>5479</v>
      </c>
    </row>
    <row r="1181" spans="1:1">
      <c r="A1181" t="s">
        <v>5484</v>
      </c>
    </row>
    <row r="1182" spans="1:1">
      <c r="A1182" t="s">
        <v>5488</v>
      </c>
    </row>
    <row r="1183" spans="1:1">
      <c r="A1183" t="s">
        <v>5492</v>
      </c>
    </row>
    <row r="1184" spans="1:1">
      <c r="A1184" t="s">
        <v>5496</v>
      </c>
    </row>
    <row r="1185" spans="1:1">
      <c r="A1185" t="s">
        <v>5501</v>
      </c>
    </row>
    <row r="1186" spans="1:1">
      <c r="A1186" t="s">
        <v>5505</v>
      </c>
    </row>
    <row r="1187" spans="1:1">
      <c r="A1187" t="s">
        <v>5509</v>
      </c>
    </row>
    <row r="1188" spans="1:1">
      <c r="A1188" t="s">
        <v>5513</v>
      </c>
    </row>
    <row r="1189" spans="1:1">
      <c r="A1189" t="s">
        <v>5517</v>
      </c>
    </row>
    <row r="1190" spans="1:1">
      <c r="A1190" t="s">
        <v>5522</v>
      </c>
    </row>
    <row r="1191" spans="1:1">
      <c r="A1191" t="s">
        <v>5526</v>
      </c>
    </row>
    <row r="1192" spans="1:1">
      <c r="A1192" t="s">
        <v>5530</v>
      </c>
    </row>
    <row r="1193" spans="1:1">
      <c r="A1193" t="s">
        <v>5534</v>
      </c>
    </row>
    <row r="1194" spans="1:1">
      <c r="A1194" t="s">
        <v>5538</v>
      </c>
    </row>
    <row r="1195" spans="1:1">
      <c r="A1195" t="s">
        <v>5543</v>
      </c>
    </row>
    <row r="1196" spans="1:1">
      <c r="A1196" t="s">
        <v>5547</v>
      </c>
    </row>
    <row r="1197" spans="1:1">
      <c r="A1197" t="s">
        <v>5551</v>
      </c>
    </row>
    <row r="1198" spans="1:1">
      <c r="A1198" t="s">
        <v>5555</v>
      </c>
    </row>
    <row r="1199" spans="1:1">
      <c r="A1199" t="s">
        <v>5559</v>
      </c>
    </row>
    <row r="1200" spans="1:1">
      <c r="A1200" t="s">
        <v>5563</v>
      </c>
    </row>
    <row r="1201" spans="1:1">
      <c r="A1201" t="s">
        <v>5568</v>
      </c>
    </row>
    <row r="1202" spans="1:1">
      <c r="A1202" t="s">
        <v>5573</v>
      </c>
    </row>
    <row r="1203" spans="1:1">
      <c r="A1203" t="s">
        <v>5578</v>
      </c>
    </row>
    <row r="1204" spans="1:1">
      <c r="A1204" t="s">
        <v>5582</v>
      </c>
    </row>
    <row r="1205" spans="1:1">
      <c r="A1205" t="s">
        <v>5586</v>
      </c>
    </row>
    <row r="1206" spans="1:1">
      <c r="A1206" t="s">
        <v>5591</v>
      </c>
    </row>
    <row r="1207" spans="1:1">
      <c r="A1207" t="s">
        <v>5596</v>
      </c>
    </row>
    <row r="1208" spans="1:1">
      <c r="A1208" t="s">
        <v>5600</v>
      </c>
    </row>
    <row r="1209" spans="1:1">
      <c r="A1209" t="s">
        <v>5604</v>
      </c>
    </row>
    <row r="1210" spans="1:1">
      <c r="A1210" t="s">
        <v>5608</v>
      </c>
    </row>
    <row r="1211" spans="1:1">
      <c r="A1211" t="s">
        <v>5612</v>
      </c>
    </row>
    <row r="1212" spans="1:1">
      <c r="A1212" t="s">
        <v>5616</v>
      </c>
    </row>
    <row r="1213" spans="1:1">
      <c r="A1213" t="s">
        <v>5620</v>
      </c>
    </row>
    <row r="1214" spans="1:1">
      <c r="A1214" t="s">
        <v>5625</v>
      </c>
    </row>
    <row r="1215" spans="1:1">
      <c r="A1215" t="s">
        <v>5630</v>
      </c>
    </row>
    <row r="1216" spans="1:1">
      <c r="A1216" t="s">
        <v>5636</v>
      </c>
    </row>
    <row r="1217" spans="1:1">
      <c r="A1217" t="s">
        <v>5640</v>
      </c>
    </row>
    <row r="1218" spans="1:1">
      <c r="A1218" t="s">
        <v>5645</v>
      </c>
    </row>
    <row r="1219" spans="1:1">
      <c r="A1219" t="s">
        <v>5650</v>
      </c>
    </row>
    <row r="1220" spans="1:1">
      <c r="A1220" t="s">
        <v>5656</v>
      </c>
    </row>
    <row r="1221" spans="1:1">
      <c r="A1221" t="s">
        <v>5661</v>
      </c>
    </row>
    <row r="1222" spans="1:1">
      <c r="A1222" t="s">
        <v>5665</v>
      </c>
    </row>
    <row r="1223" spans="1:1">
      <c r="A1223" t="s">
        <v>5669</v>
      </c>
    </row>
    <row r="1224" spans="1:1">
      <c r="A1224" t="s">
        <v>5673</v>
      </c>
    </row>
    <row r="1225" spans="1:1">
      <c r="A1225" t="s">
        <v>5677</v>
      </c>
    </row>
    <row r="1226" spans="1:1">
      <c r="A1226" t="s">
        <v>5682</v>
      </c>
    </row>
    <row r="1227" spans="1:1">
      <c r="A1227" t="s">
        <v>5687</v>
      </c>
    </row>
    <row r="1228" spans="1:1">
      <c r="A1228" t="s">
        <v>5692</v>
      </c>
    </row>
    <row r="1229" spans="1:1">
      <c r="A1229" t="s">
        <v>5696</v>
      </c>
    </row>
    <row r="1230" spans="1:1">
      <c r="A1230" t="s">
        <v>5701</v>
      </c>
    </row>
    <row r="1231" spans="1:1">
      <c r="A1231" t="s">
        <v>5705</v>
      </c>
    </row>
    <row r="1232" spans="1:1">
      <c r="A1232" t="s">
        <v>5710</v>
      </c>
    </row>
    <row r="1233" spans="1:1">
      <c r="A1233" t="s">
        <v>5715</v>
      </c>
    </row>
    <row r="1234" spans="1:1">
      <c r="A1234" t="s">
        <v>5719</v>
      </c>
    </row>
    <row r="1235" spans="1:1">
      <c r="A1235" t="s">
        <v>5723</v>
      </c>
    </row>
    <row r="1236" spans="1:1">
      <c r="A1236" t="s">
        <v>5727</v>
      </c>
    </row>
    <row r="1237" spans="1:1">
      <c r="A1237" t="s">
        <v>5731</v>
      </c>
    </row>
    <row r="1238" spans="1:1">
      <c r="A1238" t="s">
        <v>5736</v>
      </c>
    </row>
    <row r="1239" spans="1:1">
      <c r="A1239" t="s">
        <v>5741</v>
      </c>
    </row>
    <row r="1240" spans="1:1">
      <c r="A1240" t="s">
        <v>5745</v>
      </c>
    </row>
    <row r="1241" spans="1:1">
      <c r="A1241" t="s">
        <v>5749</v>
      </c>
    </row>
    <row r="1242" spans="1:1">
      <c r="A1242" t="s">
        <v>5754</v>
      </c>
    </row>
    <row r="1243" spans="1:1">
      <c r="A1243" t="s">
        <v>5759</v>
      </c>
    </row>
    <row r="1244" spans="1:1">
      <c r="A1244" t="s">
        <v>5764</v>
      </c>
    </row>
    <row r="1245" spans="1:1">
      <c r="A1245" t="s">
        <v>5769</v>
      </c>
    </row>
    <row r="1246" spans="1:1">
      <c r="A1246" t="s">
        <v>5774</v>
      </c>
    </row>
    <row r="1247" spans="1:1">
      <c r="A1247" t="s">
        <v>5778</v>
      </c>
    </row>
    <row r="1248" spans="1:1">
      <c r="A1248" t="s">
        <v>5782</v>
      </c>
    </row>
    <row r="1249" spans="1:1">
      <c r="A1249" t="s">
        <v>5786</v>
      </c>
    </row>
    <row r="1250" spans="1:1">
      <c r="A1250" t="s">
        <v>5790</v>
      </c>
    </row>
    <row r="1251" spans="1:1">
      <c r="A1251" t="s">
        <v>5794</v>
      </c>
    </row>
    <row r="1252" spans="1:1">
      <c r="A1252" t="s">
        <v>5799</v>
      </c>
    </row>
    <row r="1253" spans="1:1">
      <c r="A1253" t="s">
        <v>5803</v>
      </c>
    </row>
    <row r="1254" spans="1:1">
      <c r="A1254" t="s">
        <v>5807</v>
      </c>
    </row>
    <row r="1255" spans="1:1">
      <c r="A1255" t="s">
        <v>5811</v>
      </c>
    </row>
    <row r="1256" spans="1:1">
      <c r="A1256" t="s">
        <v>5816</v>
      </c>
    </row>
    <row r="1257" spans="1:1">
      <c r="A1257" t="s">
        <v>5821</v>
      </c>
    </row>
    <row r="1258" spans="1:1">
      <c r="A1258" t="s">
        <v>5826</v>
      </c>
    </row>
    <row r="1259" spans="1:1">
      <c r="A1259" t="s">
        <v>5831</v>
      </c>
    </row>
    <row r="1260" spans="1:1">
      <c r="A1260" t="s">
        <v>5835</v>
      </c>
    </row>
    <row r="1261" spans="1:1">
      <c r="A1261" t="s">
        <v>5839</v>
      </c>
    </row>
    <row r="1262" spans="1:1">
      <c r="A1262" t="s">
        <v>5844</v>
      </c>
    </row>
    <row r="1263" spans="1:1">
      <c r="A1263" t="s">
        <v>5848</v>
      </c>
    </row>
    <row r="1264" spans="1:1">
      <c r="A1264" t="s">
        <v>5852</v>
      </c>
    </row>
    <row r="1265" spans="1:1">
      <c r="A1265" t="s">
        <v>5856</v>
      </c>
    </row>
    <row r="1266" spans="1:1">
      <c r="A1266" t="s">
        <v>5861</v>
      </c>
    </row>
    <row r="1267" spans="1:1">
      <c r="A1267" t="s">
        <v>5866</v>
      </c>
    </row>
    <row r="1268" spans="1:1">
      <c r="A1268" t="s">
        <v>5871</v>
      </c>
    </row>
    <row r="1269" spans="1:1">
      <c r="A1269" t="s">
        <v>5875</v>
      </c>
    </row>
    <row r="1270" spans="1:1">
      <c r="A1270" t="s">
        <v>5880</v>
      </c>
    </row>
    <row r="1271" spans="1:1">
      <c r="A1271" t="s">
        <v>5884</v>
      </c>
    </row>
    <row r="1272" spans="1:1">
      <c r="A1272" t="s">
        <v>5889</v>
      </c>
    </row>
    <row r="1273" spans="1:1">
      <c r="A1273" t="s">
        <v>5893</v>
      </c>
    </row>
    <row r="1274" spans="1:1">
      <c r="A1274" t="s">
        <v>5898</v>
      </c>
    </row>
    <row r="1275" spans="1:1">
      <c r="A1275" t="s">
        <v>5902</v>
      </c>
    </row>
    <row r="1276" spans="1:1">
      <c r="A1276" t="s">
        <v>5906</v>
      </c>
    </row>
    <row r="1277" spans="1:1">
      <c r="A1277" t="s">
        <v>5910</v>
      </c>
    </row>
    <row r="1278" spans="1:1">
      <c r="A1278" t="s">
        <v>5914</v>
      </c>
    </row>
    <row r="1279" spans="1:1">
      <c r="A1279" t="s">
        <v>5918</v>
      </c>
    </row>
    <row r="1280" spans="1:1">
      <c r="A1280" t="s">
        <v>5922</v>
      </c>
    </row>
    <row r="1281" spans="1:1">
      <c r="A1281" t="s">
        <v>5926</v>
      </c>
    </row>
    <row r="1282" spans="1:1">
      <c r="A1282" t="s">
        <v>5930</v>
      </c>
    </row>
    <row r="1283" spans="1:1">
      <c r="A1283" t="s">
        <v>5934</v>
      </c>
    </row>
    <row r="1284" spans="1:1">
      <c r="A1284" t="s">
        <v>5938</v>
      </c>
    </row>
    <row r="1285" spans="1:1">
      <c r="A1285" t="s">
        <v>5942</v>
      </c>
    </row>
    <row r="1286" spans="1:1">
      <c r="A1286" t="s">
        <v>5946</v>
      </c>
    </row>
    <row r="1287" spans="1:1">
      <c r="A1287" t="s">
        <v>5950</v>
      </c>
    </row>
    <row r="1288" spans="1:1">
      <c r="A1288" t="s">
        <v>5954</v>
      </c>
    </row>
    <row r="1289" spans="1:1">
      <c r="A1289" t="s">
        <v>5958</v>
      </c>
    </row>
    <row r="1290" spans="1:1">
      <c r="A1290" t="s">
        <v>5962</v>
      </c>
    </row>
    <row r="1291" spans="1:1">
      <c r="A1291" t="s">
        <v>5966</v>
      </c>
    </row>
    <row r="1292" spans="1:1">
      <c r="A1292" t="s">
        <v>5970</v>
      </c>
    </row>
    <row r="1293" spans="1:1">
      <c r="A1293" t="s">
        <v>5975</v>
      </c>
    </row>
    <row r="1294" spans="1:1">
      <c r="A1294" t="s">
        <v>5979</v>
      </c>
    </row>
    <row r="1295" spans="1:1">
      <c r="A1295" t="s">
        <v>5983</v>
      </c>
    </row>
    <row r="1296" spans="1:1">
      <c r="A1296" t="s">
        <v>5987</v>
      </c>
    </row>
    <row r="1297" spans="1:1">
      <c r="A1297" t="s">
        <v>5992</v>
      </c>
    </row>
    <row r="1298" spans="1:1">
      <c r="A1298" t="s">
        <v>5997</v>
      </c>
    </row>
    <row r="1299" spans="1:1">
      <c r="A1299" t="s">
        <v>6002</v>
      </c>
    </row>
    <row r="1300" spans="1:1">
      <c r="A1300" t="s">
        <v>6006</v>
      </c>
    </row>
    <row r="1301" spans="1:1">
      <c r="A1301" t="s">
        <v>6011</v>
      </c>
    </row>
    <row r="1302" spans="1:1">
      <c r="A1302" t="s">
        <v>6016</v>
      </c>
    </row>
    <row r="1303" spans="1:1">
      <c r="A1303" t="s">
        <v>6020</v>
      </c>
    </row>
    <row r="1304" spans="1:1">
      <c r="A1304" t="s">
        <v>6025</v>
      </c>
    </row>
    <row r="1305" spans="1:1">
      <c r="A1305" t="s">
        <v>6029</v>
      </c>
    </row>
    <row r="1306" spans="1:1">
      <c r="A1306" t="s">
        <v>6033</v>
      </c>
    </row>
    <row r="1307" spans="1:1">
      <c r="A1307" t="s">
        <v>6037</v>
      </c>
    </row>
    <row r="1308" spans="1:1">
      <c r="A1308" t="s">
        <v>6042</v>
      </c>
    </row>
    <row r="1309" spans="1:1">
      <c r="A1309" t="s">
        <v>6046</v>
      </c>
    </row>
    <row r="1310" spans="1:1">
      <c r="A1310" t="s">
        <v>6050</v>
      </c>
    </row>
    <row r="1311" spans="1:1">
      <c r="A1311" t="s">
        <v>6054</v>
      </c>
    </row>
    <row r="1312" spans="1:1">
      <c r="A1312" t="s">
        <v>6059</v>
      </c>
    </row>
    <row r="1313" spans="1:1">
      <c r="A1313" t="s">
        <v>6063</v>
      </c>
    </row>
    <row r="1314" spans="1:1">
      <c r="A1314" t="s">
        <v>6068</v>
      </c>
    </row>
    <row r="1315" spans="1:1">
      <c r="A1315" t="s">
        <v>6072</v>
      </c>
    </row>
    <row r="1316" spans="1:1">
      <c r="A1316" t="s">
        <v>6077</v>
      </c>
    </row>
    <row r="1317" spans="1:1">
      <c r="A1317" t="s">
        <v>6081</v>
      </c>
    </row>
    <row r="1318" spans="1:1">
      <c r="A1318" t="s">
        <v>6085</v>
      </c>
    </row>
    <row r="1319" spans="1:1">
      <c r="A1319" t="s">
        <v>6090</v>
      </c>
    </row>
    <row r="1320" spans="1:1">
      <c r="A1320" t="s">
        <v>6095</v>
      </c>
    </row>
    <row r="1321" spans="1:1">
      <c r="A1321" t="s">
        <v>6100</v>
      </c>
    </row>
    <row r="1322" spans="1:1">
      <c r="A1322" t="s">
        <v>6105</v>
      </c>
    </row>
    <row r="1323" spans="1:1">
      <c r="A1323" t="s">
        <v>6109</v>
      </c>
    </row>
    <row r="1324" spans="1:1">
      <c r="A1324" t="s">
        <v>6114</v>
      </c>
    </row>
    <row r="1325" spans="1:1">
      <c r="A1325" t="s">
        <v>6118</v>
      </c>
    </row>
    <row r="1326" spans="1:1">
      <c r="A1326" t="s">
        <v>6123</v>
      </c>
    </row>
    <row r="1327" spans="1:1">
      <c r="A1327" t="s">
        <v>6127</v>
      </c>
    </row>
    <row r="1328" spans="1:1">
      <c r="A1328" t="s">
        <v>6131</v>
      </c>
    </row>
    <row r="1329" spans="1:1">
      <c r="A1329" t="s">
        <v>6136</v>
      </c>
    </row>
    <row r="1330" spans="1:1">
      <c r="A1330" t="s">
        <v>6141</v>
      </c>
    </row>
    <row r="1331" spans="1:1">
      <c r="A1331" t="s">
        <v>6145</v>
      </c>
    </row>
    <row r="1332" spans="1:1">
      <c r="A1332" t="s">
        <v>6150</v>
      </c>
    </row>
    <row r="1333" spans="1:1">
      <c r="A1333" t="s">
        <v>6155</v>
      </c>
    </row>
    <row r="1334" spans="1:1">
      <c r="A1334" t="s">
        <v>6159</v>
      </c>
    </row>
    <row r="1335" spans="1:1">
      <c r="A1335" t="s">
        <v>6163</v>
      </c>
    </row>
    <row r="1336" spans="1:1">
      <c r="A1336" t="s">
        <v>6167</v>
      </c>
    </row>
    <row r="1337" spans="1:1">
      <c r="A1337" t="s">
        <v>6172</v>
      </c>
    </row>
    <row r="1338" spans="1:1">
      <c r="A1338" t="s">
        <v>6177</v>
      </c>
    </row>
    <row r="1339" spans="1:1">
      <c r="A1339" t="s">
        <v>6182</v>
      </c>
    </row>
    <row r="1340" spans="1:1">
      <c r="A1340" t="s">
        <v>6186</v>
      </c>
    </row>
    <row r="1341" spans="1:1">
      <c r="A1341" t="s">
        <v>6190</v>
      </c>
    </row>
    <row r="1342" spans="1:1">
      <c r="A1342" t="s">
        <v>6194</v>
      </c>
    </row>
    <row r="1343" spans="1:1">
      <c r="A1343" t="s">
        <v>6199</v>
      </c>
    </row>
    <row r="1344" spans="1:1">
      <c r="A1344" t="s">
        <v>6203</v>
      </c>
    </row>
    <row r="1345" spans="1:1">
      <c r="A1345" t="s">
        <v>6208</v>
      </c>
    </row>
    <row r="1346" spans="1:1">
      <c r="A1346" t="s">
        <v>6212</v>
      </c>
    </row>
    <row r="1347" spans="1:1">
      <c r="A1347" t="s">
        <v>6217</v>
      </c>
    </row>
    <row r="1348" spans="1:1">
      <c r="A1348" t="s">
        <v>6222</v>
      </c>
    </row>
    <row r="1349" spans="1:1">
      <c r="A1349" t="s">
        <v>6227</v>
      </c>
    </row>
    <row r="1350" spans="1:1">
      <c r="A1350" t="s">
        <v>6232</v>
      </c>
    </row>
    <row r="1351" spans="1:1">
      <c r="A1351" t="s">
        <v>6236</v>
      </c>
    </row>
    <row r="1352" spans="1:1">
      <c r="A1352" t="s">
        <v>6240</v>
      </c>
    </row>
    <row r="1353" spans="1:1">
      <c r="A1353" t="s">
        <v>6244</v>
      </c>
    </row>
    <row r="1354" spans="1:1">
      <c r="A1354" t="s">
        <v>6249</v>
      </c>
    </row>
    <row r="1355" spans="1:1">
      <c r="A1355" t="s">
        <v>6253</v>
      </c>
    </row>
    <row r="1356" spans="1:1">
      <c r="A1356" t="s">
        <v>6258</v>
      </c>
    </row>
    <row r="1357" spans="1:1">
      <c r="A1357" t="s">
        <v>6263</v>
      </c>
    </row>
    <row r="1358" spans="1:1">
      <c r="A1358" t="s">
        <v>6267</v>
      </c>
    </row>
    <row r="1359" spans="1:1">
      <c r="A1359" t="s">
        <v>6272</v>
      </c>
    </row>
    <row r="1360" spans="1:1">
      <c r="A1360" t="s">
        <v>6276</v>
      </c>
    </row>
    <row r="1361" spans="1:1">
      <c r="A1361" t="s">
        <v>6281</v>
      </c>
    </row>
    <row r="1362" spans="1:1">
      <c r="A1362" t="s">
        <v>6285</v>
      </c>
    </row>
    <row r="1363" spans="1:1">
      <c r="A1363" t="s">
        <v>6289</v>
      </c>
    </row>
    <row r="1364" spans="1:1">
      <c r="A1364" t="s">
        <v>6294</v>
      </c>
    </row>
    <row r="1365" spans="1:1">
      <c r="A1365" t="s">
        <v>6299</v>
      </c>
    </row>
    <row r="1366" spans="1:1">
      <c r="A1366" t="s">
        <v>6303</v>
      </c>
    </row>
    <row r="1367" spans="1:1">
      <c r="A1367" t="s">
        <v>6308</v>
      </c>
    </row>
    <row r="1368" spans="1:1">
      <c r="A1368" t="s">
        <v>6312</v>
      </c>
    </row>
    <row r="1369" spans="1:1">
      <c r="A1369" t="s">
        <v>6316</v>
      </c>
    </row>
    <row r="1370" spans="1:1">
      <c r="A1370" t="s">
        <v>6321</v>
      </c>
    </row>
    <row r="1371" spans="1:1">
      <c r="A1371" t="s">
        <v>6325</v>
      </c>
    </row>
    <row r="1372" spans="1:1">
      <c r="A1372" t="s">
        <v>6330</v>
      </c>
    </row>
    <row r="1373" spans="1:1">
      <c r="A1373" t="s">
        <v>6335</v>
      </c>
    </row>
    <row r="1374" spans="1:1">
      <c r="A1374" t="s">
        <v>6339</v>
      </c>
    </row>
    <row r="1375" spans="1:1">
      <c r="A1375" t="s">
        <v>6344</v>
      </c>
    </row>
    <row r="1376" spans="1:1">
      <c r="A1376" t="s">
        <v>6348</v>
      </c>
    </row>
    <row r="1377" spans="1:1">
      <c r="A1377" t="s">
        <v>6352</v>
      </c>
    </row>
    <row r="1378" spans="1:1">
      <c r="A1378" t="s">
        <v>6357</v>
      </c>
    </row>
    <row r="1379" spans="1:1">
      <c r="A1379" t="s">
        <v>6361</v>
      </c>
    </row>
    <row r="1380" spans="1:1">
      <c r="A1380" t="s">
        <v>6366</v>
      </c>
    </row>
    <row r="1381" spans="1:1">
      <c r="A1381" t="s">
        <v>6370</v>
      </c>
    </row>
    <row r="1382" spans="1:1">
      <c r="A1382" t="s">
        <v>6374</v>
      </c>
    </row>
    <row r="1383" spans="1:1">
      <c r="A1383" t="s">
        <v>6379</v>
      </c>
    </row>
    <row r="1384" spans="1:1">
      <c r="A1384" t="s">
        <v>6383</v>
      </c>
    </row>
    <row r="1385" spans="1:1">
      <c r="A1385" t="s">
        <v>6387</v>
      </c>
    </row>
    <row r="1386" spans="1:1">
      <c r="A1386" t="s">
        <v>6392</v>
      </c>
    </row>
    <row r="1387" spans="1:1">
      <c r="A1387" t="s">
        <v>6396</v>
      </c>
    </row>
    <row r="1388" spans="1:1">
      <c r="A1388" t="s">
        <v>6401</v>
      </c>
    </row>
    <row r="1389" spans="1:1">
      <c r="A1389" t="s">
        <v>6406</v>
      </c>
    </row>
    <row r="1390" spans="1:1">
      <c r="A1390" t="s">
        <v>6411</v>
      </c>
    </row>
    <row r="1391" spans="1:1">
      <c r="A1391" t="s">
        <v>6415</v>
      </c>
    </row>
    <row r="1392" spans="1:1">
      <c r="A1392" t="s">
        <v>6419</v>
      </c>
    </row>
    <row r="1393" spans="1:1">
      <c r="A1393" t="s">
        <v>6423</v>
      </c>
    </row>
    <row r="1394" spans="1:1">
      <c r="A1394" t="s">
        <v>6427</v>
      </c>
    </row>
    <row r="1395" spans="1:1">
      <c r="A1395" t="s">
        <v>6431</v>
      </c>
    </row>
    <row r="1396" spans="1:1">
      <c r="A1396" t="s">
        <v>6435</v>
      </c>
    </row>
    <row r="1397" spans="1:1">
      <c r="A1397" t="s">
        <v>6439</v>
      </c>
    </row>
    <row r="1398" spans="1:1">
      <c r="A1398" t="s">
        <v>6443</v>
      </c>
    </row>
    <row r="1399" spans="1:1">
      <c r="A1399" t="s">
        <v>6447</v>
      </c>
    </row>
    <row r="1400" spans="1:1">
      <c r="A1400" t="s">
        <v>6452</v>
      </c>
    </row>
    <row r="1401" spans="1:1">
      <c r="A1401" t="s">
        <v>6457</v>
      </c>
    </row>
    <row r="1402" spans="1:1">
      <c r="A1402" t="s">
        <v>6462</v>
      </c>
    </row>
    <row r="1403" spans="1:1">
      <c r="A1403" t="s">
        <v>6467</v>
      </c>
    </row>
    <row r="1404" spans="1:1">
      <c r="A1404" t="s">
        <v>6471</v>
      </c>
    </row>
    <row r="1405" spans="1:1">
      <c r="A1405" t="s">
        <v>6475</v>
      </c>
    </row>
    <row r="1406" spans="1:1">
      <c r="A1406" t="s">
        <v>6480</v>
      </c>
    </row>
    <row r="1407" spans="1:1">
      <c r="A1407" t="s">
        <v>6485</v>
      </c>
    </row>
    <row r="1408" spans="1:1">
      <c r="A1408" t="s">
        <v>6490</v>
      </c>
    </row>
    <row r="1409" spans="1:1">
      <c r="A1409" t="s">
        <v>6494</v>
      </c>
    </row>
    <row r="1410" spans="1:1">
      <c r="A1410" t="s">
        <v>6498</v>
      </c>
    </row>
    <row r="1411" spans="1:1">
      <c r="A1411" t="s">
        <v>6502</v>
      </c>
    </row>
    <row r="1412" spans="1:1">
      <c r="A1412" t="s">
        <v>6506</v>
      </c>
    </row>
    <row r="1413" spans="1:1">
      <c r="A1413" t="s">
        <v>6510</v>
      </c>
    </row>
    <row r="1414" spans="1:1">
      <c r="A1414" t="s">
        <v>6515</v>
      </c>
    </row>
    <row r="1415" spans="1:1">
      <c r="A1415" t="s">
        <v>6520</v>
      </c>
    </row>
    <row r="1416" spans="1:1">
      <c r="A1416" t="s">
        <v>6524</v>
      </c>
    </row>
    <row r="1417" spans="1:1">
      <c r="A1417" t="s">
        <v>6528</v>
      </c>
    </row>
    <row r="1418" spans="1:1">
      <c r="A1418" t="s">
        <v>6532</v>
      </c>
    </row>
    <row r="1419" spans="1:1">
      <c r="A1419" t="s">
        <v>6537</v>
      </c>
    </row>
    <row r="1420" spans="1:1">
      <c r="A1420" t="s">
        <v>6542</v>
      </c>
    </row>
    <row r="1421" spans="1:1">
      <c r="A1421" t="s">
        <v>6546</v>
      </c>
    </row>
    <row r="1422" spans="1:1">
      <c r="A1422" t="s">
        <v>6551</v>
      </c>
    </row>
    <row r="1423" spans="1:1">
      <c r="A1423" t="s">
        <v>6555</v>
      </c>
    </row>
    <row r="1424" spans="1:1">
      <c r="A1424" t="s">
        <v>6559</v>
      </c>
    </row>
    <row r="1425" spans="1:1">
      <c r="A1425" t="s">
        <v>6564</v>
      </c>
    </row>
    <row r="1426" spans="1:1">
      <c r="A1426" t="s">
        <v>6568</v>
      </c>
    </row>
    <row r="1427" spans="1:1">
      <c r="A1427" t="s">
        <v>6573</v>
      </c>
    </row>
    <row r="1428" spans="1:1">
      <c r="A1428" t="s">
        <v>6578</v>
      </c>
    </row>
    <row r="1429" spans="1:1">
      <c r="A1429" t="s">
        <v>6583</v>
      </c>
    </row>
    <row r="1430" spans="1:1">
      <c r="A1430" t="s">
        <v>6587</v>
      </c>
    </row>
    <row r="1431" spans="1:1">
      <c r="A1431" t="s">
        <v>6591</v>
      </c>
    </row>
    <row r="1432" spans="1:1">
      <c r="A1432" t="s">
        <v>6595</v>
      </c>
    </row>
    <row r="1433" spans="1:1">
      <c r="A1433" t="s">
        <v>6599</v>
      </c>
    </row>
    <row r="1434" spans="1:1">
      <c r="A1434" t="s">
        <v>6603</v>
      </c>
    </row>
    <row r="1435" spans="1:1">
      <c r="A1435" t="s">
        <v>6608</v>
      </c>
    </row>
    <row r="1436" spans="1:1">
      <c r="A1436" t="s">
        <v>6612</v>
      </c>
    </row>
    <row r="1437" spans="1:1">
      <c r="A1437" t="s">
        <v>6617</v>
      </c>
    </row>
    <row r="1438" spans="1:1">
      <c r="A1438" t="s">
        <v>6622</v>
      </c>
    </row>
    <row r="1439" spans="1:1">
      <c r="A1439" t="s">
        <v>6627</v>
      </c>
    </row>
    <row r="1440" spans="1:1">
      <c r="A1440" t="s">
        <v>6632</v>
      </c>
    </row>
    <row r="1441" spans="1:1">
      <c r="A1441" t="s">
        <v>6637</v>
      </c>
    </row>
    <row r="1442" spans="1:1">
      <c r="A1442" t="s">
        <v>6642</v>
      </c>
    </row>
    <row r="1443" spans="1:1">
      <c r="A1443" t="s">
        <v>6646</v>
      </c>
    </row>
    <row r="1444" spans="1:1">
      <c r="A1444" t="s">
        <v>6650</v>
      </c>
    </row>
    <row r="1445" spans="1:1">
      <c r="A1445" t="s">
        <v>6655</v>
      </c>
    </row>
    <row r="1446" spans="1:1">
      <c r="A1446" t="s">
        <v>6660</v>
      </c>
    </row>
    <row r="1447" spans="1:1">
      <c r="A1447" t="s">
        <v>6664</v>
      </c>
    </row>
    <row r="1448" spans="1:1">
      <c r="A1448" t="s">
        <v>6669</v>
      </c>
    </row>
    <row r="1449" spans="1:1">
      <c r="A1449" t="s">
        <v>6674</v>
      </c>
    </row>
    <row r="1450" spans="1:1">
      <c r="A1450" t="s">
        <v>6678</v>
      </c>
    </row>
    <row r="1451" spans="1:1">
      <c r="A1451" t="s">
        <v>6683</v>
      </c>
    </row>
    <row r="1452" spans="1:1">
      <c r="A1452" t="s">
        <v>6687</v>
      </c>
    </row>
    <row r="1453" spans="1:1">
      <c r="A1453" t="s">
        <v>6692</v>
      </c>
    </row>
    <row r="1454" spans="1:1">
      <c r="A1454" t="s">
        <v>6697</v>
      </c>
    </row>
    <row r="1455" spans="1:1">
      <c r="A1455" t="s">
        <v>6701</v>
      </c>
    </row>
    <row r="1456" spans="1:1">
      <c r="A1456" t="s">
        <v>6705</v>
      </c>
    </row>
    <row r="1457" spans="1:1">
      <c r="A1457" t="s">
        <v>6709</v>
      </c>
    </row>
    <row r="1458" spans="1:1">
      <c r="A1458" t="s">
        <v>6713</v>
      </c>
    </row>
    <row r="1459" spans="1:1">
      <c r="A1459" t="s">
        <v>6718</v>
      </c>
    </row>
    <row r="1460" spans="1:1">
      <c r="A1460" t="s">
        <v>6722</v>
      </c>
    </row>
    <row r="1461" spans="1:1">
      <c r="A1461" t="s">
        <v>6727</v>
      </c>
    </row>
    <row r="1462" spans="1:1">
      <c r="A1462" t="s">
        <v>6731</v>
      </c>
    </row>
    <row r="1463" spans="1:1">
      <c r="A1463" t="s">
        <v>6736</v>
      </c>
    </row>
    <row r="1464" spans="1:1">
      <c r="A1464" t="s">
        <v>6740</v>
      </c>
    </row>
    <row r="1465" spans="1:1">
      <c r="A1465" t="s">
        <v>6744</v>
      </c>
    </row>
    <row r="1466" spans="1:1">
      <c r="A1466" t="s">
        <v>6749</v>
      </c>
    </row>
    <row r="1467" spans="1:1">
      <c r="A1467" t="s">
        <v>6754</v>
      </c>
    </row>
    <row r="1468" spans="1:1">
      <c r="A1468" t="s">
        <v>6759</v>
      </c>
    </row>
    <row r="1469" spans="1:1">
      <c r="A1469" t="s">
        <v>6764</v>
      </c>
    </row>
    <row r="1470" spans="1:1">
      <c r="A1470" t="s">
        <v>6768</v>
      </c>
    </row>
    <row r="1471" spans="1:1">
      <c r="A1471" t="s">
        <v>6772</v>
      </c>
    </row>
    <row r="1472" spans="1:1">
      <c r="A1472" t="s">
        <v>6776</v>
      </c>
    </row>
    <row r="1473" spans="1:1">
      <c r="A1473" t="s">
        <v>6780</v>
      </c>
    </row>
    <row r="1474" spans="1:1">
      <c r="A1474" t="s">
        <v>6784</v>
      </c>
    </row>
    <row r="1475" spans="1:1">
      <c r="A1475" t="s">
        <v>6789</v>
      </c>
    </row>
    <row r="1476" spans="1:1">
      <c r="A1476" t="s">
        <v>6794</v>
      </c>
    </row>
    <row r="1477" spans="1:1">
      <c r="A1477" t="s">
        <v>6799</v>
      </c>
    </row>
    <row r="1478" spans="1:1">
      <c r="A1478" t="s">
        <v>6803</v>
      </c>
    </row>
    <row r="1479" spans="1:1">
      <c r="A1479" t="s">
        <v>6807</v>
      </c>
    </row>
    <row r="1480" spans="1:1">
      <c r="A1480" t="s">
        <v>6812</v>
      </c>
    </row>
    <row r="1481" spans="1:1">
      <c r="A1481" t="s">
        <v>6817</v>
      </c>
    </row>
    <row r="1482" spans="1:1">
      <c r="A1482" t="s">
        <v>6821</v>
      </c>
    </row>
    <row r="1483" spans="1:1">
      <c r="A1483" t="s">
        <v>6826</v>
      </c>
    </row>
    <row r="1484" spans="1:1">
      <c r="A1484" t="s">
        <v>6830</v>
      </c>
    </row>
    <row r="1485" spans="1:1">
      <c r="A1485" t="s">
        <v>6835</v>
      </c>
    </row>
    <row r="1486" spans="1:1">
      <c r="A1486" t="s">
        <v>6840</v>
      </c>
    </row>
    <row r="1487" spans="1:1">
      <c r="A1487" t="s">
        <v>6844</v>
      </c>
    </row>
    <row r="1488" spans="1:1">
      <c r="A1488" t="s">
        <v>6848</v>
      </c>
    </row>
    <row r="1489" spans="1:1">
      <c r="A1489" t="s">
        <v>6852</v>
      </c>
    </row>
    <row r="1490" spans="1:1">
      <c r="A1490" t="s">
        <v>6857</v>
      </c>
    </row>
    <row r="1491" spans="1:1">
      <c r="A1491" t="s">
        <v>6861</v>
      </c>
    </row>
    <row r="1492" spans="1:1">
      <c r="A1492" t="s">
        <v>6865</v>
      </c>
    </row>
    <row r="1493" spans="1:1">
      <c r="A1493" t="s">
        <v>6869</v>
      </c>
    </row>
    <row r="1494" spans="1:1">
      <c r="A1494" t="s">
        <v>6873</v>
      </c>
    </row>
    <row r="1495" spans="1:1">
      <c r="A1495" t="s">
        <v>6877</v>
      </c>
    </row>
    <row r="1496" spans="1:1">
      <c r="A1496" t="s">
        <v>6881</v>
      </c>
    </row>
    <row r="1497" spans="1:1">
      <c r="A1497" t="s">
        <v>6886</v>
      </c>
    </row>
    <row r="1498" spans="1:1">
      <c r="A1498" t="s">
        <v>6890</v>
      </c>
    </row>
    <row r="1499" spans="1:1">
      <c r="A1499" t="s">
        <v>6894</v>
      </c>
    </row>
    <row r="1500" spans="1:1">
      <c r="A1500" t="s">
        <v>6899</v>
      </c>
    </row>
    <row r="1501" spans="1:1">
      <c r="A1501" t="s">
        <v>6903</v>
      </c>
    </row>
    <row r="1502" spans="1:1">
      <c r="A1502" t="s">
        <v>6907</v>
      </c>
    </row>
    <row r="1503" spans="1:1">
      <c r="A1503" t="s">
        <v>6911</v>
      </c>
    </row>
    <row r="1504" spans="1:1">
      <c r="A1504" t="s">
        <v>6915</v>
      </c>
    </row>
    <row r="1505" spans="1:1">
      <c r="A1505" t="s">
        <v>6920</v>
      </c>
    </row>
    <row r="1506" spans="1:1">
      <c r="A1506" t="s">
        <v>6925</v>
      </c>
    </row>
    <row r="1507" spans="1:1">
      <c r="A1507" t="s">
        <v>6929</v>
      </c>
    </row>
    <row r="1508" spans="1:1">
      <c r="A1508" t="s">
        <v>6933</v>
      </c>
    </row>
    <row r="1509" spans="1:1">
      <c r="A1509" t="s">
        <v>6938</v>
      </c>
    </row>
    <row r="1510" spans="1:1">
      <c r="A1510" t="s">
        <v>6942</v>
      </c>
    </row>
    <row r="1511" spans="1:1">
      <c r="A1511" t="s">
        <v>6947</v>
      </c>
    </row>
    <row r="1512" spans="1:1">
      <c r="A1512" t="s">
        <v>6952</v>
      </c>
    </row>
    <row r="1513" spans="1:1">
      <c r="A1513" t="s">
        <v>6956</v>
      </c>
    </row>
    <row r="1514" spans="1:1">
      <c r="A1514" t="s">
        <v>6960</v>
      </c>
    </row>
    <row r="1515" spans="1:1">
      <c r="A1515" t="s">
        <v>6964</v>
      </c>
    </row>
    <row r="1516" spans="1:1">
      <c r="A1516" t="s">
        <v>6968</v>
      </c>
    </row>
    <row r="1517" spans="1:1">
      <c r="A1517" t="s">
        <v>6973</v>
      </c>
    </row>
    <row r="1518" spans="1:1">
      <c r="A1518" t="s">
        <v>6977</v>
      </c>
    </row>
    <row r="1519" spans="1:1">
      <c r="A1519" t="s">
        <v>6981</v>
      </c>
    </row>
    <row r="1520" spans="1:1">
      <c r="A1520" t="s">
        <v>6986</v>
      </c>
    </row>
    <row r="1521" spans="1:1">
      <c r="A1521" t="s">
        <v>6990</v>
      </c>
    </row>
    <row r="1522" spans="1:1">
      <c r="A1522" t="s">
        <v>6994</v>
      </c>
    </row>
    <row r="1523" spans="1:1">
      <c r="A1523" t="s">
        <v>6998</v>
      </c>
    </row>
    <row r="1524" spans="1:1">
      <c r="A1524" t="s">
        <v>7002</v>
      </c>
    </row>
    <row r="1525" spans="1:1">
      <c r="A1525" t="s">
        <v>7006</v>
      </c>
    </row>
    <row r="1526" spans="1:1">
      <c r="A1526" t="s">
        <v>7010</v>
      </c>
    </row>
    <row r="1527" spans="1:1">
      <c r="A1527" t="s">
        <v>7015</v>
      </c>
    </row>
    <row r="1528" spans="1:1">
      <c r="A1528" t="s">
        <v>7019</v>
      </c>
    </row>
    <row r="1529" spans="1:1">
      <c r="A1529" t="s">
        <v>7024</v>
      </c>
    </row>
    <row r="1530" spans="1:1">
      <c r="A1530" t="s">
        <v>7029</v>
      </c>
    </row>
    <row r="1531" spans="1:1">
      <c r="A1531" t="s">
        <v>7033</v>
      </c>
    </row>
    <row r="1532" spans="1:1">
      <c r="A1532" t="s">
        <v>7038</v>
      </c>
    </row>
    <row r="1533" spans="1:1">
      <c r="A1533" t="s">
        <v>7042</v>
      </c>
    </row>
    <row r="1534" spans="1:1">
      <c r="A1534" t="s">
        <v>7046</v>
      </c>
    </row>
    <row r="1535" spans="1:1">
      <c r="A1535" t="s">
        <v>7051</v>
      </c>
    </row>
    <row r="1536" spans="1:1">
      <c r="A1536" t="s">
        <v>7055</v>
      </c>
    </row>
    <row r="1537" spans="1:1">
      <c r="A1537" t="s">
        <v>7059</v>
      </c>
    </row>
    <row r="1538" spans="1:1">
      <c r="A1538" t="s">
        <v>7063</v>
      </c>
    </row>
    <row r="1539" spans="1:1">
      <c r="A1539" t="s">
        <v>7067</v>
      </c>
    </row>
    <row r="1540" spans="1:1">
      <c r="A1540" t="s">
        <v>7071</v>
      </c>
    </row>
    <row r="1541" spans="1:1">
      <c r="A1541" t="s">
        <v>7075</v>
      </c>
    </row>
    <row r="1542" spans="1:1">
      <c r="A1542" t="s">
        <v>7080</v>
      </c>
    </row>
    <row r="1543" spans="1:1">
      <c r="A1543" t="s">
        <v>7084</v>
      </c>
    </row>
    <row r="1544" spans="1:1">
      <c r="A1544" t="s">
        <v>7088</v>
      </c>
    </row>
    <row r="1545" spans="1:1">
      <c r="A1545" t="s">
        <v>7093</v>
      </c>
    </row>
    <row r="1546" spans="1:1">
      <c r="A1546" t="s">
        <v>7098</v>
      </c>
    </row>
    <row r="1547" spans="1:1">
      <c r="A1547" t="s">
        <v>7103</v>
      </c>
    </row>
    <row r="1548" spans="1:1">
      <c r="A1548" t="s">
        <v>7107</v>
      </c>
    </row>
    <row r="1549" spans="1:1">
      <c r="A1549" t="s">
        <v>7111</v>
      </c>
    </row>
    <row r="1550" spans="1:1">
      <c r="A1550" t="s">
        <v>7116</v>
      </c>
    </row>
    <row r="1551" spans="1:1">
      <c r="A1551" t="s">
        <v>7120</v>
      </c>
    </row>
    <row r="1552" spans="1:1">
      <c r="A1552" t="s">
        <v>7124</v>
      </c>
    </row>
    <row r="1553" spans="1:1">
      <c r="A1553" t="s">
        <v>7128</v>
      </c>
    </row>
    <row r="1554" spans="1:1">
      <c r="A1554" t="s">
        <v>7133</v>
      </c>
    </row>
    <row r="1555" spans="1:1">
      <c r="A1555" t="s">
        <v>7137</v>
      </c>
    </row>
    <row r="1556" spans="1:1">
      <c r="A1556" t="s">
        <v>7141</v>
      </c>
    </row>
    <row r="1557" spans="1:1">
      <c r="A1557" t="s">
        <v>7145</v>
      </c>
    </row>
    <row r="1558" spans="1:1">
      <c r="A1558" t="s">
        <v>7149</v>
      </c>
    </row>
    <row r="1559" spans="1:1">
      <c r="A1559" t="s">
        <v>7153</v>
      </c>
    </row>
    <row r="1560" spans="1:1">
      <c r="A1560" t="s">
        <v>7158</v>
      </c>
    </row>
    <row r="1561" spans="1:1">
      <c r="A1561" t="s">
        <v>7163</v>
      </c>
    </row>
    <row r="1562" spans="1:1">
      <c r="A1562" t="s">
        <v>7168</v>
      </c>
    </row>
    <row r="1563" spans="1:1">
      <c r="A1563" t="s">
        <v>7173</v>
      </c>
    </row>
    <row r="1564" spans="1:1">
      <c r="A1564" t="s">
        <v>7178</v>
      </c>
    </row>
    <row r="1565" spans="1:1">
      <c r="A1565" t="s">
        <v>7182</v>
      </c>
    </row>
    <row r="1566" spans="1:1">
      <c r="A1566" t="s">
        <v>7186</v>
      </c>
    </row>
    <row r="1567" spans="1:1">
      <c r="A1567" t="s">
        <v>7190</v>
      </c>
    </row>
    <row r="1568" spans="1:1">
      <c r="A1568" t="s">
        <v>7194</v>
      </c>
    </row>
    <row r="1569" spans="1:1">
      <c r="A1569" t="s">
        <v>7198</v>
      </c>
    </row>
    <row r="1570" spans="1:1">
      <c r="A1570" t="s">
        <v>7203</v>
      </c>
    </row>
    <row r="1571" spans="1:1">
      <c r="A1571" t="s">
        <v>7207</v>
      </c>
    </row>
    <row r="1572" spans="1:1">
      <c r="A1572" t="s">
        <v>7212</v>
      </c>
    </row>
    <row r="1573" spans="1:1">
      <c r="A1573" t="s">
        <v>7217</v>
      </c>
    </row>
    <row r="1574" spans="1:1">
      <c r="A1574" t="s">
        <v>7222</v>
      </c>
    </row>
    <row r="1575" spans="1:1">
      <c r="A1575" t="s">
        <v>7226</v>
      </c>
    </row>
    <row r="1576" spans="1:1">
      <c r="A1576" t="s">
        <v>7230</v>
      </c>
    </row>
    <row r="1577" spans="1:1">
      <c r="A1577" t="s">
        <v>7234</v>
      </c>
    </row>
    <row r="1578" spans="1:1">
      <c r="A1578" t="s">
        <v>7238</v>
      </c>
    </row>
    <row r="1579" spans="1:1">
      <c r="A1579" t="s">
        <v>7243</v>
      </c>
    </row>
    <row r="1580" spans="1:1">
      <c r="A1580" t="s">
        <v>7247</v>
      </c>
    </row>
    <row r="1581" spans="1:1">
      <c r="A1581" t="s">
        <v>7251</v>
      </c>
    </row>
    <row r="1582" spans="1:1">
      <c r="A1582" t="s">
        <v>7255</v>
      </c>
    </row>
    <row r="1583" spans="1:1">
      <c r="A1583" t="s">
        <v>7260</v>
      </c>
    </row>
    <row r="1584" spans="1:1">
      <c r="A1584" t="s">
        <v>7264</v>
      </c>
    </row>
    <row r="1585" spans="1:1">
      <c r="A1585" t="s">
        <v>7268</v>
      </c>
    </row>
    <row r="1586" spans="1:1">
      <c r="A1586" t="s">
        <v>7272</v>
      </c>
    </row>
    <row r="1587" spans="1:1">
      <c r="A1587" t="s">
        <v>7276</v>
      </c>
    </row>
    <row r="1588" spans="1:1">
      <c r="A1588" t="s">
        <v>7280</v>
      </c>
    </row>
    <row r="1589" spans="1:1">
      <c r="A1589" t="s">
        <v>7285</v>
      </c>
    </row>
    <row r="1590" spans="1:1">
      <c r="A1590" t="s">
        <v>7289</v>
      </c>
    </row>
    <row r="1591" spans="1:1">
      <c r="A1591" t="s">
        <v>7294</v>
      </c>
    </row>
    <row r="1592" spans="1:1">
      <c r="A1592" t="s">
        <v>7299</v>
      </c>
    </row>
    <row r="1593" spans="1:1">
      <c r="A1593" t="s">
        <v>7303</v>
      </c>
    </row>
    <row r="1594" spans="1:1">
      <c r="A1594" t="s">
        <v>7308</v>
      </c>
    </row>
    <row r="1595" spans="1:1">
      <c r="A1595" t="s">
        <v>7312</v>
      </c>
    </row>
    <row r="1596" spans="1:1">
      <c r="A1596" t="s">
        <v>7316</v>
      </c>
    </row>
    <row r="1597" spans="1:1">
      <c r="A1597" t="s">
        <v>7320</v>
      </c>
    </row>
    <row r="1598" spans="1:1">
      <c r="A1598" t="s">
        <v>7324</v>
      </c>
    </row>
    <row r="1599" spans="1:1">
      <c r="A1599" t="s">
        <v>7328</v>
      </c>
    </row>
    <row r="1600" spans="1:1">
      <c r="A1600" t="s">
        <v>7332</v>
      </c>
    </row>
    <row r="1601" spans="1:1">
      <c r="A1601" t="s">
        <v>7336</v>
      </c>
    </row>
    <row r="1602" spans="1:1">
      <c r="A1602" t="s">
        <v>7340</v>
      </c>
    </row>
    <row r="1603" spans="1:1">
      <c r="A1603" t="s">
        <v>7344</v>
      </c>
    </row>
    <row r="1604" spans="1:1">
      <c r="A1604" t="s">
        <v>7349</v>
      </c>
    </row>
    <row r="1605" spans="1:1">
      <c r="A1605" t="s">
        <v>7353</v>
      </c>
    </row>
    <row r="1606" spans="1:1">
      <c r="A1606" t="s">
        <v>7357</v>
      </c>
    </row>
    <row r="1607" spans="1:1">
      <c r="A1607" t="s">
        <v>7362</v>
      </c>
    </row>
    <row r="1608" spans="1:1">
      <c r="A1608" t="s">
        <v>7367</v>
      </c>
    </row>
    <row r="1609" spans="1:1">
      <c r="A1609" t="s">
        <v>7371</v>
      </c>
    </row>
    <row r="1610" spans="1:1">
      <c r="A1610" t="s">
        <v>7376</v>
      </c>
    </row>
    <row r="1611" spans="1:1">
      <c r="A1611" t="s">
        <v>7380</v>
      </c>
    </row>
    <row r="1612" spans="1:1">
      <c r="A1612" t="s">
        <v>7384</v>
      </c>
    </row>
    <row r="1613" spans="1:1">
      <c r="A1613" t="s">
        <v>7389</v>
      </c>
    </row>
    <row r="1614" spans="1:1">
      <c r="A1614" t="s">
        <v>7393</v>
      </c>
    </row>
    <row r="1615" spans="1:1">
      <c r="A1615" t="s">
        <v>7398</v>
      </c>
    </row>
    <row r="1616" spans="1:1">
      <c r="A1616" t="s">
        <v>7402</v>
      </c>
    </row>
    <row r="1617" spans="1:1">
      <c r="A1617" t="s">
        <v>7406</v>
      </c>
    </row>
    <row r="1618" spans="1:1">
      <c r="A1618" t="s">
        <v>7410</v>
      </c>
    </row>
    <row r="1619" spans="1:1">
      <c r="A1619" t="s">
        <v>7414</v>
      </c>
    </row>
    <row r="1620" spans="1:1">
      <c r="A1620" t="s">
        <v>7419</v>
      </c>
    </row>
    <row r="1621" spans="1:1">
      <c r="A1621" t="s">
        <v>7423</v>
      </c>
    </row>
    <row r="1622" spans="1:1">
      <c r="A1622" t="s">
        <v>7427</v>
      </c>
    </row>
    <row r="1623" spans="1:1">
      <c r="A1623" t="s">
        <v>7431</v>
      </c>
    </row>
    <row r="1624" spans="1:1">
      <c r="A1624" t="s">
        <v>7436</v>
      </c>
    </row>
    <row r="1625" spans="1:1">
      <c r="A1625" t="s">
        <v>7441</v>
      </c>
    </row>
    <row r="1626" spans="1:1">
      <c r="A1626" t="s">
        <v>7445</v>
      </c>
    </row>
    <row r="1627" spans="1:1">
      <c r="A1627" t="s">
        <v>7450</v>
      </c>
    </row>
    <row r="1628" spans="1:1">
      <c r="A1628" t="s">
        <v>7454</v>
      </c>
    </row>
    <row r="1629" spans="1:1">
      <c r="A1629" t="s">
        <v>7459</v>
      </c>
    </row>
    <row r="1630" spans="1:1">
      <c r="A1630" t="s">
        <v>7464</v>
      </c>
    </row>
    <row r="1631" spans="1:1">
      <c r="A1631" t="s">
        <v>7469</v>
      </c>
    </row>
    <row r="1632" spans="1:1">
      <c r="A1632" t="s">
        <v>7473</v>
      </c>
    </row>
    <row r="1633" spans="1:1">
      <c r="A1633" t="s">
        <v>7478</v>
      </c>
    </row>
    <row r="1634" spans="1:1">
      <c r="A1634" t="s">
        <v>7482</v>
      </c>
    </row>
    <row r="1635" spans="1:1">
      <c r="A1635" t="s">
        <v>7487</v>
      </c>
    </row>
    <row r="1636" spans="1:1">
      <c r="A1636" t="s">
        <v>7491</v>
      </c>
    </row>
    <row r="1637" spans="1:1">
      <c r="A1637" t="s">
        <v>7496</v>
      </c>
    </row>
    <row r="1638" spans="1:1">
      <c r="A1638" t="s">
        <v>7501</v>
      </c>
    </row>
    <row r="1639" spans="1:1">
      <c r="A1639" t="s">
        <v>7506</v>
      </c>
    </row>
    <row r="1640" spans="1:1">
      <c r="A1640" t="s">
        <v>7511</v>
      </c>
    </row>
    <row r="1641" spans="1:1">
      <c r="A1641" t="s">
        <v>7516</v>
      </c>
    </row>
    <row r="1642" spans="1:1">
      <c r="A1642" t="s">
        <v>7520</v>
      </c>
    </row>
    <row r="1643" spans="1:1">
      <c r="A1643" t="s">
        <v>7524</v>
      </c>
    </row>
    <row r="1644" spans="1:1">
      <c r="A1644" t="s">
        <v>7529</v>
      </c>
    </row>
    <row r="1645" spans="1:1">
      <c r="A1645" t="s">
        <v>7534</v>
      </c>
    </row>
    <row r="1646" spans="1:1">
      <c r="A1646" t="s">
        <v>7538</v>
      </c>
    </row>
    <row r="1647" spans="1:1">
      <c r="A1647" t="s">
        <v>7543</v>
      </c>
    </row>
    <row r="1648" spans="1:1">
      <c r="A1648" t="s">
        <v>7547</v>
      </c>
    </row>
    <row r="1649" spans="1:1">
      <c r="A1649" t="s">
        <v>7551</v>
      </c>
    </row>
    <row r="1650" spans="1:1">
      <c r="A1650" t="s">
        <v>7555</v>
      </c>
    </row>
    <row r="1651" spans="1:1">
      <c r="A1651" t="s">
        <v>7559</v>
      </c>
    </row>
    <row r="1652" spans="1:1">
      <c r="A1652" t="s">
        <v>7564</v>
      </c>
    </row>
    <row r="1653" spans="1:1">
      <c r="A1653" t="s">
        <v>7569</v>
      </c>
    </row>
    <row r="1654" spans="1:1">
      <c r="A1654" t="s">
        <v>7574</v>
      </c>
    </row>
    <row r="1655" spans="1:1">
      <c r="A1655" t="s">
        <v>7578</v>
      </c>
    </row>
    <row r="1656" spans="1:1">
      <c r="A1656" t="s">
        <v>7582</v>
      </c>
    </row>
    <row r="1657" spans="1:1">
      <c r="A1657" t="s">
        <v>7586</v>
      </c>
    </row>
    <row r="1658" spans="1:1">
      <c r="A1658" t="s">
        <v>7591</v>
      </c>
    </row>
    <row r="1659" spans="1:1">
      <c r="A1659" t="s">
        <v>7595</v>
      </c>
    </row>
    <row r="1660" spans="1:1">
      <c r="A1660" t="s">
        <v>7600</v>
      </c>
    </row>
    <row r="1661" spans="1:1">
      <c r="A1661" t="s">
        <v>7604</v>
      </c>
    </row>
    <row r="1662" spans="1:1">
      <c r="A1662" t="s">
        <v>7608</v>
      </c>
    </row>
    <row r="1663" spans="1:1">
      <c r="A1663" t="s">
        <v>7612</v>
      </c>
    </row>
    <row r="1664" spans="1:1">
      <c r="A1664" t="s">
        <v>7616</v>
      </c>
    </row>
    <row r="1665" spans="1:1">
      <c r="A1665" t="s">
        <v>7620</v>
      </c>
    </row>
    <row r="1666" spans="1:1">
      <c r="A1666" t="s">
        <v>7624</v>
      </c>
    </row>
    <row r="1667" spans="1:1">
      <c r="A1667" t="s">
        <v>7629</v>
      </c>
    </row>
    <row r="1668" spans="1:1">
      <c r="A1668" t="s">
        <v>7633</v>
      </c>
    </row>
    <row r="1669" spans="1:1">
      <c r="A1669" t="s">
        <v>7637</v>
      </c>
    </row>
    <row r="1670" spans="1:1">
      <c r="A1670" t="s">
        <v>7642</v>
      </c>
    </row>
    <row r="1671" spans="1:1">
      <c r="A1671" t="s">
        <v>7646</v>
      </c>
    </row>
    <row r="1672" spans="1:1">
      <c r="A1672" t="s">
        <v>7650</v>
      </c>
    </row>
    <row r="1673" spans="1:1">
      <c r="A1673" t="s">
        <v>7654</v>
      </c>
    </row>
    <row r="1674" spans="1:1">
      <c r="A1674" t="s">
        <v>7658</v>
      </c>
    </row>
    <row r="1675" spans="1:1">
      <c r="A1675" t="s">
        <v>7662</v>
      </c>
    </row>
    <row r="1676" spans="1:1">
      <c r="A1676" t="s">
        <v>7666</v>
      </c>
    </row>
    <row r="1677" spans="1:1">
      <c r="A1677" t="s">
        <v>7671</v>
      </c>
    </row>
    <row r="1678" spans="1:1">
      <c r="A1678" t="s">
        <v>7675</v>
      </c>
    </row>
    <row r="1679" spans="1:1">
      <c r="A1679" t="s">
        <v>7680</v>
      </c>
    </row>
    <row r="1680" spans="1:1">
      <c r="A1680" t="s">
        <v>7684</v>
      </c>
    </row>
    <row r="1681" spans="1:1">
      <c r="A1681" t="s">
        <v>7688</v>
      </c>
    </row>
    <row r="1682" spans="1:1">
      <c r="A1682" t="s">
        <v>7692</v>
      </c>
    </row>
    <row r="1683" spans="1:1">
      <c r="A1683" t="s">
        <v>7697</v>
      </c>
    </row>
    <row r="1684" spans="1:1">
      <c r="A1684" t="s">
        <v>7701</v>
      </c>
    </row>
    <row r="1685" spans="1:1">
      <c r="A1685" t="s">
        <v>7706</v>
      </c>
    </row>
    <row r="1686" spans="1:1">
      <c r="A1686" t="s">
        <v>7710</v>
      </c>
    </row>
    <row r="1687" spans="1:1">
      <c r="A1687" t="s">
        <v>7715</v>
      </c>
    </row>
    <row r="1688" spans="1:1">
      <c r="A1688" t="s">
        <v>7719</v>
      </c>
    </row>
    <row r="1689" spans="1:1">
      <c r="A1689" t="s">
        <v>7723</v>
      </c>
    </row>
    <row r="1690" spans="1:1">
      <c r="A1690" t="s">
        <v>7727</v>
      </c>
    </row>
    <row r="1691" spans="1:1">
      <c r="A1691" t="s">
        <v>7732</v>
      </c>
    </row>
    <row r="1692" spans="1:1">
      <c r="A1692" t="s">
        <v>7736</v>
      </c>
    </row>
    <row r="1693" spans="1:1">
      <c r="A1693" t="s">
        <v>7741</v>
      </c>
    </row>
    <row r="1694" spans="1:1">
      <c r="A1694" t="s">
        <v>7745</v>
      </c>
    </row>
    <row r="1695" spans="1:1">
      <c r="A1695" t="s">
        <v>7749</v>
      </c>
    </row>
    <row r="1696" spans="1:1">
      <c r="A1696" t="s">
        <v>7753</v>
      </c>
    </row>
    <row r="1697" spans="1:1">
      <c r="A1697" t="s">
        <v>7757</v>
      </c>
    </row>
    <row r="1698" spans="1:1">
      <c r="A1698" t="s">
        <v>7761</v>
      </c>
    </row>
    <row r="1699" spans="1:1">
      <c r="A1699" t="s">
        <v>7765</v>
      </c>
    </row>
    <row r="1700" spans="1:1">
      <c r="A1700" t="s">
        <v>7769</v>
      </c>
    </row>
    <row r="1701" spans="1:1">
      <c r="A1701" t="s">
        <v>7774</v>
      </c>
    </row>
    <row r="1702" spans="1:1">
      <c r="A1702" t="s">
        <v>7778</v>
      </c>
    </row>
    <row r="1703" spans="1:1">
      <c r="A1703" t="s">
        <v>7782</v>
      </c>
    </row>
    <row r="1704" spans="1:1">
      <c r="A1704" t="s">
        <v>7786</v>
      </c>
    </row>
    <row r="1705" spans="1:1">
      <c r="A1705" t="s">
        <v>7791</v>
      </c>
    </row>
    <row r="1706" spans="1:1">
      <c r="A1706" t="s">
        <v>7795</v>
      </c>
    </row>
    <row r="1707" spans="1:1">
      <c r="A1707" t="s">
        <v>7800</v>
      </c>
    </row>
    <row r="1708" spans="1:1">
      <c r="A1708" t="s">
        <v>7805</v>
      </c>
    </row>
    <row r="1709" spans="1:1">
      <c r="A1709" t="s">
        <v>7810</v>
      </c>
    </row>
    <row r="1710" spans="1:1">
      <c r="A1710" t="s">
        <v>7814</v>
      </c>
    </row>
    <row r="1711" spans="1:1">
      <c r="A1711" t="s">
        <v>7819</v>
      </c>
    </row>
    <row r="1712" spans="1:1">
      <c r="A1712" t="s">
        <v>7824</v>
      </c>
    </row>
    <row r="1713" spans="1:1">
      <c r="A1713" t="s">
        <v>7829</v>
      </c>
    </row>
    <row r="1714" spans="1:1">
      <c r="A1714" t="s">
        <v>7834</v>
      </c>
    </row>
    <row r="1715" spans="1:1">
      <c r="A1715" t="s">
        <v>7838</v>
      </c>
    </row>
    <row r="1716" spans="1:1">
      <c r="A1716" t="s">
        <v>7842</v>
      </c>
    </row>
    <row r="1717" spans="1:1">
      <c r="A1717" t="s">
        <v>7847</v>
      </c>
    </row>
    <row r="1718" spans="1:1">
      <c r="A1718" t="s">
        <v>7852</v>
      </c>
    </row>
    <row r="1719" spans="1:1">
      <c r="A1719" t="s">
        <v>7857</v>
      </c>
    </row>
    <row r="1720" spans="1:1">
      <c r="A1720" t="s">
        <v>7862</v>
      </c>
    </row>
    <row r="1721" spans="1:1">
      <c r="A1721" t="s">
        <v>7866</v>
      </c>
    </row>
    <row r="1722" spans="1:1">
      <c r="A1722" t="s">
        <v>7870</v>
      </c>
    </row>
    <row r="1723" spans="1:1">
      <c r="A1723" t="s">
        <v>7874</v>
      </c>
    </row>
    <row r="1724" spans="1:1">
      <c r="A1724" t="s">
        <v>7879</v>
      </c>
    </row>
    <row r="1725" spans="1:1">
      <c r="A1725" t="s">
        <v>7884</v>
      </c>
    </row>
    <row r="1726" spans="1:1">
      <c r="A1726" t="s">
        <v>7888</v>
      </c>
    </row>
    <row r="1727" spans="1:1">
      <c r="A1727" t="s">
        <v>7893</v>
      </c>
    </row>
    <row r="1728" spans="1:1">
      <c r="A1728" t="s">
        <v>7898</v>
      </c>
    </row>
    <row r="1729" spans="1:1">
      <c r="A1729" t="s">
        <v>7902</v>
      </c>
    </row>
    <row r="1730" spans="1:1">
      <c r="A1730" t="s">
        <v>7906</v>
      </c>
    </row>
    <row r="1731" spans="1:1">
      <c r="A1731" t="s">
        <v>7910</v>
      </c>
    </row>
    <row r="1732" spans="1:1">
      <c r="A1732" t="s">
        <v>7914</v>
      </c>
    </row>
    <row r="1733" spans="1:1">
      <c r="A1733" t="s">
        <v>7918</v>
      </c>
    </row>
    <row r="1734" spans="1:1">
      <c r="A1734" t="s">
        <v>7922</v>
      </c>
    </row>
    <row r="1735" spans="1:1">
      <c r="A1735" t="s">
        <v>7927</v>
      </c>
    </row>
    <row r="1736" spans="1:1">
      <c r="A1736" t="s">
        <v>7931</v>
      </c>
    </row>
    <row r="1737" spans="1:1">
      <c r="A1737" t="s">
        <v>7935</v>
      </c>
    </row>
    <row r="1738" spans="1:1">
      <c r="A1738" t="s">
        <v>7939</v>
      </c>
    </row>
    <row r="1739" spans="1:1">
      <c r="A1739" t="s">
        <v>7944</v>
      </c>
    </row>
    <row r="1740" spans="1:1">
      <c r="A1740" t="s">
        <v>7949</v>
      </c>
    </row>
    <row r="1741" spans="1:1">
      <c r="A1741" t="s">
        <v>7953</v>
      </c>
    </row>
    <row r="1742" spans="1:1">
      <c r="A1742" t="s">
        <v>7958</v>
      </c>
    </row>
    <row r="1743" spans="1:1">
      <c r="A1743" t="s">
        <v>7963</v>
      </c>
    </row>
    <row r="1744" spans="1:1">
      <c r="A1744" t="s">
        <v>7967</v>
      </c>
    </row>
    <row r="1745" spans="1:1">
      <c r="A1745" t="s">
        <v>7972</v>
      </c>
    </row>
    <row r="1746" spans="1:1">
      <c r="A1746" t="s">
        <v>7976</v>
      </c>
    </row>
    <row r="1747" spans="1:1">
      <c r="A1747" t="s">
        <v>7981</v>
      </c>
    </row>
    <row r="1748" spans="1:1">
      <c r="A1748" t="s">
        <v>7986</v>
      </c>
    </row>
    <row r="1749" spans="1:1">
      <c r="A1749" t="s">
        <v>7991</v>
      </c>
    </row>
    <row r="1750" spans="1:1">
      <c r="A1750" t="s">
        <v>7996</v>
      </c>
    </row>
    <row r="1751" spans="1:1">
      <c r="A1751" t="s">
        <v>8001</v>
      </c>
    </row>
    <row r="1752" spans="1:1">
      <c r="A1752" t="s">
        <v>8005</v>
      </c>
    </row>
    <row r="1753" spans="1:1">
      <c r="A1753" t="s">
        <v>8009</v>
      </c>
    </row>
    <row r="1754" spans="1:1">
      <c r="A1754" t="s">
        <v>8013</v>
      </c>
    </row>
    <row r="1755" spans="1:1">
      <c r="A1755" t="s">
        <v>8017</v>
      </c>
    </row>
    <row r="1756" spans="1:1">
      <c r="A1756" t="s">
        <v>8021</v>
      </c>
    </row>
    <row r="1757" spans="1:1">
      <c r="A1757" t="s">
        <v>8026</v>
      </c>
    </row>
    <row r="1758" spans="1:1">
      <c r="A1758" t="s">
        <v>8031</v>
      </c>
    </row>
    <row r="1759" spans="1:1">
      <c r="A1759" t="s">
        <v>8036</v>
      </c>
    </row>
    <row r="1760" spans="1:1">
      <c r="A1760" t="s">
        <v>8040</v>
      </c>
    </row>
    <row r="1761" spans="1:1">
      <c r="A1761" t="s">
        <v>8045</v>
      </c>
    </row>
    <row r="1762" spans="1:1">
      <c r="A1762" t="s">
        <v>8049</v>
      </c>
    </row>
    <row r="1763" spans="1:1">
      <c r="A1763" t="s">
        <v>8054</v>
      </c>
    </row>
    <row r="1764" spans="1:1">
      <c r="A1764" t="s">
        <v>8059</v>
      </c>
    </row>
    <row r="1765" spans="1:1">
      <c r="A1765" t="s">
        <v>8063</v>
      </c>
    </row>
    <row r="1766" spans="1:1">
      <c r="A1766" t="s">
        <v>8068</v>
      </c>
    </row>
    <row r="1767" spans="1:1">
      <c r="A1767" t="s">
        <v>8072</v>
      </c>
    </row>
    <row r="1768" spans="1:1">
      <c r="A1768" t="s">
        <v>8077</v>
      </c>
    </row>
    <row r="1769" spans="1:1">
      <c r="A1769" t="s">
        <v>8082</v>
      </c>
    </row>
    <row r="1770" spans="1:1">
      <c r="A1770" t="s">
        <v>8086</v>
      </c>
    </row>
    <row r="1771" spans="1:1">
      <c r="A1771" t="s">
        <v>8091</v>
      </c>
    </row>
    <row r="1772" spans="1:1">
      <c r="A1772" t="s">
        <v>8095</v>
      </c>
    </row>
    <row r="1773" spans="1:1">
      <c r="A1773" t="s">
        <v>8099</v>
      </c>
    </row>
    <row r="1774" spans="1:1">
      <c r="A1774" t="s">
        <v>8103</v>
      </c>
    </row>
    <row r="1775" spans="1:1">
      <c r="A1775" t="s">
        <v>8107</v>
      </c>
    </row>
    <row r="1776" spans="1:1">
      <c r="A1776" t="s">
        <v>8111</v>
      </c>
    </row>
    <row r="1777" spans="1:1">
      <c r="A1777" t="s">
        <v>8115</v>
      </c>
    </row>
    <row r="1778" spans="1:1">
      <c r="A1778" t="s">
        <v>8119</v>
      </c>
    </row>
    <row r="1779" spans="1:1">
      <c r="A1779" t="s">
        <v>8123</v>
      </c>
    </row>
    <row r="1780" spans="1:1">
      <c r="A1780" t="s">
        <v>8128</v>
      </c>
    </row>
    <row r="1781" spans="1:1">
      <c r="A1781" t="s">
        <v>8133</v>
      </c>
    </row>
    <row r="1782" spans="1:1">
      <c r="A1782" t="s">
        <v>8137</v>
      </c>
    </row>
    <row r="1783" spans="1:1">
      <c r="A1783" t="s">
        <v>8141</v>
      </c>
    </row>
    <row r="1784" spans="1:1">
      <c r="A1784" t="s">
        <v>8145</v>
      </c>
    </row>
    <row r="1785" spans="1:1">
      <c r="A1785" t="s">
        <v>8150</v>
      </c>
    </row>
    <row r="1786" spans="1:1">
      <c r="A1786" t="s">
        <v>8155</v>
      </c>
    </row>
    <row r="1787" spans="1:1">
      <c r="A1787" t="s">
        <v>8160</v>
      </c>
    </row>
    <row r="1788" spans="1:1">
      <c r="A1788" t="s">
        <v>8165</v>
      </c>
    </row>
    <row r="1789" spans="1:1">
      <c r="A1789" t="s">
        <v>8169</v>
      </c>
    </row>
    <row r="1790" spans="1:1">
      <c r="A1790" t="s">
        <v>8173</v>
      </c>
    </row>
    <row r="1791" spans="1:1">
      <c r="A1791" t="s">
        <v>8177</v>
      </c>
    </row>
    <row r="1792" spans="1:1">
      <c r="A1792" t="s">
        <v>8181</v>
      </c>
    </row>
    <row r="1793" spans="1:1">
      <c r="A1793" t="s">
        <v>8185</v>
      </c>
    </row>
    <row r="1794" spans="1:1">
      <c r="A1794" t="s">
        <v>8189</v>
      </c>
    </row>
    <row r="1795" spans="1:1">
      <c r="A1795" t="s">
        <v>8193</v>
      </c>
    </row>
    <row r="1796" spans="1:1">
      <c r="A1796" t="s">
        <v>8197</v>
      </c>
    </row>
    <row r="1797" spans="1:1">
      <c r="A1797" t="s">
        <v>8201</v>
      </c>
    </row>
    <row r="1798" spans="1:1">
      <c r="A1798" t="s">
        <v>8206</v>
      </c>
    </row>
    <row r="1799" spans="1:1">
      <c r="A1799" t="s">
        <v>8210</v>
      </c>
    </row>
    <row r="1800" spans="1:1">
      <c r="A1800" t="s">
        <v>8214</v>
      </c>
    </row>
    <row r="1801" spans="1:1">
      <c r="A1801" t="s">
        <v>8218</v>
      </c>
    </row>
    <row r="1802" spans="1:1">
      <c r="A1802" t="s">
        <v>8223</v>
      </c>
    </row>
    <row r="1803" spans="1:1">
      <c r="A1803" t="s">
        <v>8228</v>
      </c>
    </row>
    <row r="1804" spans="1:1">
      <c r="A1804" t="s">
        <v>8232</v>
      </c>
    </row>
    <row r="1805" spans="1:1">
      <c r="A1805" t="s">
        <v>8237</v>
      </c>
    </row>
    <row r="1806" spans="1:1">
      <c r="A1806" t="s">
        <v>8242</v>
      </c>
    </row>
    <row r="1807" spans="1:1">
      <c r="A1807" t="s">
        <v>8246</v>
      </c>
    </row>
    <row r="1808" spans="1:1">
      <c r="A1808" t="s">
        <v>8250</v>
      </c>
    </row>
    <row r="1809" spans="1:1">
      <c r="A1809" t="s">
        <v>8254</v>
      </c>
    </row>
    <row r="1810" spans="1:1">
      <c r="A1810" t="s">
        <v>8259</v>
      </c>
    </row>
    <row r="1811" spans="1:1">
      <c r="A1811" t="s">
        <v>8263</v>
      </c>
    </row>
    <row r="1812" spans="1:1">
      <c r="A1812" t="s">
        <v>8267</v>
      </c>
    </row>
    <row r="1813" spans="1:1">
      <c r="A1813" t="s">
        <v>8271</v>
      </c>
    </row>
    <row r="1814" spans="1:1">
      <c r="A1814" t="s">
        <v>8276</v>
      </c>
    </row>
    <row r="1815" spans="1:1">
      <c r="A1815" t="s">
        <v>8281</v>
      </c>
    </row>
    <row r="1816" spans="1:1">
      <c r="A1816" t="s">
        <v>8285</v>
      </c>
    </row>
    <row r="1817" spans="1:1">
      <c r="A1817" t="s">
        <v>8289</v>
      </c>
    </row>
    <row r="1818" spans="1:1">
      <c r="A1818" t="s">
        <v>8294</v>
      </c>
    </row>
    <row r="1819" spans="1:1">
      <c r="A1819" t="s">
        <v>8298</v>
      </c>
    </row>
    <row r="1820" spans="1:1">
      <c r="A1820" t="s">
        <v>8302</v>
      </c>
    </row>
    <row r="1821" spans="1:1">
      <c r="A1821" t="s">
        <v>8306</v>
      </c>
    </row>
    <row r="1822" spans="1:1">
      <c r="A1822" t="s">
        <v>8310</v>
      </c>
    </row>
    <row r="1823" spans="1:1">
      <c r="A1823" t="s">
        <v>8314</v>
      </c>
    </row>
    <row r="1824" spans="1:1">
      <c r="A1824" t="s">
        <v>8318</v>
      </c>
    </row>
    <row r="1825" spans="1:1">
      <c r="A1825" t="s">
        <v>8322</v>
      </c>
    </row>
    <row r="1826" spans="1:1">
      <c r="A1826" t="s">
        <v>8327</v>
      </c>
    </row>
    <row r="1827" spans="1:1">
      <c r="A1827" t="s">
        <v>8331</v>
      </c>
    </row>
    <row r="1828" spans="1:1">
      <c r="A1828" t="s">
        <v>8336</v>
      </c>
    </row>
    <row r="1829" spans="1:1">
      <c r="A1829" t="s">
        <v>8340</v>
      </c>
    </row>
    <row r="1830" spans="1:1">
      <c r="A1830" t="s">
        <v>8344</v>
      </c>
    </row>
    <row r="1831" spans="1:1">
      <c r="A1831" t="s">
        <v>8348</v>
      </c>
    </row>
    <row r="1832" spans="1:1">
      <c r="A1832" t="s">
        <v>8352</v>
      </c>
    </row>
    <row r="1833" spans="1:1">
      <c r="A1833" t="s">
        <v>8356</v>
      </c>
    </row>
    <row r="1834" spans="1:1">
      <c r="A1834" t="s">
        <v>8360</v>
      </c>
    </row>
    <row r="1835" spans="1:1">
      <c r="A1835" t="s">
        <v>8364</v>
      </c>
    </row>
    <row r="1836" spans="1:1">
      <c r="A1836" t="s">
        <v>8368</v>
      </c>
    </row>
    <row r="1837" spans="1:1">
      <c r="A1837" t="s">
        <v>8373</v>
      </c>
    </row>
    <row r="1838" spans="1:1">
      <c r="A1838" t="s">
        <v>8378</v>
      </c>
    </row>
    <row r="1839" spans="1:1">
      <c r="A1839" t="s">
        <v>8383</v>
      </c>
    </row>
    <row r="1840" spans="1:1">
      <c r="A1840" t="s">
        <v>8388</v>
      </c>
    </row>
    <row r="1841" spans="1:1">
      <c r="A1841" t="s">
        <v>8393</v>
      </c>
    </row>
    <row r="1842" spans="1:1">
      <c r="A1842" t="s">
        <v>8398</v>
      </c>
    </row>
    <row r="1843" spans="1:1">
      <c r="A1843" t="s">
        <v>8403</v>
      </c>
    </row>
    <row r="1844" spans="1:1">
      <c r="A1844" t="s">
        <v>8408</v>
      </c>
    </row>
    <row r="1845" spans="1:1">
      <c r="A1845" t="s">
        <v>8412</v>
      </c>
    </row>
    <row r="1846" spans="1:1">
      <c r="A1846" t="s">
        <v>8416</v>
      </c>
    </row>
    <row r="1847" spans="1:1">
      <c r="A1847" t="s">
        <v>8421</v>
      </c>
    </row>
    <row r="1848" spans="1:1">
      <c r="A1848" t="s">
        <v>8426</v>
      </c>
    </row>
    <row r="1849" spans="1:1">
      <c r="A1849" t="s">
        <v>8430</v>
      </c>
    </row>
    <row r="1850" spans="1:1">
      <c r="A1850" t="s">
        <v>8435</v>
      </c>
    </row>
    <row r="1851" spans="1:1">
      <c r="A1851" t="s">
        <v>8440</v>
      </c>
    </row>
    <row r="1852" spans="1:1">
      <c r="A1852" t="s">
        <v>8445</v>
      </c>
    </row>
    <row r="1853" spans="1:1">
      <c r="A1853" t="s">
        <v>8450</v>
      </c>
    </row>
    <row r="1854" spans="1:1">
      <c r="A1854" t="s">
        <v>8455</v>
      </c>
    </row>
    <row r="1855" spans="1:1">
      <c r="A1855" t="s">
        <v>8460</v>
      </c>
    </row>
    <row r="1856" spans="1:1">
      <c r="A1856" t="s">
        <v>8465</v>
      </c>
    </row>
    <row r="1857" spans="1:1">
      <c r="A1857" t="s">
        <v>8469</v>
      </c>
    </row>
    <row r="1858" spans="1:1">
      <c r="A1858" t="s">
        <v>8473</v>
      </c>
    </row>
    <row r="1859" spans="1:1">
      <c r="A1859" t="s">
        <v>8477</v>
      </c>
    </row>
    <row r="1860" spans="1:1">
      <c r="A1860" t="s">
        <v>8482</v>
      </c>
    </row>
    <row r="1861" spans="1:1">
      <c r="A1861" t="s">
        <v>8486</v>
      </c>
    </row>
    <row r="1862" spans="1:1">
      <c r="A1862" t="s">
        <v>8492</v>
      </c>
    </row>
    <row r="1863" spans="1:1">
      <c r="A1863" t="s">
        <v>8497</v>
      </c>
    </row>
    <row r="1864" spans="1:1">
      <c r="A1864" t="s">
        <v>8502</v>
      </c>
    </row>
    <row r="1865" spans="1:1">
      <c r="A1865" t="s">
        <v>8506</v>
      </c>
    </row>
    <row r="1866" spans="1:1">
      <c r="A1866" t="s">
        <v>8511</v>
      </c>
    </row>
    <row r="1867" spans="1:1">
      <c r="A1867" t="s">
        <v>8516</v>
      </c>
    </row>
    <row r="1868" spans="1:1">
      <c r="A1868" t="s">
        <v>8520</v>
      </c>
    </row>
    <row r="1869" spans="1:1">
      <c r="A1869" t="s">
        <v>8525</v>
      </c>
    </row>
    <row r="1870" spans="1:1">
      <c r="A1870" t="s">
        <v>8529</v>
      </c>
    </row>
    <row r="1871" spans="1:1">
      <c r="A1871" t="s">
        <v>8533</v>
      </c>
    </row>
    <row r="1872" spans="1:1">
      <c r="A1872" t="s">
        <v>8538</v>
      </c>
    </row>
    <row r="1873" spans="1:1">
      <c r="A1873" t="s">
        <v>8542</v>
      </c>
    </row>
    <row r="1874" spans="1:1">
      <c r="A1874" t="s">
        <v>8547</v>
      </c>
    </row>
    <row r="1875" spans="1:1">
      <c r="A1875" t="s">
        <v>8551</v>
      </c>
    </row>
    <row r="1876" spans="1:1">
      <c r="A1876" t="s">
        <v>8555</v>
      </c>
    </row>
    <row r="1877" spans="1:1">
      <c r="A1877" t="s">
        <v>8560</v>
      </c>
    </row>
    <row r="1878" spans="1:1">
      <c r="A1878" t="s">
        <v>8565</v>
      </c>
    </row>
    <row r="1879" spans="1:1">
      <c r="A1879" t="s">
        <v>8569</v>
      </c>
    </row>
    <row r="1880" spans="1:1">
      <c r="A1880" t="s">
        <v>8574</v>
      </c>
    </row>
    <row r="1881" spans="1:1">
      <c r="A1881" t="s">
        <v>8578</v>
      </c>
    </row>
    <row r="1882" spans="1:1">
      <c r="A1882" t="s">
        <v>8582</v>
      </c>
    </row>
    <row r="1883" spans="1:1">
      <c r="A1883" t="s">
        <v>8587</v>
      </c>
    </row>
    <row r="1884" spans="1:1">
      <c r="A1884" t="s">
        <v>8592</v>
      </c>
    </row>
    <row r="1885" spans="1:1">
      <c r="A1885" t="s">
        <v>8596</v>
      </c>
    </row>
    <row r="1886" spans="1:1">
      <c r="A1886" t="s">
        <v>8600</v>
      </c>
    </row>
    <row r="1887" spans="1:1">
      <c r="A1887" t="s">
        <v>8605</v>
      </c>
    </row>
    <row r="1888" spans="1:1">
      <c r="A1888" t="s">
        <v>8610</v>
      </c>
    </row>
    <row r="1889" spans="1:1">
      <c r="A1889" t="s">
        <v>8615</v>
      </c>
    </row>
    <row r="1890" spans="1:1">
      <c r="A1890" t="s">
        <v>8619</v>
      </c>
    </row>
    <row r="1891" spans="1:1">
      <c r="A1891" t="s">
        <v>8623</v>
      </c>
    </row>
    <row r="1892" spans="1:1">
      <c r="A1892" t="s">
        <v>8627</v>
      </c>
    </row>
    <row r="1893" spans="1:1">
      <c r="A1893" t="s">
        <v>8632</v>
      </c>
    </row>
    <row r="1894" spans="1:1">
      <c r="A1894" t="s">
        <v>8636</v>
      </c>
    </row>
    <row r="1895" spans="1:1">
      <c r="A1895" t="s">
        <v>8641</v>
      </c>
    </row>
    <row r="1896" spans="1:1">
      <c r="A1896" t="s">
        <v>8645</v>
      </c>
    </row>
    <row r="1897" spans="1:1">
      <c r="A1897" t="s">
        <v>8649</v>
      </c>
    </row>
    <row r="1898" spans="1:1">
      <c r="A1898" t="s">
        <v>8653</v>
      </c>
    </row>
    <row r="1899" spans="1:1">
      <c r="A1899" t="s">
        <v>8657</v>
      </c>
    </row>
    <row r="1900" spans="1:1">
      <c r="A1900" t="s">
        <v>8662</v>
      </c>
    </row>
    <row r="1901" spans="1:1">
      <c r="A1901" t="s">
        <v>8667</v>
      </c>
    </row>
    <row r="1902" spans="1:1">
      <c r="A1902" t="s">
        <v>8672</v>
      </c>
    </row>
    <row r="1903" spans="1:1">
      <c r="A1903" t="s">
        <v>8677</v>
      </c>
    </row>
    <row r="1904" spans="1:1">
      <c r="A1904" t="s">
        <v>8681</v>
      </c>
    </row>
    <row r="1905" spans="1:1">
      <c r="A1905" t="s">
        <v>8685</v>
      </c>
    </row>
    <row r="1906" spans="1:1">
      <c r="A1906" t="s">
        <v>8689</v>
      </c>
    </row>
    <row r="1907" spans="1:1">
      <c r="A1907" t="s">
        <v>8693</v>
      </c>
    </row>
    <row r="1908" spans="1:1">
      <c r="A1908" t="s">
        <v>8697</v>
      </c>
    </row>
    <row r="1909" spans="1:1">
      <c r="A1909" t="s">
        <v>8702</v>
      </c>
    </row>
    <row r="1910" spans="1:1">
      <c r="A1910" t="s">
        <v>8706</v>
      </c>
    </row>
    <row r="1911" spans="1:1">
      <c r="A1911" t="s">
        <v>8710</v>
      </c>
    </row>
    <row r="1912" spans="1:1">
      <c r="A1912" t="s">
        <v>8714</v>
      </c>
    </row>
    <row r="1913" spans="1:1">
      <c r="A1913" t="s">
        <v>8718</v>
      </c>
    </row>
    <row r="1914" spans="1:1">
      <c r="A1914" t="s">
        <v>8722</v>
      </c>
    </row>
    <row r="1915" spans="1:1">
      <c r="A1915" t="s">
        <v>8726</v>
      </c>
    </row>
    <row r="1916" spans="1:1">
      <c r="A1916" t="s">
        <v>8731</v>
      </c>
    </row>
    <row r="1917" spans="1:1">
      <c r="A1917" t="s">
        <v>8736</v>
      </c>
    </row>
    <row r="1918" spans="1:1">
      <c r="A1918" t="s">
        <v>8741</v>
      </c>
    </row>
    <row r="1919" spans="1:1">
      <c r="A1919" t="s">
        <v>8746</v>
      </c>
    </row>
    <row r="1920" spans="1:1">
      <c r="A1920" t="s">
        <v>8751</v>
      </c>
    </row>
    <row r="1921" spans="1:1">
      <c r="A1921" t="s">
        <v>8755</v>
      </c>
    </row>
    <row r="1922" spans="1:1">
      <c r="A1922" t="s">
        <v>8759</v>
      </c>
    </row>
    <row r="1923" spans="1:1">
      <c r="A1923" t="s">
        <v>8763</v>
      </c>
    </row>
    <row r="1924" spans="1:1">
      <c r="A1924" t="s">
        <v>8768</v>
      </c>
    </row>
    <row r="1925" spans="1:1">
      <c r="A1925" t="s">
        <v>8773</v>
      </c>
    </row>
    <row r="1926" spans="1:1">
      <c r="A1926" t="s">
        <v>8778</v>
      </c>
    </row>
    <row r="1927" spans="1:1">
      <c r="A1927" t="s">
        <v>8783</v>
      </c>
    </row>
    <row r="1928" spans="1:1">
      <c r="A1928" t="s">
        <v>8787</v>
      </c>
    </row>
    <row r="1929" spans="1:1">
      <c r="A1929" t="s">
        <v>8792</v>
      </c>
    </row>
    <row r="1930" spans="1:1">
      <c r="A1930" t="s">
        <v>8797</v>
      </c>
    </row>
    <row r="1931" spans="1:1">
      <c r="A1931" t="s">
        <v>8802</v>
      </c>
    </row>
    <row r="1932" spans="1:1">
      <c r="A1932" t="s">
        <v>8807</v>
      </c>
    </row>
    <row r="1933" spans="1:1">
      <c r="A1933" t="s">
        <v>8811</v>
      </c>
    </row>
    <row r="1934" spans="1:1">
      <c r="A1934" t="s">
        <v>8815</v>
      </c>
    </row>
    <row r="1935" spans="1:1">
      <c r="A1935" t="s">
        <v>8819</v>
      </c>
    </row>
    <row r="1936" spans="1:1">
      <c r="A1936" t="s">
        <v>8824</v>
      </c>
    </row>
    <row r="1937" spans="1:1">
      <c r="A1937" t="s">
        <v>8829</v>
      </c>
    </row>
    <row r="1938" spans="1:1">
      <c r="A1938" t="s">
        <v>8834</v>
      </c>
    </row>
    <row r="1939" spans="1:1">
      <c r="A1939" t="s">
        <v>8838</v>
      </c>
    </row>
    <row r="1940" spans="1:1">
      <c r="A1940" t="s">
        <v>8842</v>
      </c>
    </row>
    <row r="1941" spans="1:1">
      <c r="A1941" t="s">
        <v>8846</v>
      </c>
    </row>
    <row r="1942" spans="1:1">
      <c r="A1942" t="s">
        <v>8851</v>
      </c>
    </row>
    <row r="1943" spans="1:1">
      <c r="A1943" t="s">
        <v>8856</v>
      </c>
    </row>
    <row r="1944" spans="1:1">
      <c r="A1944" t="s">
        <v>8861</v>
      </c>
    </row>
    <row r="1945" spans="1:1">
      <c r="A1945" t="s">
        <v>8865</v>
      </c>
    </row>
    <row r="1946" spans="1:1">
      <c r="A1946" t="s">
        <v>8870</v>
      </c>
    </row>
    <row r="1947" spans="1:1">
      <c r="A1947" t="s">
        <v>8874</v>
      </c>
    </row>
    <row r="1948" spans="1:1">
      <c r="A1948" t="s">
        <v>8879</v>
      </c>
    </row>
    <row r="1949" spans="1:1">
      <c r="A1949" t="s">
        <v>8884</v>
      </c>
    </row>
    <row r="1950" spans="1:1">
      <c r="A1950" t="s">
        <v>8888</v>
      </c>
    </row>
    <row r="1951" spans="1:1">
      <c r="A1951" t="s">
        <v>8892</v>
      </c>
    </row>
    <row r="1952" spans="1:1">
      <c r="A1952" t="s">
        <v>8896</v>
      </c>
    </row>
    <row r="1953" spans="1:1">
      <c r="A1953" t="s">
        <v>8901</v>
      </c>
    </row>
    <row r="1954" spans="1:1">
      <c r="A1954" t="s">
        <v>8905</v>
      </c>
    </row>
    <row r="1955" spans="1:1">
      <c r="A1955" t="s">
        <v>8910</v>
      </c>
    </row>
    <row r="1956" spans="1:1">
      <c r="A1956" t="s">
        <v>8915</v>
      </c>
    </row>
    <row r="1957" spans="1:1">
      <c r="A1957" t="s">
        <v>8920</v>
      </c>
    </row>
    <row r="1958" spans="1:1">
      <c r="A1958" t="s">
        <v>8925</v>
      </c>
    </row>
    <row r="1959" spans="1:1">
      <c r="A1959" t="s">
        <v>8930</v>
      </c>
    </row>
    <row r="1960" spans="1:1">
      <c r="A1960" t="s">
        <v>8935</v>
      </c>
    </row>
    <row r="1961" spans="1:1">
      <c r="A1961" t="s">
        <v>8940</v>
      </c>
    </row>
    <row r="1962" spans="1:1">
      <c r="A1962" t="s">
        <v>8944</v>
      </c>
    </row>
    <row r="1963" spans="1:1">
      <c r="A1963" t="s">
        <v>8949</v>
      </c>
    </row>
    <row r="1964" spans="1:1">
      <c r="A1964" t="s">
        <v>8954</v>
      </c>
    </row>
    <row r="1965" spans="1:1">
      <c r="A1965" t="s">
        <v>8958</v>
      </c>
    </row>
    <row r="1966" spans="1:1">
      <c r="A1966" t="s">
        <v>8963</v>
      </c>
    </row>
    <row r="1967" spans="1:1">
      <c r="A1967" t="s">
        <v>8967</v>
      </c>
    </row>
    <row r="1968" spans="1:1">
      <c r="A1968" t="s">
        <v>8972</v>
      </c>
    </row>
    <row r="1969" spans="1:1">
      <c r="A1969" t="s">
        <v>8977</v>
      </c>
    </row>
    <row r="1970" spans="1:1">
      <c r="A1970" t="s">
        <v>8981</v>
      </c>
    </row>
    <row r="1971" spans="1:1">
      <c r="A1971" t="s">
        <v>8986</v>
      </c>
    </row>
    <row r="1972" spans="1:1">
      <c r="A1972" t="s">
        <v>8990</v>
      </c>
    </row>
    <row r="1973" spans="1:1">
      <c r="A1973" t="s">
        <v>8995</v>
      </c>
    </row>
    <row r="1974" spans="1:1">
      <c r="A1974" t="s">
        <v>9000</v>
      </c>
    </row>
    <row r="1975" spans="1:1">
      <c r="A1975" t="s">
        <v>9005</v>
      </c>
    </row>
    <row r="1976" spans="1:1">
      <c r="A1976" t="s">
        <v>9009</v>
      </c>
    </row>
    <row r="1977" spans="1:1">
      <c r="A1977" t="s">
        <v>9013</v>
      </c>
    </row>
    <row r="1978" spans="1:1">
      <c r="A1978" t="s">
        <v>9017</v>
      </c>
    </row>
    <row r="1979" spans="1:1">
      <c r="A1979" t="s">
        <v>9021</v>
      </c>
    </row>
    <row r="1980" spans="1:1">
      <c r="A1980" t="s">
        <v>9026</v>
      </c>
    </row>
    <row r="1981" spans="1:1">
      <c r="A1981" t="s">
        <v>9031</v>
      </c>
    </row>
    <row r="1982" spans="1:1">
      <c r="A1982" t="s">
        <v>9036</v>
      </c>
    </row>
    <row r="1983" spans="1:1">
      <c r="A1983" t="s">
        <v>9041</v>
      </c>
    </row>
    <row r="1984" spans="1:1">
      <c r="A1984" t="s">
        <v>9046</v>
      </c>
    </row>
    <row r="1985" spans="1:1">
      <c r="A1985" t="s">
        <v>9051</v>
      </c>
    </row>
    <row r="1986" spans="1:1">
      <c r="A1986" t="s">
        <v>9056</v>
      </c>
    </row>
    <row r="1987" spans="1:1">
      <c r="A1987" t="s">
        <v>9061</v>
      </c>
    </row>
    <row r="1988" spans="1:1">
      <c r="A1988" t="s">
        <v>9066</v>
      </c>
    </row>
    <row r="1989" spans="1:1">
      <c r="A1989" t="s">
        <v>9071</v>
      </c>
    </row>
    <row r="1990" spans="1:1">
      <c r="A1990" t="s">
        <v>9077</v>
      </c>
    </row>
    <row r="1991" spans="1:1">
      <c r="A1991" t="s">
        <v>9081</v>
      </c>
    </row>
    <row r="1992" spans="1:1">
      <c r="A1992" t="s">
        <v>9086</v>
      </c>
    </row>
    <row r="1993" spans="1:1">
      <c r="A1993" t="s">
        <v>9090</v>
      </c>
    </row>
    <row r="1994" spans="1:1">
      <c r="A1994" t="s">
        <v>9094</v>
      </c>
    </row>
    <row r="1995" spans="1:1">
      <c r="A1995" t="s">
        <v>9098</v>
      </c>
    </row>
    <row r="1996" spans="1:1">
      <c r="A1996" t="s">
        <v>9102</v>
      </c>
    </row>
    <row r="1997" spans="1:1">
      <c r="A1997" t="s">
        <v>9107</v>
      </c>
    </row>
    <row r="1998" spans="1:1">
      <c r="A1998" t="s">
        <v>9112</v>
      </c>
    </row>
    <row r="1999" spans="1:1">
      <c r="A1999" t="s">
        <v>9116</v>
      </c>
    </row>
    <row r="2000" spans="1:1">
      <c r="A2000" t="s">
        <v>9121</v>
      </c>
    </row>
    <row r="2001" spans="1:1">
      <c r="A2001" t="s">
        <v>9125</v>
      </c>
    </row>
    <row r="2002" spans="1:1">
      <c r="A2002" t="s">
        <v>9130</v>
      </c>
    </row>
    <row r="2003" spans="1:1">
      <c r="A2003" t="s">
        <v>9135</v>
      </c>
    </row>
    <row r="2004" spans="1:1">
      <c r="A2004" t="s">
        <v>9140</v>
      </c>
    </row>
    <row r="2005" spans="1:1">
      <c r="A2005" t="s">
        <v>9144</v>
      </c>
    </row>
    <row r="2006" spans="1:1">
      <c r="A2006" t="s">
        <v>9149</v>
      </c>
    </row>
    <row r="2007" spans="1:1">
      <c r="A2007" t="s">
        <v>9154</v>
      </c>
    </row>
    <row r="2008" spans="1:1">
      <c r="A2008" t="s">
        <v>9158</v>
      </c>
    </row>
    <row r="2009" spans="1:1">
      <c r="A2009" t="s">
        <v>9163</v>
      </c>
    </row>
    <row r="2010" spans="1:1">
      <c r="A2010" t="s">
        <v>9168</v>
      </c>
    </row>
    <row r="2011" spans="1:1">
      <c r="A2011" t="s">
        <v>9173</v>
      </c>
    </row>
    <row r="2012" spans="1:1">
      <c r="A2012" t="s">
        <v>9178</v>
      </c>
    </row>
    <row r="2013" spans="1:1">
      <c r="A2013" t="s">
        <v>9183</v>
      </c>
    </row>
    <row r="2014" spans="1:1">
      <c r="A2014" t="s">
        <v>9188</v>
      </c>
    </row>
    <row r="2015" spans="1:1">
      <c r="A2015" t="s">
        <v>9193</v>
      </c>
    </row>
    <row r="2016" spans="1:1">
      <c r="A2016" t="s">
        <v>9198</v>
      </c>
    </row>
    <row r="2017" spans="1:1">
      <c r="A2017" t="s">
        <v>9203</v>
      </c>
    </row>
    <row r="2018" spans="1:1">
      <c r="A2018" t="s">
        <v>9208</v>
      </c>
    </row>
    <row r="2019" spans="1:1">
      <c r="A2019" t="s">
        <v>9212</v>
      </c>
    </row>
    <row r="2020" spans="1:1">
      <c r="A2020" t="s">
        <v>9216</v>
      </c>
    </row>
    <row r="2021" spans="1:1">
      <c r="A2021" t="s">
        <v>9221</v>
      </c>
    </row>
    <row r="2022" spans="1:1">
      <c r="A2022" t="s">
        <v>9226</v>
      </c>
    </row>
    <row r="2023" spans="1:1">
      <c r="A2023" t="s">
        <v>9231</v>
      </c>
    </row>
    <row r="2024" spans="1:1">
      <c r="A2024" t="s">
        <v>9236</v>
      </c>
    </row>
    <row r="2025" spans="1:1">
      <c r="A2025" t="s">
        <v>9240</v>
      </c>
    </row>
    <row r="2026" spans="1:1">
      <c r="A2026" t="s">
        <v>9245</v>
      </c>
    </row>
    <row r="2027" spans="1:1">
      <c r="A2027" t="s">
        <v>9250</v>
      </c>
    </row>
    <row r="2028" spans="1:1">
      <c r="A2028" t="s">
        <v>9255</v>
      </c>
    </row>
    <row r="2029" spans="1:1">
      <c r="A2029" t="s">
        <v>9260</v>
      </c>
    </row>
    <row r="2030" spans="1:1">
      <c r="A2030" t="s">
        <v>9264</v>
      </c>
    </row>
    <row r="2031" spans="1:1">
      <c r="A2031" t="s">
        <v>9269</v>
      </c>
    </row>
    <row r="2032" spans="1:1">
      <c r="A2032" t="s">
        <v>9274</v>
      </c>
    </row>
    <row r="2033" spans="1:1">
      <c r="A2033" t="s">
        <v>9278</v>
      </c>
    </row>
    <row r="2034" spans="1:1">
      <c r="A2034" t="s">
        <v>9282</v>
      </c>
    </row>
    <row r="2035" spans="1:1">
      <c r="A2035" t="s">
        <v>9286</v>
      </c>
    </row>
    <row r="2036" spans="1:1">
      <c r="A2036" t="s">
        <v>9291</v>
      </c>
    </row>
    <row r="2037" spans="1:1">
      <c r="A2037" t="s">
        <v>9296</v>
      </c>
    </row>
    <row r="2038" spans="1:1">
      <c r="A2038" t="s">
        <v>9301</v>
      </c>
    </row>
    <row r="2039" spans="1:1">
      <c r="A2039" t="s">
        <v>9305</v>
      </c>
    </row>
    <row r="2040" spans="1:1">
      <c r="A2040" t="s">
        <v>9310</v>
      </c>
    </row>
    <row r="2041" spans="1:1">
      <c r="A2041" t="s">
        <v>9314</v>
      </c>
    </row>
    <row r="2042" spans="1:1">
      <c r="A2042" t="s">
        <v>9318</v>
      </c>
    </row>
    <row r="2043" spans="1:1">
      <c r="A2043" t="s">
        <v>9322</v>
      </c>
    </row>
    <row r="2044" spans="1:1">
      <c r="A2044" t="s">
        <v>9326</v>
      </c>
    </row>
    <row r="2045" spans="1:1">
      <c r="A2045" t="s">
        <v>9330</v>
      </c>
    </row>
    <row r="2046" spans="1:1">
      <c r="A2046" t="s">
        <v>9334</v>
      </c>
    </row>
    <row r="2047" spans="1:1">
      <c r="A2047" t="s">
        <v>9338</v>
      </c>
    </row>
    <row r="2048" spans="1:1">
      <c r="A2048" t="s">
        <v>9343</v>
      </c>
    </row>
    <row r="2049" spans="1:1">
      <c r="A2049" t="s">
        <v>9348</v>
      </c>
    </row>
    <row r="2050" spans="1:1">
      <c r="A2050" t="s">
        <v>9353</v>
      </c>
    </row>
    <row r="2051" spans="1:1">
      <c r="A2051" t="s">
        <v>9357</v>
      </c>
    </row>
    <row r="2052" spans="1:1">
      <c r="A2052" t="s">
        <v>9362</v>
      </c>
    </row>
    <row r="2053" spans="1:1">
      <c r="A2053" t="s">
        <v>9367</v>
      </c>
    </row>
    <row r="2054" spans="1:1">
      <c r="A2054" t="s">
        <v>9372</v>
      </c>
    </row>
    <row r="2055" spans="1:1">
      <c r="A2055" t="s">
        <v>9376</v>
      </c>
    </row>
    <row r="2056" spans="1:1">
      <c r="A2056" t="s">
        <v>9380</v>
      </c>
    </row>
    <row r="2057" spans="1:1">
      <c r="A2057" t="s">
        <v>9385</v>
      </c>
    </row>
    <row r="2058" spans="1:1">
      <c r="A2058" t="s">
        <v>9389</v>
      </c>
    </row>
    <row r="2059" spans="1:1">
      <c r="A2059" t="s">
        <v>9393</v>
      </c>
    </row>
    <row r="2060" spans="1:1">
      <c r="A2060" t="s">
        <v>9397</v>
      </c>
    </row>
    <row r="2061" spans="1:1">
      <c r="A2061" t="s">
        <v>9402</v>
      </c>
    </row>
    <row r="2062" spans="1:1">
      <c r="A2062" t="s">
        <v>9406</v>
      </c>
    </row>
    <row r="2063" spans="1:1">
      <c r="A2063" t="s">
        <v>9410</v>
      </c>
    </row>
    <row r="2064" spans="1:1">
      <c r="A2064" t="s">
        <v>9415</v>
      </c>
    </row>
    <row r="2065" spans="1:1">
      <c r="A2065" t="s">
        <v>9419</v>
      </c>
    </row>
    <row r="2066" spans="1:1">
      <c r="A2066" t="s">
        <v>9423</v>
      </c>
    </row>
    <row r="2067" spans="1:1">
      <c r="A2067" t="s">
        <v>9427</v>
      </c>
    </row>
    <row r="2068" spans="1:1">
      <c r="A2068" t="s">
        <v>9431</v>
      </c>
    </row>
    <row r="2069" spans="1:1">
      <c r="A2069" t="s">
        <v>9435</v>
      </c>
    </row>
    <row r="2070" spans="1:1">
      <c r="A2070" t="s">
        <v>9439</v>
      </c>
    </row>
    <row r="2071" spans="1:1">
      <c r="A2071" t="s">
        <v>9444</v>
      </c>
    </row>
    <row r="2072" spans="1:1">
      <c r="A2072" t="s">
        <v>9448</v>
      </c>
    </row>
    <row r="2073" spans="1:1">
      <c r="A2073" t="s">
        <v>9452</v>
      </c>
    </row>
    <row r="2074" spans="1:1">
      <c r="A2074" t="s">
        <v>9457</v>
      </c>
    </row>
    <row r="2075" spans="1:1">
      <c r="A2075" t="s">
        <v>9462</v>
      </c>
    </row>
    <row r="2076" spans="1:1">
      <c r="A2076" t="s">
        <v>9466</v>
      </c>
    </row>
    <row r="2077" spans="1:1">
      <c r="A2077" t="s">
        <v>9471</v>
      </c>
    </row>
    <row r="2078" spans="1:1">
      <c r="A2078" t="s">
        <v>9475</v>
      </c>
    </row>
    <row r="2079" spans="1:1">
      <c r="A2079" t="s">
        <v>9480</v>
      </c>
    </row>
    <row r="2080" spans="1:1">
      <c r="A2080" t="s">
        <v>9485</v>
      </c>
    </row>
    <row r="2081" spans="1:1">
      <c r="A2081" t="s">
        <v>9490</v>
      </c>
    </row>
    <row r="2082" spans="1:1">
      <c r="A2082" t="s">
        <v>9494</v>
      </c>
    </row>
    <row r="2083" spans="1:1">
      <c r="A2083" t="s">
        <v>9498</v>
      </c>
    </row>
    <row r="2084" spans="1:1">
      <c r="A2084" t="s">
        <v>9503</v>
      </c>
    </row>
    <row r="2085" spans="1:1">
      <c r="A2085" t="s">
        <v>9508</v>
      </c>
    </row>
    <row r="2086" spans="1:1">
      <c r="A2086" t="s">
        <v>9512</v>
      </c>
    </row>
    <row r="2087" spans="1:1">
      <c r="A2087" t="s">
        <v>9516</v>
      </c>
    </row>
    <row r="2088" spans="1:1">
      <c r="A2088" t="s">
        <v>9520</v>
      </c>
    </row>
    <row r="2089" spans="1:1">
      <c r="A2089" t="s">
        <v>9525</v>
      </c>
    </row>
    <row r="2090" spans="1:1">
      <c r="A2090" t="s">
        <v>9529</v>
      </c>
    </row>
    <row r="2091" spans="1:1">
      <c r="A2091" t="s">
        <v>9534</v>
      </c>
    </row>
    <row r="2092" spans="1:1">
      <c r="A2092" t="s">
        <v>9539</v>
      </c>
    </row>
    <row r="2093" spans="1:1">
      <c r="A2093" t="s">
        <v>9543</v>
      </c>
    </row>
    <row r="2094" spans="1:1">
      <c r="A2094" t="s">
        <v>9548</v>
      </c>
    </row>
    <row r="2095" spans="1:1">
      <c r="A2095" t="s">
        <v>9553</v>
      </c>
    </row>
    <row r="2096" spans="1:1">
      <c r="A2096" t="s">
        <v>9558</v>
      </c>
    </row>
    <row r="2097" spans="1:1">
      <c r="A2097" t="s">
        <v>9562</v>
      </c>
    </row>
    <row r="2098" spans="1:1">
      <c r="A2098" t="s">
        <v>9567</v>
      </c>
    </row>
    <row r="2099" spans="1:1">
      <c r="A2099" t="s">
        <v>9571</v>
      </c>
    </row>
    <row r="2100" spans="1:1">
      <c r="A2100" t="s">
        <v>9576</v>
      </c>
    </row>
    <row r="2101" spans="1:1">
      <c r="A2101" t="s">
        <v>9581</v>
      </c>
    </row>
    <row r="2102" spans="1:1">
      <c r="A2102" t="s">
        <v>9585</v>
      </c>
    </row>
    <row r="2103" spans="1:1">
      <c r="A2103" t="s">
        <v>9589</v>
      </c>
    </row>
    <row r="2104" spans="1:1">
      <c r="A2104" t="s">
        <v>9594</v>
      </c>
    </row>
    <row r="2105" spans="1:1">
      <c r="A2105" t="s">
        <v>9599</v>
      </c>
    </row>
    <row r="2106" spans="1:1">
      <c r="A2106" t="s">
        <v>9603</v>
      </c>
    </row>
    <row r="2107" spans="1:1">
      <c r="A2107" t="s">
        <v>9608</v>
      </c>
    </row>
    <row r="2108" spans="1:1">
      <c r="A2108" t="s">
        <v>9612</v>
      </c>
    </row>
    <row r="2109" spans="1:1">
      <c r="A2109" t="s">
        <v>9616</v>
      </c>
    </row>
    <row r="2110" spans="1:1">
      <c r="A2110" t="s">
        <v>9621</v>
      </c>
    </row>
    <row r="2111" spans="1:1">
      <c r="A2111" t="s">
        <v>9626</v>
      </c>
    </row>
    <row r="2112" spans="1:1">
      <c r="A2112" t="s">
        <v>9631</v>
      </c>
    </row>
    <row r="2113" spans="1:1">
      <c r="A2113" t="s">
        <v>9636</v>
      </c>
    </row>
    <row r="2114" spans="1:1">
      <c r="A2114" t="s">
        <v>9641</v>
      </c>
    </row>
    <row r="2115" spans="1:1">
      <c r="A2115" t="s">
        <v>9645</v>
      </c>
    </row>
    <row r="2116" spans="1:1">
      <c r="A2116" t="s">
        <v>9650</v>
      </c>
    </row>
    <row r="2117" spans="1:1">
      <c r="A2117" t="s">
        <v>9654</v>
      </c>
    </row>
    <row r="2118" spans="1:1">
      <c r="A2118" t="s">
        <v>9659</v>
      </c>
    </row>
    <row r="2119" spans="1:1">
      <c r="A2119" t="s">
        <v>9664</v>
      </c>
    </row>
    <row r="2120" spans="1:1">
      <c r="A2120" t="s">
        <v>9669</v>
      </c>
    </row>
    <row r="2121" spans="1:1">
      <c r="A2121" t="s">
        <v>9673</v>
      </c>
    </row>
    <row r="2122" spans="1:1">
      <c r="A2122" t="s">
        <v>9677</v>
      </c>
    </row>
    <row r="2123" spans="1:1">
      <c r="A2123" t="s">
        <v>9681</v>
      </c>
    </row>
    <row r="2124" spans="1:1">
      <c r="A2124" t="s">
        <v>9685</v>
      </c>
    </row>
    <row r="2125" spans="1:1">
      <c r="A2125" t="s">
        <v>9690</v>
      </c>
    </row>
    <row r="2126" spans="1:1">
      <c r="A2126" t="s">
        <v>9695</v>
      </c>
    </row>
    <row r="2127" spans="1:1">
      <c r="A2127" t="s">
        <v>9699</v>
      </c>
    </row>
    <row r="2128" spans="1:1">
      <c r="A2128" t="s">
        <v>9704</v>
      </c>
    </row>
    <row r="2129" spans="1:1">
      <c r="A2129" t="s">
        <v>9709</v>
      </c>
    </row>
    <row r="2130" spans="1:1">
      <c r="A2130" t="s">
        <v>9713</v>
      </c>
    </row>
    <row r="2131" spans="1:1">
      <c r="A2131" t="s">
        <v>9717</v>
      </c>
    </row>
    <row r="2132" spans="1:1">
      <c r="A2132" t="s">
        <v>9721</v>
      </c>
    </row>
    <row r="2133" spans="1:1">
      <c r="A2133" t="s">
        <v>9726</v>
      </c>
    </row>
    <row r="2134" spans="1:1">
      <c r="A2134" t="s">
        <v>9731</v>
      </c>
    </row>
    <row r="2135" spans="1:1">
      <c r="A2135" t="s">
        <v>9735</v>
      </c>
    </row>
    <row r="2136" spans="1:1">
      <c r="A2136" t="s">
        <v>9739</v>
      </c>
    </row>
    <row r="2137" spans="1:1">
      <c r="A2137" t="s">
        <v>9744</v>
      </c>
    </row>
    <row r="2138" spans="1:1">
      <c r="A2138" t="s">
        <v>9749</v>
      </c>
    </row>
    <row r="2139" spans="1:1">
      <c r="A2139" t="s">
        <v>9753</v>
      </c>
    </row>
    <row r="2140" spans="1:1">
      <c r="A2140" t="s">
        <v>9757</v>
      </c>
    </row>
    <row r="2141" spans="1:1">
      <c r="A2141" t="s">
        <v>9761</v>
      </c>
    </row>
    <row r="2142" spans="1:1">
      <c r="A2142" t="s">
        <v>9765</v>
      </c>
    </row>
    <row r="2143" spans="1:1">
      <c r="A2143" t="s">
        <v>9769</v>
      </c>
    </row>
    <row r="2144" spans="1:1">
      <c r="A2144" t="s">
        <v>9774</v>
      </c>
    </row>
    <row r="2145" spans="1:1">
      <c r="A2145" t="s">
        <v>9778</v>
      </c>
    </row>
    <row r="2146" spans="1:1">
      <c r="A2146" t="s">
        <v>9782</v>
      </c>
    </row>
    <row r="2147" spans="1:1">
      <c r="A2147" t="s">
        <v>9787</v>
      </c>
    </row>
    <row r="2148" spans="1:1">
      <c r="A2148" t="s">
        <v>9791</v>
      </c>
    </row>
    <row r="2149" spans="1:1">
      <c r="A2149" t="s">
        <v>9795</v>
      </c>
    </row>
    <row r="2150" spans="1:1">
      <c r="A2150" t="s">
        <v>9800</v>
      </c>
    </row>
    <row r="2151" spans="1:1">
      <c r="A2151" t="s">
        <v>9805</v>
      </c>
    </row>
    <row r="2152" spans="1:1">
      <c r="A2152" t="s">
        <v>9810</v>
      </c>
    </row>
    <row r="2153" spans="1:1">
      <c r="A2153" t="s">
        <v>9814</v>
      </c>
    </row>
    <row r="2154" spans="1:1">
      <c r="A2154" t="s">
        <v>9818</v>
      </c>
    </row>
    <row r="2155" spans="1:1">
      <c r="A2155" t="s">
        <v>9822</v>
      </c>
    </row>
    <row r="2156" spans="1:1">
      <c r="A2156" t="s">
        <v>9827</v>
      </c>
    </row>
    <row r="2157" spans="1:1">
      <c r="A2157" t="s">
        <v>9831</v>
      </c>
    </row>
    <row r="2158" spans="1:1">
      <c r="A2158" t="s">
        <v>9835</v>
      </c>
    </row>
    <row r="2159" spans="1:1">
      <c r="A2159" t="s">
        <v>9839</v>
      </c>
    </row>
    <row r="2160" spans="1:1">
      <c r="A2160" t="s">
        <v>9844</v>
      </c>
    </row>
    <row r="2161" spans="1:1">
      <c r="A2161" t="s">
        <v>9849</v>
      </c>
    </row>
    <row r="2162" spans="1:1">
      <c r="A2162" t="s">
        <v>9853</v>
      </c>
    </row>
    <row r="2163" spans="1:1">
      <c r="A2163" t="s">
        <v>9857</v>
      </c>
    </row>
    <row r="2164" spans="1:1">
      <c r="A2164" t="s">
        <v>9862</v>
      </c>
    </row>
    <row r="2165" spans="1:1">
      <c r="A2165" t="s">
        <v>9867</v>
      </c>
    </row>
    <row r="2166" spans="1:1">
      <c r="A2166" t="s">
        <v>9872</v>
      </c>
    </row>
    <row r="2167" spans="1:1">
      <c r="A2167" t="s">
        <v>9877</v>
      </c>
    </row>
    <row r="2168" spans="1:1">
      <c r="A2168" t="s">
        <v>9882</v>
      </c>
    </row>
    <row r="2169" spans="1:1">
      <c r="A2169" t="s">
        <v>9886</v>
      </c>
    </row>
    <row r="2170" spans="1:1">
      <c r="A2170" t="s">
        <v>9891</v>
      </c>
    </row>
    <row r="2171" spans="1:1">
      <c r="A2171" t="s">
        <v>9896</v>
      </c>
    </row>
    <row r="2172" spans="1:1">
      <c r="A2172" t="s">
        <v>9901</v>
      </c>
    </row>
    <row r="2173" spans="1:1">
      <c r="A2173" t="s">
        <v>9906</v>
      </c>
    </row>
    <row r="2174" spans="1:1">
      <c r="A2174" t="s">
        <v>9910</v>
      </c>
    </row>
    <row r="2175" spans="1:1">
      <c r="A2175" t="s">
        <v>9914</v>
      </c>
    </row>
    <row r="2176" spans="1:1">
      <c r="A2176" t="s">
        <v>9918</v>
      </c>
    </row>
    <row r="2177" spans="1:1">
      <c r="A2177" t="s">
        <v>9923</v>
      </c>
    </row>
    <row r="2178" spans="1:1">
      <c r="A2178" t="s">
        <v>9928</v>
      </c>
    </row>
    <row r="2179" spans="1:1">
      <c r="A2179" t="s">
        <v>9932</v>
      </c>
    </row>
    <row r="2180" spans="1:1">
      <c r="A2180" t="s">
        <v>9937</v>
      </c>
    </row>
    <row r="2181" spans="1:1">
      <c r="A2181" t="s">
        <v>9942</v>
      </c>
    </row>
    <row r="2182" spans="1:1">
      <c r="A2182" t="s">
        <v>9947</v>
      </c>
    </row>
    <row r="2183" spans="1:1">
      <c r="A2183" t="s">
        <v>9952</v>
      </c>
    </row>
    <row r="2184" spans="1:1">
      <c r="A2184" t="s">
        <v>9956</v>
      </c>
    </row>
    <row r="2185" spans="1:1">
      <c r="A2185" t="s">
        <v>9961</v>
      </c>
    </row>
    <row r="2186" spans="1:1">
      <c r="A2186" t="s">
        <v>9965</v>
      </c>
    </row>
    <row r="2187" spans="1:1">
      <c r="A2187" t="s">
        <v>9969</v>
      </c>
    </row>
    <row r="2188" spans="1:1">
      <c r="A2188" t="s">
        <v>9973</v>
      </c>
    </row>
    <row r="2189" spans="1:1">
      <c r="A2189" t="s">
        <v>9977</v>
      </c>
    </row>
    <row r="2190" spans="1:1">
      <c r="A2190" t="s">
        <v>9982</v>
      </c>
    </row>
    <row r="2191" spans="1:1">
      <c r="A2191" t="s">
        <v>9986</v>
      </c>
    </row>
    <row r="2192" spans="1:1">
      <c r="A2192" t="s">
        <v>9990</v>
      </c>
    </row>
    <row r="2193" spans="1:1">
      <c r="A2193" t="s">
        <v>9994</v>
      </c>
    </row>
    <row r="2194" spans="1:1">
      <c r="A2194" t="s">
        <v>9998</v>
      </c>
    </row>
    <row r="2195" spans="1:1">
      <c r="A2195" t="s">
        <v>10002</v>
      </c>
    </row>
    <row r="2196" spans="1:1">
      <c r="A2196" t="s">
        <v>10007</v>
      </c>
    </row>
    <row r="2197" spans="1:1">
      <c r="A2197" t="s">
        <v>10011</v>
      </c>
    </row>
    <row r="2198" spans="1:1">
      <c r="A2198" t="s">
        <v>10016</v>
      </c>
    </row>
    <row r="2199" spans="1:1">
      <c r="A2199" t="s">
        <v>10020</v>
      </c>
    </row>
    <row r="2200" spans="1:1">
      <c r="A2200" t="s">
        <v>10024</v>
      </c>
    </row>
    <row r="2201" spans="1:1">
      <c r="A2201" t="s">
        <v>10028</v>
      </c>
    </row>
    <row r="2202" spans="1:1">
      <c r="A2202" t="s">
        <v>10032</v>
      </c>
    </row>
    <row r="2203" spans="1:1">
      <c r="A2203" t="s">
        <v>10037</v>
      </c>
    </row>
    <row r="2204" spans="1:1">
      <c r="A2204" t="s">
        <v>10041</v>
      </c>
    </row>
    <row r="2205" spans="1:1">
      <c r="A2205" t="s">
        <v>10045</v>
      </c>
    </row>
    <row r="2206" spans="1:1">
      <c r="A2206" t="s">
        <v>10049</v>
      </c>
    </row>
    <row r="2207" spans="1:1">
      <c r="A2207" t="s">
        <v>10053</v>
      </c>
    </row>
    <row r="2208" spans="1:1">
      <c r="A2208" t="s">
        <v>10058</v>
      </c>
    </row>
    <row r="2209" spans="1:1">
      <c r="A2209" t="s">
        <v>10062</v>
      </c>
    </row>
    <row r="2210" spans="1:1">
      <c r="A2210" t="s">
        <v>10066</v>
      </c>
    </row>
    <row r="2211" spans="1:1">
      <c r="A2211" t="s">
        <v>10070</v>
      </c>
    </row>
    <row r="2212" spans="1:1">
      <c r="A2212" t="s">
        <v>10075</v>
      </c>
    </row>
    <row r="2213" spans="1:1">
      <c r="A2213" t="s">
        <v>10080</v>
      </c>
    </row>
    <row r="2214" spans="1:1">
      <c r="A2214" t="s">
        <v>10085</v>
      </c>
    </row>
    <row r="2215" spans="1:1">
      <c r="A2215" t="s">
        <v>10089</v>
      </c>
    </row>
    <row r="2216" spans="1:1">
      <c r="A2216" t="s">
        <v>10094</v>
      </c>
    </row>
    <row r="2217" spans="1:1">
      <c r="A2217" t="s">
        <v>10099</v>
      </c>
    </row>
    <row r="2218" spans="1:1">
      <c r="A2218" t="s">
        <v>10104</v>
      </c>
    </row>
    <row r="2219" spans="1:1">
      <c r="A2219" t="s">
        <v>10108</v>
      </c>
    </row>
    <row r="2220" spans="1:1">
      <c r="A2220" t="s">
        <v>10112</v>
      </c>
    </row>
    <row r="2221" spans="1:1">
      <c r="A2221" t="s">
        <v>10116</v>
      </c>
    </row>
    <row r="2222" spans="1:1">
      <c r="A2222" t="s">
        <v>10120</v>
      </c>
    </row>
    <row r="2223" spans="1:1">
      <c r="A2223" t="s">
        <v>10124</v>
      </c>
    </row>
    <row r="2224" spans="1:1">
      <c r="A2224" t="s">
        <v>10128</v>
      </c>
    </row>
    <row r="2225" spans="1:1">
      <c r="A2225" t="s">
        <v>10132</v>
      </c>
    </row>
    <row r="2226" spans="1:1">
      <c r="A2226" t="s">
        <v>10137</v>
      </c>
    </row>
    <row r="2227" spans="1:1">
      <c r="A2227" t="s">
        <v>10141</v>
      </c>
    </row>
    <row r="2228" spans="1:1">
      <c r="A2228" t="s">
        <v>10145</v>
      </c>
    </row>
    <row r="2229" spans="1:1">
      <c r="A2229" t="s">
        <v>10149</v>
      </c>
    </row>
    <row r="2230" spans="1:1">
      <c r="A2230" t="s">
        <v>10153</v>
      </c>
    </row>
    <row r="2231" spans="1:1">
      <c r="A2231" t="s">
        <v>10157</v>
      </c>
    </row>
    <row r="2232" spans="1:1">
      <c r="A2232" t="s">
        <v>10161</v>
      </c>
    </row>
    <row r="2233" spans="1:1">
      <c r="A2233" t="s">
        <v>10165</v>
      </c>
    </row>
    <row r="2234" spans="1:1">
      <c r="A2234" t="s">
        <v>10169</v>
      </c>
    </row>
    <row r="2235" spans="1:1">
      <c r="A2235" t="s">
        <v>10174</v>
      </c>
    </row>
    <row r="2236" spans="1:1">
      <c r="A2236" t="s">
        <v>10178</v>
      </c>
    </row>
    <row r="2237" spans="1:1">
      <c r="A2237" t="s">
        <v>10182</v>
      </c>
    </row>
    <row r="2238" spans="1:1">
      <c r="A2238" t="s">
        <v>10187</v>
      </c>
    </row>
    <row r="2239" spans="1:1">
      <c r="A2239" t="s">
        <v>10192</v>
      </c>
    </row>
    <row r="2240" spans="1:1">
      <c r="A2240" t="s">
        <v>10196</v>
      </c>
    </row>
    <row r="2241" spans="1:1">
      <c r="A2241" t="s">
        <v>10200</v>
      </c>
    </row>
    <row r="2242" spans="1:1">
      <c r="A2242" t="s">
        <v>10204</v>
      </c>
    </row>
    <row r="2243" spans="1:1">
      <c r="A2243" t="s">
        <v>10209</v>
      </c>
    </row>
    <row r="2244" spans="1:1">
      <c r="A2244" t="s">
        <v>10214</v>
      </c>
    </row>
    <row r="2245" spans="1:1">
      <c r="A2245" t="s">
        <v>10218</v>
      </c>
    </row>
    <row r="2246" spans="1:1">
      <c r="A2246" t="s">
        <v>10223</v>
      </c>
    </row>
    <row r="2247" spans="1:1">
      <c r="A2247" t="s">
        <v>10228</v>
      </c>
    </row>
    <row r="2248" spans="1:1">
      <c r="A2248" t="s">
        <v>10232</v>
      </c>
    </row>
    <row r="2249" spans="1:1">
      <c r="A2249" t="s">
        <v>10236</v>
      </c>
    </row>
    <row r="2250" spans="1:1">
      <c r="A2250" t="s">
        <v>10241</v>
      </c>
    </row>
    <row r="2251" spans="1:1">
      <c r="A2251" t="s">
        <v>10246</v>
      </c>
    </row>
    <row r="2252" spans="1:1">
      <c r="A2252" t="s">
        <v>10251</v>
      </c>
    </row>
    <row r="2253" spans="1:1">
      <c r="A2253" t="s">
        <v>10255</v>
      </c>
    </row>
    <row r="2254" spans="1:1">
      <c r="A2254" t="s">
        <v>10260</v>
      </c>
    </row>
    <row r="2255" spans="1:1">
      <c r="A2255" t="s">
        <v>10264</v>
      </c>
    </row>
    <row r="2256" spans="1:1">
      <c r="A2256" t="s">
        <v>10269</v>
      </c>
    </row>
    <row r="2257" spans="1:1">
      <c r="A2257" t="s">
        <v>10274</v>
      </c>
    </row>
    <row r="2258" spans="1:1">
      <c r="A2258" t="s">
        <v>10279</v>
      </c>
    </row>
    <row r="2259" spans="1:1">
      <c r="A2259" t="s">
        <v>10284</v>
      </c>
    </row>
    <row r="2260" spans="1:1">
      <c r="A2260" t="s">
        <v>10288</v>
      </c>
    </row>
    <row r="2261" spans="1:1">
      <c r="A2261" t="s">
        <v>10293</v>
      </c>
    </row>
    <row r="2262" spans="1:1">
      <c r="A2262" t="s">
        <v>10297</v>
      </c>
    </row>
    <row r="2263" spans="1:1">
      <c r="A2263" t="s">
        <v>10301</v>
      </c>
    </row>
    <row r="2264" spans="1:1">
      <c r="A2264" t="s">
        <v>10305</v>
      </c>
    </row>
    <row r="2265" spans="1:1">
      <c r="A2265" t="s">
        <v>10309</v>
      </c>
    </row>
    <row r="2266" spans="1:1">
      <c r="A2266" t="s">
        <v>10314</v>
      </c>
    </row>
    <row r="2267" spans="1:1">
      <c r="A2267" t="s">
        <v>10318</v>
      </c>
    </row>
    <row r="2268" spans="1:1">
      <c r="A2268" t="s">
        <v>10322</v>
      </c>
    </row>
    <row r="2269" spans="1:1">
      <c r="A2269" t="s">
        <v>10326</v>
      </c>
    </row>
    <row r="2270" spans="1:1">
      <c r="A2270" t="s">
        <v>10331</v>
      </c>
    </row>
    <row r="2271" spans="1:1">
      <c r="A2271" t="s">
        <v>10335</v>
      </c>
    </row>
    <row r="2272" spans="1:1">
      <c r="A2272" t="s">
        <v>10339</v>
      </c>
    </row>
    <row r="2273" spans="1:1">
      <c r="A2273" t="s">
        <v>10343</v>
      </c>
    </row>
    <row r="2274" spans="1:1">
      <c r="A2274" t="s">
        <v>10348</v>
      </c>
    </row>
    <row r="2275" spans="1:1">
      <c r="A2275" t="s">
        <v>10353</v>
      </c>
    </row>
    <row r="2276" spans="1:1">
      <c r="A2276" t="s">
        <v>10357</v>
      </c>
    </row>
    <row r="2277" spans="1:1">
      <c r="A2277" t="s">
        <v>10361</v>
      </c>
    </row>
    <row r="2278" spans="1:1">
      <c r="A2278" t="s">
        <v>10365</v>
      </c>
    </row>
    <row r="2279" spans="1:1">
      <c r="A2279" t="s">
        <v>10369</v>
      </c>
    </row>
    <row r="2280" spans="1:1">
      <c r="A2280" t="s">
        <v>10374</v>
      </c>
    </row>
    <row r="2281" spans="1:1">
      <c r="A2281" t="s">
        <v>10378</v>
      </c>
    </row>
    <row r="2282" spans="1:1">
      <c r="A2282" t="s">
        <v>10382</v>
      </c>
    </row>
    <row r="2283" spans="1:1">
      <c r="A2283" t="s">
        <v>10386</v>
      </c>
    </row>
    <row r="2284" spans="1:1">
      <c r="A2284" t="s">
        <v>10390</v>
      </c>
    </row>
    <row r="2285" spans="1:1">
      <c r="A2285" t="s">
        <v>10394</v>
      </c>
    </row>
    <row r="2286" spans="1:1">
      <c r="A2286" t="s">
        <v>10398</v>
      </c>
    </row>
    <row r="2287" spans="1:1">
      <c r="A2287" t="s">
        <v>10402</v>
      </c>
    </row>
    <row r="2288" spans="1:1">
      <c r="A2288" t="s">
        <v>10407</v>
      </c>
    </row>
    <row r="2289" spans="1:1">
      <c r="A2289" t="s">
        <v>10412</v>
      </c>
    </row>
    <row r="2290" spans="1:1">
      <c r="A2290" t="s">
        <v>10416</v>
      </c>
    </row>
    <row r="2291" spans="1:1">
      <c r="A2291" t="s">
        <v>10421</v>
      </c>
    </row>
    <row r="2292" spans="1:1">
      <c r="A2292" t="s">
        <v>10425</v>
      </c>
    </row>
    <row r="2293" spans="1:1">
      <c r="A2293" t="s">
        <v>10429</v>
      </c>
    </row>
    <row r="2294" spans="1:1">
      <c r="A2294" t="s">
        <v>10434</v>
      </c>
    </row>
    <row r="2295" spans="1:1">
      <c r="A2295" t="s">
        <v>10439</v>
      </c>
    </row>
    <row r="2296" spans="1:1">
      <c r="A2296" t="s">
        <v>10444</v>
      </c>
    </row>
    <row r="2297" spans="1:1">
      <c r="A2297" t="s">
        <v>10448</v>
      </c>
    </row>
    <row r="2298" spans="1:1">
      <c r="A2298" t="s">
        <v>10452</v>
      </c>
    </row>
    <row r="2299" spans="1:1">
      <c r="A2299" t="s">
        <v>10457</v>
      </c>
    </row>
    <row r="2300" spans="1:1">
      <c r="A2300" t="s">
        <v>10461</v>
      </c>
    </row>
    <row r="2301" spans="1:1">
      <c r="A2301" t="s">
        <v>10465</v>
      </c>
    </row>
    <row r="2302" spans="1:1">
      <c r="A2302" t="s">
        <v>10470</v>
      </c>
    </row>
    <row r="2303" spans="1:1">
      <c r="A2303" t="s">
        <v>10474</v>
      </c>
    </row>
    <row r="2304" spans="1:1">
      <c r="A2304" t="s">
        <v>10479</v>
      </c>
    </row>
    <row r="2305" spans="1:1">
      <c r="A2305" t="s">
        <v>10483</v>
      </c>
    </row>
    <row r="2306" spans="1:1">
      <c r="A2306" t="s">
        <v>10487</v>
      </c>
    </row>
    <row r="2307" spans="1:1">
      <c r="A2307" t="s">
        <v>10491</v>
      </c>
    </row>
    <row r="2308" spans="1:1">
      <c r="A2308" t="s">
        <v>10496</v>
      </c>
    </row>
    <row r="2309" spans="1:1">
      <c r="A2309" t="s">
        <v>10500</v>
      </c>
    </row>
    <row r="2310" spans="1:1">
      <c r="A2310" t="s">
        <v>10504</v>
      </c>
    </row>
    <row r="2311" spans="1:1">
      <c r="A2311" t="s">
        <v>10508</v>
      </c>
    </row>
    <row r="2312" spans="1:1">
      <c r="A2312" t="s">
        <v>10513</v>
      </c>
    </row>
    <row r="2313" spans="1:1">
      <c r="A2313" t="s">
        <v>10517</v>
      </c>
    </row>
    <row r="2314" spans="1:1">
      <c r="A2314" t="s">
        <v>10522</v>
      </c>
    </row>
    <row r="2315" spans="1:1">
      <c r="A2315" t="s">
        <v>10526</v>
      </c>
    </row>
    <row r="2316" spans="1:1">
      <c r="A2316" t="s">
        <v>10530</v>
      </c>
    </row>
    <row r="2317" spans="1:1">
      <c r="A2317" t="s">
        <v>10535</v>
      </c>
    </row>
    <row r="2318" spans="1:1">
      <c r="A2318" t="s">
        <v>10540</v>
      </c>
    </row>
    <row r="2319" spans="1:1">
      <c r="A2319" t="s">
        <v>10544</v>
      </c>
    </row>
    <row r="2320" spans="1:1">
      <c r="A2320" t="s">
        <v>10548</v>
      </c>
    </row>
    <row r="2321" spans="1:1">
      <c r="A2321" t="s">
        <v>10552</v>
      </c>
    </row>
    <row r="2322" spans="1:1">
      <c r="A2322" t="s">
        <v>10557</v>
      </c>
    </row>
    <row r="2323" spans="1:1">
      <c r="A2323" t="s">
        <v>10561</v>
      </c>
    </row>
    <row r="2324" spans="1:1">
      <c r="A2324" t="s">
        <v>10565</v>
      </c>
    </row>
    <row r="2325" spans="1:1">
      <c r="A2325" t="s">
        <v>10570</v>
      </c>
    </row>
    <row r="2326" spans="1:1">
      <c r="A2326" t="s">
        <v>10574</v>
      </c>
    </row>
    <row r="2327" spans="1:1">
      <c r="A2327" t="s">
        <v>10578</v>
      </c>
    </row>
    <row r="2328" spans="1:1">
      <c r="A2328" t="s">
        <v>10583</v>
      </c>
    </row>
    <row r="2329" spans="1:1">
      <c r="A2329" t="s">
        <v>10587</v>
      </c>
    </row>
    <row r="2330" spans="1:1">
      <c r="A2330" t="s">
        <v>10591</v>
      </c>
    </row>
    <row r="2331" spans="1:1">
      <c r="A2331" t="s">
        <v>10596</v>
      </c>
    </row>
    <row r="2332" spans="1:1">
      <c r="A2332" t="s">
        <v>10600</v>
      </c>
    </row>
    <row r="2333" spans="1:1">
      <c r="A2333" t="s">
        <v>10604</v>
      </c>
    </row>
    <row r="2334" spans="1:1">
      <c r="A2334" t="s">
        <v>10608</v>
      </c>
    </row>
    <row r="2335" spans="1:1">
      <c r="A2335" t="s">
        <v>10612</v>
      </c>
    </row>
    <row r="2336" spans="1:1">
      <c r="A2336" t="s">
        <v>10616</v>
      </c>
    </row>
    <row r="2337" spans="1:1">
      <c r="A2337" t="s">
        <v>10620</v>
      </c>
    </row>
    <row r="2338" spans="1:1">
      <c r="A2338" t="s">
        <v>10624</v>
      </c>
    </row>
    <row r="2339" spans="1:1">
      <c r="A2339" t="s">
        <v>10629</v>
      </c>
    </row>
    <row r="2340" spans="1:1">
      <c r="A2340" t="s">
        <v>10633</v>
      </c>
    </row>
    <row r="2341" spans="1:1">
      <c r="A2341" t="s">
        <v>10637</v>
      </c>
    </row>
    <row r="2342" spans="1:1">
      <c r="A2342" t="s">
        <v>10641</v>
      </c>
    </row>
    <row r="2343" spans="1:1">
      <c r="A2343" t="s">
        <v>10645</v>
      </c>
    </row>
    <row r="2344" spans="1:1">
      <c r="A2344" t="s">
        <v>10650</v>
      </c>
    </row>
    <row r="2345" spans="1:1">
      <c r="A2345" t="s">
        <v>10654</v>
      </c>
    </row>
    <row r="2346" spans="1:1">
      <c r="A2346" t="s">
        <v>10658</v>
      </c>
    </row>
    <row r="2347" spans="1:1">
      <c r="A2347" t="s">
        <v>10662</v>
      </c>
    </row>
    <row r="2348" spans="1:1">
      <c r="A2348" t="s">
        <v>10666</v>
      </c>
    </row>
    <row r="2349" spans="1:1">
      <c r="A2349" t="s">
        <v>10671</v>
      </c>
    </row>
    <row r="2350" spans="1:1">
      <c r="A2350" t="s">
        <v>10675</v>
      </c>
    </row>
    <row r="2351" spans="1:1">
      <c r="A2351" t="s">
        <v>10679</v>
      </c>
    </row>
    <row r="2352" spans="1:1">
      <c r="A2352" t="s">
        <v>10683</v>
      </c>
    </row>
    <row r="2353" spans="1:1">
      <c r="A2353" t="s">
        <v>10688</v>
      </c>
    </row>
    <row r="2354" spans="1:1">
      <c r="A2354" t="s">
        <v>10692</v>
      </c>
    </row>
    <row r="2355" spans="1:1">
      <c r="A2355" t="s">
        <v>10696</v>
      </c>
    </row>
    <row r="2356" spans="1:1">
      <c r="A2356" t="s">
        <v>10700</v>
      </c>
    </row>
    <row r="2357" spans="1:1">
      <c r="A2357" t="s">
        <v>10704</v>
      </c>
    </row>
    <row r="2358" spans="1:1">
      <c r="A2358" t="s">
        <v>10708</v>
      </c>
    </row>
    <row r="2359" spans="1:1">
      <c r="A2359" t="s">
        <v>10713</v>
      </c>
    </row>
    <row r="2360" spans="1:1">
      <c r="A2360" t="s">
        <v>10717</v>
      </c>
    </row>
    <row r="2361" spans="1:1">
      <c r="A2361" t="s">
        <v>10721</v>
      </c>
    </row>
    <row r="2362" spans="1:1">
      <c r="A2362" t="s">
        <v>10726</v>
      </c>
    </row>
    <row r="2363" spans="1:1">
      <c r="A2363" t="s">
        <v>10730</v>
      </c>
    </row>
    <row r="2364" spans="1:1">
      <c r="A2364" t="s">
        <v>10735</v>
      </c>
    </row>
    <row r="2365" spans="1:1">
      <c r="A2365" t="s">
        <v>10739</v>
      </c>
    </row>
    <row r="2366" spans="1:1">
      <c r="A2366" t="s">
        <v>10744</v>
      </c>
    </row>
    <row r="2367" spans="1:1">
      <c r="A2367" t="s">
        <v>10748</v>
      </c>
    </row>
    <row r="2368" spans="1:1">
      <c r="A2368" t="s">
        <v>10752</v>
      </c>
    </row>
    <row r="2369" spans="1:1">
      <c r="A2369" t="s">
        <v>10756</v>
      </c>
    </row>
    <row r="2370" spans="1:1">
      <c r="A2370" t="s">
        <v>10760</v>
      </c>
    </row>
    <row r="2371" spans="1:1">
      <c r="A2371" t="s">
        <v>10764</v>
      </c>
    </row>
    <row r="2372" spans="1:1">
      <c r="A2372" t="s">
        <v>10768</v>
      </c>
    </row>
    <row r="2373" spans="1:1">
      <c r="A2373" t="s">
        <v>10772</v>
      </c>
    </row>
    <row r="2374" spans="1:1">
      <c r="A2374" t="s">
        <v>10776</v>
      </c>
    </row>
    <row r="2375" spans="1:1">
      <c r="A2375" t="s">
        <v>10780</v>
      </c>
    </row>
    <row r="2376" spans="1:1">
      <c r="A2376" t="s">
        <v>10785</v>
      </c>
    </row>
    <row r="2377" spans="1:1">
      <c r="A2377" t="s">
        <v>10789</v>
      </c>
    </row>
    <row r="2378" spans="1:1">
      <c r="A2378" t="s">
        <v>10794</v>
      </c>
    </row>
    <row r="2379" spans="1:1">
      <c r="A2379" t="s">
        <v>10798</v>
      </c>
    </row>
    <row r="2380" spans="1:1">
      <c r="A2380" t="s">
        <v>10802</v>
      </c>
    </row>
    <row r="2381" spans="1:1">
      <c r="A2381" t="s">
        <v>10806</v>
      </c>
    </row>
    <row r="2382" spans="1:1">
      <c r="A2382" t="s">
        <v>10810</v>
      </c>
    </row>
    <row r="2383" spans="1:1">
      <c r="A2383" t="s">
        <v>10814</v>
      </c>
    </row>
    <row r="2384" spans="1:1">
      <c r="A2384" t="s">
        <v>10819</v>
      </c>
    </row>
    <row r="2385" spans="1:1">
      <c r="A2385" t="s">
        <v>10824</v>
      </c>
    </row>
    <row r="2386" spans="1:1">
      <c r="A2386" t="s">
        <v>10828</v>
      </c>
    </row>
    <row r="2387" spans="1:1">
      <c r="A2387" t="s">
        <v>10832</v>
      </c>
    </row>
    <row r="2388" spans="1:1">
      <c r="A2388" t="s">
        <v>10837</v>
      </c>
    </row>
    <row r="2389" spans="1:1">
      <c r="A2389" t="s">
        <v>10842</v>
      </c>
    </row>
    <row r="2390" spans="1:1">
      <c r="A2390" t="s">
        <v>10847</v>
      </c>
    </row>
    <row r="2391" spans="1:1">
      <c r="A2391" t="s">
        <v>10852</v>
      </c>
    </row>
    <row r="2392" spans="1:1">
      <c r="A2392" t="s">
        <v>10856</v>
      </c>
    </row>
    <row r="2393" spans="1:1">
      <c r="A2393" t="s">
        <v>10860</v>
      </c>
    </row>
    <row r="2394" spans="1:1">
      <c r="A2394" t="s">
        <v>10864</v>
      </c>
    </row>
    <row r="2395" spans="1:1">
      <c r="A2395" t="s">
        <v>10868</v>
      </c>
    </row>
    <row r="2396" spans="1:1">
      <c r="A2396" t="s">
        <v>10873</v>
      </c>
    </row>
    <row r="2397" spans="1:1">
      <c r="A2397" t="s">
        <v>10877</v>
      </c>
    </row>
    <row r="2398" spans="1:1">
      <c r="A2398" t="s">
        <v>10881</v>
      </c>
    </row>
    <row r="2399" spans="1:1">
      <c r="A2399" t="s">
        <v>10886</v>
      </c>
    </row>
    <row r="2400" spans="1:1">
      <c r="A2400" t="s">
        <v>10890</v>
      </c>
    </row>
    <row r="2401" spans="1:1">
      <c r="A2401" t="s">
        <v>10894</v>
      </c>
    </row>
    <row r="2402" spans="1:1">
      <c r="A2402" t="s">
        <v>10899</v>
      </c>
    </row>
    <row r="2403" spans="1:1">
      <c r="A2403" t="s">
        <v>10904</v>
      </c>
    </row>
    <row r="2404" spans="1:1">
      <c r="A2404" t="s">
        <v>10908</v>
      </c>
    </row>
    <row r="2405" spans="1:1">
      <c r="A2405" t="s">
        <v>10912</v>
      </c>
    </row>
    <row r="2406" spans="1:1">
      <c r="A2406" t="s">
        <v>10916</v>
      </c>
    </row>
    <row r="2407" spans="1:1">
      <c r="A2407" t="s">
        <v>10921</v>
      </c>
    </row>
    <row r="2408" spans="1:1">
      <c r="A2408" t="s">
        <v>10925</v>
      </c>
    </row>
    <row r="2409" spans="1:1">
      <c r="A2409" t="s">
        <v>10929</v>
      </c>
    </row>
    <row r="2410" spans="1:1">
      <c r="A2410" t="s">
        <v>10933</v>
      </c>
    </row>
    <row r="2411" spans="1:1">
      <c r="A2411" t="s">
        <v>10937</v>
      </c>
    </row>
    <row r="2412" spans="1:1">
      <c r="A2412" t="s">
        <v>10942</v>
      </c>
    </row>
    <row r="2413" spans="1:1">
      <c r="A2413" t="s">
        <v>10946</v>
      </c>
    </row>
    <row r="2414" spans="1:1">
      <c r="A2414" t="s">
        <v>10950</v>
      </c>
    </row>
    <row r="2415" spans="1:1">
      <c r="A2415" t="s">
        <v>10954</v>
      </c>
    </row>
    <row r="2416" spans="1:1">
      <c r="A2416" t="s">
        <v>10958</v>
      </c>
    </row>
    <row r="2417" spans="1:1">
      <c r="A2417" t="s">
        <v>10963</v>
      </c>
    </row>
    <row r="2418" spans="1:1">
      <c r="A2418" t="s">
        <v>10967</v>
      </c>
    </row>
    <row r="2419" spans="1:1">
      <c r="A2419" t="s">
        <v>10971</v>
      </c>
    </row>
    <row r="2420" spans="1:1">
      <c r="A2420" t="s">
        <v>10975</v>
      </c>
    </row>
    <row r="2421" spans="1:1">
      <c r="A2421" t="s">
        <v>10980</v>
      </c>
    </row>
    <row r="2422" spans="1:1">
      <c r="A2422" t="s">
        <v>10984</v>
      </c>
    </row>
    <row r="2423" spans="1:1">
      <c r="A2423" t="s">
        <v>10989</v>
      </c>
    </row>
    <row r="2424" spans="1:1">
      <c r="A2424" t="s">
        <v>10993</v>
      </c>
    </row>
    <row r="2425" spans="1:1">
      <c r="A2425" t="s">
        <v>10998</v>
      </c>
    </row>
    <row r="2426" spans="1:1">
      <c r="A2426" t="s">
        <v>11003</v>
      </c>
    </row>
    <row r="2427" spans="1:1">
      <c r="A2427" t="s">
        <v>11007</v>
      </c>
    </row>
    <row r="2428" spans="1:1">
      <c r="A2428" t="s">
        <v>11011</v>
      </c>
    </row>
    <row r="2429" spans="1:1">
      <c r="A2429" t="s">
        <v>11015</v>
      </c>
    </row>
    <row r="2430" spans="1:1">
      <c r="A2430" t="s">
        <v>11019</v>
      </c>
    </row>
    <row r="2431" spans="1:1">
      <c r="A2431" t="s">
        <v>11023</v>
      </c>
    </row>
    <row r="2432" spans="1:1">
      <c r="A2432" t="s">
        <v>11028</v>
      </c>
    </row>
    <row r="2433" spans="1:1">
      <c r="A2433" t="s">
        <v>11032</v>
      </c>
    </row>
    <row r="2434" spans="1:1">
      <c r="A2434" t="s">
        <v>11036</v>
      </c>
    </row>
    <row r="2435" spans="1:1">
      <c r="A2435" t="s">
        <v>11040</v>
      </c>
    </row>
    <row r="2436" spans="1:1">
      <c r="A2436" t="s">
        <v>11044</v>
      </c>
    </row>
    <row r="2437" spans="1:1">
      <c r="A2437" t="s">
        <v>11048</v>
      </c>
    </row>
    <row r="2438" spans="1:1">
      <c r="A2438" t="s">
        <v>11052</v>
      </c>
    </row>
    <row r="2439" spans="1:1">
      <c r="A2439" t="s">
        <v>11056</v>
      </c>
    </row>
    <row r="2440" spans="1:1">
      <c r="A2440" t="s">
        <v>11060</v>
      </c>
    </row>
    <row r="2441" spans="1:1">
      <c r="A2441" t="s">
        <v>11065</v>
      </c>
    </row>
    <row r="2442" spans="1:1">
      <c r="A2442" t="s">
        <v>11069</v>
      </c>
    </row>
    <row r="2443" spans="1:1">
      <c r="A2443" t="s">
        <v>11073</v>
      </c>
    </row>
    <row r="2444" spans="1:1">
      <c r="A2444" t="s">
        <v>11077</v>
      </c>
    </row>
    <row r="2445" spans="1:1">
      <c r="A2445" t="s">
        <v>11081</v>
      </c>
    </row>
    <row r="2446" spans="1:1">
      <c r="A2446" t="s">
        <v>11086</v>
      </c>
    </row>
    <row r="2447" spans="1:1">
      <c r="A2447" t="s">
        <v>11090</v>
      </c>
    </row>
    <row r="2448" spans="1:1">
      <c r="A2448" t="s">
        <v>11095</v>
      </c>
    </row>
    <row r="2449" spans="1:1">
      <c r="A2449" t="s">
        <v>11100</v>
      </c>
    </row>
    <row r="2450" spans="1:1">
      <c r="A2450" t="s">
        <v>11105</v>
      </c>
    </row>
    <row r="2451" spans="1:1">
      <c r="A2451" t="s">
        <v>11110</v>
      </c>
    </row>
    <row r="2452" spans="1:1">
      <c r="A2452" t="s">
        <v>11114</v>
      </c>
    </row>
    <row r="2453" spans="1:1">
      <c r="A2453" t="s">
        <v>11119</v>
      </c>
    </row>
    <row r="2454" spans="1:1">
      <c r="A2454" t="s">
        <v>11124</v>
      </c>
    </row>
    <row r="2455" spans="1:1">
      <c r="A2455" t="s">
        <v>11129</v>
      </c>
    </row>
    <row r="2456" spans="1:1">
      <c r="A2456" t="s">
        <v>11133</v>
      </c>
    </row>
    <row r="2457" spans="1:1">
      <c r="A2457" t="s">
        <v>11137</v>
      </c>
    </row>
    <row r="2458" spans="1:1">
      <c r="A2458" t="s">
        <v>11142</v>
      </c>
    </row>
    <row r="2459" spans="1:1">
      <c r="A2459" t="s">
        <v>11147</v>
      </c>
    </row>
    <row r="2460" spans="1:1">
      <c r="A2460" t="s">
        <v>11152</v>
      </c>
    </row>
    <row r="2461" spans="1:1">
      <c r="A2461" t="s">
        <v>11156</v>
      </c>
    </row>
    <row r="2462" spans="1:1">
      <c r="A2462" t="s">
        <v>11161</v>
      </c>
    </row>
    <row r="2463" spans="1:1">
      <c r="A2463" t="s">
        <v>11165</v>
      </c>
    </row>
    <row r="2464" spans="1:1">
      <c r="A2464" t="s">
        <v>11169</v>
      </c>
    </row>
    <row r="2465" spans="1:1">
      <c r="A2465" t="s">
        <v>11173</v>
      </c>
    </row>
    <row r="2466" spans="1:1">
      <c r="A2466" t="s">
        <v>11177</v>
      </c>
    </row>
    <row r="2467" spans="1:1">
      <c r="A2467" t="s">
        <v>11182</v>
      </c>
    </row>
    <row r="2468" spans="1:1">
      <c r="A2468" t="s">
        <v>11187</v>
      </c>
    </row>
    <row r="2469" spans="1:1">
      <c r="A2469" t="s">
        <v>11191</v>
      </c>
    </row>
    <row r="2470" spans="1:1">
      <c r="A2470" t="s">
        <v>11195</v>
      </c>
    </row>
    <row r="2471" spans="1:1">
      <c r="A2471" t="s">
        <v>11200</v>
      </c>
    </row>
    <row r="2472" spans="1:1">
      <c r="A2472" t="s">
        <v>11205</v>
      </c>
    </row>
    <row r="2473" spans="1:1">
      <c r="A2473" t="s">
        <v>11210</v>
      </c>
    </row>
    <row r="2474" spans="1:1">
      <c r="A2474" t="s">
        <v>11214</v>
      </c>
    </row>
    <row r="2475" spans="1:1">
      <c r="A2475" t="s">
        <v>11219</v>
      </c>
    </row>
    <row r="2476" spans="1:1">
      <c r="A2476" t="s">
        <v>11223</v>
      </c>
    </row>
    <row r="2477" spans="1:1">
      <c r="A2477" t="s">
        <v>11227</v>
      </c>
    </row>
    <row r="2478" spans="1:1">
      <c r="A2478" t="s">
        <v>11232</v>
      </c>
    </row>
    <row r="2479" spans="1:1">
      <c r="A2479" t="s">
        <v>11236</v>
      </c>
    </row>
    <row r="2480" spans="1:1">
      <c r="A2480" t="s">
        <v>11241</v>
      </c>
    </row>
    <row r="2481" spans="1:1">
      <c r="A2481" t="s">
        <v>11246</v>
      </c>
    </row>
    <row r="2482" spans="1:1">
      <c r="A2482" t="s">
        <v>11250</v>
      </c>
    </row>
    <row r="2483" spans="1:1">
      <c r="A2483" t="s">
        <v>11254</v>
      </c>
    </row>
    <row r="2484" spans="1:1">
      <c r="A2484" t="s">
        <v>11258</v>
      </c>
    </row>
    <row r="2485" spans="1:1">
      <c r="A2485" t="s">
        <v>11263</v>
      </c>
    </row>
    <row r="2486" spans="1:1">
      <c r="A2486" t="s">
        <v>11268</v>
      </c>
    </row>
    <row r="2487" spans="1:1">
      <c r="A2487" t="s">
        <v>11273</v>
      </c>
    </row>
    <row r="2488" spans="1:1">
      <c r="A2488" t="s">
        <v>11277</v>
      </c>
    </row>
    <row r="2489" spans="1:1">
      <c r="A2489" t="s">
        <v>11281</v>
      </c>
    </row>
    <row r="2490" spans="1:1">
      <c r="A2490" t="s">
        <v>11285</v>
      </c>
    </row>
    <row r="2491" spans="1:1">
      <c r="A2491" t="s">
        <v>11289</v>
      </c>
    </row>
    <row r="2492" spans="1:1">
      <c r="A2492" t="s">
        <v>11293</v>
      </c>
    </row>
    <row r="2493" spans="1:1">
      <c r="A2493" t="s">
        <v>11297</v>
      </c>
    </row>
    <row r="2494" spans="1:1">
      <c r="A2494" t="s">
        <v>11302</v>
      </c>
    </row>
    <row r="2495" spans="1:1">
      <c r="A2495" t="s">
        <v>11307</v>
      </c>
    </row>
    <row r="2496" spans="1:1">
      <c r="A2496" t="s">
        <v>11311</v>
      </c>
    </row>
    <row r="2497" spans="1:1">
      <c r="A2497" t="s">
        <v>11315</v>
      </c>
    </row>
    <row r="2498" spans="1:1">
      <c r="A2498" t="s">
        <v>11319</v>
      </c>
    </row>
    <row r="2499" spans="1:1">
      <c r="A2499" t="s">
        <v>11324</v>
      </c>
    </row>
    <row r="2500" spans="1:1">
      <c r="A2500" t="s">
        <v>11328</v>
      </c>
    </row>
    <row r="2501" spans="1:1">
      <c r="A2501" t="s">
        <v>11333</v>
      </c>
    </row>
    <row r="2502" spans="1:1">
      <c r="A2502" t="s">
        <v>11338</v>
      </c>
    </row>
    <row r="2503" spans="1:1">
      <c r="A2503" t="s">
        <v>11342</v>
      </c>
    </row>
    <row r="2504" spans="1:1">
      <c r="A2504" t="s">
        <v>11346</v>
      </c>
    </row>
    <row r="2505" spans="1:1">
      <c r="A2505" t="s">
        <v>11351</v>
      </c>
    </row>
    <row r="2506" spans="1:1">
      <c r="A2506" t="s">
        <v>11356</v>
      </c>
    </row>
    <row r="2507" spans="1:1">
      <c r="A2507" t="s">
        <v>11361</v>
      </c>
    </row>
    <row r="2508" spans="1:1">
      <c r="A2508" t="s">
        <v>11365</v>
      </c>
    </row>
    <row r="2509" spans="1:1">
      <c r="A2509" t="s">
        <v>11369</v>
      </c>
    </row>
    <row r="2510" spans="1:1">
      <c r="A2510" t="s">
        <v>11374</v>
      </c>
    </row>
    <row r="2511" spans="1:1">
      <c r="A2511" t="s">
        <v>11379</v>
      </c>
    </row>
    <row r="2512" spans="1:1">
      <c r="A2512" t="s">
        <v>11384</v>
      </c>
    </row>
    <row r="2513" spans="1:1">
      <c r="A2513" t="s">
        <v>11388</v>
      </c>
    </row>
    <row r="2514" spans="1:1">
      <c r="A2514" t="s">
        <v>11393</v>
      </c>
    </row>
    <row r="2515" spans="1:1">
      <c r="A2515" t="s">
        <v>11398</v>
      </c>
    </row>
    <row r="2516" spans="1:1">
      <c r="A2516" t="s">
        <v>11402</v>
      </c>
    </row>
    <row r="2517" spans="1:1">
      <c r="A2517" t="s">
        <v>11407</v>
      </c>
    </row>
    <row r="2518" spans="1:1">
      <c r="A2518" t="s">
        <v>11411</v>
      </c>
    </row>
    <row r="2519" spans="1:1">
      <c r="A2519" t="s">
        <v>11415</v>
      </c>
    </row>
    <row r="2520" spans="1:1">
      <c r="A2520" t="s">
        <v>11420</v>
      </c>
    </row>
    <row r="2521" spans="1:1">
      <c r="A2521" t="s">
        <v>11425</v>
      </c>
    </row>
    <row r="2522" spans="1:1">
      <c r="A2522" t="s">
        <v>11429</v>
      </c>
    </row>
    <row r="2523" spans="1:1">
      <c r="A2523" t="s">
        <v>11433</v>
      </c>
    </row>
    <row r="2524" spans="1:1">
      <c r="A2524" t="s">
        <v>11437</v>
      </c>
    </row>
    <row r="2525" spans="1:1">
      <c r="A2525" t="s">
        <v>11441</v>
      </c>
    </row>
    <row r="2526" spans="1:1">
      <c r="A2526" t="s">
        <v>11446</v>
      </c>
    </row>
    <row r="2527" spans="1:1">
      <c r="A2527" t="s">
        <v>11450</v>
      </c>
    </row>
    <row r="2528" spans="1:1">
      <c r="A2528" t="s">
        <v>11455</v>
      </c>
    </row>
    <row r="2529" spans="1:1">
      <c r="A2529" t="s">
        <v>11459</v>
      </c>
    </row>
    <row r="2530" spans="1:1">
      <c r="A2530" t="s">
        <v>11463</v>
      </c>
    </row>
    <row r="2531" spans="1:1">
      <c r="A2531" t="s">
        <v>11467</v>
      </c>
    </row>
    <row r="2532" spans="1:1">
      <c r="A2532" t="s">
        <v>11471</v>
      </c>
    </row>
    <row r="2533" spans="1:1">
      <c r="A2533" t="s">
        <v>11475</v>
      </c>
    </row>
    <row r="2534" spans="1:1">
      <c r="A2534" t="s">
        <v>11480</v>
      </c>
    </row>
    <row r="2535" spans="1:1">
      <c r="A2535" t="s">
        <v>11484</v>
      </c>
    </row>
    <row r="2536" spans="1:1">
      <c r="A2536" t="s">
        <v>11489</v>
      </c>
    </row>
    <row r="2537" spans="1:1">
      <c r="A2537" t="s">
        <v>11493</v>
      </c>
    </row>
    <row r="2538" spans="1:1">
      <c r="A2538" t="s">
        <v>11497</v>
      </c>
    </row>
    <row r="2539" spans="1:1">
      <c r="A2539" t="s">
        <v>11501</v>
      </c>
    </row>
    <row r="2540" spans="1:1">
      <c r="A2540" t="s">
        <v>11505</v>
      </c>
    </row>
    <row r="2541" spans="1:1">
      <c r="A2541" t="s">
        <v>11510</v>
      </c>
    </row>
    <row r="2542" spans="1:1">
      <c r="A2542" t="s">
        <v>11514</v>
      </c>
    </row>
    <row r="2543" spans="1:1">
      <c r="A2543" t="s">
        <v>11518</v>
      </c>
    </row>
    <row r="2544" spans="1:1">
      <c r="A2544" t="s">
        <v>11523</v>
      </c>
    </row>
    <row r="2545" spans="1:1">
      <c r="A2545" t="s">
        <v>11527</v>
      </c>
    </row>
    <row r="2546" spans="1:1">
      <c r="A2546" t="s">
        <v>11532</v>
      </c>
    </row>
    <row r="2547" spans="1:1">
      <c r="A2547" t="s">
        <v>11536</v>
      </c>
    </row>
    <row r="2548" spans="1:1">
      <c r="A2548" t="s">
        <v>11540</v>
      </c>
    </row>
    <row r="2549" spans="1:1">
      <c r="A2549" t="s">
        <v>11544</v>
      </c>
    </row>
    <row r="2550" spans="1:1">
      <c r="A2550" t="s">
        <v>11548</v>
      </c>
    </row>
    <row r="2551" spans="1:1">
      <c r="A2551" t="s">
        <v>14</v>
      </c>
    </row>
    <row r="2552" spans="1:1">
      <c r="A2552" t="s">
        <v>11555</v>
      </c>
    </row>
    <row r="2553" spans="1:1">
      <c r="A2553" t="s">
        <v>11559</v>
      </c>
    </row>
    <row r="2554" spans="1:1">
      <c r="A2554" t="s">
        <v>11563</v>
      </c>
    </row>
    <row r="2555" spans="1:1">
      <c r="A2555" t="s">
        <v>11568</v>
      </c>
    </row>
    <row r="2556" spans="1:1">
      <c r="A2556" t="s">
        <v>11573</v>
      </c>
    </row>
    <row r="2557" spans="1:1">
      <c r="A2557" t="s">
        <v>11577</v>
      </c>
    </row>
    <row r="2558" spans="1:1">
      <c r="A2558" t="s">
        <v>11581</v>
      </c>
    </row>
    <row r="2559" spans="1:1">
      <c r="A2559" t="s">
        <v>11586</v>
      </c>
    </row>
    <row r="2560" spans="1:1">
      <c r="A2560" t="s">
        <v>11590</v>
      </c>
    </row>
    <row r="2561" spans="1:1">
      <c r="A2561" t="s">
        <v>11595</v>
      </c>
    </row>
    <row r="2562" spans="1:1">
      <c r="A2562" t="s">
        <v>11599</v>
      </c>
    </row>
    <row r="2563" spans="1:1">
      <c r="A2563" t="s">
        <v>11603</v>
      </c>
    </row>
    <row r="2564" spans="1:1">
      <c r="A2564" t="s">
        <v>11607</v>
      </c>
    </row>
    <row r="2565" spans="1:1">
      <c r="A2565" t="s">
        <v>11612</v>
      </c>
    </row>
    <row r="2566" spans="1:1">
      <c r="A2566" t="s">
        <v>11616</v>
      </c>
    </row>
    <row r="2567" spans="1:1">
      <c r="A2567" t="s">
        <v>11620</v>
      </c>
    </row>
    <row r="2568" spans="1:1">
      <c r="A2568" t="s">
        <v>11624</v>
      </c>
    </row>
    <row r="2569" spans="1:1">
      <c r="A2569" t="s">
        <v>11629</v>
      </c>
    </row>
    <row r="2570" spans="1:1">
      <c r="A2570" t="s">
        <v>11633</v>
      </c>
    </row>
    <row r="2571" spans="1:1">
      <c r="A2571" t="s">
        <v>11637</v>
      </c>
    </row>
    <row r="2572" spans="1:1">
      <c r="A2572" t="s">
        <v>11642</v>
      </c>
    </row>
    <row r="2573" spans="1:1">
      <c r="A2573" t="s">
        <v>11646</v>
      </c>
    </row>
    <row r="2574" spans="1:1">
      <c r="A2574" t="s">
        <v>11650</v>
      </c>
    </row>
    <row r="2575" spans="1:1">
      <c r="A2575" t="s">
        <v>11654</v>
      </c>
    </row>
    <row r="2576" spans="1:1">
      <c r="A2576" t="s">
        <v>11659</v>
      </c>
    </row>
    <row r="2577" spans="1:1">
      <c r="A2577" t="s">
        <v>11663</v>
      </c>
    </row>
    <row r="2578" spans="1:1">
      <c r="A2578" t="s">
        <v>11668</v>
      </c>
    </row>
    <row r="2579" spans="1:1">
      <c r="A2579" t="s">
        <v>11672</v>
      </c>
    </row>
    <row r="2580" spans="1:1">
      <c r="A2580" t="s">
        <v>11676</v>
      </c>
    </row>
    <row r="2581" spans="1:1">
      <c r="A2581" t="s">
        <v>11680</v>
      </c>
    </row>
    <row r="2582" spans="1:1">
      <c r="A2582" t="s">
        <v>11684</v>
      </c>
    </row>
    <row r="2583" spans="1:1">
      <c r="A2583" t="s">
        <v>11688</v>
      </c>
    </row>
    <row r="2584" spans="1:1">
      <c r="A2584" t="s">
        <v>11692</v>
      </c>
    </row>
    <row r="2585" spans="1:1">
      <c r="A2585" t="s">
        <v>11696</v>
      </c>
    </row>
    <row r="2586" spans="1:1">
      <c r="A2586" t="s">
        <v>11700</v>
      </c>
    </row>
    <row r="2587" spans="1:1">
      <c r="A2587" t="s">
        <v>11704</v>
      </c>
    </row>
    <row r="2588" spans="1:1">
      <c r="A2588" t="s">
        <v>11708</v>
      </c>
    </row>
    <row r="2589" spans="1:1">
      <c r="A2589" t="s">
        <v>11712</v>
      </c>
    </row>
    <row r="2590" spans="1:1">
      <c r="A2590" t="s">
        <v>11717</v>
      </c>
    </row>
    <row r="2591" spans="1:1">
      <c r="A2591" t="s">
        <v>11722</v>
      </c>
    </row>
    <row r="2592" spans="1:1">
      <c r="A2592" t="s">
        <v>11726</v>
      </c>
    </row>
    <row r="2593" spans="1:1">
      <c r="A2593" t="s">
        <v>11730</v>
      </c>
    </row>
    <row r="2594" spans="1:1">
      <c r="A2594" t="s">
        <v>11734</v>
      </c>
    </row>
    <row r="2595" spans="1:1">
      <c r="A2595" t="s">
        <v>11739</v>
      </c>
    </row>
    <row r="2596" spans="1:1">
      <c r="A2596" t="s">
        <v>11743</v>
      </c>
    </row>
    <row r="2597" spans="1:1">
      <c r="A2597" t="s">
        <v>11747</v>
      </c>
    </row>
    <row r="2598" spans="1:1">
      <c r="A2598" t="s">
        <v>11751</v>
      </c>
    </row>
    <row r="2599" spans="1:1">
      <c r="A2599" t="s">
        <v>11755</v>
      </c>
    </row>
    <row r="2600" spans="1:1">
      <c r="A2600" t="s">
        <v>11760</v>
      </c>
    </row>
    <row r="2601" spans="1:1">
      <c r="A2601" t="s">
        <v>11765</v>
      </c>
    </row>
    <row r="2602" spans="1:1">
      <c r="A2602" t="s">
        <v>11770</v>
      </c>
    </row>
    <row r="2603" spans="1:1">
      <c r="A2603" t="s">
        <v>11774</v>
      </c>
    </row>
    <row r="2604" spans="1:1">
      <c r="A2604" t="s">
        <v>11778</v>
      </c>
    </row>
    <row r="2605" spans="1:1">
      <c r="A2605" t="s">
        <v>11783</v>
      </c>
    </row>
    <row r="2606" spans="1:1">
      <c r="A2606" t="s">
        <v>11787</v>
      </c>
    </row>
    <row r="2607" spans="1:1">
      <c r="A2607" t="s">
        <v>11791</v>
      </c>
    </row>
    <row r="2608" spans="1:1">
      <c r="A2608" t="s">
        <v>11795</v>
      </c>
    </row>
    <row r="2609" spans="1:1">
      <c r="A2609" t="s">
        <v>11799</v>
      </c>
    </row>
    <row r="2610" spans="1:1">
      <c r="A2610" t="s">
        <v>11803</v>
      </c>
    </row>
    <row r="2611" spans="1:1">
      <c r="A2611" t="s">
        <v>11807</v>
      </c>
    </row>
    <row r="2612" spans="1:1">
      <c r="A2612" t="s">
        <v>11812</v>
      </c>
    </row>
    <row r="2613" spans="1:1">
      <c r="A2613" t="s">
        <v>11817</v>
      </c>
    </row>
    <row r="2614" spans="1:1">
      <c r="A2614" t="s">
        <v>11821</v>
      </c>
    </row>
    <row r="2615" spans="1:1">
      <c r="A2615" t="s">
        <v>11825</v>
      </c>
    </row>
    <row r="2616" spans="1:1">
      <c r="A2616" t="s">
        <v>11829</v>
      </c>
    </row>
    <row r="2617" spans="1:1">
      <c r="A2617" t="s">
        <v>11833</v>
      </c>
    </row>
    <row r="2618" spans="1:1">
      <c r="A2618" t="s">
        <v>11837</v>
      </c>
    </row>
    <row r="2619" spans="1:1">
      <c r="A2619" t="s">
        <v>11842</v>
      </c>
    </row>
    <row r="2620" spans="1:1">
      <c r="A2620" t="s">
        <v>11846</v>
      </c>
    </row>
    <row r="2621" spans="1:1">
      <c r="A2621" t="s">
        <v>11850</v>
      </c>
    </row>
    <row r="2622" spans="1:1">
      <c r="A2622" t="s">
        <v>11854</v>
      </c>
    </row>
    <row r="2623" spans="1:1">
      <c r="A2623" t="s">
        <v>11858</v>
      </c>
    </row>
    <row r="2624" spans="1:1">
      <c r="A2624" t="s">
        <v>11862</v>
      </c>
    </row>
    <row r="2625" spans="1:1">
      <c r="A2625" t="s">
        <v>11867</v>
      </c>
    </row>
    <row r="2626" spans="1:1">
      <c r="A2626" t="s">
        <v>11871</v>
      </c>
    </row>
    <row r="2627" spans="1:1">
      <c r="A2627" t="s">
        <v>11875</v>
      </c>
    </row>
    <row r="2628" spans="1:1">
      <c r="A2628" t="s">
        <v>11879</v>
      </c>
    </row>
    <row r="2629" spans="1:1">
      <c r="A2629" t="s">
        <v>11883</v>
      </c>
    </row>
    <row r="2630" spans="1:1">
      <c r="A2630" t="s">
        <v>11887</v>
      </c>
    </row>
    <row r="2631" spans="1:1">
      <c r="A2631" t="s">
        <v>11892</v>
      </c>
    </row>
    <row r="2632" spans="1:1">
      <c r="A2632" t="s">
        <v>11897</v>
      </c>
    </row>
    <row r="2633" spans="1:1">
      <c r="A2633" t="s">
        <v>11901</v>
      </c>
    </row>
    <row r="2634" spans="1:1">
      <c r="A2634" t="s">
        <v>11905</v>
      </c>
    </row>
    <row r="2635" spans="1:1">
      <c r="A2635" t="s">
        <v>11909</v>
      </c>
    </row>
    <row r="2636" spans="1:1">
      <c r="A2636" t="s">
        <v>11913</v>
      </c>
    </row>
    <row r="2637" spans="1:1">
      <c r="A2637" t="s">
        <v>11917</v>
      </c>
    </row>
    <row r="2638" spans="1:1">
      <c r="A2638" t="s">
        <v>11921</v>
      </c>
    </row>
    <row r="2639" spans="1:1">
      <c r="A2639" t="s">
        <v>11925</v>
      </c>
    </row>
    <row r="2640" spans="1:1">
      <c r="A2640" t="s">
        <v>11929</v>
      </c>
    </row>
    <row r="2641" spans="1:1">
      <c r="A2641" t="s">
        <v>11934</v>
      </c>
    </row>
    <row r="2642" spans="1:1">
      <c r="A2642" t="s">
        <v>11938</v>
      </c>
    </row>
    <row r="2643" spans="1:1">
      <c r="A2643" t="s">
        <v>11942</v>
      </c>
    </row>
    <row r="2644" spans="1:1">
      <c r="A2644" t="s">
        <v>11946</v>
      </c>
    </row>
    <row r="2645" spans="1:1">
      <c r="A2645" t="s">
        <v>11950</v>
      </c>
    </row>
    <row r="2646" spans="1:1">
      <c r="A2646" t="s">
        <v>11955</v>
      </c>
    </row>
    <row r="2647" spans="1:1">
      <c r="A2647" t="s">
        <v>11959</v>
      </c>
    </row>
    <row r="2648" spans="1:1">
      <c r="A2648" t="s">
        <v>11963</v>
      </c>
    </row>
    <row r="2649" spans="1:1">
      <c r="A2649" t="s">
        <v>11967</v>
      </c>
    </row>
    <row r="2650" spans="1:1">
      <c r="A2650" t="s">
        <v>11971</v>
      </c>
    </row>
    <row r="2651" spans="1:1">
      <c r="A2651" t="s">
        <v>11975</v>
      </c>
    </row>
    <row r="2652" spans="1:1">
      <c r="A2652" t="s">
        <v>11979</v>
      </c>
    </row>
    <row r="2653" spans="1:1">
      <c r="A2653" t="s">
        <v>11984</v>
      </c>
    </row>
    <row r="2654" spans="1:1">
      <c r="A2654" t="s">
        <v>11988</v>
      </c>
    </row>
    <row r="2655" spans="1:1">
      <c r="A2655" t="s">
        <v>11992</v>
      </c>
    </row>
    <row r="2656" spans="1:1">
      <c r="A2656" t="s">
        <v>11996</v>
      </c>
    </row>
    <row r="2657" spans="1:1">
      <c r="A2657" t="s">
        <v>12000</v>
      </c>
    </row>
    <row r="2658" spans="1:1">
      <c r="A2658" t="s">
        <v>12004</v>
      </c>
    </row>
    <row r="2659" spans="1:1">
      <c r="A2659" t="s">
        <v>12008</v>
      </c>
    </row>
    <row r="2660" spans="1:1">
      <c r="A2660" t="s">
        <v>12012</v>
      </c>
    </row>
    <row r="2661" spans="1:1">
      <c r="A2661" t="s">
        <v>12016</v>
      </c>
    </row>
    <row r="2662" spans="1:1">
      <c r="A2662" t="s">
        <v>12020</v>
      </c>
    </row>
    <row r="2663" spans="1:1">
      <c r="A2663" t="s">
        <v>12024</v>
      </c>
    </row>
    <row r="2664" spans="1:1">
      <c r="A2664" t="s">
        <v>12028</v>
      </c>
    </row>
    <row r="2665" spans="1:1">
      <c r="A2665" t="s">
        <v>12033</v>
      </c>
    </row>
    <row r="2666" spans="1:1">
      <c r="A2666" t="s">
        <v>12037</v>
      </c>
    </row>
    <row r="2667" spans="1:1">
      <c r="A2667" t="s">
        <v>12042</v>
      </c>
    </row>
    <row r="2668" spans="1:1">
      <c r="A2668" t="s">
        <v>12047</v>
      </c>
    </row>
    <row r="2669" spans="1:1">
      <c r="A2669" t="s">
        <v>12051</v>
      </c>
    </row>
    <row r="2670" spans="1:1">
      <c r="A2670" t="s">
        <v>12055</v>
      </c>
    </row>
    <row r="2671" spans="1:1">
      <c r="A2671" t="s">
        <v>12059</v>
      </c>
    </row>
    <row r="2672" spans="1:1">
      <c r="A2672" t="s">
        <v>12063</v>
      </c>
    </row>
    <row r="2673" spans="1:1">
      <c r="A2673" t="s">
        <v>12067</v>
      </c>
    </row>
    <row r="2674" spans="1:1">
      <c r="A2674" t="s">
        <v>12072</v>
      </c>
    </row>
    <row r="2675" spans="1:1">
      <c r="A2675" t="s">
        <v>12077</v>
      </c>
    </row>
    <row r="2676" spans="1:1">
      <c r="A2676" t="s">
        <v>12082</v>
      </c>
    </row>
    <row r="2677" spans="1:1">
      <c r="A2677" t="s">
        <v>12086</v>
      </c>
    </row>
    <row r="2678" spans="1:1">
      <c r="A2678" t="s">
        <v>12090</v>
      </c>
    </row>
    <row r="2679" spans="1:1">
      <c r="A2679" t="s">
        <v>12095</v>
      </c>
    </row>
    <row r="2680" spans="1:1">
      <c r="A2680" t="s">
        <v>12099</v>
      </c>
    </row>
    <row r="2681" spans="1:1">
      <c r="A2681" t="s">
        <v>12103</v>
      </c>
    </row>
    <row r="2682" spans="1:1">
      <c r="A2682" t="s">
        <v>12107</v>
      </c>
    </row>
    <row r="2683" spans="1:1">
      <c r="A2683" t="s">
        <v>12111</v>
      </c>
    </row>
    <row r="2684" spans="1:1">
      <c r="A2684" t="s">
        <v>12115</v>
      </c>
    </row>
    <row r="2685" spans="1:1">
      <c r="A2685" t="s">
        <v>12119</v>
      </c>
    </row>
    <row r="2686" spans="1:1">
      <c r="A2686" t="s">
        <v>12123</v>
      </c>
    </row>
    <row r="2687" spans="1:1">
      <c r="A2687" t="s">
        <v>12127</v>
      </c>
    </row>
    <row r="2688" spans="1:1">
      <c r="A2688" t="s">
        <v>12132</v>
      </c>
    </row>
    <row r="2689" spans="1:1">
      <c r="A2689" t="s">
        <v>12136</v>
      </c>
    </row>
    <row r="2690" spans="1:1">
      <c r="A2690" t="s">
        <v>12141</v>
      </c>
    </row>
    <row r="2691" spans="1:1">
      <c r="A2691" t="s">
        <v>12145</v>
      </c>
    </row>
    <row r="2692" spans="1:1">
      <c r="A2692" t="s">
        <v>12149</v>
      </c>
    </row>
    <row r="2693" spans="1:1">
      <c r="A2693" t="s">
        <v>12153</v>
      </c>
    </row>
    <row r="2694" spans="1:1">
      <c r="A2694" t="s">
        <v>12158</v>
      </c>
    </row>
    <row r="2695" spans="1:1">
      <c r="A2695" t="s">
        <v>12162</v>
      </c>
    </row>
    <row r="2696" spans="1:1">
      <c r="A2696" t="s">
        <v>12166</v>
      </c>
    </row>
    <row r="2697" spans="1:1">
      <c r="A2697" t="s">
        <v>12170</v>
      </c>
    </row>
    <row r="2698" spans="1:1">
      <c r="A2698" t="s">
        <v>12174</v>
      </c>
    </row>
    <row r="2699" spans="1:1">
      <c r="A2699" t="s">
        <v>12179</v>
      </c>
    </row>
    <row r="2700" spans="1:1">
      <c r="A2700" t="s">
        <v>12183</v>
      </c>
    </row>
    <row r="2701" spans="1:1">
      <c r="A2701" t="s">
        <v>12187</v>
      </c>
    </row>
    <row r="2702" spans="1:1">
      <c r="A2702" t="s">
        <v>12191</v>
      </c>
    </row>
    <row r="2703" spans="1:1">
      <c r="A2703" t="s">
        <v>12196</v>
      </c>
    </row>
    <row r="2704" spans="1:1">
      <c r="A2704" t="s">
        <v>12200</v>
      </c>
    </row>
    <row r="2705" spans="1:1">
      <c r="A2705" t="s">
        <v>12204</v>
      </c>
    </row>
    <row r="2706" spans="1:1">
      <c r="A2706" t="s">
        <v>12209</v>
      </c>
    </row>
    <row r="2707" spans="1:1">
      <c r="A2707" t="s">
        <v>12214</v>
      </c>
    </row>
    <row r="2708" spans="1:1">
      <c r="A2708" t="s">
        <v>12218</v>
      </c>
    </row>
    <row r="2709" spans="1:1">
      <c r="A2709" t="s">
        <v>12222</v>
      </c>
    </row>
    <row r="2710" spans="1:1">
      <c r="A2710" t="s">
        <v>12226</v>
      </c>
    </row>
    <row r="2711" spans="1:1">
      <c r="A2711" t="s">
        <v>12231</v>
      </c>
    </row>
    <row r="2712" spans="1:1">
      <c r="A2712" t="s">
        <v>12235</v>
      </c>
    </row>
    <row r="2713" spans="1:1">
      <c r="A2713" t="s">
        <v>12240</v>
      </c>
    </row>
    <row r="2714" spans="1:1">
      <c r="A2714" t="s">
        <v>12245</v>
      </c>
    </row>
    <row r="2715" spans="1:1">
      <c r="A2715" t="s">
        <v>12249</v>
      </c>
    </row>
    <row r="2716" spans="1:1">
      <c r="A2716" t="s">
        <v>12254</v>
      </c>
    </row>
    <row r="2717" spans="1:1">
      <c r="A2717" t="s">
        <v>12258</v>
      </c>
    </row>
    <row r="2718" spans="1:1">
      <c r="A2718" t="s">
        <v>12262</v>
      </c>
    </row>
    <row r="2719" spans="1:1">
      <c r="A2719" t="s">
        <v>12266</v>
      </c>
    </row>
    <row r="2720" spans="1:1">
      <c r="A2720" t="s">
        <v>12270</v>
      </c>
    </row>
    <row r="2721" spans="1:1">
      <c r="A2721" t="s">
        <v>12275</v>
      </c>
    </row>
    <row r="2722" spans="1:1">
      <c r="A2722" t="s">
        <v>12280</v>
      </c>
    </row>
    <row r="2723" spans="1:1">
      <c r="A2723" t="s">
        <v>12284</v>
      </c>
    </row>
    <row r="2724" spans="1:1">
      <c r="A2724" t="s">
        <v>12288</v>
      </c>
    </row>
    <row r="2725" spans="1:1">
      <c r="A2725" t="s">
        <v>12292</v>
      </c>
    </row>
    <row r="2726" spans="1:1">
      <c r="A2726" t="s">
        <v>12297</v>
      </c>
    </row>
    <row r="2727" spans="1:1">
      <c r="A2727" t="s">
        <v>12301</v>
      </c>
    </row>
    <row r="2728" spans="1:1">
      <c r="A2728" t="s">
        <v>12305</v>
      </c>
    </row>
    <row r="2729" spans="1:1">
      <c r="A2729" t="s">
        <v>12310</v>
      </c>
    </row>
    <row r="2730" spans="1:1">
      <c r="A2730" t="s">
        <v>12315</v>
      </c>
    </row>
    <row r="2731" spans="1:1">
      <c r="A2731" t="s">
        <v>12319</v>
      </c>
    </row>
    <row r="2732" spans="1:1">
      <c r="A2732" t="s">
        <v>12323</v>
      </c>
    </row>
    <row r="2733" spans="1:1">
      <c r="A2733" t="s">
        <v>12327</v>
      </c>
    </row>
    <row r="2734" spans="1:1">
      <c r="A2734" t="s">
        <v>1535</v>
      </c>
    </row>
    <row r="2735" spans="1:1">
      <c r="A2735" t="s">
        <v>12335</v>
      </c>
    </row>
    <row r="2736" spans="1:1">
      <c r="A2736" t="s">
        <v>12339</v>
      </c>
    </row>
    <row r="2737" spans="1:1">
      <c r="A2737" t="s">
        <v>12343</v>
      </c>
    </row>
    <row r="2738" spans="1:1">
      <c r="A2738" t="s">
        <v>12348</v>
      </c>
    </row>
    <row r="2739" spans="1:1">
      <c r="A2739" t="s">
        <v>12353</v>
      </c>
    </row>
    <row r="2740" spans="1:1">
      <c r="A2740" t="s">
        <v>12358</v>
      </c>
    </row>
    <row r="2741" spans="1:1">
      <c r="A2741" t="s">
        <v>12363</v>
      </c>
    </row>
    <row r="2742" spans="1:1">
      <c r="A2742" t="s">
        <v>12367</v>
      </c>
    </row>
    <row r="2743" spans="1:1">
      <c r="A2743" t="s">
        <v>12371</v>
      </c>
    </row>
    <row r="2744" spans="1:1">
      <c r="A2744" t="s">
        <v>12376</v>
      </c>
    </row>
    <row r="2745" spans="1:1">
      <c r="A2745" t="s">
        <v>12381</v>
      </c>
    </row>
    <row r="2746" spans="1:1">
      <c r="A2746" t="s">
        <v>12386</v>
      </c>
    </row>
    <row r="2747" spans="1:1">
      <c r="A2747" t="s">
        <v>12391</v>
      </c>
    </row>
    <row r="2748" spans="1:1">
      <c r="A2748" t="s">
        <v>12396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9"/>
  <sheetViews>
    <sheetView workbookViewId="0"/>
  </sheetViews>
  <sheetFormatPr defaultRowHeight="13.5"/>
  <cols>
    <col min="1" max="1" width="25" customWidth="1"/>
    <col min="2" max="2" width="90" customWidth="1"/>
  </cols>
  <sheetData>
    <row r="1" spans="1:2">
      <c r="A1" s="6" t="s">
        <v>13529</v>
      </c>
      <c r="B1" s="7" t="s">
        <v>13530</v>
      </c>
    </row>
    <row r="2" spans="1:2">
      <c r="A2" s="8" t="s">
        <v>13531</v>
      </c>
      <c r="B2" s="9" t="s">
        <v>13532</v>
      </c>
    </row>
    <row r="3" spans="1:2">
      <c r="A3" s="8" t="s">
        <v>13533</v>
      </c>
      <c r="B3" s="9" t="s">
        <v>13534</v>
      </c>
    </row>
    <row r="4" spans="1:2">
      <c r="A4" s="8" t="s">
        <v>13535</v>
      </c>
      <c r="B4" s="9" t="s">
        <v>13536</v>
      </c>
    </row>
    <row r="5" spans="1:2">
      <c r="A5" s="8" t="s">
        <v>13537</v>
      </c>
      <c r="B5" s="9">
        <v>2747</v>
      </c>
    </row>
    <row r="6" spans="1:2">
      <c r="A6" s="8" t="s">
        <v>8</v>
      </c>
      <c r="B6" s="9" t="s">
        <v>13538</v>
      </c>
    </row>
    <row r="7" spans="1:2">
      <c r="A7" s="8" t="s">
        <v>9</v>
      </c>
      <c r="B7" s="22" t="s">
        <v>13539</v>
      </c>
    </row>
    <row r="8" spans="1:2">
      <c r="A8" s="8" t="s">
        <v>13540</v>
      </c>
      <c r="B8" s="9" t="s">
        <v>13541</v>
      </c>
    </row>
    <row r="9" spans="1:2">
      <c r="A9" s="10" t="s">
        <v>13542</v>
      </c>
      <c r="B9" s="11" t="s">
        <v>13543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0"/>
  <sheetViews>
    <sheetView workbookViewId="0"/>
  </sheetViews>
  <sheetFormatPr defaultRowHeight="13.5"/>
  <cols>
    <col min="1" max="1" width="10" customWidth="1"/>
    <col min="2" max="6" width="19" customWidth="1"/>
  </cols>
  <sheetData>
    <row r="1" spans="1:6">
      <c r="A1" s="68" t="s">
        <v>13544</v>
      </c>
      <c r="B1" s="48"/>
      <c r="C1" s="48"/>
      <c r="D1" s="48"/>
      <c r="E1" s="48"/>
      <c r="F1" s="48"/>
    </row>
    <row r="2" spans="1:6">
      <c r="A2" s="48"/>
      <c r="B2" s="48"/>
      <c r="C2" s="48"/>
      <c r="D2" s="48"/>
      <c r="E2" s="48"/>
      <c r="F2" s="48"/>
    </row>
    <row r="4" spans="1:6">
      <c r="A4" s="1" t="s">
        <v>13545</v>
      </c>
      <c r="B4" s="62" t="s">
        <v>13546</v>
      </c>
      <c r="C4" s="44"/>
      <c r="D4" s="44"/>
      <c r="E4" s="44"/>
      <c r="F4" s="45"/>
    </row>
    <row r="5" spans="1:6" ht="13.9">
      <c r="A5" s="19" t="s">
        <v>13547</v>
      </c>
      <c r="B5" s="69" t="s">
        <v>13548</v>
      </c>
      <c r="C5" s="70"/>
      <c r="D5" s="70"/>
      <c r="E5" s="70"/>
      <c r="F5" s="71"/>
    </row>
    <row r="6" spans="1:6" ht="13.9">
      <c r="A6" s="20" t="s">
        <v>13549</v>
      </c>
      <c r="B6" s="63" t="s">
        <v>13550</v>
      </c>
      <c r="C6" s="48"/>
      <c r="D6" s="48"/>
      <c r="E6" s="48"/>
      <c r="F6" s="64"/>
    </row>
    <row r="7" spans="1:6" ht="13.9">
      <c r="A7" s="20" t="s">
        <v>13551</v>
      </c>
      <c r="B7" s="63" t="s">
        <v>13552</v>
      </c>
      <c r="C7" s="48"/>
      <c r="D7" s="48"/>
      <c r="E7" s="48"/>
      <c r="F7" s="64"/>
    </row>
    <row r="8" spans="1:6" ht="13.9">
      <c r="A8" s="20" t="s">
        <v>13553</v>
      </c>
      <c r="B8" s="63" t="s">
        <v>13554</v>
      </c>
      <c r="C8" s="48"/>
      <c r="D8" s="48"/>
      <c r="E8" s="48"/>
      <c r="F8" s="64"/>
    </row>
    <row r="9" spans="1:6" ht="13.9">
      <c r="A9" s="20" t="s">
        <v>13555</v>
      </c>
      <c r="B9" s="63" t="s">
        <v>13556</v>
      </c>
      <c r="C9" s="48"/>
      <c r="D9" s="48"/>
      <c r="E9" s="48"/>
      <c r="F9" s="64"/>
    </row>
    <row r="10" spans="1:6" ht="13.9">
      <c r="A10" s="21" t="s">
        <v>13557</v>
      </c>
      <c r="B10" s="65" t="s">
        <v>13558</v>
      </c>
      <c r="C10" s="66"/>
      <c r="D10" s="66"/>
      <c r="E10" s="66"/>
      <c r="F10" s="67"/>
    </row>
  </sheetData>
  <mergeCells count="8">
    <mergeCell ref="B4:F4"/>
    <mergeCell ref="B7:F7"/>
    <mergeCell ref="B6:F6"/>
    <mergeCell ref="B10:F10"/>
    <mergeCell ref="A1:F2"/>
    <mergeCell ref="B5:F5"/>
    <mergeCell ref="B8:F8"/>
    <mergeCell ref="B9:F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Dashboard</vt:lpstr>
      <vt:lpstr>Tracker</vt:lpstr>
      <vt:lpstr>Hack Database</vt:lpstr>
      <vt:lpstr>Hack Finder</vt:lpstr>
      <vt:lpstr>DifficultyList</vt:lpstr>
      <vt:lpstr>TypeList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Brandon M</cp:lastModifiedBy>
  <dcterms:created xsi:type="dcterms:W3CDTF">2026-07-26T21:47:31Z</dcterms:created>
  <dcterms:modified xsi:type="dcterms:W3CDTF">2026-07-27T00:22:24Z</dcterms:modified>
</cp:coreProperties>
</file>